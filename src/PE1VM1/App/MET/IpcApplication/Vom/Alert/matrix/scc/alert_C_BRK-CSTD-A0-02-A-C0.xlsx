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defaultThemeVersion="124226"/>
  <mc:AlternateContent xmlns:mc="http://schemas.openxmlformats.org/markup-compatibility/2006">
    <mc:Choice Requires="x15">
      <x15ac:absPath xmlns:x15ac="http://schemas.microsoft.com/office/spreadsheetml/2010/11/ac" url="C:\work\02_19pfv3\02.CV内部結合2\02.設計\【顧客要求_新規】MET-C_BRK-CSTD-A0-01-A-C0\"/>
    </mc:Choice>
  </mc:AlternateContent>
  <xr:revisionPtr revIDLastSave="0" documentId="13_ncr:1_{BB12D10F-1F29-4AB9-8A60-71286CB66F11}" xr6:coauthVersionLast="46" xr6:coauthVersionMax="46" xr10:uidLastSave="{00000000-0000-0000-0000-000000000000}"/>
  <bookViews>
    <workbookView xWindow="-289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C_BRK_0" sheetId="8" r:id="rId6"/>
    <sheet name="Reference" sheetId="31"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O138" i="8"/>
  <c r="AM138" i="8"/>
  <c r="AM195" i="8"/>
  <c r="AM89" i="8"/>
  <c r="AN130" i="8"/>
  <c r="AN136" i="8"/>
  <c r="AN138" i="8"/>
  <c r="AL138" i="8"/>
  <c r="C110" i="8"/>
  <c r="AO196" i="8"/>
  <c r="AM196" i="8"/>
  <c r="AL196" i="8"/>
  <c r="AQ196" i="8" s="1"/>
  <c r="AO170" i="8"/>
  <c r="AN170" i="8"/>
  <c r="AM170" i="8"/>
  <c r="AL170" i="8"/>
  <c r="AO78" i="8"/>
  <c r="AN104" i="8"/>
  <c r="AL192" i="8"/>
  <c r="AQ192" i="8" s="1"/>
  <c r="AN71" i="8"/>
  <c r="AM71" i="8"/>
  <c r="AM72" i="8"/>
  <c r="AO88" i="8"/>
  <c r="AO146" i="8"/>
  <c r="AN146" i="8"/>
  <c r="AM146" i="8"/>
  <c r="AL146" i="8"/>
  <c r="AO179" i="8"/>
  <c r="AN179" i="8"/>
  <c r="AM179" i="8"/>
  <c r="AL179" i="8"/>
  <c r="AM78" i="8"/>
  <c r="AO104" i="8"/>
  <c r="AL104" i="8"/>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Q122" i="8" s="1"/>
  <c r="AM136" i="8"/>
  <c r="AO137" i="8"/>
  <c r="AN137" i="8"/>
  <c r="AM137" i="8"/>
  <c r="AN72" i="8"/>
  <c r="AO96" i="8"/>
  <c r="AN96" i="8"/>
  <c r="AM96" i="8"/>
  <c r="AL96" i="8"/>
  <c r="AO107" i="8"/>
  <c r="AO115" i="8"/>
  <c r="C118" i="8"/>
  <c r="AO148" i="8"/>
  <c r="AN148" i="8"/>
  <c r="AM148" i="8"/>
  <c r="AO178" i="8"/>
  <c r="AN178" i="8"/>
  <c r="AM178" i="8"/>
  <c r="AL178" i="8"/>
  <c r="AO197" i="8"/>
  <c r="AN197" i="8"/>
  <c r="AM197" i="8"/>
  <c r="AL197" i="8"/>
  <c r="AQ19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M109" i="8"/>
  <c r="AO110" i="8"/>
  <c r="AL114" i="8"/>
  <c r="AM118" i="8"/>
  <c r="AL118" i="8"/>
  <c r="AN132" i="8"/>
  <c r="AL132" i="8"/>
  <c r="AQ132" i="8" s="1"/>
  <c r="AO139" i="8"/>
  <c r="AN139" i="8"/>
  <c r="AL139" i="8"/>
  <c r="AM147" i="8"/>
  <c r="AL148" i="8"/>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O119" i="8"/>
  <c r="AN119" i="8"/>
  <c r="AM119" i="8"/>
  <c r="AL119" i="8"/>
  <c r="AQ119" i="8" s="1"/>
  <c r="AO128" i="8"/>
  <c r="AN128" i="8"/>
  <c r="AM128" i="8"/>
  <c r="AL128" i="8"/>
  <c r="AQ128" i="8" s="1"/>
  <c r="AR63" i="8" s="1"/>
  <c r="AO144" i="8"/>
  <c r="AO153" i="8"/>
  <c r="AN153" i="8"/>
  <c r="AM153" i="8"/>
  <c r="AL153" i="8"/>
  <c r="AO163" i="8"/>
  <c r="AN163" i="8"/>
  <c r="AL163" i="8"/>
  <c r="AO167" i="8"/>
  <c r="AN167" i="8"/>
  <c r="AL167" i="8"/>
  <c r="AN184" i="8"/>
  <c r="AM184" i="8"/>
  <c r="AO185" i="8"/>
  <c r="AN185" i="8"/>
  <c r="AM185" i="8"/>
  <c r="AL185" i="8"/>
  <c r="AQ185" i="8" s="1"/>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Q194" i="8" s="1"/>
  <c r="AN80" i="8"/>
  <c r="C81" i="8"/>
  <c r="AM85" i="8"/>
  <c r="AL85" i="8"/>
  <c r="AO103" i="8"/>
  <c r="AN103" i="8"/>
  <c r="AM103" i="8"/>
  <c r="AL103" i="8"/>
  <c r="AO120" i="8"/>
  <c r="AN120" i="8"/>
  <c r="AM120" i="8"/>
  <c r="AL120" i="8"/>
  <c r="AQ120" i="8" s="1"/>
  <c r="AN124" i="8"/>
  <c r="AL124" i="8"/>
  <c r="AQ124" i="8" s="1"/>
  <c r="AO130" i="8"/>
  <c r="AM130" i="8"/>
  <c r="AO145" i="8"/>
  <c r="AN145" i="8"/>
  <c r="AM145" i="8"/>
  <c r="AL145" i="8"/>
  <c r="AO154" i="8"/>
  <c r="AN154" i="8"/>
  <c r="AM154" i="8"/>
  <c r="AL154" i="8"/>
  <c r="AO159" i="8"/>
  <c r="AN159" i="8"/>
  <c r="AL159" i="8"/>
  <c r="AO164" i="8"/>
  <c r="AM164" i="8"/>
  <c r="AM167" i="8"/>
  <c r="AO177" i="8"/>
  <c r="AN177" i="8"/>
  <c r="AM177" i="8"/>
  <c r="AL177" i="8"/>
  <c r="AO186" i="8"/>
  <c r="AL186" i="8"/>
  <c r="AQ186" i="8" s="1"/>
  <c r="AL171" i="8"/>
  <c r="AO73" i="8"/>
  <c r="AN85" i="8"/>
  <c r="AM93" i="8"/>
  <c r="AN107" i="8"/>
  <c r="AM107" i="8"/>
  <c r="AL107" i="8"/>
  <c r="AN111" i="8"/>
  <c r="AL111" i="8"/>
  <c r="AN129" i="8"/>
  <c r="AL129" i="8"/>
  <c r="AQ129" i="8" s="1"/>
  <c r="AR64" i="8" s="1"/>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Q121" i="8" s="1"/>
  <c r="AO125" i="8"/>
  <c r="AN125" i="8"/>
  <c r="AL125" i="8"/>
  <c r="AQ125" i="8" s="1"/>
  <c r="AO129" i="8"/>
  <c r="AM129" i="8"/>
  <c r="AL130" i="8"/>
  <c r="AQ130" i="8" s="1"/>
  <c r="AN141" i="8"/>
  <c r="AM141" i="8"/>
  <c r="AL141" i="8"/>
  <c r="AN144" i="8"/>
  <c r="AO157" i="8"/>
  <c r="AL164" i="8"/>
  <c r="AO169" i="8"/>
  <c r="AN169" i="8"/>
  <c r="AM169" i="8"/>
  <c r="AL169" i="8"/>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M152" i="8"/>
  <c r="AL152" i="8"/>
  <c r="AO160" i="8"/>
  <c r="C134" i="8"/>
  <c r="AM160" i="8"/>
  <c r="AL160" i="8"/>
  <c r="AO168" i="8"/>
  <c r="AO175" i="8"/>
  <c r="AN175" i="8"/>
  <c r="AO190" i="8"/>
  <c r="AN190" i="8"/>
  <c r="AM190" i="8"/>
  <c r="AL190" i="8"/>
  <c r="AQ190" i="8" s="1"/>
  <c r="AO100" i="8"/>
  <c r="AM100" i="8"/>
  <c r="AN110" i="8"/>
  <c r="AQ110" i="8" s="1"/>
  <c r="AN115" i="8"/>
  <c r="AM115" i="8"/>
  <c r="AL115" i="8"/>
  <c r="AM126" i="8"/>
  <c r="AL126" i="8"/>
  <c r="AQ126" i="8" s="1"/>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Q123" i="8" s="1"/>
  <c r="AR58" i="8" s="1"/>
  <c r="AM134" i="8"/>
  <c r="AL134" i="8"/>
  <c r="AQ134" i="8" s="1"/>
  <c r="AL142" i="8"/>
  <c r="AO150" i="8"/>
  <c r="AN150" i="8"/>
  <c r="AM150" i="8"/>
  <c r="AN160" i="8"/>
  <c r="AN165" i="8"/>
  <c r="AM165" i="8"/>
  <c r="AL165" i="8"/>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Q131" i="8" s="1"/>
  <c r="AO143" i="8"/>
  <c r="AN143" i="8"/>
  <c r="AL143" i="8"/>
  <c r="AO147" i="8"/>
  <c r="AN147" i="8"/>
  <c r="AL147" i="8"/>
  <c r="AL150" i="8"/>
  <c r="AO158" i="8"/>
  <c r="AN158" i="8"/>
  <c r="AM158" i="8"/>
  <c r="AN168" i="8"/>
  <c r="AO180" i="8"/>
  <c r="AM180" i="8"/>
  <c r="AO191" i="8"/>
  <c r="AN191" i="8"/>
  <c r="AM191" i="8"/>
  <c r="AL191" i="8"/>
  <c r="AQ191" i="8" s="1"/>
  <c r="AO195" i="8"/>
  <c r="AN195" i="8"/>
  <c r="AL195" i="8"/>
  <c r="AQ195" i="8" s="1"/>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Q166" i="8" s="1"/>
  <c r="AN173" i="8"/>
  <c r="AM173" i="8"/>
  <c r="AL173" i="8"/>
  <c r="AM176" i="8"/>
  <c r="AL180" i="8"/>
  <c r="AO188" i="8"/>
  <c r="AM188" i="8"/>
  <c r="AL188" i="8"/>
  <c r="AQ188" i="8" s="1"/>
  <c r="AO199" i="8"/>
  <c r="AN199" i="8"/>
  <c r="AM199" i="8"/>
  <c r="AL199" i="8"/>
  <c r="AQ199" i="8" s="1"/>
  <c r="AQ91" i="8" l="1"/>
  <c r="AR68" i="8"/>
  <c r="AS56" i="8"/>
  <c r="AS60" i="8"/>
  <c r="AS65" i="8"/>
  <c r="AQ111" i="8"/>
  <c r="AQ118" i="8"/>
  <c r="AQ182" i="8"/>
  <c r="AR61" i="8"/>
  <c r="AS70" i="8"/>
  <c r="AS69" i="8"/>
  <c r="AR70" i="8"/>
  <c r="AR69" i="8"/>
  <c r="AS62" i="8"/>
  <c r="AS57" i="8"/>
  <c r="AR56" i="8"/>
  <c r="AS58" i="8"/>
  <c r="AR59" i="8"/>
  <c r="AS59" i="8"/>
  <c r="AR57" i="8"/>
  <c r="AR65" i="8"/>
  <c r="AS63" i="8"/>
  <c r="AR62" i="8"/>
  <c r="AR60" i="8"/>
  <c r="AS61" i="8"/>
  <c r="AS64" i="8"/>
  <c r="AS55" i="8"/>
  <c r="AR66" i="8"/>
  <c r="AR67" i="8"/>
  <c r="AR55" i="8"/>
  <c r="AS67" i="8"/>
  <c r="AS66" i="8"/>
  <c r="AQ173" i="8"/>
  <c r="AQ112" i="8"/>
  <c r="AR47" i="8" s="1"/>
  <c r="AQ171" i="8"/>
  <c r="AQ183" i="8"/>
  <c r="AS54" i="8" s="1"/>
  <c r="AQ117" i="8"/>
  <c r="AQ105" i="8"/>
  <c r="AQ178" i="8"/>
  <c r="AQ179" i="8"/>
  <c r="AQ170" i="8"/>
  <c r="AQ97" i="8"/>
  <c r="AQ160" i="8"/>
  <c r="AQ156" i="8"/>
  <c r="AR46" i="8"/>
  <c r="AQ109" i="8"/>
  <c r="AQ180" i="8"/>
  <c r="AQ107" i="8"/>
  <c r="AQ174" i="8"/>
  <c r="AQ115" i="8"/>
  <c r="AQ175" i="8"/>
  <c r="AQ176" i="8"/>
  <c r="AQ177" i="8"/>
  <c r="AQ106" i="8"/>
  <c r="AQ113" i="8"/>
  <c r="AR48" i="8" s="1"/>
  <c r="AQ172" i="8"/>
  <c r="AQ116" i="8"/>
  <c r="AQ169" i="8"/>
  <c r="AQ181" i="8"/>
  <c r="AQ163" i="8"/>
  <c r="AQ114" i="8"/>
  <c r="AQ104" i="8"/>
  <c r="AQ108" i="8"/>
  <c r="AR54" i="8"/>
  <c r="AQ151" i="8"/>
  <c r="AQ99" i="8"/>
  <c r="AQ154" i="8"/>
  <c r="AQ157" i="8"/>
  <c r="AQ164" i="8"/>
  <c r="AQ89" i="8"/>
  <c r="AQ152" i="8"/>
  <c r="AQ94" i="8"/>
  <c r="AQ95" i="8"/>
  <c r="AQ102" i="8"/>
  <c r="AQ86" i="8"/>
  <c r="AQ101" i="8"/>
  <c r="AQ168" i="8"/>
  <c r="AQ103" i="8"/>
  <c r="AQ88" i="8"/>
  <c r="AQ155" i="8"/>
  <c r="AQ93" i="8"/>
  <c r="AQ159" i="8"/>
  <c r="AQ165" i="8"/>
  <c r="AS36" i="8" s="1"/>
  <c r="AQ100" i="8"/>
  <c r="AQ153" i="8"/>
  <c r="AQ162" i="8"/>
  <c r="AQ167" i="8"/>
  <c r="AS37" i="8" s="1"/>
  <c r="AQ161" i="8"/>
  <c r="AQ92" i="8"/>
  <c r="AR27" i="8" s="1"/>
  <c r="AQ158" i="8"/>
  <c r="AQ96" i="8"/>
  <c r="AQ90" i="8"/>
  <c r="AQ98" i="8"/>
  <c r="AQ87" i="8"/>
  <c r="AQ85" i="8"/>
  <c r="AQ83" i="8"/>
  <c r="AQ148" i="8"/>
  <c r="AQ150" i="8"/>
  <c r="AQ149" i="8"/>
  <c r="AQ84" i="8"/>
  <c r="AQ82" i="8"/>
  <c r="AQ146" i="8"/>
  <c r="AQ147" i="8"/>
  <c r="AQ81" i="8"/>
  <c r="AQ145" i="8"/>
  <c r="AQ80" i="8"/>
  <c r="AQ79" i="8"/>
  <c r="AQ144" i="8"/>
  <c r="AQ141" i="8"/>
  <c r="AQ76" i="8"/>
  <c r="AQ138" i="8"/>
  <c r="AQ73" i="8"/>
  <c r="AQ143" i="8"/>
  <c r="AQ142" i="8"/>
  <c r="AQ78" i="8"/>
  <c r="AQ74" i="8"/>
  <c r="AQ140" i="8"/>
  <c r="AQ139" i="8"/>
  <c r="AQ75" i="8"/>
  <c r="AQ77" i="8"/>
  <c r="AQ137" i="8"/>
  <c r="AQ72" i="8"/>
  <c r="AQ71" i="8"/>
  <c r="AR6" i="8" s="1"/>
  <c r="AQ136" i="8"/>
  <c r="AS6" i="8" s="1"/>
  <c r="B136" i="8"/>
  <c r="B71" i="8"/>
  <c r="D7" i="4"/>
  <c r="M13" i="4"/>
  <c r="N13" i="4" s="1"/>
  <c r="AR41" i="8" l="1"/>
  <c r="AS27" i="8"/>
  <c r="AR53" i="8"/>
  <c r="AS50" i="8"/>
  <c r="AR40" i="8"/>
  <c r="AS49" i="8"/>
  <c r="AS31" i="8"/>
  <c r="AS42" i="8"/>
  <c r="AS53" i="8"/>
  <c r="AR34" i="8"/>
  <c r="AS40" i="8"/>
  <c r="AS41" i="8"/>
  <c r="AR52" i="8"/>
  <c r="AS44" i="8"/>
  <c r="AS51" i="8"/>
  <c r="AR49" i="8"/>
  <c r="AR33" i="8"/>
  <c r="AS20" i="8"/>
  <c r="AR44" i="8"/>
  <c r="AR39" i="8"/>
  <c r="AS25" i="8"/>
  <c r="AS28" i="8"/>
  <c r="AR37" i="8"/>
  <c r="AR10" i="8"/>
  <c r="AR20" i="8"/>
  <c r="AR22" i="8"/>
  <c r="AS10" i="8"/>
  <c r="AS47" i="8"/>
  <c r="AS45" i="8"/>
  <c r="AR32" i="8"/>
  <c r="AR29" i="8"/>
  <c r="AR23" i="8"/>
  <c r="AS22" i="8"/>
  <c r="AR50" i="8"/>
  <c r="AS34" i="8"/>
  <c r="AR42" i="8"/>
  <c r="AS17" i="8"/>
  <c r="AR51" i="8"/>
  <c r="AS52" i="8"/>
  <c r="AR19" i="8"/>
  <c r="AR25" i="8"/>
  <c r="AR35" i="8"/>
  <c r="AR36" i="8"/>
  <c r="AR43" i="8"/>
  <c r="AR45" i="8"/>
  <c r="AS26" i="8"/>
  <c r="AR18" i="8"/>
  <c r="AS32" i="8"/>
  <c r="AR24" i="8"/>
  <c r="AS48" i="8"/>
  <c r="AS21" i="8"/>
  <c r="AS23" i="8"/>
  <c r="AS39" i="8"/>
  <c r="AS19" i="8"/>
  <c r="AR31" i="8"/>
  <c r="AS35" i="8"/>
  <c r="AR21" i="8"/>
  <c r="AS24" i="8"/>
  <c r="AR26" i="8"/>
  <c r="AS29" i="8"/>
  <c r="AR28" i="8"/>
  <c r="AR30" i="8"/>
  <c r="AS33" i="8"/>
  <c r="AS46" i="8"/>
  <c r="AS30" i="8"/>
  <c r="AS43" i="8"/>
  <c r="AS38" i="8"/>
  <c r="AR38" i="8"/>
  <c r="AS16" i="8"/>
  <c r="AR17" i="8"/>
  <c r="AS18" i="8"/>
  <c r="AR16" i="8"/>
  <c r="AS15" i="8"/>
  <c r="AR15" i="8"/>
  <c r="AS14" i="8"/>
  <c r="AR12" i="8"/>
  <c r="AS12" i="8"/>
  <c r="AR9" i="8"/>
  <c r="AS9" i="8"/>
  <c r="AR13" i="8"/>
  <c r="AR11" i="8"/>
  <c r="AR14" i="8"/>
  <c r="AS13" i="8"/>
  <c r="AS11" i="8"/>
  <c r="AR7" i="8"/>
  <c r="AR8" i="8"/>
  <c r="AS7" i="8"/>
  <c r="AS8" i="8"/>
  <c r="D3" i="1"/>
  <c r="D5" i="4" s="1"/>
  <c r="D4" i="4" l="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8" l="1"/>
  <c r="AR5" i="8"/>
  <c r="AT5" i="8"/>
  <c r="AV5" i="8"/>
  <c r="B13" i="1"/>
  <c r="B12" i="1"/>
  <c r="B11" i="1"/>
  <c r="B10" i="1"/>
  <c r="B9" i="1"/>
  <c r="C2" i="7" l="1"/>
  <c r="G14" i="4" l="1"/>
  <c r="H14" i="4"/>
  <c r="I14" i="4"/>
  <c r="H15" i="4"/>
  <c r="I15" i="4"/>
  <c r="H16" i="4"/>
  <c r="I16" i="4"/>
  <c r="G17" i="4"/>
  <c r="H17" i="4"/>
  <c r="G18" i="4"/>
  <c r="H18" i="4"/>
  <c r="G19" i="4"/>
  <c r="H19"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F19" i="4" s="1"/>
  <c r="M20" i="4"/>
  <c r="N20" i="4" s="1"/>
  <c r="F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3000000}">
      <text>
        <r>
          <rPr>
            <b/>
            <sz val="9"/>
            <color indexed="81"/>
            <rFont val="MS P ゴシック"/>
            <family val="3"/>
            <charset val="128"/>
          </rPr>
          <t xml:space="preserve">リモート送信条件成立：IG ON 且つ PTS ONが15[s]以上
</t>
        </r>
      </text>
    </comment>
    <comment ref="E9" authorId="1" shapeId="0" xr:uid="{00000000-0006-0000-0600-000004000000}">
      <text>
        <r>
          <rPr>
            <b/>
            <sz val="9"/>
            <color indexed="81"/>
            <rFont val="MS P ゴシック"/>
            <family val="3"/>
            <charset val="128"/>
          </rPr>
          <t xml:space="preserve">IG ON 且つ ST OFF
</t>
        </r>
      </text>
    </comment>
    <comment ref="F9" authorId="1" shapeId="0" xr:uid="{00000000-0006-0000-0600-000005000000}">
      <text>
        <r>
          <rPr>
            <b/>
            <sz val="9"/>
            <color indexed="81"/>
            <rFont val="MS P ゴシック"/>
            <family val="3"/>
            <charset val="128"/>
          </rPr>
          <t>IG ON</t>
        </r>
      </text>
    </comment>
    <comment ref="G9" authorId="1" shapeId="0" xr:uid="{00000000-0006-0000-0600-000006000000}">
      <text>
        <r>
          <rPr>
            <b/>
            <sz val="9"/>
            <color indexed="81"/>
            <rFont val="MS P ゴシック"/>
            <family val="3"/>
            <charset val="128"/>
          </rPr>
          <t xml:space="preserve">IG OFF 且つ IG OFF後25[m]未満
</t>
        </r>
      </text>
    </comment>
    <comment ref="H9" authorId="1" shapeId="0" xr:uid="{00000000-0006-0000-0600-000007000000}">
      <text>
        <r>
          <rPr>
            <b/>
            <sz val="9"/>
            <color indexed="81"/>
            <rFont val="MS P ゴシック"/>
            <family val="3"/>
            <charset val="128"/>
          </rPr>
          <t xml:space="preserve">IG OFF
</t>
        </r>
      </text>
    </comment>
    <comment ref="I9" authorId="1" shapeId="0" xr:uid="{00000000-0006-0000-0600-000008000000}">
      <text>
        <r>
          <rPr>
            <b/>
            <sz val="9"/>
            <color indexed="81"/>
            <rFont val="MS P ゴシック"/>
            <family val="3"/>
            <charset val="128"/>
          </rPr>
          <t xml:space="preserve">IG ON 又は IG OFF後25[m]未満
</t>
        </r>
      </text>
    </comment>
    <comment ref="J9" authorId="1" shapeId="0" xr:uid="{00000000-0006-0000-0600-000009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<sst xmlns="http://schemas.openxmlformats.org/spreadsheetml/2006/main" count="2774" uniqueCount="303">
  <si>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</si>
  <si>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</si>
  <si>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</si>
  <si>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</si>
  <si>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</si>
  <si>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</si>
  <si>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</si>
  <si>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</si>
  <si>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</si>
  <si>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</si>
  <si>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</si>
  <si>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</si>
  <si>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</si>
  <si>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</si>
  <si>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</si>
  <si>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</si>
  <si>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</si>
  <si>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</si>
  <si>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</si>
  <si>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</si>
  <si>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</si>
  <si>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</si>
  <si>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</si>
  <si>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</si>
  <si>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</si>
  <si>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</si>
  <si>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</si>
  <si>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</si>
  <si>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</si>
  <si>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</si>
  <si>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</si>
  <si>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</si>
  <si>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</si>
  <si>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</si>
  <si>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</si>
  <si>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</si>
  <si>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</si>
  <si>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</si>
  <si>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</si>
  <si>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</si>
  <si>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</si>
  <si>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</si>
  <si>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</si>
  <si>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</si>
  <si>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</si>
  <si>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</si>
  <si>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</si>
  <si>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</si>
  <si>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</si>
  <si>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</si>
  <si>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</si>
  <si>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</si>
  <si>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</si>
  <si>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</si>
  <si>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</si>
  <si>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</si>
  <si>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</si>
  <si>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</si>
  <si>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</si>
  <si>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</si>
  <si>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</si>
  <si>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</si>
  <si>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</si>
  <si>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</si>
  <si>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</si>
  <si>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</si>
  <si>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</si>
  <si>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</si>
  <si>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</si>
  <si>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</si>
  <si>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</si>
  <si>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</si>
  <si>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</si>
  <si>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</si>
  <si>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</si>
  <si>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</si>
  <si>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</si>
  <si>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</si>
  <si>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</si>
  <si>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</si>
  <si>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</si>
  <si>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</si>
  <si>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</si>
  <si>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</si>
  <si>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</si>
  <si>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</si>
  <si>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</si>
  <si>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</si>
  <si>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</si>
  <si>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</si>
  <si>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</si>
  <si>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</si>
  <si>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</si>
  <si>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</si>
  <si>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</si>
  <si>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</si>
  <si>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</si>
  <si>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</si>
  <si>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</si>
  <si>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</si>
  <si>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</si>
  <si>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</si>
  <si>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</si>
  <si>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</si>
  <si>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</si>
  <si>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</si>
  <si>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</si>
  <si>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</si>
  <si>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</si>
  <si>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</si>
  <si>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</si>
  <si>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</si>
  <si>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</si>
  <si>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</si>
  <si>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</si>
  <si>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</si>
  <si>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</si>
  <si>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</si>
  <si>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</si>
  <si>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</si>
  <si>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</si>
  <si>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</si>
  <si>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</si>
  <si>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</si>
  <si>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</si>
  <si>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</si>
  <si>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</si>
  <si>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</si>
  <si>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</si>
  <si>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</si>
  <si>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</si>
  <si>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</si>
  <si>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</si>
  <si>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</si>
  <si>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</si>
  <si>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</si>
  <si>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</si>
  <si>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</si>
  <si>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</si>
  <si>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</si>
  <si>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</si>
  <si>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</si>
  <si>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</si>
  <si>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</si>
  <si>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</si>
  <si>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</si>
  <si>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</si>
  <si>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</si>
  <si>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</si>
  <si>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</si>
  <si>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</si>
  <si>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</si>
  <si>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</si>
  <si>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</si>
  <si>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</si>
  <si>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</si>
  <si>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</si>
  <si>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</si>
  <si>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</si>
  <si>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</si>
  <si>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</si>
  <si>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</si>
  <si>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</si>
  <si>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</si>
  <si>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</si>
  <si>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</si>
  <si>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</si>
  <si>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</si>
  <si>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</si>
  <si>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</si>
  <si>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</si>
  <si>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</si>
  <si>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</si>
  <si>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</si>
  <si>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</si>
  <si>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</si>
  <si>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</si>
  <si>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</si>
  <si>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</si>
  <si>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</si>
  <si>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</si>
  <si>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</si>
  <si>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</si>
  <si>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</si>
  <si>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</si>
  <si>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</si>
  <si>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</si>
  <si>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</si>
  <si>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</si>
  <si>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</si>
  <si>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</si>
  <si>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</si>
  <si>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</si>
  <si>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</si>
  <si>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</si>
  <si>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</si>
  <si>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</si>
  <si>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</si>
  <si>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</si>
  <si>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</si>
  <si>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</si>
  <si>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</si>
  <si>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</si>
  <si>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</si>
  <si>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</si>
  <si>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</si>
  <si>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</si>
  <si>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</si>
  <si>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</si>
  <si>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</si>
  <si>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</si>
  <si>
    <t>0b</t>
    <phoneticPr fontId="2"/>
  </si>
  <si>
    <t>-</t>
    <phoneticPr fontId="2"/>
  </si>
  <si>
    <t>ON</t>
  </si>
  <si>
    <t>1.0.0</t>
  </si>
  <si>
    <t>5.5.0</t>
  </si>
  <si>
    <t>*b</t>
    <phoneticPr fontId="2"/>
  </si>
  <si>
    <t>1b</t>
  </si>
  <si>
    <t>vd_g_AlertC_brk_0Init</t>
  </si>
  <si>
    <t>-</t>
    <phoneticPr fontId="2"/>
  </si>
  <si>
    <t>U1</t>
  </si>
  <si>
    <t>u1_g_AlertCfgC_brk_0IsTmode(void)</t>
  </si>
  <si>
    <t>工場検査モード中かどうかを判定するIF。
TRUE：工場検査モード中、FALSE：工場検査モード中でない
※「工場検査モード」については、「工場検査モード(MET-M_TESTMODE-CSTD-)」を参照</t>
    <rPh sb="7" eb="8">
      <t>チュウ</t>
    </rPh>
    <rPh sb="13" eb="15">
      <t>ハンテイ</t>
    </rPh>
    <rPh sb="26" eb="28">
      <t>コウジョウ</t>
    </rPh>
    <rPh sb="28" eb="30">
      <t>ケンサ</t>
    </rPh>
    <rPh sb="33" eb="34">
      <t>チュウ</t>
    </rPh>
    <rPh sb="41" eb="45">
      <t>コウジョウケンサ</t>
    </rPh>
    <rPh sb="48" eb="49">
      <t>チュウ</t>
    </rPh>
    <phoneticPr fontId="2"/>
  </si>
  <si>
    <t>ALERT_CH_C_BRK_0</t>
  </si>
  <si>
    <t>LOW</t>
  </si>
  <si>
    <t>TMODE</t>
  </si>
  <si>
    <t>C_BRK_0</t>
    <phoneticPr fontId="2"/>
  </si>
  <si>
    <t>ブレーキブースターシステム判定</t>
    <rPh sb="13" eb="15">
      <t>ハンテイ</t>
    </rPh>
    <phoneticPr fontId="2"/>
  </si>
  <si>
    <t>他ドメイン情報</t>
    <rPh sb="0" eb="1">
      <t>タ</t>
    </rPh>
    <rPh sb="5" eb="7">
      <t>ジョウホウ</t>
    </rPh>
    <phoneticPr fontId="2"/>
  </si>
  <si>
    <t>内部データ</t>
    <rPh sb="0" eb="2">
      <t>ナイブ</t>
    </rPh>
    <phoneticPr fontId="2"/>
  </si>
  <si>
    <t>ALERT_CH_C_BRK_0</t>
    <phoneticPr fontId="2"/>
  </si>
  <si>
    <t>工場検査モード中</t>
    <rPh sb="0" eb="4">
      <t>コウジョウケンサ</t>
    </rPh>
    <rPh sb="7" eb="8">
      <t>チュウ</t>
    </rPh>
    <phoneticPr fontId="2"/>
  </si>
  <si>
    <t>状態経過時間</t>
    <rPh sb="0" eb="2">
      <t>ジョウタイ</t>
    </rPh>
    <rPh sb="2" eb="4">
      <t>ケイカ</t>
    </rPh>
    <rPh sb="4" eb="6">
      <t>ジカン</t>
    </rPh>
    <phoneticPr fontId="2"/>
  </si>
  <si>
    <t>工場検査モード中でない(0b)/
工場検査モード中(1b)</t>
    <rPh sb="24" eb="25">
      <t>チュウ</t>
    </rPh>
    <phoneticPr fontId="2"/>
  </si>
  <si>
    <t>7100ms未満(0b)/
7100ms以上(1b)</t>
    <rPh sb="6" eb="8">
      <t>ミマン</t>
    </rPh>
    <rPh sb="20" eb="22">
      <t>イジョウ</t>
    </rPh>
    <phoneticPr fontId="2"/>
  </si>
  <si>
    <t>UNKNOWN/
LOW/
TMODE/</t>
    <phoneticPr fontId="2"/>
  </si>
  <si>
    <t>点灯/
-</t>
    <phoneticPr fontId="2"/>
  </si>
  <si>
    <t>1b</t>
    <phoneticPr fontId="2"/>
  </si>
  <si>
    <t>点灯</t>
  </si>
  <si>
    <t>REQ02</t>
    <phoneticPr fontId="2"/>
  </si>
  <si>
    <t>REQ03</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</si>
  <si>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</si>
  <si>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</si>
  <si>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</si>
  <si>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MET-C_BRK-CSTD-A0-02-A-C0.xlsm</t>
    <phoneticPr fontId="2"/>
  </si>
  <si>
    <t>https://aip01.dndev.net/svn/met/toyota/std/rd/spec/19PFver3/trunk/00.Product/Latest/制御仕様/MET-C_BRK-CSTD-A0-01-A-C0/</t>
    <phoneticPr fontId="2"/>
  </si>
  <si>
    <t>C_BRK-CSTD-A0-MEF01-REQ02-</t>
  </si>
  <si>
    <t>C_BRK-CSTD-A0-MEF01-REQ03-</t>
  </si>
  <si>
    <t>E/G回転フラグ</t>
    <phoneticPr fontId="2"/>
  </si>
  <si>
    <t>7100ms経過判定</t>
    <rPh sb="6" eb="8">
      <t>ケイカ</t>
    </rPh>
    <rPh sb="8" eb="10">
      <t>ハンテイ</t>
    </rPh>
    <phoneticPr fontId="2"/>
  </si>
  <si>
    <t>OFF(0b)/
ON(1b)</t>
    <phoneticPr fontId="2"/>
  </si>
  <si>
    <t>-</t>
    <phoneticPr fontId="2"/>
  </si>
  <si>
    <t>－</t>
  </si>
  <si>
    <t>E/G回転フラグ</t>
  </si>
  <si>
    <t>ZN11S17</t>
  </si>
  <si>
    <t>通常(00b)/
未受信(01b)/
通信途絶(10b)/
未受信通信途絶(11b)</t>
  </si>
  <si>
    <t>NE1≧400rpm→ON
NE1&lt;200rpm→OFF</t>
    <phoneticPr fontId="2"/>
  </si>
  <si>
    <t>**b</t>
    <phoneticPr fontId="2"/>
  </si>
  <si>
    <t>ZN11S17</t>
    <phoneticPr fontId="2"/>
  </si>
  <si>
    <t>Matrix Search</t>
  </si>
  <si>
    <t>UNKNOWN</t>
    <phoneticPr fontId="2"/>
  </si>
  <si>
    <t>BVWRSW</t>
  </si>
  <si>
    <t>BVWRSW</t>
    <phoneticPr fontId="2"/>
  </si>
  <si>
    <t>BVWRSW_V</t>
  </si>
  <si>
    <t>BVWRSW_V</t>
    <phoneticPr fontId="2"/>
  </si>
  <si>
    <t>未確定(0b)/
確定(1b)</t>
    <rPh sb="0" eb="1">
      <t>ミ</t>
    </rPh>
    <rPh sb="1" eb="3">
      <t>カクテイ</t>
    </rPh>
    <rPh sb="9" eb="11">
      <t>カクテイ</t>
    </rPh>
    <phoneticPr fontId="2"/>
  </si>
  <si>
    <t>CAN</t>
    <phoneticPr fontId="2"/>
  </si>
  <si>
    <t>0b</t>
    <phoneticPr fontId="2"/>
  </si>
  <si>
    <t>*b</t>
    <phoneticPr fontId="2"/>
  </si>
  <si>
    <t>**b</t>
    <phoneticPr fontId="2"/>
  </si>
  <si>
    <t>1b</t>
    <phoneticPr fontId="2"/>
  </si>
  <si>
    <t>00b</t>
    <phoneticPr fontId="2"/>
  </si>
  <si>
    <t>01b</t>
    <phoneticPr fontId="2"/>
  </si>
  <si>
    <t>10b</t>
    <phoneticPr fontId="2"/>
  </si>
  <si>
    <t>11b</t>
    <phoneticPr fontId="2"/>
  </si>
  <si>
    <t>LOW</t>
    <phoneticPr fontId="2"/>
  </si>
  <si>
    <t>C_BRK-CSTD-A0-MEF01-REQ02-/
REQ03/
-</t>
    <phoneticPr fontId="2"/>
  </si>
  <si>
    <t>TMODE</t>
    <phoneticPr fontId="2"/>
  </si>
  <si>
    <t>工場検査モード中でない + 7100ms未満 + *b*b + *b + *b*b + *b + *b</t>
  </si>
  <si>
    <t>工場検査モード中 + *b + *b*b + *b + *b*b + *b + *b</t>
  </si>
  <si>
    <t>工場検査モード中 + *b + *b*b + *b + 正常 + OFF + OFF</t>
  </si>
  <si>
    <t>工場検査モード中 + *b + *b*b + *b + 正常 + OFF + ON</t>
  </si>
  <si>
    <t>工場検査モード中 + *b + *b*b + *b + 正常 + ON + OFF</t>
  </si>
  <si>
    <t>工場検査モード中 + *b + *b*b + *b + 正常 + ON + ON</t>
  </si>
  <si>
    <t>工場検査モード中 + *b + *b*b + *b + 未受信 + *b + *b</t>
  </si>
  <si>
    <t>工場検査モード中 + *b + *b*b + *b + 未受信途絶 + *b + *b</t>
  </si>
  <si>
    <t>IGOFF</t>
    <phoneticPr fontId="2"/>
  </si>
  <si>
    <t>ALERT_VOM_IGN_ON</t>
    <phoneticPr fontId="2"/>
  </si>
  <si>
    <t>工場検査モード中</t>
    <phoneticPr fontId="2"/>
  </si>
  <si>
    <t>状態経過時間</t>
    <phoneticPr fontId="2"/>
  </si>
  <si>
    <t>新規作成(流用元：alert_C_BRK-CSTD-0-01-A-C0.xlsx)
19pfv3 CV内部結合#2対応
[Matrix]シート
・対象仕様書およびロケーションを変更
[C_BRK_0]シート
・入力を変更
[Reference]シート
・ブレーキブースターシステム判定を変更</t>
    <rPh sb="52" eb="56">
      <t>ナイブケツゴウ</t>
    </rPh>
    <rPh sb="106" eb="108">
      <t>ニュウリョク</t>
    </rPh>
    <rPh sb="109" eb="111">
      <t>ヘンコウ</t>
    </rPh>
    <rPh sb="144" eb="146">
      <t>ヘンコウ</t>
    </rPh>
    <phoneticPr fontId="2"/>
  </si>
  <si>
    <t>工場検査モード中でない + 7100ms以上 +  OFF + 正常 + OFF + OFF</t>
  </si>
  <si>
    <t>工場検査モード中でない + 7100ms以上 +  OFF + 正常 + OFF + ON</t>
  </si>
  <si>
    <t>工場検査モード中でない + 7100ms以上 +  OFF + 正常 + ON + OFF</t>
  </si>
  <si>
    <t>工場検査モード中でない + 7100ms以上 +  OFF + 正常 + ON + ON</t>
  </si>
  <si>
    <t>工場検査モード中でない + 7100ms以上 +  OFF + 未受信 + *b + *b</t>
  </si>
  <si>
    <t>工場検査モード中でない + 7100ms以上 +  OFF + 未受信途絶 + *b + *b</t>
  </si>
  <si>
    <t>工場検査モード中でない + 7100ms以上 +  ON + 正常 + OFF + OFF</t>
  </si>
  <si>
    <t>工場検査モード中でない + 7100ms以上 +  ON + 正常 + OFF + ON</t>
  </si>
  <si>
    <t>工場検査モード中でない + 7100ms以上 +  ON + 正常 + ON + OFF</t>
  </si>
  <si>
    <t>工場検査モード中でない + 7100ms以上 +  ON + 正常 + ON + ON</t>
  </si>
  <si>
    <t>工場検査モード中でない + 7100ms以上 +  ON + 未受信 + *b + *b</t>
  </si>
  <si>
    <t>工場検査モード中でない + 7100ms以上 +  ON + 未受信途絶 + *b +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</si>
</sst>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rgb="FFFFCCFF"/>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12" borderId="13" xfId="0" applyFill="1" applyBorder="1" applyProtection="1">
      <alignment vertical="center"/>
    </xf>
    <xf numFmtId="0" fontId="0" fillId="12" borderId="2" xfId="0" applyFill="1" applyBorder="1" applyAlignment="1" applyProtection="1">
      <alignment horizontal="left" vertical="center"/>
    </xf>
    <xf numFmtId="0" fontId="0" fillId="0" borderId="49" xfId="0" applyBorder="1">
      <alignment vertical="center"/>
    </xf>
    <xf numFmtId="0" fontId="0" fillId="0" borderId="24" xfId="0" applyBorder="1" applyAlignment="1">
      <alignment horizontal="center" vertical="center"/>
    </xf>
    <xf numFmtId="0" fontId="0" fillId="12" borderId="7" xfId="0" applyFill="1" applyBorder="1" applyProtection="1">
      <alignment vertical="center"/>
    </xf>
    <xf numFmtId="0" fontId="0" fillId="0" borderId="14" xfId="0" applyBorder="1" applyAlignment="1">
      <alignment vertical="center" wrapText="1"/>
    </xf>
    <xf numFmtId="0" fontId="0" fillId="0" borderId="27" xfId="0" applyBorder="1" applyAlignment="1">
      <alignment vertical="center"/>
    </xf>
    <xf numFmtId="0" fontId="0" fillId="22" borderId="2" xfId="0" applyFill="1" applyBorder="1">
      <alignment vertical="center"/>
    </xf>
    <xf numFmtId="0" fontId="0" fillId="0" borderId="29" xfId="0" applyBorder="1" applyAlignment="1">
      <alignment horizontal="center" vertical="center"/>
    </xf>
    <xf numFmtId="0" fontId="0" fillId="12" borderId="7" xfId="0" applyFill="1" applyBorder="1" applyAlignment="1">
      <alignment vertical="center" wrapText="1"/>
    </xf>
    <xf numFmtId="0" fontId="0" fillId="0" borderId="31" xfId="0" applyBorder="1">
      <alignment vertical="center"/>
    </xf>
    <xf numFmtId="0" fontId="0" fillId="14" borderId="31" xfId="0" applyFill="1" applyBorder="1">
      <alignment vertical="center"/>
    </xf>
    <xf numFmtId="0" fontId="0" fillId="20" borderId="2" xfId="0" applyFill="1" applyBorder="1">
      <alignment vertical="center"/>
    </xf>
    <xf numFmtId="0" fontId="0" fillId="0" borderId="2" xfId="0" applyBorder="1" applyAlignment="1">
      <alignment vertical="center" wrapText="1"/>
    </xf>
    <xf numFmtId="0" fontId="0" fillId="0" borderId="16" xfId="0" applyBorder="1" applyAlignment="1">
      <alignment vertical="center" wrapText="1"/>
    </xf>
    <xf numFmtId="0" fontId="0" fillId="0" borderId="32" xfId="0" applyBorder="1" applyAlignment="1">
      <alignment vertical="center" wrapText="1"/>
    </xf>
    <xf numFmtId="0" fontId="0" fillId="22" borderId="16" xfId="0" applyFill="1" applyBorder="1" applyAlignment="1">
      <alignment vertical="center" wrapText="1"/>
    </xf>
    <xf numFmtId="0" fontId="0" fillId="15" borderId="16" xfId="0" applyFill="1" applyBorder="1">
      <alignment vertical="center"/>
    </xf>
    <xf numFmtId="0" fontId="0" fillId="22" borderId="25" xfId="0" applyFill="1" applyBorder="1" applyAlignment="1">
      <alignment horizontal="center" vertical="center"/>
    </xf>
    <xf numFmtId="0" fontId="0" fillId="0" borderId="25" xfId="0" applyBorder="1" applyAlignment="1">
      <alignment horizontal="center" vertical="center"/>
    </xf>
    <xf numFmtId="0" fontId="0" fillId="22" borderId="14" xfId="0" applyFill="1" applyBorder="1" applyAlignment="1">
      <alignment horizontal="center" vertical="center"/>
    </xf>
    <xf numFmtId="0" fontId="0" fillId="22" borderId="31" xfId="0" applyFill="1" applyBorder="1" applyAlignment="1">
      <alignment horizontal="center" vertical="center"/>
    </xf>
    <xf numFmtId="0" fontId="0" fillId="0" borderId="31" xfId="0" applyBorder="1" applyAlignment="1">
      <alignment horizontal="center" vertical="center"/>
    </xf>
    <xf numFmtId="0" fontId="0" fillId="22" borderId="2" xfId="0" applyFill="1" applyBorder="1" applyAlignment="1">
      <alignment horizontal="center" vertical="center"/>
    </xf>
    <xf numFmtId="0" fontId="0" fillId="22" borderId="26" xfId="0" applyFill="1" applyBorder="1" applyAlignment="1">
      <alignment horizontal="center" vertical="center" wrapText="1"/>
    </xf>
    <xf numFmtId="0" fontId="0" fillId="0" borderId="26" xfId="0" applyBorder="1" applyAlignment="1">
      <alignment horizontal="center" vertical="center"/>
    </xf>
    <xf numFmtId="0" fontId="0" fillId="22" borderId="9" xfId="0" applyFill="1" applyBorder="1" applyAlignment="1">
      <alignment horizontal="center" vertical="center"/>
    </xf>
    <xf numFmtId="14" fontId="0" fillId="0" borderId="7" xfId="0" applyNumberFormat="1" applyBorder="1">
      <alignment vertical="center"/>
    </xf>
    <xf numFmtId="0" fontId="0" fillId="0" borderId="14" xfId="0" applyBorder="1">
      <alignment vertical="center"/>
    </xf>
    <xf numFmtId="0" fontId="0" fillId="0" borderId="14" xfId="0" applyBorder="1">
      <alignment vertical="center"/>
    </xf>
    <xf numFmtId="0" fontId="0" fillId="0" borderId="14" xfId="0" applyBorder="1">
      <alignment vertical="center"/>
    </xf>
    <xf numFmtId="0" fontId="0" fillId="12" borderId="7" xfId="0" applyFill="1" applyBorder="1" applyAlignment="1" applyProtection="1">
      <alignment vertical="center" wrapText="1"/>
    </xf>
    <xf numFmtId="0" fontId="0" fillId="0" borderId="27" xfId="0" applyBorder="1" applyAlignment="1">
      <alignment vertical="center" wrapText="1"/>
    </xf>
    <xf numFmtId="0" fontId="0" fillId="0" borderId="2" xfId="0" applyBorder="1" applyAlignment="1">
      <alignment vertical="center" textRotation="90"/>
    </xf>
    <xf numFmtId="0" fontId="0" fillId="17" borderId="2" xfId="0" applyFill="1" applyBorder="1" applyAlignment="1">
      <alignment vertical="center" textRotation="90"/>
    </xf>
    <xf numFmtId="0" fontId="0" fillId="0" borderId="35" xfId="0" applyBorder="1" applyAlignment="1">
      <alignment horizontal="center" vertical="center"/>
    </xf>
    <xf numFmtId="0" fontId="0" fillId="0" borderId="62" xfId="0" applyBorder="1" applyAlignment="1">
      <alignment vertical="center" textRotation="90"/>
    </xf>
    <xf numFmtId="0" fontId="0" fillId="23" borderId="2" xfId="0" applyFill="1" applyBorder="1" applyAlignment="1">
      <alignment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7" borderId="27" xfId="0" applyFill="1" applyBorder="1" applyAlignment="1">
      <alignment horizontal="left" vertical="center" textRotation="90"/>
    </xf>
    <xf numFmtId="0" fontId="0" fillId="17" borderId="31" xfId="0" applyFill="1" applyBorder="1" applyAlignment="1">
      <alignment horizontal="left"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6" fillId="0" borderId="27" xfId="0" applyFont="1" applyBorder="1">
      <alignment vertical="center"/>
    </xf>
  </cellXfs>
  <cellStyles count="2">
    <cellStyle name="ハイパーリンク" xfId="1" builtinId="8"/>
    <cellStyle name="標準" xfId="0" builtinId="0"/>
  </cellStyles>
  <dxfs count="14946">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FF"/>
      <color rgb="FFFF99FF"/>
      <color rgb="FFCCFDB1"/>
      <color rgb="FFFFCC99"/>
      <color rgb="FF0000FF"/>
      <color rgb="FFFBBDBD"/>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0</xdr:colOff>
      <xdr:row>108</xdr:row>
      <xdr:rowOff>0</xdr:rowOff>
    </xdr:from>
    <xdr:to>
      <xdr:col>48</xdr:col>
      <xdr:colOff>315056</xdr:colOff>
      <xdr:row>141</xdr:row>
      <xdr:rowOff>86535</xdr:rowOff>
    </xdr:to>
    <xdr:pic>
      <xdr:nvPicPr>
        <xdr:cNvPr id="11" name="図 10">
          <a:extLst>
            <a:ext uri="{FF2B5EF4-FFF2-40B4-BE49-F238E27FC236}">
              <a16:creationId xmlns:a16="http://schemas.microsoft.com/office/drawing/2014/main" id="{776C5712-4224-4F3E-A815-7F35DD4B11F5}"/>
            </a:ext>
          </a:extLst>
        </xdr:cNvPr>
        <xdr:cNvPicPr>
          <a:picLocks noChangeAspect="1"/>
        </xdr:cNvPicPr>
      </xdr:nvPicPr>
      <xdr:blipFill>
        <a:blip xmlns:r="http://schemas.openxmlformats.org/officeDocument/2006/relationships" r:embed="rId1"/>
        <a:stretch>
          <a:fillRect/>
        </a:stretch>
      </xdr:blipFill>
      <xdr:spPr>
        <a:xfrm>
          <a:off x="21586031" y="18561844"/>
          <a:ext cx="17579117" cy="5587222"/>
        </a:xfrm>
        <a:prstGeom prst="rect">
          <a:avLst/>
        </a:prstGeom>
      </xdr:spPr>
    </xdr:pic>
    <xdr:clientData/>
  </xdr:twoCellAnchor>
  <xdr:twoCellAnchor>
    <xdr:from>
      <xdr:col>50</xdr:col>
      <xdr:colOff>1</xdr:colOff>
      <xdr:row>108</xdr:row>
      <xdr:rowOff>0</xdr:rowOff>
    </xdr:from>
    <xdr:to>
      <xdr:col>72</xdr:col>
      <xdr:colOff>163424</xdr:colOff>
      <xdr:row>161</xdr:row>
      <xdr:rowOff>62290</xdr:rowOff>
    </xdr:to>
    <xdr:grpSp>
      <xdr:nvGrpSpPr>
        <xdr:cNvPr id="14" name="グループ化 13">
          <a:extLst>
            <a:ext uri="{FF2B5EF4-FFF2-40B4-BE49-F238E27FC236}">
              <a16:creationId xmlns:a16="http://schemas.microsoft.com/office/drawing/2014/main" id="{38D21873-E312-44C5-937C-3F25D5A1B5A8}"/>
            </a:ext>
          </a:extLst>
        </xdr:cNvPr>
        <xdr:cNvGrpSpPr/>
      </xdr:nvGrpSpPr>
      <xdr:grpSpPr>
        <a:xfrm>
          <a:off x="42359037" y="22057179"/>
          <a:ext cx="15131280" cy="9437611"/>
          <a:chOff x="40145765" y="18573750"/>
          <a:chExt cx="15357959" cy="8896728"/>
        </a:xfrm>
      </xdr:grpSpPr>
      <xdr:pic>
        <xdr:nvPicPr>
          <xdr:cNvPr id="12" name="図 11">
            <a:extLst>
              <a:ext uri="{FF2B5EF4-FFF2-40B4-BE49-F238E27FC236}">
                <a16:creationId xmlns:a16="http://schemas.microsoft.com/office/drawing/2014/main" id="{393F8D42-F3B3-4F02-8631-2E3FAEF1F2E8}"/>
              </a:ext>
            </a:extLst>
          </xdr:cNvPr>
          <xdr:cNvPicPr>
            <a:picLocks noChangeAspect="1"/>
          </xdr:cNvPicPr>
        </xdr:nvPicPr>
        <xdr:blipFill>
          <a:blip xmlns:r="http://schemas.openxmlformats.org/officeDocument/2006/relationships" r:embed="rId2"/>
          <a:stretch>
            <a:fillRect/>
          </a:stretch>
        </xdr:blipFill>
        <xdr:spPr>
          <a:xfrm>
            <a:off x="40147875" y="18573750"/>
            <a:ext cx="15346923" cy="6218562"/>
          </a:xfrm>
          <a:prstGeom prst="rect">
            <a:avLst/>
          </a:prstGeom>
        </xdr:spPr>
      </xdr:pic>
      <xdr:pic>
        <xdr:nvPicPr>
          <xdr:cNvPr id="13" name="図 12">
            <a:extLst>
              <a:ext uri="{FF2B5EF4-FFF2-40B4-BE49-F238E27FC236}">
                <a16:creationId xmlns:a16="http://schemas.microsoft.com/office/drawing/2014/main" id="{A56B1C41-316A-4D05-9C7E-9CB4D1A8194D}"/>
              </a:ext>
            </a:extLst>
          </xdr:cNvPr>
          <xdr:cNvPicPr>
            <a:picLocks noChangeAspect="1"/>
          </xdr:cNvPicPr>
        </xdr:nvPicPr>
        <xdr:blipFill>
          <a:blip xmlns:r="http://schemas.openxmlformats.org/officeDocument/2006/relationships" r:embed="rId3"/>
          <a:stretch>
            <a:fillRect/>
          </a:stretch>
        </xdr:blipFill>
        <xdr:spPr>
          <a:xfrm>
            <a:off x="40145765" y="24765000"/>
            <a:ext cx="15357959" cy="2705478"/>
          </a:xfrm>
          <a:prstGeom prst="rect">
            <a:avLst/>
          </a:prstGeom>
        </xdr:spPr>
      </xdr:pic>
    </xdr:grpSp>
    <xdr:clientData/>
  </xdr:twoCellAnchor>
  <xdr:twoCellAnchor>
    <xdr:from>
      <xdr:col>46</xdr:col>
      <xdr:colOff>0</xdr:colOff>
      <xdr:row>35</xdr:row>
      <xdr:rowOff>0</xdr:rowOff>
    </xdr:from>
    <xdr:to>
      <xdr:col>68</xdr:col>
      <xdr:colOff>403886</xdr:colOff>
      <xdr:row>98</xdr:row>
      <xdr:rowOff>130597</xdr:rowOff>
    </xdr:to>
    <xdr:grpSp>
      <xdr:nvGrpSpPr>
        <xdr:cNvPr id="9" name="グループ化 8">
          <a:extLst>
            <a:ext uri="{FF2B5EF4-FFF2-40B4-BE49-F238E27FC236}">
              <a16:creationId xmlns:a16="http://schemas.microsoft.com/office/drawing/2014/main" id="{15DA423F-18BC-4E58-845A-40E5496AEF9D}"/>
            </a:ext>
          </a:extLst>
        </xdr:cNvPr>
        <xdr:cNvGrpSpPr/>
      </xdr:nvGrpSpPr>
      <xdr:grpSpPr>
        <a:xfrm>
          <a:off x="39637607" y="9144000"/>
          <a:ext cx="15371743" cy="11274847"/>
          <a:chOff x="37493864" y="6459682"/>
          <a:chExt cx="15643886" cy="11041051"/>
        </a:xfrm>
      </xdr:grpSpPr>
      <xdr:pic>
        <xdr:nvPicPr>
          <xdr:cNvPr id="7" name="図 6">
            <a:extLst>
              <a:ext uri="{FF2B5EF4-FFF2-40B4-BE49-F238E27FC236}">
                <a16:creationId xmlns:a16="http://schemas.microsoft.com/office/drawing/2014/main" id="{74311496-CBBA-4A35-8392-5ED9DEAA295B}"/>
              </a:ext>
            </a:extLst>
          </xdr:cNvPr>
          <xdr:cNvPicPr>
            <a:picLocks noChangeAspect="1"/>
          </xdr:cNvPicPr>
        </xdr:nvPicPr>
        <xdr:blipFill>
          <a:blip xmlns:r="http://schemas.openxmlformats.org/officeDocument/2006/relationships" r:embed="rId4"/>
          <a:stretch>
            <a:fillRect/>
          </a:stretch>
        </xdr:blipFill>
        <xdr:spPr>
          <a:xfrm>
            <a:off x="37493864" y="6459682"/>
            <a:ext cx="15643886" cy="6986491"/>
          </a:xfrm>
          <a:prstGeom prst="rect">
            <a:avLst/>
          </a:prstGeom>
        </xdr:spPr>
      </xdr:pic>
      <xdr:pic>
        <xdr:nvPicPr>
          <xdr:cNvPr id="64" name="図 63">
            <a:extLst>
              <a:ext uri="{FF2B5EF4-FFF2-40B4-BE49-F238E27FC236}">
                <a16:creationId xmlns:a16="http://schemas.microsoft.com/office/drawing/2014/main" id="{2E31EC56-6C77-4371-8EA1-BA29312483C0}"/>
              </a:ext>
            </a:extLst>
          </xdr:cNvPr>
          <xdr:cNvPicPr>
            <a:picLocks noChangeAspect="1"/>
          </xdr:cNvPicPr>
        </xdr:nvPicPr>
        <xdr:blipFill>
          <a:blip xmlns:r="http://schemas.openxmlformats.org/officeDocument/2006/relationships" r:embed="rId5"/>
          <a:stretch>
            <a:fillRect/>
          </a:stretch>
        </xdr:blipFill>
        <xdr:spPr>
          <a:xfrm>
            <a:off x="37528500" y="13386955"/>
            <a:ext cx="15605423" cy="4113778"/>
          </a:xfrm>
          <a:prstGeom prst="rect">
            <a:avLst/>
          </a:prstGeom>
        </xdr:spPr>
      </xdr:pic>
    </xdr:grpSp>
    <xdr:clientData/>
  </xdr:twoCellAnchor>
  <xdr:twoCellAnchor editAs="oneCell">
    <xdr:from>
      <xdr:col>23</xdr:col>
      <xdr:colOff>0</xdr:colOff>
      <xdr:row>35</xdr:row>
      <xdr:rowOff>0</xdr:rowOff>
    </xdr:from>
    <xdr:to>
      <xdr:col>45</xdr:col>
      <xdr:colOff>575361</xdr:colOff>
      <xdr:row>75</xdr:row>
      <xdr:rowOff>21113</xdr:rowOff>
    </xdr:to>
    <xdr:pic>
      <xdr:nvPicPr>
        <xdr:cNvPr id="6" name="図 5">
          <a:extLst>
            <a:ext uri="{FF2B5EF4-FFF2-40B4-BE49-F238E27FC236}">
              <a16:creationId xmlns:a16="http://schemas.microsoft.com/office/drawing/2014/main" id="{0F91090A-FBA8-42B1-BA46-DF8EA5FE0F40}"/>
            </a:ext>
          </a:extLst>
        </xdr:cNvPr>
        <xdr:cNvPicPr>
          <a:picLocks noChangeAspect="1"/>
        </xdr:cNvPicPr>
      </xdr:nvPicPr>
      <xdr:blipFill>
        <a:blip xmlns:r="http://schemas.openxmlformats.org/officeDocument/2006/relationships" r:embed="rId6"/>
        <a:stretch>
          <a:fillRect/>
        </a:stretch>
      </xdr:blipFill>
      <xdr:spPr>
        <a:xfrm>
          <a:off x="21537706" y="6420971"/>
          <a:ext cx="15613654" cy="6744641"/>
        </a:xfrm>
        <a:prstGeom prst="rect">
          <a:avLst/>
        </a:prstGeom>
      </xdr:spPr>
    </xdr:pic>
    <xdr:clientData/>
  </xdr:twoCellAnchor>
  <xdr:twoCellAnchor editAs="oneCell">
    <xdr:from>
      <xdr:col>30</xdr:col>
      <xdr:colOff>147278</xdr:colOff>
      <xdr:row>50</xdr:row>
      <xdr:rowOff>17770</xdr:rowOff>
    </xdr:from>
    <xdr:to>
      <xdr:col>31</xdr:col>
      <xdr:colOff>502025</xdr:colOff>
      <xdr:row>58</xdr:row>
      <xdr:rowOff>107576</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20538398" y="8856970"/>
          <a:ext cx="964346" cy="143092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33</xdr:col>
      <xdr:colOff>92851</xdr:colOff>
      <xdr:row>47</xdr:row>
      <xdr:rowOff>154321</xdr:rowOff>
    </xdr:from>
    <xdr:to>
      <xdr:col>35</xdr:col>
      <xdr:colOff>215313</xdr:colOff>
      <xdr:row>50</xdr:row>
      <xdr:rowOff>63573</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2312771" y="8490601"/>
          <a:ext cx="1341664" cy="412171"/>
        </a:xfrm>
        <a:prstGeom prst="borderCallout1">
          <a:avLst>
            <a:gd name="adj1" fmla="val 42429"/>
            <a:gd name="adj2" fmla="val -3670"/>
            <a:gd name="adj3" fmla="val 81384"/>
            <a:gd name="adj4" fmla="val -92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IG-ON</a:t>
          </a:r>
          <a:r>
            <a:rPr kumimoji="1" lang="ja-JP" altLang="en-US" sz="1200" b="1">
              <a:solidFill>
                <a:schemeClr val="tx1"/>
              </a:solidFill>
              <a:latin typeface="+mn-ea"/>
              <a:ea typeface="+mn-ea"/>
              <a:cs typeface="Meiryo UI" panose="020B0604030504040204" pitchFamily="50" charset="-128"/>
            </a:rPr>
            <a:t>機能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31</xdr:col>
      <xdr:colOff>333375</xdr:colOff>
      <xdr:row>112</xdr:row>
      <xdr:rowOff>126429</xdr:rowOff>
    </xdr:from>
    <xdr:to>
      <xdr:col>33</xdr:col>
      <xdr:colOff>12606</xdr:colOff>
      <xdr:row>125</xdr:row>
      <xdr:rowOff>47624</xdr:rowOff>
    </xdr:to>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27443906" y="19355023"/>
          <a:ext cx="1060356" cy="208813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33</xdr:col>
      <xdr:colOff>338498</xdr:colOff>
      <xdr:row>108</xdr:row>
      <xdr:rowOff>114699</xdr:rowOff>
    </xdr:from>
    <xdr:to>
      <xdr:col>35</xdr:col>
      <xdr:colOff>460960</xdr:colOff>
      <xdr:row>111</xdr:row>
      <xdr:rowOff>41681</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28830154" y="18676543"/>
          <a:ext cx="1503588" cy="427044"/>
        </a:xfrm>
        <a:prstGeom prst="borderCallout1">
          <a:avLst>
            <a:gd name="adj1" fmla="val 42429"/>
            <a:gd name="adj2" fmla="val -3670"/>
            <a:gd name="adj3" fmla="val 161881"/>
            <a:gd name="adj4" fmla="val -445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IG-ON</a:t>
          </a:r>
          <a:r>
            <a:rPr kumimoji="1" lang="ja-JP" altLang="en-US" sz="1200" b="1">
              <a:solidFill>
                <a:schemeClr val="tx1"/>
              </a:solidFill>
              <a:latin typeface="+mn-ea"/>
              <a:ea typeface="+mn-ea"/>
              <a:cs typeface="Meiryo UI" panose="020B0604030504040204" pitchFamily="50" charset="-128"/>
            </a:rPr>
            <a:t>機能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31</xdr:col>
      <xdr:colOff>499143</xdr:colOff>
      <xdr:row>52</xdr:row>
      <xdr:rowOff>101253</xdr:rowOff>
    </xdr:from>
    <xdr:to>
      <xdr:col>34</xdr:col>
      <xdr:colOff>381001</xdr:colOff>
      <xdr:row>54</xdr:row>
      <xdr:rowOff>161226</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27609674" y="9328597"/>
          <a:ext cx="1953545" cy="39334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34</xdr:col>
      <xdr:colOff>367615</xdr:colOff>
      <xdr:row>55</xdr:row>
      <xdr:rowOff>46606</xdr:rowOff>
    </xdr:from>
    <xdr:to>
      <xdr:col>36</xdr:col>
      <xdr:colOff>400750</xdr:colOff>
      <xdr:row>58</xdr:row>
      <xdr:rowOff>45105</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9549834" y="9774012"/>
          <a:ext cx="1414261" cy="49856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56</xdr:col>
      <xdr:colOff>632194</xdr:colOff>
      <xdr:row>49</xdr:row>
      <xdr:rowOff>73178</xdr:rowOff>
    </xdr:from>
    <xdr:to>
      <xdr:col>62</xdr:col>
      <xdr:colOff>571502</xdr:colOff>
      <xdr:row>65</xdr:row>
      <xdr:rowOff>119063</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45006788" y="8800459"/>
          <a:ext cx="4082682" cy="271288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36</xdr:col>
      <xdr:colOff>400751</xdr:colOff>
      <xdr:row>56</xdr:row>
      <xdr:rowOff>129199</xdr:rowOff>
    </xdr:from>
    <xdr:to>
      <xdr:col>56</xdr:col>
      <xdr:colOff>632194</xdr:colOff>
      <xdr:row>57</xdr:row>
      <xdr:rowOff>96121</xdr:rowOff>
    </xdr:to>
    <xdr:cxnSp macro="">
      <xdr:nvCxnSpPr>
        <xdr:cNvPr id="32" name="直線コネクタ 31">
          <a:extLst>
            <a:ext uri="{FF2B5EF4-FFF2-40B4-BE49-F238E27FC236}">
              <a16:creationId xmlns:a16="http://schemas.microsoft.com/office/drawing/2014/main" id="{00000000-0008-0000-0600-000020000000}"/>
            </a:ext>
          </a:extLst>
        </xdr:cNvPr>
        <xdr:cNvCxnSpPr>
          <a:stCxn id="30" idx="3"/>
          <a:endCxn id="31" idx="1"/>
        </xdr:cNvCxnSpPr>
      </xdr:nvCxnSpPr>
      <xdr:spPr>
        <a:xfrm>
          <a:off x="30964095" y="10023293"/>
          <a:ext cx="14042693" cy="13360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57</xdr:col>
      <xdr:colOff>559397</xdr:colOff>
      <xdr:row>49</xdr:row>
      <xdr:rowOff>106458</xdr:rowOff>
    </xdr:from>
    <xdr:to>
      <xdr:col>59</xdr:col>
      <xdr:colOff>334641</xdr:colOff>
      <xdr:row>50</xdr:row>
      <xdr:rowOff>89930</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45624553" y="8833739"/>
          <a:ext cx="1156368" cy="15015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60</xdr:col>
      <xdr:colOff>440449</xdr:colOff>
      <xdr:row>44</xdr:row>
      <xdr:rowOff>45522</xdr:rowOff>
    </xdr:from>
    <xdr:to>
      <xdr:col>65</xdr:col>
      <xdr:colOff>562913</xdr:colOff>
      <xdr:row>46</xdr:row>
      <xdr:rowOff>98169</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47577293" y="7939366"/>
          <a:ext cx="3575278" cy="386022"/>
        </a:xfrm>
        <a:prstGeom prst="borderCallout1">
          <a:avLst>
            <a:gd name="adj1" fmla="val 57851"/>
            <a:gd name="adj2" fmla="val -673"/>
            <a:gd name="adj3" fmla="val 229586"/>
            <a:gd name="adj4" fmla="val -365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工場検査モード中かどうかは他ドメインより取得する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60</xdr:col>
      <xdr:colOff>452437</xdr:colOff>
      <xdr:row>112</xdr:row>
      <xdr:rowOff>59531</xdr:rowOff>
    </xdr:from>
    <xdr:to>
      <xdr:col>66</xdr:col>
      <xdr:colOff>400190</xdr:colOff>
      <xdr:row>135</xdr:row>
      <xdr:rowOff>35719</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47589281" y="19288125"/>
          <a:ext cx="4091128" cy="3810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33</xdr:col>
      <xdr:colOff>23392</xdr:colOff>
      <xdr:row>119</xdr:row>
      <xdr:rowOff>128028</xdr:rowOff>
    </xdr:from>
    <xdr:to>
      <xdr:col>35</xdr:col>
      <xdr:colOff>202405</xdr:colOff>
      <xdr:row>125</xdr:row>
      <xdr:rowOff>59531</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28515048" y="20523434"/>
          <a:ext cx="1560139" cy="93162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31</xdr:col>
      <xdr:colOff>335358</xdr:colOff>
      <xdr:row>127</xdr:row>
      <xdr:rowOff>130267</xdr:rowOff>
    </xdr:from>
    <xdr:to>
      <xdr:col>33</xdr:col>
      <xdr:colOff>11907</xdr:colOff>
      <xdr:row>134</xdr:row>
      <xdr:rowOff>83344</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7445889" y="21859173"/>
          <a:ext cx="1057674" cy="111988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35</xdr:col>
      <xdr:colOff>202406</xdr:colOff>
      <xdr:row>122</xdr:row>
      <xdr:rowOff>93779</xdr:rowOff>
    </xdr:from>
    <xdr:to>
      <xdr:col>60</xdr:col>
      <xdr:colOff>452439</xdr:colOff>
      <xdr:row>123</xdr:row>
      <xdr:rowOff>130970</xdr:rowOff>
    </xdr:to>
    <xdr:cxnSp macro="">
      <xdr:nvCxnSpPr>
        <xdr:cNvPr id="42" name="直線コネクタ 41">
          <a:extLst>
            <a:ext uri="{FF2B5EF4-FFF2-40B4-BE49-F238E27FC236}">
              <a16:creationId xmlns:a16="http://schemas.microsoft.com/office/drawing/2014/main" id="{00000000-0008-0000-0600-00002A000000}"/>
            </a:ext>
          </a:extLst>
        </xdr:cNvPr>
        <xdr:cNvCxnSpPr>
          <a:stCxn id="39" idx="3"/>
          <a:endCxn id="38" idx="1"/>
        </xdr:cNvCxnSpPr>
      </xdr:nvCxnSpPr>
      <xdr:spPr>
        <a:xfrm>
          <a:off x="30075187" y="20989248"/>
          <a:ext cx="17514094" cy="2038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58</xdr:col>
      <xdr:colOff>95891</xdr:colOff>
      <xdr:row>52</xdr:row>
      <xdr:rowOff>93404</xdr:rowOff>
    </xdr:from>
    <xdr:to>
      <xdr:col>60</xdr:col>
      <xdr:colOff>106459</xdr:colOff>
      <xdr:row>53</xdr:row>
      <xdr:rowOff>92447</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45851610" y="9320748"/>
          <a:ext cx="1391692" cy="1657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63</xdr:col>
      <xdr:colOff>595255</xdr:colOff>
      <xdr:row>50</xdr:row>
      <xdr:rowOff>70332</xdr:rowOff>
    </xdr:from>
    <xdr:to>
      <xdr:col>68</xdr:col>
      <xdr:colOff>646963</xdr:colOff>
      <xdr:row>53</xdr:row>
      <xdr:rowOff>160759</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49803786" y="8964301"/>
          <a:ext cx="3504519" cy="590490"/>
        </a:xfrm>
        <a:prstGeom prst="borderCallout1">
          <a:avLst>
            <a:gd name="adj1" fmla="val 42429"/>
            <a:gd name="adj2" fmla="val -3670"/>
            <a:gd name="adj3" fmla="val 77777"/>
            <a:gd name="adj4" fmla="val -73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7100ms</a:t>
          </a:r>
          <a:r>
            <a:rPr kumimoji="1" lang="ja-JP" altLang="en-US" sz="1200" b="1">
              <a:solidFill>
                <a:schemeClr val="tx1"/>
              </a:solidFill>
              <a:latin typeface="+mn-ea"/>
              <a:ea typeface="+mn-ea"/>
              <a:cs typeface="Meiryo UI" panose="020B0604030504040204" pitchFamily="50" charset="-128"/>
            </a:rPr>
            <a:t>カウントは</a:t>
          </a:r>
          <a:r>
            <a:rPr kumimoji="1" lang="en-US" altLang="ja-JP" sz="1200" b="1">
              <a:solidFill>
                <a:schemeClr val="tx1"/>
              </a:solidFill>
              <a:latin typeface="+mn-ea"/>
              <a:ea typeface="+mn-ea"/>
              <a:cs typeface="Meiryo UI" panose="020B0604030504040204" pitchFamily="50" charset="-128"/>
            </a:rPr>
            <a:t>Vom::Alert</a:t>
          </a:r>
          <a:r>
            <a:rPr kumimoji="1" lang="ja-JP" altLang="en-US" sz="1200" b="1">
              <a:solidFill>
                <a:schemeClr val="tx1"/>
              </a:solidFill>
              <a:latin typeface="+mn-ea"/>
              <a:ea typeface="+mn-ea"/>
              <a:cs typeface="Meiryo UI" panose="020B0604030504040204" pitchFamily="50" charset="-128"/>
            </a:rPr>
            <a:t>にて実施する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58</xdr:col>
      <xdr:colOff>73302</xdr:colOff>
      <xdr:row>205</xdr:row>
      <xdr:rowOff>35109</xdr:rowOff>
    </xdr:from>
    <xdr:to>
      <xdr:col>64</xdr:col>
      <xdr:colOff>348006</xdr:colOff>
      <xdr:row>220</xdr:row>
      <xdr:rowOff>124080</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43009885" y="23381942"/>
          <a:ext cx="4402204" cy="262897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69</xdr:col>
      <xdr:colOff>404905</xdr:colOff>
      <xdr:row>202</xdr:row>
      <xdr:rowOff>118906</xdr:rowOff>
    </xdr:from>
    <xdr:to>
      <xdr:col>76</xdr:col>
      <xdr:colOff>243542</xdr:colOff>
      <xdr:row>210</xdr:row>
      <xdr:rowOff>148167</xdr:rowOff>
    </xdr:to>
    <xdr:sp macro="" textlink="">
      <xdr:nvSpPr>
        <xdr:cNvPr id="50" name="線吹き出し 1 (枠付き) 49">
          <a:extLst>
            <a:ext uri="{FF2B5EF4-FFF2-40B4-BE49-F238E27FC236}">
              <a16:creationId xmlns:a16="http://schemas.microsoft.com/office/drawing/2014/main" id="{00000000-0008-0000-0600-000032000000}"/>
            </a:ext>
          </a:extLst>
        </xdr:cNvPr>
        <xdr:cNvSpPr/>
      </xdr:nvSpPr>
      <xdr:spPr>
        <a:xfrm>
          <a:off x="50908572" y="22957739"/>
          <a:ext cx="4654052" cy="1383927"/>
        </a:xfrm>
        <a:prstGeom prst="borderCallout1">
          <a:avLst>
            <a:gd name="adj1" fmla="val 42429"/>
            <a:gd name="adj2" fmla="val -3670"/>
            <a:gd name="adj3" fmla="val 84027"/>
            <a:gd name="adj4" fmla="val -79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走行可能フラグ状態は、他ドメインにて判定。</a:t>
          </a:r>
          <a:r>
            <a:rPr kumimoji="1" lang="en-US" altLang="ja-JP" sz="1200" b="1">
              <a:solidFill>
                <a:schemeClr val="tx1"/>
              </a:solidFill>
              <a:latin typeface="+mn-ea"/>
              <a:ea typeface="+mn-ea"/>
              <a:cs typeface="Meiryo UI" panose="020B0604030504040204" pitchFamily="50" charset="-128"/>
            </a:rPr>
            <a:t>Vom::Alert</a:t>
          </a:r>
          <a:r>
            <a:rPr kumimoji="1" lang="ja-JP" altLang="en-US" sz="1200" b="1">
              <a:solidFill>
                <a:schemeClr val="tx1"/>
              </a:solidFill>
              <a:latin typeface="+mn-ea"/>
              <a:ea typeface="+mn-ea"/>
              <a:cs typeface="Meiryo UI" panose="020B0604030504040204" pitchFamily="50" charset="-128"/>
            </a:rPr>
            <a:t>としては判定結果を取得する。</a:t>
          </a:r>
        </a:p>
        <a:p>
          <a:pPr algn="l"/>
          <a:r>
            <a:rPr kumimoji="1" lang="en-US" altLang="ja-JP" sz="1200" b="1">
              <a:solidFill>
                <a:schemeClr val="tx1"/>
              </a:solidFill>
              <a:latin typeface="+mn-ea"/>
              <a:ea typeface="+mn-ea"/>
              <a:cs typeface="Meiryo UI" panose="020B0604030504040204" pitchFamily="50" charset="-128"/>
            </a:rPr>
            <a:t>NE1</a:t>
          </a:r>
          <a:r>
            <a:rPr kumimoji="1" lang="ja-JP" altLang="en-US" sz="1200" b="1">
              <a:solidFill>
                <a:schemeClr val="tx1"/>
              </a:solidFill>
              <a:latin typeface="+mn-ea"/>
              <a:ea typeface="+mn-ea"/>
              <a:cs typeface="Meiryo UI" panose="020B0604030504040204" pitchFamily="50" charset="-128"/>
            </a:rPr>
            <a:t>が通信途絶時は走行可能フラグ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として制御するため、</a:t>
          </a:r>
          <a:r>
            <a:rPr kumimoji="1" lang="en-US" altLang="ja-JP" sz="1200" b="1">
              <a:solidFill>
                <a:schemeClr val="tx1"/>
              </a:solidFill>
              <a:latin typeface="+mn-ea"/>
              <a:ea typeface="+mn-ea"/>
              <a:cs typeface="Meiryo UI" panose="020B0604030504040204" pitchFamily="50" charset="-128"/>
            </a:rPr>
            <a:t>VEH_OPEMD_PTS_INV_ON(</a:t>
          </a:r>
          <a:r>
            <a:rPr kumimoji="1" lang="ja-JP" altLang="en-US" sz="1200" b="1">
              <a:solidFill>
                <a:schemeClr val="tx1"/>
              </a:solidFill>
              <a:latin typeface="+mn-ea"/>
              <a:ea typeface="+mn-ea"/>
              <a:cs typeface="Meiryo UI" panose="020B0604030504040204" pitchFamily="50" charset="-128"/>
            </a:rPr>
            <a:t>車速情報が無効値の時走行可能フラグ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で返却する</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の引数で取得する。</a:t>
          </a:r>
          <a:endParaRPr lang="ja-JP" altLang="ja-JP" sz="1200">
            <a:solidFill>
              <a:srgbClr val="FF0000"/>
            </a:solidFill>
            <a:effectLst/>
            <a:latin typeface="+mn-ea"/>
            <a:ea typeface="+mn-ea"/>
          </a:endParaRPr>
        </a:p>
      </xdr:txBody>
    </xdr:sp>
    <xdr:clientData/>
  </xdr:twoCellAnchor>
  <xdr:twoCellAnchor editAs="oneCell">
    <xdr:from>
      <xdr:col>33</xdr:col>
      <xdr:colOff>12607</xdr:colOff>
      <xdr:row>117</xdr:row>
      <xdr:rowOff>59631</xdr:rowOff>
    </xdr:from>
    <xdr:to>
      <xdr:col>35</xdr:col>
      <xdr:colOff>200864</xdr:colOff>
      <xdr:row>119</xdr:row>
      <xdr:rowOff>115959</xdr:rowOff>
    </xdr:to>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28504263" y="20121662"/>
          <a:ext cx="1569383" cy="38970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69</xdr:col>
      <xdr:colOff>419722</xdr:colOff>
      <xdr:row>214</xdr:row>
      <xdr:rowOff>49056</xdr:rowOff>
    </xdr:from>
    <xdr:to>
      <xdr:col>76</xdr:col>
      <xdr:colOff>359835</xdr:colOff>
      <xdr:row>217</xdr:row>
      <xdr:rowOff>158748</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50923389" y="24919889"/>
          <a:ext cx="4755528" cy="617694"/>
        </a:xfrm>
        <a:prstGeom prst="borderCallout1">
          <a:avLst>
            <a:gd name="adj1" fmla="val 42429"/>
            <a:gd name="adj2" fmla="val -3670"/>
            <a:gd name="adj3" fmla="val 21232"/>
            <a:gd name="adj4" fmla="val -79822"/>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CV</a:t>
          </a:r>
          <a:r>
            <a:rPr kumimoji="1" lang="ja-JP" altLang="en-US" sz="1200" b="1" baseline="0">
              <a:solidFill>
                <a:sysClr val="windowText" lastClr="000000"/>
              </a:solidFill>
              <a:effectLst/>
              <a:latin typeface="+mn-ea"/>
              <a:ea typeface="+mn-ea"/>
              <a:cs typeface="+mn-cs"/>
            </a:rPr>
            <a:t> </a:t>
          </a:r>
          <a:r>
            <a:rPr kumimoji="1" lang="ja-JP" altLang="ja-JP" sz="1200" b="1">
              <a:solidFill>
                <a:sysClr val="windowText" lastClr="000000"/>
              </a:solidFill>
              <a:effectLst/>
              <a:latin typeface="+mn-ea"/>
              <a:ea typeface="+mn-ea"/>
              <a:cs typeface="+mn-cs"/>
            </a:rPr>
            <a:t>記載</a:t>
          </a:r>
          <a:r>
            <a:rPr kumimoji="1" lang="ja-JP" altLang="en-US" sz="1200" b="1">
              <a:solidFill>
                <a:sysClr val="windowText" lastClr="000000"/>
              </a:solidFill>
              <a:effectLst/>
              <a:latin typeface="+mn-ea"/>
              <a:ea typeface="+mn-ea"/>
              <a:cs typeface="+mn-cs"/>
            </a:rPr>
            <a:t>（特別処理）</a:t>
          </a:r>
          <a:r>
            <a:rPr kumimoji="1" lang="ja-JP" altLang="ja-JP" sz="1200" b="1">
              <a:solidFill>
                <a:sysClr val="windowText" lastClr="000000"/>
              </a:solidFill>
              <a:effectLst/>
              <a:latin typeface="+mn-ea"/>
              <a:ea typeface="+mn-ea"/>
              <a:cs typeface="+mn-cs"/>
            </a:rPr>
            <a:t>変更だが、英語表記追加のみで処理は変更ないため、影響なし</a:t>
          </a:r>
          <a:endParaRPr lang="ja-JP" altLang="ja-JP" sz="1200">
            <a:solidFill>
              <a:sysClr val="windowText" lastClr="000000"/>
            </a:solidFill>
            <a:effectLst/>
            <a:latin typeface="+mn-ea"/>
            <a:ea typeface="+mn-ea"/>
          </a:endParaRPr>
        </a:p>
      </xdr:txBody>
    </xdr:sp>
    <xdr:clientData/>
  </xdr:twoCellAnchor>
  <xdr:twoCellAnchor editAs="oneCell">
    <xdr:from>
      <xdr:col>23</xdr:col>
      <xdr:colOff>0</xdr:colOff>
      <xdr:row>2</xdr:row>
      <xdr:rowOff>0</xdr:rowOff>
    </xdr:from>
    <xdr:to>
      <xdr:col>39</xdr:col>
      <xdr:colOff>123128</xdr:colOff>
      <xdr:row>19</xdr:row>
      <xdr:rowOff>6284</xdr:rowOff>
    </xdr:to>
    <xdr:pic>
      <xdr:nvPicPr>
        <xdr:cNvPr id="5" name="図 4">
          <a:extLst>
            <a:ext uri="{FF2B5EF4-FFF2-40B4-BE49-F238E27FC236}">
              <a16:creationId xmlns:a16="http://schemas.microsoft.com/office/drawing/2014/main" id="{411E58B3-F6BB-49E7-AC64-DACB2D98B9C8}"/>
            </a:ext>
          </a:extLst>
        </xdr:cNvPr>
        <xdr:cNvPicPr>
          <a:picLocks noChangeAspect="1"/>
        </xdr:cNvPicPr>
      </xdr:nvPicPr>
      <xdr:blipFill>
        <a:blip xmlns:r="http://schemas.openxmlformats.org/officeDocument/2006/relationships" r:embed="rId7"/>
        <a:stretch>
          <a:fillRect/>
        </a:stretch>
      </xdr:blipFill>
      <xdr:spPr>
        <a:xfrm>
          <a:off x="21537706" y="358588"/>
          <a:ext cx="11060068" cy="5887272"/>
        </a:xfrm>
        <a:prstGeom prst="rect">
          <a:avLst/>
        </a:prstGeom>
      </xdr:spPr>
    </xdr:pic>
    <xdr:clientData/>
  </xdr:twoCellAnchor>
  <xdr:twoCellAnchor editAs="oneCell">
    <xdr:from>
      <xdr:col>23</xdr:col>
      <xdr:colOff>0</xdr:colOff>
      <xdr:row>102</xdr:row>
      <xdr:rowOff>0</xdr:rowOff>
    </xdr:from>
    <xdr:to>
      <xdr:col>27</xdr:col>
      <xdr:colOff>391833</xdr:colOff>
      <xdr:row>106</xdr:row>
      <xdr:rowOff>31273</xdr:rowOff>
    </xdr:to>
    <xdr:pic>
      <xdr:nvPicPr>
        <xdr:cNvPr id="10" name="図 9">
          <a:extLst>
            <a:ext uri="{FF2B5EF4-FFF2-40B4-BE49-F238E27FC236}">
              <a16:creationId xmlns:a16="http://schemas.microsoft.com/office/drawing/2014/main" id="{05F06A35-83EE-4F1C-895F-FD2312B11D93}"/>
            </a:ext>
          </a:extLst>
        </xdr:cNvPr>
        <xdr:cNvPicPr>
          <a:picLocks noChangeAspect="1"/>
        </xdr:cNvPicPr>
      </xdr:nvPicPr>
      <xdr:blipFill>
        <a:blip xmlns:r="http://schemas.openxmlformats.org/officeDocument/2006/relationships" r:embed="rId8"/>
        <a:stretch>
          <a:fillRect/>
        </a:stretch>
      </xdr:blipFill>
      <xdr:spPr>
        <a:xfrm>
          <a:off x="21561136" y="18062864"/>
          <a:ext cx="3162741" cy="724001"/>
        </a:xfrm>
        <a:prstGeom prst="rect">
          <a:avLst/>
        </a:prstGeom>
      </xdr:spPr>
    </xdr:pic>
    <xdr:clientData/>
  </xdr:twoCellAnchor>
  <xdr:twoCellAnchor editAs="oneCell">
    <xdr:from>
      <xdr:col>31</xdr:col>
      <xdr:colOff>461044</xdr:colOff>
      <xdr:row>64</xdr:row>
      <xdr:rowOff>3622</xdr:rowOff>
    </xdr:from>
    <xdr:to>
      <xdr:col>34</xdr:col>
      <xdr:colOff>369095</xdr:colOff>
      <xdr:row>68</xdr:row>
      <xdr:rowOff>35718</xdr:rowOff>
    </xdr:to>
    <xdr:sp macro="" textlink="">
      <xdr:nvSpPr>
        <xdr:cNvPr id="72" name="正方形/長方形 71">
          <a:extLst>
            <a:ext uri="{FF2B5EF4-FFF2-40B4-BE49-F238E27FC236}">
              <a16:creationId xmlns:a16="http://schemas.microsoft.com/office/drawing/2014/main" id="{23788927-7C49-4566-A261-961B425D6E5F}"/>
            </a:ext>
          </a:extLst>
        </xdr:cNvPr>
        <xdr:cNvSpPr/>
      </xdr:nvSpPr>
      <xdr:spPr>
        <a:xfrm>
          <a:off x="27571575" y="11231216"/>
          <a:ext cx="1979738" cy="69884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32</xdr:col>
      <xdr:colOff>667207</xdr:colOff>
      <xdr:row>70</xdr:row>
      <xdr:rowOff>37164</xdr:rowOff>
    </xdr:from>
    <xdr:to>
      <xdr:col>36</xdr:col>
      <xdr:colOff>250029</xdr:colOff>
      <xdr:row>74</xdr:row>
      <xdr:rowOff>119062</xdr:rowOff>
    </xdr:to>
    <xdr:sp macro="" textlink="">
      <xdr:nvSpPr>
        <xdr:cNvPr id="73" name="線吹き出し 1 (枠付き) 19">
          <a:extLst>
            <a:ext uri="{FF2B5EF4-FFF2-40B4-BE49-F238E27FC236}">
              <a16:creationId xmlns:a16="http://schemas.microsoft.com/office/drawing/2014/main" id="{7B6DFBFD-6FB9-42A2-AB66-E7BDF11F6EBA}"/>
            </a:ext>
          </a:extLst>
        </xdr:cNvPr>
        <xdr:cNvSpPr/>
      </xdr:nvSpPr>
      <xdr:spPr>
        <a:xfrm>
          <a:off x="28468301" y="12264883"/>
          <a:ext cx="2345073" cy="748648"/>
        </a:xfrm>
        <a:prstGeom prst="borderCallout1">
          <a:avLst>
            <a:gd name="adj1" fmla="val 42429"/>
            <a:gd name="adj2" fmla="val -3670"/>
            <a:gd name="adj3" fmla="val -43071"/>
            <a:gd name="adj4" fmla="val -227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未受信の時に</a:t>
          </a:r>
          <a:r>
            <a:rPr kumimoji="1" lang="en-US" altLang="ja-JP" sz="1200" b="1">
              <a:solidFill>
                <a:schemeClr val="tx1"/>
              </a:solidFill>
              <a:latin typeface="+mn-ea"/>
              <a:ea typeface="+mn-ea"/>
              <a:cs typeface="Meiryo UI" panose="020B0604030504040204" pitchFamily="50" charset="-128"/>
            </a:rPr>
            <a:t>0000h</a:t>
          </a:r>
          <a:r>
            <a:rPr kumimoji="1" lang="ja-JP" altLang="en-US" sz="1200" b="1">
              <a:solidFill>
                <a:schemeClr val="tx1"/>
              </a:solidFill>
              <a:latin typeface="+mn-ea"/>
              <a:ea typeface="+mn-ea"/>
              <a:cs typeface="Meiryo UI" panose="020B0604030504040204" pitchFamily="50" charset="-128"/>
            </a:rPr>
            <a:t>、０ｂと制御</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34</xdr:col>
      <xdr:colOff>399130</xdr:colOff>
      <xdr:row>64</xdr:row>
      <xdr:rowOff>25054</xdr:rowOff>
    </xdr:from>
    <xdr:to>
      <xdr:col>38</xdr:col>
      <xdr:colOff>23811</xdr:colOff>
      <xdr:row>68</xdr:row>
      <xdr:rowOff>11906</xdr:rowOff>
    </xdr:to>
    <xdr:sp macro="" textlink="">
      <xdr:nvSpPr>
        <xdr:cNvPr id="74" name="正方形/長方形 73">
          <a:extLst>
            <a:ext uri="{FF2B5EF4-FFF2-40B4-BE49-F238E27FC236}">
              <a16:creationId xmlns:a16="http://schemas.microsoft.com/office/drawing/2014/main" id="{F49D132E-8E20-4F73-84D6-BE8385501C16}"/>
            </a:ext>
          </a:extLst>
        </xdr:cNvPr>
        <xdr:cNvSpPr/>
      </xdr:nvSpPr>
      <xdr:spPr>
        <a:xfrm>
          <a:off x="29581349" y="11252648"/>
          <a:ext cx="2386931" cy="6536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39</xdr:col>
      <xdr:colOff>260014</xdr:colOff>
      <xdr:row>68</xdr:row>
      <xdr:rowOff>70501</xdr:rowOff>
    </xdr:from>
    <xdr:to>
      <xdr:col>44</xdr:col>
      <xdr:colOff>404812</xdr:colOff>
      <xdr:row>74</xdr:row>
      <xdr:rowOff>107156</xdr:rowOff>
    </xdr:to>
    <xdr:sp macro="" textlink="">
      <xdr:nvSpPr>
        <xdr:cNvPr id="76" name="線吹き出し 1 (枠付き) 19">
          <a:extLst>
            <a:ext uri="{FF2B5EF4-FFF2-40B4-BE49-F238E27FC236}">
              <a16:creationId xmlns:a16="http://schemas.microsoft.com/office/drawing/2014/main" id="{D6DAFE4E-01DD-4BA2-8D18-0E571C545C0B}"/>
            </a:ext>
          </a:extLst>
        </xdr:cNvPr>
        <xdr:cNvSpPr/>
      </xdr:nvSpPr>
      <xdr:spPr>
        <a:xfrm>
          <a:off x="32895045" y="11964845"/>
          <a:ext cx="3597611" cy="1036780"/>
        </a:xfrm>
        <a:prstGeom prst="borderCallout1">
          <a:avLst>
            <a:gd name="adj1" fmla="val 42429"/>
            <a:gd name="adj2" fmla="val -3670"/>
            <a:gd name="adj3" fmla="val -1722"/>
            <a:gd name="adj4" fmla="val -353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通信途絶の時に以下と成業する</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として制御する</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(400rpm</a:t>
          </a:r>
          <a:r>
            <a:rPr kumimoji="1" lang="ja-JP" altLang="en-US" sz="1200" b="1">
              <a:solidFill>
                <a:schemeClr val="tx1"/>
              </a:solidFill>
              <a:latin typeface="+mn-ea"/>
              <a:ea typeface="+mn-ea"/>
              <a:cs typeface="Meiryo UI" panose="020B0604030504040204" pitchFamily="50" charset="-128"/>
            </a:rPr>
            <a:t>を</a:t>
          </a:r>
          <a:r>
            <a:rPr kumimoji="1" lang="en-US" altLang="ja-JP" sz="1200" b="1">
              <a:solidFill>
                <a:schemeClr val="tx1"/>
              </a:solidFill>
              <a:latin typeface="+mn-ea"/>
              <a:ea typeface="+mn-ea"/>
              <a:cs typeface="Meiryo UI" panose="020B0604030504040204" pitchFamily="50" charset="-128"/>
            </a:rPr>
            <a:t>16</a:t>
          </a:r>
          <a:r>
            <a:rPr kumimoji="1" lang="ja-JP" altLang="en-US" sz="1200" b="1">
              <a:solidFill>
                <a:schemeClr val="tx1"/>
              </a:solidFill>
              <a:latin typeface="+mn-ea"/>
              <a:ea typeface="+mn-ea"/>
              <a:cs typeface="Meiryo UI" panose="020B0604030504040204" pitchFamily="50" charset="-128"/>
            </a:rPr>
            <a:t>進数に置き換えた数字　</a:t>
          </a:r>
          <a:r>
            <a:rPr kumimoji="1" lang="en-US" altLang="ja-JP" sz="1200" b="1">
              <a:solidFill>
                <a:schemeClr val="tx1"/>
              </a:solidFill>
              <a:latin typeface="+mn-ea"/>
              <a:ea typeface="+mn-ea"/>
              <a:cs typeface="Meiryo UI" panose="020B0604030504040204" pitchFamily="50" charset="-128"/>
            </a:rPr>
            <a:t>0190h)</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BVWRSW_V</a:t>
          </a:r>
          <a:r>
            <a:rPr kumimoji="1" lang="ja-JP" altLang="en-US" sz="1200" b="1">
              <a:solidFill>
                <a:schemeClr val="tx1"/>
              </a:solidFill>
              <a:latin typeface="+mn-ea"/>
              <a:ea typeface="+mn-ea"/>
              <a:cs typeface="Meiryo UI" panose="020B0604030504040204" pitchFamily="50" charset="-128"/>
            </a:rPr>
            <a:t>と</a:t>
          </a:r>
          <a:r>
            <a:rPr kumimoji="1" lang="en-US" altLang="ja-JP" sz="1200" b="1">
              <a:solidFill>
                <a:schemeClr val="tx1"/>
              </a:solidFill>
              <a:latin typeface="+mn-ea"/>
              <a:ea typeface="+mn-ea"/>
              <a:cs typeface="Meiryo UI" panose="020B0604030504040204" pitchFamily="50" charset="-128"/>
            </a:rPr>
            <a:t>BVWRSW</a:t>
          </a:r>
          <a:r>
            <a:rPr kumimoji="1" lang="ja-JP" altLang="en-US" sz="1200" b="1">
              <a:solidFill>
                <a:schemeClr val="tx1"/>
              </a:solidFill>
              <a:latin typeface="+mn-ea"/>
              <a:ea typeface="+mn-ea"/>
              <a:cs typeface="Meiryo UI" panose="020B0604030504040204" pitchFamily="50" charset="-128"/>
            </a:rPr>
            <a:t>は</a:t>
          </a:r>
          <a:r>
            <a:rPr kumimoji="1" lang="en-US" altLang="ja-JP" sz="1200" b="1">
              <a:solidFill>
                <a:schemeClr val="tx1"/>
              </a:solidFill>
              <a:latin typeface="+mn-ea"/>
              <a:ea typeface="+mn-ea"/>
              <a:cs typeface="Meiryo UI" panose="020B0604030504040204" pitchFamily="50" charset="-128"/>
            </a:rPr>
            <a:t>0b</a:t>
          </a:r>
          <a:r>
            <a:rPr kumimoji="1" lang="ja-JP" altLang="en-US" sz="1200" b="1">
              <a:solidFill>
                <a:schemeClr val="tx1"/>
              </a:solidFill>
              <a:latin typeface="+mn-ea"/>
              <a:ea typeface="+mn-ea"/>
              <a:cs typeface="Meiryo UI" panose="020B0604030504040204" pitchFamily="50" charset="-128"/>
            </a:rPr>
            <a:t>と制御する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57</xdr:col>
      <xdr:colOff>81604</xdr:colOff>
      <xdr:row>56</xdr:row>
      <xdr:rowOff>31490</xdr:rowOff>
    </xdr:from>
    <xdr:to>
      <xdr:col>59</xdr:col>
      <xdr:colOff>11907</xdr:colOff>
      <xdr:row>58</xdr:row>
      <xdr:rowOff>83342</xdr:rowOff>
    </xdr:to>
    <xdr:sp macro="" textlink="">
      <xdr:nvSpPr>
        <xdr:cNvPr id="78" name="正方形/長方形 77">
          <a:extLst>
            <a:ext uri="{FF2B5EF4-FFF2-40B4-BE49-F238E27FC236}">
              <a16:creationId xmlns:a16="http://schemas.microsoft.com/office/drawing/2014/main" id="{B823164C-7BCB-4DAC-94F4-C7ECE901C30E}"/>
            </a:ext>
          </a:extLst>
        </xdr:cNvPr>
        <xdr:cNvSpPr/>
      </xdr:nvSpPr>
      <xdr:spPr>
        <a:xfrm>
          <a:off x="45146760" y="9925584"/>
          <a:ext cx="1311427" cy="3852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61</xdr:col>
      <xdr:colOff>319006</xdr:colOff>
      <xdr:row>56</xdr:row>
      <xdr:rowOff>19329</xdr:rowOff>
    </xdr:from>
    <xdr:to>
      <xdr:col>66</xdr:col>
      <xdr:colOff>441472</xdr:colOff>
      <xdr:row>58</xdr:row>
      <xdr:rowOff>71976</xdr:rowOff>
    </xdr:to>
    <xdr:sp macro="" textlink="">
      <xdr:nvSpPr>
        <xdr:cNvPr id="79" name="線吹き出し 1 (枠付き) 34">
          <a:extLst>
            <a:ext uri="{FF2B5EF4-FFF2-40B4-BE49-F238E27FC236}">
              <a16:creationId xmlns:a16="http://schemas.microsoft.com/office/drawing/2014/main" id="{6CE9B6D1-0501-4ADF-A042-21F3E154953E}"/>
            </a:ext>
          </a:extLst>
        </xdr:cNvPr>
        <xdr:cNvSpPr/>
      </xdr:nvSpPr>
      <xdr:spPr>
        <a:xfrm>
          <a:off x="48146412" y="9913423"/>
          <a:ext cx="3575278" cy="386022"/>
        </a:xfrm>
        <a:prstGeom prst="borderCallout1">
          <a:avLst>
            <a:gd name="adj1" fmla="val 57851"/>
            <a:gd name="adj2" fmla="val -673"/>
            <a:gd name="adj3" fmla="val 32188"/>
            <a:gd name="adj4" fmla="val -471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回転フラグ判定を</a:t>
          </a:r>
          <a:r>
            <a:rPr kumimoji="1" lang="en-US" altLang="ja-JP" sz="1200" b="1">
              <a:solidFill>
                <a:schemeClr val="tx1"/>
              </a:solidFill>
              <a:latin typeface="+mn-ea"/>
              <a:ea typeface="+mn-ea"/>
              <a:cs typeface="Meiryo UI" panose="020B0604030504040204" pitchFamily="50" charset="-128"/>
            </a:rPr>
            <a:t>Alert</a:t>
          </a:r>
          <a:r>
            <a:rPr kumimoji="1" lang="ja-JP" altLang="en-US" sz="1200" b="1">
              <a:solidFill>
                <a:schemeClr val="tx1"/>
              </a:solidFill>
              <a:latin typeface="+mn-ea"/>
              <a:ea typeface="+mn-ea"/>
              <a:cs typeface="Meiryo UI" panose="020B0604030504040204" pitchFamily="50" charset="-128"/>
            </a:rPr>
            <a:t>にて実施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33</xdr:col>
      <xdr:colOff>95251</xdr:colOff>
      <xdr:row>136</xdr:row>
      <xdr:rowOff>107360</xdr:rowOff>
    </xdr:from>
    <xdr:to>
      <xdr:col>36</xdr:col>
      <xdr:colOff>368636</xdr:colOff>
      <xdr:row>141</xdr:row>
      <xdr:rowOff>22572</xdr:rowOff>
    </xdr:to>
    <xdr:sp macro="" textlink="">
      <xdr:nvSpPr>
        <xdr:cNvPr id="87" name="線吹き出し 1 (枠付き) 19">
          <a:extLst>
            <a:ext uri="{FF2B5EF4-FFF2-40B4-BE49-F238E27FC236}">
              <a16:creationId xmlns:a16="http://schemas.microsoft.com/office/drawing/2014/main" id="{C8BE1ABE-1520-46CF-8662-AB6DA0524490}"/>
            </a:ext>
          </a:extLst>
        </xdr:cNvPr>
        <xdr:cNvSpPr/>
      </xdr:nvSpPr>
      <xdr:spPr>
        <a:xfrm>
          <a:off x="28586907" y="23336454"/>
          <a:ext cx="2345073" cy="748648"/>
        </a:xfrm>
        <a:prstGeom prst="borderCallout1">
          <a:avLst>
            <a:gd name="adj1" fmla="val 42429"/>
            <a:gd name="adj2" fmla="val -3670"/>
            <a:gd name="adj3" fmla="val -43071"/>
            <a:gd name="adj4" fmla="val -227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未受信の時に</a:t>
          </a:r>
          <a:r>
            <a:rPr kumimoji="1" lang="en-US" altLang="ja-JP" sz="1200" b="1">
              <a:solidFill>
                <a:schemeClr val="tx1"/>
              </a:solidFill>
              <a:latin typeface="+mn-ea"/>
              <a:ea typeface="+mn-ea"/>
              <a:cs typeface="Meiryo UI" panose="020B0604030504040204" pitchFamily="50" charset="-128"/>
            </a:rPr>
            <a:t>0000h</a:t>
          </a:r>
          <a:r>
            <a:rPr kumimoji="1" lang="ja-JP" altLang="en-US" sz="1200" b="1">
              <a:solidFill>
                <a:schemeClr val="tx1"/>
              </a:solidFill>
              <a:latin typeface="+mn-ea"/>
              <a:ea typeface="+mn-ea"/>
              <a:cs typeface="Meiryo UI" panose="020B0604030504040204" pitchFamily="50" charset="-128"/>
            </a:rPr>
            <a:t>、０ｂと制御</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33</xdr:col>
      <xdr:colOff>65299</xdr:colOff>
      <xdr:row>130</xdr:row>
      <xdr:rowOff>130969</xdr:rowOff>
    </xdr:from>
    <xdr:to>
      <xdr:col>36</xdr:col>
      <xdr:colOff>380542</xdr:colOff>
      <xdr:row>134</xdr:row>
      <xdr:rowOff>117821</xdr:rowOff>
    </xdr:to>
    <xdr:sp macro="" textlink="">
      <xdr:nvSpPr>
        <xdr:cNvPr id="88" name="正方形/長方形 87">
          <a:extLst>
            <a:ext uri="{FF2B5EF4-FFF2-40B4-BE49-F238E27FC236}">
              <a16:creationId xmlns:a16="http://schemas.microsoft.com/office/drawing/2014/main" id="{A73081E0-5E8E-4D2F-BD08-BB9DFE763C4C}"/>
            </a:ext>
          </a:extLst>
        </xdr:cNvPr>
        <xdr:cNvSpPr/>
      </xdr:nvSpPr>
      <xdr:spPr>
        <a:xfrm>
          <a:off x="28556955" y="22359938"/>
          <a:ext cx="2386931" cy="65360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38</xdr:col>
      <xdr:colOff>235744</xdr:colOff>
      <xdr:row>134</xdr:row>
      <xdr:rowOff>128791</xdr:rowOff>
    </xdr:from>
    <xdr:to>
      <xdr:col>43</xdr:col>
      <xdr:colOff>380541</xdr:colOff>
      <xdr:row>140</xdr:row>
      <xdr:rowOff>165446</xdr:rowOff>
    </xdr:to>
    <xdr:sp macro="" textlink="">
      <xdr:nvSpPr>
        <xdr:cNvPr id="89" name="線吹き出し 1 (枠付き) 19">
          <a:extLst>
            <a:ext uri="{FF2B5EF4-FFF2-40B4-BE49-F238E27FC236}">
              <a16:creationId xmlns:a16="http://schemas.microsoft.com/office/drawing/2014/main" id="{BC04993A-00A5-464C-A5C8-3641F2B0DDAC}"/>
            </a:ext>
          </a:extLst>
        </xdr:cNvPr>
        <xdr:cNvSpPr/>
      </xdr:nvSpPr>
      <xdr:spPr>
        <a:xfrm>
          <a:off x="32180213" y="23024510"/>
          <a:ext cx="3597611" cy="1036780"/>
        </a:xfrm>
        <a:prstGeom prst="borderCallout1">
          <a:avLst>
            <a:gd name="adj1" fmla="val 42429"/>
            <a:gd name="adj2" fmla="val -3670"/>
            <a:gd name="adj3" fmla="val -1722"/>
            <a:gd name="adj4" fmla="val -353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通信途絶の時に以下と成業する</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a:t>
          </a:r>
          <a:r>
            <a:rPr kumimoji="1" lang="en-US" altLang="ja-JP" sz="1200" b="1">
              <a:solidFill>
                <a:schemeClr val="tx1"/>
              </a:solidFill>
              <a:latin typeface="+mn-ea"/>
              <a:ea typeface="+mn-ea"/>
              <a:cs typeface="Meiryo UI" panose="020B0604030504040204" pitchFamily="50" charset="-128"/>
            </a:rPr>
            <a:t>ON</a:t>
          </a:r>
          <a:r>
            <a:rPr kumimoji="1" lang="ja-JP" altLang="en-US" sz="1200" b="1">
              <a:solidFill>
                <a:schemeClr val="tx1"/>
              </a:solidFill>
              <a:latin typeface="+mn-ea"/>
              <a:ea typeface="+mn-ea"/>
              <a:cs typeface="Meiryo UI" panose="020B0604030504040204" pitchFamily="50" charset="-128"/>
            </a:rPr>
            <a:t>として制御する</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(400rpm</a:t>
          </a:r>
          <a:r>
            <a:rPr kumimoji="1" lang="ja-JP" altLang="en-US" sz="1200" b="1">
              <a:solidFill>
                <a:schemeClr val="tx1"/>
              </a:solidFill>
              <a:latin typeface="+mn-ea"/>
              <a:ea typeface="+mn-ea"/>
              <a:cs typeface="Meiryo UI" panose="020B0604030504040204" pitchFamily="50" charset="-128"/>
            </a:rPr>
            <a:t>を</a:t>
          </a:r>
          <a:r>
            <a:rPr kumimoji="1" lang="en-US" altLang="ja-JP" sz="1200" b="1">
              <a:solidFill>
                <a:schemeClr val="tx1"/>
              </a:solidFill>
              <a:latin typeface="+mn-ea"/>
              <a:ea typeface="+mn-ea"/>
              <a:cs typeface="Meiryo UI" panose="020B0604030504040204" pitchFamily="50" charset="-128"/>
            </a:rPr>
            <a:t>16</a:t>
          </a:r>
          <a:r>
            <a:rPr kumimoji="1" lang="ja-JP" altLang="en-US" sz="1200" b="1">
              <a:solidFill>
                <a:schemeClr val="tx1"/>
              </a:solidFill>
              <a:latin typeface="+mn-ea"/>
              <a:ea typeface="+mn-ea"/>
              <a:cs typeface="Meiryo UI" panose="020B0604030504040204" pitchFamily="50" charset="-128"/>
            </a:rPr>
            <a:t>進数に置き換えた数字　</a:t>
          </a:r>
          <a:r>
            <a:rPr kumimoji="1" lang="en-US" altLang="ja-JP" sz="1200" b="1">
              <a:solidFill>
                <a:schemeClr val="tx1"/>
              </a:solidFill>
              <a:latin typeface="+mn-ea"/>
              <a:ea typeface="+mn-ea"/>
              <a:cs typeface="Meiryo UI" panose="020B0604030504040204" pitchFamily="50" charset="-128"/>
            </a:rPr>
            <a:t>0190h)</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BVWRSW_V</a:t>
          </a:r>
          <a:r>
            <a:rPr kumimoji="1" lang="ja-JP" altLang="en-US" sz="1200" b="1">
              <a:solidFill>
                <a:schemeClr val="tx1"/>
              </a:solidFill>
              <a:latin typeface="+mn-ea"/>
              <a:ea typeface="+mn-ea"/>
              <a:cs typeface="Meiryo UI" panose="020B0604030504040204" pitchFamily="50" charset="-128"/>
            </a:rPr>
            <a:t>と</a:t>
          </a:r>
          <a:r>
            <a:rPr kumimoji="1" lang="en-US" altLang="ja-JP" sz="1200" b="1">
              <a:solidFill>
                <a:schemeClr val="tx1"/>
              </a:solidFill>
              <a:latin typeface="+mn-ea"/>
              <a:ea typeface="+mn-ea"/>
              <a:cs typeface="Meiryo UI" panose="020B0604030504040204" pitchFamily="50" charset="-128"/>
            </a:rPr>
            <a:t>BVWRSW</a:t>
          </a:r>
          <a:r>
            <a:rPr kumimoji="1" lang="ja-JP" altLang="en-US" sz="1200" b="1">
              <a:solidFill>
                <a:schemeClr val="tx1"/>
              </a:solidFill>
              <a:latin typeface="+mn-ea"/>
              <a:ea typeface="+mn-ea"/>
              <a:cs typeface="Meiryo UI" panose="020B0604030504040204" pitchFamily="50" charset="-128"/>
            </a:rPr>
            <a:t>は</a:t>
          </a:r>
          <a:r>
            <a:rPr kumimoji="1" lang="en-US" altLang="ja-JP" sz="1200" b="1">
              <a:solidFill>
                <a:schemeClr val="tx1"/>
              </a:solidFill>
              <a:latin typeface="+mn-ea"/>
              <a:ea typeface="+mn-ea"/>
              <a:cs typeface="Meiryo UI" panose="020B0604030504040204" pitchFamily="50" charset="-128"/>
            </a:rPr>
            <a:t>0b</a:t>
          </a:r>
          <a:r>
            <a:rPr kumimoji="1" lang="ja-JP" altLang="en-US" sz="1200" b="1">
              <a:solidFill>
                <a:schemeClr val="tx1"/>
              </a:solidFill>
              <a:latin typeface="+mn-ea"/>
              <a:ea typeface="+mn-ea"/>
              <a:cs typeface="Meiryo UI" panose="020B0604030504040204" pitchFamily="50" charset="-128"/>
            </a:rPr>
            <a:t>と制御する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35</xdr:col>
      <xdr:colOff>202406</xdr:colOff>
      <xdr:row>122</xdr:row>
      <xdr:rowOff>93780</xdr:rowOff>
    </xdr:from>
    <xdr:to>
      <xdr:col>60</xdr:col>
      <xdr:colOff>452438</xdr:colOff>
      <xdr:row>123</xdr:row>
      <xdr:rowOff>132293</xdr:rowOff>
    </xdr:to>
    <xdr:cxnSp macro="">
      <xdr:nvCxnSpPr>
        <xdr:cNvPr id="41" name="直線コネクタ 40">
          <a:extLst>
            <a:ext uri="{FF2B5EF4-FFF2-40B4-BE49-F238E27FC236}">
              <a16:creationId xmlns:a16="http://schemas.microsoft.com/office/drawing/2014/main" id="{A57DB8E2-FA57-404C-B105-93EA86A8C679}"/>
            </a:ext>
          </a:extLst>
        </xdr:cNvPr>
        <xdr:cNvCxnSpPr>
          <a:stCxn id="39" idx="3"/>
          <a:endCxn id="38" idx="1"/>
        </xdr:cNvCxnSpPr>
      </xdr:nvCxnSpPr>
      <xdr:spPr>
        <a:xfrm>
          <a:off x="33677489" y="26319280"/>
          <a:ext cx="17447948" cy="20784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61</xdr:col>
      <xdr:colOff>266126</xdr:colOff>
      <xdr:row>113</xdr:row>
      <xdr:rowOff>113853</xdr:rowOff>
    </xdr:from>
    <xdr:to>
      <xdr:col>63</xdr:col>
      <xdr:colOff>41368</xdr:colOff>
      <xdr:row>114</xdr:row>
      <xdr:rowOff>97325</xdr:rowOff>
    </xdr:to>
    <xdr:sp macro="" textlink="">
      <xdr:nvSpPr>
        <xdr:cNvPr id="46" name="正方形/長方形 45">
          <a:extLst>
            <a:ext uri="{FF2B5EF4-FFF2-40B4-BE49-F238E27FC236}">
              <a16:creationId xmlns:a16="http://schemas.microsoft.com/office/drawing/2014/main" id="{CCE0FE24-AD76-4417-B194-096BF0216ACA}"/>
            </a:ext>
          </a:extLst>
        </xdr:cNvPr>
        <xdr:cNvSpPr/>
      </xdr:nvSpPr>
      <xdr:spPr>
        <a:xfrm>
          <a:off x="51627043" y="24815353"/>
          <a:ext cx="1151076" cy="15280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64</xdr:col>
      <xdr:colOff>147178</xdr:colOff>
      <xdr:row>108</xdr:row>
      <xdr:rowOff>52917</xdr:rowOff>
    </xdr:from>
    <xdr:to>
      <xdr:col>69</xdr:col>
      <xdr:colOff>269644</xdr:colOff>
      <xdr:row>110</xdr:row>
      <xdr:rowOff>105565</xdr:rowOff>
    </xdr:to>
    <xdr:sp macro="" textlink="">
      <xdr:nvSpPr>
        <xdr:cNvPr id="48" name="線吹き出し 1 (枠付き) 34">
          <a:extLst>
            <a:ext uri="{FF2B5EF4-FFF2-40B4-BE49-F238E27FC236}">
              <a16:creationId xmlns:a16="http://schemas.microsoft.com/office/drawing/2014/main" id="{441F8441-E399-4C81-93B4-42CCA89F7186}"/>
            </a:ext>
          </a:extLst>
        </xdr:cNvPr>
        <xdr:cNvSpPr/>
      </xdr:nvSpPr>
      <xdr:spPr>
        <a:xfrm>
          <a:off x="53571845" y="23907750"/>
          <a:ext cx="3562048" cy="391314"/>
        </a:xfrm>
        <a:prstGeom prst="borderCallout1">
          <a:avLst>
            <a:gd name="adj1" fmla="val 57851"/>
            <a:gd name="adj2" fmla="val -673"/>
            <a:gd name="adj3" fmla="val 229586"/>
            <a:gd name="adj4" fmla="val -365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n-ea"/>
              <a:ea typeface="+mn-ea"/>
              <a:cs typeface="Meiryo UI" panose="020B0604030504040204" pitchFamily="50" charset="-128"/>
            </a:rPr>
            <a:t>工場検査モード中かどうかは他ドメインより取得する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61</xdr:col>
      <xdr:colOff>448204</xdr:colOff>
      <xdr:row>114</xdr:row>
      <xdr:rowOff>69049</xdr:rowOff>
    </xdr:from>
    <xdr:to>
      <xdr:col>63</xdr:col>
      <xdr:colOff>458770</xdr:colOff>
      <xdr:row>115</xdr:row>
      <xdr:rowOff>68089</xdr:rowOff>
    </xdr:to>
    <xdr:sp macro="" textlink="">
      <xdr:nvSpPr>
        <xdr:cNvPr id="49" name="正方形/長方形 48">
          <a:extLst>
            <a:ext uri="{FF2B5EF4-FFF2-40B4-BE49-F238E27FC236}">
              <a16:creationId xmlns:a16="http://schemas.microsoft.com/office/drawing/2014/main" id="{214DA915-E0AD-4182-BADC-B932BC44E918}"/>
            </a:ext>
          </a:extLst>
        </xdr:cNvPr>
        <xdr:cNvSpPr/>
      </xdr:nvSpPr>
      <xdr:spPr>
        <a:xfrm>
          <a:off x="51809121" y="24939882"/>
          <a:ext cx="1386400" cy="1683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67</xdr:col>
      <xdr:colOff>312567</xdr:colOff>
      <xdr:row>112</xdr:row>
      <xdr:rowOff>45976</xdr:rowOff>
    </xdr:from>
    <xdr:to>
      <xdr:col>72</xdr:col>
      <xdr:colOff>364273</xdr:colOff>
      <xdr:row>115</xdr:row>
      <xdr:rowOff>136402</xdr:rowOff>
    </xdr:to>
    <xdr:sp macro="" textlink="">
      <xdr:nvSpPr>
        <xdr:cNvPr id="52" name="線吹き出し 1 (枠付き) 44">
          <a:extLst>
            <a:ext uri="{FF2B5EF4-FFF2-40B4-BE49-F238E27FC236}">
              <a16:creationId xmlns:a16="http://schemas.microsoft.com/office/drawing/2014/main" id="{CE02D458-13A0-4322-ABF6-BB82ADF0CF96}"/>
            </a:ext>
          </a:extLst>
        </xdr:cNvPr>
        <xdr:cNvSpPr/>
      </xdr:nvSpPr>
      <xdr:spPr>
        <a:xfrm>
          <a:off x="55800984" y="24578143"/>
          <a:ext cx="3491290" cy="598427"/>
        </a:xfrm>
        <a:prstGeom prst="borderCallout1">
          <a:avLst>
            <a:gd name="adj1" fmla="val 42429"/>
            <a:gd name="adj2" fmla="val -3670"/>
            <a:gd name="adj3" fmla="val 77777"/>
            <a:gd name="adj4" fmla="val -73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7100ms</a:t>
          </a:r>
          <a:r>
            <a:rPr kumimoji="1" lang="ja-JP" altLang="en-US" sz="1200" b="1">
              <a:solidFill>
                <a:schemeClr val="tx1"/>
              </a:solidFill>
              <a:latin typeface="+mn-ea"/>
              <a:ea typeface="+mn-ea"/>
              <a:cs typeface="Meiryo UI" panose="020B0604030504040204" pitchFamily="50" charset="-128"/>
            </a:rPr>
            <a:t>カウントは</a:t>
          </a:r>
          <a:r>
            <a:rPr kumimoji="1" lang="en-US" altLang="ja-JP" sz="1200" b="1">
              <a:solidFill>
                <a:schemeClr val="tx1"/>
              </a:solidFill>
              <a:latin typeface="+mn-ea"/>
              <a:ea typeface="+mn-ea"/>
              <a:cs typeface="Meiryo UI" panose="020B0604030504040204" pitchFamily="50" charset="-128"/>
            </a:rPr>
            <a:t>Vom::Alert</a:t>
          </a:r>
          <a:r>
            <a:rPr kumimoji="1" lang="ja-JP" altLang="en-US" sz="1200" b="1">
              <a:solidFill>
                <a:schemeClr val="tx1"/>
              </a:solidFill>
              <a:latin typeface="+mn-ea"/>
              <a:ea typeface="+mn-ea"/>
              <a:cs typeface="Meiryo UI" panose="020B0604030504040204" pitchFamily="50" charset="-128"/>
            </a:rPr>
            <a:t>にて実施する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61</xdr:col>
      <xdr:colOff>74083</xdr:colOff>
      <xdr:row>117</xdr:row>
      <xdr:rowOff>28302</xdr:rowOff>
    </xdr:from>
    <xdr:to>
      <xdr:col>62</xdr:col>
      <xdr:colOff>412750</xdr:colOff>
      <xdr:row>119</xdr:row>
      <xdr:rowOff>80154</xdr:rowOff>
    </xdr:to>
    <xdr:sp macro="" textlink="">
      <xdr:nvSpPr>
        <xdr:cNvPr id="53" name="正方形/長方形 52">
          <a:extLst>
            <a:ext uri="{FF2B5EF4-FFF2-40B4-BE49-F238E27FC236}">
              <a16:creationId xmlns:a16="http://schemas.microsoft.com/office/drawing/2014/main" id="{C2651C17-F5B9-48CD-8E65-0B93F66832B7}"/>
            </a:ext>
          </a:extLst>
        </xdr:cNvPr>
        <xdr:cNvSpPr/>
      </xdr:nvSpPr>
      <xdr:spPr>
        <a:xfrm>
          <a:off x="51435000" y="25407135"/>
          <a:ext cx="1026583" cy="39051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n-ea"/>
            <a:ea typeface="+mn-ea"/>
          </a:endParaRPr>
        </a:p>
      </xdr:txBody>
    </xdr:sp>
    <xdr:clientData/>
  </xdr:twoCellAnchor>
  <xdr:twoCellAnchor editAs="oneCell">
    <xdr:from>
      <xdr:col>65</xdr:col>
      <xdr:colOff>25735</xdr:colOff>
      <xdr:row>118</xdr:row>
      <xdr:rowOff>111390</xdr:rowOff>
    </xdr:from>
    <xdr:to>
      <xdr:col>70</xdr:col>
      <xdr:colOff>148200</xdr:colOff>
      <xdr:row>120</xdr:row>
      <xdr:rowOff>164038</xdr:rowOff>
    </xdr:to>
    <xdr:sp macro="" textlink="">
      <xdr:nvSpPr>
        <xdr:cNvPr id="54" name="線吹き出し 1 (枠付き) 34">
          <a:extLst>
            <a:ext uri="{FF2B5EF4-FFF2-40B4-BE49-F238E27FC236}">
              <a16:creationId xmlns:a16="http://schemas.microsoft.com/office/drawing/2014/main" id="{21FCC3E2-6651-4A11-82F4-24C6AD08F05C}"/>
            </a:ext>
          </a:extLst>
        </xdr:cNvPr>
        <xdr:cNvSpPr/>
      </xdr:nvSpPr>
      <xdr:spPr>
        <a:xfrm>
          <a:off x="54138318" y="25659557"/>
          <a:ext cx="3562049" cy="391314"/>
        </a:xfrm>
        <a:prstGeom prst="borderCallout1">
          <a:avLst>
            <a:gd name="adj1" fmla="val 57851"/>
            <a:gd name="adj2" fmla="val -673"/>
            <a:gd name="adj3" fmla="val -8380"/>
            <a:gd name="adj4" fmla="val -459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回転フラグ判定を</a:t>
          </a:r>
          <a:r>
            <a:rPr kumimoji="1" lang="en-US" altLang="ja-JP" sz="1200" b="1">
              <a:solidFill>
                <a:schemeClr val="tx1"/>
              </a:solidFill>
              <a:latin typeface="+mn-ea"/>
              <a:ea typeface="+mn-ea"/>
              <a:cs typeface="Meiryo UI" panose="020B0604030504040204" pitchFamily="50" charset="-128"/>
            </a:rPr>
            <a:t>Alert</a:t>
          </a:r>
          <a:r>
            <a:rPr kumimoji="1" lang="ja-JP" altLang="en-US" sz="1200" b="1">
              <a:solidFill>
                <a:schemeClr val="tx1"/>
              </a:solidFill>
              <a:latin typeface="+mn-ea"/>
              <a:ea typeface="+mn-ea"/>
              <a:cs typeface="Meiryo UI" panose="020B0604030504040204" pitchFamily="50" charset="-128"/>
            </a:rPr>
            <a:t>にて実施</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12</xdr:col>
      <xdr:colOff>1211033</xdr:colOff>
      <xdr:row>35</xdr:row>
      <xdr:rowOff>54429</xdr:rowOff>
    </xdr:from>
    <xdr:to>
      <xdr:col>14</xdr:col>
      <xdr:colOff>1170212</xdr:colOff>
      <xdr:row>39</xdr:row>
      <xdr:rowOff>68037</xdr:rowOff>
    </xdr:to>
    <xdr:sp macro="" textlink="">
      <xdr:nvSpPr>
        <xdr:cNvPr id="4" name="吹き出し: 線 3">
          <a:extLst>
            <a:ext uri="{FF2B5EF4-FFF2-40B4-BE49-F238E27FC236}">
              <a16:creationId xmlns:a16="http://schemas.microsoft.com/office/drawing/2014/main" id="{B31D1937-15C5-49D6-A2A6-CE193E440330}"/>
            </a:ext>
          </a:extLst>
        </xdr:cNvPr>
        <xdr:cNvSpPr/>
      </xdr:nvSpPr>
      <xdr:spPr>
        <a:xfrm>
          <a:off x="10980962" y="9198429"/>
          <a:ext cx="2544536" cy="721179"/>
        </a:xfrm>
        <a:prstGeom prst="borderCallout1">
          <a:avLst>
            <a:gd name="adj1" fmla="val 50825"/>
            <a:gd name="adj2" fmla="val 223"/>
            <a:gd name="adj3" fmla="val -55425"/>
            <a:gd name="adj4" fmla="val -201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en-US" altLang="ja-JP" sz="1200" b="1">
              <a:solidFill>
                <a:schemeClr val="tx1"/>
              </a:solidFill>
              <a:latin typeface="+mn-ea"/>
              <a:ea typeface="+mn-ea"/>
              <a:cs typeface="Meiryo UI" panose="020B0604030504040204" pitchFamily="50" charset="-128"/>
            </a:rPr>
            <a:t>ENG1G02</a:t>
          </a:r>
          <a:r>
            <a:rPr kumimoji="1" lang="ja-JP" altLang="en-US" sz="1200" b="1">
              <a:solidFill>
                <a:schemeClr val="tx1"/>
              </a:solidFill>
              <a:latin typeface="+mn-ea"/>
              <a:ea typeface="+mn-ea"/>
              <a:cs typeface="Meiryo UI" panose="020B0604030504040204" pitchFamily="50" charset="-128"/>
            </a:rPr>
            <a:t>のフレーム状態は</a:t>
          </a:r>
          <a:r>
            <a:rPr kumimoji="1" lang="en-US" altLang="ja-JP" sz="1200" b="1">
              <a:solidFill>
                <a:schemeClr val="tx1"/>
              </a:solidFill>
              <a:latin typeface="+mn-ea"/>
              <a:ea typeface="+mn-ea"/>
              <a:cs typeface="Meiryo UI" panose="020B0604030504040204" pitchFamily="50" charset="-128"/>
            </a:rPr>
            <a:t>E/G</a:t>
          </a:r>
          <a:r>
            <a:rPr kumimoji="1" lang="ja-JP" altLang="en-US" sz="1200" b="1">
              <a:solidFill>
                <a:schemeClr val="tx1"/>
              </a:solidFill>
              <a:latin typeface="+mn-ea"/>
              <a:ea typeface="+mn-ea"/>
              <a:cs typeface="Meiryo UI" panose="020B0604030504040204" pitchFamily="50" charset="-128"/>
            </a:rPr>
            <a:t>回転フラグの取得処理に含む</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32" t="s">
        <v>14</v>
      </c>
      <c r="J2" s="232"/>
      <c r="K2" s="232"/>
      <c r="L2" s="232"/>
      <c r="M2" s="232"/>
      <c r="N2" s="232"/>
      <c r="O2" s="232"/>
      <c r="P2" s="232"/>
      <c r="Q2" s="232"/>
      <c r="R2" s="232"/>
    </row>
    <row r="3" spans="2:18" ht="25.5" customHeight="1">
      <c r="C3" s="7"/>
      <c r="D3" s="11" t="str">
        <f ca="1">REPLACE(LEFT(CELL("filename",$B$1),FIND(".xls",CELL("filename",$B$1))-1),1,FIND("[",CELL("filename",$B$1)),)</f>
        <v>alert_C_BRK-CSTD-A0-02-A-C0</v>
      </c>
      <c r="E3" s="7"/>
      <c r="F3" s="7"/>
      <c r="H3" s="9" t="s">
        <v>183</v>
      </c>
      <c r="I3" s="233" t="s">
        <v>182</v>
      </c>
      <c r="J3" s="234"/>
      <c r="K3" s="234"/>
      <c r="L3" s="234"/>
      <c r="M3" s="234"/>
      <c r="N3" s="234"/>
      <c r="O3" s="234"/>
      <c r="P3" s="234"/>
      <c r="Q3" s="234"/>
      <c r="R3" s="234"/>
    </row>
    <row r="4" spans="2:18" ht="25.5" customHeight="1">
      <c r="C4" s="7"/>
      <c r="D4" s="7"/>
      <c r="E4" s="25" t="str">
        <f>DGET(B8:C14,"Ver.",H4:H5)</f>
        <v>1.0.0</v>
      </c>
      <c r="F4" s="7"/>
      <c r="H4" s="10" t="s">
        <v>15</v>
      </c>
    </row>
    <row r="5" spans="2:18" ht="25.5" customHeight="1">
      <c r="C5" s="7"/>
      <c r="D5" s="7"/>
      <c r="E5" s="7"/>
      <c r="F5" s="7"/>
      <c r="H5" s="12">
        <f>MAX(B9:B14)</f>
        <v>1</v>
      </c>
    </row>
    <row r="6" spans="2:18" ht="14.25" thickBot="1"/>
    <row r="7" spans="2:18">
      <c r="C7" s="226" t="s">
        <v>0</v>
      </c>
      <c r="D7" s="227"/>
      <c r="E7" s="228" t="s">
        <v>2</v>
      </c>
      <c r="F7" s="228"/>
      <c r="G7" s="229" t="s">
        <v>5</v>
      </c>
      <c r="H7" s="229"/>
      <c r="I7" s="229"/>
      <c r="J7" s="229"/>
      <c r="K7" s="229"/>
      <c r="L7" s="229"/>
      <c r="M7" s="230" t="s">
        <v>12</v>
      </c>
      <c r="N7" s="230"/>
      <c r="O7" s="230"/>
      <c r="P7" s="230"/>
      <c r="Q7" s="230"/>
      <c r="R7" s="231"/>
    </row>
    <row r="8" spans="2:18" ht="27.75" thickBot="1">
      <c r="B8" s="10" t="s">
        <v>91</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22.25" thickTop="1">
      <c r="B9" s="10">
        <f>IF(C9=0,0,ROW()-ROW($B$8))</f>
        <v>1</v>
      </c>
      <c r="C9" s="13" t="s">
        <v>214</v>
      </c>
      <c r="D9" s="193" t="s">
        <v>290</v>
      </c>
      <c r="E9" s="14" t="s">
        <v>210</v>
      </c>
      <c r="F9" s="14" t="s">
        <v>215</v>
      </c>
      <c r="G9" s="216" t="s">
        <v>210</v>
      </c>
      <c r="H9" s="216" t="s">
        <v>210</v>
      </c>
      <c r="I9" s="216" t="s">
        <v>210</v>
      </c>
      <c r="J9" s="216" t="s">
        <v>210</v>
      </c>
      <c r="K9" s="216" t="s">
        <v>210</v>
      </c>
      <c r="L9" s="218" t="s">
        <v>210</v>
      </c>
      <c r="M9" s="218" t="s">
        <v>210</v>
      </c>
      <c r="N9" s="218" t="s">
        <v>210</v>
      </c>
      <c r="O9" s="218" t="s">
        <v>210</v>
      </c>
      <c r="P9" s="218" t="s">
        <v>210</v>
      </c>
      <c r="Q9" s="218" t="s">
        <v>210</v>
      </c>
      <c r="R9" s="218" t="s">
        <v>210</v>
      </c>
    </row>
    <row r="10" spans="2:18">
      <c r="B10" s="10">
        <f t="shared" ref="B10:B13" si="0">IF(C10=0,0,ROW()-ROW($B$8))</f>
        <v>0</v>
      </c>
      <c r="C10" s="2"/>
      <c r="D10" s="201"/>
      <c r="E10" s="14"/>
      <c r="F10" s="14"/>
      <c r="G10" s="217"/>
      <c r="H10" s="217"/>
      <c r="I10" s="217"/>
      <c r="J10" s="217"/>
      <c r="K10" s="217"/>
      <c r="L10" s="218"/>
      <c r="M10" s="1"/>
      <c r="N10" s="1"/>
      <c r="O10" s="1"/>
      <c r="P10" s="1"/>
      <c r="Q10" s="1"/>
      <c r="R10" s="215"/>
    </row>
    <row r="11" spans="2:18">
      <c r="B11" s="10">
        <f t="shared" si="0"/>
        <v>0</v>
      </c>
      <c r="C11" s="2"/>
      <c r="D11" s="201"/>
      <c r="E11" s="218"/>
      <c r="F11" s="218"/>
      <c r="G11" s="218"/>
      <c r="H11" s="218"/>
      <c r="I11" s="218"/>
      <c r="J11" s="218"/>
      <c r="K11" s="218"/>
      <c r="L11" s="218"/>
      <c r="M11" s="1"/>
      <c r="N11" s="1"/>
      <c r="O11" s="1"/>
      <c r="P11" s="1"/>
      <c r="Q11" s="1"/>
      <c r="R11" s="215"/>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9" t="s">
        <v>133</v>
      </c>
    </row>
    <row r="3" spans="2:5">
      <c r="C3" t="s">
        <v>143</v>
      </c>
    </row>
    <row r="6" spans="2:5" ht="14.25" thickBot="1">
      <c r="B6" s="149" t="s">
        <v>134</v>
      </c>
      <c r="C6" s="149"/>
    </row>
    <row r="7" spans="2:5" ht="14.25" thickBot="1">
      <c r="C7" s="74" t="s">
        <v>136</v>
      </c>
      <c r="D7" s="82"/>
      <c r="E7" s="75" t="s">
        <v>144</v>
      </c>
    </row>
    <row r="8" spans="2:5" ht="20.25" customHeight="1" thickTop="1">
      <c r="C8" s="153">
        <v>0</v>
      </c>
      <c r="D8" s="83" t="s">
        <v>145</v>
      </c>
      <c r="E8" s="152" t="s">
        <v>243</v>
      </c>
    </row>
    <row r="9" spans="2:5">
      <c r="C9" s="159"/>
      <c r="D9" s="161"/>
      <c r="E9" s="160"/>
    </row>
    <row r="10" spans="2:5" ht="14.25" thickBot="1">
      <c r="C10" s="157"/>
      <c r="D10" s="85"/>
      <c r="E10" s="6"/>
    </row>
    <row r="11" spans="2:5">
      <c r="C11" s="155"/>
    </row>
    <row r="12" spans="2:5" ht="14.25" thickBot="1">
      <c r="B12" s="150" t="s">
        <v>135</v>
      </c>
      <c r="C12" s="81"/>
      <c r="D12" s="81"/>
    </row>
    <row r="13" spans="2:5" ht="14.25" thickBot="1">
      <c r="B13" s="151"/>
      <c r="C13" s="156" t="s">
        <v>136</v>
      </c>
      <c r="D13" s="82" t="s">
        <v>137</v>
      </c>
      <c r="E13" s="75" t="s">
        <v>138</v>
      </c>
    </row>
    <row r="14" spans="2:5" ht="14.25" thickTop="1">
      <c r="C14" s="153">
        <v>0</v>
      </c>
      <c r="D14" s="83" t="s">
        <v>150</v>
      </c>
      <c r="E14" s="158" t="s">
        <v>151</v>
      </c>
    </row>
    <row r="15" spans="2:5">
      <c r="C15" s="154">
        <v>1</v>
      </c>
      <c r="D15" s="84" t="s">
        <v>22</v>
      </c>
      <c r="E15" s="72" t="s">
        <v>139</v>
      </c>
    </row>
    <row r="16" spans="2:5">
      <c r="C16" s="154">
        <v>2</v>
      </c>
      <c r="D16" s="84" t="s">
        <v>23</v>
      </c>
      <c r="E16" s="72" t="s">
        <v>140</v>
      </c>
    </row>
    <row r="17" spans="2:5">
      <c r="C17" s="154">
        <v>3</v>
      </c>
      <c r="D17" s="84" t="s">
        <v>24</v>
      </c>
      <c r="E17" s="72" t="s">
        <v>141</v>
      </c>
    </row>
    <row r="18" spans="2:5">
      <c r="C18" s="154">
        <v>4</v>
      </c>
      <c r="D18" s="84" t="s">
        <v>25</v>
      </c>
      <c r="E18" s="72" t="s">
        <v>142</v>
      </c>
    </row>
    <row r="19" spans="2:5">
      <c r="C19" s="154">
        <v>5</v>
      </c>
      <c r="D19" s="84" t="s">
        <v>152</v>
      </c>
      <c r="E19" s="72" t="s">
        <v>154</v>
      </c>
    </row>
    <row r="20" spans="2:5">
      <c r="C20" s="154">
        <v>6</v>
      </c>
      <c r="D20" s="84" t="s">
        <v>158</v>
      </c>
      <c r="E20" s="72" t="s">
        <v>177</v>
      </c>
    </row>
    <row r="21" spans="2:5" ht="14.25" thickBot="1">
      <c r="C21" s="157"/>
      <c r="D21" s="85"/>
      <c r="E21" s="6"/>
    </row>
    <row r="24" spans="2:5" ht="14.25" thickBot="1">
      <c r="B24" s="149" t="s">
        <v>146</v>
      </c>
    </row>
    <row r="25" spans="2:5" ht="14.25" thickBot="1">
      <c r="C25" s="156" t="s">
        <v>136</v>
      </c>
      <c r="D25" s="82" t="s">
        <v>137</v>
      </c>
      <c r="E25" s="75" t="s">
        <v>138</v>
      </c>
    </row>
    <row r="26" spans="2:5" ht="30.75" customHeight="1" thickTop="1">
      <c r="C26" s="153">
        <v>0</v>
      </c>
      <c r="D26" s="83" t="s">
        <v>147</v>
      </c>
      <c r="E26" s="158" t="s">
        <v>155</v>
      </c>
    </row>
    <row r="27" spans="2:5" ht="120" customHeight="1">
      <c r="C27" s="154">
        <v>1</v>
      </c>
      <c r="D27" s="84" t="s">
        <v>179</v>
      </c>
      <c r="E27" s="86" t="s">
        <v>181</v>
      </c>
    </row>
    <row r="28" spans="2:5" ht="81" customHeight="1">
      <c r="C28" s="154">
        <v>2</v>
      </c>
      <c r="D28" s="84" t="s">
        <v>176</v>
      </c>
      <c r="E28" s="86" t="s">
        <v>187</v>
      </c>
    </row>
    <row r="29" spans="2:5" ht="45" customHeight="1">
      <c r="C29" s="154">
        <v>3</v>
      </c>
      <c r="D29" s="84" t="s">
        <v>153</v>
      </c>
      <c r="E29" s="86" t="s">
        <v>156</v>
      </c>
    </row>
    <row r="30" spans="2:5" ht="16.5" customHeight="1">
      <c r="C30" s="154">
        <v>4</v>
      </c>
      <c r="D30" s="84" t="s">
        <v>148</v>
      </c>
      <c r="E30" s="72" t="s">
        <v>161</v>
      </c>
    </row>
    <row r="31" spans="2:5" ht="16.5" customHeight="1">
      <c r="C31" s="154">
        <v>5</v>
      </c>
      <c r="D31" s="84" t="s">
        <v>149</v>
      </c>
      <c r="E31" s="72" t="s">
        <v>157</v>
      </c>
    </row>
    <row r="32" spans="2:5">
      <c r="C32" s="154"/>
      <c r="D32" s="84"/>
      <c r="E32" s="72"/>
    </row>
    <row r="33" spans="2:5">
      <c r="C33" s="154"/>
      <c r="D33" s="84"/>
      <c r="E33" s="72"/>
    </row>
    <row r="34" spans="2:5" ht="14.25" thickBot="1">
      <c r="C34" s="157"/>
      <c r="D34" s="85"/>
      <c r="E34" s="6"/>
    </row>
    <row r="37" spans="2:5" ht="14.25" thickBot="1">
      <c r="B37" s="149" t="s">
        <v>173</v>
      </c>
    </row>
    <row r="38" spans="2:5">
      <c r="C38" s="235"/>
      <c r="D38" s="236"/>
      <c r="E38" s="110" t="s">
        <v>122</v>
      </c>
    </row>
    <row r="39" spans="2:5" ht="14.25" thickBot="1">
      <c r="C39" s="237"/>
      <c r="D39" s="238"/>
      <c r="E39" s="6" t="s">
        <v>123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4" t="s">
        <v>18</v>
      </c>
      <c r="C2" s="265"/>
      <c r="D2" s="252" t="s">
        <v>244</v>
      </c>
      <c r="E2" s="253"/>
      <c r="F2" s="253"/>
      <c r="G2" s="253"/>
      <c r="H2" s="254"/>
    </row>
    <row r="3" spans="2:14">
      <c r="B3" s="239" t="s">
        <v>119</v>
      </c>
      <c r="C3" s="240"/>
      <c r="D3" s="255" t="s">
        <v>245</v>
      </c>
      <c r="E3" s="256"/>
      <c r="F3" s="256"/>
      <c r="G3" s="256"/>
      <c r="H3" s="257"/>
    </row>
    <row r="4" spans="2:14" ht="14.25" thickBot="1">
      <c r="B4" s="250" t="s">
        <v>17</v>
      </c>
      <c r="C4" s="251"/>
      <c r="D4" s="258" t="str">
        <f ca="1">表紙!D3&amp;".c"</f>
        <v>alert_C_BRK-CSTD-A0-02-A-C0.c</v>
      </c>
      <c r="E4" s="259"/>
      <c r="F4" s="259"/>
      <c r="G4" s="259"/>
      <c r="H4" s="26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4" t="s">
        <v>34</v>
      </c>
      <c r="C6" s="265"/>
      <c r="D6" s="261" t="s">
        <v>226</v>
      </c>
      <c r="E6" s="262"/>
      <c r="F6" s="262"/>
      <c r="G6" s="262"/>
      <c r="H6" s="263"/>
    </row>
    <row r="7" spans="2:14">
      <c r="B7" s="239" t="s">
        <v>35</v>
      </c>
      <c r="C7" s="240"/>
      <c r="D7" s="241">
        <f>COUNTA($D$13:$D$37)</f>
        <v>1</v>
      </c>
      <c r="E7" s="242"/>
      <c r="F7" s="242"/>
      <c r="G7" s="242"/>
      <c r="H7" s="243"/>
    </row>
    <row r="8" spans="2:14">
      <c r="B8" s="239" t="s">
        <v>95</v>
      </c>
      <c r="C8" s="240"/>
      <c r="D8" s="241" t="str">
        <f>"st_gp_ALERT_"&amp;UPPER(D6)&amp;"_MTRX"</f>
        <v>st_gp_ALERT_C_BRK_0_MTRX</v>
      </c>
      <c r="E8" s="242"/>
      <c r="F8" s="242"/>
      <c r="G8" s="242"/>
      <c r="H8" s="243"/>
    </row>
    <row r="9" spans="2:14">
      <c r="B9" s="239" t="s">
        <v>36</v>
      </c>
      <c r="C9" s="240"/>
      <c r="D9" s="244" t="s">
        <v>218</v>
      </c>
      <c r="E9" s="245"/>
      <c r="F9" s="245"/>
      <c r="G9" s="245"/>
      <c r="H9" s="246"/>
    </row>
    <row r="10" spans="2:14" ht="14.25" thickBot="1">
      <c r="B10" s="250" t="s">
        <v>42</v>
      </c>
      <c r="C10" s="251"/>
      <c r="D10" s="247" t="s">
        <v>212</v>
      </c>
      <c r="E10" s="248"/>
      <c r="F10" s="248"/>
      <c r="G10" s="248"/>
      <c r="H10" s="249"/>
    </row>
    <row r="11" spans="2:14" ht="14.25" thickBot="1"/>
    <row r="12" spans="2:14" ht="14.25" thickBot="1">
      <c r="B12" s="140" t="s">
        <v>32</v>
      </c>
      <c r="C12" s="100" t="s">
        <v>41</v>
      </c>
      <c r="D12" s="101" t="s">
        <v>33</v>
      </c>
      <c r="E12" s="101" t="s">
        <v>37</v>
      </c>
      <c r="F12" s="101" t="s">
        <v>38</v>
      </c>
      <c r="G12" s="101" t="s">
        <v>39</v>
      </c>
      <c r="H12" s="102" t="s">
        <v>40</v>
      </c>
      <c r="I12" s="145" t="s">
        <v>49</v>
      </c>
      <c r="K12" s="44" t="s">
        <v>43</v>
      </c>
      <c r="L12" s="44" t="s">
        <v>36</v>
      </c>
      <c r="M12" t="s">
        <v>86</v>
      </c>
    </row>
    <row r="13" spans="2:14" ht="14.25" thickTop="1">
      <c r="B13" s="103">
        <v>1</v>
      </c>
      <c r="C13" s="108" t="s">
        <v>219</v>
      </c>
      <c r="D13" s="109" t="s">
        <v>46</v>
      </c>
      <c r="E13" s="109" t="s">
        <v>252</v>
      </c>
      <c r="F13" s="50" t="str">
        <f t="shared" ref="F13:F37" si="0">IF($D13&lt;&gt;"","u4_s_Alert"&amp;UPPER(LEFT($D$6,1))&amp;LOWER(MID($D$6,2,100))&amp;IF($D$7=1,"",N13)&amp;"Srcchk","")</f>
        <v>u4_s_AlertC_brk_0Srcchk</v>
      </c>
      <c r="G13" s="50" t="str">
        <f t="shared" ref="G13:G37" si="1">IF($D13&lt;&gt;"",IF($E13="○","vd_s_Alert"&amp;UPPER(LEFT($D$6,1))&amp;LOWER(MID($D$6,2,100))&amp;IF($D$7=1,"",N13)&amp;"RwTx","NULL"),"")</f>
        <v>NULL</v>
      </c>
      <c r="H13" s="107" t="str">
        <f>IF($D13&lt;&gt;"","ALERT_CH_"&amp;UPPER($D$6)&amp;IF($D$7=1,"","_"&amp;UPPER($C13)),"")</f>
        <v>ALERT_CH_C_BRK_0</v>
      </c>
      <c r="I13" s="146" t="str">
        <f>IF($D13&lt;&gt;"","ALERT_REQ_"&amp;UPPER($D$6)&amp;IF($D$7=1,"","_"&amp;UPPER($C13)),"")</f>
        <v>ALERT_REQ_C_BRK_0</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3">
        <v>2</v>
      </c>
      <c r="C14" s="143"/>
      <c r="D14" s="144"/>
      <c r="E14" s="144"/>
      <c r="F14" s="45" t="str">
        <f t="shared" si="0"/>
        <v/>
      </c>
      <c r="G14" s="45" t="str">
        <f t="shared" si="1"/>
        <v/>
      </c>
      <c r="H14" s="66" t="str">
        <f t="shared" ref="H14:H37" si="4">IF($D14&lt;&gt;"","ALERT_CH_"&amp;UPPER($D$6)&amp;IF($D$7=1,"","_"&amp;UPPER($C14)),"")</f>
        <v/>
      </c>
      <c r="I14" s="147" t="str">
        <f t="shared" ref="I14:I37" si="5">IF($D14&lt;&gt;"","ALERT_REQ_"&amp;UPPER($D$6)&amp;IF($D$7=1,"","_"&amp;UPPER($C14)),"")</f>
        <v/>
      </c>
      <c r="K14" t="s">
        <v>45</v>
      </c>
      <c r="L14" t="str">
        <f>"vd_g_Alert"&amp;UPPER(LEFT(D6,1))&amp;LOWER(MID(D6,2,100))&amp;"Init"</f>
        <v>vd_g_AlertC_brk_0Init</v>
      </c>
      <c r="M14" t="e">
        <f t="shared" si="2"/>
        <v>#VALUE!</v>
      </c>
      <c r="N14" t="str">
        <f t="shared" si="3"/>
        <v/>
      </c>
    </row>
    <row r="15" spans="2:14">
      <c r="B15" s="93">
        <v>3</v>
      </c>
      <c r="C15" s="143"/>
      <c r="D15" s="144"/>
      <c r="E15" s="144"/>
      <c r="F15" s="45" t="str">
        <f t="shared" si="0"/>
        <v/>
      </c>
      <c r="G15" s="45" t="str">
        <f t="shared" si="1"/>
        <v/>
      </c>
      <c r="H15" s="66" t="str">
        <f t="shared" si="4"/>
        <v/>
      </c>
      <c r="I15" s="147" t="str">
        <f t="shared" si="5"/>
        <v/>
      </c>
      <c r="K15" t="s">
        <v>124</v>
      </c>
      <c r="M15" t="e">
        <f t="shared" si="2"/>
        <v>#VALUE!</v>
      </c>
      <c r="N15" t="str">
        <f t="shared" si="3"/>
        <v/>
      </c>
    </row>
    <row r="16" spans="2:14">
      <c r="B16" s="93">
        <v>4</v>
      </c>
      <c r="C16" s="143"/>
      <c r="D16" s="144"/>
      <c r="E16" s="144"/>
      <c r="F16" s="45" t="str">
        <f t="shared" si="0"/>
        <v/>
      </c>
      <c r="G16" s="45" t="str">
        <f t="shared" si="1"/>
        <v/>
      </c>
      <c r="H16" s="66" t="str">
        <f t="shared" si="4"/>
        <v/>
      </c>
      <c r="I16" s="147" t="str">
        <f t="shared" si="5"/>
        <v/>
      </c>
      <c r="K16" t="s">
        <v>125</v>
      </c>
      <c r="M16" t="e">
        <f t="shared" si="2"/>
        <v>#VALUE!</v>
      </c>
      <c r="N16" t="str">
        <f t="shared" si="3"/>
        <v/>
      </c>
    </row>
    <row r="17" spans="2:14">
      <c r="B17" s="93">
        <v>5</v>
      </c>
      <c r="C17" s="143"/>
      <c r="D17" s="144"/>
      <c r="E17" s="144"/>
      <c r="F17" s="45" t="str">
        <f t="shared" si="0"/>
        <v/>
      </c>
      <c r="G17" s="45" t="str">
        <f t="shared" si="1"/>
        <v/>
      </c>
      <c r="H17" s="66" t="str">
        <f t="shared" si="4"/>
        <v/>
      </c>
      <c r="I17" s="147" t="str">
        <f t="shared" si="5"/>
        <v/>
      </c>
      <c r="K17" t="s">
        <v>46</v>
      </c>
      <c r="M17" t="e">
        <f t="shared" si="2"/>
        <v>#VALUE!</v>
      </c>
      <c r="N17" t="str">
        <f t="shared" si="3"/>
        <v/>
      </c>
    </row>
    <row r="18" spans="2:14">
      <c r="B18" s="93">
        <v>6</v>
      </c>
      <c r="C18" s="143"/>
      <c r="D18" s="144"/>
      <c r="E18" s="144"/>
      <c r="F18" s="45" t="str">
        <f t="shared" si="0"/>
        <v/>
      </c>
      <c r="G18" s="45" t="str">
        <f t="shared" si="1"/>
        <v/>
      </c>
      <c r="H18" s="66" t="str">
        <f t="shared" si="4"/>
        <v/>
      </c>
      <c r="I18" s="147" t="str">
        <f t="shared" si="5"/>
        <v/>
      </c>
      <c r="K18" t="s">
        <v>47</v>
      </c>
      <c r="M18" t="e">
        <f t="shared" si="2"/>
        <v>#VALUE!</v>
      </c>
      <c r="N18" t="str">
        <f t="shared" si="3"/>
        <v/>
      </c>
    </row>
    <row r="19" spans="2:14">
      <c r="B19" s="93">
        <v>7</v>
      </c>
      <c r="C19" s="143"/>
      <c r="D19" s="144"/>
      <c r="E19" s="144"/>
      <c r="F19" s="45" t="str">
        <f t="shared" si="0"/>
        <v/>
      </c>
      <c r="G19" s="45" t="str">
        <f t="shared" si="1"/>
        <v/>
      </c>
      <c r="H19" s="66" t="str">
        <f t="shared" si="4"/>
        <v/>
      </c>
      <c r="I19" s="147" t="str">
        <f t="shared" si="5"/>
        <v/>
      </c>
      <c r="K19" t="s">
        <v>47</v>
      </c>
      <c r="M19" t="e">
        <f t="shared" si="2"/>
        <v>#VALUE!</v>
      </c>
      <c r="N19" t="str">
        <f t="shared" si="3"/>
        <v/>
      </c>
    </row>
    <row r="20" spans="2:14">
      <c r="B20" s="93">
        <v>8</v>
      </c>
      <c r="C20" s="143"/>
      <c r="D20" s="144"/>
      <c r="E20" s="144"/>
      <c r="F20" s="45" t="str">
        <f t="shared" si="0"/>
        <v/>
      </c>
      <c r="G20" s="45" t="str">
        <f t="shared" si="1"/>
        <v/>
      </c>
      <c r="H20" s="66" t="str">
        <f t="shared" si="4"/>
        <v/>
      </c>
      <c r="I20" s="147" t="str">
        <f t="shared" si="5"/>
        <v/>
      </c>
      <c r="K20" t="s">
        <v>47</v>
      </c>
      <c r="M20" t="e">
        <f t="shared" si="2"/>
        <v>#VALUE!</v>
      </c>
      <c r="N20" t="str">
        <f t="shared" si="3"/>
        <v/>
      </c>
    </row>
    <row r="21" spans="2:14">
      <c r="B21" s="93">
        <v>9</v>
      </c>
      <c r="C21" s="143"/>
      <c r="D21" s="189"/>
      <c r="E21" s="189"/>
      <c r="F21" s="45" t="str">
        <f t="shared" si="0"/>
        <v/>
      </c>
      <c r="G21" s="45" t="str">
        <f t="shared" si="1"/>
        <v/>
      </c>
      <c r="H21" s="66" t="str">
        <f t="shared" si="4"/>
        <v/>
      </c>
      <c r="I21" s="147" t="str">
        <f t="shared" si="5"/>
        <v/>
      </c>
      <c r="K21" t="s">
        <v>47</v>
      </c>
      <c r="M21" t="e">
        <f t="shared" si="2"/>
        <v>#VALUE!</v>
      </c>
      <c r="N21" t="str">
        <f t="shared" si="3"/>
        <v/>
      </c>
    </row>
    <row r="22" spans="2:14">
      <c r="B22" s="93">
        <v>10</v>
      </c>
      <c r="C22" s="143"/>
      <c r="D22" s="189"/>
      <c r="E22" s="189"/>
      <c r="F22" s="45" t="str">
        <f t="shared" si="0"/>
        <v/>
      </c>
      <c r="G22" s="45" t="str">
        <f t="shared" si="1"/>
        <v/>
      </c>
      <c r="H22" s="66" t="str">
        <f t="shared" si="4"/>
        <v/>
      </c>
      <c r="I22" s="147" t="str">
        <f t="shared" si="5"/>
        <v/>
      </c>
      <c r="K22" t="s">
        <v>47</v>
      </c>
      <c r="M22" t="e">
        <f t="shared" si="2"/>
        <v>#VALUE!</v>
      </c>
      <c r="N22" t="str">
        <f t="shared" si="3"/>
        <v/>
      </c>
    </row>
    <row r="23" spans="2:14">
      <c r="B23" s="93">
        <v>11</v>
      </c>
      <c r="C23" s="143"/>
      <c r="D23" s="189"/>
      <c r="E23" s="189"/>
      <c r="F23" s="45" t="str">
        <f t="shared" si="0"/>
        <v/>
      </c>
      <c r="G23" s="45" t="str">
        <f t="shared" si="1"/>
        <v/>
      </c>
      <c r="H23" s="66" t="str">
        <f t="shared" si="4"/>
        <v/>
      </c>
      <c r="I23" s="147" t="str">
        <f t="shared" si="5"/>
        <v/>
      </c>
      <c r="K23" t="s">
        <v>47</v>
      </c>
      <c r="M23" t="e">
        <f t="shared" si="2"/>
        <v>#VALUE!</v>
      </c>
      <c r="N23" t="str">
        <f t="shared" si="3"/>
        <v/>
      </c>
    </row>
    <row r="24" spans="2:14">
      <c r="B24" s="93">
        <v>12</v>
      </c>
      <c r="C24" s="143"/>
      <c r="D24" s="189"/>
      <c r="E24" s="189"/>
      <c r="F24" s="45" t="str">
        <f t="shared" si="0"/>
        <v/>
      </c>
      <c r="G24" s="45" t="str">
        <f t="shared" si="1"/>
        <v/>
      </c>
      <c r="H24" s="66" t="str">
        <f t="shared" si="4"/>
        <v/>
      </c>
      <c r="I24" s="147" t="str">
        <f t="shared" si="5"/>
        <v/>
      </c>
      <c r="K24" t="s">
        <v>47</v>
      </c>
      <c r="M24" t="e">
        <f t="shared" si="2"/>
        <v>#VALUE!</v>
      </c>
      <c r="N24" t="str">
        <f t="shared" si="3"/>
        <v/>
      </c>
    </row>
    <row r="25" spans="2:14">
      <c r="B25" s="93">
        <v>13</v>
      </c>
      <c r="C25" s="143"/>
      <c r="D25" s="189"/>
      <c r="E25" s="189"/>
      <c r="F25" s="45" t="str">
        <f t="shared" si="0"/>
        <v/>
      </c>
      <c r="G25" s="45" t="str">
        <f t="shared" si="1"/>
        <v/>
      </c>
      <c r="H25" s="66" t="str">
        <f t="shared" si="4"/>
        <v/>
      </c>
      <c r="I25" s="147" t="str">
        <f t="shared" si="5"/>
        <v/>
      </c>
      <c r="K25" t="s">
        <v>47</v>
      </c>
      <c r="M25" t="e">
        <f t="shared" si="2"/>
        <v>#VALUE!</v>
      </c>
      <c r="N25" t="str">
        <f t="shared" si="3"/>
        <v/>
      </c>
    </row>
    <row r="26" spans="2:14">
      <c r="B26" s="93">
        <v>14</v>
      </c>
      <c r="C26" s="143"/>
      <c r="D26" s="189"/>
      <c r="E26" s="189"/>
      <c r="F26" s="45" t="str">
        <f t="shared" si="0"/>
        <v/>
      </c>
      <c r="G26" s="45" t="str">
        <f t="shared" si="1"/>
        <v/>
      </c>
      <c r="H26" s="66" t="str">
        <f t="shared" si="4"/>
        <v/>
      </c>
      <c r="I26" s="147" t="str">
        <f t="shared" si="5"/>
        <v/>
      </c>
      <c r="K26" t="s">
        <v>47</v>
      </c>
      <c r="M26" t="e">
        <f t="shared" si="2"/>
        <v>#VALUE!</v>
      </c>
      <c r="N26" t="str">
        <f t="shared" si="3"/>
        <v/>
      </c>
    </row>
    <row r="27" spans="2:14">
      <c r="B27" s="93">
        <v>15</v>
      </c>
      <c r="C27" s="143"/>
      <c r="D27" s="144"/>
      <c r="E27" s="144"/>
      <c r="F27" s="45" t="str">
        <f t="shared" si="0"/>
        <v/>
      </c>
      <c r="G27" s="45" t="str">
        <f t="shared" si="1"/>
        <v/>
      </c>
      <c r="H27" s="66" t="str">
        <f t="shared" si="4"/>
        <v/>
      </c>
      <c r="I27" s="147" t="str">
        <f t="shared" si="5"/>
        <v/>
      </c>
      <c r="K27" t="s">
        <v>47</v>
      </c>
      <c r="M27" t="e">
        <f t="shared" si="2"/>
        <v>#VALUE!</v>
      </c>
      <c r="N27" t="str">
        <f t="shared" si="3"/>
        <v/>
      </c>
    </row>
    <row r="28" spans="2:14">
      <c r="B28" s="93">
        <v>16</v>
      </c>
      <c r="C28" s="143"/>
      <c r="D28" s="144"/>
      <c r="E28" s="144"/>
      <c r="F28" s="45" t="str">
        <f t="shared" si="0"/>
        <v/>
      </c>
      <c r="G28" s="45" t="str">
        <f t="shared" si="1"/>
        <v/>
      </c>
      <c r="H28" s="66" t="str">
        <f t="shared" si="4"/>
        <v/>
      </c>
      <c r="I28" s="147" t="str">
        <f t="shared" si="5"/>
        <v/>
      </c>
      <c r="K28" t="s">
        <v>47</v>
      </c>
      <c r="M28" t="e">
        <f t="shared" si="2"/>
        <v>#VALUE!</v>
      </c>
      <c r="N28" t="str">
        <f t="shared" si="3"/>
        <v/>
      </c>
    </row>
    <row r="29" spans="2:14">
      <c r="B29" s="93">
        <v>17</v>
      </c>
      <c r="C29" s="143"/>
      <c r="D29" s="144"/>
      <c r="E29" s="144"/>
      <c r="F29" s="45" t="str">
        <f t="shared" si="0"/>
        <v/>
      </c>
      <c r="G29" s="45" t="str">
        <f t="shared" si="1"/>
        <v/>
      </c>
      <c r="H29" s="66" t="str">
        <f t="shared" si="4"/>
        <v/>
      </c>
      <c r="I29" s="147" t="str">
        <f t="shared" si="5"/>
        <v/>
      </c>
      <c r="K29" t="s">
        <v>47</v>
      </c>
      <c r="M29" t="e">
        <f t="shared" si="2"/>
        <v>#VALUE!</v>
      </c>
      <c r="N29" t="str">
        <f t="shared" si="3"/>
        <v/>
      </c>
    </row>
    <row r="30" spans="2:14">
      <c r="B30" s="93">
        <v>18</v>
      </c>
      <c r="C30" s="143"/>
      <c r="D30" s="144"/>
      <c r="E30" s="144"/>
      <c r="F30" s="45" t="str">
        <f t="shared" si="0"/>
        <v/>
      </c>
      <c r="G30" s="45" t="str">
        <f t="shared" si="1"/>
        <v/>
      </c>
      <c r="H30" s="66" t="str">
        <f t="shared" si="4"/>
        <v/>
      </c>
      <c r="I30" s="147" t="str">
        <f t="shared" si="5"/>
        <v/>
      </c>
      <c r="K30" t="s">
        <v>47</v>
      </c>
      <c r="M30" t="e">
        <f t="shared" si="2"/>
        <v>#VALUE!</v>
      </c>
      <c r="N30" t="str">
        <f t="shared" si="3"/>
        <v/>
      </c>
    </row>
    <row r="31" spans="2:14">
      <c r="B31" s="93">
        <v>19</v>
      </c>
      <c r="C31" s="143"/>
      <c r="D31" s="144"/>
      <c r="E31" s="144"/>
      <c r="F31" s="45" t="str">
        <f t="shared" si="0"/>
        <v/>
      </c>
      <c r="G31" s="45" t="str">
        <f t="shared" si="1"/>
        <v/>
      </c>
      <c r="H31" s="66" t="str">
        <f t="shared" si="4"/>
        <v/>
      </c>
      <c r="I31" s="147" t="str">
        <f t="shared" si="5"/>
        <v/>
      </c>
      <c r="K31" t="s">
        <v>47</v>
      </c>
      <c r="M31" t="e">
        <f t="shared" si="2"/>
        <v>#VALUE!</v>
      </c>
      <c r="N31" t="str">
        <f t="shared" si="3"/>
        <v/>
      </c>
    </row>
    <row r="32" spans="2:14">
      <c r="B32" s="93">
        <v>20</v>
      </c>
      <c r="C32" s="143"/>
      <c r="D32" s="144"/>
      <c r="E32" s="144"/>
      <c r="F32" s="45" t="str">
        <f t="shared" si="0"/>
        <v/>
      </c>
      <c r="G32" s="45" t="str">
        <f t="shared" si="1"/>
        <v/>
      </c>
      <c r="H32" s="66" t="str">
        <f t="shared" si="4"/>
        <v/>
      </c>
      <c r="I32" s="147" t="str">
        <f t="shared" si="5"/>
        <v/>
      </c>
      <c r="K32" t="s">
        <v>47</v>
      </c>
      <c r="M32" t="e">
        <f t="shared" si="2"/>
        <v>#VALUE!</v>
      </c>
      <c r="N32" t="str">
        <f t="shared" si="3"/>
        <v/>
      </c>
    </row>
    <row r="33" spans="2:14">
      <c r="B33" s="93">
        <v>21</v>
      </c>
      <c r="C33" s="143"/>
      <c r="D33" s="144"/>
      <c r="E33" s="144"/>
      <c r="F33" s="45" t="str">
        <f t="shared" si="0"/>
        <v/>
      </c>
      <c r="G33" s="45" t="str">
        <f t="shared" si="1"/>
        <v/>
      </c>
      <c r="H33" s="66" t="str">
        <f t="shared" si="4"/>
        <v/>
      </c>
      <c r="I33" s="147" t="str">
        <f t="shared" si="5"/>
        <v/>
      </c>
      <c r="K33" t="s">
        <v>47</v>
      </c>
      <c r="M33" t="e">
        <f t="shared" si="2"/>
        <v>#VALUE!</v>
      </c>
      <c r="N33" t="str">
        <f t="shared" si="3"/>
        <v/>
      </c>
    </row>
    <row r="34" spans="2:14">
      <c r="B34" s="93">
        <v>22</v>
      </c>
      <c r="C34" s="143"/>
      <c r="D34" s="144"/>
      <c r="E34" s="144"/>
      <c r="F34" s="45" t="str">
        <f t="shared" si="0"/>
        <v/>
      </c>
      <c r="G34" s="45" t="str">
        <f t="shared" si="1"/>
        <v/>
      </c>
      <c r="H34" s="66" t="str">
        <f t="shared" si="4"/>
        <v/>
      </c>
      <c r="I34" s="147" t="str">
        <f t="shared" si="5"/>
        <v/>
      </c>
      <c r="K34" t="s">
        <v>47</v>
      </c>
      <c r="M34" t="e">
        <f t="shared" si="2"/>
        <v>#VALUE!</v>
      </c>
      <c r="N34" t="str">
        <f t="shared" si="3"/>
        <v/>
      </c>
    </row>
    <row r="35" spans="2:14">
      <c r="B35" s="93">
        <v>23</v>
      </c>
      <c r="C35" s="143"/>
      <c r="D35" s="144"/>
      <c r="E35" s="144"/>
      <c r="F35" s="45" t="str">
        <f t="shared" si="0"/>
        <v/>
      </c>
      <c r="G35" s="45" t="str">
        <f t="shared" si="1"/>
        <v/>
      </c>
      <c r="H35" s="66" t="str">
        <f t="shared" si="4"/>
        <v/>
      </c>
      <c r="I35" s="147" t="str">
        <f t="shared" si="5"/>
        <v/>
      </c>
      <c r="K35" t="s">
        <v>47</v>
      </c>
      <c r="M35" t="e">
        <f t="shared" si="2"/>
        <v>#VALUE!</v>
      </c>
      <c r="N35" t="str">
        <f t="shared" si="3"/>
        <v/>
      </c>
    </row>
    <row r="36" spans="2:14">
      <c r="B36" s="93">
        <v>24</v>
      </c>
      <c r="C36" s="143"/>
      <c r="D36" s="144"/>
      <c r="E36" s="144"/>
      <c r="F36" s="45" t="str">
        <f t="shared" si="0"/>
        <v/>
      </c>
      <c r="G36" s="45" t="str">
        <f t="shared" si="1"/>
        <v/>
      </c>
      <c r="H36" s="66" t="str">
        <f t="shared" si="4"/>
        <v/>
      </c>
      <c r="I36" s="147" t="str">
        <f t="shared" si="5"/>
        <v/>
      </c>
      <c r="K36" t="s">
        <v>47</v>
      </c>
      <c r="M36" t="e">
        <f t="shared" si="2"/>
        <v>#VALUE!</v>
      </c>
      <c r="N36" t="str">
        <f t="shared" si="3"/>
        <v/>
      </c>
    </row>
    <row r="37" spans="2:14" ht="14.25" thickBot="1">
      <c r="B37" s="94">
        <v>25</v>
      </c>
      <c r="C37" s="141"/>
      <c r="D37" s="142"/>
      <c r="E37" s="142"/>
      <c r="F37" s="53" t="str">
        <f t="shared" si="0"/>
        <v/>
      </c>
      <c r="G37" s="53" t="str">
        <f t="shared" si="1"/>
        <v/>
      </c>
      <c r="H37" s="67" t="str">
        <f t="shared" si="4"/>
        <v/>
      </c>
      <c r="I37" s="148"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4945" priority="5">
      <formula>14&lt;LEN($D$6)+LEN($C13)</formula>
    </cfRule>
  </conditionalFormatting>
  <conditionalFormatting sqref="D5">
    <cfRule type="containsText" dxfId="14944" priority="2" operator="containsText" text="NG">
      <formula>NOT(ISERROR(SEARCH("NG",D5)))</formula>
    </cfRule>
  </conditionalFormatting>
  <conditionalFormatting sqref="D6">
    <cfRule type="expression" dxfId="14943"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200</v>
      </c>
      <c r="O2" t="s">
        <v>202</v>
      </c>
    </row>
    <row r="3" spans="2:18" ht="14.25" thickBot="1">
      <c r="B3" s="140" t="s">
        <v>32</v>
      </c>
      <c r="C3" s="101" t="s">
        <v>189</v>
      </c>
      <c r="D3" s="101" t="s">
        <v>195</v>
      </c>
      <c r="E3" s="102" t="s">
        <v>196</v>
      </c>
      <c r="F3" s="184" t="s">
        <v>191</v>
      </c>
      <c r="G3" s="181" t="s">
        <v>205</v>
      </c>
      <c r="H3" s="44"/>
      <c r="I3" s="44"/>
      <c r="J3" s="44"/>
      <c r="K3" s="44"/>
      <c r="L3" s="44"/>
      <c r="M3" s="44"/>
      <c r="O3" s="140" t="s">
        <v>32</v>
      </c>
      <c r="P3" s="180" t="s">
        <v>185</v>
      </c>
      <c r="Q3" s="180" t="s">
        <v>199</v>
      </c>
      <c r="R3" s="181" t="s">
        <v>191</v>
      </c>
    </row>
    <row r="4" spans="2:18" ht="14.25" hidden="1" thickTop="1">
      <c r="B4" s="172">
        <v>0</v>
      </c>
      <c r="C4" s="173" t="s">
        <v>174</v>
      </c>
      <c r="D4" s="173"/>
      <c r="E4" s="174"/>
      <c r="F4" s="185"/>
      <c r="G4" s="186"/>
      <c r="H4" s="44"/>
      <c r="I4" s="44"/>
      <c r="J4" s="44"/>
      <c r="K4" s="44"/>
      <c r="L4" s="44"/>
      <c r="M4" s="44"/>
      <c r="O4" s="182">
        <v>0</v>
      </c>
      <c r="P4" s="179" t="s">
        <v>174</v>
      </c>
      <c r="Q4" s="179" t="s">
        <v>174</v>
      </c>
      <c r="R4" s="139"/>
    </row>
    <row r="5" spans="2:18" ht="41.25" thickTop="1">
      <c r="B5" s="175">
        <v>1</v>
      </c>
      <c r="C5" s="189"/>
      <c r="D5" s="105"/>
      <c r="E5" s="66" t="str">
        <f>IF($C5&lt;&gt;"","ALERT_" &amp; D5 &amp; "_ID_"&amp;UPPER(Matrix!$D$6) &amp; "_" &amp; $C5,"")</f>
        <v/>
      </c>
      <c r="F5" s="114"/>
      <c r="G5" s="66" t="str">
        <f>IF(E5&lt;&gt;"",LEN(E5),"")</f>
        <v/>
      </c>
      <c r="O5" s="175">
        <v>1</v>
      </c>
      <c r="P5" s="144" t="s">
        <v>220</v>
      </c>
      <c r="Q5" s="144" t="s">
        <v>221</v>
      </c>
      <c r="R5" s="197" t="s">
        <v>222</v>
      </c>
    </row>
    <row r="6" spans="2:18">
      <c r="B6" s="175">
        <v>2</v>
      </c>
      <c r="C6" s="144"/>
      <c r="D6" s="26"/>
      <c r="E6" s="66" t="str">
        <f>IF($C6&lt;&gt;"","ALERT_" &amp; D6 &amp; "_ID_"&amp;UPPER(Matrix!$D$6) &amp; "_" &amp; $C6,"")</f>
        <v/>
      </c>
      <c r="F6" s="114"/>
      <c r="G6" s="66" t="str">
        <f t="shared" ref="G6:G29" si="0">IF(E6&lt;&gt;"",LEN(E6),"")</f>
        <v/>
      </c>
      <c r="O6" s="175">
        <v>2</v>
      </c>
      <c r="P6" s="189"/>
      <c r="Q6" s="189"/>
      <c r="R6" s="219"/>
    </row>
    <row r="7" spans="2:18">
      <c r="B7" s="175">
        <v>3</v>
      </c>
      <c r="C7" s="144"/>
      <c r="D7" s="26"/>
      <c r="E7" s="66" t="str">
        <f>IF($C7&lt;&gt;"","ALERT_" &amp; D7 &amp; "_ID_"&amp;UPPER(Matrix!$D$6) &amp; "_" &amp; $C7,"")</f>
        <v/>
      </c>
      <c r="F7" s="114"/>
      <c r="G7" s="66" t="str">
        <f t="shared" si="0"/>
        <v/>
      </c>
      <c r="O7" s="175">
        <v>3</v>
      </c>
      <c r="P7" s="189"/>
      <c r="Q7" s="189"/>
      <c r="R7" s="219"/>
    </row>
    <row r="8" spans="2:18">
      <c r="B8" s="175">
        <v>4</v>
      </c>
      <c r="C8" s="144"/>
      <c r="D8" s="26"/>
      <c r="E8" s="66" t="str">
        <f>IF($C8&lt;&gt;"","ALERT_" &amp; D8 &amp; "_ID_"&amp;UPPER(Matrix!$D$6) &amp; "_" &amp; $C8,"")</f>
        <v/>
      </c>
      <c r="F8" s="114"/>
      <c r="G8" s="66" t="str">
        <f t="shared" si="0"/>
        <v/>
      </c>
      <c r="O8" s="175">
        <v>4</v>
      </c>
      <c r="P8" s="144"/>
      <c r="Q8" s="144"/>
      <c r="R8" s="115"/>
    </row>
    <row r="9" spans="2:18">
      <c r="B9" s="175">
        <v>5</v>
      </c>
      <c r="C9" s="144"/>
      <c r="D9" s="26"/>
      <c r="E9" s="66" t="str">
        <f>IF($C9&lt;&gt;"","ALERT_" &amp; D9 &amp; "_ID_"&amp;UPPER(Matrix!$D$6) &amp; "_" &amp; $C9,"")</f>
        <v/>
      </c>
      <c r="F9" s="114"/>
      <c r="G9" s="66" t="str">
        <f t="shared" si="0"/>
        <v/>
      </c>
      <c r="O9" s="175">
        <v>5</v>
      </c>
      <c r="P9" s="144"/>
      <c r="Q9" s="144"/>
      <c r="R9" s="115"/>
    </row>
    <row r="10" spans="2:18">
      <c r="B10" s="175">
        <v>6</v>
      </c>
      <c r="C10" s="144"/>
      <c r="D10" s="26"/>
      <c r="E10" s="66" t="str">
        <f>IF($C10&lt;&gt;"","ALERT_" &amp; D10 &amp; "_ID_"&amp;UPPER(Matrix!$D$6) &amp; "_" &amp; $C10,"")</f>
        <v/>
      </c>
      <c r="F10" s="114"/>
      <c r="G10" s="66" t="str">
        <f t="shared" si="0"/>
        <v/>
      </c>
      <c r="O10" s="175">
        <v>6</v>
      </c>
      <c r="P10" s="144"/>
      <c r="Q10" s="144"/>
      <c r="R10" s="115"/>
    </row>
    <row r="11" spans="2:18">
      <c r="B11" s="175">
        <v>7</v>
      </c>
      <c r="C11" s="144"/>
      <c r="D11" s="26"/>
      <c r="E11" s="66" t="str">
        <f>IF($C11&lt;&gt;"","ALERT_" &amp; D11 &amp; "_ID_"&amp;UPPER(Matrix!$D$6) &amp; "_" &amp; $C11,"")</f>
        <v/>
      </c>
      <c r="F11" s="114"/>
      <c r="G11" s="66" t="str">
        <f t="shared" si="0"/>
        <v/>
      </c>
      <c r="O11" s="175">
        <v>7</v>
      </c>
      <c r="P11" s="144"/>
      <c r="Q11" s="144"/>
      <c r="R11" s="115"/>
    </row>
    <row r="12" spans="2:18">
      <c r="B12" s="175">
        <v>8</v>
      </c>
      <c r="C12" s="144"/>
      <c r="D12" s="26"/>
      <c r="E12" s="66" t="str">
        <f>IF($C12&lt;&gt;"","ALERT_" &amp; D12 &amp; "_ID_"&amp;UPPER(Matrix!$D$6) &amp; "_" &amp; $C12,"")</f>
        <v/>
      </c>
      <c r="F12" s="114"/>
      <c r="G12" s="66" t="str">
        <f t="shared" si="0"/>
        <v/>
      </c>
      <c r="O12" s="175">
        <v>8</v>
      </c>
      <c r="P12" s="144"/>
      <c r="Q12" s="144"/>
      <c r="R12" s="115"/>
    </row>
    <row r="13" spans="2:18">
      <c r="B13" s="175">
        <v>9</v>
      </c>
      <c r="C13" s="144"/>
      <c r="D13" s="26"/>
      <c r="E13" s="66" t="str">
        <f>IF($C13&lt;&gt;"","ALERT_" &amp; D13 &amp; "_ID_"&amp;UPPER(Matrix!$D$6) &amp; "_" &amp; $C13,"")</f>
        <v/>
      </c>
      <c r="F13" s="114"/>
      <c r="G13" s="66" t="str">
        <f t="shared" si="0"/>
        <v/>
      </c>
      <c r="O13" s="175">
        <v>9</v>
      </c>
      <c r="P13" s="144"/>
      <c r="Q13" s="144"/>
      <c r="R13" s="115"/>
    </row>
    <row r="14" spans="2:18">
      <c r="B14" s="175">
        <v>10</v>
      </c>
      <c r="C14" s="144"/>
      <c r="D14" s="26"/>
      <c r="E14" s="66" t="str">
        <f>IF($C14&lt;&gt;"","ALERT_" &amp; D14 &amp; "_ID_"&amp;UPPER(Matrix!$D$6) &amp; "_" &amp; $C14,"")</f>
        <v/>
      </c>
      <c r="F14" s="114"/>
      <c r="G14" s="66" t="str">
        <f t="shared" si="0"/>
        <v/>
      </c>
      <c r="O14" s="175">
        <v>10</v>
      </c>
      <c r="P14" s="144"/>
      <c r="Q14" s="144"/>
      <c r="R14" s="115"/>
    </row>
    <row r="15" spans="2:18">
      <c r="B15" s="175">
        <v>11</v>
      </c>
      <c r="C15" s="144"/>
      <c r="D15" s="26"/>
      <c r="E15" s="66" t="str">
        <f>IF($C15&lt;&gt;"","ALERT_" &amp; D15 &amp; "_ID_"&amp;UPPER(Matrix!$D$6) &amp; "_" &amp; $C15,"")</f>
        <v/>
      </c>
      <c r="F15" s="114"/>
      <c r="G15" s="66" t="str">
        <f t="shared" si="0"/>
        <v/>
      </c>
      <c r="O15" s="175">
        <v>11</v>
      </c>
      <c r="P15" s="144"/>
      <c r="Q15" s="144"/>
      <c r="R15" s="115"/>
    </row>
    <row r="16" spans="2:18">
      <c r="B16" s="175">
        <v>12</v>
      </c>
      <c r="C16" s="144"/>
      <c r="D16" s="26"/>
      <c r="E16" s="66" t="str">
        <f>IF($C16&lt;&gt;"","ALERT_" &amp; D16 &amp; "_ID_"&amp;UPPER(Matrix!$D$6) &amp; "_" &amp; $C16,"")</f>
        <v/>
      </c>
      <c r="F16" s="114"/>
      <c r="G16" s="66" t="str">
        <f t="shared" si="0"/>
        <v/>
      </c>
      <c r="O16" s="175">
        <v>12</v>
      </c>
      <c r="P16" s="144"/>
      <c r="Q16" s="144"/>
      <c r="R16" s="115"/>
    </row>
    <row r="17" spans="2:18">
      <c r="B17" s="175">
        <v>13</v>
      </c>
      <c r="C17" s="144"/>
      <c r="D17" s="26"/>
      <c r="E17" s="66" t="str">
        <f>IF($C17&lt;&gt;"","ALERT_" &amp; D17 &amp; "_ID_"&amp;UPPER(Matrix!$D$6) &amp; "_" &amp; $C17,"")</f>
        <v/>
      </c>
      <c r="F17" s="114"/>
      <c r="G17" s="66" t="str">
        <f t="shared" si="0"/>
        <v/>
      </c>
      <c r="O17" s="175">
        <v>13</v>
      </c>
      <c r="P17" s="144"/>
      <c r="Q17" s="144"/>
      <c r="R17" s="115"/>
    </row>
    <row r="18" spans="2:18">
      <c r="B18" s="175">
        <v>14</v>
      </c>
      <c r="C18" s="144"/>
      <c r="D18" s="26"/>
      <c r="E18" s="66" t="str">
        <f>IF($C18&lt;&gt;"","ALERT_" &amp; D18 &amp; "_ID_"&amp;UPPER(Matrix!$D$6) &amp; "_" &amp; $C18,"")</f>
        <v/>
      </c>
      <c r="F18" s="114"/>
      <c r="G18" s="66" t="str">
        <f t="shared" si="0"/>
        <v/>
      </c>
      <c r="O18" s="175">
        <v>14</v>
      </c>
      <c r="P18" s="144"/>
      <c r="Q18" s="144"/>
      <c r="R18" s="115"/>
    </row>
    <row r="19" spans="2:18">
      <c r="B19" s="175">
        <v>15</v>
      </c>
      <c r="C19" s="144"/>
      <c r="D19" s="26"/>
      <c r="E19" s="66" t="str">
        <f>IF($C19&lt;&gt;"","ALERT_" &amp; D19 &amp; "_ID_"&amp;UPPER(Matrix!$D$6) &amp; "_" &amp; $C19,"")</f>
        <v/>
      </c>
      <c r="F19" s="114"/>
      <c r="G19" s="66" t="str">
        <f t="shared" si="0"/>
        <v/>
      </c>
      <c r="O19" s="175">
        <v>15</v>
      </c>
      <c r="P19" s="144"/>
      <c r="Q19" s="144"/>
      <c r="R19" s="115"/>
    </row>
    <row r="20" spans="2:18">
      <c r="B20" s="175">
        <v>16</v>
      </c>
      <c r="C20" s="144"/>
      <c r="D20" s="26"/>
      <c r="E20" s="66" t="str">
        <f>IF($C20&lt;&gt;"","ALERT_" &amp; D20 &amp; "_ID_"&amp;UPPER(Matrix!$D$6) &amp; "_" &amp; $C20,"")</f>
        <v/>
      </c>
      <c r="F20" s="114"/>
      <c r="G20" s="66" t="str">
        <f t="shared" si="0"/>
        <v/>
      </c>
      <c r="O20" s="175">
        <v>16</v>
      </c>
      <c r="P20" s="144"/>
      <c r="Q20" s="144"/>
      <c r="R20" s="115"/>
    </row>
    <row r="21" spans="2:18">
      <c r="B21" s="175">
        <v>17</v>
      </c>
      <c r="C21" s="144"/>
      <c r="D21" s="26"/>
      <c r="E21" s="66" t="str">
        <f>IF($C21&lt;&gt;"","ALERT_" &amp; D21 &amp; "_ID_"&amp;UPPER(Matrix!$D$6) &amp; "_" &amp; $C21,"")</f>
        <v/>
      </c>
      <c r="F21" s="114"/>
      <c r="G21" s="66" t="str">
        <f t="shared" si="0"/>
        <v/>
      </c>
      <c r="O21" s="175">
        <v>17</v>
      </c>
      <c r="P21" s="144"/>
      <c r="Q21" s="144"/>
      <c r="R21" s="115"/>
    </row>
    <row r="22" spans="2:18">
      <c r="B22" s="175">
        <v>18</v>
      </c>
      <c r="C22" s="144"/>
      <c r="D22" s="26"/>
      <c r="E22" s="66" t="str">
        <f>IF($C22&lt;&gt;"","ALERT_" &amp; D22 &amp; "_ID_"&amp;UPPER(Matrix!$D$6) &amp; "_" &amp; $C22,"")</f>
        <v/>
      </c>
      <c r="F22" s="114"/>
      <c r="G22" s="66" t="str">
        <f t="shared" si="0"/>
        <v/>
      </c>
      <c r="O22" s="175">
        <v>18</v>
      </c>
      <c r="P22" s="144"/>
      <c r="Q22" s="144"/>
      <c r="R22" s="115"/>
    </row>
    <row r="23" spans="2:18">
      <c r="B23" s="175">
        <v>19</v>
      </c>
      <c r="C23" s="144"/>
      <c r="D23" s="26"/>
      <c r="E23" s="66" t="str">
        <f>IF($C23&lt;&gt;"","ALERT_" &amp; D23 &amp; "_ID_"&amp;UPPER(Matrix!$D$6) &amp; "_" &amp; $C23,"")</f>
        <v/>
      </c>
      <c r="F23" s="114"/>
      <c r="G23" s="66" t="str">
        <f t="shared" si="0"/>
        <v/>
      </c>
      <c r="O23" s="175">
        <v>19</v>
      </c>
      <c r="P23" s="144"/>
      <c r="Q23" s="144"/>
      <c r="R23" s="115"/>
    </row>
    <row r="24" spans="2:18">
      <c r="B24" s="175">
        <v>20</v>
      </c>
      <c r="C24" s="144"/>
      <c r="D24" s="26"/>
      <c r="E24" s="66" t="str">
        <f>IF($C24&lt;&gt;"","ALERT_" &amp; D24 &amp; "_ID_"&amp;UPPER(Matrix!$D$6) &amp; "_" &amp; $C24,"")</f>
        <v/>
      </c>
      <c r="F24" s="114"/>
      <c r="G24" s="66" t="str">
        <f t="shared" si="0"/>
        <v/>
      </c>
      <c r="O24" s="175">
        <v>20</v>
      </c>
      <c r="P24" s="144"/>
      <c r="Q24" s="144"/>
      <c r="R24" s="115"/>
    </row>
    <row r="25" spans="2:18">
      <c r="B25" s="175">
        <v>21</v>
      </c>
      <c r="C25" s="144"/>
      <c r="D25" s="26"/>
      <c r="E25" s="66" t="str">
        <f>IF($C25&lt;&gt;"","ALERT_" &amp; D25 &amp; "_ID_"&amp;UPPER(Matrix!$D$6) &amp; "_" &amp; $C25,"")</f>
        <v/>
      </c>
      <c r="F25" s="114"/>
      <c r="G25" s="66" t="str">
        <f t="shared" si="0"/>
        <v/>
      </c>
      <c r="O25" s="175">
        <v>21</v>
      </c>
      <c r="P25" s="144"/>
      <c r="Q25" s="144"/>
      <c r="R25" s="115"/>
    </row>
    <row r="26" spans="2:18">
      <c r="B26" s="175">
        <v>22</v>
      </c>
      <c r="C26" s="144"/>
      <c r="D26" s="26"/>
      <c r="E26" s="66" t="str">
        <f>IF($C26&lt;&gt;"","ALERT_" &amp; D26 &amp; "_ID_"&amp;UPPER(Matrix!$D$6) &amp; "_" &amp; $C26,"")</f>
        <v/>
      </c>
      <c r="F26" s="114"/>
      <c r="G26" s="66" t="str">
        <f t="shared" si="0"/>
        <v/>
      </c>
      <c r="O26" s="175">
        <v>22</v>
      </c>
      <c r="P26" s="144"/>
      <c r="Q26" s="144"/>
      <c r="R26" s="115"/>
    </row>
    <row r="27" spans="2:18">
      <c r="B27" s="175">
        <v>23</v>
      </c>
      <c r="C27" s="144"/>
      <c r="D27" s="26"/>
      <c r="E27" s="66" t="str">
        <f>IF($C27&lt;&gt;"","ALERT_" &amp; D27 &amp; "_ID_"&amp;UPPER(Matrix!$D$6) &amp; "_" &amp; $C27,"")</f>
        <v/>
      </c>
      <c r="F27" s="114"/>
      <c r="G27" s="66" t="str">
        <f t="shared" si="0"/>
        <v/>
      </c>
      <c r="O27" s="175">
        <v>23</v>
      </c>
      <c r="P27" s="144"/>
      <c r="Q27" s="144"/>
      <c r="R27" s="115"/>
    </row>
    <row r="28" spans="2:18">
      <c r="B28" s="175">
        <v>24</v>
      </c>
      <c r="C28" s="144"/>
      <c r="D28" s="26"/>
      <c r="E28" s="66" t="str">
        <f>IF($C28&lt;&gt;"","ALERT_" &amp; D28 &amp; "_ID_"&amp;UPPER(Matrix!$D$6) &amp; "_" &amp; $C28,"")</f>
        <v/>
      </c>
      <c r="F28" s="114"/>
      <c r="G28" s="66" t="str">
        <f t="shared" si="0"/>
        <v/>
      </c>
      <c r="O28" s="175">
        <v>24</v>
      </c>
      <c r="P28" s="144"/>
      <c r="Q28" s="144"/>
      <c r="R28" s="115"/>
    </row>
    <row r="29" spans="2:18" ht="14.25" thickBot="1">
      <c r="B29" s="176">
        <v>25</v>
      </c>
      <c r="C29" s="142"/>
      <c r="D29" s="52"/>
      <c r="E29" s="67" t="str">
        <f>IF($C29&lt;&gt;"","ALERT_" &amp; D29 &amp; "_ID_"&amp;UPPER(Matrix!$D$6) &amp; "_" &amp; $C29,"")</f>
        <v/>
      </c>
      <c r="F29" s="116"/>
      <c r="G29" s="67" t="str">
        <f t="shared" si="0"/>
        <v/>
      </c>
      <c r="O29" s="176">
        <v>25</v>
      </c>
      <c r="P29" s="142"/>
      <c r="Q29" s="142"/>
      <c r="R29" s="117"/>
    </row>
    <row r="32" spans="2:18" ht="14.25" thickBot="1">
      <c r="B32" t="s">
        <v>201</v>
      </c>
      <c r="O32" t="s">
        <v>198</v>
      </c>
    </row>
    <row r="33" spans="2:18" ht="14.25" thickBot="1">
      <c r="B33" s="140" t="s">
        <v>32</v>
      </c>
      <c r="C33" s="101" t="s">
        <v>189</v>
      </c>
      <c r="D33" s="101" t="s">
        <v>194</v>
      </c>
      <c r="E33" s="102" t="s">
        <v>192</v>
      </c>
      <c r="F33" s="181" t="s">
        <v>193</v>
      </c>
      <c r="G33" s="181" t="s">
        <v>205</v>
      </c>
      <c r="O33" s="140" t="s">
        <v>32</v>
      </c>
      <c r="P33" s="180" t="s">
        <v>186</v>
      </c>
      <c r="Q33" s="180" t="s">
        <v>203</v>
      </c>
      <c r="R33" s="181" t="s">
        <v>190</v>
      </c>
    </row>
    <row r="34" spans="2:18" ht="14.25" hidden="1" thickTop="1">
      <c r="B34" s="172">
        <v>0</v>
      </c>
      <c r="C34" s="173" t="s">
        <v>174</v>
      </c>
      <c r="D34" s="173"/>
      <c r="E34" s="174"/>
      <c r="F34" s="183" t="s">
        <v>174</v>
      </c>
      <c r="G34" s="186"/>
      <c r="O34" s="182">
        <v>0</v>
      </c>
      <c r="P34" s="179" t="s">
        <v>174</v>
      </c>
      <c r="Q34" s="179" t="s">
        <v>174</v>
      </c>
      <c r="R34" s="183" t="s">
        <v>174</v>
      </c>
    </row>
    <row r="35" spans="2:18" ht="14.25" thickTop="1">
      <c r="B35" s="175">
        <v>1</v>
      </c>
      <c r="C35" s="144"/>
      <c r="D35" s="26"/>
      <c r="E35" s="66" t="str">
        <f>IF($C35&lt;&gt;"","ALERT_" &amp; UPPER(Matrix!$D$6) &amp; "_" &amp; $C35,"")</f>
        <v/>
      </c>
      <c r="F35" s="177"/>
      <c r="G35" s="66" t="str">
        <f>IF(E35&lt;&gt;"",LEN(E35),"")</f>
        <v/>
      </c>
      <c r="O35" s="175">
        <v>1</v>
      </c>
      <c r="P35" s="144"/>
      <c r="Q35" s="144"/>
      <c r="R35" s="177"/>
    </row>
    <row r="36" spans="2:18">
      <c r="B36" s="175">
        <v>2</v>
      </c>
      <c r="C36" s="144"/>
      <c r="D36" s="26"/>
      <c r="E36" s="66" t="str">
        <f>IF($C36&lt;&gt;"","ALERT_" &amp; UPPER(Matrix!$D$6) &amp; "_" &amp; $C36,"")</f>
        <v/>
      </c>
      <c r="F36" s="177"/>
      <c r="G36" s="66" t="str">
        <f>IF(E36&lt;&gt;"",LEN(E36),"")</f>
        <v/>
      </c>
      <c r="O36" s="175">
        <v>2</v>
      </c>
      <c r="P36" s="144"/>
      <c r="Q36" s="144"/>
      <c r="R36" s="177"/>
    </row>
    <row r="37" spans="2:18">
      <c r="B37" s="175">
        <v>3</v>
      </c>
      <c r="C37" s="144"/>
      <c r="D37" s="26"/>
      <c r="E37" s="66" t="str">
        <f>IF($C37&lt;&gt;"","ALERT_" &amp; UPPER(Matrix!$D$6) &amp; "_" &amp; $C37,"")</f>
        <v/>
      </c>
      <c r="F37" s="177"/>
      <c r="G37" s="66" t="str">
        <f>IF(E37&lt;&gt;"",LEN(E37),"")</f>
        <v/>
      </c>
      <c r="O37" s="175">
        <v>3</v>
      </c>
      <c r="P37" s="144"/>
      <c r="Q37" s="144"/>
      <c r="R37" s="177"/>
    </row>
    <row r="38" spans="2:18">
      <c r="B38" s="175">
        <v>4</v>
      </c>
      <c r="C38" s="144"/>
      <c r="D38" s="26"/>
      <c r="E38" s="66" t="str">
        <f>IF($C38&lt;&gt;"","ALERT_" &amp; UPPER(Matrix!$D$6) &amp; "_" &amp; $C38,"")</f>
        <v/>
      </c>
      <c r="F38" s="177"/>
      <c r="G38" s="66" t="str">
        <f t="shared" ref="G38:G59" si="1">IF(E38&lt;&gt;"",LEN(E38),"")</f>
        <v/>
      </c>
      <c r="O38" s="175">
        <v>4</v>
      </c>
      <c r="P38" s="144"/>
      <c r="Q38" s="144"/>
      <c r="R38" s="177"/>
    </row>
    <row r="39" spans="2:18">
      <c r="B39" s="175">
        <v>5</v>
      </c>
      <c r="C39" s="144"/>
      <c r="D39" s="26"/>
      <c r="E39" s="66" t="str">
        <f>IF($C39&lt;&gt;"","ALERT_" &amp; UPPER(Matrix!$D$6) &amp; "_" &amp; $C39,"")</f>
        <v/>
      </c>
      <c r="F39" s="177"/>
      <c r="G39" s="66" t="str">
        <f t="shared" si="1"/>
        <v/>
      </c>
      <c r="O39" s="175">
        <v>5</v>
      </c>
      <c r="P39" s="144"/>
      <c r="Q39" s="144"/>
      <c r="R39" s="177"/>
    </row>
    <row r="40" spans="2:18">
      <c r="B40" s="175">
        <v>6</v>
      </c>
      <c r="C40" s="144"/>
      <c r="D40" s="26"/>
      <c r="E40" s="66" t="str">
        <f>IF($C40&lt;&gt;"","ALERT_" &amp; UPPER(Matrix!$D$6) &amp; "_" &amp; $C40,"")</f>
        <v/>
      </c>
      <c r="F40" s="177"/>
      <c r="G40" s="66" t="str">
        <f t="shared" si="1"/>
        <v/>
      </c>
      <c r="O40" s="175">
        <v>6</v>
      </c>
      <c r="P40" s="144"/>
      <c r="Q40" s="144"/>
      <c r="R40" s="177"/>
    </row>
    <row r="41" spans="2:18">
      <c r="B41" s="175">
        <v>7</v>
      </c>
      <c r="C41" s="144"/>
      <c r="D41" s="26"/>
      <c r="E41" s="66" t="str">
        <f>IF($C41&lt;&gt;"","ALERT_" &amp; UPPER(Matrix!$D$6) &amp; "_" &amp; $C41,"")</f>
        <v/>
      </c>
      <c r="F41" s="177"/>
      <c r="G41" s="66" t="str">
        <f t="shared" si="1"/>
        <v/>
      </c>
      <c r="O41" s="175">
        <v>7</v>
      </c>
      <c r="P41" s="144"/>
      <c r="Q41" s="144"/>
      <c r="R41" s="177"/>
    </row>
    <row r="42" spans="2:18">
      <c r="B42" s="175">
        <v>8</v>
      </c>
      <c r="C42" s="144"/>
      <c r="D42" s="26"/>
      <c r="E42" s="66" t="str">
        <f>IF($C42&lt;&gt;"","ALERT_" &amp; UPPER(Matrix!$D$6) &amp; "_" &amp; $C42,"")</f>
        <v/>
      </c>
      <c r="F42" s="177"/>
      <c r="G42" s="66" t="str">
        <f t="shared" si="1"/>
        <v/>
      </c>
      <c r="O42" s="175">
        <v>8</v>
      </c>
      <c r="P42" s="144"/>
      <c r="Q42" s="144"/>
      <c r="R42" s="177"/>
    </row>
    <row r="43" spans="2:18">
      <c r="B43" s="175">
        <v>9</v>
      </c>
      <c r="C43" s="144"/>
      <c r="D43" s="26"/>
      <c r="E43" s="66" t="str">
        <f>IF($C43&lt;&gt;"","ALERT_" &amp; UPPER(Matrix!$D$6) &amp; "_" &amp; $C43,"")</f>
        <v/>
      </c>
      <c r="F43" s="177"/>
      <c r="G43" s="66" t="str">
        <f t="shared" si="1"/>
        <v/>
      </c>
      <c r="O43" s="175">
        <v>9</v>
      </c>
      <c r="P43" s="144"/>
      <c r="Q43" s="144"/>
      <c r="R43" s="177"/>
    </row>
    <row r="44" spans="2:18">
      <c r="B44" s="175">
        <v>10</v>
      </c>
      <c r="C44" s="144"/>
      <c r="D44" s="26"/>
      <c r="E44" s="66" t="str">
        <f>IF($C44&lt;&gt;"","ALERT_" &amp; UPPER(Matrix!$D$6) &amp; "_" &amp; $C44,"")</f>
        <v/>
      </c>
      <c r="F44" s="177"/>
      <c r="G44" s="66" t="str">
        <f t="shared" si="1"/>
        <v/>
      </c>
      <c r="O44" s="175">
        <v>10</v>
      </c>
      <c r="P44" s="144"/>
      <c r="Q44" s="144"/>
      <c r="R44" s="177"/>
    </row>
    <row r="45" spans="2:18">
      <c r="B45" s="175">
        <v>11</v>
      </c>
      <c r="C45" s="144"/>
      <c r="D45" s="26"/>
      <c r="E45" s="66" t="str">
        <f>IF($C45&lt;&gt;"","ALERT_" &amp; UPPER(Matrix!$D$6) &amp; "_" &amp; $C45,"")</f>
        <v/>
      </c>
      <c r="F45" s="177"/>
      <c r="G45" s="66" t="str">
        <f t="shared" si="1"/>
        <v/>
      </c>
      <c r="O45" s="175">
        <v>11</v>
      </c>
      <c r="P45" s="144"/>
      <c r="Q45" s="144"/>
      <c r="R45" s="177"/>
    </row>
    <row r="46" spans="2:18">
      <c r="B46" s="175">
        <v>12</v>
      </c>
      <c r="C46" s="144"/>
      <c r="D46" s="26"/>
      <c r="E46" s="66" t="str">
        <f>IF($C46&lt;&gt;"","ALERT_" &amp; UPPER(Matrix!$D$6) &amp; "_" &amp; $C46,"")</f>
        <v/>
      </c>
      <c r="F46" s="177"/>
      <c r="G46" s="66" t="str">
        <f t="shared" si="1"/>
        <v/>
      </c>
      <c r="O46" s="175">
        <v>12</v>
      </c>
      <c r="P46" s="144"/>
      <c r="Q46" s="144"/>
      <c r="R46" s="177"/>
    </row>
    <row r="47" spans="2:18">
      <c r="B47" s="175">
        <v>13</v>
      </c>
      <c r="C47" s="144"/>
      <c r="D47" s="26"/>
      <c r="E47" s="66" t="str">
        <f>IF($C47&lt;&gt;"","ALERT_" &amp; UPPER(Matrix!$D$6) &amp; "_" &amp; $C47,"")</f>
        <v/>
      </c>
      <c r="F47" s="177"/>
      <c r="G47" s="66" t="str">
        <f t="shared" si="1"/>
        <v/>
      </c>
      <c r="O47" s="175">
        <v>13</v>
      </c>
      <c r="P47" s="144"/>
      <c r="Q47" s="144"/>
      <c r="R47" s="177"/>
    </row>
    <row r="48" spans="2:18">
      <c r="B48" s="175">
        <v>14</v>
      </c>
      <c r="C48" s="144"/>
      <c r="D48" s="26"/>
      <c r="E48" s="66" t="str">
        <f>IF($C48&lt;&gt;"","ALERT_" &amp; UPPER(Matrix!$D$6) &amp; "_" &amp; $C48,"")</f>
        <v/>
      </c>
      <c r="F48" s="177"/>
      <c r="G48" s="66" t="str">
        <f t="shared" si="1"/>
        <v/>
      </c>
      <c r="O48" s="175">
        <v>14</v>
      </c>
      <c r="P48" s="144"/>
      <c r="Q48" s="144"/>
      <c r="R48" s="177"/>
    </row>
    <row r="49" spans="2:18">
      <c r="B49" s="175">
        <v>15</v>
      </c>
      <c r="C49" s="144"/>
      <c r="D49" s="26"/>
      <c r="E49" s="66" t="str">
        <f>IF($C49&lt;&gt;"","ALERT_" &amp; UPPER(Matrix!$D$6) &amp; "_" &amp; $C49,"")</f>
        <v/>
      </c>
      <c r="F49" s="177"/>
      <c r="G49" s="66" t="str">
        <f t="shared" si="1"/>
        <v/>
      </c>
      <c r="O49" s="175">
        <v>15</v>
      </c>
      <c r="P49" s="144"/>
      <c r="Q49" s="144"/>
      <c r="R49" s="177"/>
    </row>
    <row r="50" spans="2:18">
      <c r="B50" s="175">
        <v>16</v>
      </c>
      <c r="C50" s="144"/>
      <c r="D50" s="26"/>
      <c r="E50" s="66" t="str">
        <f>IF($C50&lt;&gt;"","ALERT_" &amp; UPPER(Matrix!$D$6) &amp; "_" &amp; $C50,"")</f>
        <v/>
      </c>
      <c r="F50" s="177"/>
      <c r="G50" s="66" t="str">
        <f t="shared" si="1"/>
        <v/>
      </c>
      <c r="O50" s="175">
        <v>16</v>
      </c>
      <c r="P50" s="144"/>
      <c r="Q50" s="144"/>
      <c r="R50" s="177"/>
    </row>
    <row r="51" spans="2:18">
      <c r="B51" s="175">
        <v>17</v>
      </c>
      <c r="C51" s="144"/>
      <c r="D51" s="26"/>
      <c r="E51" s="66" t="str">
        <f>IF($C51&lt;&gt;"","ALERT_" &amp; UPPER(Matrix!$D$6) &amp; "_" &amp; $C51,"")</f>
        <v/>
      </c>
      <c r="F51" s="177"/>
      <c r="G51" s="66" t="str">
        <f t="shared" si="1"/>
        <v/>
      </c>
      <c r="O51" s="175">
        <v>17</v>
      </c>
      <c r="P51" s="144"/>
      <c r="Q51" s="144"/>
      <c r="R51" s="177"/>
    </row>
    <row r="52" spans="2:18">
      <c r="B52" s="175">
        <v>18</v>
      </c>
      <c r="C52" s="144"/>
      <c r="D52" s="26"/>
      <c r="E52" s="66" t="str">
        <f>IF($C52&lt;&gt;"","ALERT_" &amp; UPPER(Matrix!$D$6) &amp; "_" &amp; $C52,"")</f>
        <v/>
      </c>
      <c r="F52" s="177"/>
      <c r="G52" s="66" t="str">
        <f t="shared" si="1"/>
        <v/>
      </c>
      <c r="O52" s="175">
        <v>18</v>
      </c>
      <c r="P52" s="144"/>
      <c r="Q52" s="144"/>
      <c r="R52" s="177"/>
    </row>
    <row r="53" spans="2:18">
      <c r="B53" s="175">
        <v>19</v>
      </c>
      <c r="C53" s="144"/>
      <c r="D53" s="26"/>
      <c r="E53" s="66" t="str">
        <f>IF($C53&lt;&gt;"","ALERT_" &amp; UPPER(Matrix!$D$6) &amp; "_" &amp; $C53,"")</f>
        <v/>
      </c>
      <c r="F53" s="177"/>
      <c r="G53" s="66" t="str">
        <f t="shared" si="1"/>
        <v/>
      </c>
      <c r="O53" s="175">
        <v>19</v>
      </c>
      <c r="P53" s="144"/>
      <c r="Q53" s="144"/>
      <c r="R53" s="177"/>
    </row>
    <row r="54" spans="2:18">
      <c r="B54" s="175">
        <v>20</v>
      </c>
      <c r="C54" s="144"/>
      <c r="D54" s="26"/>
      <c r="E54" s="66" t="str">
        <f>IF($C54&lt;&gt;"","ALERT_" &amp; UPPER(Matrix!$D$6) &amp; "_" &amp; $C54,"")</f>
        <v/>
      </c>
      <c r="F54" s="177"/>
      <c r="G54" s="66" t="str">
        <f t="shared" si="1"/>
        <v/>
      </c>
      <c r="O54" s="175">
        <v>20</v>
      </c>
      <c r="P54" s="144"/>
      <c r="Q54" s="144"/>
      <c r="R54" s="177"/>
    </row>
    <row r="55" spans="2:18">
      <c r="B55" s="175">
        <v>21</v>
      </c>
      <c r="C55" s="144"/>
      <c r="D55" s="26"/>
      <c r="E55" s="66" t="str">
        <f>IF($C55&lt;&gt;"","ALERT_" &amp; UPPER(Matrix!$D$6) &amp; "_" &amp; $C55,"")</f>
        <v/>
      </c>
      <c r="F55" s="177"/>
      <c r="G55" s="66" t="str">
        <f t="shared" si="1"/>
        <v/>
      </c>
      <c r="O55" s="175">
        <v>21</v>
      </c>
      <c r="P55" s="144"/>
      <c r="Q55" s="144"/>
      <c r="R55" s="177"/>
    </row>
    <row r="56" spans="2:18">
      <c r="B56" s="175">
        <v>22</v>
      </c>
      <c r="C56" s="144"/>
      <c r="D56" s="26"/>
      <c r="E56" s="66" t="str">
        <f>IF($C56&lt;&gt;"","ALERT_" &amp; UPPER(Matrix!$D$6) &amp; "_" &amp; $C56,"")</f>
        <v/>
      </c>
      <c r="F56" s="177"/>
      <c r="G56" s="66" t="str">
        <f t="shared" si="1"/>
        <v/>
      </c>
      <c r="O56" s="175">
        <v>22</v>
      </c>
      <c r="P56" s="144"/>
      <c r="Q56" s="144"/>
      <c r="R56" s="177"/>
    </row>
    <row r="57" spans="2:18">
      <c r="B57" s="175">
        <v>23</v>
      </c>
      <c r="C57" s="144"/>
      <c r="D57" s="26"/>
      <c r="E57" s="66" t="str">
        <f>IF($C57&lt;&gt;"","ALERT_" &amp; UPPER(Matrix!$D$6) &amp; "_" &amp; $C57,"")</f>
        <v/>
      </c>
      <c r="F57" s="177"/>
      <c r="G57" s="66" t="str">
        <f t="shared" si="1"/>
        <v/>
      </c>
      <c r="O57" s="175">
        <v>23</v>
      </c>
      <c r="P57" s="144"/>
      <c r="Q57" s="144"/>
      <c r="R57" s="177"/>
    </row>
    <row r="58" spans="2:18">
      <c r="B58" s="175">
        <v>24</v>
      </c>
      <c r="C58" s="144"/>
      <c r="D58" s="26"/>
      <c r="E58" s="66" t="str">
        <f>IF($C58&lt;&gt;"","ALERT_" &amp; UPPER(Matrix!$D$6) &amp; "_" &amp; $C58,"")</f>
        <v/>
      </c>
      <c r="F58" s="177"/>
      <c r="G58" s="66" t="str">
        <f t="shared" si="1"/>
        <v/>
      </c>
      <c r="O58" s="175">
        <v>24</v>
      </c>
      <c r="P58" s="144"/>
      <c r="Q58" s="144"/>
      <c r="R58" s="177"/>
    </row>
    <row r="59" spans="2:18" ht="14.25" thickBot="1">
      <c r="B59" s="176">
        <v>25</v>
      </c>
      <c r="C59" s="142"/>
      <c r="D59" s="52"/>
      <c r="E59" s="67" t="str">
        <f>IF($C59&lt;&gt;"","ALERT_" &amp; UPPER(Matrix!$D$6) &amp; "_" &amp; $C59,"")</f>
        <v/>
      </c>
      <c r="F59" s="178"/>
      <c r="G59" s="67" t="str">
        <f t="shared" si="1"/>
        <v/>
      </c>
      <c r="O59" s="176">
        <v>25</v>
      </c>
      <c r="P59" s="142"/>
      <c r="Q59" s="142"/>
      <c r="R59" s="17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6.125" customWidth="1"/>
    <col min="9" max="9" width="12.375" customWidth="1"/>
    <col min="10" max="10" width="34.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7" t="s">
        <v>104</v>
      </c>
    </row>
    <row r="2" spans="2:21" ht="14.25" thickBot="1">
      <c r="B2" s="95" t="s">
        <v>56</v>
      </c>
      <c r="C2" s="96" t="s">
        <v>126</v>
      </c>
      <c r="D2" s="97" t="s">
        <v>50</v>
      </c>
      <c r="E2" s="98" t="s">
        <v>51</v>
      </c>
      <c r="F2" s="99" t="s">
        <v>22</v>
      </c>
      <c r="G2" s="98" t="s">
        <v>52</v>
      </c>
      <c r="H2" s="99" t="s">
        <v>24</v>
      </c>
      <c r="I2" s="98" t="s">
        <v>53</v>
      </c>
      <c r="J2" s="99" t="s">
        <v>172</v>
      </c>
      <c r="K2" s="98" t="s">
        <v>54</v>
      </c>
      <c r="L2" s="99" t="s">
        <v>25</v>
      </c>
      <c r="M2" s="96" t="s">
        <v>55</v>
      </c>
      <c r="N2" s="99" t="s">
        <v>121</v>
      </c>
      <c r="O2" s="120" t="s">
        <v>81</v>
      </c>
    </row>
    <row r="3" spans="2:21" ht="15" hidden="1" thickTop="1" thickBot="1">
      <c r="B3" s="27"/>
      <c r="C3" s="49" t="s">
        <v>108</v>
      </c>
      <c r="D3" s="111"/>
      <c r="E3" s="13"/>
      <c r="F3" s="15"/>
      <c r="G3" s="13"/>
      <c r="H3" s="15"/>
      <c r="I3" s="13"/>
      <c r="J3" s="15"/>
      <c r="K3" s="13"/>
      <c r="L3" s="15"/>
      <c r="M3" s="50"/>
      <c r="N3" s="107"/>
      <c r="O3" s="121"/>
      <c r="U3" s="91" t="s">
        <v>98</v>
      </c>
    </row>
    <row r="4" spans="2:21" ht="14.25" thickTop="1">
      <c r="B4" s="27" t="s">
        <v>223</v>
      </c>
      <c r="C4" s="49" t="s">
        <v>224</v>
      </c>
      <c r="D4" s="111">
        <v>0</v>
      </c>
      <c r="E4" s="112" t="s">
        <v>130</v>
      </c>
      <c r="F4" s="113" t="s">
        <v>213</v>
      </c>
      <c r="G4" s="112" t="s">
        <v>130</v>
      </c>
      <c r="H4" s="113" t="s">
        <v>210</v>
      </c>
      <c r="I4" s="112" t="s">
        <v>130</v>
      </c>
      <c r="J4" s="113" t="s">
        <v>246</v>
      </c>
      <c r="K4" s="112" t="s">
        <v>130</v>
      </c>
      <c r="L4" s="113" t="s">
        <v>251</v>
      </c>
      <c r="M4" s="50">
        <f>LEN(N4)</f>
        <v>21</v>
      </c>
      <c r="N4" s="107" t="str">
        <f>VLOOKUP($B4,Matrix!$H$13:$I$37,2,FALSE)&amp;"_"&amp;C4</f>
        <v>ALERT_REQ_C_BRK_0_LOW</v>
      </c>
      <c r="O4" s="121" t="str">
        <f t="shared" ref="O4:O35" si="0">"#define "&amp;N4&amp;REPT(" ",48-M4)&amp;"("&amp;D4&amp;"U)"</f>
        <v>#define ALERT_REQ_C_BRK_0_LOW                           (0U)</v>
      </c>
      <c r="U4" s="91" t="s">
        <v>98</v>
      </c>
    </row>
    <row r="5" spans="2:21">
      <c r="B5" s="27" t="s">
        <v>223</v>
      </c>
      <c r="C5" s="26" t="s">
        <v>225</v>
      </c>
      <c r="D5" s="114">
        <v>1</v>
      </c>
      <c r="E5" s="188" t="s">
        <v>130</v>
      </c>
      <c r="F5" s="115" t="s">
        <v>213</v>
      </c>
      <c r="G5" s="188" t="s">
        <v>130</v>
      </c>
      <c r="H5" s="115" t="s">
        <v>210</v>
      </c>
      <c r="I5" s="188" t="s">
        <v>130</v>
      </c>
      <c r="J5" s="115" t="s">
        <v>247</v>
      </c>
      <c r="K5" s="188" t="s">
        <v>130</v>
      </c>
      <c r="L5" s="115" t="s">
        <v>251</v>
      </c>
      <c r="M5" s="45">
        <f t="shared" ref="M5:M68" si="1">LEN(N5)</f>
        <v>23</v>
      </c>
      <c r="N5" s="107" t="str">
        <f>VLOOKUP($B5,Matrix!$H$13:$I$37,2,FALSE)&amp;"_"&amp;C5</f>
        <v>ALERT_REQ_C_BRK_0_TMODE</v>
      </c>
      <c r="O5" s="122" t="str">
        <f t="shared" si="0"/>
        <v>#define ALERT_REQ_C_BRK_0_TMODE                         (1U)</v>
      </c>
      <c r="U5" s="89" t="s">
        <v>99</v>
      </c>
    </row>
    <row r="6" spans="2:21">
      <c r="B6" s="27"/>
      <c r="C6" s="104"/>
      <c r="D6" s="118"/>
      <c r="E6" s="188"/>
      <c r="F6" s="115"/>
      <c r="G6" s="188"/>
      <c r="H6" s="115"/>
      <c r="I6" s="188"/>
      <c r="J6" s="115"/>
      <c r="K6" s="188"/>
      <c r="L6" s="115"/>
      <c r="M6" s="45" t="e">
        <f t="shared" si="1"/>
        <v>#N/A</v>
      </c>
      <c r="N6" s="107" t="e">
        <f>VLOOKUP($B6,Matrix!$H$13:$I$37,2,FALSE)&amp;"_"&amp;C6</f>
        <v>#N/A</v>
      </c>
      <c r="O6" s="122" t="e">
        <f t="shared" si="0"/>
        <v>#N/A</v>
      </c>
      <c r="U6" s="32" t="s">
        <v>100</v>
      </c>
    </row>
    <row r="7" spans="2:21">
      <c r="B7" s="106"/>
      <c r="C7" s="105"/>
      <c r="D7" s="119"/>
      <c r="E7" s="188"/>
      <c r="F7" s="115"/>
      <c r="G7" s="188"/>
      <c r="H7" s="115"/>
      <c r="I7" s="188"/>
      <c r="J7" s="192"/>
      <c r="K7" s="188"/>
      <c r="L7" s="115"/>
      <c r="M7" s="45" t="e">
        <f t="shared" si="1"/>
        <v>#N/A</v>
      </c>
      <c r="N7" s="107" t="e">
        <f>VLOOKUP($B7,Matrix!$H$13:$I$37,2,FALSE)&amp;"_"&amp;C7</f>
        <v>#N/A</v>
      </c>
      <c r="O7" s="122" t="e">
        <f t="shared" si="0"/>
        <v>#N/A</v>
      </c>
      <c r="U7" s="32" t="s">
        <v>101</v>
      </c>
    </row>
    <row r="8" spans="2:21">
      <c r="B8" s="106"/>
      <c r="C8" s="105"/>
      <c r="D8" s="119"/>
      <c r="E8" s="27"/>
      <c r="F8" s="115"/>
      <c r="G8" s="27"/>
      <c r="H8" s="115"/>
      <c r="I8" s="27"/>
      <c r="J8" s="192"/>
      <c r="K8" s="27"/>
      <c r="L8" s="115"/>
      <c r="M8" s="45" t="e">
        <f t="shared" si="1"/>
        <v>#N/A</v>
      </c>
      <c r="N8" s="107" t="e">
        <f>VLOOKUP($B8,Matrix!$H$13:$I$37,2,FALSE)&amp;"_"&amp;C8</f>
        <v>#N/A</v>
      </c>
      <c r="O8" s="122" t="e">
        <f t="shared" si="0"/>
        <v>#N/A</v>
      </c>
      <c r="U8" s="32" t="s">
        <v>102</v>
      </c>
    </row>
    <row r="9" spans="2:21">
      <c r="B9" s="106"/>
      <c r="C9" s="26"/>
      <c r="D9" s="114"/>
      <c r="E9" s="27"/>
      <c r="F9" s="115"/>
      <c r="G9" s="27"/>
      <c r="H9" s="115"/>
      <c r="I9" s="27"/>
      <c r="J9" s="192"/>
      <c r="K9" s="27"/>
      <c r="L9" s="115"/>
      <c r="M9" s="45" t="e">
        <f t="shared" si="1"/>
        <v>#N/A</v>
      </c>
      <c r="N9" s="107" t="e">
        <f>VLOOKUP($B9,Matrix!$H$13:$I$37,2,FALSE)&amp;"_"&amp;C9</f>
        <v>#N/A</v>
      </c>
      <c r="O9" s="122" t="e">
        <f t="shared" si="0"/>
        <v>#N/A</v>
      </c>
      <c r="U9" s="32" t="s">
        <v>103</v>
      </c>
    </row>
    <row r="10" spans="2:21">
      <c r="B10" s="27"/>
      <c r="C10" s="26"/>
      <c r="D10" s="114"/>
      <c r="E10" s="27"/>
      <c r="F10" s="115"/>
      <c r="G10" s="27"/>
      <c r="H10" s="115"/>
      <c r="I10" s="27"/>
      <c r="J10" s="192"/>
      <c r="K10" s="27"/>
      <c r="L10" s="115"/>
      <c r="M10" s="45" t="e">
        <f t="shared" si="1"/>
        <v>#N/A</v>
      </c>
      <c r="N10" s="107" t="e">
        <f>VLOOKUP($B10,Matrix!$H$13:$I$37,2,FALSE)&amp;"_"&amp;C10</f>
        <v>#N/A</v>
      </c>
      <c r="O10" s="122" t="e">
        <f t="shared" si="0"/>
        <v>#N/A</v>
      </c>
      <c r="U10" s="32"/>
    </row>
    <row r="11" spans="2:21">
      <c r="B11" s="106"/>
      <c r="C11" s="26"/>
      <c r="D11" s="114"/>
      <c r="E11" s="27"/>
      <c r="F11" s="115"/>
      <c r="G11" s="27"/>
      <c r="H11" s="115"/>
      <c r="I11" s="27"/>
      <c r="J11" s="192"/>
      <c r="K11" s="27"/>
      <c r="L11" s="115"/>
      <c r="M11" s="45" t="e">
        <f t="shared" si="1"/>
        <v>#N/A</v>
      </c>
      <c r="N11" s="107" t="e">
        <f>VLOOKUP($B11,Matrix!$H$13:$I$37,2,FALSE)&amp;"_"&amp;C11</f>
        <v>#N/A</v>
      </c>
      <c r="O11" s="122" t="e">
        <f t="shared" si="0"/>
        <v>#N/A</v>
      </c>
      <c r="U11" s="32"/>
    </row>
    <row r="12" spans="2:21">
      <c r="B12" s="106"/>
      <c r="C12" s="105"/>
      <c r="D12" s="114"/>
      <c r="E12" s="27"/>
      <c r="F12" s="115"/>
      <c r="G12" s="27"/>
      <c r="H12" s="115"/>
      <c r="I12" s="27"/>
      <c r="J12" s="192"/>
      <c r="K12" s="27"/>
      <c r="L12" s="115"/>
      <c r="M12" s="45" t="e">
        <f t="shared" si="1"/>
        <v>#N/A</v>
      </c>
      <c r="N12" s="107" t="e">
        <f>VLOOKUP($B12,Matrix!$H$13:$I$37,2,FALSE)&amp;"_"&amp;C12</f>
        <v>#N/A</v>
      </c>
      <c r="O12" s="122" t="e">
        <f t="shared" si="0"/>
        <v>#N/A</v>
      </c>
      <c r="U12" s="32"/>
    </row>
    <row r="13" spans="2:21" ht="14.25" thickBot="1">
      <c r="B13" s="27"/>
      <c r="C13" s="26"/>
      <c r="D13" s="119"/>
      <c r="E13" s="27"/>
      <c r="F13" s="115"/>
      <c r="G13" s="27"/>
      <c r="H13" s="115"/>
      <c r="I13" s="27"/>
      <c r="J13" s="192"/>
      <c r="K13" s="27"/>
      <c r="L13" s="115"/>
      <c r="M13" s="45" t="e">
        <f t="shared" si="1"/>
        <v>#N/A</v>
      </c>
      <c r="N13" s="107" t="e">
        <f>VLOOKUP($B13,Matrix!$H$13:$I$37,2,FALSE)&amp;"_"&amp;C13</f>
        <v>#N/A</v>
      </c>
      <c r="O13" s="122" t="e">
        <f t="shared" si="0"/>
        <v>#N/A</v>
      </c>
      <c r="U13" s="90"/>
    </row>
    <row r="14" spans="2:21">
      <c r="B14" s="106"/>
      <c r="C14" s="105"/>
      <c r="D14" s="119"/>
      <c r="E14" s="27"/>
      <c r="F14" s="115"/>
      <c r="G14" s="27"/>
      <c r="H14" s="115"/>
      <c r="I14" s="27"/>
      <c r="J14" s="192"/>
      <c r="K14" s="27"/>
      <c r="L14" s="115"/>
      <c r="M14" s="45" t="e">
        <f t="shared" si="1"/>
        <v>#N/A</v>
      </c>
      <c r="N14" s="107" t="e">
        <f>VLOOKUP($B14,Matrix!$H$13:$I$37,2,FALSE)&amp;"_"&amp;C14</f>
        <v>#N/A</v>
      </c>
      <c r="O14" s="122" t="e">
        <f t="shared" si="0"/>
        <v>#N/A</v>
      </c>
    </row>
    <row r="15" spans="2:21">
      <c r="B15" s="27"/>
      <c r="C15" s="26"/>
      <c r="D15" s="114"/>
      <c r="E15" s="27"/>
      <c r="F15" s="115"/>
      <c r="G15" s="27"/>
      <c r="H15" s="115"/>
      <c r="I15" s="27"/>
      <c r="J15" s="192"/>
      <c r="K15" s="27"/>
      <c r="L15" s="115"/>
      <c r="M15" s="45" t="e">
        <f t="shared" si="1"/>
        <v>#N/A</v>
      </c>
      <c r="N15" s="107" t="e">
        <f>VLOOKUP($B15,Matrix!$H$13:$I$37,2,FALSE)&amp;"_"&amp;C15</f>
        <v>#N/A</v>
      </c>
      <c r="O15" s="122" t="e">
        <f t="shared" si="0"/>
        <v>#N/A</v>
      </c>
    </row>
    <row r="16" spans="2:21">
      <c r="B16" s="106"/>
      <c r="C16" s="105"/>
      <c r="D16" s="114"/>
      <c r="E16" s="27"/>
      <c r="F16" s="115"/>
      <c r="G16" s="27"/>
      <c r="H16" s="115"/>
      <c r="I16" s="27"/>
      <c r="J16" s="192"/>
      <c r="K16" s="27"/>
      <c r="L16" s="115"/>
      <c r="M16" s="45" t="e">
        <f t="shared" si="1"/>
        <v>#N/A</v>
      </c>
      <c r="N16" s="107" t="e">
        <f>VLOOKUP($B16,Matrix!$H$13:$I$37,2,FALSE)&amp;"_"&amp;C16</f>
        <v>#N/A</v>
      </c>
      <c r="O16" s="122" t="e">
        <f t="shared" si="0"/>
        <v>#N/A</v>
      </c>
    </row>
    <row r="17" spans="2:15">
      <c r="B17" s="106"/>
      <c r="C17" s="105"/>
      <c r="D17" s="114"/>
      <c r="E17" s="27"/>
      <c r="F17" s="115"/>
      <c r="G17" s="27"/>
      <c r="H17" s="115"/>
      <c r="I17" s="27"/>
      <c r="J17" s="192"/>
      <c r="K17" s="27"/>
      <c r="L17" s="115"/>
      <c r="M17" s="45" t="e">
        <f t="shared" si="1"/>
        <v>#N/A</v>
      </c>
      <c r="N17" s="107" t="e">
        <f>VLOOKUP($B17,Matrix!$H$13:$I$37,2,FALSE)&amp;"_"&amp;C17</f>
        <v>#N/A</v>
      </c>
      <c r="O17" s="122" t="e">
        <f t="shared" si="0"/>
        <v>#N/A</v>
      </c>
    </row>
    <row r="18" spans="2:15">
      <c r="B18" s="27"/>
      <c r="C18" s="26"/>
      <c r="D18" s="114"/>
      <c r="E18" s="27"/>
      <c r="F18" s="115"/>
      <c r="G18" s="27"/>
      <c r="H18" s="115"/>
      <c r="I18" s="27"/>
      <c r="J18" s="115"/>
      <c r="K18" s="27"/>
      <c r="L18" s="115"/>
      <c r="M18" s="45" t="e">
        <f t="shared" si="1"/>
        <v>#N/A</v>
      </c>
      <c r="N18" s="107" t="e">
        <f>VLOOKUP($B18,Matrix!$H$13:$I$37,2,FALSE)&amp;"_"&amp;C18</f>
        <v>#N/A</v>
      </c>
      <c r="O18" s="122" t="e">
        <f t="shared" si="0"/>
        <v>#N/A</v>
      </c>
    </row>
    <row r="19" spans="2:15">
      <c r="B19" s="27"/>
      <c r="C19" s="26"/>
      <c r="D19" s="114"/>
      <c r="E19" s="27"/>
      <c r="F19" s="115"/>
      <c r="G19" s="27"/>
      <c r="H19" s="115"/>
      <c r="I19" s="27"/>
      <c r="J19" s="115"/>
      <c r="K19" s="27"/>
      <c r="L19" s="115"/>
      <c r="M19" s="45" t="e">
        <f t="shared" si="1"/>
        <v>#N/A</v>
      </c>
      <c r="N19" s="107" t="e">
        <f>VLOOKUP($B19,Matrix!$H$13:$I$37,2,FALSE)&amp;"_"&amp;C19</f>
        <v>#N/A</v>
      </c>
      <c r="O19" s="122" t="e">
        <f t="shared" si="0"/>
        <v>#N/A</v>
      </c>
    </row>
    <row r="20" spans="2:15">
      <c r="B20" s="27"/>
      <c r="C20" s="26"/>
      <c r="D20" s="114"/>
      <c r="E20" s="27"/>
      <c r="F20" s="115"/>
      <c r="G20" s="27"/>
      <c r="H20" s="115"/>
      <c r="I20" s="27"/>
      <c r="J20" s="115"/>
      <c r="K20" s="27"/>
      <c r="L20" s="115"/>
      <c r="M20" s="45" t="e">
        <f t="shared" si="1"/>
        <v>#N/A</v>
      </c>
      <c r="N20" s="107" t="e">
        <f>VLOOKUP($B20,Matrix!$H$13:$I$37,2,FALSE)&amp;"_"&amp;C20</f>
        <v>#N/A</v>
      </c>
      <c r="O20" s="122" t="e">
        <f t="shared" si="0"/>
        <v>#N/A</v>
      </c>
    </row>
    <row r="21" spans="2:15">
      <c r="B21" s="27"/>
      <c r="C21" s="26"/>
      <c r="D21" s="114"/>
      <c r="E21" s="27"/>
      <c r="F21" s="115"/>
      <c r="G21" s="27"/>
      <c r="H21" s="115"/>
      <c r="I21" s="27"/>
      <c r="J21" s="115"/>
      <c r="K21" s="27"/>
      <c r="L21" s="115"/>
      <c r="M21" s="45" t="e">
        <f t="shared" si="1"/>
        <v>#N/A</v>
      </c>
      <c r="N21" s="107" t="e">
        <f>VLOOKUP($B21,Matrix!$H$13:$I$37,2,FALSE)&amp;"_"&amp;C21</f>
        <v>#N/A</v>
      </c>
      <c r="O21" s="122" t="e">
        <f t="shared" si="0"/>
        <v>#N/A</v>
      </c>
    </row>
    <row r="22" spans="2:15">
      <c r="B22" s="27"/>
      <c r="C22" s="26"/>
      <c r="D22" s="114"/>
      <c r="E22" s="27"/>
      <c r="F22" s="115"/>
      <c r="G22" s="27"/>
      <c r="H22" s="115"/>
      <c r="I22" s="27"/>
      <c r="J22" s="115"/>
      <c r="K22" s="27"/>
      <c r="L22" s="115"/>
      <c r="M22" s="45" t="e">
        <f t="shared" si="1"/>
        <v>#N/A</v>
      </c>
      <c r="N22" s="107" t="e">
        <f>VLOOKUP($B22,Matrix!$H$13:$I$37,2,FALSE)&amp;"_"&amp;C22</f>
        <v>#N/A</v>
      </c>
      <c r="O22" s="122" t="e">
        <f t="shared" si="0"/>
        <v>#N/A</v>
      </c>
    </row>
    <row r="23" spans="2:15">
      <c r="B23" s="27"/>
      <c r="C23" s="26"/>
      <c r="D23" s="114"/>
      <c r="E23" s="27"/>
      <c r="F23" s="115"/>
      <c r="G23" s="27"/>
      <c r="H23" s="115"/>
      <c r="I23" s="27"/>
      <c r="J23" s="115"/>
      <c r="K23" s="27"/>
      <c r="L23" s="115"/>
      <c r="M23" s="45" t="e">
        <f t="shared" si="1"/>
        <v>#N/A</v>
      </c>
      <c r="N23" s="107" t="e">
        <f>VLOOKUP($B23,Matrix!$H$13:$I$37,2,FALSE)&amp;"_"&amp;C23</f>
        <v>#N/A</v>
      </c>
      <c r="O23" s="122" t="e">
        <f t="shared" si="0"/>
        <v>#N/A</v>
      </c>
    </row>
    <row r="24" spans="2:15">
      <c r="B24" s="27"/>
      <c r="C24" s="26"/>
      <c r="D24" s="114"/>
      <c r="E24" s="27"/>
      <c r="F24" s="115"/>
      <c r="G24" s="27"/>
      <c r="H24" s="115"/>
      <c r="I24" s="27"/>
      <c r="J24" s="115"/>
      <c r="K24" s="27"/>
      <c r="L24" s="115"/>
      <c r="M24" s="45" t="e">
        <f t="shared" si="1"/>
        <v>#N/A</v>
      </c>
      <c r="N24" s="107" t="e">
        <f>VLOOKUP($B24,Matrix!$H$13:$I$37,2,FALSE)&amp;"_"&amp;C24</f>
        <v>#N/A</v>
      </c>
      <c r="O24" s="122" t="e">
        <f t="shared" si="0"/>
        <v>#N/A</v>
      </c>
    </row>
    <row r="25" spans="2:15">
      <c r="B25" s="27"/>
      <c r="C25" s="26"/>
      <c r="D25" s="114"/>
      <c r="E25" s="27"/>
      <c r="F25" s="115"/>
      <c r="G25" s="27"/>
      <c r="H25" s="115"/>
      <c r="I25" s="27"/>
      <c r="J25" s="115"/>
      <c r="K25" s="27"/>
      <c r="L25" s="115"/>
      <c r="M25" s="45" t="e">
        <f t="shared" si="1"/>
        <v>#N/A</v>
      </c>
      <c r="N25" s="107" t="e">
        <f>VLOOKUP($B25,Matrix!$H$13:$I$37,2,FALSE)&amp;"_"&amp;C25</f>
        <v>#N/A</v>
      </c>
      <c r="O25" s="122" t="e">
        <f t="shared" si="0"/>
        <v>#N/A</v>
      </c>
    </row>
    <row r="26" spans="2:15">
      <c r="B26" s="27"/>
      <c r="C26" s="26"/>
      <c r="D26" s="114"/>
      <c r="E26" s="27"/>
      <c r="F26" s="115"/>
      <c r="G26" s="27"/>
      <c r="H26" s="115"/>
      <c r="I26" s="27"/>
      <c r="J26" s="115"/>
      <c r="K26" s="27"/>
      <c r="L26" s="115"/>
      <c r="M26" s="45" t="e">
        <f t="shared" si="1"/>
        <v>#N/A</v>
      </c>
      <c r="N26" s="107" t="e">
        <f>VLOOKUP($B26,Matrix!$H$13:$I$37,2,FALSE)&amp;"_"&amp;C26</f>
        <v>#N/A</v>
      </c>
      <c r="O26" s="122" t="e">
        <f t="shared" si="0"/>
        <v>#N/A</v>
      </c>
    </row>
    <row r="27" spans="2:15">
      <c r="B27" s="27"/>
      <c r="C27" s="26"/>
      <c r="D27" s="114"/>
      <c r="E27" s="27"/>
      <c r="F27" s="115"/>
      <c r="G27" s="27"/>
      <c r="H27" s="115"/>
      <c r="I27" s="27"/>
      <c r="J27" s="115"/>
      <c r="K27" s="27"/>
      <c r="L27" s="115"/>
      <c r="M27" s="45" t="e">
        <f t="shared" si="1"/>
        <v>#N/A</v>
      </c>
      <c r="N27" s="107" t="e">
        <f>VLOOKUP($B27,Matrix!$H$13:$I$37,2,FALSE)&amp;"_"&amp;C27</f>
        <v>#N/A</v>
      </c>
      <c r="O27" s="122" t="e">
        <f t="shared" si="0"/>
        <v>#N/A</v>
      </c>
    </row>
    <row r="28" spans="2:15">
      <c r="B28" s="27"/>
      <c r="C28" s="26"/>
      <c r="D28" s="114"/>
      <c r="E28" s="27"/>
      <c r="F28" s="115"/>
      <c r="G28" s="27"/>
      <c r="H28" s="115"/>
      <c r="I28" s="27"/>
      <c r="J28" s="115"/>
      <c r="K28" s="27"/>
      <c r="L28" s="115"/>
      <c r="M28" s="45" t="e">
        <f t="shared" si="1"/>
        <v>#N/A</v>
      </c>
      <c r="N28" s="107" t="e">
        <f>VLOOKUP($B28,Matrix!$H$13:$I$37,2,FALSE)&amp;"_"&amp;C28</f>
        <v>#N/A</v>
      </c>
      <c r="O28" s="122" t="e">
        <f t="shared" si="0"/>
        <v>#N/A</v>
      </c>
    </row>
    <row r="29" spans="2:15">
      <c r="B29" s="27"/>
      <c r="C29" s="26"/>
      <c r="D29" s="114"/>
      <c r="E29" s="27"/>
      <c r="F29" s="115"/>
      <c r="G29" s="27"/>
      <c r="H29" s="115"/>
      <c r="I29" s="27"/>
      <c r="J29" s="115"/>
      <c r="K29" s="27"/>
      <c r="L29" s="115"/>
      <c r="M29" s="45" t="e">
        <f t="shared" si="1"/>
        <v>#N/A</v>
      </c>
      <c r="N29" s="107" t="e">
        <f>VLOOKUP($B29,Matrix!$H$13:$I$37,2,FALSE)&amp;"_"&amp;C29</f>
        <v>#N/A</v>
      </c>
      <c r="O29" s="122" t="e">
        <f t="shared" si="0"/>
        <v>#N/A</v>
      </c>
    </row>
    <row r="30" spans="2:15">
      <c r="B30" s="27"/>
      <c r="C30" s="26"/>
      <c r="D30" s="114"/>
      <c r="E30" s="27"/>
      <c r="F30" s="115"/>
      <c r="G30" s="27"/>
      <c r="H30" s="115"/>
      <c r="I30" s="27"/>
      <c r="J30" s="115"/>
      <c r="K30" s="27"/>
      <c r="L30" s="115"/>
      <c r="M30" s="45" t="e">
        <f t="shared" si="1"/>
        <v>#N/A</v>
      </c>
      <c r="N30" s="107" t="e">
        <f>VLOOKUP($B30,Matrix!$H$13:$I$37,2,FALSE)&amp;"_"&amp;C30</f>
        <v>#N/A</v>
      </c>
      <c r="O30" s="122" t="e">
        <f t="shared" si="0"/>
        <v>#N/A</v>
      </c>
    </row>
    <row r="31" spans="2:15">
      <c r="B31" s="27"/>
      <c r="C31" s="26"/>
      <c r="D31" s="114"/>
      <c r="E31" s="27"/>
      <c r="F31" s="115"/>
      <c r="G31" s="27"/>
      <c r="H31" s="115"/>
      <c r="I31" s="27"/>
      <c r="J31" s="115"/>
      <c r="K31" s="27"/>
      <c r="L31" s="115"/>
      <c r="M31" s="45" t="e">
        <f t="shared" si="1"/>
        <v>#N/A</v>
      </c>
      <c r="N31" s="107" t="e">
        <f>VLOOKUP($B31,Matrix!$H$13:$I$37,2,FALSE)&amp;"_"&amp;C31</f>
        <v>#N/A</v>
      </c>
      <c r="O31" s="122" t="e">
        <f t="shared" si="0"/>
        <v>#N/A</v>
      </c>
    </row>
    <row r="32" spans="2:15">
      <c r="B32" s="27"/>
      <c r="C32" s="26"/>
      <c r="D32" s="114"/>
      <c r="E32" s="27"/>
      <c r="F32" s="115"/>
      <c r="G32" s="27"/>
      <c r="H32" s="115"/>
      <c r="I32" s="27"/>
      <c r="J32" s="115"/>
      <c r="K32" s="27"/>
      <c r="L32" s="115"/>
      <c r="M32" s="45" t="e">
        <f t="shared" si="1"/>
        <v>#N/A</v>
      </c>
      <c r="N32" s="107" t="e">
        <f>VLOOKUP($B32,Matrix!$H$13:$I$37,2,FALSE)&amp;"_"&amp;C32</f>
        <v>#N/A</v>
      </c>
      <c r="O32" s="122" t="e">
        <f t="shared" si="0"/>
        <v>#N/A</v>
      </c>
    </row>
    <row r="33" spans="2:15">
      <c r="B33" s="27"/>
      <c r="C33" s="26"/>
      <c r="D33" s="114"/>
      <c r="E33" s="27"/>
      <c r="F33" s="115"/>
      <c r="G33" s="27"/>
      <c r="H33" s="115"/>
      <c r="I33" s="27"/>
      <c r="J33" s="115"/>
      <c r="K33" s="27"/>
      <c r="L33" s="115"/>
      <c r="M33" s="45" t="e">
        <f t="shared" si="1"/>
        <v>#N/A</v>
      </c>
      <c r="N33" s="107" t="e">
        <f>VLOOKUP($B33,Matrix!$H$13:$I$37,2,FALSE)&amp;"_"&amp;C33</f>
        <v>#N/A</v>
      </c>
      <c r="O33" s="122" t="e">
        <f t="shared" si="0"/>
        <v>#N/A</v>
      </c>
    </row>
    <row r="34" spans="2:15">
      <c r="B34" s="27"/>
      <c r="C34" s="26"/>
      <c r="D34" s="114"/>
      <c r="E34" s="27"/>
      <c r="F34" s="115"/>
      <c r="G34" s="27"/>
      <c r="H34" s="115"/>
      <c r="I34" s="27"/>
      <c r="J34" s="115"/>
      <c r="K34" s="27"/>
      <c r="L34" s="115"/>
      <c r="M34" s="45" t="e">
        <f t="shared" si="1"/>
        <v>#N/A</v>
      </c>
      <c r="N34" s="107" t="e">
        <f>VLOOKUP($B34,Matrix!$H$13:$I$37,2,FALSE)&amp;"_"&amp;C34</f>
        <v>#N/A</v>
      </c>
      <c r="O34" s="122" t="e">
        <f t="shared" si="0"/>
        <v>#N/A</v>
      </c>
    </row>
    <row r="35" spans="2:15">
      <c r="B35" s="27"/>
      <c r="C35" s="26"/>
      <c r="D35" s="114"/>
      <c r="E35" s="27"/>
      <c r="F35" s="115"/>
      <c r="G35" s="27"/>
      <c r="H35" s="115"/>
      <c r="I35" s="27"/>
      <c r="J35" s="115"/>
      <c r="K35" s="27"/>
      <c r="L35" s="115"/>
      <c r="M35" s="45" t="e">
        <f t="shared" si="1"/>
        <v>#N/A</v>
      </c>
      <c r="N35" s="107" t="e">
        <f>VLOOKUP($B35,Matrix!$H$13:$I$37,2,FALSE)&amp;"_"&amp;C35</f>
        <v>#N/A</v>
      </c>
      <c r="O35" s="122" t="e">
        <f t="shared" si="0"/>
        <v>#N/A</v>
      </c>
    </row>
    <row r="36" spans="2:15">
      <c r="B36" s="27"/>
      <c r="C36" s="26"/>
      <c r="D36" s="114"/>
      <c r="E36" s="27"/>
      <c r="F36" s="115"/>
      <c r="G36" s="27"/>
      <c r="H36" s="115"/>
      <c r="I36" s="27"/>
      <c r="J36" s="115"/>
      <c r="K36" s="27"/>
      <c r="L36" s="115"/>
      <c r="M36" s="45" t="e">
        <f t="shared" si="1"/>
        <v>#N/A</v>
      </c>
      <c r="N36" s="107" t="e">
        <f>VLOOKUP($B36,Matrix!$H$13:$I$37,2,FALSE)&amp;"_"&amp;C36</f>
        <v>#N/A</v>
      </c>
      <c r="O36" s="122" t="e">
        <f t="shared" ref="O36:O67" si="2">"#define "&amp;N36&amp;REPT(" ",48-M36)&amp;"("&amp;D36&amp;"U)"</f>
        <v>#N/A</v>
      </c>
    </row>
    <row r="37" spans="2:15">
      <c r="B37" s="27"/>
      <c r="C37" s="26"/>
      <c r="D37" s="114"/>
      <c r="E37" s="27"/>
      <c r="F37" s="115"/>
      <c r="G37" s="27"/>
      <c r="H37" s="115"/>
      <c r="I37" s="27"/>
      <c r="J37" s="115"/>
      <c r="K37" s="27"/>
      <c r="L37" s="115"/>
      <c r="M37" s="45" t="e">
        <f t="shared" si="1"/>
        <v>#N/A</v>
      </c>
      <c r="N37" s="107" t="e">
        <f>VLOOKUP($B37,Matrix!$H$13:$I$37,2,FALSE)&amp;"_"&amp;C37</f>
        <v>#N/A</v>
      </c>
      <c r="O37" s="122" t="e">
        <f t="shared" si="2"/>
        <v>#N/A</v>
      </c>
    </row>
    <row r="38" spans="2:15">
      <c r="B38" s="27"/>
      <c r="C38" s="26"/>
      <c r="D38" s="114"/>
      <c r="E38" s="27"/>
      <c r="F38" s="115"/>
      <c r="G38" s="27"/>
      <c r="H38" s="115"/>
      <c r="I38" s="27"/>
      <c r="J38" s="115"/>
      <c r="K38" s="27"/>
      <c r="L38" s="115"/>
      <c r="M38" s="45" t="e">
        <f t="shared" si="1"/>
        <v>#N/A</v>
      </c>
      <c r="N38" s="107" t="e">
        <f>VLOOKUP($B38,Matrix!$H$13:$I$37,2,FALSE)&amp;"_"&amp;C38</f>
        <v>#N/A</v>
      </c>
      <c r="O38" s="122" t="e">
        <f t="shared" si="2"/>
        <v>#N/A</v>
      </c>
    </row>
    <row r="39" spans="2:15">
      <c r="B39" s="27"/>
      <c r="C39" s="26"/>
      <c r="D39" s="114"/>
      <c r="E39" s="27"/>
      <c r="F39" s="115"/>
      <c r="G39" s="27"/>
      <c r="H39" s="115"/>
      <c r="I39" s="27"/>
      <c r="J39" s="115"/>
      <c r="K39" s="27"/>
      <c r="L39" s="115"/>
      <c r="M39" s="45" t="e">
        <f t="shared" si="1"/>
        <v>#N/A</v>
      </c>
      <c r="N39" s="107" t="e">
        <f>VLOOKUP($B39,Matrix!$H$13:$I$37,2,FALSE)&amp;"_"&amp;C39</f>
        <v>#N/A</v>
      </c>
      <c r="O39" s="122" t="e">
        <f t="shared" si="2"/>
        <v>#N/A</v>
      </c>
    </row>
    <row r="40" spans="2:15">
      <c r="B40" s="27"/>
      <c r="C40" s="26"/>
      <c r="D40" s="114"/>
      <c r="E40" s="27"/>
      <c r="F40" s="115"/>
      <c r="G40" s="27"/>
      <c r="H40" s="115"/>
      <c r="I40" s="27"/>
      <c r="J40" s="115"/>
      <c r="K40" s="27"/>
      <c r="L40" s="115"/>
      <c r="M40" s="45" t="e">
        <f t="shared" si="1"/>
        <v>#N/A</v>
      </c>
      <c r="N40" s="107" t="e">
        <f>VLOOKUP($B40,Matrix!$H$13:$I$37,2,FALSE)&amp;"_"&amp;C40</f>
        <v>#N/A</v>
      </c>
      <c r="O40" s="122" t="e">
        <f t="shared" si="2"/>
        <v>#N/A</v>
      </c>
    </row>
    <row r="41" spans="2:15">
      <c r="B41" s="27"/>
      <c r="C41" s="26"/>
      <c r="D41" s="114"/>
      <c r="E41" s="27"/>
      <c r="F41" s="115"/>
      <c r="G41" s="27"/>
      <c r="H41" s="115"/>
      <c r="I41" s="27"/>
      <c r="J41" s="115"/>
      <c r="K41" s="27"/>
      <c r="L41" s="115"/>
      <c r="M41" s="45" t="e">
        <f t="shared" si="1"/>
        <v>#N/A</v>
      </c>
      <c r="N41" s="107" t="e">
        <f>VLOOKUP($B41,Matrix!$H$13:$I$37,2,FALSE)&amp;"_"&amp;C41</f>
        <v>#N/A</v>
      </c>
      <c r="O41" s="122" t="e">
        <f t="shared" si="2"/>
        <v>#N/A</v>
      </c>
    </row>
    <row r="42" spans="2:15">
      <c r="B42" s="27"/>
      <c r="C42" s="26"/>
      <c r="D42" s="114"/>
      <c r="E42" s="27"/>
      <c r="F42" s="115"/>
      <c r="G42" s="27"/>
      <c r="H42" s="115"/>
      <c r="I42" s="27"/>
      <c r="J42" s="115"/>
      <c r="K42" s="27"/>
      <c r="L42" s="115"/>
      <c r="M42" s="45" t="e">
        <f t="shared" si="1"/>
        <v>#N/A</v>
      </c>
      <c r="N42" s="107" t="e">
        <f>VLOOKUP($B42,Matrix!$H$13:$I$37,2,FALSE)&amp;"_"&amp;C42</f>
        <v>#N/A</v>
      </c>
      <c r="O42" s="122" t="e">
        <f t="shared" si="2"/>
        <v>#N/A</v>
      </c>
    </row>
    <row r="43" spans="2:15">
      <c r="B43" s="27"/>
      <c r="C43" s="26"/>
      <c r="D43" s="114"/>
      <c r="E43" s="27"/>
      <c r="F43" s="115"/>
      <c r="G43" s="27"/>
      <c r="H43" s="115"/>
      <c r="I43" s="27"/>
      <c r="J43" s="115"/>
      <c r="K43" s="27"/>
      <c r="L43" s="115"/>
      <c r="M43" s="45" t="e">
        <f t="shared" si="1"/>
        <v>#N/A</v>
      </c>
      <c r="N43" s="107" t="e">
        <f>VLOOKUP($B43,Matrix!$H$13:$I$37,2,FALSE)&amp;"_"&amp;C43</f>
        <v>#N/A</v>
      </c>
      <c r="O43" s="122" t="e">
        <f t="shared" si="2"/>
        <v>#N/A</v>
      </c>
    </row>
    <row r="44" spans="2:15">
      <c r="B44" s="27"/>
      <c r="C44" s="26"/>
      <c r="D44" s="114"/>
      <c r="E44" s="27"/>
      <c r="F44" s="115"/>
      <c r="G44" s="27"/>
      <c r="H44" s="115"/>
      <c r="I44" s="27"/>
      <c r="J44" s="115"/>
      <c r="K44" s="27"/>
      <c r="L44" s="115"/>
      <c r="M44" s="45" t="e">
        <f t="shared" si="1"/>
        <v>#N/A</v>
      </c>
      <c r="N44" s="107" t="e">
        <f>VLOOKUP($B44,Matrix!$H$13:$I$37,2,FALSE)&amp;"_"&amp;C44</f>
        <v>#N/A</v>
      </c>
      <c r="O44" s="122" t="e">
        <f t="shared" si="2"/>
        <v>#N/A</v>
      </c>
    </row>
    <row r="45" spans="2:15">
      <c r="B45" s="27"/>
      <c r="C45" s="26"/>
      <c r="D45" s="114"/>
      <c r="E45" s="27"/>
      <c r="F45" s="115"/>
      <c r="G45" s="27"/>
      <c r="H45" s="115"/>
      <c r="I45" s="27"/>
      <c r="J45" s="115"/>
      <c r="K45" s="27"/>
      <c r="L45" s="115"/>
      <c r="M45" s="45" t="e">
        <f t="shared" si="1"/>
        <v>#N/A</v>
      </c>
      <c r="N45" s="107" t="e">
        <f>VLOOKUP($B45,Matrix!$H$13:$I$37,2,FALSE)&amp;"_"&amp;C45</f>
        <v>#N/A</v>
      </c>
      <c r="O45" s="122" t="e">
        <f t="shared" si="2"/>
        <v>#N/A</v>
      </c>
    </row>
    <row r="46" spans="2:15">
      <c r="B46" s="27"/>
      <c r="C46" s="26"/>
      <c r="D46" s="114"/>
      <c r="E46" s="27"/>
      <c r="F46" s="115"/>
      <c r="G46" s="27"/>
      <c r="H46" s="115"/>
      <c r="I46" s="27"/>
      <c r="J46" s="115"/>
      <c r="K46" s="27"/>
      <c r="L46" s="115"/>
      <c r="M46" s="45" t="e">
        <f t="shared" si="1"/>
        <v>#N/A</v>
      </c>
      <c r="N46" s="107" t="e">
        <f>VLOOKUP($B46,Matrix!$H$13:$I$37,2,FALSE)&amp;"_"&amp;C46</f>
        <v>#N/A</v>
      </c>
      <c r="O46" s="122" t="e">
        <f t="shared" si="2"/>
        <v>#N/A</v>
      </c>
    </row>
    <row r="47" spans="2:15">
      <c r="B47" s="27"/>
      <c r="C47" s="26"/>
      <c r="D47" s="114"/>
      <c r="E47" s="27"/>
      <c r="F47" s="115"/>
      <c r="G47" s="27"/>
      <c r="H47" s="115"/>
      <c r="I47" s="27"/>
      <c r="J47" s="115"/>
      <c r="K47" s="27"/>
      <c r="L47" s="115"/>
      <c r="M47" s="45" t="e">
        <f t="shared" si="1"/>
        <v>#N/A</v>
      </c>
      <c r="N47" s="107" t="e">
        <f>VLOOKUP($B47,Matrix!$H$13:$I$37,2,FALSE)&amp;"_"&amp;C47</f>
        <v>#N/A</v>
      </c>
      <c r="O47" s="122" t="e">
        <f t="shared" si="2"/>
        <v>#N/A</v>
      </c>
    </row>
    <row r="48" spans="2:15">
      <c r="B48" s="27"/>
      <c r="C48" s="26"/>
      <c r="D48" s="114"/>
      <c r="E48" s="27"/>
      <c r="F48" s="115"/>
      <c r="G48" s="27"/>
      <c r="H48" s="115"/>
      <c r="I48" s="27"/>
      <c r="J48" s="115"/>
      <c r="K48" s="27"/>
      <c r="L48" s="115"/>
      <c r="M48" s="45" t="e">
        <f t="shared" si="1"/>
        <v>#N/A</v>
      </c>
      <c r="N48" s="107" t="e">
        <f>VLOOKUP($B48,Matrix!$H$13:$I$37,2,FALSE)&amp;"_"&amp;C48</f>
        <v>#N/A</v>
      </c>
      <c r="O48" s="122" t="e">
        <f t="shared" si="2"/>
        <v>#N/A</v>
      </c>
    </row>
    <row r="49" spans="2:15">
      <c r="B49" s="27"/>
      <c r="C49" s="26"/>
      <c r="D49" s="114"/>
      <c r="E49" s="27"/>
      <c r="F49" s="115"/>
      <c r="G49" s="27"/>
      <c r="H49" s="115"/>
      <c r="I49" s="27"/>
      <c r="J49" s="115"/>
      <c r="K49" s="27"/>
      <c r="L49" s="115"/>
      <c r="M49" s="45" t="e">
        <f t="shared" si="1"/>
        <v>#N/A</v>
      </c>
      <c r="N49" s="107" t="e">
        <f>VLOOKUP($B49,Matrix!$H$13:$I$37,2,FALSE)&amp;"_"&amp;C49</f>
        <v>#N/A</v>
      </c>
      <c r="O49" s="122" t="e">
        <f t="shared" si="2"/>
        <v>#N/A</v>
      </c>
    </row>
    <row r="50" spans="2:15">
      <c r="B50" s="27"/>
      <c r="C50" s="26"/>
      <c r="D50" s="114"/>
      <c r="E50" s="27"/>
      <c r="F50" s="115"/>
      <c r="G50" s="27"/>
      <c r="H50" s="115"/>
      <c r="I50" s="27"/>
      <c r="J50" s="115"/>
      <c r="K50" s="27"/>
      <c r="L50" s="115"/>
      <c r="M50" s="45" t="e">
        <f t="shared" si="1"/>
        <v>#N/A</v>
      </c>
      <c r="N50" s="107" t="e">
        <f>VLOOKUP($B50,Matrix!$H$13:$I$37,2,FALSE)&amp;"_"&amp;C50</f>
        <v>#N/A</v>
      </c>
      <c r="O50" s="122" t="e">
        <f t="shared" si="2"/>
        <v>#N/A</v>
      </c>
    </row>
    <row r="51" spans="2:15">
      <c r="B51" s="27"/>
      <c r="C51" s="26"/>
      <c r="D51" s="114"/>
      <c r="E51" s="27"/>
      <c r="F51" s="115"/>
      <c r="G51" s="27"/>
      <c r="H51" s="115"/>
      <c r="I51" s="27"/>
      <c r="J51" s="115"/>
      <c r="K51" s="27"/>
      <c r="L51" s="115"/>
      <c r="M51" s="45" t="e">
        <f t="shared" si="1"/>
        <v>#N/A</v>
      </c>
      <c r="N51" s="107" t="e">
        <f>VLOOKUP($B51,Matrix!$H$13:$I$37,2,FALSE)&amp;"_"&amp;C51</f>
        <v>#N/A</v>
      </c>
      <c r="O51" s="122" t="e">
        <f t="shared" si="2"/>
        <v>#N/A</v>
      </c>
    </row>
    <row r="52" spans="2:15">
      <c r="B52" s="27"/>
      <c r="C52" s="26"/>
      <c r="D52" s="114"/>
      <c r="E52" s="27"/>
      <c r="F52" s="115"/>
      <c r="G52" s="27"/>
      <c r="H52" s="115"/>
      <c r="I52" s="27"/>
      <c r="J52" s="115"/>
      <c r="K52" s="27"/>
      <c r="L52" s="115"/>
      <c r="M52" s="45" t="e">
        <f t="shared" si="1"/>
        <v>#N/A</v>
      </c>
      <c r="N52" s="107" t="e">
        <f>VLOOKUP($B52,Matrix!$H$13:$I$37,2,FALSE)&amp;"_"&amp;C52</f>
        <v>#N/A</v>
      </c>
      <c r="O52" s="122" t="e">
        <f t="shared" si="2"/>
        <v>#N/A</v>
      </c>
    </row>
    <row r="53" spans="2:15">
      <c r="B53" s="27"/>
      <c r="C53" s="26"/>
      <c r="D53" s="114"/>
      <c r="E53" s="27"/>
      <c r="F53" s="115"/>
      <c r="G53" s="27"/>
      <c r="H53" s="115"/>
      <c r="I53" s="27"/>
      <c r="J53" s="115"/>
      <c r="K53" s="27"/>
      <c r="L53" s="115"/>
      <c r="M53" s="45" t="e">
        <f t="shared" si="1"/>
        <v>#N/A</v>
      </c>
      <c r="N53" s="107" t="e">
        <f>VLOOKUP($B53,Matrix!$H$13:$I$37,2,FALSE)&amp;"_"&amp;C53</f>
        <v>#N/A</v>
      </c>
      <c r="O53" s="122" t="e">
        <f t="shared" si="2"/>
        <v>#N/A</v>
      </c>
    </row>
    <row r="54" spans="2:15">
      <c r="B54" s="27"/>
      <c r="C54" s="26"/>
      <c r="D54" s="114"/>
      <c r="E54" s="27"/>
      <c r="F54" s="115"/>
      <c r="G54" s="27"/>
      <c r="H54" s="115"/>
      <c r="I54" s="27"/>
      <c r="J54" s="115"/>
      <c r="K54" s="27"/>
      <c r="L54" s="115"/>
      <c r="M54" s="45" t="e">
        <f t="shared" si="1"/>
        <v>#N/A</v>
      </c>
      <c r="N54" s="107" t="e">
        <f>VLOOKUP($B54,Matrix!$H$13:$I$37,2,FALSE)&amp;"_"&amp;C54</f>
        <v>#N/A</v>
      </c>
      <c r="O54" s="122" t="e">
        <f t="shared" si="2"/>
        <v>#N/A</v>
      </c>
    </row>
    <row r="55" spans="2:15">
      <c r="B55" s="27"/>
      <c r="C55" s="26"/>
      <c r="D55" s="114"/>
      <c r="E55" s="27"/>
      <c r="F55" s="115"/>
      <c r="G55" s="27"/>
      <c r="H55" s="115"/>
      <c r="I55" s="27"/>
      <c r="J55" s="115"/>
      <c r="K55" s="27"/>
      <c r="L55" s="115"/>
      <c r="M55" s="45" t="e">
        <f t="shared" si="1"/>
        <v>#N/A</v>
      </c>
      <c r="N55" s="107" t="e">
        <f>VLOOKUP($B55,Matrix!$H$13:$I$37,2,FALSE)&amp;"_"&amp;C55</f>
        <v>#N/A</v>
      </c>
      <c r="O55" s="122" t="e">
        <f t="shared" si="2"/>
        <v>#N/A</v>
      </c>
    </row>
    <row r="56" spans="2:15">
      <c r="B56" s="27"/>
      <c r="C56" s="26"/>
      <c r="D56" s="114"/>
      <c r="E56" s="27"/>
      <c r="F56" s="115"/>
      <c r="G56" s="27"/>
      <c r="H56" s="115"/>
      <c r="I56" s="27"/>
      <c r="J56" s="115"/>
      <c r="K56" s="27"/>
      <c r="L56" s="115"/>
      <c r="M56" s="45" t="e">
        <f t="shared" si="1"/>
        <v>#N/A</v>
      </c>
      <c r="N56" s="107" t="e">
        <f>VLOOKUP($B56,Matrix!$H$13:$I$37,2,FALSE)&amp;"_"&amp;C56</f>
        <v>#N/A</v>
      </c>
      <c r="O56" s="122" t="e">
        <f t="shared" si="2"/>
        <v>#N/A</v>
      </c>
    </row>
    <row r="57" spans="2:15">
      <c r="B57" s="27"/>
      <c r="C57" s="26"/>
      <c r="D57" s="114"/>
      <c r="E57" s="27"/>
      <c r="F57" s="115"/>
      <c r="G57" s="27"/>
      <c r="H57" s="115"/>
      <c r="I57" s="27"/>
      <c r="J57" s="115"/>
      <c r="K57" s="27"/>
      <c r="L57" s="115"/>
      <c r="M57" s="45" t="e">
        <f t="shared" si="1"/>
        <v>#N/A</v>
      </c>
      <c r="N57" s="107" t="e">
        <f>VLOOKUP($B57,Matrix!$H$13:$I$37,2,FALSE)&amp;"_"&amp;C57</f>
        <v>#N/A</v>
      </c>
      <c r="O57" s="122" t="e">
        <f t="shared" si="2"/>
        <v>#N/A</v>
      </c>
    </row>
    <row r="58" spans="2:15">
      <c r="B58" s="27"/>
      <c r="C58" s="26"/>
      <c r="D58" s="114"/>
      <c r="E58" s="27"/>
      <c r="F58" s="115"/>
      <c r="G58" s="27"/>
      <c r="H58" s="115"/>
      <c r="I58" s="27"/>
      <c r="J58" s="115"/>
      <c r="K58" s="27"/>
      <c r="L58" s="115"/>
      <c r="M58" s="45" t="e">
        <f t="shared" si="1"/>
        <v>#N/A</v>
      </c>
      <c r="N58" s="107" t="e">
        <f>VLOOKUP($B58,Matrix!$H$13:$I$37,2,FALSE)&amp;"_"&amp;C58</f>
        <v>#N/A</v>
      </c>
      <c r="O58" s="122" t="e">
        <f t="shared" si="2"/>
        <v>#N/A</v>
      </c>
    </row>
    <row r="59" spans="2:15">
      <c r="B59" s="27"/>
      <c r="C59" s="26"/>
      <c r="D59" s="114"/>
      <c r="E59" s="27"/>
      <c r="F59" s="115"/>
      <c r="G59" s="27"/>
      <c r="H59" s="115"/>
      <c r="I59" s="27"/>
      <c r="J59" s="115"/>
      <c r="K59" s="27"/>
      <c r="L59" s="115"/>
      <c r="M59" s="45" t="e">
        <f t="shared" si="1"/>
        <v>#N/A</v>
      </c>
      <c r="N59" s="107" t="e">
        <f>VLOOKUP($B59,Matrix!$H$13:$I$37,2,FALSE)&amp;"_"&amp;C59</f>
        <v>#N/A</v>
      </c>
      <c r="O59" s="122" t="e">
        <f t="shared" si="2"/>
        <v>#N/A</v>
      </c>
    </row>
    <row r="60" spans="2:15">
      <c r="B60" s="27"/>
      <c r="C60" s="26"/>
      <c r="D60" s="114"/>
      <c r="E60" s="27"/>
      <c r="F60" s="115"/>
      <c r="G60" s="27"/>
      <c r="H60" s="115"/>
      <c r="I60" s="27"/>
      <c r="J60" s="115"/>
      <c r="K60" s="27"/>
      <c r="L60" s="115"/>
      <c r="M60" s="45" t="e">
        <f t="shared" si="1"/>
        <v>#N/A</v>
      </c>
      <c r="N60" s="107" t="e">
        <f>VLOOKUP($B60,Matrix!$H$13:$I$37,2,FALSE)&amp;"_"&amp;C60</f>
        <v>#N/A</v>
      </c>
      <c r="O60" s="122" t="e">
        <f t="shared" si="2"/>
        <v>#N/A</v>
      </c>
    </row>
    <row r="61" spans="2:15">
      <c r="B61" s="27"/>
      <c r="C61" s="26"/>
      <c r="D61" s="114"/>
      <c r="E61" s="27"/>
      <c r="F61" s="115"/>
      <c r="G61" s="27"/>
      <c r="H61" s="115"/>
      <c r="I61" s="27"/>
      <c r="J61" s="115"/>
      <c r="K61" s="27"/>
      <c r="L61" s="115"/>
      <c r="M61" s="45" t="e">
        <f t="shared" si="1"/>
        <v>#N/A</v>
      </c>
      <c r="N61" s="107" t="e">
        <f>VLOOKUP($B61,Matrix!$H$13:$I$37,2,FALSE)&amp;"_"&amp;C61</f>
        <v>#N/A</v>
      </c>
      <c r="O61" s="122" t="e">
        <f t="shared" si="2"/>
        <v>#N/A</v>
      </c>
    </row>
    <row r="62" spans="2:15">
      <c r="B62" s="27"/>
      <c r="C62" s="26"/>
      <c r="D62" s="114"/>
      <c r="E62" s="27"/>
      <c r="F62" s="115"/>
      <c r="G62" s="27"/>
      <c r="H62" s="115"/>
      <c r="I62" s="27"/>
      <c r="J62" s="115"/>
      <c r="K62" s="27"/>
      <c r="L62" s="115"/>
      <c r="M62" s="45" t="e">
        <f t="shared" si="1"/>
        <v>#N/A</v>
      </c>
      <c r="N62" s="107" t="e">
        <f>VLOOKUP($B62,Matrix!$H$13:$I$37,2,FALSE)&amp;"_"&amp;C62</f>
        <v>#N/A</v>
      </c>
      <c r="O62" s="122" t="e">
        <f t="shared" si="2"/>
        <v>#N/A</v>
      </c>
    </row>
    <row r="63" spans="2:15">
      <c r="B63" s="27"/>
      <c r="C63" s="26"/>
      <c r="D63" s="114"/>
      <c r="E63" s="27"/>
      <c r="F63" s="115"/>
      <c r="G63" s="27"/>
      <c r="H63" s="115"/>
      <c r="I63" s="27"/>
      <c r="J63" s="115"/>
      <c r="K63" s="27"/>
      <c r="L63" s="115"/>
      <c r="M63" s="45" t="e">
        <f t="shared" si="1"/>
        <v>#N/A</v>
      </c>
      <c r="N63" s="107" t="e">
        <f>VLOOKUP($B63,Matrix!$H$13:$I$37,2,FALSE)&amp;"_"&amp;C63</f>
        <v>#N/A</v>
      </c>
      <c r="O63" s="122" t="e">
        <f t="shared" si="2"/>
        <v>#N/A</v>
      </c>
    </row>
    <row r="64" spans="2:15">
      <c r="B64" s="27"/>
      <c r="C64" s="26"/>
      <c r="D64" s="114"/>
      <c r="E64" s="27"/>
      <c r="F64" s="115"/>
      <c r="G64" s="27"/>
      <c r="H64" s="115"/>
      <c r="I64" s="27"/>
      <c r="J64" s="115"/>
      <c r="K64" s="27"/>
      <c r="L64" s="115"/>
      <c r="M64" s="45" t="e">
        <f t="shared" si="1"/>
        <v>#N/A</v>
      </c>
      <c r="N64" s="107" t="e">
        <f>VLOOKUP($B64,Matrix!$H$13:$I$37,2,FALSE)&amp;"_"&amp;C64</f>
        <v>#N/A</v>
      </c>
      <c r="O64" s="122" t="e">
        <f t="shared" si="2"/>
        <v>#N/A</v>
      </c>
    </row>
    <row r="65" spans="2:15">
      <c r="B65" s="27"/>
      <c r="C65" s="26"/>
      <c r="D65" s="114"/>
      <c r="E65" s="27"/>
      <c r="F65" s="115"/>
      <c r="G65" s="27"/>
      <c r="H65" s="115"/>
      <c r="I65" s="27"/>
      <c r="J65" s="115"/>
      <c r="K65" s="27"/>
      <c r="L65" s="115"/>
      <c r="M65" s="45" t="e">
        <f t="shared" si="1"/>
        <v>#N/A</v>
      </c>
      <c r="N65" s="107" t="e">
        <f>VLOOKUP($B65,Matrix!$H$13:$I$37,2,FALSE)&amp;"_"&amp;C65</f>
        <v>#N/A</v>
      </c>
      <c r="O65" s="122" t="e">
        <f t="shared" si="2"/>
        <v>#N/A</v>
      </c>
    </row>
    <row r="66" spans="2:15">
      <c r="B66" s="27"/>
      <c r="C66" s="26"/>
      <c r="D66" s="114"/>
      <c r="E66" s="27"/>
      <c r="F66" s="115"/>
      <c r="G66" s="27"/>
      <c r="H66" s="115"/>
      <c r="I66" s="27"/>
      <c r="J66" s="115"/>
      <c r="K66" s="27"/>
      <c r="L66" s="115"/>
      <c r="M66" s="45" t="e">
        <f t="shared" si="1"/>
        <v>#N/A</v>
      </c>
      <c r="N66" s="107" t="e">
        <f>VLOOKUP($B66,Matrix!$H$13:$I$37,2,FALSE)&amp;"_"&amp;C66</f>
        <v>#N/A</v>
      </c>
      <c r="O66" s="122" t="e">
        <f t="shared" si="2"/>
        <v>#N/A</v>
      </c>
    </row>
    <row r="67" spans="2:15">
      <c r="B67" s="27"/>
      <c r="C67" s="26"/>
      <c r="D67" s="114"/>
      <c r="E67" s="27"/>
      <c r="F67" s="115"/>
      <c r="G67" s="27"/>
      <c r="H67" s="115"/>
      <c r="I67" s="27"/>
      <c r="J67" s="115"/>
      <c r="K67" s="27"/>
      <c r="L67" s="115"/>
      <c r="M67" s="45" t="e">
        <f t="shared" si="1"/>
        <v>#N/A</v>
      </c>
      <c r="N67" s="107" t="e">
        <f>VLOOKUP($B67,Matrix!$H$13:$I$37,2,FALSE)&amp;"_"&amp;C67</f>
        <v>#N/A</v>
      </c>
      <c r="O67" s="122" t="e">
        <f t="shared" si="2"/>
        <v>#N/A</v>
      </c>
    </row>
    <row r="68" spans="2:15">
      <c r="B68" s="27"/>
      <c r="C68" s="26"/>
      <c r="D68" s="114"/>
      <c r="E68" s="27"/>
      <c r="F68" s="115"/>
      <c r="G68" s="27"/>
      <c r="H68" s="115"/>
      <c r="I68" s="27"/>
      <c r="J68" s="115"/>
      <c r="K68" s="27"/>
      <c r="L68" s="115"/>
      <c r="M68" s="45" t="e">
        <f t="shared" si="1"/>
        <v>#N/A</v>
      </c>
      <c r="N68" s="107" t="e">
        <f>VLOOKUP($B68,Matrix!$H$13:$I$37,2,FALSE)&amp;"_"&amp;C68</f>
        <v>#N/A</v>
      </c>
      <c r="O68" s="122" t="e">
        <f t="shared" ref="O68:O99" si="3">"#define "&amp;N68&amp;REPT(" ",48-M68)&amp;"("&amp;D68&amp;"U)"</f>
        <v>#N/A</v>
      </c>
    </row>
    <row r="69" spans="2:15">
      <c r="B69" s="27"/>
      <c r="C69" s="26"/>
      <c r="D69" s="114"/>
      <c r="E69" s="27"/>
      <c r="F69" s="115"/>
      <c r="G69" s="27"/>
      <c r="H69" s="115"/>
      <c r="I69" s="27"/>
      <c r="J69" s="115"/>
      <c r="K69" s="27"/>
      <c r="L69" s="115"/>
      <c r="M69" s="45" t="e">
        <f t="shared" ref="M69:M103" si="4">LEN(N69)</f>
        <v>#N/A</v>
      </c>
      <c r="N69" s="107" t="e">
        <f>VLOOKUP($B69,Matrix!$H$13:$I$37,2,FALSE)&amp;"_"&amp;C69</f>
        <v>#N/A</v>
      </c>
      <c r="O69" s="122" t="e">
        <f t="shared" si="3"/>
        <v>#N/A</v>
      </c>
    </row>
    <row r="70" spans="2:15">
      <c r="B70" s="27"/>
      <c r="C70" s="26"/>
      <c r="D70" s="114"/>
      <c r="E70" s="27"/>
      <c r="F70" s="115"/>
      <c r="G70" s="27"/>
      <c r="H70" s="115"/>
      <c r="I70" s="27"/>
      <c r="J70" s="115"/>
      <c r="K70" s="27"/>
      <c r="L70" s="115"/>
      <c r="M70" s="45" t="e">
        <f t="shared" si="4"/>
        <v>#N/A</v>
      </c>
      <c r="N70" s="107" t="e">
        <f>VLOOKUP($B70,Matrix!$H$13:$I$37,2,FALSE)&amp;"_"&amp;C70</f>
        <v>#N/A</v>
      </c>
      <c r="O70" s="122" t="e">
        <f t="shared" si="3"/>
        <v>#N/A</v>
      </c>
    </row>
    <row r="71" spans="2:15">
      <c r="B71" s="27"/>
      <c r="C71" s="26"/>
      <c r="D71" s="114"/>
      <c r="E71" s="27"/>
      <c r="F71" s="115"/>
      <c r="G71" s="27"/>
      <c r="H71" s="115"/>
      <c r="I71" s="27"/>
      <c r="J71" s="115"/>
      <c r="K71" s="27"/>
      <c r="L71" s="115"/>
      <c r="M71" s="45" t="e">
        <f t="shared" si="4"/>
        <v>#N/A</v>
      </c>
      <c r="N71" s="107" t="e">
        <f>VLOOKUP($B71,Matrix!$H$13:$I$37,2,FALSE)&amp;"_"&amp;C71</f>
        <v>#N/A</v>
      </c>
      <c r="O71" s="122" t="e">
        <f t="shared" si="3"/>
        <v>#N/A</v>
      </c>
    </row>
    <row r="72" spans="2:15">
      <c r="B72" s="27"/>
      <c r="C72" s="26"/>
      <c r="D72" s="114"/>
      <c r="E72" s="27"/>
      <c r="F72" s="115"/>
      <c r="G72" s="27"/>
      <c r="H72" s="115"/>
      <c r="I72" s="27"/>
      <c r="J72" s="115"/>
      <c r="K72" s="27"/>
      <c r="L72" s="115"/>
      <c r="M72" s="45" t="e">
        <f t="shared" si="4"/>
        <v>#N/A</v>
      </c>
      <c r="N72" s="107" t="e">
        <f>VLOOKUP($B72,Matrix!$H$13:$I$37,2,FALSE)&amp;"_"&amp;C72</f>
        <v>#N/A</v>
      </c>
      <c r="O72" s="122" t="e">
        <f t="shared" si="3"/>
        <v>#N/A</v>
      </c>
    </row>
    <row r="73" spans="2:15">
      <c r="B73" s="27"/>
      <c r="C73" s="26"/>
      <c r="D73" s="114"/>
      <c r="E73" s="27"/>
      <c r="F73" s="115"/>
      <c r="G73" s="27"/>
      <c r="H73" s="115"/>
      <c r="I73" s="27"/>
      <c r="J73" s="115"/>
      <c r="K73" s="27"/>
      <c r="L73" s="115"/>
      <c r="M73" s="45" t="e">
        <f t="shared" si="4"/>
        <v>#N/A</v>
      </c>
      <c r="N73" s="107" t="e">
        <f>VLOOKUP($B73,Matrix!$H$13:$I$37,2,FALSE)&amp;"_"&amp;C73</f>
        <v>#N/A</v>
      </c>
      <c r="O73" s="122" t="e">
        <f t="shared" si="3"/>
        <v>#N/A</v>
      </c>
    </row>
    <row r="74" spans="2:15">
      <c r="B74" s="27"/>
      <c r="C74" s="26"/>
      <c r="D74" s="114"/>
      <c r="E74" s="27"/>
      <c r="F74" s="115"/>
      <c r="G74" s="27"/>
      <c r="H74" s="115"/>
      <c r="I74" s="27"/>
      <c r="J74" s="115"/>
      <c r="K74" s="27"/>
      <c r="L74" s="115"/>
      <c r="M74" s="45" t="e">
        <f t="shared" si="4"/>
        <v>#N/A</v>
      </c>
      <c r="N74" s="107" t="e">
        <f>VLOOKUP($B74,Matrix!$H$13:$I$37,2,FALSE)&amp;"_"&amp;C74</f>
        <v>#N/A</v>
      </c>
      <c r="O74" s="122" t="e">
        <f t="shared" si="3"/>
        <v>#N/A</v>
      </c>
    </row>
    <row r="75" spans="2:15">
      <c r="B75" s="27"/>
      <c r="C75" s="26"/>
      <c r="D75" s="114"/>
      <c r="E75" s="27"/>
      <c r="F75" s="115"/>
      <c r="G75" s="27"/>
      <c r="H75" s="115"/>
      <c r="I75" s="27"/>
      <c r="J75" s="115"/>
      <c r="K75" s="27"/>
      <c r="L75" s="115"/>
      <c r="M75" s="45" t="e">
        <f t="shared" si="4"/>
        <v>#N/A</v>
      </c>
      <c r="N75" s="107" t="e">
        <f>VLOOKUP($B75,Matrix!$H$13:$I$37,2,FALSE)&amp;"_"&amp;C75</f>
        <v>#N/A</v>
      </c>
      <c r="O75" s="122" t="e">
        <f t="shared" si="3"/>
        <v>#N/A</v>
      </c>
    </row>
    <row r="76" spans="2:15">
      <c r="B76" s="27"/>
      <c r="C76" s="26"/>
      <c r="D76" s="114"/>
      <c r="E76" s="27"/>
      <c r="F76" s="115"/>
      <c r="G76" s="27"/>
      <c r="H76" s="115"/>
      <c r="I76" s="27"/>
      <c r="J76" s="115"/>
      <c r="K76" s="27"/>
      <c r="L76" s="115"/>
      <c r="M76" s="45" t="e">
        <f t="shared" si="4"/>
        <v>#N/A</v>
      </c>
      <c r="N76" s="107" t="e">
        <f>VLOOKUP($B76,Matrix!$H$13:$I$37,2,FALSE)&amp;"_"&amp;C76</f>
        <v>#N/A</v>
      </c>
      <c r="O76" s="122" t="e">
        <f t="shared" si="3"/>
        <v>#N/A</v>
      </c>
    </row>
    <row r="77" spans="2:15">
      <c r="B77" s="27"/>
      <c r="C77" s="26"/>
      <c r="D77" s="114"/>
      <c r="E77" s="27"/>
      <c r="F77" s="115"/>
      <c r="G77" s="27"/>
      <c r="H77" s="115"/>
      <c r="I77" s="27"/>
      <c r="J77" s="115"/>
      <c r="K77" s="27"/>
      <c r="L77" s="115"/>
      <c r="M77" s="45" t="e">
        <f t="shared" si="4"/>
        <v>#N/A</v>
      </c>
      <c r="N77" s="107" t="e">
        <f>VLOOKUP($B77,Matrix!$H$13:$I$37,2,FALSE)&amp;"_"&amp;C77</f>
        <v>#N/A</v>
      </c>
      <c r="O77" s="122" t="e">
        <f t="shared" si="3"/>
        <v>#N/A</v>
      </c>
    </row>
    <row r="78" spans="2:15">
      <c r="B78" s="27"/>
      <c r="C78" s="26"/>
      <c r="D78" s="114"/>
      <c r="E78" s="27"/>
      <c r="F78" s="115"/>
      <c r="G78" s="27"/>
      <c r="H78" s="115"/>
      <c r="I78" s="27"/>
      <c r="J78" s="115"/>
      <c r="K78" s="27"/>
      <c r="L78" s="115"/>
      <c r="M78" s="45" t="e">
        <f t="shared" si="4"/>
        <v>#N/A</v>
      </c>
      <c r="N78" s="107" t="e">
        <f>VLOOKUP($B78,Matrix!$H$13:$I$37,2,FALSE)&amp;"_"&amp;C78</f>
        <v>#N/A</v>
      </c>
      <c r="O78" s="122" t="e">
        <f t="shared" si="3"/>
        <v>#N/A</v>
      </c>
    </row>
    <row r="79" spans="2:15">
      <c r="B79" s="27"/>
      <c r="C79" s="26"/>
      <c r="D79" s="114"/>
      <c r="E79" s="27"/>
      <c r="F79" s="115"/>
      <c r="G79" s="27"/>
      <c r="H79" s="115"/>
      <c r="I79" s="27"/>
      <c r="J79" s="115"/>
      <c r="K79" s="27"/>
      <c r="L79" s="115"/>
      <c r="M79" s="45" t="e">
        <f t="shared" si="4"/>
        <v>#N/A</v>
      </c>
      <c r="N79" s="107" t="e">
        <f>VLOOKUP($B79,Matrix!$H$13:$I$37,2,FALSE)&amp;"_"&amp;C79</f>
        <v>#N/A</v>
      </c>
      <c r="O79" s="122" t="e">
        <f t="shared" si="3"/>
        <v>#N/A</v>
      </c>
    </row>
    <row r="80" spans="2:15">
      <c r="B80" s="27"/>
      <c r="C80" s="26"/>
      <c r="D80" s="114"/>
      <c r="E80" s="27"/>
      <c r="F80" s="115"/>
      <c r="G80" s="27"/>
      <c r="H80" s="115"/>
      <c r="I80" s="27"/>
      <c r="J80" s="115"/>
      <c r="K80" s="27"/>
      <c r="L80" s="115"/>
      <c r="M80" s="45" t="e">
        <f t="shared" si="4"/>
        <v>#N/A</v>
      </c>
      <c r="N80" s="107" t="e">
        <f>VLOOKUP($B80,Matrix!$H$13:$I$37,2,FALSE)&amp;"_"&amp;C80</f>
        <v>#N/A</v>
      </c>
      <c r="O80" s="122" t="e">
        <f t="shared" si="3"/>
        <v>#N/A</v>
      </c>
    </row>
    <row r="81" spans="2:15">
      <c r="B81" s="27"/>
      <c r="C81" s="26"/>
      <c r="D81" s="114"/>
      <c r="E81" s="27"/>
      <c r="F81" s="115"/>
      <c r="G81" s="27"/>
      <c r="H81" s="115"/>
      <c r="I81" s="27"/>
      <c r="J81" s="115"/>
      <c r="K81" s="27"/>
      <c r="L81" s="115"/>
      <c r="M81" s="45" t="e">
        <f t="shared" si="4"/>
        <v>#N/A</v>
      </c>
      <c r="N81" s="107" t="e">
        <f>VLOOKUP($B81,Matrix!$H$13:$I$37,2,FALSE)&amp;"_"&amp;C81</f>
        <v>#N/A</v>
      </c>
      <c r="O81" s="122" t="e">
        <f t="shared" si="3"/>
        <v>#N/A</v>
      </c>
    </row>
    <row r="82" spans="2:15">
      <c r="B82" s="27"/>
      <c r="C82" s="26"/>
      <c r="D82" s="114"/>
      <c r="E82" s="27"/>
      <c r="F82" s="115"/>
      <c r="G82" s="27"/>
      <c r="H82" s="115"/>
      <c r="I82" s="27"/>
      <c r="J82" s="115"/>
      <c r="K82" s="27"/>
      <c r="L82" s="115"/>
      <c r="M82" s="45" t="e">
        <f t="shared" si="4"/>
        <v>#N/A</v>
      </c>
      <c r="N82" s="107" t="e">
        <f>VLOOKUP($B82,Matrix!$H$13:$I$37,2,FALSE)&amp;"_"&amp;C82</f>
        <v>#N/A</v>
      </c>
      <c r="O82" s="122" t="e">
        <f t="shared" si="3"/>
        <v>#N/A</v>
      </c>
    </row>
    <row r="83" spans="2:15">
      <c r="B83" s="27"/>
      <c r="C83" s="26"/>
      <c r="D83" s="114"/>
      <c r="E83" s="27"/>
      <c r="F83" s="115"/>
      <c r="G83" s="27"/>
      <c r="H83" s="115"/>
      <c r="I83" s="27"/>
      <c r="J83" s="115"/>
      <c r="K83" s="27"/>
      <c r="L83" s="115"/>
      <c r="M83" s="45" t="e">
        <f t="shared" si="4"/>
        <v>#N/A</v>
      </c>
      <c r="N83" s="107" t="e">
        <f>VLOOKUP($B83,Matrix!$H$13:$I$37,2,FALSE)&amp;"_"&amp;C83</f>
        <v>#N/A</v>
      </c>
      <c r="O83" s="122" t="e">
        <f t="shared" si="3"/>
        <v>#N/A</v>
      </c>
    </row>
    <row r="84" spans="2:15">
      <c r="B84" s="27"/>
      <c r="C84" s="26"/>
      <c r="D84" s="114"/>
      <c r="E84" s="27"/>
      <c r="F84" s="115"/>
      <c r="G84" s="27"/>
      <c r="H84" s="115"/>
      <c r="I84" s="27"/>
      <c r="J84" s="115"/>
      <c r="K84" s="27"/>
      <c r="L84" s="115"/>
      <c r="M84" s="45" t="e">
        <f t="shared" si="4"/>
        <v>#N/A</v>
      </c>
      <c r="N84" s="107" t="e">
        <f>VLOOKUP($B84,Matrix!$H$13:$I$37,2,FALSE)&amp;"_"&amp;C84</f>
        <v>#N/A</v>
      </c>
      <c r="O84" s="122" t="e">
        <f t="shared" si="3"/>
        <v>#N/A</v>
      </c>
    </row>
    <row r="85" spans="2:15">
      <c r="B85" s="27"/>
      <c r="C85" s="26"/>
      <c r="D85" s="114"/>
      <c r="E85" s="27"/>
      <c r="F85" s="115"/>
      <c r="G85" s="27"/>
      <c r="H85" s="115"/>
      <c r="I85" s="27"/>
      <c r="J85" s="115"/>
      <c r="K85" s="27"/>
      <c r="L85" s="115"/>
      <c r="M85" s="45" t="e">
        <f t="shared" si="4"/>
        <v>#N/A</v>
      </c>
      <c r="N85" s="107" t="e">
        <f>VLOOKUP($B85,Matrix!$H$13:$I$37,2,FALSE)&amp;"_"&amp;C85</f>
        <v>#N/A</v>
      </c>
      <c r="O85" s="122" t="e">
        <f t="shared" si="3"/>
        <v>#N/A</v>
      </c>
    </row>
    <row r="86" spans="2:15">
      <c r="B86" s="27"/>
      <c r="C86" s="26"/>
      <c r="D86" s="114"/>
      <c r="E86" s="27"/>
      <c r="F86" s="115"/>
      <c r="G86" s="27"/>
      <c r="H86" s="115"/>
      <c r="I86" s="27"/>
      <c r="J86" s="115"/>
      <c r="K86" s="27"/>
      <c r="L86" s="115"/>
      <c r="M86" s="45" t="e">
        <f t="shared" si="4"/>
        <v>#N/A</v>
      </c>
      <c r="N86" s="107" t="e">
        <f>VLOOKUP($B86,Matrix!$H$13:$I$37,2,FALSE)&amp;"_"&amp;C86</f>
        <v>#N/A</v>
      </c>
      <c r="O86" s="122" t="e">
        <f t="shared" si="3"/>
        <v>#N/A</v>
      </c>
    </row>
    <row r="87" spans="2:15">
      <c r="B87" s="27"/>
      <c r="C87" s="26"/>
      <c r="D87" s="114"/>
      <c r="E87" s="27"/>
      <c r="F87" s="115"/>
      <c r="G87" s="27"/>
      <c r="H87" s="115"/>
      <c r="I87" s="27"/>
      <c r="J87" s="115"/>
      <c r="K87" s="27"/>
      <c r="L87" s="115"/>
      <c r="M87" s="45" t="e">
        <f t="shared" si="4"/>
        <v>#N/A</v>
      </c>
      <c r="N87" s="66" t="e">
        <f>VLOOKUP($B87,Matrix!$H$13:$I$37,2,FALSE)&amp;"_"&amp;C87</f>
        <v>#N/A</v>
      </c>
      <c r="O87" s="122" t="e">
        <f t="shared" si="3"/>
        <v>#N/A</v>
      </c>
    </row>
    <row r="88" spans="2:15">
      <c r="B88" s="27"/>
      <c r="C88" s="26"/>
      <c r="D88" s="114"/>
      <c r="E88" s="27"/>
      <c r="F88" s="115"/>
      <c r="G88" s="27"/>
      <c r="H88" s="115"/>
      <c r="I88" s="27"/>
      <c r="J88" s="115"/>
      <c r="K88" s="27"/>
      <c r="L88" s="115"/>
      <c r="M88" s="45" t="e">
        <f t="shared" si="4"/>
        <v>#N/A</v>
      </c>
      <c r="N88" s="66" t="e">
        <f>VLOOKUP($B88,Matrix!$H$13:$I$37,2,FALSE)&amp;"_"&amp;C88</f>
        <v>#N/A</v>
      </c>
      <c r="O88" s="122" t="e">
        <f t="shared" si="3"/>
        <v>#N/A</v>
      </c>
    </row>
    <row r="89" spans="2:15">
      <c r="B89" s="27"/>
      <c r="C89" s="26"/>
      <c r="D89" s="114"/>
      <c r="E89" s="27"/>
      <c r="F89" s="115"/>
      <c r="G89" s="27"/>
      <c r="H89" s="115"/>
      <c r="I89" s="27"/>
      <c r="J89" s="115"/>
      <c r="K89" s="27"/>
      <c r="L89" s="115"/>
      <c r="M89" s="45" t="e">
        <f t="shared" si="4"/>
        <v>#N/A</v>
      </c>
      <c r="N89" s="66" t="e">
        <f>VLOOKUP($B89,Matrix!$H$13:$I$37,2,FALSE)&amp;"_"&amp;C89</f>
        <v>#N/A</v>
      </c>
      <c r="O89" s="122" t="e">
        <f t="shared" si="3"/>
        <v>#N/A</v>
      </c>
    </row>
    <row r="90" spans="2:15">
      <c r="B90" s="27"/>
      <c r="C90" s="26"/>
      <c r="D90" s="114"/>
      <c r="E90" s="27"/>
      <c r="F90" s="115"/>
      <c r="G90" s="27"/>
      <c r="H90" s="115"/>
      <c r="I90" s="27"/>
      <c r="J90" s="115"/>
      <c r="K90" s="27"/>
      <c r="L90" s="115"/>
      <c r="M90" s="45" t="e">
        <f t="shared" si="4"/>
        <v>#N/A</v>
      </c>
      <c r="N90" s="66" t="e">
        <f>VLOOKUP($B90,Matrix!$H$13:$I$37,2,FALSE)&amp;"_"&amp;C90</f>
        <v>#N/A</v>
      </c>
      <c r="O90" s="122" t="e">
        <f t="shared" si="3"/>
        <v>#N/A</v>
      </c>
    </row>
    <row r="91" spans="2:15">
      <c r="B91" s="27"/>
      <c r="C91" s="26"/>
      <c r="D91" s="114"/>
      <c r="E91" s="27"/>
      <c r="F91" s="115"/>
      <c r="G91" s="27"/>
      <c r="H91" s="115"/>
      <c r="I91" s="27"/>
      <c r="J91" s="115"/>
      <c r="K91" s="27"/>
      <c r="L91" s="115"/>
      <c r="M91" s="45" t="e">
        <f t="shared" si="4"/>
        <v>#N/A</v>
      </c>
      <c r="N91" s="66" t="e">
        <f>VLOOKUP($B91,Matrix!$H$13:$I$37,2,FALSE)&amp;"_"&amp;C91</f>
        <v>#N/A</v>
      </c>
      <c r="O91" s="122" t="e">
        <f t="shared" si="3"/>
        <v>#N/A</v>
      </c>
    </row>
    <row r="92" spans="2:15">
      <c r="B92" s="27"/>
      <c r="C92" s="26"/>
      <c r="D92" s="114"/>
      <c r="E92" s="27"/>
      <c r="F92" s="115"/>
      <c r="G92" s="27"/>
      <c r="H92" s="115"/>
      <c r="I92" s="27"/>
      <c r="J92" s="115"/>
      <c r="K92" s="27"/>
      <c r="L92" s="115"/>
      <c r="M92" s="45" t="e">
        <f t="shared" si="4"/>
        <v>#N/A</v>
      </c>
      <c r="N92" s="66" t="e">
        <f>VLOOKUP($B92,Matrix!$H$13:$I$37,2,FALSE)&amp;"_"&amp;C92</f>
        <v>#N/A</v>
      </c>
      <c r="O92" s="122" t="e">
        <f t="shared" si="3"/>
        <v>#N/A</v>
      </c>
    </row>
    <row r="93" spans="2:15">
      <c r="B93" s="27"/>
      <c r="C93" s="26"/>
      <c r="D93" s="114"/>
      <c r="E93" s="27"/>
      <c r="F93" s="115"/>
      <c r="G93" s="27"/>
      <c r="H93" s="115"/>
      <c r="I93" s="27"/>
      <c r="J93" s="115"/>
      <c r="K93" s="27"/>
      <c r="L93" s="115"/>
      <c r="M93" s="45" t="e">
        <f t="shared" si="4"/>
        <v>#N/A</v>
      </c>
      <c r="N93" s="66" t="e">
        <f>VLOOKUP($B93,Matrix!$H$13:$I$37,2,FALSE)&amp;"_"&amp;C93</f>
        <v>#N/A</v>
      </c>
      <c r="O93" s="122" t="e">
        <f t="shared" si="3"/>
        <v>#N/A</v>
      </c>
    </row>
    <row r="94" spans="2:15">
      <c r="B94" s="27"/>
      <c r="C94" s="26"/>
      <c r="D94" s="114"/>
      <c r="E94" s="27"/>
      <c r="F94" s="115"/>
      <c r="G94" s="27"/>
      <c r="H94" s="115"/>
      <c r="I94" s="27"/>
      <c r="J94" s="115"/>
      <c r="K94" s="27"/>
      <c r="L94" s="115"/>
      <c r="M94" s="45" t="e">
        <f t="shared" si="4"/>
        <v>#N/A</v>
      </c>
      <c r="N94" s="66" t="e">
        <f>VLOOKUP($B94,Matrix!$H$13:$I$37,2,FALSE)&amp;"_"&amp;C94</f>
        <v>#N/A</v>
      </c>
      <c r="O94" s="122" t="e">
        <f t="shared" si="3"/>
        <v>#N/A</v>
      </c>
    </row>
    <row r="95" spans="2:15">
      <c r="B95" s="27"/>
      <c r="C95" s="26"/>
      <c r="D95" s="114"/>
      <c r="E95" s="27"/>
      <c r="F95" s="115"/>
      <c r="G95" s="27"/>
      <c r="H95" s="115"/>
      <c r="I95" s="27"/>
      <c r="J95" s="115"/>
      <c r="K95" s="27"/>
      <c r="L95" s="115"/>
      <c r="M95" s="45" t="e">
        <f t="shared" si="4"/>
        <v>#N/A</v>
      </c>
      <c r="N95" s="66" t="e">
        <f>VLOOKUP($B95,Matrix!$H$13:$I$37,2,FALSE)&amp;"_"&amp;C95</f>
        <v>#N/A</v>
      </c>
      <c r="O95" s="122" t="e">
        <f t="shared" si="3"/>
        <v>#N/A</v>
      </c>
    </row>
    <row r="96" spans="2:15">
      <c r="B96" s="27"/>
      <c r="C96" s="26"/>
      <c r="D96" s="114"/>
      <c r="E96" s="27"/>
      <c r="F96" s="115"/>
      <c r="G96" s="27"/>
      <c r="H96" s="115"/>
      <c r="I96" s="27"/>
      <c r="J96" s="115"/>
      <c r="K96" s="27"/>
      <c r="L96" s="115"/>
      <c r="M96" s="45" t="e">
        <f t="shared" si="4"/>
        <v>#N/A</v>
      </c>
      <c r="N96" s="66" t="e">
        <f>VLOOKUP($B96,Matrix!$H$13:$I$37,2,FALSE)&amp;"_"&amp;C96</f>
        <v>#N/A</v>
      </c>
      <c r="O96" s="122" t="e">
        <f t="shared" si="3"/>
        <v>#N/A</v>
      </c>
    </row>
    <row r="97" spans="2:15">
      <c r="B97" s="27"/>
      <c r="C97" s="26"/>
      <c r="D97" s="114"/>
      <c r="E97" s="27"/>
      <c r="F97" s="115"/>
      <c r="G97" s="27"/>
      <c r="H97" s="115"/>
      <c r="I97" s="27"/>
      <c r="J97" s="115"/>
      <c r="K97" s="27"/>
      <c r="L97" s="115"/>
      <c r="M97" s="45" t="e">
        <f t="shared" si="4"/>
        <v>#N/A</v>
      </c>
      <c r="N97" s="66" t="e">
        <f>VLOOKUP($B97,Matrix!$H$13:$I$37,2,FALSE)&amp;"_"&amp;C97</f>
        <v>#N/A</v>
      </c>
      <c r="O97" s="122" t="e">
        <f t="shared" si="3"/>
        <v>#N/A</v>
      </c>
    </row>
    <row r="98" spans="2:15">
      <c r="B98" s="27"/>
      <c r="C98" s="26"/>
      <c r="D98" s="114"/>
      <c r="E98" s="27"/>
      <c r="F98" s="115"/>
      <c r="G98" s="27"/>
      <c r="H98" s="115"/>
      <c r="I98" s="27"/>
      <c r="J98" s="115"/>
      <c r="K98" s="27"/>
      <c r="L98" s="115"/>
      <c r="M98" s="45" t="e">
        <f t="shared" si="4"/>
        <v>#N/A</v>
      </c>
      <c r="N98" s="66" t="e">
        <f>VLOOKUP($B98,Matrix!$H$13:$I$37,2,FALSE)&amp;"_"&amp;C98</f>
        <v>#N/A</v>
      </c>
      <c r="O98" s="122" t="e">
        <f t="shared" si="3"/>
        <v>#N/A</v>
      </c>
    </row>
    <row r="99" spans="2:15">
      <c r="B99" s="27"/>
      <c r="C99" s="26"/>
      <c r="D99" s="114"/>
      <c r="E99" s="27"/>
      <c r="F99" s="115"/>
      <c r="G99" s="27"/>
      <c r="H99" s="115"/>
      <c r="I99" s="27"/>
      <c r="J99" s="115"/>
      <c r="K99" s="27"/>
      <c r="L99" s="115"/>
      <c r="M99" s="45" t="e">
        <f t="shared" si="4"/>
        <v>#N/A</v>
      </c>
      <c r="N99" s="66" t="e">
        <f>VLOOKUP($B99,Matrix!$H$13:$I$37,2,FALSE)&amp;"_"&amp;C99</f>
        <v>#N/A</v>
      </c>
      <c r="O99" s="122" t="e">
        <f t="shared" si="3"/>
        <v>#N/A</v>
      </c>
    </row>
    <row r="100" spans="2:15">
      <c r="B100" s="27"/>
      <c r="C100" s="26"/>
      <c r="D100" s="114"/>
      <c r="E100" s="27"/>
      <c r="F100" s="115"/>
      <c r="G100" s="27"/>
      <c r="H100" s="115"/>
      <c r="I100" s="27"/>
      <c r="J100" s="115"/>
      <c r="K100" s="27"/>
      <c r="L100" s="115"/>
      <c r="M100" s="45" t="e">
        <f t="shared" si="4"/>
        <v>#N/A</v>
      </c>
      <c r="N100" s="66" t="e">
        <f>VLOOKUP($B100,Matrix!$H$13:$I$37,2,FALSE)&amp;"_"&amp;C100</f>
        <v>#N/A</v>
      </c>
      <c r="O100" s="122" t="e">
        <f t="shared" ref="O100:O103" si="5">"#define "&amp;N100&amp;REPT(" ",48-M100)&amp;"("&amp;D100&amp;"U)"</f>
        <v>#N/A</v>
      </c>
    </row>
    <row r="101" spans="2:15">
      <c r="B101" s="27"/>
      <c r="C101" s="26"/>
      <c r="D101" s="114"/>
      <c r="E101" s="27"/>
      <c r="F101" s="115"/>
      <c r="G101" s="27"/>
      <c r="H101" s="115"/>
      <c r="I101" s="27"/>
      <c r="J101" s="115"/>
      <c r="K101" s="27"/>
      <c r="L101" s="115"/>
      <c r="M101" s="45" t="e">
        <f t="shared" si="4"/>
        <v>#N/A</v>
      </c>
      <c r="N101" s="66" t="e">
        <f>VLOOKUP($B101,Matrix!$H$13:$I$37,2,FALSE)&amp;"_"&amp;C101</f>
        <v>#N/A</v>
      </c>
      <c r="O101" s="122" t="e">
        <f t="shared" si="5"/>
        <v>#N/A</v>
      </c>
    </row>
    <row r="102" spans="2:15">
      <c r="B102" s="27"/>
      <c r="C102" s="26"/>
      <c r="D102" s="114"/>
      <c r="E102" s="27"/>
      <c r="F102" s="115"/>
      <c r="G102" s="27"/>
      <c r="H102" s="115"/>
      <c r="I102" s="27"/>
      <c r="J102" s="115"/>
      <c r="K102" s="27"/>
      <c r="L102" s="115"/>
      <c r="M102" s="45" t="e">
        <f t="shared" si="4"/>
        <v>#N/A</v>
      </c>
      <c r="N102" s="66" t="e">
        <f>VLOOKUP($B102,Matrix!$H$13:$I$37,2,FALSE)&amp;"_"&amp;C102</f>
        <v>#N/A</v>
      </c>
      <c r="O102" s="122" t="e">
        <f t="shared" si="5"/>
        <v>#N/A</v>
      </c>
    </row>
    <row r="103" spans="2:15" ht="14.25" thickBot="1">
      <c r="B103" s="51"/>
      <c r="C103" s="52"/>
      <c r="D103" s="116"/>
      <c r="E103" s="51"/>
      <c r="F103" s="117"/>
      <c r="G103" s="51"/>
      <c r="H103" s="117"/>
      <c r="I103" s="51"/>
      <c r="J103" s="117"/>
      <c r="K103" s="51"/>
      <c r="L103" s="117"/>
      <c r="M103" s="53" t="e">
        <f t="shared" si="4"/>
        <v>#N/A</v>
      </c>
      <c r="N103" s="67" t="e">
        <f>VLOOKUP($B103,Matrix!$H$13:$I$37,2,FALSE)&amp;"_"&amp;C103</f>
        <v>#N/A</v>
      </c>
      <c r="O103" s="123" t="e">
        <f t="shared" si="5"/>
        <v>#N/A</v>
      </c>
    </row>
  </sheetData>
  <protectedRanges>
    <protectedRange sqref="B4:L103" name="範囲1"/>
  </protectedRanges>
  <phoneticPr fontId="2"/>
  <conditionalFormatting sqref="M4:M103">
    <cfRule type="cellIs" dxfId="14942" priority="2" operator="greaterThan">
      <formula>32</formula>
    </cfRule>
  </conditionalFormatting>
  <conditionalFormatting sqref="M3">
    <cfRule type="cellIs" dxfId="1494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4" t="s">
        <v>127</v>
      </c>
      <c r="C2" s="266" t="s">
        <v>82</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268" t="s">
        <v>159</v>
      </c>
    </row>
    <row r="3" spans="1:49" ht="213" customHeight="1" thickBot="1">
      <c r="B3" s="187" t="str">
        <f>IF(OR(IF(COUNTIF(D6:AC69,"0")&lt;&gt;0,TRUE,FALSE),IF(COUNTIF(D6:AC69,"1")&lt;&gt;0,TRUE,FALSE)),"Search Table","Index Table")</f>
        <v>Search Table</v>
      </c>
      <c r="C3" s="267"/>
      <c r="D3" s="126" t="s">
        <v>59</v>
      </c>
      <c r="E3" s="126" t="s">
        <v>64</v>
      </c>
      <c r="F3" s="126" t="s">
        <v>47</v>
      </c>
      <c r="G3" s="126" t="s">
        <v>46</v>
      </c>
      <c r="H3" s="126" t="s">
        <v>125</v>
      </c>
      <c r="I3" s="126" t="s">
        <v>124</v>
      </c>
      <c r="J3" s="126" t="s">
        <v>129</v>
      </c>
      <c r="K3" s="126" t="s">
        <v>128</v>
      </c>
      <c r="L3" s="127" t="s">
        <v>64</v>
      </c>
      <c r="M3" s="127" t="s">
        <v>60</v>
      </c>
      <c r="N3" s="127" t="s">
        <v>60</v>
      </c>
      <c r="O3" s="127" t="s">
        <v>60</v>
      </c>
      <c r="P3" s="127" t="s">
        <v>60</v>
      </c>
      <c r="Q3" s="127" t="s">
        <v>60</v>
      </c>
      <c r="R3" s="127" t="s">
        <v>60</v>
      </c>
      <c r="S3" s="127" t="s">
        <v>60</v>
      </c>
      <c r="T3" s="127" t="s">
        <v>60</v>
      </c>
      <c r="U3" s="127" t="s">
        <v>60</v>
      </c>
      <c r="V3" s="127" t="s">
        <v>60</v>
      </c>
      <c r="W3" s="127" t="s">
        <v>60</v>
      </c>
      <c r="X3" s="127" t="s">
        <v>60</v>
      </c>
      <c r="Y3" s="127" t="s">
        <v>60</v>
      </c>
      <c r="Z3" s="127" t="s">
        <v>60</v>
      </c>
      <c r="AA3" s="127" t="s">
        <v>60</v>
      </c>
      <c r="AB3" s="224" t="s">
        <v>287</v>
      </c>
      <c r="AC3" s="225" t="s">
        <v>288</v>
      </c>
      <c r="AD3" s="221" t="s">
        <v>289</v>
      </c>
      <c r="AE3" s="222" t="s">
        <v>253</v>
      </c>
      <c r="AF3" s="274" t="s">
        <v>258</v>
      </c>
      <c r="AG3" s="275"/>
      <c r="AH3" s="222" t="s">
        <v>262</v>
      </c>
      <c r="AI3" s="222" t="s">
        <v>264</v>
      </c>
      <c r="AJ3" s="269"/>
      <c r="AR3" s="88" t="s">
        <v>96</v>
      </c>
    </row>
    <row r="4" spans="1:49" ht="14.25" thickBot="1">
      <c r="A4" s="270" t="s">
        <v>61</v>
      </c>
      <c r="B4" s="271"/>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29"/>
      <c r="AR4" s="76" t="s">
        <v>80</v>
      </c>
      <c r="AS4" s="77"/>
      <c r="AT4" s="77"/>
      <c r="AU4" s="77"/>
      <c r="AV4" s="77"/>
      <c r="AW4" s="78"/>
    </row>
    <row r="5" spans="1:49" ht="14.25" thickBot="1">
      <c r="A5" s="272"/>
      <c r="B5" s="273"/>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0"/>
      <c r="AR5" s="79" t="str">
        <f ca="1">"static const U4  "&amp;AW8&amp;"["&amp;AW10&amp;"]"&amp;" = {"</f>
        <v>static const U4  u4_sp_ALERT_C_BRK_0_CRIT[ALERT_C_BRK_0_NUM_DST] = {</v>
      </c>
      <c r="AS5" s="79" t="str">
        <f ca="1">"static const U4  "&amp;$AW$9&amp;"["&amp;$AW$10&amp;"] = {"</f>
        <v>static const U4  u4_sp_ALERT_C_BRK_0_MASK[ALERT_C_BRK_0_NUM_DST] = {</v>
      </c>
      <c r="AT5" s="79" t="str">
        <f ca="1">"static const U1  "&amp;$AW$11&amp;"["&amp;$AW$10&amp;"] = {"</f>
        <v>static const U1  u1_sp_ALERT_C_BRK_0_DST[ALERT_C_BRK_0_NUM_DST] = {</v>
      </c>
      <c r="AU5" s="79" t="str">
        <f>"const ST_ALERT_MTRX "&amp;$AW$12&amp;" = {"</f>
        <v>const ST_ALERT_MTRX st_gp_ALERT_C_BRK_0_MTRX[1] = {</v>
      </c>
      <c r="AV5" s="63" t="str">
        <f ca="1">"#define "&amp;AW10&amp;REPT(" ",41-LEN(AW10))&amp;"("&amp;AW13&amp;"U)"</f>
        <v>#define ALERT_C_BRK_0_NUM_DST                    (20U)</v>
      </c>
      <c r="AW5" s="64"/>
    </row>
    <row r="6" spans="1:49">
      <c r="B6" s="132" t="str">
        <f ca="1">"Table "&amp;$AW$6</f>
        <v>Table C_BRK_0</v>
      </c>
      <c r="C6" s="50">
        <f>ROW()-ROW($C$6)</f>
        <v>0</v>
      </c>
      <c r="D6" s="128" t="s">
        <v>65</v>
      </c>
      <c r="E6" s="128" t="s">
        <v>65</v>
      </c>
      <c r="F6" s="128" t="s">
        <v>65</v>
      </c>
      <c r="G6" s="128" t="s">
        <v>65</v>
      </c>
      <c r="H6" s="128" t="s">
        <v>65</v>
      </c>
      <c r="I6" s="128" t="s">
        <v>65</v>
      </c>
      <c r="J6" s="128" t="s">
        <v>65</v>
      </c>
      <c r="K6" s="128" t="s">
        <v>65</v>
      </c>
      <c r="L6" s="128" t="s">
        <v>65</v>
      </c>
      <c r="M6" s="128" t="s">
        <v>65</v>
      </c>
      <c r="N6" s="128" t="s">
        <v>65</v>
      </c>
      <c r="O6" s="128" t="s">
        <v>65</v>
      </c>
      <c r="P6" s="128" t="s">
        <v>65</v>
      </c>
      <c r="Q6" s="128" t="s">
        <v>65</v>
      </c>
      <c r="R6" s="128" t="s">
        <v>65</v>
      </c>
      <c r="S6" s="128" t="s">
        <v>65</v>
      </c>
      <c r="T6" s="128" t="s">
        <v>65</v>
      </c>
      <c r="U6" s="128" t="s">
        <v>65</v>
      </c>
      <c r="V6" s="128" t="s">
        <v>65</v>
      </c>
      <c r="W6" s="128" t="s">
        <v>65</v>
      </c>
      <c r="X6" s="128" t="s">
        <v>65</v>
      </c>
      <c r="Y6" s="128" t="s">
        <v>65</v>
      </c>
      <c r="Z6" s="128" t="s">
        <v>65</v>
      </c>
      <c r="AA6" s="128" t="s">
        <v>65</v>
      </c>
      <c r="AB6" s="128">
        <v>0</v>
      </c>
      <c r="AC6" s="128" t="s">
        <v>65</v>
      </c>
      <c r="AD6" s="128" t="s">
        <v>65</v>
      </c>
      <c r="AE6" s="128" t="s">
        <v>65</v>
      </c>
      <c r="AF6" s="128" t="s">
        <v>65</v>
      </c>
      <c r="AG6" s="128" t="s">
        <v>65</v>
      </c>
      <c r="AH6" s="128" t="s">
        <v>65</v>
      </c>
      <c r="AI6" s="128" t="s">
        <v>65</v>
      </c>
      <c r="AJ6" s="26" t="s">
        <v>260</v>
      </c>
      <c r="AL6" t="str">
        <f t="shared" ref="AL6:AL69" si="0">IF($AJ6="UNKNOWN","    (U1)ALERT_REQ_UNKNOWN","    (U1)"&amp;"ALERT_REQ_"&amp;$AW$17&amp;"_"&amp;IF($AW$6&lt;&gt;$AW$17,$AW$6&amp;"_","")&amp;AJ6)</f>
        <v xml:space="preserve">    (U1)ALERT_REQ_UNKNOWN</v>
      </c>
      <c r="AR6" s="61" t="str">
        <f t="shared" ref="AR6:AR18" si="1">IF(AQ71&lt;&gt;"",AQ71,IF(AQ70&lt;&gt;"","};",""))</f>
        <v xml:space="preserve">    (U4)0x00000000U,                                                           /* 00 UNKNOWN                                         */</v>
      </c>
      <c r="AS6" s="61" t="str">
        <f t="shared" ref="AS6:AS17" si="2">IF(AQ136&lt;&gt;"",AQ136,IF(AQ135&lt;&gt;"","};",""))</f>
        <v xml:space="preserve">    (U4)0x00000080U,                                                           /* 00 UNKNOWN                                         */</v>
      </c>
      <c r="AT6" s="61" t="str">
        <f t="shared" ref="AT6:AT18" si="3">IF(AJ6&lt;&gt;"",AL6&amp;IF(AJ7&lt;&gt;"",","," ")&amp;REPT(" ",78-LEN(AL6))&amp;"/* "&amp;IF(C6&lt;10,"0"&amp;C6,C6)&amp;" "&amp;AJ6&amp;REPT(" ",48-LEN(AJ6))&amp;"*/",IF(AJ5&lt;&gt;"","};",""))</f>
        <v xml:space="preserve">    (U1)ALERT_REQ_UNKNOWN,                                                     /* 00 UNKNOWN                                         */</v>
      </c>
      <c r="AU6" s="61" t="s">
        <v>66</v>
      </c>
      <c r="AV6" s="46" t="s">
        <v>68</v>
      </c>
      <c r="AW6" s="65" t="str">
        <f ca="1">UPPER(RIGHT(CELL("filename",A1),LEN(CELL("filename",A1))-FIND("]",CELL("filename",A1))))</f>
        <v>C_BRK_0</v>
      </c>
    </row>
    <row r="7" spans="1:49">
      <c r="B7" s="132"/>
      <c r="C7" s="45">
        <f t="shared" ref="C7:C69" si="4">ROW()-ROW($C$6)</f>
        <v>1</v>
      </c>
      <c r="D7" s="59" t="s">
        <v>65</v>
      </c>
      <c r="E7" s="59" t="s">
        <v>65</v>
      </c>
      <c r="F7" s="59" t="s">
        <v>65</v>
      </c>
      <c r="G7" s="59" t="s">
        <v>65</v>
      </c>
      <c r="H7" s="59" t="s">
        <v>65</v>
      </c>
      <c r="I7" s="59" t="s">
        <v>65</v>
      </c>
      <c r="J7" s="59" t="s">
        <v>65</v>
      </c>
      <c r="K7" s="59" t="s">
        <v>65</v>
      </c>
      <c r="L7" s="59" t="s">
        <v>65</v>
      </c>
      <c r="M7" s="59" t="s">
        <v>65</v>
      </c>
      <c r="N7" s="59" t="s">
        <v>65</v>
      </c>
      <c r="O7" s="59" t="s">
        <v>65</v>
      </c>
      <c r="P7" s="128" t="s">
        <v>65</v>
      </c>
      <c r="Q7" s="128" t="s">
        <v>65</v>
      </c>
      <c r="R7" s="128" t="s">
        <v>65</v>
      </c>
      <c r="S7" s="128" t="s">
        <v>65</v>
      </c>
      <c r="T7" s="128" t="s">
        <v>65</v>
      </c>
      <c r="U7" s="128" t="s">
        <v>65</v>
      </c>
      <c r="V7" s="128" t="s">
        <v>65</v>
      </c>
      <c r="W7" s="128" t="s">
        <v>65</v>
      </c>
      <c r="X7" s="128" t="s">
        <v>65</v>
      </c>
      <c r="Y7" s="128" t="s">
        <v>65</v>
      </c>
      <c r="Z7" s="128" t="s">
        <v>65</v>
      </c>
      <c r="AA7" s="128" t="s">
        <v>65</v>
      </c>
      <c r="AB7" s="128">
        <v>1</v>
      </c>
      <c r="AC7" s="128">
        <v>0</v>
      </c>
      <c r="AD7" s="128">
        <v>0</v>
      </c>
      <c r="AE7" s="128" t="s">
        <v>65</v>
      </c>
      <c r="AF7" s="128" t="s">
        <v>65</v>
      </c>
      <c r="AG7" s="128" t="s">
        <v>65</v>
      </c>
      <c r="AH7" s="128" t="s">
        <v>65</v>
      </c>
      <c r="AI7" s="128" t="s">
        <v>65</v>
      </c>
      <c r="AJ7" s="26" t="s">
        <v>260</v>
      </c>
      <c r="AL7" t="str">
        <f t="shared" si="0"/>
        <v xml:space="preserve">    (U1)ALERT_REQ_UNKNOWN</v>
      </c>
      <c r="AR7" s="61" t="str">
        <f t="shared" si="1"/>
        <v xml:space="preserve">    (U4)0x00000080U,                                                           /* 01 UNKNOWN                                         */</v>
      </c>
      <c r="AS7" s="61" t="str">
        <f t="shared" si="2"/>
        <v xml:space="preserve">    (U4)0x000000E0U,                                                           /* 01 UNKNOWN                                         */</v>
      </c>
      <c r="AT7" s="61" t="str">
        <f t="shared" si="3"/>
        <v xml:space="preserve">    (U1)ALERT_REQ_UNKNOWN,                                                     /* 01 UNKNOWN                                         */</v>
      </c>
      <c r="AU7" s="61" t="str">
        <f ca="1">"        &amp;"&amp;$AW$14&amp;","&amp;REPT(" ",69-LEN($AW$14))&amp;"/* fp_u4_SRC_CHK                                      */"</f>
        <v xml:space="preserve">        &amp;u4_s_AlertC_brk_0Srcchk,                                              /* fp_u4_SRC_CHK                                      */</v>
      </c>
      <c r="AV7" s="47" t="s">
        <v>69</v>
      </c>
      <c r="AW7" s="131">
        <f>IF(B3="Search Table",1,0)</f>
        <v>1</v>
      </c>
    </row>
    <row r="8" spans="1:49">
      <c r="B8" s="132"/>
      <c r="C8" s="45">
        <f t="shared" si="4"/>
        <v>2</v>
      </c>
      <c r="D8" s="59" t="s">
        <v>65</v>
      </c>
      <c r="E8" s="59" t="s">
        <v>65</v>
      </c>
      <c r="F8" s="59" t="s">
        <v>65</v>
      </c>
      <c r="G8" s="59" t="s">
        <v>65</v>
      </c>
      <c r="H8" s="59" t="s">
        <v>65</v>
      </c>
      <c r="I8" s="59" t="s">
        <v>65</v>
      </c>
      <c r="J8" s="59" t="s">
        <v>65</v>
      </c>
      <c r="K8" s="59" t="s">
        <v>65</v>
      </c>
      <c r="L8" s="59" t="s">
        <v>65</v>
      </c>
      <c r="M8" s="59" t="s">
        <v>65</v>
      </c>
      <c r="N8" s="59" t="s">
        <v>65</v>
      </c>
      <c r="O8" s="59" t="s">
        <v>65</v>
      </c>
      <c r="P8" s="128" t="s">
        <v>65</v>
      </c>
      <c r="Q8" s="128" t="s">
        <v>65</v>
      </c>
      <c r="R8" s="128" t="s">
        <v>65</v>
      </c>
      <c r="S8" s="128" t="s">
        <v>65</v>
      </c>
      <c r="T8" s="128" t="s">
        <v>65</v>
      </c>
      <c r="U8" s="128" t="s">
        <v>65</v>
      </c>
      <c r="V8" s="128" t="s">
        <v>65</v>
      </c>
      <c r="W8" s="128" t="s">
        <v>65</v>
      </c>
      <c r="X8" s="128" t="s">
        <v>65</v>
      </c>
      <c r="Y8" s="128" t="s">
        <v>65</v>
      </c>
      <c r="Z8" s="128" t="s">
        <v>65</v>
      </c>
      <c r="AA8" s="128" t="s">
        <v>65</v>
      </c>
      <c r="AB8" s="128">
        <v>1</v>
      </c>
      <c r="AC8" s="128">
        <v>0</v>
      </c>
      <c r="AD8" s="128">
        <v>1</v>
      </c>
      <c r="AE8" s="128">
        <v>0</v>
      </c>
      <c r="AF8" s="128">
        <v>0</v>
      </c>
      <c r="AG8" s="128">
        <v>0</v>
      </c>
      <c r="AH8" s="128">
        <v>0</v>
      </c>
      <c r="AI8" s="128">
        <v>0</v>
      </c>
      <c r="AJ8" s="26" t="s">
        <v>260</v>
      </c>
      <c r="AL8" t="str">
        <f t="shared" si="0"/>
        <v xml:space="preserve">    (U1)ALERT_REQ_UNKNOWN</v>
      </c>
      <c r="AR8" s="61" t="str">
        <f t="shared" si="1"/>
        <v xml:space="preserve">    (U4)0x000000A0U,                                                           /* 02 UNKNOWN                                         */</v>
      </c>
      <c r="AS8" s="61" t="str">
        <f t="shared" si="2"/>
        <v xml:space="preserve">    (U4)0x000000FFU,                                                           /* 02 UNKNOWN                                         */</v>
      </c>
      <c r="AT8" s="61" t="str">
        <f t="shared" si="3"/>
        <v xml:space="preserve">    (U1)ALERT_REQ_UNKNOWN,                                                     /* 02 UNKNOWN                                         */</v>
      </c>
      <c r="AU8" s="61" t="str">
        <f ca="1">IF($AW$15&lt;&gt;"NULL","        &amp;"&amp;$AW$15&amp;","&amp;REPT(" ",69-LEN($AW$15))&amp;"/* fp_vd_XDST                                         */","        vdp_PTR_NA,                                                            /* fp_vd_XDST                                         */")</f>
        <v xml:space="preserve">        vdp_PTR_NA,                                                            /* fp_vd_XDST                                         */</v>
      </c>
      <c r="AV8" s="47" t="s">
        <v>70</v>
      </c>
      <c r="AW8" s="66" t="str">
        <f ca="1">"u4_sp_ALERT_"&amp;IF(AW6&lt;&gt;AW17,$AW$17&amp;"_"&amp;$AW$6,AW17)&amp;"_CRIT"</f>
        <v>u4_sp_ALERT_C_BRK_0_CRIT</v>
      </c>
    </row>
    <row r="9" spans="1:49">
      <c r="B9" s="132"/>
      <c r="C9" s="45">
        <f t="shared" si="4"/>
        <v>3</v>
      </c>
      <c r="D9" s="59" t="s">
        <v>65</v>
      </c>
      <c r="E9" s="59" t="s">
        <v>65</v>
      </c>
      <c r="F9" s="59" t="s">
        <v>65</v>
      </c>
      <c r="G9" s="59" t="s">
        <v>65</v>
      </c>
      <c r="H9" s="59" t="s">
        <v>65</v>
      </c>
      <c r="I9" s="59" t="s">
        <v>65</v>
      </c>
      <c r="J9" s="59" t="s">
        <v>65</v>
      </c>
      <c r="K9" s="59" t="s">
        <v>65</v>
      </c>
      <c r="L9" s="59" t="s">
        <v>65</v>
      </c>
      <c r="M9" s="59" t="s">
        <v>65</v>
      </c>
      <c r="N9" s="59" t="s">
        <v>65</v>
      </c>
      <c r="O9" s="59" t="s">
        <v>65</v>
      </c>
      <c r="P9" s="128" t="s">
        <v>65</v>
      </c>
      <c r="Q9" s="128" t="s">
        <v>65</v>
      </c>
      <c r="R9" s="128" t="s">
        <v>65</v>
      </c>
      <c r="S9" s="128" t="s">
        <v>65</v>
      </c>
      <c r="T9" s="128" t="s">
        <v>65</v>
      </c>
      <c r="U9" s="128" t="s">
        <v>65</v>
      </c>
      <c r="V9" s="128" t="s">
        <v>65</v>
      </c>
      <c r="W9" s="128" t="s">
        <v>65</v>
      </c>
      <c r="X9" s="128" t="s">
        <v>65</v>
      </c>
      <c r="Y9" s="128" t="s">
        <v>65</v>
      </c>
      <c r="Z9" s="128" t="s">
        <v>65</v>
      </c>
      <c r="AA9" s="128" t="s">
        <v>65</v>
      </c>
      <c r="AB9" s="128">
        <v>1</v>
      </c>
      <c r="AC9" s="128">
        <v>0</v>
      </c>
      <c r="AD9" s="128">
        <v>1</v>
      </c>
      <c r="AE9" s="128">
        <v>0</v>
      </c>
      <c r="AF9" s="128">
        <v>0</v>
      </c>
      <c r="AG9" s="128">
        <v>0</v>
      </c>
      <c r="AH9" s="128">
        <v>0</v>
      </c>
      <c r="AI9" s="128">
        <v>1</v>
      </c>
      <c r="AJ9" s="26" t="s">
        <v>260</v>
      </c>
      <c r="AL9" t="str">
        <f t="shared" si="0"/>
        <v xml:space="preserve">    (U1)ALERT_REQ_UNKNOWN</v>
      </c>
      <c r="AR9" s="61" t="str">
        <f t="shared" si="1"/>
        <v xml:space="preserve">    (U4)0x000000A1U,                                                           /* 03 UNKNOWN                                         */</v>
      </c>
      <c r="AS9" s="61" t="str">
        <f t="shared" si="2"/>
        <v xml:space="preserve">    (U4)0x000000FFU,                                                           /* 03 UNKNOWN                                         */</v>
      </c>
      <c r="AT9" s="61" t="str">
        <f t="shared" si="3"/>
        <v xml:space="preserve">    (U1)ALERT_REQ_UNKNOWN,                                                     /* 03 UNKNOWN                                         */</v>
      </c>
      <c r="AU9" s="61"/>
      <c r="AV9" s="47" t="s">
        <v>71</v>
      </c>
      <c r="AW9" s="66" t="str">
        <f ca="1">"u4_sp_ALERT_"&amp;IF(AW6&lt;&gt;AW17,$AW$17&amp;"_"&amp;$AW$6,AW17)&amp;"_MASK"</f>
        <v>u4_sp_ALERT_C_BRK_0_MASK</v>
      </c>
    </row>
    <row r="10" spans="1:49">
      <c r="B10" s="132"/>
      <c r="C10" s="45">
        <f t="shared" si="4"/>
        <v>4</v>
      </c>
      <c r="D10" s="59" t="s">
        <v>65</v>
      </c>
      <c r="E10" s="59" t="s">
        <v>65</v>
      </c>
      <c r="F10" s="59" t="s">
        <v>65</v>
      </c>
      <c r="G10" s="59" t="s">
        <v>65</v>
      </c>
      <c r="H10" s="59" t="s">
        <v>65</v>
      </c>
      <c r="I10" s="59" t="s">
        <v>65</v>
      </c>
      <c r="J10" s="59" t="s">
        <v>65</v>
      </c>
      <c r="K10" s="59" t="s">
        <v>65</v>
      </c>
      <c r="L10" s="59" t="s">
        <v>65</v>
      </c>
      <c r="M10" s="59" t="s">
        <v>65</v>
      </c>
      <c r="N10" s="59" t="s">
        <v>65</v>
      </c>
      <c r="O10" s="59" t="s">
        <v>65</v>
      </c>
      <c r="P10" s="128" t="s">
        <v>65</v>
      </c>
      <c r="Q10" s="128" t="s">
        <v>65</v>
      </c>
      <c r="R10" s="128" t="s">
        <v>65</v>
      </c>
      <c r="S10" s="128" t="s">
        <v>65</v>
      </c>
      <c r="T10" s="128" t="s">
        <v>65</v>
      </c>
      <c r="U10" s="128" t="s">
        <v>65</v>
      </c>
      <c r="V10" s="128" t="s">
        <v>65</v>
      </c>
      <c r="W10" s="128" t="s">
        <v>65</v>
      </c>
      <c r="X10" s="128" t="s">
        <v>65</v>
      </c>
      <c r="Y10" s="128" t="s">
        <v>65</v>
      </c>
      <c r="Z10" s="128" t="s">
        <v>65</v>
      </c>
      <c r="AA10" s="128" t="s">
        <v>65</v>
      </c>
      <c r="AB10" s="128">
        <v>1</v>
      </c>
      <c r="AC10" s="128">
        <v>0</v>
      </c>
      <c r="AD10" s="128">
        <v>1</v>
      </c>
      <c r="AE10" s="128">
        <v>0</v>
      </c>
      <c r="AF10" s="128">
        <v>0</v>
      </c>
      <c r="AG10" s="128">
        <v>0</v>
      </c>
      <c r="AH10" s="128">
        <v>1</v>
      </c>
      <c r="AI10" s="128">
        <v>0</v>
      </c>
      <c r="AJ10" s="26" t="s">
        <v>260</v>
      </c>
      <c r="AL10" t="str">
        <f t="shared" si="0"/>
        <v xml:space="preserve">    (U1)ALERT_REQ_UNKNOWN</v>
      </c>
      <c r="AR10" s="61" t="str">
        <f t="shared" si="1"/>
        <v xml:space="preserve">    (U4)0x000000A2U,                                                           /* 04 UNKNOWN                                         */</v>
      </c>
      <c r="AS10" s="61" t="str">
        <f t="shared" si="2"/>
        <v xml:space="preserve">    (U4)0x000000FFU,                                                           /* 04 UNKNOWN                                         */</v>
      </c>
      <c r="AT10" s="61" t="str">
        <f t="shared" si="3"/>
        <v xml:space="preserve">    (U1)ALERT_REQ_UNKNOWN,                                                     /* 04 UNKNOWN                                         */</v>
      </c>
      <c r="AU10" s="61" t="str">
        <f ca="1">IF($AW$7=1,"        &amp;"&amp;$AW$9&amp;"[0],"&amp;REPT(" ",66-LEN($AW$9))&amp;"/* u4p_MASK                                           */","        (const U4 *)vdp_PTR_NA,                                                /* u4p_MASK                                           */")</f>
        <v xml:space="preserve">        &amp;u4_sp_ALERT_C_BRK_0_MASK[0],                                          /* u4p_MASK                                           */</v>
      </c>
      <c r="AV10" s="47" t="s">
        <v>72</v>
      </c>
      <c r="AW10" s="66" t="str">
        <f ca="1">"ALERT_"&amp;IF(AW6&lt;&gt;AW17,$AW$17&amp;"_"&amp;$AW$6,AW17)&amp;"_NUM_DST"</f>
        <v>ALERT_C_BRK_0_NUM_DST</v>
      </c>
    </row>
    <row r="11" spans="1:49">
      <c r="B11" s="132"/>
      <c r="C11" s="45">
        <f t="shared" si="4"/>
        <v>5</v>
      </c>
      <c r="D11" s="59" t="s">
        <v>65</v>
      </c>
      <c r="E11" s="59" t="s">
        <v>65</v>
      </c>
      <c r="F11" s="59" t="s">
        <v>65</v>
      </c>
      <c r="G11" s="59" t="s">
        <v>65</v>
      </c>
      <c r="H11" s="59" t="s">
        <v>65</v>
      </c>
      <c r="I11" s="59" t="s">
        <v>65</v>
      </c>
      <c r="J11" s="59" t="s">
        <v>65</v>
      </c>
      <c r="K11" s="59" t="s">
        <v>65</v>
      </c>
      <c r="L11" s="59" t="s">
        <v>65</v>
      </c>
      <c r="M11" s="59" t="s">
        <v>65</v>
      </c>
      <c r="N11" s="59" t="s">
        <v>65</v>
      </c>
      <c r="O11" s="59" t="s">
        <v>65</v>
      </c>
      <c r="P11" s="128" t="s">
        <v>65</v>
      </c>
      <c r="Q11" s="128" t="s">
        <v>65</v>
      </c>
      <c r="R11" s="128" t="s">
        <v>65</v>
      </c>
      <c r="S11" s="128" t="s">
        <v>65</v>
      </c>
      <c r="T11" s="128" t="s">
        <v>65</v>
      </c>
      <c r="U11" s="128" t="s">
        <v>65</v>
      </c>
      <c r="V11" s="128" t="s">
        <v>65</v>
      </c>
      <c r="W11" s="128" t="s">
        <v>65</v>
      </c>
      <c r="X11" s="128" t="s">
        <v>65</v>
      </c>
      <c r="Y11" s="128" t="s">
        <v>65</v>
      </c>
      <c r="Z11" s="128" t="s">
        <v>65</v>
      </c>
      <c r="AA11" s="128" t="s">
        <v>65</v>
      </c>
      <c r="AB11" s="128">
        <v>1</v>
      </c>
      <c r="AC11" s="128">
        <v>0</v>
      </c>
      <c r="AD11" s="128">
        <v>1</v>
      </c>
      <c r="AE11" s="128">
        <v>0</v>
      </c>
      <c r="AF11" s="128">
        <v>0</v>
      </c>
      <c r="AG11" s="128">
        <v>0</v>
      </c>
      <c r="AH11" s="128">
        <v>1</v>
      </c>
      <c r="AI11" s="128">
        <v>1</v>
      </c>
      <c r="AJ11" s="26" t="s">
        <v>30</v>
      </c>
      <c r="AL11" t="str">
        <f t="shared" si="0"/>
        <v xml:space="preserve">    (U1)ALERT_REQ_UNKNOWN</v>
      </c>
      <c r="AR11" s="61" t="str">
        <f t="shared" si="1"/>
        <v xml:space="preserve">    (U4)0x000000A3U,                                                           /* 05 UNKNOWN                                         */</v>
      </c>
      <c r="AS11" s="61" t="str">
        <f t="shared" si="2"/>
        <v xml:space="preserve">    (U4)0x000000FFU,                                                           /* 05 UNKNOWN                                         */</v>
      </c>
      <c r="AT11" s="61" t="str">
        <f t="shared" si="3"/>
        <v xml:space="preserve">    (U1)ALERT_REQ_UNKNOWN,                                                     /* 05 UNKNOWN                                         */</v>
      </c>
      <c r="AU11" s="61" t="str">
        <f ca="1">IF($AW$7=1,"        &amp;"&amp;$AW$8&amp;"[0],"&amp;REPT(" ",66-LEN($AW$8))&amp;"/* u4p_CRIT                                           */","        (const U4 *)vdp_PTR_NA,                                                /* u4p_CRIT                                           */")</f>
        <v xml:space="preserve">        &amp;u4_sp_ALERT_C_BRK_0_CRIT[0],                                          /* u4p_CRIT                                           */</v>
      </c>
      <c r="AV11" s="47" t="s">
        <v>73</v>
      </c>
      <c r="AW11" s="66" t="str">
        <f ca="1">"u1_sp_ALERT_"&amp;IF(AW6&lt;&gt;AW17,$AW$17&amp;"_"&amp;$AW$6,AW17)&amp;"_DST"</f>
        <v>u1_sp_ALERT_C_BRK_0_DST</v>
      </c>
    </row>
    <row r="12" spans="1:49">
      <c r="B12" s="132"/>
      <c r="C12" s="45">
        <f t="shared" si="4"/>
        <v>6</v>
      </c>
      <c r="D12" s="59" t="s">
        <v>65</v>
      </c>
      <c r="E12" s="59" t="s">
        <v>65</v>
      </c>
      <c r="F12" s="59" t="s">
        <v>65</v>
      </c>
      <c r="G12" s="59" t="s">
        <v>65</v>
      </c>
      <c r="H12" s="59" t="s">
        <v>65</v>
      </c>
      <c r="I12" s="59" t="s">
        <v>65</v>
      </c>
      <c r="J12" s="59" t="s">
        <v>65</v>
      </c>
      <c r="K12" s="59" t="s">
        <v>65</v>
      </c>
      <c r="L12" s="59" t="s">
        <v>65</v>
      </c>
      <c r="M12" s="59" t="s">
        <v>65</v>
      </c>
      <c r="N12" s="59" t="s">
        <v>65</v>
      </c>
      <c r="O12" s="59" t="s">
        <v>65</v>
      </c>
      <c r="P12" s="128" t="s">
        <v>65</v>
      </c>
      <c r="Q12" s="128" t="s">
        <v>65</v>
      </c>
      <c r="R12" s="128" t="s">
        <v>65</v>
      </c>
      <c r="S12" s="128" t="s">
        <v>65</v>
      </c>
      <c r="T12" s="128" t="s">
        <v>65</v>
      </c>
      <c r="U12" s="128" t="s">
        <v>65</v>
      </c>
      <c r="V12" s="128" t="s">
        <v>65</v>
      </c>
      <c r="W12" s="128" t="s">
        <v>65</v>
      </c>
      <c r="X12" s="128" t="s">
        <v>65</v>
      </c>
      <c r="Y12" s="128" t="s">
        <v>65</v>
      </c>
      <c r="Z12" s="128" t="s">
        <v>65</v>
      </c>
      <c r="AA12" s="128" t="s">
        <v>65</v>
      </c>
      <c r="AB12" s="128">
        <v>1</v>
      </c>
      <c r="AC12" s="128">
        <v>0</v>
      </c>
      <c r="AD12" s="128">
        <v>1</v>
      </c>
      <c r="AE12" s="128">
        <v>0</v>
      </c>
      <c r="AF12" s="128">
        <v>0</v>
      </c>
      <c r="AG12" s="128">
        <v>1</v>
      </c>
      <c r="AH12" s="128" t="s">
        <v>65</v>
      </c>
      <c r="AI12" s="128" t="s">
        <v>65</v>
      </c>
      <c r="AJ12" s="26" t="s">
        <v>260</v>
      </c>
      <c r="AL12" t="str">
        <f t="shared" si="0"/>
        <v xml:space="preserve">    (U1)ALERT_REQ_UNKNOWN</v>
      </c>
      <c r="AR12" s="61" t="str">
        <f t="shared" si="1"/>
        <v xml:space="preserve">    (U4)0x000000A4U,                                                           /* 06 UNKNOWN                                         */</v>
      </c>
      <c r="AS12" s="61" t="str">
        <f t="shared" si="2"/>
        <v xml:space="preserve">    (U4)0x000000FCU,                                                           /* 06 UNKNOWN                                         */</v>
      </c>
      <c r="AT12" s="61" t="str">
        <f t="shared" si="3"/>
        <v xml:space="preserve">    (U1)ALERT_REQ_UNKNOWN,                                                     /* 06 UNKNOWN                                         */</v>
      </c>
      <c r="AU12" s="61"/>
      <c r="AV12" s="47" t="s">
        <v>87</v>
      </c>
      <c r="AW12" s="66" t="str">
        <f>Matrix!D8&amp;"["&amp;Matrix!D7&amp;"]"</f>
        <v>st_gp_ALERT_C_BRK_0_MTRX[1]</v>
      </c>
    </row>
    <row r="13" spans="1:49">
      <c r="B13" s="132"/>
      <c r="C13" s="45">
        <f t="shared" si="4"/>
        <v>7</v>
      </c>
      <c r="D13" s="59" t="s">
        <v>65</v>
      </c>
      <c r="E13" s="59" t="s">
        <v>65</v>
      </c>
      <c r="F13" s="59" t="s">
        <v>65</v>
      </c>
      <c r="G13" s="59" t="s">
        <v>65</v>
      </c>
      <c r="H13" s="59" t="s">
        <v>65</v>
      </c>
      <c r="I13" s="59" t="s">
        <v>65</v>
      </c>
      <c r="J13" s="59" t="s">
        <v>65</v>
      </c>
      <c r="K13" s="59" t="s">
        <v>65</v>
      </c>
      <c r="L13" s="59" t="s">
        <v>65</v>
      </c>
      <c r="M13" s="59" t="s">
        <v>65</v>
      </c>
      <c r="N13" s="59" t="s">
        <v>65</v>
      </c>
      <c r="O13" s="59" t="s">
        <v>65</v>
      </c>
      <c r="P13" s="128" t="s">
        <v>65</v>
      </c>
      <c r="Q13" s="128" t="s">
        <v>65</v>
      </c>
      <c r="R13" s="128" t="s">
        <v>65</v>
      </c>
      <c r="S13" s="128" t="s">
        <v>65</v>
      </c>
      <c r="T13" s="128" t="s">
        <v>65</v>
      </c>
      <c r="U13" s="128" t="s">
        <v>65</v>
      </c>
      <c r="V13" s="128" t="s">
        <v>65</v>
      </c>
      <c r="W13" s="128" t="s">
        <v>65</v>
      </c>
      <c r="X13" s="128" t="s">
        <v>65</v>
      </c>
      <c r="Y13" s="128" t="s">
        <v>65</v>
      </c>
      <c r="Z13" s="128" t="s">
        <v>65</v>
      </c>
      <c r="AA13" s="128" t="s">
        <v>65</v>
      </c>
      <c r="AB13" s="128">
        <v>1</v>
      </c>
      <c r="AC13" s="128">
        <v>0</v>
      </c>
      <c r="AD13" s="128">
        <v>1</v>
      </c>
      <c r="AE13" s="128">
        <v>0</v>
      </c>
      <c r="AF13" s="128">
        <v>1</v>
      </c>
      <c r="AG13" s="128" t="s">
        <v>65</v>
      </c>
      <c r="AH13" s="128" t="s">
        <v>65</v>
      </c>
      <c r="AI13" s="128" t="s">
        <v>65</v>
      </c>
      <c r="AJ13" s="26" t="s">
        <v>260</v>
      </c>
      <c r="AL13" t="str">
        <f t="shared" si="0"/>
        <v xml:space="preserve">    (U1)ALERT_REQ_UNKNOWN</v>
      </c>
      <c r="AR13" s="61" t="str">
        <f t="shared" si="1"/>
        <v xml:space="preserve">    (U4)0x000000A8U,                                                           /* 07 UNKNOWN                                         */</v>
      </c>
      <c r="AS13" s="61" t="str">
        <f t="shared" si="2"/>
        <v xml:space="preserve">    (U4)0x000000F8U,                                                           /* 07 UNKNOWN                                         */</v>
      </c>
      <c r="AT13" s="61" t="str">
        <f t="shared" si="3"/>
        <v xml:space="preserve">    (U1)ALERT_REQ_UNKNOWN,                                                     /* 07 UNKNOWN                                         */</v>
      </c>
      <c r="AU13" s="61" t="str">
        <f ca="1">"        &amp;"&amp;$AW$11&amp;"[0],"&amp;REPT(" ",66-LEN($AW$11))&amp;"/* u1p_DST                                            */"</f>
        <v xml:space="preserve">        &amp;u1_sp_ALERT_C_BRK_0_DST[0],                                           /* u1p_DST                                            */</v>
      </c>
      <c r="AV13" s="47" t="s">
        <v>74</v>
      </c>
      <c r="AW13" s="131">
        <f>COUNTA($AJ$6:$AJ$69)</f>
        <v>20</v>
      </c>
    </row>
    <row r="14" spans="1:49">
      <c r="B14" s="132"/>
      <c r="C14" s="45">
        <f t="shared" si="4"/>
        <v>8</v>
      </c>
      <c r="D14" s="59" t="s">
        <v>65</v>
      </c>
      <c r="E14" s="59" t="s">
        <v>65</v>
      </c>
      <c r="F14" s="59" t="s">
        <v>65</v>
      </c>
      <c r="G14" s="59" t="s">
        <v>65</v>
      </c>
      <c r="H14" s="59" t="s">
        <v>65</v>
      </c>
      <c r="I14" s="59" t="s">
        <v>65</v>
      </c>
      <c r="J14" s="59" t="s">
        <v>65</v>
      </c>
      <c r="K14" s="59" t="s">
        <v>65</v>
      </c>
      <c r="L14" s="59" t="s">
        <v>65</v>
      </c>
      <c r="M14" s="59" t="s">
        <v>65</v>
      </c>
      <c r="N14" s="59" t="s">
        <v>65</v>
      </c>
      <c r="O14" s="59" t="s">
        <v>65</v>
      </c>
      <c r="P14" s="128" t="s">
        <v>65</v>
      </c>
      <c r="Q14" s="128" t="s">
        <v>65</v>
      </c>
      <c r="R14" s="128" t="s">
        <v>65</v>
      </c>
      <c r="S14" s="128" t="s">
        <v>65</v>
      </c>
      <c r="T14" s="128" t="s">
        <v>65</v>
      </c>
      <c r="U14" s="128" t="s">
        <v>65</v>
      </c>
      <c r="V14" s="128" t="s">
        <v>65</v>
      </c>
      <c r="W14" s="128" t="s">
        <v>65</v>
      </c>
      <c r="X14" s="128" t="s">
        <v>65</v>
      </c>
      <c r="Y14" s="128" t="s">
        <v>65</v>
      </c>
      <c r="Z14" s="128" t="s">
        <v>65</v>
      </c>
      <c r="AA14" s="128" t="s">
        <v>65</v>
      </c>
      <c r="AB14" s="128">
        <v>1</v>
      </c>
      <c r="AC14" s="128">
        <v>0</v>
      </c>
      <c r="AD14" s="128">
        <v>1</v>
      </c>
      <c r="AE14" s="128">
        <v>1</v>
      </c>
      <c r="AF14" s="128">
        <v>0</v>
      </c>
      <c r="AG14" s="128">
        <v>0</v>
      </c>
      <c r="AH14" s="128">
        <v>0</v>
      </c>
      <c r="AI14" s="128">
        <v>0</v>
      </c>
      <c r="AJ14" s="26" t="s">
        <v>260</v>
      </c>
      <c r="AL14" t="str">
        <f t="shared" si="0"/>
        <v xml:space="preserve">    (U1)ALERT_REQ_UNKNOWN</v>
      </c>
      <c r="AR14" s="61" t="str">
        <f t="shared" si="1"/>
        <v xml:space="preserve">    (U4)0x000000B0U,                                                           /* 08 UNKNOWN                                         */</v>
      </c>
      <c r="AS14" s="61" t="str">
        <f t="shared" si="2"/>
        <v xml:space="preserve">    (U4)0x000000FFU,                                                           /* 08 UNKNOWN                                         */</v>
      </c>
      <c r="AT14" s="61" t="str">
        <f t="shared" si="3"/>
        <v xml:space="preserve">    (U1)ALERT_REQ_UNKNOWN,                                                     /* 08 UNKNOWN                                         */</v>
      </c>
      <c r="AU14" s="61" t="str">
        <f ca="1">"        (U2)"&amp;$AW$10&amp;","&amp;REPT(" ",66-LEN($AW$10))&amp;"/* u2_num_srch                                        */"</f>
        <v xml:space="preserve">        (U2)ALERT_C_BRK_0_NUM_DST,                                             /* u2_num_srch                                        */</v>
      </c>
      <c r="AV14" s="47" t="s">
        <v>75</v>
      </c>
      <c r="AW14" s="66" t="str">
        <f ca="1">IF(AW6&lt;&gt;AW17,VLOOKUP(AW6,Matrix!$C$13:$G$37,4,FALSE),Matrix!F13)</f>
        <v>u4_s_AlertC_brk_0Srcchk</v>
      </c>
    </row>
    <row r="15" spans="1:49">
      <c r="B15" s="132"/>
      <c r="C15" s="45">
        <f t="shared" si="4"/>
        <v>9</v>
      </c>
      <c r="D15" s="59" t="s">
        <v>65</v>
      </c>
      <c r="E15" s="59" t="s">
        <v>65</v>
      </c>
      <c r="F15" s="59" t="s">
        <v>65</v>
      </c>
      <c r="G15" s="59" t="s">
        <v>65</v>
      </c>
      <c r="H15" s="59" t="s">
        <v>65</v>
      </c>
      <c r="I15" s="59" t="s">
        <v>65</v>
      </c>
      <c r="J15" s="59" t="s">
        <v>65</v>
      </c>
      <c r="K15" s="59" t="s">
        <v>65</v>
      </c>
      <c r="L15" s="59" t="s">
        <v>65</v>
      </c>
      <c r="M15" s="59" t="s">
        <v>65</v>
      </c>
      <c r="N15" s="59" t="s">
        <v>65</v>
      </c>
      <c r="O15" s="59" t="s">
        <v>65</v>
      </c>
      <c r="P15" s="128" t="s">
        <v>65</v>
      </c>
      <c r="Q15" s="128" t="s">
        <v>65</v>
      </c>
      <c r="R15" s="128" t="s">
        <v>65</v>
      </c>
      <c r="S15" s="128" t="s">
        <v>65</v>
      </c>
      <c r="T15" s="128" t="s">
        <v>65</v>
      </c>
      <c r="U15" s="128" t="s">
        <v>65</v>
      </c>
      <c r="V15" s="128" t="s">
        <v>65</v>
      </c>
      <c r="W15" s="128" t="s">
        <v>65</v>
      </c>
      <c r="X15" s="128" t="s">
        <v>65</v>
      </c>
      <c r="Y15" s="128" t="s">
        <v>65</v>
      </c>
      <c r="Z15" s="128" t="s">
        <v>65</v>
      </c>
      <c r="AA15" s="128" t="s">
        <v>65</v>
      </c>
      <c r="AB15" s="128">
        <v>1</v>
      </c>
      <c r="AC15" s="128">
        <v>0</v>
      </c>
      <c r="AD15" s="128">
        <v>1</v>
      </c>
      <c r="AE15" s="128">
        <v>1</v>
      </c>
      <c r="AF15" s="128">
        <v>0</v>
      </c>
      <c r="AG15" s="128">
        <v>0</v>
      </c>
      <c r="AH15" s="128">
        <v>0</v>
      </c>
      <c r="AI15" s="128">
        <v>1</v>
      </c>
      <c r="AJ15" s="26" t="s">
        <v>260</v>
      </c>
      <c r="AL15" t="str">
        <f t="shared" si="0"/>
        <v xml:space="preserve">    (U1)ALERT_REQ_UNKNOWN</v>
      </c>
      <c r="AR15" s="61" t="str">
        <f t="shared" si="1"/>
        <v xml:space="preserve">    (U4)0x000000B1U,                                                           /* 09 UNKNOWN                                         */</v>
      </c>
      <c r="AS15" s="61" t="str">
        <f t="shared" si="2"/>
        <v xml:space="preserve">    (U4)0x000000FFU,                                                           /* 09 UNKNOWN                                         */</v>
      </c>
      <c r="AT15" s="61" t="str">
        <f t="shared" si="3"/>
        <v xml:space="preserve">    (U1)ALERT_REQ_UNKNOWN,                                                     /* 09 UNKNOWN                                         */</v>
      </c>
      <c r="AU15" s="61" t="str">
        <f ca="1">"        (U1)"&amp;$AW$16&amp;REPT(" ",67-LEN($AW$16))&amp;"/* u1_vom_act                                         */"</f>
        <v xml:space="preserve">        (U1)ALERT_VOM_IGN_ON                                                   /* u1_vom_act                                         */</v>
      </c>
      <c r="AV15" s="47" t="s">
        <v>78</v>
      </c>
      <c r="AW15" s="66" t="str">
        <f ca="1">IF(AW6&lt;&gt;AW17,VLOOKUP(AW6,Matrix!$C$13:$G$37,5,FALSE),Matrix!G13)</f>
        <v>NULL</v>
      </c>
    </row>
    <row r="16" spans="1:49">
      <c r="B16" s="132"/>
      <c r="C16" s="45">
        <f t="shared" si="4"/>
        <v>10</v>
      </c>
      <c r="D16" s="59" t="s">
        <v>65</v>
      </c>
      <c r="E16" s="59" t="s">
        <v>65</v>
      </c>
      <c r="F16" s="59" t="s">
        <v>65</v>
      </c>
      <c r="G16" s="59" t="s">
        <v>65</v>
      </c>
      <c r="H16" s="59" t="s">
        <v>65</v>
      </c>
      <c r="I16" s="59" t="s">
        <v>65</v>
      </c>
      <c r="J16" s="59" t="s">
        <v>65</v>
      </c>
      <c r="K16" s="59" t="s">
        <v>65</v>
      </c>
      <c r="L16" s="59" t="s">
        <v>65</v>
      </c>
      <c r="M16" s="59" t="s">
        <v>65</v>
      </c>
      <c r="N16" s="59" t="s">
        <v>65</v>
      </c>
      <c r="O16" s="59" t="s">
        <v>65</v>
      </c>
      <c r="P16" s="128" t="s">
        <v>65</v>
      </c>
      <c r="Q16" s="128" t="s">
        <v>65</v>
      </c>
      <c r="R16" s="128" t="s">
        <v>65</v>
      </c>
      <c r="S16" s="128" t="s">
        <v>65</v>
      </c>
      <c r="T16" s="128" t="s">
        <v>65</v>
      </c>
      <c r="U16" s="128" t="s">
        <v>65</v>
      </c>
      <c r="V16" s="128" t="s">
        <v>65</v>
      </c>
      <c r="W16" s="128" t="s">
        <v>65</v>
      </c>
      <c r="X16" s="128" t="s">
        <v>65</v>
      </c>
      <c r="Y16" s="128" t="s">
        <v>65</v>
      </c>
      <c r="Z16" s="128" t="s">
        <v>65</v>
      </c>
      <c r="AA16" s="128" t="s">
        <v>65</v>
      </c>
      <c r="AB16" s="128">
        <v>1</v>
      </c>
      <c r="AC16" s="128">
        <v>0</v>
      </c>
      <c r="AD16" s="128">
        <v>1</v>
      </c>
      <c r="AE16" s="128">
        <v>1</v>
      </c>
      <c r="AF16" s="128">
        <v>0</v>
      </c>
      <c r="AG16" s="128">
        <v>0</v>
      </c>
      <c r="AH16" s="128">
        <v>1</v>
      </c>
      <c r="AI16" s="128">
        <v>0</v>
      </c>
      <c r="AJ16" s="26" t="s">
        <v>260</v>
      </c>
      <c r="AL16" t="str">
        <f t="shared" si="0"/>
        <v xml:space="preserve">    (U1)ALERT_REQ_UNKNOWN</v>
      </c>
      <c r="AR16" s="61" t="str">
        <f t="shared" si="1"/>
        <v xml:space="preserve">    (U4)0x000000B2U,                                                           /* 10 UNKNOWN                                         */</v>
      </c>
      <c r="AS16" s="61" t="str">
        <f t="shared" si="2"/>
        <v xml:space="preserve">    (U4)0x000000FFU,                                                           /* 10 UNKNOWN                                         */</v>
      </c>
      <c r="AT16" s="61" t="str">
        <f t="shared" si="3"/>
        <v xml:space="preserve">    (U1)ALERT_REQ_UNKNOWN,                                                     /* 10 UNKNOWN                                         */</v>
      </c>
      <c r="AU16" s="61" t="s">
        <v>67</v>
      </c>
      <c r="AV16" s="47" t="s">
        <v>76</v>
      </c>
      <c r="AW16" s="66" t="str">
        <f ca="1">IF(AW6&lt;&gt;AW17,VLOOKUP(AW6,Matrix!$C$13:$G$37,2,FALSE),Matrix!D13)</f>
        <v>ALERT_VOM_IGN_ON</v>
      </c>
    </row>
    <row r="17" spans="2:49" ht="14.25" thickBot="1">
      <c r="B17" s="132"/>
      <c r="C17" s="45">
        <f t="shared" si="4"/>
        <v>11</v>
      </c>
      <c r="D17" s="59" t="s">
        <v>65</v>
      </c>
      <c r="E17" s="59" t="s">
        <v>65</v>
      </c>
      <c r="F17" s="59" t="s">
        <v>65</v>
      </c>
      <c r="G17" s="59" t="s">
        <v>65</v>
      </c>
      <c r="H17" s="59" t="s">
        <v>65</v>
      </c>
      <c r="I17" s="59" t="s">
        <v>65</v>
      </c>
      <c r="J17" s="59" t="s">
        <v>65</v>
      </c>
      <c r="K17" s="59" t="s">
        <v>65</v>
      </c>
      <c r="L17" s="59" t="s">
        <v>65</v>
      </c>
      <c r="M17" s="59" t="s">
        <v>65</v>
      </c>
      <c r="N17" s="59" t="s">
        <v>65</v>
      </c>
      <c r="O17" s="59" t="s">
        <v>65</v>
      </c>
      <c r="P17" s="128" t="s">
        <v>65</v>
      </c>
      <c r="Q17" s="128" t="s">
        <v>65</v>
      </c>
      <c r="R17" s="128" t="s">
        <v>65</v>
      </c>
      <c r="S17" s="128" t="s">
        <v>65</v>
      </c>
      <c r="T17" s="128" t="s">
        <v>65</v>
      </c>
      <c r="U17" s="128" t="s">
        <v>65</v>
      </c>
      <c r="V17" s="128" t="s">
        <v>65</v>
      </c>
      <c r="W17" s="128" t="s">
        <v>65</v>
      </c>
      <c r="X17" s="128" t="s">
        <v>65</v>
      </c>
      <c r="Y17" s="128" t="s">
        <v>65</v>
      </c>
      <c r="Z17" s="128" t="s">
        <v>65</v>
      </c>
      <c r="AA17" s="128" t="s">
        <v>65</v>
      </c>
      <c r="AB17" s="128">
        <v>1</v>
      </c>
      <c r="AC17" s="128">
        <v>0</v>
      </c>
      <c r="AD17" s="128">
        <v>1</v>
      </c>
      <c r="AE17" s="128">
        <v>1</v>
      </c>
      <c r="AF17" s="128">
        <v>0</v>
      </c>
      <c r="AG17" s="128">
        <v>0</v>
      </c>
      <c r="AH17" s="128">
        <v>1</v>
      </c>
      <c r="AI17" s="128">
        <v>1</v>
      </c>
      <c r="AJ17" s="26" t="s">
        <v>224</v>
      </c>
      <c r="AL17" t="str">
        <f t="shared" ca="1" si="0"/>
        <v xml:space="preserve">    (U1)ALERT_REQ_C_BRK_0_LOW</v>
      </c>
      <c r="AR17" s="61" t="str">
        <f t="shared" si="1"/>
        <v xml:space="preserve">    (U4)0x000000B3U,                                                           /* 11 LOW                                             */</v>
      </c>
      <c r="AS17" s="61" t="str">
        <f t="shared" si="2"/>
        <v xml:space="preserve">    (U4)0x000000FFU,                                                           /* 11 LOW                                             */</v>
      </c>
      <c r="AT17" s="61" t="str">
        <f t="shared" ca="1" si="3"/>
        <v xml:space="preserve">    (U1)ALERT_REQ_C_BRK_0_LOW,                                                 /* 11 LOW                                             */</v>
      </c>
      <c r="AU17" s="62" t="s">
        <v>79</v>
      </c>
      <c r="AV17" s="48" t="s">
        <v>77</v>
      </c>
      <c r="AW17" s="67" t="str">
        <f>UPPER(Matrix!$D$6)</f>
        <v>C_BRK_0</v>
      </c>
    </row>
    <row r="18" spans="2:49">
      <c r="B18" s="132"/>
      <c r="C18" s="45">
        <f t="shared" si="4"/>
        <v>12</v>
      </c>
      <c r="D18" s="59" t="s">
        <v>65</v>
      </c>
      <c r="E18" s="59" t="s">
        <v>65</v>
      </c>
      <c r="F18" s="59" t="s">
        <v>65</v>
      </c>
      <c r="G18" s="59" t="s">
        <v>65</v>
      </c>
      <c r="H18" s="59" t="s">
        <v>65</v>
      </c>
      <c r="I18" s="59" t="s">
        <v>65</v>
      </c>
      <c r="J18" s="59" t="s">
        <v>65</v>
      </c>
      <c r="K18" s="59" t="s">
        <v>65</v>
      </c>
      <c r="L18" s="59" t="s">
        <v>65</v>
      </c>
      <c r="M18" s="59" t="s">
        <v>65</v>
      </c>
      <c r="N18" s="59" t="s">
        <v>65</v>
      </c>
      <c r="O18" s="59" t="s">
        <v>65</v>
      </c>
      <c r="P18" s="128" t="s">
        <v>65</v>
      </c>
      <c r="Q18" s="128" t="s">
        <v>65</v>
      </c>
      <c r="R18" s="128" t="s">
        <v>65</v>
      </c>
      <c r="S18" s="128" t="s">
        <v>65</v>
      </c>
      <c r="T18" s="128" t="s">
        <v>65</v>
      </c>
      <c r="U18" s="128" t="s">
        <v>65</v>
      </c>
      <c r="V18" s="128" t="s">
        <v>65</v>
      </c>
      <c r="W18" s="128" t="s">
        <v>65</v>
      </c>
      <c r="X18" s="128" t="s">
        <v>65</v>
      </c>
      <c r="Y18" s="128" t="s">
        <v>65</v>
      </c>
      <c r="Z18" s="128" t="s">
        <v>65</v>
      </c>
      <c r="AA18" s="128" t="s">
        <v>65</v>
      </c>
      <c r="AB18" s="128">
        <v>1</v>
      </c>
      <c r="AC18" s="128">
        <v>0</v>
      </c>
      <c r="AD18" s="128">
        <v>1</v>
      </c>
      <c r="AE18" s="128">
        <v>1</v>
      </c>
      <c r="AF18" s="128">
        <v>0</v>
      </c>
      <c r="AG18" s="128">
        <v>1</v>
      </c>
      <c r="AH18" s="128" t="s">
        <v>65</v>
      </c>
      <c r="AI18" s="128" t="s">
        <v>65</v>
      </c>
      <c r="AJ18" s="26" t="s">
        <v>30</v>
      </c>
      <c r="AL18" t="str">
        <f t="shared" si="0"/>
        <v xml:space="preserve">    (U1)ALERT_REQ_UNKNOWN</v>
      </c>
      <c r="AR18" s="61" t="str">
        <f t="shared" si="1"/>
        <v xml:space="preserve">    (U4)0x000000B4U,                                                           /* 12 UNKNOWN                                         */</v>
      </c>
      <c r="AS18" s="61" t="str">
        <f t="shared" ref="AS18:AS70" si="5">IF(AQ148&lt;&gt;"",AQ148,IF(AQ147&lt;&gt;"","};",""))</f>
        <v xml:space="preserve">    (U4)0x000000FCU,                                                           /* 12 UNKNOWN                                         */</v>
      </c>
      <c r="AT18" s="61" t="str">
        <f t="shared" si="3"/>
        <v xml:space="preserve">    (U1)ALERT_REQ_UNKNOWN,                                                     /* 12 UNKNOWN                                         */</v>
      </c>
    </row>
    <row r="19" spans="2:49">
      <c r="B19" s="132"/>
      <c r="C19" s="45">
        <f t="shared" si="4"/>
        <v>13</v>
      </c>
      <c r="D19" s="59" t="s">
        <v>65</v>
      </c>
      <c r="E19" s="59" t="s">
        <v>65</v>
      </c>
      <c r="F19" s="59" t="s">
        <v>65</v>
      </c>
      <c r="G19" s="59" t="s">
        <v>65</v>
      </c>
      <c r="H19" s="59" t="s">
        <v>65</v>
      </c>
      <c r="I19" s="59" t="s">
        <v>65</v>
      </c>
      <c r="J19" s="59" t="s">
        <v>65</v>
      </c>
      <c r="K19" s="59" t="s">
        <v>65</v>
      </c>
      <c r="L19" s="59" t="s">
        <v>65</v>
      </c>
      <c r="M19" s="59" t="s">
        <v>65</v>
      </c>
      <c r="N19" s="59" t="s">
        <v>65</v>
      </c>
      <c r="O19" s="59" t="s">
        <v>65</v>
      </c>
      <c r="P19" s="128" t="s">
        <v>65</v>
      </c>
      <c r="Q19" s="128" t="s">
        <v>65</v>
      </c>
      <c r="R19" s="128" t="s">
        <v>65</v>
      </c>
      <c r="S19" s="128" t="s">
        <v>65</v>
      </c>
      <c r="T19" s="128" t="s">
        <v>65</v>
      </c>
      <c r="U19" s="128" t="s">
        <v>65</v>
      </c>
      <c r="V19" s="128" t="s">
        <v>65</v>
      </c>
      <c r="W19" s="128" t="s">
        <v>65</v>
      </c>
      <c r="X19" s="128" t="s">
        <v>65</v>
      </c>
      <c r="Y19" s="128" t="s">
        <v>65</v>
      </c>
      <c r="Z19" s="128" t="s">
        <v>65</v>
      </c>
      <c r="AA19" s="128" t="s">
        <v>65</v>
      </c>
      <c r="AB19" s="128">
        <v>1</v>
      </c>
      <c r="AC19" s="128">
        <v>0</v>
      </c>
      <c r="AD19" s="128">
        <v>1</v>
      </c>
      <c r="AE19" s="128">
        <v>1</v>
      </c>
      <c r="AF19" s="128">
        <v>1</v>
      </c>
      <c r="AG19" s="128" t="s">
        <v>65</v>
      </c>
      <c r="AH19" s="128" t="s">
        <v>65</v>
      </c>
      <c r="AI19" s="128" t="s">
        <v>65</v>
      </c>
      <c r="AJ19" s="26" t="s">
        <v>260</v>
      </c>
      <c r="AL19" t="str">
        <f t="shared" si="0"/>
        <v xml:space="preserve">    (U1)ALERT_REQ_UNKNOWN</v>
      </c>
      <c r="AR19" s="61" t="str">
        <f t="shared" ref="AR19:AR70" si="6">IF(AQ84&lt;&gt;"",AQ84,IF(AQ83&lt;&gt;"","};",""))</f>
        <v xml:space="preserve">    (U4)0x000000B8U,                                                           /* 13 UNKNOWN                                         */</v>
      </c>
      <c r="AS19" s="61" t="str">
        <f t="shared" si="5"/>
        <v xml:space="preserve">    (U4)0x000000F8U,                                                           /* 13 UNKNOWN                                         */</v>
      </c>
      <c r="AT19" s="61" t="str">
        <f t="shared" ref="AT19:AT69" si="7">IF(AJ19&lt;&gt;"",AL19&amp;IF(AJ20&lt;&gt;"",","," ")&amp;REPT(" ",78-LEN(AL19))&amp;"/* "&amp;IF(C19&lt;10,"0"&amp;C19,C19)&amp;" "&amp;AJ19&amp;REPT(" ",48-LEN(AJ19))&amp;"*/",IF(AJ18&lt;&gt;"","};",""))</f>
        <v xml:space="preserve">    (U1)ALERT_REQ_UNKNOWN,                                                     /* 13 UNKNOWN                                         */</v>
      </c>
    </row>
    <row r="20" spans="2:49">
      <c r="B20" s="132"/>
      <c r="C20" s="45">
        <f t="shared" si="4"/>
        <v>14</v>
      </c>
      <c r="D20" s="59" t="s">
        <v>65</v>
      </c>
      <c r="E20" s="59" t="s">
        <v>65</v>
      </c>
      <c r="F20" s="59" t="s">
        <v>65</v>
      </c>
      <c r="G20" s="59" t="s">
        <v>65</v>
      </c>
      <c r="H20" s="59" t="s">
        <v>65</v>
      </c>
      <c r="I20" s="59" t="s">
        <v>65</v>
      </c>
      <c r="J20" s="59" t="s">
        <v>65</v>
      </c>
      <c r="K20" s="59" t="s">
        <v>65</v>
      </c>
      <c r="L20" s="59" t="s">
        <v>65</v>
      </c>
      <c r="M20" s="59" t="s">
        <v>65</v>
      </c>
      <c r="N20" s="59" t="s">
        <v>65</v>
      </c>
      <c r="O20" s="59" t="s">
        <v>65</v>
      </c>
      <c r="P20" s="128" t="s">
        <v>65</v>
      </c>
      <c r="Q20" s="128" t="s">
        <v>65</v>
      </c>
      <c r="R20" s="128" t="s">
        <v>65</v>
      </c>
      <c r="S20" s="128" t="s">
        <v>65</v>
      </c>
      <c r="T20" s="128" t="s">
        <v>65</v>
      </c>
      <c r="U20" s="128" t="s">
        <v>65</v>
      </c>
      <c r="V20" s="128" t="s">
        <v>65</v>
      </c>
      <c r="W20" s="128" t="s">
        <v>65</v>
      </c>
      <c r="X20" s="128" t="s">
        <v>65</v>
      </c>
      <c r="Y20" s="128" t="s">
        <v>65</v>
      </c>
      <c r="Z20" s="128" t="s">
        <v>65</v>
      </c>
      <c r="AA20" s="128" t="s">
        <v>65</v>
      </c>
      <c r="AB20" s="128">
        <v>1</v>
      </c>
      <c r="AC20" s="128">
        <v>1</v>
      </c>
      <c r="AD20" s="128" t="s">
        <v>65</v>
      </c>
      <c r="AE20" s="128" t="s">
        <v>65</v>
      </c>
      <c r="AF20" s="128">
        <v>0</v>
      </c>
      <c r="AG20" s="128">
        <v>0</v>
      </c>
      <c r="AH20" s="128">
        <v>0</v>
      </c>
      <c r="AI20" s="128">
        <v>0</v>
      </c>
      <c r="AJ20" s="26" t="s">
        <v>108</v>
      </c>
      <c r="AL20" t="str">
        <f t="shared" si="0"/>
        <v xml:space="preserve">    (U1)ALERT_REQ_UNKNOWN</v>
      </c>
      <c r="AR20" s="61" t="str">
        <f t="shared" si="6"/>
        <v xml:space="preserve">    (U4)0x000000C0U,                                                           /* 14 UNKNOWN                                         */</v>
      </c>
      <c r="AS20" s="61" t="str">
        <f t="shared" si="5"/>
        <v xml:space="preserve">    (U4)0x000000CFU,                                                           /* 14 UNKNOWN                                         */</v>
      </c>
      <c r="AT20" s="61" t="str">
        <f t="shared" si="7"/>
        <v xml:space="preserve">    (U1)ALERT_REQ_UNKNOWN,                                                     /* 14 UNKNOWN                                         */</v>
      </c>
    </row>
    <row r="21" spans="2:49">
      <c r="B21" s="132"/>
      <c r="C21" s="45">
        <f t="shared" si="4"/>
        <v>15</v>
      </c>
      <c r="D21" s="59" t="s">
        <v>65</v>
      </c>
      <c r="E21" s="59" t="s">
        <v>65</v>
      </c>
      <c r="F21" s="59" t="s">
        <v>65</v>
      </c>
      <c r="G21" s="59" t="s">
        <v>65</v>
      </c>
      <c r="H21" s="59" t="s">
        <v>65</v>
      </c>
      <c r="I21" s="59" t="s">
        <v>65</v>
      </c>
      <c r="J21" s="59" t="s">
        <v>65</v>
      </c>
      <c r="K21" s="59" t="s">
        <v>65</v>
      </c>
      <c r="L21" s="59" t="s">
        <v>65</v>
      </c>
      <c r="M21" s="59" t="s">
        <v>65</v>
      </c>
      <c r="N21" s="59" t="s">
        <v>65</v>
      </c>
      <c r="O21" s="59" t="s">
        <v>65</v>
      </c>
      <c r="P21" s="128" t="s">
        <v>65</v>
      </c>
      <c r="Q21" s="128" t="s">
        <v>65</v>
      </c>
      <c r="R21" s="128" t="s">
        <v>65</v>
      </c>
      <c r="S21" s="128" t="s">
        <v>65</v>
      </c>
      <c r="T21" s="128" t="s">
        <v>65</v>
      </c>
      <c r="U21" s="128" t="s">
        <v>65</v>
      </c>
      <c r="V21" s="128" t="s">
        <v>65</v>
      </c>
      <c r="W21" s="128" t="s">
        <v>65</v>
      </c>
      <c r="X21" s="128" t="s">
        <v>65</v>
      </c>
      <c r="Y21" s="128" t="s">
        <v>65</v>
      </c>
      <c r="Z21" s="128" t="s">
        <v>65</v>
      </c>
      <c r="AA21" s="128" t="s">
        <v>65</v>
      </c>
      <c r="AB21" s="128">
        <v>1</v>
      </c>
      <c r="AC21" s="128">
        <v>1</v>
      </c>
      <c r="AD21" s="128" t="s">
        <v>65</v>
      </c>
      <c r="AE21" s="128" t="s">
        <v>65</v>
      </c>
      <c r="AF21" s="128">
        <v>0</v>
      </c>
      <c r="AG21" s="128">
        <v>0</v>
      </c>
      <c r="AH21" s="128">
        <v>0</v>
      </c>
      <c r="AI21" s="128">
        <v>1</v>
      </c>
      <c r="AJ21" s="26" t="s">
        <v>108</v>
      </c>
      <c r="AL21" t="str">
        <f t="shared" si="0"/>
        <v xml:space="preserve">    (U1)ALERT_REQ_UNKNOWN</v>
      </c>
      <c r="AR21" s="61" t="str">
        <f t="shared" si="6"/>
        <v xml:space="preserve">    (U4)0x000000C1U,                                                           /* 15 UNKNOWN                                         */</v>
      </c>
      <c r="AS21" s="61" t="str">
        <f t="shared" si="5"/>
        <v xml:space="preserve">    (U4)0x000000CFU,                                                           /* 15 UNKNOWN                                         */</v>
      </c>
      <c r="AT21" s="61" t="str">
        <f t="shared" si="7"/>
        <v xml:space="preserve">    (U1)ALERT_REQ_UNKNOWN,                                                     /* 15 UNKNOWN                                         */</v>
      </c>
    </row>
    <row r="22" spans="2:49">
      <c r="B22" s="132"/>
      <c r="C22" s="45">
        <f t="shared" si="4"/>
        <v>16</v>
      </c>
      <c r="D22" s="59" t="s">
        <v>65</v>
      </c>
      <c r="E22" s="59" t="s">
        <v>65</v>
      </c>
      <c r="F22" s="59" t="s">
        <v>65</v>
      </c>
      <c r="G22" s="59" t="s">
        <v>65</v>
      </c>
      <c r="H22" s="59" t="s">
        <v>65</v>
      </c>
      <c r="I22" s="59" t="s">
        <v>65</v>
      </c>
      <c r="J22" s="59" t="s">
        <v>65</v>
      </c>
      <c r="K22" s="59" t="s">
        <v>65</v>
      </c>
      <c r="L22" s="59" t="s">
        <v>65</v>
      </c>
      <c r="M22" s="59" t="s">
        <v>65</v>
      </c>
      <c r="N22" s="59" t="s">
        <v>65</v>
      </c>
      <c r="O22" s="59" t="s">
        <v>65</v>
      </c>
      <c r="P22" s="128" t="s">
        <v>65</v>
      </c>
      <c r="Q22" s="128" t="s">
        <v>65</v>
      </c>
      <c r="R22" s="128" t="s">
        <v>65</v>
      </c>
      <c r="S22" s="128" t="s">
        <v>65</v>
      </c>
      <c r="T22" s="128" t="s">
        <v>65</v>
      </c>
      <c r="U22" s="128" t="s">
        <v>65</v>
      </c>
      <c r="V22" s="128" t="s">
        <v>65</v>
      </c>
      <c r="W22" s="128" t="s">
        <v>65</v>
      </c>
      <c r="X22" s="128" t="s">
        <v>65</v>
      </c>
      <c r="Y22" s="128" t="s">
        <v>65</v>
      </c>
      <c r="Z22" s="128" t="s">
        <v>65</v>
      </c>
      <c r="AA22" s="128" t="s">
        <v>65</v>
      </c>
      <c r="AB22" s="128">
        <v>1</v>
      </c>
      <c r="AC22" s="128">
        <v>1</v>
      </c>
      <c r="AD22" s="128" t="s">
        <v>65</v>
      </c>
      <c r="AE22" s="128" t="s">
        <v>65</v>
      </c>
      <c r="AF22" s="128">
        <v>0</v>
      </c>
      <c r="AG22" s="128">
        <v>0</v>
      </c>
      <c r="AH22" s="128">
        <v>1</v>
      </c>
      <c r="AI22" s="128">
        <v>0</v>
      </c>
      <c r="AJ22" s="26" t="s">
        <v>108</v>
      </c>
      <c r="AL22" t="str">
        <f t="shared" si="0"/>
        <v xml:space="preserve">    (U1)ALERT_REQ_UNKNOWN</v>
      </c>
      <c r="AR22" s="61" t="str">
        <f t="shared" si="6"/>
        <v xml:space="preserve">    (U4)0x000000C2U,                                                           /* 16 UNKNOWN                                         */</v>
      </c>
      <c r="AS22" s="61" t="str">
        <f t="shared" si="5"/>
        <v xml:space="preserve">    (U4)0x000000CFU,                                                           /* 16 UNKNOWN                                         */</v>
      </c>
      <c r="AT22" s="61" t="str">
        <f t="shared" si="7"/>
        <v xml:space="preserve">    (U1)ALERT_REQ_UNKNOWN,                                                     /* 16 UNKNOWN                                         */</v>
      </c>
    </row>
    <row r="23" spans="2:49">
      <c r="B23" s="132"/>
      <c r="C23" s="45">
        <f t="shared" si="4"/>
        <v>17</v>
      </c>
      <c r="D23" s="59" t="s">
        <v>65</v>
      </c>
      <c r="E23" s="59" t="s">
        <v>65</v>
      </c>
      <c r="F23" s="59" t="s">
        <v>65</v>
      </c>
      <c r="G23" s="59" t="s">
        <v>65</v>
      </c>
      <c r="H23" s="59" t="s">
        <v>65</v>
      </c>
      <c r="I23" s="59" t="s">
        <v>65</v>
      </c>
      <c r="J23" s="59" t="s">
        <v>65</v>
      </c>
      <c r="K23" s="59" t="s">
        <v>65</v>
      </c>
      <c r="L23" s="59" t="s">
        <v>65</v>
      </c>
      <c r="M23" s="59" t="s">
        <v>65</v>
      </c>
      <c r="N23" s="59" t="s">
        <v>65</v>
      </c>
      <c r="O23" s="59" t="s">
        <v>65</v>
      </c>
      <c r="P23" s="128" t="s">
        <v>65</v>
      </c>
      <c r="Q23" s="128" t="s">
        <v>65</v>
      </c>
      <c r="R23" s="128" t="s">
        <v>65</v>
      </c>
      <c r="S23" s="128" t="s">
        <v>65</v>
      </c>
      <c r="T23" s="128" t="s">
        <v>65</v>
      </c>
      <c r="U23" s="128" t="s">
        <v>65</v>
      </c>
      <c r="V23" s="128" t="s">
        <v>65</v>
      </c>
      <c r="W23" s="128" t="s">
        <v>65</v>
      </c>
      <c r="X23" s="128" t="s">
        <v>65</v>
      </c>
      <c r="Y23" s="128" t="s">
        <v>65</v>
      </c>
      <c r="Z23" s="128" t="s">
        <v>65</v>
      </c>
      <c r="AA23" s="128" t="s">
        <v>65</v>
      </c>
      <c r="AB23" s="128">
        <v>1</v>
      </c>
      <c r="AC23" s="128">
        <v>1</v>
      </c>
      <c r="AD23" s="128" t="s">
        <v>65</v>
      </c>
      <c r="AE23" s="128" t="s">
        <v>65</v>
      </c>
      <c r="AF23" s="128">
        <v>0</v>
      </c>
      <c r="AG23" s="128">
        <v>0</v>
      </c>
      <c r="AH23" s="128">
        <v>1</v>
      </c>
      <c r="AI23" s="128">
        <v>1</v>
      </c>
      <c r="AJ23" s="26" t="s">
        <v>225</v>
      </c>
      <c r="AL23" t="str">
        <f t="shared" ca="1" si="0"/>
        <v xml:space="preserve">    (U1)ALERT_REQ_C_BRK_0_TMODE</v>
      </c>
      <c r="AR23" s="61" t="str">
        <f t="shared" si="6"/>
        <v xml:space="preserve">    (U4)0x000000C3U,                                                           /* 17 TMODE                                           */</v>
      </c>
      <c r="AS23" s="61" t="str">
        <f t="shared" si="5"/>
        <v xml:space="preserve">    (U4)0x000000CFU,                                                           /* 17 TMODE                                           */</v>
      </c>
      <c r="AT23" s="61" t="str">
        <f t="shared" ca="1" si="7"/>
        <v xml:space="preserve">    (U1)ALERT_REQ_C_BRK_0_TMODE,                                               /* 17 TMODE                                           */</v>
      </c>
    </row>
    <row r="24" spans="2:49">
      <c r="B24" s="132"/>
      <c r="C24" s="45">
        <f t="shared" si="4"/>
        <v>18</v>
      </c>
      <c r="D24" s="59" t="s">
        <v>65</v>
      </c>
      <c r="E24" s="59" t="s">
        <v>65</v>
      </c>
      <c r="F24" s="59" t="s">
        <v>65</v>
      </c>
      <c r="G24" s="59" t="s">
        <v>65</v>
      </c>
      <c r="H24" s="59" t="s">
        <v>65</v>
      </c>
      <c r="I24" s="59" t="s">
        <v>65</v>
      </c>
      <c r="J24" s="59" t="s">
        <v>65</v>
      </c>
      <c r="K24" s="59" t="s">
        <v>65</v>
      </c>
      <c r="L24" s="59" t="s">
        <v>65</v>
      </c>
      <c r="M24" s="59" t="s">
        <v>65</v>
      </c>
      <c r="N24" s="59" t="s">
        <v>65</v>
      </c>
      <c r="O24" s="59" t="s">
        <v>65</v>
      </c>
      <c r="P24" s="128" t="s">
        <v>65</v>
      </c>
      <c r="Q24" s="128" t="s">
        <v>65</v>
      </c>
      <c r="R24" s="128" t="s">
        <v>65</v>
      </c>
      <c r="S24" s="128" t="s">
        <v>65</v>
      </c>
      <c r="T24" s="128" t="s">
        <v>65</v>
      </c>
      <c r="U24" s="128" t="s">
        <v>65</v>
      </c>
      <c r="V24" s="128" t="s">
        <v>65</v>
      </c>
      <c r="W24" s="128" t="s">
        <v>65</v>
      </c>
      <c r="X24" s="128" t="s">
        <v>65</v>
      </c>
      <c r="Y24" s="128" t="s">
        <v>65</v>
      </c>
      <c r="Z24" s="128" t="s">
        <v>65</v>
      </c>
      <c r="AA24" s="128" t="s">
        <v>65</v>
      </c>
      <c r="AB24" s="128">
        <v>1</v>
      </c>
      <c r="AC24" s="128">
        <v>1</v>
      </c>
      <c r="AD24" s="128" t="s">
        <v>65</v>
      </c>
      <c r="AE24" s="128" t="s">
        <v>65</v>
      </c>
      <c r="AF24" s="128">
        <v>0</v>
      </c>
      <c r="AG24" s="128">
        <v>1</v>
      </c>
      <c r="AH24" s="128" t="s">
        <v>65</v>
      </c>
      <c r="AI24" s="128" t="s">
        <v>65</v>
      </c>
      <c r="AJ24" s="26" t="s">
        <v>108</v>
      </c>
      <c r="AL24" t="str">
        <f t="shared" si="0"/>
        <v xml:space="preserve">    (U1)ALERT_REQ_UNKNOWN</v>
      </c>
      <c r="AR24" s="61" t="str">
        <f t="shared" si="6"/>
        <v xml:space="preserve">    (U4)0x000000C4U,                                                           /* 18 UNKNOWN                                         */</v>
      </c>
      <c r="AS24" s="61" t="str">
        <f t="shared" si="5"/>
        <v xml:space="preserve">    (U4)0x000000CCU,                                                           /* 18 UNKNOWN                                         */</v>
      </c>
      <c r="AT24" s="61" t="str">
        <f t="shared" si="7"/>
        <v xml:space="preserve">    (U1)ALERT_REQ_UNKNOWN,                                                     /* 18 UNKNOWN                                         */</v>
      </c>
    </row>
    <row r="25" spans="2:49">
      <c r="B25" s="132"/>
      <c r="C25" s="45">
        <f t="shared" si="4"/>
        <v>19</v>
      </c>
      <c r="D25" s="59" t="s">
        <v>65</v>
      </c>
      <c r="E25" s="59" t="s">
        <v>65</v>
      </c>
      <c r="F25" s="59" t="s">
        <v>65</v>
      </c>
      <c r="G25" s="59" t="s">
        <v>65</v>
      </c>
      <c r="H25" s="59" t="s">
        <v>65</v>
      </c>
      <c r="I25" s="59" t="s">
        <v>65</v>
      </c>
      <c r="J25" s="59" t="s">
        <v>65</v>
      </c>
      <c r="K25" s="59" t="s">
        <v>65</v>
      </c>
      <c r="L25" s="59" t="s">
        <v>65</v>
      </c>
      <c r="M25" s="59" t="s">
        <v>65</v>
      </c>
      <c r="N25" s="59" t="s">
        <v>65</v>
      </c>
      <c r="O25" s="59" t="s">
        <v>65</v>
      </c>
      <c r="P25" s="128" t="s">
        <v>65</v>
      </c>
      <c r="Q25" s="128" t="s">
        <v>65</v>
      </c>
      <c r="R25" s="128" t="s">
        <v>65</v>
      </c>
      <c r="S25" s="128" t="s">
        <v>65</v>
      </c>
      <c r="T25" s="128" t="s">
        <v>65</v>
      </c>
      <c r="U25" s="128" t="s">
        <v>65</v>
      </c>
      <c r="V25" s="128" t="s">
        <v>65</v>
      </c>
      <c r="W25" s="128" t="s">
        <v>65</v>
      </c>
      <c r="X25" s="128" t="s">
        <v>65</v>
      </c>
      <c r="Y25" s="128" t="s">
        <v>65</v>
      </c>
      <c r="Z25" s="128" t="s">
        <v>65</v>
      </c>
      <c r="AA25" s="128" t="s">
        <v>65</v>
      </c>
      <c r="AB25" s="128">
        <v>1</v>
      </c>
      <c r="AC25" s="128">
        <v>1</v>
      </c>
      <c r="AD25" s="128" t="s">
        <v>65</v>
      </c>
      <c r="AE25" s="128" t="s">
        <v>65</v>
      </c>
      <c r="AF25" s="128">
        <v>1</v>
      </c>
      <c r="AG25" s="128" t="s">
        <v>65</v>
      </c>
      <c r="AH25" s="128" t="s">
        <v>65</v>
      </c>
      <c r="AI25" s="128" t="s">
        <v>65</v>
      </c>
      <c r="AJ25" s="26" t="s">
        <v>108</v>
      </c>
      <c r="AL25" t="str">
        <f t="shared" si="0"/>
        <v xml:space="preserve">    (U1)ALERT_REQ_UNKNOWN</v>
      </c>
      <c r="AR25" s="61" t="str">
        <f t="shared" si="6"/>
        <v xml:space="preserve">    (U4)0x000000C8U                                                            /* 19 UNKNOWN                                         */</v>
      </c>
      <c r="AS25" s="61" t="str">
        <f t="shared" si="5"/>
        <v xml:space="preserve">    (U4)0x000000C8U                                                            /* 19 UNKNOWN                                         */</v>
      </c>
      <c r="AT25" s="61" t="str">
        <f t="shared" si="7"/>
        <v xml:space="preserve">    (U1)ALERT_REQ_UNKNOWN                                                      /* 19 UNKNOWN                                         */</v>
      </c>
    </row>
    <row r="26" spans="2:49">
      <c r="B26" s="132"/>
      <c r="C26" s="45">
        <f t="shared" si="4"/>
        <v>20</v>
      </c>
      <c r="D26" s="59" t="s">
        <v>65</v>
      </c>
      <c r="E26" s="59" t="s">
        <v>65</v>
      </c>
      <c r="F26" s="59" t="s">
        <v>65</v>
      </c>
      <c r="G26" s="59" t="s">
        <v>65</v>
      </c>
      <c r="H26" s="59" t="s">
        <v>65</v>
      </c>
      <c r="I26" s="59" t="s">
        <v>65</v>
      </c>
      <c r="J26" s="59" t="s">
        <v>65</v>
      </c>
      <c r="K26" s="59" t="s">
        <v>65</v>
      </c>
      <c r="L26" s="59" t="s">
        <v>65</v>
      </c>
      <c r="M26" s="59" t="s">
        <v>65</v>
      </c>
      <c r="N26" s="59" t="s">
        <v>65</v>
      </c>
      <c r="O26" s="59" t="s">
        <v>65</v>
      </c>
      <c r="P26" s="128" t="s">
        <v>65</v>
      </c>
      <c r="Q26" s="128" t="s">
        <v>65</v>
      </c>
      <c r="R26" s="128" t="s">
        <v>65</v>
      </c>
      <c r="S26" s="128" t="s">
        <v>65</v>
      </c>
      <c r="T26" s="128" t="s">
        <v>65</v>
      </c>
      <c r="U26" s="128" t="s">
        <v>65</v>
      </c>
      <c r="V26" s="128" t="s">
        <v>65</v>
      </c>
      <c r="W26" s="128" t="s">
        <v>65</v>
      </c>
      <c r="X26" s="128" t="s">
        <v>65</v>
      </c>
      <c r="Y26" s="128" t="s">
        <v>65</v>
      </c>
      <c r="Z26" s="128" t="s">
        <v>65</v>
      </c>
      <c r="AA26" s="128" t="s">
        <v>65</v>
      </c>
      <c r="AB26" s="128" t="s">
        <v>65</v>
      </c>
      <c r="AC26" s="128" t="s">
        <v>65</v>
      </c>
      <c r="AD26" s="128" t="s">
        <v>65</v>
      </c>
      <c r="AE26" s="128" t="s">
        <v>65</v>
      </c>
      <c r="AF26" s="128" t="s">
        <v>65</v>
      </c>
      <c r="AG26" s="128" t="s">
        <v>65</v>
      </c>
      <c r="AH26" s="128" t="s">
        <v>65</v>
      </c>
      <c r="AI26" s="128" t="s">
        <v>65</v>
      </c>
      <c r="AJ26" s="26"/>
      <c r="AL26" t="str">
        <f t="shared" ca="1" si="0"/>
        <v xml:space="preserve">    (U1)ALERT_REQ_C_BRK_0_</v>
      </c>
      <c r="AR26" s="61" t="str">
        <f t="shared" si="6"/>
        <v>};</v>
      </c>
      <c r="AS26" s="61" t="str">
        <f t="shared" si="5"/>
        <v>};</v>
      </c>
      <c r="AT26" s="61" t="str">
        <f t="shared" si="7"/>
        <v>};</v>
      </c>
    </row>
    <row r="27" spans="2:49">
      <c r="B27" s="132"/>
      <c r="C27" s="45">
        <f t="shared" si="4"/>
        <v>21</v>
      </c>
      <c r="D27" s="59" t="s">
        <v>65</v>
      </c>
      <c r="E27" s="59" t="s">
        <v>65</v>
      </c>
      <c r="F27" s="59" t="s">
        <v>65</v>
      </c>
      <c r="G27" s="59" t="s">
        <v>65</v>
      </c>
      <c r="H27" s="59" t="s">
        <v>65</v>
      </c>
      <c r="I27" s="59" t="s">
        <v>65</v>
      </c>
      <c r="J27" s="59" t="s">
        <v>65</v>
      </c>
      <c r="K27" s="59" t="s">
        <v>65</v>
      </c>
      <c r="L27" s="59" t="s">
        <v>65</v>
      </c>
      <c r="M27" s="59" t="s">
        <v>65</v>
      </c>
      <c r="N27" s="59" t="s">
        <v>65</v>
      </c>
      <c r="O27" s="59" t="s">
        <v>65</v>
      </c>
      <c r="P27" s="128" t="s">
        <v>65</v>
      </c>
      <c r="Q27" s="128" t="s">
        <v>65</v>
      </c>
      <c r="R27" s="128" t="s">
        <v>65</v>
      </c>
      <c r="S27" s="128" t="s">
        <v>65</v>
      </c>
      <c r="T27" s="128" t="s">
        <v>65</v>
      </c>
      <c r="U27" s="128" t="s">
        <v>65</v>
      </c>
      <c r="V27" s="128" t="s">
        <v>65</v>
      </c>
      <c r="W27" s="128" t="s">
        <v>65</v>
      </c>
      <c r="X27" s="128" t="s">
        <v>65</v>
      </c>
      <c r="Y27" s="128" t="s">
        <v>65</v>
      </c>
      <c r="Z27" s="128" t="s">
        <v>65</v>
      </c>
      <c r="AA27" s="128" t="s">
        <v>65</v>
      </c>
      <c r="AB27" s="128" t="s">
        <v>65</v>
      </c>
      <c r="AC27" s="128" t="s">
        <v>65</v>
      </c>
      <c r="AD27" s="128" t="s">
        <v>65</v>
      </c>
      <c r="AE27" s="128" t="s">
        <v>65</v>
      </c>
      <c r="AF27" s="128" t="s">
        <v>65</v>
      </c>
      <c r="AG27" s="128" t="s">
        <v>65</v>
      </c>
      <c r="AH27" s="128" t="s">
        <v>65</v>
      </c>
      <c r="AI27" s="128" t="s">
        <v>65</v>
      </c>
      <c r="AJ27" s="26"/>
      <c r="AL27" t="str">
        <f t="shared" ca="1" si="0"/>
        <v xml:space="preserve">    (U1)ALERT_REQ_C_BRK_0_</v>
      </c>
      <c r="AR27" s="61" t="str">
        <f t="shared" si="6"/>
        <v/>
      </c>
      <c r="AS27" s="61" t="str">
        <f t="shared" si="5"/>
        <v/>
      </c>
      <c r="AT27" s="61" t="str">
        <f t="shared" si="7"/>
        <v/>
      </c>
    </row>
    <row r="28" spans="2:49">
      <c r="B28" s="132"/>
      <c r="C28" s="45">
        <f t="shared" si="4"/>
        <v>22</v>
      </c>
      <c r="D28" s="59" t="s">
        <v>65</v>
      </c>
      <c r="E28" s="59" t="s">
        <v>65</v>
      </c>
      <c r="F28" s="59" t="s">
        <v>65</v>
      </c>
      <c r="G28" s="59" t="s">
        <v>65</v>
      </c>
      <c r="H28" s="59" t="s">
        <v>65</v>
      </c>
      <c r="I28" s="59" t="s">
        <v>65</v>
      </c>
      <c r="J28" s="59" t="s">
        <v>65</v>
      </c>
      <c r="K28" s="59" t="s">
        <v>65</v>
      </c>
      <c r="L28" s="59" t="s">
        <v>65</v>
      </c>
      <c r="M28" s="59" t="s">
        <v>65</v>
      </c>
      <c r="N28" s="59" t="s">
        <v>65</v>
      </c>
      <c r="O28" s="59" t="s">
        <v>65</v>
      </c>
      <c r="P28" s="128" t="s">
        <v>65</v>
      </c>
      <c r="Q28" s="128" t="s">
        <v>65</v>
      </c>
      <c r="R28" s="128" t="s">
        <v>65</v>
      </c>
      <c r="S28" s="128" t="s">
        <v>65</v>
      </c>
      <c r="T28" s="128" t="s">
        <v>65</v>
      </c>
      <c r="U28" s="128" t="s">
        <v>65</v>
      </c>
      <c r="V28" s="128" t="s">
        <v>65</v>
      </c>
      <c r="W28" s="128" t="s">
        <v>65</v>
      </c>
      <c r="X28" s="128" t="s">
        <v>65</v>
      </c>
      <c r="Y28" s="128" t="s">
        <v>65</v>
      </c>
      <c r="Z28" s="128" t="s">
        <v>65</v>
      </c>
      <c r="AA28" s="128" t="s">
        <v>65</v>
      </c>
      <c r="AB28" s="128" t="s">
        <v>65</v>
      </c>
      <c r="AC28" s="128" t="s">
        <v>65</v>
      </c>
      <c r="AD28" s="128" t="s">
        <v>65</v>
      </c>
      <c r="AE28" s="128" t="s">
        <v>65</v>
      </c>
      <c r="AF28" s="128" t="s">
        <v>65</v>
      </c>
      <c r="AG28" s="128" t="s">
        <v>65</v>
      </c>
      <c r="AH28" s="128" t="s">
        <v>65</v>
      </c>
      <c r="AI28" s="128" t="s">
        <v>65</v>
      </c>
      <c r="AJ28" s="26"/>
      <c r="AL28" t="str">
        <f t="shared" ca="1" si="0"/>
        <v xml:space="preserve">    (U1)ALERT_REQ_C_BRK_0_</v>
      </c>
      <c r="AR28" s="61" t="str">
        <f t="shared" si="6"/>
        <v/>
      </c>
      <c r="AS28" s="61" t="str">
        <f t="shared" si="5"/>
        <v/>
      </c>
      <c r="AT28" s="61" t="str">
        <f t="shared" si="7"/>
        <v/>
      </c>
    </row>
    <row r="29" spans="2:49">
      <c r="B29" s="132"/>
      <c r="C29" s="45">
        <f t="shared" si="4"/>
        <v>23</v>
      </c>
      <c r="D29" s="59" t="s">
        <v>65</v>
      </c>
      <c r="E29" s="59" t="s">
        <v>65</v>
      </c>
      <c r="F29" s="59" t="s">
        <v>65</v>
      </c>
      <c r="G29" s="59" t="s">
        <v>65</v>
      </c>
      <c r="H29" s="59" t="s">
        <v>65</v>
      </c>
      <c r="I29" s="59" t="s">
        <v>65</v>
      </c>
      <c r="J29" s="59" t="s">
        <v>65</v>
      </c>
      <c r="K29" s="59" t="s">
        <v>65</v>
      </c>
      <c r="L29" s="59" t="s">
        <v>65</v>
      </c>
      <c r="M29" s="59" t="s">
        <v>65</v>
      </c>
      <c r="N29" s="59" t="s">
        <v>65</v>
      </c>
      <c r="O29" s="59" t="s">
        <v>65</v>
      </c>
      <c r="P29" s="128" t="s">
        <v>65</v>
      </c>
      <c r="Q29" s="128" t="s">
        <v>65</v>
      </c>
      <c r="R29" s="128" t="s">
        <v>65</v>
      </c>
      <c r="S29" s="128" t="s">
        <v>65</v>
      </c>
      <c r="T29" s="128" t="s">
        <v>65</v>
      </c>
      <c r="U29" s="128" t="s">
        <v>65</v>
      </c>
      <c r="V29" s="128" t="s">
        <v>65</v>
      </c>
      <c r="W29" s="128" t="s">
        <v>65</v>
      </c>
      <c r="X29" s="128" t="s">
        <v>65</v>
      </c>
      <c r="Y29" s="128" t="s">
        <v>65</v>
      </c>
      <c r="Z29" s="128" t="s">
        <v>65</v>
      </c>
      <c r="AA29" s="128" t="s">
        <v>65</v>
      </c>
      <c r="AB29" s="128" t="s">
        <v>65</v>
      </c>
      <c r="AC29" s="128" t="s">
        <v>65</v>
      </c>
      <c r="AD29" s="128" t="s">
        <v>65</v>
      </c>
      <c r="AE29" s="128" t="s">
        <v>65</v>
      </c>
      <c r="AF29" s="128" t="s">
        <v>65</v>
      </c>
      <c r="AG29" s="128" t="s">
        <v>65</v>
      </c>
      <c r="AH29" s="128" t="s">
        <v>65</v>
      </c>
      <c r="AI29" s="128" t="s">
        <v>65</v>
      </c>
      <c r="AJ29" s="26"/>
      <c r="AL29" t="str">
        <f t="shared" ca="1" si="0"/>
        <v xml:space="preserve">    (U1)ALERT_REQ_C_BRK_0_</v>
      </c>
      <c r="AR29" s="61" t="str">
        <f t="shared" si="6"/>
        <v/>
      </c>
      <c r="AS29" s="61" t="str">
        <f t="shared" si="5"/>
        <v/>
      </c>
      <c r="AT29" s="61" t="str">
        <f t="shared" si="7"/>
        <v/>
      </c>
    </row>
    <row r="30" spans="2:49">
      <c r="B30" s="132"/>
      <c r="C30" s="45">
        <f t="shared" si="4"/>
        <v>24</v>
      </c>
      <c r="D30" s="59" t="s">
        <v>65</v>
      </c>
      <c r="E30" s="59" t="s">
        <v>65</v>
      </c>
      <c r="F30" s="59" t="s">
        <v>65</v>
      </c>
      <c r="G30" s="59" t="s">
        <v>65</v>
      </c>
      <c r="H30" s="59" t="s">
        <v>65</v>
      </c>
      <c r="I30" s="59" t="s">
        <v>65</v>
      </c>
      <c r="J30" s="59" t="s">
        <v>65</v>
      </c>
      <c r="K30" s="59" t="s">
        <v>65</v>
      </c>
      <c r="L30" s="59" t="s">
        <v>65</v>
      </c>
      <c r="M30" s="59" t="s">
        <v>65</v>
      </c>
      <c r="N30" s="59" t="s">
        <v>65</v>
      </c>
      <c r="O30" s="59" t="s">
        <v>65</v>
      </c>
      <c r="P30" s="128" t="s">
        <v>65</v>
      </c>
      <c r="Q30" s="128" t="s">
        <v>65</v>
      </c>
      <c r="R30" s="128" t="s">
        <v>65</v>
      </c>
      <c r="S30" s="128" t="s">
        <v>65</v>
      </c>
      <c r="T30" s="128" t="s">
        <v>65</v>
      </c>
      <c r="U30" s="128" t="s">
        <v>65</v>
      </c>
      <c r="V30" s="128" t="s">
        <v>65</v>
      </c>
      <c r="W30" s="128" t="s">
        <v>65</v>
      </c>
      <c r="X30" s="128" t="s">
        <v>65</v>
      </c>
      <c r="Y30" s="128" t="s">
        <v>65</v>
      </c>
      <c r="Z30" s="128" t="s">
        <v>65</v>
      </c>
      <c r="AA30" s="128" t="s">
        <v>65</v>
      </c>
      <c r="AB30" s="128" t="s">
        <v>65</v>
      </c>
      <c r="AC30" s="128" t="s">
        <v>65</v>
      </c>
      <c r="AD30" s="128" t="s">
        <v>65</v>
      </c>
      <c r="AE30" s="128" t="s">
        <v>65</v>
      </c>
      <c r="AF30" s="128" t="s">
        <v>65</v>
      </c>
      <c r="AG30" s="128" t="s">
        <v>65</v>
      </c>
      <c r="AH30" s="128" t="s">
        <v>65</v>
      </c>
      <c r="AI30" s="128" t="s">
        <v>65</v>
      </c>
      <c r="AJ30" s="26"/>
      <c r="AL30" t="str">
        <f t="shared" ca="1" si="0"/>
        <v xml:space="preserve">    (U1)ALERT_REQ_C_BRK_0_</v>
      </c>
      <c r="AR30" s="61" t="str">
        <f t="shared" si="6"/>
        <v/>
      </c>
      <c r="AS30" s="61" t="str">
        <f t="shared" si="5"/>
        <v/>
      </c>
      <c r="AT30" s="61" t="str">
        <f t="shared" si="7"/>
        <v/>
      </c>
    </row>
    <row r="31" spans="2:49">
      <c r="B31" s="132"/>
      <c r="C31" s="45">
        <f t="shared" si="4"/>
        <v>25</v>
      </c>
      <c r="D31" s="59" t="s">
        <v>65</v>
      </c>
      <c r="E31" s="59" t="s">
        <v>65</v>
      </c>
      <c r="F31" s="59" t="s">
        <v>65</v>
      </c>
      <c r="G31" s="59" t="s">
        <v>65</v>
      </c>
      <c r="H31" s="59" t="s">
        <v>65</v>
      </c>
      <c r="I31" s="59" t="s">
        <v>65</v>
      </c>
      <c r="J31" s="59" t="s">
        <v>65</v>
      </c>
      <c r="K31" s="59" t="s">
        <v>65</v>
      </c>
      <c r="L31" s="59" t="s">
        <v>65</v>
      </c>
      <c r="M31" s="59" t="s">
        <v>65</v>
      </c>
      <c r="N31" s="59" t="s">
        <v>65</v>
      </c>
      <c r="O31" s="59" t="s">
        <v>65</v>
      </c>
      <c r="P31" s="128" t="s">
        <v>65</v>
      </c>
      <c r="Q31" s="128" t="s">
        <v>65</v>
      </c>
      <c r="R31" s="128" t="s">
        <v>65</v>
      </c>
      <c r="S31" s="128" t="s">
        <v>65</v>
      </c>
      <c r="T31" s="128" t="s">
        <v>65</v>
      </c>
      <c r="U31" s="128" t="s">
        <v>65</v>
      </c>
      <c r="V31" s="128" t="s">
        <v>65</v>
      </c>
      <c r="W31" s="128" t="s">
        <v>65</v>
      </c>
      <c r="X31" s="128" t="s">
        <v>65</v>
      </c>
      <c r="Y31" s="128" t="s">
        <v>65</v>
      </c>
      <c r="Z31" s="128" t="s">
        <v>65</v>
      </c>
      <c r="AA31" s="128" t="s">
        <v>65</v>
      </c>
      <c r="AB31" s="128" t="s">
        <v>65</v>
      </c>
      <c r="AC31" s="128" t="s">
        <v>65</v>
      </c>
      <c r="AD31" s="128" t="s">
        <v>65</v>
      </c>
      <c r="AE31" s="128" t="s">
        <v>65</v>
      </c>
      <c r="AF31" s="128" t="s">
        <v>65</v>
      </c>
      <c r="AG31" s="128" t="s">
        <v>65</v>
      </c>
      <c r="AH31" s="128" t="s">
        <v>65</v>
      </c>
      <c r="AI31" s="128" t="s">
        <v>65</v>
      </c>
      <c r="AJ31" s="26"/>
      <c r="AL31" t="str">
        <f t="shared" ca="1" si="0"/>
        <v xml:space="preserve">    (U1)ALERT_REQ_C_BRK_0_</v>
      </c>
      <c r="AR31" s="61" t="str">
        <f t="shared" si="6"/>
        <v/>
      </c>
      <c r="AS31" s="61" t="str">
        <f t="shared" si="5"/>
        <v/>
      </c>
      <c r="AT31" s="61" t="str">
        <f t="shared" si="7"/>
        <v/>
      </c>
    </row>
    <row r="32" spans="2:49">
      <c r="B32" s="132"/>
      <c r="C32" s="45">
        <f t="shared" si="4"/>
        <v>26</v>
      </c>
      <c r="D32" s="59" t="s">
        <v>65</v>
      </c>
      <c r="E32" s="59" t="s">
        <v>65</v>
      </c>
      <c r="F32" s="59" t="s">
        <v>65</v>
      </c>
      <c r="G32" s="59" t="s">
        <v>65</v>
      </c>
      <c r="H32" s="59" t="s">
        <v>65</v>
      </c>
      <c r="I32" s="59" t="s">
        <v>65</v>
      </c>
      <c r="J32" s="59" t="s">
        <v>65</v>
      </c>
      <c r="K32" s="59" t="s">
        <v>65</v>
      </c>
      <c r="L32" s="59" t="s">
        <v>65</v>
      </c>
      <c r="M32" s="59" t="s">
        <v>65</v>
      </c>
      <c r="N32" s="59" t="s">
        <v>65</v>
      </c>
      <c r="O32" s="59" t="s">
        <v>65</v>
      </c>
      <c r="P32" s="128" t="s">
        <v>65</v>
      </c>
      <c r="Q32" s="128" t="s">
        <v>65</v>
      </c>
      <c r="R32" s="128" t="s">
        <v>65</v>
      </c>
      <c r="S32" s="128" t="s">
        <v>65</v>
      </c>
      <c r="T32" s="128" t="s">
        <v>65</v>
      </c>
      <c r="U32" s="128" t="s">
        <v>65</v>
      </c>
      <c r="V32" s="128" t="s">
        <v>65</v>
      </c>
      <c r="W32" s="128" t="s">
        <v>65</v>
      </c>
      <c r="X32" s="128" t="s">
        <v>65</v>
      </c>
      <c r="Y32" s="128" t="s">
        <v>65</v>
      </c>
      <c r="Z32" s="128" t="s">
        <v>65</v>
      </c>
      <c r="AA32" s="128" t="s">
        <v>65</v>
      </c>
      <c r="AB32" s="128" t="s">
        <v>65</v>
      </c>
      <c r="AC32" s="128" t="s">
        <v>65</v>
      </c>
      <c r="AD32" s="128" t="s">
        <v>65</v>
      </c>
      <c r="AE32" s="128" t="s">
        <v>65</v>
      </c>
      <c r="AF32" s="128" t="s">
        <v>65</v>
      </c>
      <c r="AG32" s="128" t="s">
        <v>65</v>
      </c>
      <c r="AH32" s="128" t="s">
        <v>65</v>
      </c>
      <c r="AI32" s="128" t="s">
        <v>65</v>
      </c>
      <c r="AJ32" s="26"/>
      <c r="AL32" t="str">
        <f t="shared" ca="1" si="0"/>
        <v xml:space="preserve">    (U1)ALERT_REQ_C_BRK_0_</v>
      </c>
      <c r="AR32" s="61" t="str">
        <f t="shared" si="6"/>
        <v/>
      </c>
      <c r="AS32" s="61" t="str">
        <f t="shared" si="5"/>
        <v/>
      </c>
      <c r="AT32" s="61" t="str">
        <f t="shared" si="7"/>
        <v/>
      </c>
    </row>
    <row r="33" spans="2:46">
      <c r="B33" s="132"/>
      <c r="C33" s="45">
        <f t="shared" si="4"/>
        <v>27</v>
      </c>
      <c r="D33" s="59" t="s">
        <v>65</v>
      </c>
      <c r="E33" s="59" t="s">
        <v>65</v>
      </c>
      <c r="F33" s="59" t="s">
        <v>65</v>
      </c>
      <c r="G33" s="59" t="s">
        <v>65</v>
      </c>
      <c r="H33" s="59" t="s">
        <v>65</v>
      </c>
      <c r="I33" s="59" t="s">
        <v>65</v>
      </c>
      <c r="J33" s="59" t="s">
        <v>65</v>
      </c>
      <c r="K33" s="59" t="s">
        <v>65</v>
      </c>
      <c r="L33" s="59" t="s">
        <v>65</v>
      </c>
      <c r="M33" s="59" t="s">
        <v>65</v>
      </c>
      <c r="N33" s="59" t="s">
        <v>65</v>
      </c>
      <c r="O33" s="59" t="s">
        <v>65</v>
      </c>
      <c r="P33" s="128" t="s">
        <v>65</v>
      </c>
      <c r="Q33" s="128" t="s">
        <v>65</v>
      </c>
      <c r="R33" s="128" t="s">
        <v>65</v>
      </c>
      <c r="S33" s="128" t="s">
        <v>65</v>
      </c>
      <c r="T33" s="128" t="s">
        <v>65</v>
      </c>
      <c r="U33" s="128" t="s">
        <v>65</v>
      </c>
      <c r="V33" s="128" t="s">
        <v>65</v>
      </c>
      <c r="W33" s="128" t="s">
        <v>65</v>
      </c>
      <c r="X33" s="128" t="s">
        <v>65</v>
      </c>
      <c r="Y33" s="128" t="s">
        <v>65</v>
      </c>
      <c r="Z33" s="128" t="s">
        <v>65</v>
      </c>
      <c r="AA33" s="128" t="s">
        <v>65</v>
      </c>
      <c r="AB33" s="128" t="s">
        <v>65</v>
      </c>
      <c r="AC33" s="128" t="s">
        <v>65</v>
      </c>
      <c r="AD33" s="128" t="s">
        <v>65</v>
      </c>
      <c r="AE33" s="128" t="s">
        <v>65</v>
      </c>
      <c r="AF33" s="128" t="s">
        <v>65</v>
      </c>
      <c r="AG33" s="128" t="s">
        <v>65</v>
      </c>
      <c r="AH33" s="128" t="s">
        <v>65</v>
      </c>
      <c r="AI33" s="128" t="s">
        <v>65</v>
      </c>
      <c r="AJ33" s="26"/>
      <c r="AL33" t="str">
        <f t="shared" ca="1" si="0"/>
        <v xml:space="preserve">    (U1)ALERT_REQ_C_BRK_0_</v>
      </c>
      <c r="AR33" s="61" t="str">
        <f t="shared" si="6"/>
        <v/>
      </c>
      <c r="AS33" s="61" t="str">
        <f t="shared" si="5"/>
        <v/>
      </c>
      <c r="AT33" s="61" t="str">
        <f t="shared" si="7"/>
        <v/>
      </c>
    </row>
    <row r="34" spans="2:46">
      <c r="B34" s="132"/>
      <c r="C34" s="45">
        <f t="shared" si="4"/>
        <v>28</v>
      </c>
      <c r="D34" s="59" t="s">
        <v>65</v>
      </c>
      <c r="E34" s="59" t="s">
        <v>65</v>
      </c>
      <c r="F34" s="59" t="s">
        <v>65</v>
      </c>
      <c r="G34" s="59" t="s">
        <v>65</v>
      </c>
      <c r="H34" s="59" t="s">
        <v>65</v>
      </c>
      <c r="I34" s="59" t="s">
        <v>65</v>
      </c>
      <c r="J34" s="59" t="s">
        <v>65</v>
      </c>
      <c r="K34" s="59" t="s">
        <v>65</v>
      </c>
      <c r="L34" s="59" t="s">
        <v>65</v>
      </c>
      <c r="M34" s="59" t="s">
        <v>65</v>
      </c>
      <c r="N34" s="59" t="s">
        <v>65</v>
      </c>
      <c r="O34" s="59" t="s">
        <v>65</v>
      </c>
      <c r="P34" s="128" t="s">
        <v>65</v>
      </c>
      <c r="Q34" s="128" t="s">
        <v>65</v>
      </c>
      <c r="R34" s="128" t="s">
        <v>65</v>
      </c>
      <c r="S34" s="128" t="s">
        <v>65</v>
      </c>
      <c r="T34" s="128" t="s">
        <v>65</v>
      </c>
      <c r="U34" s="128" t="s">
        <v>65</v>
      </c>
      <c r="V34" s="128" t="s">
        <v>65</v>
      </c>
      <c r="W34" s="128" t="s">
        <v>65</v>
      </c>
      <c r="X34" s="128" t="s">
        <v>65</v>
      </c>
      <c r="Y34" s="128" t="s">
        <v>65</v>
      </c>
      <c r="Z34" s="128" t="s">
        <v>65</v>
      </c>
      <c r="AA34" s="128" t="s">
        <v>65</v>
      </c>
      <c r="AB34" s="128" t="s">
        <v>65</v>
      </c>
      <c r="AC34" s="128" t="s">
        <v>65</v>
      </c>
      <c r="AD34" s="128" t="s">
        <v>65</v>
      </c>
      <c r="AE34" s="128" t="s">
        <v>65</v>
      </c>
      <c r="AF34" s="128" t="s">
        <v>65</v>
      </c>
      <c r="AG34" s="128" t="s">
        <v>65</v>
      </c>
      <c r="AH34" s="128" t="s">
        <v>65</v>
      </c>
      <c r="AI34" s="128" t="s">
        <v>65</v>
      </c>
      <c r="AJ34" s="26"/>
      <c r="AL34" t="str">
        <f t="shared" ca="1" si="0"/>
        <v xml:space="preserve">    (U1)ALERT_REQ_C_BRK_0_</v>
      </c>
      <c r="AR34" s="61" t="str">
        <f t="shared" si="6"/>
        <v/>
      </c>
      <c r="AS34" s="61" t="str">
        <f t="shared" si="5"/>
        <v/>
      </c>
      <c r="AT34" s="61" t="str">
        <f t="shared" si="7"/>
        <v/>
      </c>
    </row>
    <row r="35" spans="2:46">
      <c r="B35" s="132"/>
      <c r="C35" s="45">
        <f t="shared" si="4"/>
        <v>29</v>
      </c>
      <c r="D35" s="59" t="s">
        <v>65</v>
      </c>
      <c r="E35" s="59" t="s">
        <v>65</v>
      </c>
      <c r="F35" s="59" t="s">
        <v>65</v>
      </c>
      <c r="G35" s="59" t="s">
        <v>65</v>
      </c>
      <c r="H35" s="59" t="s">
        <v>65</v>
      </c>
      <c r="I35" s="59" t="s">
        <v>65</v>
      </c>
      <c r="J35" s="59" t="s">
        <v>65</v>
      </c>
      <c r="K35" s="59" t="s">
        <v>65</v>
      </c>
      <c r="L35" s="59" t="s">
        <v>65</v>
      </c>
      <c r="M35" s="59" t="s">
        <v>65</v>
      </c>
      <c r="N35" s="59" t="s">
        <v>65</v>
      </c>
      <c r="O35" s="59" t="s">
        <v>65</v>
      </c>
      <c r="P35" s="128" t="s">
        <v>65</v>
      </c>
      <c r="Q35" s="128" t="s">
        <v>65</v>
      </c>
      <c r="R35" s="128" t="s">
        <v>65</v>
      </c>
      <c r="S35" s="128" t="s">
        <v>65</v>
      </c>
      <c r="T35" s="128" t="s">
        <v>65</v>
      </c>
      <c r="U35" s="128" t="s">
        <v>65</v>
      </c>
      <c r="V35" s="128" t="s">
        <v>65</v>
      </c>
      <c r="W35" s="128" t="s">
        <v>65</v>
      </c>
      <c r="X35" s="128" t="s">
        <v>65</v>
      </c>
      <c r="Y35" s="128" t="s">
        <v>65</v>
      </c>
      <c r="Z35" s="128" t="s">
        <v>65</v>
      </c>
      <c r="AA35" s="128" t="s">
        <v>65</v>
      </c>
      <c r="AB35" s="128" t="s">
        <v>65</v>
      </c>
      <c r="AC35" s="128" t="s">
        <v>65</v>
      </c>
      <c r="AD35" s="128" t="s">
        <v>65</v>
      </c>
      <c r="AE35" s="128" t="s">
        <v>65</v>
      </c>
      <c r="AF35" s="128" t="s">
        <v>65</v>
      </c>
      <c r="AG35" s="128" t="s">
        <v>65</v>
      </c>
      <c r="AH35" s="128" t="s">
        <v>65</v>
      </c>
      <c r="AI35" s="128" t="s">
        <v>65</v>
      </c>
      <c r="AJ35" s="26"/>
      <c r="AL35" t="str">
        <f t="shared" ca="1" si="0"/>
        <v xml:space="preserve">    (U1)ALERT_REQ_C_BRK_0_</v>
      </c>
      <c r="AR35" s="61" t="str">
        <f t="shared" si="6"/>
        <v/>
      </c>
      <c r="AS35" s="61" t="str">
        <f t="shared" si="5"/>
        <v/>
      </c>
      <c r="AT35" s="61" t="str">
        <f t="shared" si="7"/>
        <v/>
      </c>
    </row>
    <row r="36" spans="2:46">
      <c r="B36" s="132"/>
      <c r="C36" s="45">
        <f t="shared" si="4"/>
        <v>30</v>
      </c>
      <c r="D36" s="59" t="s">
        <v>65</v>
      </c>
      <c r="E36" s="59" t="s">
        <v>65</v>
      </c>
      <c r="F36" s="59" t="s">
        <v>65</v>
      </c>
      <c r="G36" s="59" t="s">
        <v>65</v>
      </c>
      <c r="H36" s="59" t="s">
        <v>65</v>
      </c>
      <c r="I36" s="59" t="s">
        <v>65</v>
      </c>
      <c r="J36" s="59" t="s">
        <v>65</v>
      </c>
      <c r="K36" s="59" t="s">
        <v>65</v>
      </c>
      <c r="L36" s="59" t="s">
        <v>65</v>
      </c>
      <c r="M36" s="59" t="s">
        <v>65</v>
      </c>
      <c r="N36" s="59" t="s">
        <v>65</v>
      </c>
      <c r="O36" s="59" t="s">
        <v>65</v>
      </c>
      <c r="P36" s="128" t="s">
        <v>65</v>
      </c>
      <c r="Q36" s="128" t="s">
        <v>65</v>
      </c>
      <c r="R36" s="128" t="s">
        <v>65</v>
      </c>
      <c r="S36" s="128" t="s">
        <v>65</v>
      </c>
      <c r="T36" s="128" t="s">
        <v>65</v>
      </c>
      <c r="U36" s="128" t="s">
        <v>65</v>
      </c>
      <c r="V36" s="128" t="s">
        <v>65</v>
      </c>
      <c r="W36" s="128" t="s">
        <v>65</v>
      </c>
      <c r="X36" s="128" t="s">
        <v>65</v>
      </c>
      <c r="Y36" s="128" t="s">
        <v>65</v>
      </c>
      <c r="Z36" s="128" t="s">
        <v>65</v>
      </c>
      <c r="AA36" s="128" t="s">
        <v>65</v>
      </c>
      <c r="AB36" s="128" t="s">
        <v>65</v>
      </c>
      <c r="AC36" s="128" t="s">
        <v>65</v>
      </c>
      <c r="AD36" s="128" t="s">
        <v>65</v>
      </c>
      <c r="AE36" s="128" t="s">
        <v>65</v>
      </c>
      <c r="AF36" s="128" t="s">
        <v>65</v>
      </c>
      <c r="AG36" s="128" t="s">
        <v>65</v>
      </c>
      <c r="AH36" s="128" t="s">
        <v>65</v>
      </c>
      <c r="AI36" s="128" t="s">
        <v>65</v>
      </c>
      <c r="AJ36" s="26"/>
      <c r="AL36" t="str">
        <f t="shared" ca="1" si="0"/>
        <v xml:space="preserve">    (U1)ALERT_REQ_C_BRK_0_</v>
      </c>
      <c r="AR36" s="61" t="str">
        <f t="shared" si="6"/>
        <v/>
      </c>
      <c r="AS36" s="61" t="str">
        <f t="shared" si="5"/>
        <v/>
      </c>
      <c r="AT36" s="61" t="str">
        <f t="shared" si="7"/>
        <v/>
      </c>
    </row>
    <row r="37" spans="2:46">
      <c r="B37" s="132"/>
      <c r="C37" s="45">
        <f t="shared" si="4"/>
        <v>31</v>
      </c>
      <c r="D37" s="59" t="s">
        <v>65</v>
      </c>
      <c r="E37" s="59" t="s">
        <v>65</v>
      </c>
      <c r="F37" s="59" t="s">
        <v>65</v>
      </c>
      <c r="G37" s="59" t="s">
        <v>65</v>
      </c>
      <c r="H37" s="59" t="s">
        <v>65</v>
      </c>
      <c r="I37" s="59" t="s">
        <v>65</v>
      </c>
      <c r="J37" s="59" t="s">
        <v>65</v>
      </c>
      <c r="K37" s="59" t="s">
        <v>65</v>
      </c>
      <c r="L37" s="59" t="s">
        <v>65</v>
      </c>
      <c r="M37" s="59" t="s">
        <v>65</v>
      </c>
      <c r="N37" s="59" t="s">
        <v>65</v>
      </c>
      <c r="O37" s="59" t="s">
        <v>65</v>
      </c>
      <c r="P37" s="128" t="s">
        <v>65</v>
      </c>
      <c r="Q37" s="128" t="s">
        <v>65</v>
      </c>
      <c r="R37" s="128" t="s">
        <v>65</v>
      </c>
      <c r="S37" s="128" t="s">
        <v>65</v>
      </c>
      <c r="T37" s="128" t="s">
        <v>65</v>
      </c>
      <c r="U37" s="128" t="s">
        <v>65</v>
      </c>
      <c r="V37" s="128" t="s">
        <v>65</v>
      </c>
      <c r="W37" s="128" t="s">
        <v>65</v>
      </c>
      <c r="X37" s="128" t="s">
        <v>65</v>
      </c>
      <c r="Y37" s="128" t="s">
        <v>65</v>
      </c>
      <c r="Z37" s="128" t="s">
        <v>65</v>
      </c>
      <c r="AA37" s="128" t="s">
        <v>65</v>
      </c>
      <c r="AB37" s="128" t="s">
        <v>65</v>
      </c>
      <c r="AC37" s="128" t="s">
        <v>65</v>
      </c>
      <c r="AD37" s="128" t="s">
        <v>65</v>
      </c>
      <c r="AE37" s="128" t="s">
        <v>65</v>
      </c>
      <c r="AF37" s="128" t="s">
        <v>65</v>
      </c>
      <c r="AG37" s="128" t="s">
        <v>65</v>
      </c>
      <c r="AH37" s="128" t="s">
        <v>65</v>
      </c>
      <c r="AI37" s="128" t="s">
        <v>65</v>
      </c>
      <c r="AJ37" s="26"/>
      <c r="AL37" t="str">
        <f t="shared" ca="1" si="0"/>
        <v xml:space="preserve">    (U1)ALERT_REQ_C_BRK_0_</v>
      </c>
      <c r="AR37" s="61" t="str">
        <f t="shared" si="6"/>
        <v/>
      </c>
      <c r="AS37" s="61" t="str">
        <f t="shared" si="5"/>
        <v/>
      </c>
      <c r="AT37" s="61" t="str">
        <f t="shared" si="7"/>
        <v/>
      </c>
    </row>
    <row r="38" spans="2:46">
      <c r="B38" s="132"/>
      <c r="C38" s="45">
        <f t="shared" si="4"/>
        <v>32</v>
      </c>
      <c r="D38" s="59" t="s">
        <v>65</v>
      </c>
      <c r="E38" s="59" t="s">
        <v>65</v>
      </c>
      <c r="F38" s="59" t="s">
        <v>65</v>
      </c>
      <c r="G38" s="59" t="s">
        <v>65</v>
      </c>
      <c r="H38" s="59" t="s">
        <v>65</v>
      </c>
      <c r="I38" s="59" t="s">
        <v>65</v>
      </c>
      <c r="J38" s="59" t="s">
        <v>65</v>
      </c>
      <c r="K38" s="59" t="s">
        <v>65</v>
      </c>
      <c r="L38" s="59" t="s">
        <v>65</v>
      </c>
      <c r="M38" s="59" t="s">
        <v>65</v>
      </c>
      <c r="N38" s="59" t="s">
        <v>65</v>
      </c>
      <c r="O38" s="59" t="s">
        <v>65</v>
      </c>
      <c r="P38" s="128" t="s">
        <v>65</v>
      </c>
      <c r="Q38" s="128" t="s">
        <v>65</v>
      </c>
      <c r="R38" s="128" t="s">
        <v>65</v>
      </c>
      <c r="S38" s="128" t="s">
        <v>65</v>
      </c>
      <c r="T38" s="128" t="s">
        <v>65</v>
      </c>
      <c r="U38" s="128" t="s">
        <v>65</v>
      </c>
      <c r="V38" s="128" t="s">
        <v>65</v>
      </c>
      <c r="W38" s="128" t="s">
        <v>65</v>
      </c>
      <c r="X38" s="128" t="s">
        <v>65</v>
      </c>
      <c r="Y38" s="128" t="s">
        <v>65</v>
      </c>
      <c r="Z38" s="128" t="s">
        <v>65</v>
      </c>
      <c r="AA38" s="128" t="s">
        <v>65</v>
      </c>
      <c r="AB38" s="128" t="s">
        <v>65</v>
      </c>
      <c r="AC38" s="128" t="s">
        <v>65</v>
      </c>
      <c r="AD38" s="128" t="s">
        <v>65</v>
      </c>
      <c r="AE38" s="128" t="s">
        <v>65</v>
      </c>
      <c r="AF38" s="128" t="s">
        <v>65</v>
      </c>
      <c r="AG38" s="128" t="s">
        <v>65</v>
      </c>
      <c r="AH38" s="128" t="s">
        <v>65</v>
      </c>
      <c r="AI38" s="128" t="s">
        <v>65</v>
      </c>
      <c r="AJ38" s="26"/>
      <c r="AL38" t="str">
        <f t="shared" ca="1" si="0"/>
        <v xml:space="preserve">    (U1)ALERT_REQ_C_BRK_0_</v>
      </c>
      <c r="AR38" s="61" t="str">
        <f t="shared" si="6"/>
        <v/>
      </c>
      <c r="AS38" s="61" t="str">
        <f t="shared" si="5"/>
        <v/>
      </c>
      <c r="AT38" s="61" t="str">
        <f t="shared" si="7"/>
        <v/>
      </c>
    </row>
    <row r="39" spans="2:46">
      <c r="B39" s="132"/>
      <c r="C39" s="45">
        <f t="shared" si="4"/>
        <v>33</v>
      </c>
      <c r="D39" s="59" t="s">
        <v>65</v>
      </c>
      <c r="E39" s="59" t="s">
        <v>65</v>
      </c>
      <c r="F39" s="59" t="s">
        <v>65</v>
      </c>
      <c r="G39" s="59" t="s">
        <v>65</v>
      </c>
      <c r="H39" s="59" t="s">
        <v>65</v>
      </c>
      <c r="I39" s="59" t="s">
        <v>65</v>
      </c>
      <c r="J39" s="59" t="s">
        <v>65</v>
      </c>
      <c r="K39" s="59" t="s">
        <v>65</v>
      </c>
      <c r="L39" s="59" t="s">
        <v>65</v>
      </c>
      <c r="M39" s="59" t="s">
        <v>65</v>
      </c>
      <c r="N39" s="59" t="s">
        <v>65</v>
      </c>
      <c r="O39" s="59" t="s">
        <v>65</v>
      </c>
      <c r="P39" s="128" t="s">
        <v>65</v>
      </c>
      <c r="Q39" s="128" t="s">
        <v>65</v>
      </c>
      <c r="R39" s="128" t="s">
        <v>65</v>
      </c>
      <c r="S39" s="128" t="s">
        <v>65</v>
      </c>
      <c r="T39" s="128" t="s">
        <v>65</v>
      </c>
      <c r="U39" s="128" t="s">
        <v>65</v>
      </c>
      <c r="V39" s="128" t="s">
        <v>65</v>
      </c>
      <c r="W39" s="128" t="s">
        <v>65</v>
      </c>
      <c r="X39" s="128" t="s">
        <v>65</v>
      </c>
      <c r="Y39" s="128" t="s">
        <v>65</v>
      </c>
      <c r="Z39" s="128" t="s">
        <v>65</v>
      </c>
      <c r="AA39" s="128" t="s">
        <v>65</v>
      </c>
      <c r="AB39" s="128" t="s">
        <v>65</v>
      </c>
      <c r="AC39" s="128" t="s">
        <v>65</v>
      </c>
      <c r="AD39" s="128" t="s">
        <v>65</v>
      </c>
      <c r="AE39" s="128" t="s">
        <v>65</v>
      </c>
      <c r="AF39" s="128" t="s">
        <v>65</v>
      </c>
      <c r="AG39" s="128" t="s">
        <v>65</v>
      </c>
      <c r="AH39" s="128" t="s">
        <v>65</v>
      </c>
      <c r="AI39" s="128" t="s">
        <v>65</v>
      </c>
      <c r="AJ39" s="26"/>
      <c r="AL39" t="str">
        <f t="shared" ca="1" si="0"/>
        <v xml:space="preserve">    (U1)ALERT_REQ_C_BRK_0_</v>
      </c>
      <c r="AR39" s="61" t="str">
        <f t="shared" si="6"/>
        <v/>
      </c>
      <c r="AS39" s="61" t="str">
        <f t="shared" si="5"/>
        <v/>
      </c>
      <c r="AT39" s="61" t="str">
        <f t="shared" si="7"/>
        <v/>
      </c>
    </row>
    <row r="40" spans="2:46">
      <c r="B40" s="132"/>
      <c r="C40" s="45">
        <f t="shared" si="4"/>
        <v>34</v>
      </c>
      <c r="D40" s="59" t="s">
        <v>65</v>
      </c>
      <c r="E40" s="59" t="s">
        <v>65</v>
      </c>
      <c r="F40" s="59" t="s">
        <v>65</v>
      </c>
      <c r="G40" s="59" t="s">
        <v>65</v>
      </c>
      <c r="H40" s="59" t="s">
        <v>65</v>
      </c>
      <c r="I40" s="59" t="s">
        <v>65</v>
      </c>
      <c r="J40" s="59" t="s">
        <v>65</v>
      </c>
      <c r="K40" s="59" t="s">
        <v>65</v>
      </c>
      <c r="L40" s="59" t="s">
        <v>65</v>
      </c>
      <c r="M40" s="59" t="s">
        <v>65</v>
      </c>
      <c r="N40" s="59" t="s">
        <v>65</v>
      </c>
      <c r="O40" s="59" t="s">
        <v>65</v>
      </c>
      <c r="P40" s="128" t="s">
        <v>65</v>
      </c>
      <c r="Q40" s="128" t="s">
        <v>65</v>
      </c>
      <c r="R40" s="128" t="s">
        <v>65</v>
      </c>
      <c r="S40" s="128" t="s">
        <v>65</v>
      </c>
      <c r="T40" s="128" t="s">
        <v>65</v>
      </c>
      <c r="U40" s="128" t="s">
        <v>65</v>
      </c>
      <c r="V40" s="128" t="s">
        <v>65</v>
      </c>
      <c r="W40" s="128" t="s">
        <v>65</v>
      </c>
      <c r="X40" s="128" t="s">
        <v>65</v>
      </c>
      <c r="Y40" s="128" t="s">
        <v>65</v>
      </c>
      <c r="Z40" s="128" t="s">
        <v>65</v>
      </c>
      <c r="AA40" s="128" t="s">
        <v>65</v>
      </c>
      <c r="AB40" s="128" t="s">
        <v>65</v>
      </c>
      <c r="AC40" s="128" t="s">
        <v>65</v>
      </c>
      <c r="AD40" s="128" t="s">
        <v>65</v>
      </c>
      <c r="AE40" s="128" t="s">
        <v>65</v>
      </c>
      <c r="AF40" s="128" t="s">
        <v>65</v>
      </c>
      <c r="AG40" s="128" t="s">
        <v>65</v>
      </c>
      <c r="AH40" s="128" t="s">
        <v>65</v>
      </c>
      <c r="AI40" s="128" t="s">
        <v>65</v>
      </c>
      <c r="AJ40" s="26"/>
      <c r="AL40" t="str">
        <f t="shared" ca="1" si="0"/>
        <v xml:space="preserve">    (U1)ALERT_REQ_C_BRK_0_</v>
      </c>
      <c r="AR40" s="61" t="str">
        <f t="shared" si="6"/>
        <v/>
      </c>
      <c r="AS40" s="61" t="str">
        <f t="shared" si="5"/>
        <v/>
      </c>
      <c r="AT40" s="61" t="str">
        <f t="shared" si="7"/>
        <v/>
      </c>
    </row>
    <row r="41" spans="2:46">
      <c r="B41" s="132"/>
      <c r="C41" s="45">
        <f t="shared" si="4"/>
        <v>35</v>
      </c>
      <c r="D41" s="59" t="s">
        <v>65</v>
      </c>
      <c r="E41" s="59" t="s">
        <v>65</v>
      </c>
      <c r="F41" s="59" t="s">
        <v>65</v>
      </c>
      <c r="G41" s="59" t="s">
        <v>65</v>
      </c>
      <c r="H41" s="59" t="s">
        <v>65</v>
      </c>
      <c r="I41" s="59" t="s">
        <v>65</v>
      </c>
      <c r="J41" s="59" t="s">
        <v>65</v>
      </c>
      <c r="K41" s="59" t="s">
        <v>65</v>
      </c>
      <c r="L41" s="59" t="s">
        <v>65</v>
      </c>
      <c r="M41" s="59" t="s">
        <v>65</v>
      </c>
      <c r="N41" s="59" t="s">
        <v>65</v>
      </c>
      <c r="O41" s="59" t="s">
        <v>65</v>
      </c>
      <c r="P41" s="128" t="s">
        <v>65</v>
      </c>
      <c r="Q41" s="128" t="s">
        <v>65</v>
      </c>
      <c r="R41" s="128" t="s">
        <v>65</v>
      </c>
      <c r="S41" s="128" t="s">
        <v>65</v>
      </c>
      <c r="T41" s="128" t="s">
        <v>65</v>
      </c>
      <c r="U41" s="128" t="s">
        <v>65</v>
      </c>
      <c r="V41" s="128" t="s">
        <v>65</v>
      </c>
      <c r="W41" s="128" t="s">
        <v>65</v>
      </c>
      <c r="X41" s="128" t="s">
        <v>65</v>
      </c>
      <c r="Y41" s="128" t="s">
        <v>65</v>
      </c>
      <c r="Z41" s="128" t="s">
        <v>65</v>
      </c>
      <c r="AA41" s="128" t="s">
        <v>65</v>
      </c>
      <c r="AB41" s="128" t="s">
        <v>65</v>
      </c>
      <c r="AC41" s="128" t="s">
        <v>65</v>
      </c>
      <c r="AD41" s="128" t="s">
        <v>65</v>
      </c>
      <c r="AE41" s="128" t="s">
        <v>65</v>
      </c>
      <c r="AF41" s="128" t="s">
        <v>65</v>
      </c>
      <c r="AG41" s="128" t="s">
        <v>65</v>
      </c>
      <c r="AH41" s="128" t="s">
        <v>65</v>
      </c>
      <c r="AI41" s="128" t="s">
        <v>65</v>
      </c>
      <c r="AJ41" s="26"/>
      <c r="AL41" t="str">
        <f t="shared" ca="1" si="0"/>
        <v xml:space="preserve">    (U1)ALERT_REQ_C_BRK_0_</v>
      </c>
      <c r="AR41" s="61" t="str">
        <f t="shared" si="6"/>
        <v/>
      </c>
      <c r="AS41" s="61" t="str">
        <f t="shared" si="5"/>
        <v/>
      </c>
      <c r="AT41" s="61" t="str">
        <f t="shared" si="7"/>
        <v/>
      </c>
    </row>
    <row r="42" spans="2:46">
      <c r="B42" s="132"/>
      <c r="C42" s="45">
        <f t="shared" si="4"/>
        <v>36</v>
      </c>
      <c r="D42" s="59" t="s">
        <v>65</v>
      </c>
      <c r="E42" s="59" t="s">
        <v>65</v>
      </c>
      <c r="F42" s="59" t="s">
        <v>65</v>
      </c>
      <c r="G42" s="59" t="s">
        <v>65</v>
      </c>
      <c r="H42" s="59" t="s">
        <v>65</v>
      </c>
      <c r="I42" s="59" t="s">
        <v>65</v>
      </c>
      <c r="J42" s="59" t="s">
        <v>65</v>
      </c>
      <c r="K42" s="59" t="s">
        <v>65</v>
      </c>
      <c r="L42" s="59" t="s">
        <v>65</v>
      </c>
      <c r="M42" s="59" t="s">
        <v>65</v>
      </c>
      <c r="N42" s="59" t="s">
        <v>65</v>
      </c>
      <c r="O42" s="59" t="s">
        <v>65</v>
      </c>
      <c r="P42" s="128" t="s">
        <v>65</v>
      </c>
      <c r="Q42" s="128" t="s">
        <v>65</v>
      </c>
      <c r="R42" s="128" t="s">
        <v>65</v>
      </c>
      <c r="S42" s="128" t="s">
        <v>65</v>
      </c>
      <c r="T42" s="128" t="s">
        <v>65</v>
      </c>
      <c r="U42" s="128" t="s">
        <v>65</v>
      </c>
      <c r="V42" s="128" t="s">
        <v>65</v>
      </c>
      <c r="W42" s="128" t="s">
        <v>65</v>
      </c>
      <c r="X42" s="128" t="s">
        <v>65</v>
      </c>
      <c r="Y42" s="128" t="s">
        <v>65</v>
      </c>
      <c r="Z42" s="128" t="s">
        <v>65</v>
      </c>
      <c r="AA42" s="128" t="s">
        <v>65</v>
      </c>
      <c r="AB42" s="128" t="s">
        <v>65</v>
      </c>
      <c r="AC42" s="128" t="s">
        <v>65</v>
      </c>
      <c r="AD42" s="128" t="s">
        <v>65</v>
      </c>
      <c r="AE42" s="128" t="s">
        <v>65</v>
      </c>
      <c r="AF42" s="128" t="s">
        <v>65</v>
      </c>
      <c r="AG42" s="128" t="s">
        <v>65</v>
      </c>
      <c r="AH42" s="128" t="s">
        <v>65</v>
      </c>
      <c r="AI42" s="128" t="s">
        <v>65</v>
      </c>
      <c r="AJ42" s="26"/>
      <c r="AL42" t="str">
        <f t="shared" ca="1" si="0"/>
        <v xml:space="preserve">    (U1)ALERT_REQ_C_BRK_0_</v>
      </c>
      <c r="AR42" s="61" t="str">
        <f t="shared" si="6"/>
        <v/>
      </c>
      <c r="AS42" s="61" t="str">
        <f t="shared" si="5"/>
        <v/>
      </c>
      <c r="AT42" s="61" t="str">
        <f t="shared" si="7"/>
        <v/>
      </c>
    </row>
    <row r="43" spans="2:46">
      <c r="B43" s="132"/>
      <c r="C43" s="45">
        <f t="shared" si="4"/>
        <v>37</v>
      </c>
      <c r="D43" s="59" t="s">
        <v>65</v>
      </c>
      <c r="E43" s="59" t="s">
        <v>65</v>
      </c>
      <c r="F43" s="59" t="s">
        <v>65</v>
      </c>
      <c r="G43" s="59" t="s">
        <v>65</v>
      </c>
      <c r="H43" s="59" t="s">
        <v>65</v>
      </c>
      <c r="I43" s="59" t="s">
        <v>65</v>
      </c>
      <c r="J43" s="59" t="s">
        <v>65</v>
      </c>
      <c r="K43" s="59" t="s">
        <v>65</v>
      </c>
      <c r="L43" s="59" t="s">
        <v>65</v>
      </c>
      <c r="M43" s="59" t="s">
        <v>65</v>
      </c>
      <c r="N43" s="59" t="s">
        <v>65</v>
      </c>
      <c r="O43" s="59" t="s">
        <v>65</v>
      </c>
      <c r="P43" s="128" t="s">
        <v>65</v>
      </c>
      <c r="Q43" s="128" t="s">
        <v>65</v>
      </c>
      <c r="R43" s="128" t="s">
        <v>65</v>
      </c>
      <c r="S43" s="128" t="s">
        <v>65</v>
      </c>
      <c r="T43" s="128" t="s">
        <v>65</v>
      </c>
      <c r="U43" s="128" t="s">
        <v>65</v>
      </c>
      <c r="V43" s="128" t="s">
        <v>65</v>
      </c>
      <c r="W43" s="128" t="s">
        <v>65</v>
      </c>
      <c r="X43" s="128" t="s">
        <v>65</v>
      </c>
      <c r="Y43" s="128" t="s">
        <v>65</v>
      </c>
      <c r="Z43" s="128" t="s">
        <v>65</v>
      </c>
      <c r="AA43" s="128" t="s">
        <v>65</v>
      </c>
      <c r="AB43" s="128" t="s">
        <v>65</v>
      </c>
      <c r="AC43" s="128" t="s">
        <v>65</v>
      </c>
      <c r="AD43" s="128" t="s">
        <v>65</v>
      </c>
      <c r="AE43" s="128" t="s">
        <v>65</v>
      </c>
      <c r="AF43" s="128" t="s">
        <v>65</v>
      </c>
      <c r="AG43" s="128" t="s">
        <v>65</v>
      </c>
      <c r="AH43" s="128" t="s">
        <v>65</v>
      </c>
      <c r="AI43" s="128" t="s">
        <v>65</v>
      </c>
      <c r="AJ43" s="26"/>
      <c r="AL43" t="str">
        <f t="shared" ca="1" si="0"/>
        <v xml:space="preserve">    (U1)ALERT_REQ_C_BRK_0_</v>
      </c>
      <c r="AR43" s="61" t="str">
        <f t="shared" si="6"/>
        <v/>
      </c>
      <c r="AS43" s="61" t="str">
        <f t="shared" si="5"/>
        <v/>
      </c>
      <c r="AT43" s="61" t="str">
        <f t="shared" si="7"/>
        <v/>
      </c>
    </row>
    <row r="44" spans="2:46">
      <c r="B44" s="132"/>
      <c r="C44" s="45">
        <f t="shared" si="4"/>
        <v>38</v>
      </c>
      <c r="D44" s="59" t="s">
        <v>65</v>
      </c>
      <c r="E44" s="59" t="s">
        <v>65</v>
      </c>
      <c r="F44" s="59" t="s">
        <v>65</v>
      </c>
      <c r="G44" s="59" t="s">
        <v>65</v>
      </c>
      <c r="H44" s="59" t="s">
        <v>65</v>
      </c>
      <c r="I44" s="59" t="s">
        <v>65</v>
      </c>
      <c r="J44" s="59" t="s">
        <v>65</v>
      </c>
      <c r="K44" s="59" t="s">
        <v>65</v>
      </c>
      <c r="L44" s="59" t="s">
        <v>65</v>
      </c>
      <c r="M44" s="59" t="s">
        <v>65</v>
      </c>
      <c r="N44" s="59" t="s">
        <v>65</v>
      </c>
      <c r="O44" s="59" t="s">
        <v>65</v>
      </c>
      <c r="P44" s="128" t="s">
        <v>65</v>
      </c>
      <c r="Q44" s="128" t="s">
        <v>65</v>
      </c>
      <c r="R44" s="128" t="s">
        <v>65</v>
      </c>
      <c r="S44" s="128" t="s">
        <v>65</v>
      </c>
      <c r="T44" s="128" t="s">
        <v>65</v>
      </c>
      <c r="U44" s="128" t="s">
        <v>65</v>
      </c>
      <c r="V44" s="128" t="s">
        <v>65</v>
      </c>
      <c r="W44" s="128" t="s">
        <v>65</v>
      </c>
      <c r="X44" s="128" t="s">
        <v>65</v>
      </c>
      <c r="Y44" s="128" t="s">
        <v>65</v>
      </c>
      <c r="Z44" s="128" t="s">
        <v>65</v>
      </c>
      <c r="AA44" s="128" t="s">
        <v>65</v>
      </c>
      <c r="AB44" s="128" t="s">
        <v>65</v>
      </c>
      <c r="AC44" s="128" t="s">
        <v>65</v>
      </c>
      <c r="AD44" s="128" t="s">
        <v>65</v>
      </c>
      <c r="AE44" s="128" t="s">
        <v>65</v>
      </c>
      <c r="AF44" s="128" t="s">
        <v>65</v>
      </c>
      <c r="AG44" s="128" t="s">
        <v>65</v>
      </c>
      <c r="AH44" s="128" t="s">
        <v>65</v>
      </c>
      <c r="AI44" s="128" t="s">
        <v>65</v>
      </c>
      <c r="AJ44" s="26"/>
      <c r="AL44" t="str">
        <f t="shared" ca="1" si="0"/>
        <v xml:space="preserve">    (U1)ALERT_REQ_C_BRK_0_</v>
      </c>
      <c r="AR44" s="61" t="str">
        <f t="shared" si="6"/>
        <v/>
      </c>
      <c r="AS44" s="61" t="str">
        <f t="shared" si="5"/>
        <v/>
      </c>
      <c r="AT44" s="61" t="str">
        <f t="shared" si="7"/>
        <v/>
      </c>
    </row>
    <row r="45" spans="2:46">
      <c r="B45" s="132"/>
      <c r="C45" s="45">
        <f t="shared" si="4"/>
        <v>39</v>
      </c>
      <c r="D45" s="59" t="s">
        <v>65</v>
      </c>
      <c r="E45" s="59" t="s">
        <v>65</v>
      </c>
      <c r="F45" s="59" t="s">
        <v>65</v>
      </c>
      <c r="G45" s="59" t="s">
        <v>65</v>
      </c>
      <c r="H45" s="59" t="s">
        <v>65</v>
      </c>
      <c r="I45" s="59" t="s">
        <v>65</v>
      </c>
      <c r="J45" s="59" t="s">
        <v>65</v>
      </c>
      <c r="K45" s="59" t="s">
        <v>65</v>
      </c>
      <c r="L45" s="59" t="s">
        <v>65</v>
      </c>
      <c r="M45" s="59" t="s">
        <v>65</v>
      </c>
      <c r="N45" s="59" t="s">
        <v>65</v>
      </c>
      <c r="O45" s="59" t="s">
        <v>65</v>
      </c>
      <c r="P45" s="128" t="s">
        <v>65</v>
      </c>
      <c r="Q45" s="128" t="s">
        <v>65</v>
      </c>
      <c r="R45" s="128" t="s">
        <v>65</v>
      </c>
      <c r="S45" s="128" t="s">
        <v>65</v>
      </c>
      <c r="T45" s="128" t="s">
        <v>65</v>
      </c>
      <c r="U45" s="128" t="s">
        <v>65</v>
      </c>
      <c r="V45" s="128" t="s">
        <v>65</v>
      </c>
      <c r="W45" s="128" t="s">
        <v>65</v>
      </c>
      <c r="X45" s="128" t="s">
        <v>65</v>
      </c>
      <c r="Y45" s="128" t="s">
        <v>65</v>
      </c>
      <c r="Z45" s="128" t="s">
        <v>65</v>
      </c>
      <c r="AA45" s="128" t="s">
        <v>65</v>
      </c>
      <c r="AB45" s="128" t="s">
        <v>65</v>
      </c>
      <c r="AC45" s="128" t="s">
        <v>65</v>
      </c>
      <c r="AD45" s="128" t="s">
        <v>65</v>
      </c>
      <c r="AE45" s="128" t="s">
        <v>65</v>
      </c>
      <c r="AF45" s="128" t="s">
        <v>65</v>
      </c>
      <c r="AG45" s="128" t="s">
        <v>65</v>
      </c>
      <c r="AH45" s="128" t="s">
        <v>65</v>
      </c>
      <c r="AI45" s="128" t="s">
        <v>65</v>
      </c>
      <c r="AJ45" s="26"/>
      <c r="AL45" t="str">
        <f t="shared" ca="1" si="0"/>
        <v xml:space="preserve">    (U1)ALERT_REQ_C_BRK_0_</v>
      </c>
      <c r="AR45" s="61" t="str">
        <f t="shared" si="6"/>
        <v/>
      </c>
      <c r="AS45" s="61" t="str">
        <f t="shared" si="5"/>
        <v/>
      </c>
      <c r="AT45" s="61" t="str">
        <f t="shared" si="7"/>
        <v/>
      </c>
    </row>
    <row r="46" spans="2:46">
      <c r="B46" s="132"/>
      <c r="C46" s="45">
        <f t="shared" si="4"/>
        <v>40</v>
      </c>
      <c r="D46" s="59" t="s">
        <v>65</v>
      </c>
      <c r="E46" s="59" t="s">
        <v>65</v>
      </c>
      <c r="F46" s="59" t="s">
        <v>65</v>
      </c>
      <c r="G46" s="59" t="s">
        <v>65</v>
      </c>
      <c r="H46" s="59" t="s">
        <v>65</v>
      </c>
      <c r="I46" s="59" t="s">
        <v>65</v>
      </c>
      <c r="J46" s="59" t="s">
        <v>65</v>
      </c>
      <c r="K46" s="59" t="s">
        <v>65</v>
      </c>
      <c r="L46" s="59" t="s">
        <v>65</v>
      </c>
      <c r="M46" s="59" t="s">
        <v>65</v>
      </c>
      <c r="N46" s="59" t="s">
        <v>65</v>
      </c>
      <c r="O46" s="59" t="s">
        <v>65</v>
      </c>
      <c r="P46" s="128" t="s">
        <v>65</v>
      </c>
      <c r="Q46" s="128" t="s">
        <v>65</v>
      </c>
      <c r="R46" s="128" t="s">
        <v>65</v>
      </c>
      <c r="S46" s="128" t="s">
        <v>65</v>
      </c>
      <c r="T46" s="128" t="s">
        <v>65</v>
      </c>
      <c r="U46" s="128" t="s">
        <v>65</v>
      </c>
      <c r="V46" s="128" t="s">
        <v>65</v>
      </c>
      <c r="W46" s="128" t="s">
        <v>65</v>
      </c>
      <c r="X46" s="128" t="s">
        <v>65</v>
      </c>
      <c r="Y46" s="128" t="s">
        <v>65</v>
      </c>
      <c r="Z46" s="128" t="s">
        <v>65</v>
      </c>
      <c r="AA46" s="128" t="s">
        <v>65</v>
      </c>
      <c r="AB46" s="128" t="s">
        <v>65</v>
      </c>
      <c r="AC46" s="128" t="s">
        <v>65</v>
      </c>
      <c r="AD46" s="128" t="s">
        <v>65</v>
      </c>
      <c r="AE46" s="128" t="s">
        <v>65</v>
      </c>
      <c r="AF46" s="128" t="s">
        <v>65</v>
      </c>
      <c r="AG46" s="128" t="s">
        <v>65</v>
      </c>
      <c r="AH46" s="128" t="s">
        <v>65</v>
      </c>
      <c r="AI46" s="128" t="s">
        <v>65</v>
      </c>
      <c r="AJ46" s="26"/>
      <c r="AL46" t="str">
        <f t="shared" ca="1" si="0"/>
        <v xml:space="preserve">    (U1)ALERT_REQ_C_BRK_0_</v>
      </c>
      <c r="AR46" s="61" t="str">
        <f t="shared" si="6"/>
        <v/>
      </c>
      <c r="AS46" s="61" t="str">
        <f t="shared" si="5"/>
        <v/>
      </c>
      <c r="AT46" s="61" t="str">
        <f t="shared" si="7"/>
        <v/>
      </c>
    </row>
    <row r="47" spans="2:46">
      <c r="B47" s="132"/>
      <c r="C47" s="45">
        <f t="shared" si="4"/>
        <v>41</v>
      </c>
      <c r="D47" s="59" t="s">
        <v>65</v>
      </c>
      <c r="E47" s="59" t="s">
        <v>65</v>
      </c>
      <c r="F47" s="59" t="s">
        <v>65</v>
      </c>
      <c r="G47" s="59" t="s">
        <v>65</v>
      </c>
      <c r="H47" s="59" t="s">
        <v>65</v>
      </c>
      <c r="I47" s="59" t="s">
        <v>65</v>
      </c>
      <c r="J47" s="59" t="s">
        <v>65</v>
      </c>
      <c r="K47" s="59" t="s">
        <v>65</v>
      </c>
      <c r="L47" s="59" t="s">
        <v>65</v>
      </c>
      <c r="M47" s="59" t="s">
        <v>65</v>
      </c>
      <c r="N47" s="59" t="s">
        <v>65</v>
      </c>
      <c r="O47" s="59" t="s">
        <v>65</v>
      </c>
      <c r="P47" s="128" t="s">
        <v>65</v>
      </c>
      <c r="Q47" s="128" t="s">
        <v>65</v>
      </c>
      <c r="R47" s="128" t="s">
        <v>65</v>
      </c>
      <c r="S47" s="128" t="s">
        <v>65</v>
      </c>
      <c r="T47" s="128" t="s">
        <v>65</v>
      </c>
      <c r="U47" s="128" t="s">
        <v>65</v>
      </c>
      <c r="V47" s="128" t="s">
        <v>65</v>
      </c>
      <c r="W47" s="128" t="s">
        <v>65</v>
      </c>
      <c r="X47" s="128" t="s">
        <v>65</v>
      </c>
      <c r="Y47" s="128" t="s">
        <v>65</v>
      </c>
      <c r="Z47" s="128" t="s">
        <v>65</v>
      </c>
      <c r="AA47" s="128" t="s">
        <v>65</v>
      </c>
      <c r="AB47" s="128" t="s">
        <v>65</v>
      </c>
      <c r="AC47" s="128" t="s">
        <v>65</v>
      </c>
      <c r="AD47" s="128" t="s">
        <v>65</v>
      </c>
      <c r="AE47" s="128" t="s">
        <v>65</v>
      </c>
      <c r="AF47" s="128" t="s">
        <v>65</v>
      </c>
      <c r="AG47" s="128" t="s">
        <v>65</v>
      </c>
      <c r="AH47" s="128" t="s">
        <v>65</v>
      </c>
      <c r="AI47" s="128" t="s">
        <v>65</v>
      </c>
      <c r="AJ47" s="26"/>
      <c r="AL47" t="str">
        <f t="shared" ca="1" si="0"/>
        <v xml:space="preserve">    (U1)ALERT_REQ_C_BRK_0_</v>
      </c>
      <c r="AR47" s="61" t="str">
        <f t="shared" si="6"/>
        <v/>
      </c>
      <c r="AS47" s="61" t="str">
        <f t="shared" si="5"/>
        <v/>
      </c>
      <c r="AT47" s="61" t="str">
        <f t="shared" si="7"/>
        <v/>
      </c>
    </row>
    <row r="48" spans="2:46">
      <c r="B48" s="132"/>
      <c r="C48" s="45">
        <f t="shared" si="4"/>
        <v>42</v>
      </c>
      <c r="D48" s="59" t="s">
        <v>65</v>
      </c>
      <c r="E48" s="59" t="s">
        <v>65</v>
      </c>
      <c r="F48" s="59" t="s">
        <v>65</v>
      </c>
      <c r="G48" s="59" t="s">
        <v>65</v>
      </c>
      <c r="H48" s="59" t="s">
        <v>65</v>
      </c>
      <c r="I48" s="59" t="s">
        <v>65</v>
      </c>
      <c r="J48" s="59" t="s">
        <v>65</v>
      </c>
      <c r="K48" s="59" t="s">
        <v>65</v>
      </c>
      <c r="L48" s="59" t="s">
        <v>65</v>
      </c>
      <c r="M48" s="59" t="s">
        <v>65</v>
      </c>
      <c r="N48" s="59" t="s">
        <v>65</v>
      </c>
      <c r="O48" s="59" t="s">
        <v>65</v>
      </c>
      <c r="P48" s="128" t="s">
        <v>65</v>
      </c>
      <c r="Q48" s="128" t="s">
        <v>65</v>
      </c>
      <c r="R48" s="128" t="s">
        <v>65</v>
      </c>
      <c r="S48" s="128" t="s">
        <v>65</v>
      </c>
      <c r="T48" s="128" t="s">
        <v>65</v>
      </c>
      <c r="U48" s="128" t="s">
        <v>65</v>
      </c>
      <c r="V48" s="128" t="s">
        <v>65</v>
      </c>
      <c r="W48" s="128" t="s">
        <v>65</v>
      </c>
      <c r="X48" s="128" t="s">
        <v>65</v>
      </c>
      <c r="Y48" s="128" t="s">
        <v>65</v>
      </c>
      <c r="Z48" s="128" t="s">
        <v>65</v>
      </c>
      <c r="AA48" s="128" t="s">
        <v>65</v>
      </c>
      <c r="AB48" s="128" t="s">
        <v>65</v>
      </c>
      <c r="AC48" s="128" t="s">
        <v>65</v>
      </c>
      <c r="AD48" s="128" t="s">
        <v>65</v>
      </c>
      <c r="AE48" s="128" t="s">
        <v>65</v>
      </c>
      <c r="AF48" s="128" t="s">
        <v>65</v>
      </c>
      <c r="AG48" s="128" t="s">
        <v>65</v>
      </c>
      <c r="AH48" s="128" t="s">
        <v>65</v>
      </c>
      <c r="AI48" s="128" t="s">
        <v>65</v>
      </c>
      <c r="AJ48" s="26"/>
      <c r="AL48" t="str">
        <f t="shared" ca="1" si="0"/>
        <v xml:space="preserve">    (U1)ALERT_REQ_C_BRK_0_</v>
      </c>
      <c r="AR48" s="61" t="str">
        <f t="shared" si="6"/>
        <v/>
      </c>
      <c r="AS48" s="61" t="str">
        <f t="shared" si="5"/>
        <v/>
      </c>
      <c r="AT48" s="61" t="str">
        <f t="shared" si="7"/>
        <v/>
      </c>
    </row>
    <row r="49" spans="2:46">
      <c r="B49" s="132"/>
      <c r="C49" s="45">
        <f t="shared" si="4"/>
        <v>43</v>
      </c>
      <c r="D49" s="59" t="s">
        <v>65</v>
      </c>
      <c r="E49" s="59" t="s">
        <v>65</v>
      </c>
      <c r="F49" s="59" t="s">
        <v>65</v>
      </c>
      <c r="G49" s="59" t="s">
        <v>65</v>
      </c>
      <c r="H49" s="59" t="s">
        <v>65</v>
      </c>
      <c r="I49" s="59" t="s">
        <v>65</v>
      </c>
      <c r="J49" s="59" t="s">
        <v>65</v>
      </c>
      <c r="K49" s="59" t="s">
        <v>65</v>
      </c>
      <c r="L49" s="59" t="s">
        <v>65</v>
      </c>
      <c r="M49" s="59" t="s">
        <v>65</v>
      </c>
      <c r="N49" s="59" t="s">
        <v>65</v>
      </c>
      <c r="O49" s="59" t="s">
        <v>65</v>
      </c>
      <c r="P49" s="128" t="s">
        <v>65</v>
      </c>
      <c r="Q49" s="128" t="s">
        <v>65</v>
      </c>
      <c r="R49" s="128" t="s">
        <v>65</v>
      </c>
      <c r="S49" s="128" t="s">
        <v>65</v>
      </c>
      <c r="T49" s="128" t="s">
        <v>65</v>
      </c>
      <c r="U49" s="128" t="s">
        <v>65</v>
      </c>
      <c r="V49" s="128" t="s">
        <v>65</v>
      </c>
      <c r="W49" s="128" t="s">
        <v>65</v>
      </c>
      <c r="X49" s="128" t="s">
        <v>65</v>
      </c>
      <c r="Y49" s="128" t="s">
        <v>65</v>
      </c>
      <c r="Z49" s="128" t="s">
        <v>65</v>
      </c>
      <c r="AA49" s="128" t="s">
        <v>65</v>
      </c>
      <c r="AB49" s="128" t="s">
        <v>65</v>
      </c>
      <c r="AC49" s="128" t="s">
        <v>65</v>
      </c>
      <c r="AD49" s="128" t="s">
        <v>65</v>
      </c>
      <c r="AE49" s="128" t="s">
        <v>65</v>
      </c>
      <c r="AF49" s="128" t="s">
        <v>65</v>
      </c>
      <c r="AG49" s="128" t="s">
        <v>65</v>
      </c>
      <c r="AH49" s="128" t="s">
        <v>65</v>
      </c>
      <c r="AI49" s="128" t="s">
        <v>65</v>
      </c>
      <c r="AJ49" s="26"/>
      <c r="AL49" t="str">
        <f t="shared" ca="1" si="0"/>
        <v xml:space="preserve">    (U1)ALERT_REQ_C_BRK_0_</v>
      </c>
      <c r="AR49" s="61" t="str">
        <f t="shared" si="6"/>
        <v/>
      </c>
      <c r="AS49" s="61" t="str">
        <f t="shared" si="5"/>
        <v/>
      </c>
      <c r="AT49" s="61" t="str">
        <f t="shared" si="7"/>
        <v/>
      </c>
    </row>
    <row r="50" spans="2:46">
      <c r="B50" s="132"/>
      <c r="C50" s="45">
        <f t="shared" si="4"/>
        <v>44</v>
      </c>
      <c r="D50" s="59" t="s">
        <v>65</v>
      </c>
      <c r="E50" s="59" t="s">
        <v>65</v>
      </c>
      <c r="F50" s="59" t="s">
        <v>65</v>
      </c>
      <c r="G50" s="59" t="s">
        <v>65</v>
      </c>
      <c r="H50" s="59" t="s">
        <v>65</v>
      </c>
      <c r="I50" s="59" t="s">
        <v>65</v>
      </c>
      <c r="J50" s="59" t="s">
        <v>65</v>
      </c>
      <c r="K50" s="59" t="s">
        <v>65</v>
      </c>
      <c r="L50" s="59" t="s">
        <v>65</v>
      </c>
      <c r="M50" s="59" t="s">
        <v>65</v>
      </c>
      <c r="N50" s="59" t="s">
        <v>65</v>
      </c>
      <c r="O50" s="59" t="s">
        <v>65</v>
      </c>
      <c r="P50" s="128" t="s">
        <v>65</v>
      </c>
      <c r="Q50" s="128" t="s">
        <v>65</v>
      </c>
      <c r="R50" s="128" t="s">
        <v>65</v>
      </c>
      <c r="S50" s="128" t="s">
        <v>65</v>
      </c>
      <c r="T50" s="128" t="s">
        <v>65</v>
      </c>
      <c r="U50" s="128" t="s">
        <v>65</v>
      </c>
      <c r="V50" s="128" t="s">
        <v>65</v>
      </c>
      <c r="W50" s="128" t="s">
        <v>65</v>
      </c>
      <c r="X50" s="128" t="s">
        <v>65</v>
      </c>
      <c r="Y50" s="128" t="s">
        <v>65</v>
      </c>
      <c r="Z50" s="128" t="s">
        <v>65</v>
      </c>
      <c r="AA50" s="128" t="s">
        <v>65</v>
      </c>
      <c r="AB50" s="128" t="s">
        <v>65</v>
      </c>
      <c r="AC50" s="128" t="s">
        <v>65</v>
      </c>
      <c r="AD50" s="128" t="s">
        <v>65</v>
      </c>
      <c r="AE50" s="128" t="s">
        <v>65</v>
      </c>
      <c r="AF50" s="128" t="s">
        <v>65</v>
      </c>
      <c r="AG50" s="128" t="s">
        <v>65</v>
      </c>
      <c r="AH50" s="128" t="s">
        <v>65</v>
      </c>
      <c r="AI50" s="128" t="s">
        <v>65</v>
      </c>
      <c r="AJ50" s="26"/>
      <c r="AL50" t="str">
        <f t="shared" ca="1" si="0"/>
        <v xml:space="preserve">    (U1)ALERT_REQ_C_BRK_0_</v>
      </c>
      <c r="AR50" s="61" t="str">
        <f t="shared" si="6"/>
        <v/>
      </c>
      <c r="AS50" s="61" t="str">
        <f t="shared" si="5"/>
        <v/>
      </c>
      <c r="AT50" s="61" t="str">
        <f t="shared" si="7"/>
        <v/>
      </c>
    </row>
    <row r="51" spans="2:46">
      <c r="B51" s="132"/>
      <c r="C51" s="45">
        <f t="shared" si="4"/>
        <v>45</v>
      </c>
      <c r="D51" s="59" t="s">
        <v>65</v>
      </c>
      <c r="E51" s="59" t="s">
        <v>65</v>
      </c>
      <c r="F51" s="59" t="s">
        <v>65</v>
      </c>
      <c r="G51" s="59" t="s">
        <v>65</v>
      </c>
      <c r="H51" s="59" t="s">
        <v>65</v>
      </c>
      <c r="I51" s="59" t="s">
        <v>65</v>
      </c>
      <c r="J51" s="59" t="s">
        <v>65</v>
      </c>
      <c r="K51" s="59" t="s">
        <v>65</v>
      </c>
      <c r="L51" s="59" t="s">
        <v>65</v>
      </c>
      <c r="M51" s="59" t="s">
        <v>65</v>
      </c>
      <c r="N51" s="59" t="s">
        <v>65</v>
      </c>
      <c r="O51" s="59" t="s">
        <v>65</v>
      </c>
      <c r="P51" s="128" t="s">
        <v>65</v>
      </c>
      <c r="Q51" s="128" t="s">
        <v>65</v>
      </c>
      <c r="R51" s="128" t="s">
        <v>65</v>
      </c>
      <c r="S51" s="128" t="s">
        <v>65</v>
      </c>
      <c r="T51" s="128" t="s">
        <v>65</v>
      </c>
      <c r="U51" s="128" t="s">
        <v>65</v>
      </c>
      <c r="V51" s="128" t="s">
        <v>65</v>
      </c>
      <c r="W51" s="128" t="s">
        <v>65</v>
      </c>
      <c r="X51" s="128" t="s">
        <v>65</v>
      </c>
      <c r="Y51" s="128" t="s">
        <v>65</v>
      </c>
      <c r="Z51" s="128" t="s">
        <v>65</v>
      </c>
      <c r="AA51" s="128" t="s">
        <v>65</v>
      </c>
      <c r="AB51" s="128" t="s">
        <v>65</v>
      </c>
      <c r="AC51" s="128" t="s">
        <v>65</v>
      </c>
      <c r="AD51" s="128" t="s">
        <v>65</v>
      </c>
      <c r="AE51" s="128" t="s">
        <v>65</v>
      </c>
      <c r="AF51" s="128" t="s">
        <v>65</v>
      </c>
      <c r="AG51" s="128" t="s">
        <v>65</v>
      </c>
      <c r="AH51" s="128" t="s">
        <v>65</v>
      </c>
      <c r="AI51" s="128" t="s">
        <v>65</v>
      </c>
      <c r="AJ51" s="26"/>
      <c r="AL51" t="str">
        <f t="shared" ca="1" si="0"/>
        <v xml:space="preserve">    (U1)ALERT_REQ_C_BRK_0_</v>
      </c>
      <c r="AR51" s="61" t="str">
        <f t="shared" si="6"/>
        <v/>
      </c>
      <c r="AS51" s="61" t="str">
        <f t="shared" si="5"/>
        <v/>
      </c>
      <c r="AT51" s="61" t="str">
        <f t="shared" si="7"/>
        <v/>
      </c>
    </row>
    <row r="52" spans="2:46">
      <c r="B52" s="132"/>
      <c r="C52" s="45">
        <f t="shared" si="4"/>
        <v>46</v>
      </c>
      <c r="D52" s="59" t="s">
        <v>65</v>
      </c>
      <c r="E52" s="59" t="s">
        <v>65</v>
      </c>
      <c r="F52" s="59" t="s">
        <v>65</v>
      </c>
      <c r="G52" s="59" t="s">
        <v>65</v>
      </c>
      <c r="H52" s="59" t="s">
        <v>65</v>
      </c>
      <c r="I52" s="59" t="s">
        <v>65</v>
      </c>
      <c r="J52" s="59" t="s">
        <v>65</v>
      </c>
      <c r="K52" s="59" t="s">
        <v>65</v>
      </c>
      <c r="L52" s="59" t="s">
        <v>65</v>
      </c>
      <c r="M52" s="59" t="s">
        <v>65</v>
      </c>
      <c r="N52" s="59" t="s">
        <v>65</v>
      </c>
      <c r="O52" s="59" t="s">
        <v>65</v>
      </c>
      <c r="P52" s="128" t="s">
        <v>65</v>
      </c>
      <c r="Q52" s="128" t="s">
        <v>65</v>
      </c>
      <c r="R52" s="128" t="s">
        <v>65</v>
      </c>
      <c r="S52" s="128" t="s">
        <v>65</v>
      </c>
      <c r="T52" s="128" t="s">
        <v>65</v>
      </c>
      <c r="U52" s="128" t="s">
        <v>65</v>
      </c>
      <c r="V52" s="128" t="s">
        <v>65</v>
      </c>
      <c r="W52" s="128" t="s">
        <v>65</v>
      </c>
      <c r="X52" s="128" t="s">
        <v>65</v>
      </c>
      <c r="Y52" s="128" t="s">
        <v>65</v>
      </c>
      <c r="Z52" s="128" t="s">
        <v>65</v>
      </c>
      <c r="AA52" s="128" t="s">
        <v>65</v>
      </c>
      <c r="AB52" s="128" t="s">
        <v>65</v>
      </c>
      <c r="AC52" s="128" t="s">
        <v>65</v>
      </c>
      <c r="AD52" s="128" t="s">
        <v>65</v>
      </c>
      <c r="AE52" s="128" t="s">
        <v>65</v>
      </c>
      <c r="AF52" s="128" t="s">
        <v>65</v>
      </c>
      <c r="AG52" s="128" t="s">
        <v>65</v>
      </c>
      <c r="AH52" s="128" t="s">
        <v>65</v>
      </c>
      <c r="AI52" s="128" t="s">
        <v>65</v>
      </c>
      <c r="AJ52" s="26"/>
      <c r="AL52" t="str">
        <f t="shared" ca="1" si="0"/>
        <v xml:space="preserve">    (U1)ALERT_REQ_C_BRK_0_</v>
      </c>
      <c r="AR52" s="61" t="str">
        <f t="shared" si="6"/>
        <v/>
      </c>
      <c r="AS52" s="61" t="str">
        <f t="shared" si="5"/>
        <v/>
      </c>
      <c r="AT52" s="61" t="str">
        <f t="shared" si="7"/>
        <v/>
      </c>
    </row>
    <row r="53" spans="2:46">
      <c r="B53" s="132"/>
      <c r="C53" s="45">
        <f t="shared" si="4"/>
        <v>47</v>
      </c>
      <c r="D53" s="59" t="s">
        <v>65</v>
      </c>
      <c r="E53" s="59" t="s">
        <v>65</v>
      </c>
      <c r="F53" s="59" t="s">
        <v>65</v>
      </c>
      <c r="G53" s="59" t="s">
        <v>65</v>
      </c>
      <c r="H53" s="59" t="s">
        <v>65</v>
      </c>
      <c r="I53" s="59" t="s">
        <v>65</v>
      </c>
      <c r="J53" s="59" t="s">
        <v>65</v>
      </c>
      <c r="K53" s="59" t="s">
        <v>65</v>
      </c>
      <c r="L53" s="59" t="s">
        <v>65</v>
      </c>
      <c r="M53" s="59" t="s">
        <v>65</v>
      </c>
      <c r="N53" s="59" t="s">
        <v>65</v>
      </c>
      <c r="O53" s="59" t="s">
        <v>65</v>
      </c>
      <c r="P53" s="128" t="s">
        <v>65</v>
      </c>
      <c r="Q53" s="128" t="s">
        <v>65</v>
      </c>
      <c r="R53" s="128" t="s">
        <v>65</v>
      </c>
      <c r="S53" s="128" t="s">
        <v>65</v>
      </c>
      <c r="T53" s="128" t="s">
        <v>65</v>
      </c>
      <c r="U53" s="128" t="s">
        <v>65</v>
      </c>
      <c r="V53" s="128" t="s">
        <v>65</v>
      </c>
      <c r="W53" s="128" t="s">
        <v>65</v>
      </c>
      <c r="X53" s="128" t="s">
        <v>65</v>
      </c>
      <c r="Y53" s="128" t="s">
        <v>65</v>
      </c>
      <c r="Z53" s="128" t="s">
        <v>65</v>
      </c>
      <c r="AA53" s="128" t="s">
        <v>65</v>
      </c>
      <c r="AB53" s="128" t="s">
        <v>65</v>
      </c>
      <c r="AC53" s="128" t="s">
        <v>65</v>
      </c>
      <c r="AD53" s="128" t="s">
        <v>65</v>
      </c>
      <c r="AE53" s="128" t="s">
        <v>65</v>
      </c>
      <c r="AF53" s="128" t="s">
        <v>65</v>
      </c>
      <c r="AG53" s="128" t="s">
        <v>65</v>
      </c>
      <c r="AH53" s="128" t="s">
        <v>65</v>
      </c>
      <c r="AI53" s="128" t="s">
        <v>65</v>
      </c>
      <c r="AJ53" s="26"/>
      <c r="AL53" t="str">
        <f t="shared" ca="1" si="0"/>
        <v xml:space="preserve">    (U1)ALERT_REQ_C_BRK_0_</v>
      </c>
      <c r="AR53" s="61" t="str">
        <f t="shared" si="6"/>
        <v/>
      </c>
      <c r="AS53" s="61" t="str">
        <f t="shared" si="5"/>
        <v/>
      </c>
      <c r="AT53" s="61" t="str">
        <f t="shared" si="7"/>
        <v/>
      </c>
    </row>
    <row r="54" spans="2:46">
      <c r="B54" s="132"/>
      <c r="C54" s="45">
        <f t="shared" si="4"/>
        <v>48</v>
      </c>
      <c r="D54" s="59" t="s">
        <v>65</v>
      </c>
      <c r="E54" s="59" t="s">
        <v>65</v>
      </c>
      <c r="F54" s="59" t="s">
        <v>65</v>
      </c>
      <c r="G54" s="59" t="s">
        <v>65</v>
      </c>
      <c r="H54" s="59" t="s">
        <v>65</v>
      </c>
      <c r="I54" s="59" t="s">
        <v>65</v>
      </c>
      <c r="J54" s="59" t="s">
        <v>65</v>
      </c>
      <c r="K54" s="59" t="s">
        <v>65</v>
      </c>
      <c r="L54" s="59" t="s">
        <v>65</v>
      </c>
      <c r="M54" s="59" t="s">
        <v>65</v>
      </c>
      <c r="N54" s="59" t="s">
        <v>65</v>
      </c>
      <c r="O54" s="59" t="s">
        <v>65</v>
      </c>
      <c r="P54" s="59" t="s">
        <v>65</v>
      </c>
      <c r="Q54" s="59" t="s">
        <v>65</v>
      </c>
      <c r="R54" s="59" t="s">
        <v>65</v>
      </c>
      <c r="S54" s="59" t="s">
        <v>65</v>
      </c>
      <c r="T54" s="59" t="s">
        <v>65</v>
      </c>
      <c r="U54" s="59" t="s">
        <v>65</v>
      </c>
      <c r="V54" s="59" t="s">
        <v>65</v>
      </c>
      <c r="W54" s="59" t="s">
        <v>65</v>
      </c>
      <c r="X54" s="59" t="s">
        <v>65</v>
      </c>
      <c r="Y54" s="59" t="s">
        <v>65</v>
      </c>
      <c r="Z54" s="59" t="s">
        <v>65</v>
      </c>
      <c r="AA54" s="59" t="s">
        <v>65</v>
      </c>
      <c r="AB54" s="59" t="s">
        <v>65</v>
      </c>
      <c r="AC54" s="59" t="s">
        <v>65</v>
      </c>
      <c r="AD54" s="128" t="s">
        <v>65</v>
      </c>
      <c r="AE54" s="128" t="s">
        <v>65</v>
      </c>
      <c r="AF54" s="128" t="s">
        <v>65</v>
      </c>
      <c r="AG54" s="128" t="s">
        <v>65</v>
      </c>
      <c r="AH54" s="128" t="s">
        <v>65</v>
      </c>
      <c r="AI54" s="128" t="s">
        <v>65</v>
      </c>
      <c r="AJ54" s="26"/>
      <c r="AL54" t="str">
        <f t="shared" ca="1" si="0"/>
        <v xml:space="preserve">    (U1)ALERT_REQ_C_BRK_0_</v>
      </c>
      <c r="AR54" s="61" t="str">
        <f t="shared" si="6"/>
        <v/>
      </c>
      <c r="AS54" s="61" t="str">
        <f t="shared" si="5"/>
        <v/>
      </c>
      <c r="AT54" s="61" t="str">
        <f t="shared" si="7"/>
        <v/>
      </c>
    </row>
    <row r="55" spans="2:46">
      <c r="B55" s="132"/>
      <c r="C55" s="45">
        <f t="shared" si="4"/>
        <v>49</v>
      </c>
      <c r="D55" s="59" t="s">
        <v>65</v>
      </c>
      <c r="E55" s="59" t="s">
        <v>65</v>
      </c>
      <c r="F55" s="59" t="s">
        <v>65</v>
      </c>
      <c r="G55" s="59" t="s">
        <v>65</v>
      </c>
      <c r="H55" s="59" t="s">
        <v>65</v>
      </c>
      <c r="I55" s="59" t="s">
        <v>65</v>
      </c>
      <c r="J55" s="59" t="s">
        <v>65</v>
      </c>
      <c r="K55" s="59" t="s">
        <v>65</v>
      </c>
      <c r="L55" s="59" t="s">
        <v>65</v>
      </c>
      <c r="M55" s="59" t="s">
        <v>65</v>
      </c>
      <c r="N55" s="59" t="s">
        <v>65</v>
      </c>
      <c r="O55" s="59" t="s">
        <v>65</v>
      </c>
      <c r="P55" s="59" t="s">
        <v>65</v>
      </c>
      <c r="Q55" s="59" t="s">
        <v>65</v>
      </c>
      <c r="R55" s="59" t="s">
        <v>65</v>
      </c>
      <c r="S55" s="59" t="s">
        <v>65</v>
      </c>
      <c r="T55" s="59" t="s">
        <v>65</v>
      </c>
      <c r="U55" s="59" t="s">
        <v>65</v>
      </c>
      <c r="V55" s="59" t="s">
        <v>65</v>
      </c>
      <c r="W55" s="59" t="s">
        <v>65</v>
      </c>
      <c r="X55" s="59" t="s">
        <v>65</v>
      </c>
      <c r="Y55" s="59" t="s">
        <v>65</v>
      </c>
      <c r="Z55" s="59" t="s">
        <v>65</v>
      </c>
      <c r="AA55" s="59" t="s">
        <v>65</v>
      </c>
      <c r="AB55" s="59" t="s">
        <v>65</v>
      </c>
      <c r="AC55" s="59" t="s">
        <v>65</v>
      </c>
      <c r="AD55" s="128" t="s">
        <v>65</v>
      </c>
      <c r="AE55" s="128" t="s">
        <v>65</v>
      </c>
      <c r="AF55" s="128" t="s">
        <v>65</v>
      </c>
      <c r="AG55" s="128" t="s">
        <v>65</v>
      </c>
      <c r="AH55" s="128" t="s">
        <v>65</v>
      </c>
      <c r="AI55" s="128" t="s">
        <v>65</v>
      </c>
      <c r="AJ55" s="26"/>
      <c r="AL55" t="str">
        <f t="shared" ca="1" si="0"/>
        <v xml:space="preserve">    (U1)ALERT_REQ_C_BRK_0_</v>
      </c>
      <c r="AR55" s="61" t="str">
        <f t="shared" si="6"/>
        <v/>
      </c>
      <c r="AS55" s="61" t="str">
        <f t="shared" si="5"/>
        <v/>
      </c>
      <c r="AT55" s="61" t="str">
        <f t="shared" si="7"/>
        <v/>
      </c>
    </row>
    <row r="56" spans="2:46">
      <c r="B56" s="132"/>
      <c r="C56" s="45">
        <f t="shared" si="4"/>
        <v>50</v>
      </c>
      <c r="D56" s="59" t="s">
        <v>65</v>
      </c>
      <c r="E56" s="59" t="s">
        <v>65</v>
      </c>
      <c r="F56" s="59" t="s">
        <v>65</v>
      </c>
      <c r="G56" s="59" t="s">
        <v>65</v>
      </c>
      <c r="H56" s="59" t="s">
        <v>65</v>
      </c>
      <c r="I56" s="59" t="s">
        <v>65</v>
      </c>
      <c r="J56" s="59" t="s">
        <v>65</v>
      </c>
      <c r="K56" s="59" t="s">
        <v>65</v>
      </c>
      <c r="L56" s="59" t="s">
        <v>65</v>
      </c>
      <c r="M56" s="59" t="s">
        <v>65</v>
      </c>
      <c r="N56" s="59" t="s">
        <v>65</v>
      </c>
      <c r="O56" s="59" t="s">
        <v>65</v>
      </c>
      <c r="P56" s="59" t="s">
        <v>65</v>
      </c>
      <c r="Q56" s="59" t="s">
        <v>65</v>
      </c>
      <c r="R56" s="59" t="s">
        <v>65</v>
      </c>
      <c r="S56" s="59" t="s">
        <v>65</v>
      </c>
      <c r="T56" s="59" t="s">
        <v>65</v>
      </c>
      <c r="U56" s="59" t="s">
        <v>65</v>
      </c>
      <c r="V56" s="59" t="s">
        <v>65</v>
      </c>
      <c r="W56" s="59" t="s">
        <v>65</v>
      </c>
      <c r="X56" s="59" t="s">
        <v>65</v>
      </c>
      <c r="Y56" s="59" t="s">
        <v>65</v>
      </c>
      <c r="Z56" s="59" t="s">
        <v>65</v>
      </c>
      <c r="AA56" s="59" t="s">
        <v>65</v>
      </c>
      <c r="AB56" s="59" t="s">
        <v>65</v>
      </c>
      <c r="AC56" s="59" t="s">
        <v>65</v>
      </c>
      <c r="AD56" s="128" t="s">
        <v>65</v>
      </c>
      <c r="AE56" s="128" t="s">
        <v>65</v>
      </c>
      <c r="AF56" s="128" t="s">
        <v>65</v>
      </c>
      <c r="AG56" s="128" t="s">
        <v>65</v>
      </c>
      <c r="AH56" s="128" t="s">
        <v>65</v>
      </c>
      <c r="AI56" s="128" t="s">
        <v>65</v>
      </c>
      <c r="AJ56" s="26"/>
      <c r="AL56" t="str">
        <f t="shared" ca="1" si="0"/>
        <v xml:space="preserve">    (U1)ALERT_REQ_C_BRK_0_</v>
      </c>
      <c r="AR56" s="61" t="str">
        <f t="shared" si="6"/>
        <v/>
      </c>
      <c r="AS56" s="61" t="str">
        <f t="shared" si="5"/>
        <v/>
      </c>
      <c r="AT56" s="61" t="str">
        <f t="shared" si="7"/>
        <v/>
      </c>
    </row>
    <row r="57" spans="2:46">
      <c r="B57" s="132"/>
      <c r="C57" s="45">
        <f t="shared" si="4"/>
        <v>51</v>
      </c>
      <c r="D57" s="59" t="s">
        <v>65</v>
      </c>
      <c r="E57" s="59" t="s">
        <v>65</v>
      </c>
      <c r="F57" s="59" t="s">
        <v>65</v>
      </c>
      <c r="G57" s="59" t="s">
        <v>65</v>
      </c>
      <c r="H57" s="59" t="s">
        <v>65</v>
      </c>
      <c r="I57" s="59" t="s">
        <v>65</v>
      </c>
      <c r="J57" s="59" t="s">
        <v>65</v>
      </c>
      <c r="K57" s="59" t="s">
        <v>65</v>
      </c>
      <c r="L57" s="59" t="s">
        <v>65</v>
      </c>
      <c r="M57" s="59" t="s">
        <v>65</v>
      </c>
      <c r="N57" s="59" t="s">
        <v>65</v>
      </c>
      <c r="O57" s="59" t="s">
        <v>65</v>
      </c>
      <c r="P57" s="59" t="s">
        <v>65</v>
      </c>
      <c r="Q57" s="59" t="s">
        <v>65</v>
      </c>
      <c r="R57" s="59" t="s">
        <v>65</v>
      </c>
      <c r="S57" s="59" t="s">
        <v>65</v>
      </c>
      <c r="T57" s="59" t="s">
        <v>65</v>
      </c>
      <c r="U57" s="59" t="s">
        <v>65</v>
      </c>
      <c r="V57" s="59" t="s">
        <v>65</v>
      </c>
      <c r="W57" s="59" t="s">
        <v>65</v>
      </c>
      <c r="X57" s="59" t="s">
        <v>65</v>
      </c>
      <c r="Y57" s="59" t="s">
        <v>65</v>
      </c>
      <c r="Z57" s="59" t="s">
        <v>65</v>
      </c>
      <c r="AA57" s="59" t="s">
        <v>65</v>
      </c>
      <c r="AB57" s="59" t="s">
        <v>65</v>
      </c>
      <c r="AC57" s="59" t="s">
        <v>65</v>
      </c>
      <c r="AD57" s="128" t="s">
        <v>65</v>
      </c>
      <c r="AE57" s="128" t="s">
        <v>65</v>
      </c>
      <c r="AF57" s="128" t="s">
        <v>65</v>
      </c>
      <c r="AG57" s="128" t="s">
        <v>65</v>
      </c>
      <c r="AH57" s="128" t="s">
        <v>65</v>
      </c>
      <c r="AI57" s="128" t="s">
        <v>65</v>
      </c>
      <c r="AJ57" s="26"/>
      <c r="AL57" t="str">
        <f t="shared" ca="1" si="0"/>
        <v xml:space="preserve">    (U1)ALERT_REQ_C_BRK_0_</v>
      </c>
      <c r="AR57" s="61" t="str">
        <f t="shared" si="6"/>
        <v/>
      </c>
      <c r="AS57" s="61" t="str">
        <f t="shared" si="5"/>
        <v/>
      </c>
      <c r="AT57" s="61" t="str">
        <f t="shared" si="7"/>
        <v/>
      </c>
    </row>
    <row r="58" spans="2:46">
      <c r="B58" s="132"/>
      <c r="C58" s="45">
        <f t="shared" si="4"/>
        <v>52</v>
      </c>
      <c r="D58" s="59" t="s">
        <v>65</v>
      </c>
      <c r="E58" s="59" t="s">
        <v>65</v>
      </c>
      <c r="F58" s="59" t="s">
        <v>65</v>
      </c>
      <c r="G58" s="59" t="s">
        <v>65</v>
      </c>
      <c r="H58" s="59" t="s">
        <v>65</v>
      </c>
      <c r="I58" s="59" t="s">
        <v>65</v>
      </c>
      <c r="J58" s="59" t="s">
        <v>65</v>
      </c>
      <c r="K58" s="59" t="s">
        <v>65</v>
      </c>
      <c r="L58" s="59" t="s">
        <v>65</v>
      </c>
      <c r="M58" s="59" t="s">
        <v>65</v>
      </c>
      <c r="N58" s="59" t="s">
        <v>65</v>
      </c>
      <c r="O58" s="59" t="s">
        <v>65</v>
      </c>
      <c r="P58" s="59" t="s">
        <v>65</v>
      </c>
      <c r="Q58" s="59" t="s">
        <v>65</v>
      </c>
      <c r="R58" s="59" t="s">
        <v>65</v>
      </c>
      <c r="S58" s="59" t="s">
        <v>65</v>
      </c>
      <c r="T58" s="59" t="s">
        <v>65</v>
      </c>
      <c r="U58" s="59" t="s">
        <v>65</v>
      </c>
      <c r="V58" s="59" t="s">
        <v>65</v>
      </c>
      <c r="W58" s="59" t="s">
        <v>65</v>
      </c>
      <c r="X58" s="59" t="s">
        <v>65</v>
      </c>
      <c r="Y58" s="59" t="s">
        <v>65</v>
      </c>
      <c r="Z58" s="59" t="s">
        <v>65</v>
      </c>
      <c r="AA58" s="59" t="s">
        <v>65</v>
      </c>
      <c r="AB58" s="59" t="s">
        <v>65</v>
      </c>
      <c r="AC58" s="59" t="s">
        <v>65</v>
      </c>
      <c r="AD58" s="128" t="s">
        <v>65</v>
      </c>
      <c r="AE58" s="128" t="s">
        <v>65</v>
      </c>
      <c r="AF58" s="128" t="s">
        <v>65</v>
      </c>
      <c r="AG58" s="128" t="s">
        <v>65</v>
      </c>
      <c r="AH58" s="128" t="s">
        <v>65</v>
      </c>
      <c r="AI58" s="128" t="s">
        <v>65</v>
      </c>
      <c r="AJ58" s="26"/>
      <c r="AL58" t="str">
        <f t="shared" ca="1" si="0"/>
        <v xml:space="preserve">    (U1)ALERT_REQ_C_BRK_0_</v>
      </c>
      <c r="AR58" s="61" t="str">
        <f t="shared" si="6"/>
        <v/>
      </c>
      <c r="AS58" s="61" t="str">
        <f t="shared" si="5"/>
        <v/>
      </c>
      <c r="AT58" s="61" t="str">
        <f t="shared" si="7"/>
        <v/>
      </c>
    </row>
    <row r="59" spans="2:46">
      <c r="B59" s="132"/>
      <c r="C59" s="45">
        <f t="shared" si="4"/>
        <v>53</v>
      </c>
      <c r="D59" s="59" t="s">
        <v>65</v>
      </c>
      <c r="E59" s="59" t="s">
        <v>65</v>
      </c>
      <c r="F59" s="59" t="s">
        <v>65</v>
      </c>
      <c r="G59" s="59" t="s">
        <v>65</v>
      </c>
      <c r="H59" s="59" t="s">
        <v>65</v>
      </c>
      <c r="I59" s="59" t="s">
        <v>65</v>
      </c>
      <c r="J59" s="59" t="s">
        <v>65</v>
      </c>
      <c r="K59" s="59" t="s">
        <v>65</v>
      </c>
      <c r="L59" s="59" t="s">
        <v>65</v>
      </c>
      <c r="M59" s="59" t="s">
        <v>65</v>
      </c>
      <c r="N59" s="59" t="s">
        <v>65</v>
      </c>
      <c r="O59" s="59" t="s">
        <v>65</v>
      </c>
      <c r="P59" s="59" t="s">
        <v>65</v>
      </c>
      <c r="Q59" s="59" t="s">
        <v>65</v>
      </c>
      <c r="R59" s="59" t="s">
        <v>65</v>
      </c>
      <c r="S59" s="59" t="s">
        <v>65</v>
      </c>
      <c r="T59" s="59" t="s">
        <v>65</v>
      </c>
      <c r="U59" s="59" t="s">
        <v>65</v>
      </c>
      <c r="V59" s="59" t="s">
        <v>65</v>
      </c>
      <c r="W59" s="59" t="s">
        <v>65</v>
      </c>
      <c r="X59" s="59" t="s">
        <v>65</v>
      </c>
      <c r="Y59" s="59" t="s">
        <v>65</v>
      </c>
      <c r="Z59" s="59" t="s">
        <v>65</v>
      </c>
      <c r="AA59" s="59" t="s">
        <v>65</v>
      </c>
      <c r="AB59" s="59" t="s">
        <v>65</v>
      </c>
      <c r="AC59" s="59" t="s">
        <v>65</v>
      </c>
      <c r="AD59" s="128" t="s">
        <v>65</v>
      </c>
      <c r="AE59" s="128" t="s">
        <v>65</v>
      </c>
      <c r="AF59" s="128" t="s">
        <v>65</v>
      </c>
      <c r="AG59" s="128" t="s">
        <v>65</v>
      </c>
      <c r="AH59" s="128" t="s">
        <v>65</v>
      </c>
      <c r="AI59" s="128" t="s">
        <v>65</v>
      </c>
      <c r="AJ59" s="26"/>
      <c r="AL59" t="str">
        <f t="shared" ca="1" si="0"/>
        <v xml:space="preserve">    (U1)ALERT_REQ_C_BRK_0_</v>
      </c>
      <c r="AR59" s="61" t="str">
        <f t="shared" si="6"/>
        <v/>
      </c>
      <c r="AS59" s="61" t="str">
        <f t="shared" si="5"/>
        <v/>
      </c>
      <c r="AT59" s="61" t="str">
        <f t="shared" si="7"/>
        <v/>
      </c>
    </row>
    <row r="60" spans="2:46">
      <c r="B60" s="132"/>
      <c r="C60" s="45">
        <f t="shared" si="4"/>
        <v>54</v>
      </c>
      <c r="D60" s="59" t="s">
        <v>65</v>
      </c>
      <c r="E60" s="59" t="s">
        <v>65</v>
      </c>
      <c r="F60" s="59" t="s">
        <v>65</v>
      </c>
      <c r="G60" s="59" t="s">
        <v>65</v>
      </c>
      <c r="H60" s="59" t="s">
        <v>65</v>
      </c>
      <c r="I60" s="59" t="s">
        <v>65</v>
      </c>
      <c r="J60" s="59" t="s">
        <v>65</v>
      </c>
      <c r="K60" s="59" t="s">
        <v>65</v>
      </c>
      <c r="L60" s="59" t="s">
        <v>65</v>
      </c>
      <c r="M60" s="59" t="s">
        <v>65</v>
      </c>
      <c r="N60" s="59" t="s">
        <v>65</v>
      </c>
      <c r="O60" s="59" t="s">
        <v>65</v>
      </c>
      <c r="P60" s="59" t="s">
        <v>65</v>
      </c>
      <c r="Q60" s="59" t="s">
        <v>65</v>
      </c>
      <c r="R60" s="59" t="s">
        <v>65</v>
      </c>
      <c r="S60" s="59" t="s">
        <v>65</v>
      </c>
      <c r="T60" s="59" t="s">
        <v>65</v>
      </c>
      <c r="U60" s="59" t="s">
        <v>65</v>
      </c>
      <c r="V60" s="59" t="s">
        <v>65</v>
      </c>
      <c r="W60" s="59" t="s">
        <v>65</v>
      </c>
      <c r="X60" s="59" t="s">
        <v>65</v>
      </c>
      <c r="Y60" s="59" t="s">
        <v>65</v>
      </c>
      <c r="Z60" s="59" t="s">
        <v>65</v>
      </c>
      <c r="AA60" s="59" t="s">
        <v>65</v>
      </c>
      <c r="AB60" s="59" t="s">
        <v>65</v>
      </c>
      <c r="AC60" s="59" t="s">
        <v>65</v>
      </c>
      <c r="AD60" s="128" t="s">
        <v>65</v>
      </c>
      <c r="AE60" s="128" t="s">
        <v>65</v>
      </c>
      <c r="AF60" s="128" t="s">
        <v>65</v>
      </c>
      <c r="AG60" s="128" t="s">
        <v>65</v>
      </c>
      <c r="AH60" s="128" t="s">
        <v>65</v>
      </c>
      <c r="AI60" s="128" t="s">
        <v>65</v>
      </c>
      <c r="AJ60" s="26"/>
      <c r="AL60" t="str">
        <f t="shared" ca="1" si="0"/>
        <v xml:space="preserve">    (U1)ALERT_REQ_C_BRK_0_</v>
      </c>
      <c r="AR60" s="61" t="str">
        <f t="shared" si="6"/>
        <v/>
      </c>
      <c r="AS60" s="61" t="str">
        <f t="shared" si="5"/>
        <v/>
      </c>
      <c r="AT60" s="61" t="str">
        <f t="shared" si="7"/>
        <v/>
      </c>
    </row>
    <row r="61" spans="2:46">
      <c r="B61" s="132"/>
      <c r="C61" s="45">
        <f t="shared" si="4"/>
        <v>55</v>
      </c>
      <c r="D61" s="59" t="s">
        <v>65</v>
      </c>
      <c r="E61" s="59" t="s">
        <v>65</v>
      </c>
      <c r="F61" s="59" t="s">
        <v>65</v>
      </c>
      <c r="G61" s="59" t="s">
        <v>65</v>
      </c>
      <c r="H61" s="59" t="s">
        <v>65</v>
      </c>
      <c r="I61" s="59" t="s">
        <v>65</v>
      </c>
      <c r="J61" s="59" t="s">
        <v>65</v>
      </c>
      <c r="K61" s="59" t="s">
        <v>65</v>
      </c>
      <c r="L61" s="59" t="s">
        <v>65</v>
      </c>
      <c r="M61" s="59" t="s">
        <v>65</v>
      </c>
      <c r="N61" s="59" t="s">
        <v>65</v>
      </c>
      <c r="O61" s="59" t="s">
        <v>65</v>
      </c>
      <c r="P61" s="59" t="s">
        <v>65</v>
      </c>
      <c r="Q61" s="59" t="s">
        <v>65</v>
      </c>
      <c r="R61" s="59" t="s">
        <v>65</v>
      </c>
      <c r="S61" s="59" t="s">
        <v>65</v>
      </c>
      <c r="T61" s="59" t="s">
        <v>65</v>
      </c>
      <c r="U61" s="59" t="s">
        <v>65</v>
      </c>
      <c r="V61" s="59" t="s">
        <v>65</v>
      </c>
      <c r="W61" s="59" t="s">
        <v>65</v>
      </c>
      <c r="X61" s="59" t="s">
        <v>65</v>
      </c>
      <c r="Y61" s="59" t="s">
        <v>65</v>
      </c>
      <c r="Z61" s="59" t="s">
        <v>65</v>
      </c>
      <c r="AA61" s="59" t="s">
        <v>65</v>
      </c>
      <c r="AB61" s="59" t="s">
        <v>65</v>
      </c>
      <c r="AC61" s="59" t="s">
        <v>65</v>
      </c>
      <c r="AD61" s="128" t="s">
        <v>65</v>
      </c>
      <c r="AE61" s="128" t="s">
        <v>65</v>
      </c>
      <c r="AF61" s="128" t="s">
        <v>65</v>
      </c>
      <c r="AG61" s="128" t="s">
        <v>65</v>
      </c>
      <c r="AH61" s="128" t="s">
        <v>65</v>
      </c>
      <c r="AI61" s="128" t="s">
        <v>65</v>
      </c>
      <c r="AJ61" s="26"/>
      <c r="AL61" t="str">
        <f t="shared" ca="1" si="0"/>
        <v xml:space="preserve">    (U1)ALERT_REQ_C_BRK_0_</v>
      </c>
      <c r="AR61" s="61" t="str">
        <f t="shared" si="6"/>
        <v/>
      </c>
      <c r="AS61" s="61" t="str">
        <f t="shared" si="5"/>
        <v/>
      </c>
      <c r="AT61" s="61" t="str">
        <f t="shared" si="7"/>
        <v/>
      </c>
    </row>
    <row r="62" spans="2:46">
      <c r="B62" s="132"/>
      <c r="C62" s="45">
        <f t="shared" si="4"/>
        <v>56</v>
      </c>
      <c r="D62" s="59" t="s">
        <v>65</v>
      </c>
      <c r="E62" s="59" t="s">
        <v>65</v>
      </c>
      <c r="F62" s="59" t="s">
        <v>65</v>
      </c>
      <c r="G62" s="59" t="s">
        <v>65</v>
      </c>
      <c r="H62" s="59" t="s">
        <v>65</v>
      </c>
      <c r="I62" s="59" t="s">
        <v>65</v>
      </c>
      <c r="J62" s="59" t="s">
        <v>65</v>
      </c>
      <c r="K62" s="59" t="s">
        <v>65</v>
      </c>
      <c r="L62" s="59" t="s">
        <v>65</v>
      </c>
      <c r="M62" s="59" t="s">
        <v>65</v>
      </c>
      <c r="N62" s="59" t="s">
        <v>65</v>
      </c>
      <c r="O62" s="59" t="s">
        <v>65</v>
      </c>
      <c r="P62" s="59" t="s">
        <v>65</v>
      </c>
      <c r="Q62" s="59" t="s">
        <v>65</v>
      </c>
      <c r="R62" s="59" t="s">
        <v>65</v>
      </c>
      <c r="S62" s="59" t="s">
        <v>65</v>
      </c>
      <c r="T62" s="59" t="s">
        <v>65</v>
      </c>
      <c r="U62" s="59" t="s">
        <v>65</v>
      </c>
      <c r="V62" s="59" t="s">
        <v>65</v>
      </c>
      <c r="W62" s="59" t="s">
        <v>65</v>
      </c>
      <c r="X62" s="59" t="s">
        <v>65</v>
      </c>
      <c r="Y62" s="59" t="s">
        <v>65</v>
      </c>
      <c r="Z62" s="59" t="s">
        <v>65</v>
      </c>
      <c r="AA62" s="59" t="s">
        <v>65</v>
      </c>
      <c r="AB62" s="59" t="s">
        <v>65</v>
      </c>
      <c r="AC62" s="59" t="s">
        <v>65</v>
      </c>
      <c r="AD62" s="128" t="s">
        <v>65</v>
      </c>
      <c r="AE62" s="128" t="s">
        <v>65</v>
      </c>
      <c r="AF62" s="128" t="s">
        <v>65</v>
      </c>
      <c r="AG62" s="128" t="s">
        <v>65</v>
      </c>
      <c r="AH62" s="128" t="s">
        <v>65</v>
      </c>
      <c r="AI62" s="128" t="s">
        <v>65</v>
      </c>
      <c r="AJ62" s="26"/>
      <c r="AL62" t="str">
        <f t="shared" ca="1" si="0"/>
        <v xml:space="preserve">    (U1)ALERT_REQ_C_BRK_0_</v>
      </c>
      <c r="AR62" s="61" t="str">
        <f t="shared" si="6"/>
        <v/>
      </c>
      <c r="AS62" s="61" t="str">
        <f t="shared" si="5"/>
        <v/>
      </c>
      <c r="AT62" s="61" t="str">
        <f t="shared" si="7"/>
        <v/>
      </c>
    </row>
    <row r="63" spans="2:46">
      <c r="B63" s="132"/>
      <c r="C63" s="45">
        <f t="shared" si="4"/>
        <v>57</v>
      </c>
      <c r="D63" s="59" t="s">
        <v>65</v>
      </c>
      <c r="E63" s="59" t="s">
        <v>65</v>
      </c>
      <c r="F63" s="59" t="s">
        <v>65</v>
      </c>
      <c r="G63" s="59" t="s">
        <v>65</v>
      </c>
      <c r="H63" s="59" t="s">
        <v>65</v>
      </c>
      <c r="I63" s="59" t="s">
        <v>65</v>
      </c>
      <c r="J63" s="59" t="s">
        <v>65</v>
      </c>
      <c r="K63" s="59" t="s">
        <v>65</v>
      </c>
      <c r="L63" s="59" t="s">
        <v>65</v>
      </c>
      <c r="M63" s="59" t="s">
        <v>65</v>
      </c>
      <c r="N63" s="59" t="s">
        <v>65</v>
      </c>
      <c r="O63" s="59" t="s">
        <v>65</v>
      </c>
      <c r="P63" s="59" t="s">
        <v>65</v>
      </c>
      <c r="Q63" s="59" t="s">
        <v>65</v>
      </c>
      <c r="R63" s="59" t="s">
        <v>65</v>
      </c>
      <c r="S63" s="59" t="s">
        <v>65</v>
      </c>
      <c r="T63" s="59" t="s">
        <v>65</v>
      </c>
      <c r="U63" s="59" t="s">
        <v>65</v>
      </c>
      <c r="V63" s="59" t="s">
        <v>65</v>
      </c>
      <c r="W63" s="59" t="s">
        <v>65</v>
      </c>
      <c r="X63" s="59" t="s">
        <v>65</v>
      </c>
      <c r="Y63" s="59" t="s">
        <v>65</v>
      </c>
      <c r="Z63" s="59" t="s">
        <v>65</v>
      </c>
      <c r="AA63" s="59" t="s">
        <v>65</v>
      </c>
      <c r="AB63" s="59" t="s">
        <v>65</v>
      </c>
      <c r="AC63" s="59" t="s">
        <v>65</v>
      </c>
      <c r="AD63" s="128" t="s">
        <v>65</v>
      </c>
      <c r="AE63" s="128" t="s">
        <v>65</v>
      </c>
      <c r="AF63" s="128" t="s">
        <v>65</v>
      </c>
      <c r="AG63" s="128" t="s">
        <v>65</v>
      </c>
      <c r="AH63" s="128" t="s">
        <v>65</v>
      </c>
      <c r="AI63" s="128" t="s">
        <v>65</v>
      </c>
      <c r="AJ63" s="26"/>
      <c r="AL63" t="str">
        <f t="shared" ca="1" si="0"/>
        <v xml:space="preserve">    (U1)ALERT_REQ_C_BRK_0_</v>
      </c>
      <c r="AR63" s="61" t="str">
        <f t="shared" si="6"/>
        <v/>
      </c>
      <c r="AS63" s="61" t="str">
        <f t="shared" si="5"/>
        <v/>
      </c>
      <c r="AT63" s="61" t="str">
        <f t="shared" si="7"/>
        <v/>
      </c>
    </row>
    <row r="64" spans="2:46">
      <c r="B64" s="132"/>
      <c r="C64" s="45">
        <f t="shared" si="4"/>
        <v>58</v>
      </c>
      <c r="D64" s="59" t="s">
        <v>65</v>
      </c>
      <c r="E64" s="59" t="s">
        <v>65</v>
      </c>
      <c r="F64" s="59" t="s">
        <v>65</v>
      </c>
      <c r="G64" s="59" t="s">
        <v>65</v>
      </c>
      <c r="H64" s="59" t="s">
        <v>65</v>
      </c>
      <c r="I64" s="59" t="s">
        <v>65</v>
      </c>
      <c r="J64" s="59" t="s">
        <v>65</v>
      </c>
      <c r="K64" s="59" t="s">
        <v>65</v>
      </c>
      <c r="L64" s="59" t="s">
        <v>65</v>
      </c>
      <c r="M64" s="59" t="s">
        <v>65</v>
      </c>
      <c r="N64" s="59" t="s">
        <v>65</v>
      </c>
      <c r="O64" s="59" t="s">
        <v>65</v>
      </c>
      <c r="P64" s="59" t="s">
        <v>65</v>
      </c>
      <c r="Q64" s="59" t="s">
        <v>65</v>
      </c>
      <c r="R64" s="59" t="s">
        <v>65</v>
      </c>
      <c r="S64" s="59" t="s">
        <v>65</v>
      </c>
      <c r="T64" s="59" t="s">
        <v>65</v>
      </c>
      <c r="U64" s="59" t="s">
        <v>65</v>
      </c>
      <c r="V64" s="59" t="s">
        <v>65</v>
      </c>
      <c r="W64" s="59" t="s">
        <v>65</v>
      </c>
      <c r="X64" s="59" t="s">
        <v>65</v>
      </c>
      <c r="Y64" s="59" t="s">
        <v>65</v>
      </c>
      <c r="Z64" s="59" t="s">
        <v>65</v>
      </c>
      <c r="AA64" s="59" t="s">
        <v>65</v>
      </c>
      <c r="AB64" s="59" t="s">
        <v>65</v>
      </c>
      <c r="AC64" s="59" t="s">
        <v>65</v>
      </c>
      <c r="AD64" s="128" t="s">
        <v>65</v>
      </c>
      <c r="AE64" s="128" t="s">
        <v>65</v>
      </c>
      <c r="AF64" s="128" t="s">
        <v>65</v>
      </c>
      <c r="AG64" s="128" t="s">
        <v>65</v>
      </c>
      <c r="AH64" s="128" t="s">
        <v>65</v>
      </c>
      <c r="AI64" s="128" t="s">
        <v>65</v>
      </c>
      <c r="AJ64" s="26"/>
      <c r="AL64" t="str">
        <f t="shared" ca="1" si="0"/>
        <v xml:space="preserve">    (U1)ALERT_REQ_C_BRK_0_</v>
      </c>
      <c r="AR64" s="61" t="str">
        <f t="shared" si="6"/>
        <v/>
      </c>
      <c r="AS64" s="61" t="str">
        <f t="shared" si="5"/>
        <v/>
      </c>
      <c r="AT64" s="61" t="str">
        <f t="shared" si="7"/>
        <v/>
      </c>
    </row>
    <row r="65" spans="1:46">
      <c r="B65" s="132"/>
      <c r="C65" s="45">
        <f t="shared" si="4"/>
        <v>59</v>
      </c>
      <c r="D65" s="59" t="s">
        <v>65</v>
      </c>
      <c r="E65" s="59" t="s">
        <v>65</v>
      </c>
      <c r="F65" s="59" t="s">
        <v>65</v>
      </c>
      <c r="G65" s="59" t="s">
        <v>65</v>
      </c>
      <c r="H65" s="59" t="s">
        <v>65</v>
      </c>
      <c r="I65" s="59" t="s">
        <v>65</v>
      </c>
      <c r="J65" s="59" t="s">
        <v>65</v>
      </c>
      <c r="K65" s="59" t="s">
        <v>65</v>
      </c>
      <c r="L65" s="59" t="s">
        <v>65</v>
      </c>
      <c r="M65" s="59" t="s">
        <v>65</v>
      </c>
      <c r="N65" s="59" t="s">
        <v>65</v>
      </c>
      <c r="O65" s="59" t="s">
        <v>65</v>
      </c>
      <c r="P65" s="59" t="s">
        <v>65</v>
      </c>
      <c r="Q65" s="59" t="s">
        <v>65</v>
      </c>
      <c r="R65" s="59" t="s">
        <v>65</v>
      </c>
      <c r="S65" s="59" t="s">
        <v>65</v>
      </c>
      <c r="T65" s="59" t="s">
        <v>65</v>
      </c>
      <c r="U65" s="59" t="s">
        <v>65</v>
      </c>
      <c r="V65" s="59" t="s">
        <v>65</v>
      </c>
      <c r="W65" s="59" t="s">
        <v>65</v>
      </c>
      <c r="X65" s="59" t="s">
        <v>65</v>
      </c>
      <c r="Y65" s="59" t="s">
        <v>65</v>
      </c>
      <c r="Z65" s="59" t="s">
        <v>65</v>
      </c>
      <c r="AA65" s="59" t="s">
        <v>65</v>
      </c>
      <c r="AB65" s="59" t="s">
        <v>65</v>
      </c>
      <c r="AC65" s="59" t="s">
        <v>65</v>
      </c>
      <c r="AD65" s="128" t="s">
        <v>65</v>
      </c>
      <c r="AE65" s="128" t="s">
        <v>65</v>
      </c>
      <c r="AF65" s="128" t="s">
        <v>65</v>
      </c>
      <c r="AG65" s="128" t="s">
        <v>65</v>
      </c>
      <c r="AH65" s="128" t="s">
        <v>65</v>
      </c>
      <c r="AI65" s="128" t="s">
        <v>65</v>
      </c>
      <c r="AJ65" s="26"/>
      <c r="AL65" t="str">
        <f t="shared" ca="1" si="0"/>
        <v xml:space="preserve">    (U1)ALERT_REQ_C_BRK_0_</v>
      </c>
      <c r="AR65" s="61" t="str">
        <f t="shared" si="6"/>
        <v/>
      </c>
      <c r="AS65" s="61" t="str">
        <f t="shared" si="5"/>
        <v/>
      </c>
      <c r="AT65" s="61" t="str">
        <f t="shared" si="7"/>
        <v/>
      </c>
    </row>
    <row r="66" spans="1:46">
      <c r="B66" s="132"/>
      <c r="C66" s="45">
        <f t="shared" si="4"/>
        <v>60</v>
      </c>
      <c r="D66" s="59" t="s">
        <v>65</v>
      </c>
      <c r="E66" s="59" t="s">
        <v>65</v>
      </c>
      <c r="F66" s="59" t="s">
        <v>65</v>
      </c>
      <c r="G66" s="59" t="s">
        <v>65</v>
      </c>
      <c r="H66" s="59" t="s">
        <v>65</v>
      </c>
      <c r="I66" s="59" t="s">
        <v>65</v>
      </c>
      <c r="J66" s="59" t="s">
        <v>65</v>
      </c>
      <c r="K66" s="59" t="s">
        <v>65</v>
      </c>
      <c r="L66" s="59" t="s">
        <v>65</v>
      </c>
      <c r="M66" s="59" t="s">
        <v>65</v>
      </c>
      <c r="N66" s="59" t="s">
        <v>65</v>
      </c>
      <c r="O66" s="59" t="s">
        <v>65</v>
      </c>
      <c r="P66" s="59" t="s">
        <v>65</v>
      </c>
      <c r="Q66" s="59" t="s">
        <v>65</v>
      </c>
      <c r="R66" s="59" t="s">
        <v>65</v>
      </c>
      <c r="S66" s="59" t="s">
        <v>65</v>
      </c>
      <c r="T66" s="59" t="s">
        <v>65</v>
      </c>
      <c r="U66" s="59" t="s">
        <v>65</v>
      </c>
      <c r="V66" s="59" t="s">
        <v>65</v>
      </c>
      <c r="W66" s="59" t="s">
        <v>65</v>
      </c>
      <c r="X66" s="59" t="s">
        <v>65</v>
      </c>
      <c r="Y66" s="59" t="s">
        <v>65</v>
      </c>
      <c r="Z66" s="59" t="s">
        <v>65</v>
      </c>
      <c r="AA66" s="59" t="s">
        <v>65</v>
      </c>
      <c r="AB66" s="59" t="s">
        <v>65</v>
      </c>
      <c r="AC66" s="59" t="s">
        <v>65</v>
      </c>
      <c r="AD66" s="128" t="s">
        <v>65</v>
      </c>
      <c r="AE66" s="128" t="s">
        <v>65</v>
      </c>
      <c r="AF66" s="128" t="s">
        <v>65</v>
      </c>
      <c r="AG66" s="128" t="s">
        <v>65</v>
      </c>
      <c r="AH66" s="128" t="s">
        <v>65</v>
      </c>
      <c r="AI66" s="128" t="s">
        <v>65</v>
      </c>
      <c r="AJ66" s="26"/>
      <c r="AL66" t="str">
        <f t="shared" ca="1" si="0"/>
        <v xml:space="preserve">    (U1)ALERT_REQ_C_BRK_0_</v>
      </c>
      <c r="AR66" s="61" t="str">
        <f t="shared" si="6"/>
        <v/>
      </c>
      <c r="AS66" s="61" t="str">
        <f t="shared" si="5"/>
        <v/>
      </c>
      <c r="AT66" s="61" t="str">
        <f t="shared" si="7"/>
        <v/>
      </c>
    </row>
    <row r="67" spans="1:46">
      <c r="B67" s="132"/>
      <c r="C67" s="45">
        <f t="shared" si="4"/>
        <v>61</v>
      </c>
      <c r="D67" s="59" t="s">
        <v>65</v>
      </c>
      <c r="E67" s="59" t="s">
        <v>65</v>
      </c>
      <c r="F67" s="59" t="s">
        <v>65</v>
      </c>
      <c r="G67" s="59" t="s">
        <v>65</v>
      </c>
      <c r="H67" s="59" t="s">
        <v>65</v>
      </c>
      <c r="I67" s="59" t="s">
        <v>65</v>
      </c>
      <c r="J67" s="59" t="s">
        <v>65</v>
      </c>
      <c r="K67" s="59" t="s">
        <v>65</v>
      </c>
      <c r="L67" s="59" t="s">
        <v>65</v>
      </c>
      <c r="M67" s="59" t="s">
        <v>65</v>
      </c>
      <c r="N67" s="59" t="s">
        <v>65</v>
      </c>
      <c r="O67" s="59" t="s">
        <v>65</v>
      </c>
      <c r="P67" s="59" t="s">
        <v>65</v>
      </c>
      <c r="Q67" s="59" t="s">
        <v>65</v>
      </c>
      <c r="R67" s="59" t="s">
        <v>65</v>
      </c>
      <c r="S67" s="59" t="s">
        <v>65</v>
      </c>
      <c r="T67" s="59" t="s">
        <v>65</v>
      </c>
      <c r="U67" s="59" t="s">
        <v>65</v>
      </c>
      <c r="V67" s="59" t="s">
        <v>65</v>
      </c>
      <c r="W67" s="59" t="s">
        <v>65</v>
      </c>
      <c r="X67" s="59" t="s">
        <v>65</v>
      </c>
      <c r="Y67" s="59" t="s">
        <v>65</v>
      </c>
      <c r="Z67" s="59" t="s">
        <v>65</v>
      </c>
      <c r="AA67" s="59" t="s">
        <v>65</v>
      </c>
      <c r="AB67" s="59" t="s">
        <v>65</v>
      </c>
      <c r="AC67" s="59" t="s">
        <v>65</v>
      </c>
      <c r="AD67" s="128" t="s">
        <v>65</v>
      </c>
      <c r="AE67" s="128" t="s">
        <v>65</v>
      </c>
      <c r="AF67" s="128" t="s">
        <v>65</v>
      </c>
      <c r="AG67" s="128" t="s">
        <v>65</v>
      </c>
      <c r="AH67" s="128" t="s">
        <v>65</v>
      </c>
      <c r="AI67" s="128" t="s">
        <v>65</v>
      </c>
      <c r="AJ67" s="26"/>
      <c r="AL67" t="str">
        <f t="shared" ca="1" si="0"/>
        <v xml:space="preserve">    (U1)ALERT_REQ_C_BRK_0_</v>
      </c>
      <c r="AR67" s="61" t="str">
        <f t="shared" si="6"/>
        <v/>
      </c>
      <c r="AS67" s="61" t="str">
        <f t="shared" si="5"/>
        <v/>
      </c>
      <c r="AT67" s="61" t="str">
        <f t="shared" si="7"/>
        <v/>
      </c>
    </row>
    <row r="68" spans="1:46">
      <c r="B68" s="132"/>
      <c r="C68" s="45">
        <f t="shared" si="4"/>
        <v>62</v>
      </c>
      <c r="D68" s="59" t="s">
        <v>65</v>
      </c>
      <c r="E68" s="59" t="s">
        <v>65</v>
      </c>
      <c r="F68" s="59" t="s">
        <v>65</v>
      </c>
      <c r="G68" s="59" t="s">
        <v>65</v>
      </c>
      <c r="H68" s="59" t="s">
        <v>65</v>
      </c>
      <c r="I68" s="59" t="s">
        <v>65</v>
      </c>
      <c r="J68" s="59" t="s">
        <v>65</v>
      </c>
      <c r="K68" s="59" t="s">
        <v>65</v>
      </c>
      <c r="L68" s="59" t="s">
        <v>65</v>
      </c>
      <c r="M68" s="59" t="s">
        <v>65</v>
      </c>
      <c r="N68" s="59" t="s">
        <v>65</v>
      </c>
      <c r="O68" s="59" t="s">
        <v>65</v>
      </c>
      <c r="P68" s="59" t="s">
        <v>65</v>
      </c>
      <c r="Q68" s="59" t="s">
        <v>65</v>
      </c>
      <c r="R68" s="59" t="s">
        <v>65</v>
      </c>
      <c r="S68" s="59" t="s">
        <v>65</v>
      </c>
      <c r="T68" s="59" t="s">
        <v>65</v>
      </c>
      <c r="U68" s="59" t="s">
        <v>65</v>
      </c>
      <c r="V68" s="59" t="s">
        <v>65</v>
      </c>
      <c r="W68" s="59" t="s">
        <v>65</v>
      </c>
      <c r="X68" s="59" t="s">
        <v>65</v>
      </c>
      <c r="Y68" s="59" t="s">
        <v>65</v>
      </c>
      <c r="Z68" s="59" t="s">
        <v>65</v>
      </c>
      <c r="AA68" s="59" t="s">
        <v>65</v>
      </c>
      <c r="AB68" s="59" t="s">
        <v>65</v>
      </c>
      <c r="AC68" s="59" t="s">
        <v>65</v>
      </c>
      <c r="AD68" s="128" t="s">
        <v>65</v>
      </c>
      <c r="AE68" s="128" t="s">
        <v>65</v>
      </c>
      <c r="AF68" s="128" t="s">
        <v>65</v>
      </c>
      <c r="AG68" s="128" t="s">
        <v>65</v>
      </c>
      <c r="AH68" s="128" t="s">
        <v>65</v>
      </c>
      <c r="AI68" s="128" t="s">
        <v>65</v>
      </c>
      <c r="AJ68" s="26"/>
      <c r="AL68" t="str">
        <f t="shared" ca="1" si="0"/>
        <v xml:space="preserve">    (U1)ALERT_REQ_C_BRK_0_</v>
      </c>
      <c r="AR68" s="61" t="str">
        <f t="shared" si="6"/>
        <v/>
      </c>
      <c r="AS68" s="61" t="str">
        <f t="shared" si="5"/>
        <v/>
      </c>
      <c r="AT68" s="61" t="str">
        <f t="shared" si="7"/>
        <v/>
      </c>
    </row>
    <row r="69" spans="1:46">
      <c r="B69" s="133"/>
      <c r="C69" s="45">
        <f t="shared" si="4"/>
        <v>63</v>
      </c>
      <c r="D69" s="59" t="s">
        <v>65</v>
      </c>
      <c r="E69" s="59" t="s">
        <v>65</v>
      </c>
      <c r="F69" s="59" t="s">
        <v>65</v>
      </c>
      <c r="G69" s="59" t="s">
        <v>65</v>
      </c>
      <c r="H69" s="59" t="s">
        <v>65</v>
      </c>
      <c r="I69" s="59" t="s">
        <v>65</v>
      </c>
      <c r="J69" s="59" t="s">
        <v>65</v>
      </c>
      <c r="K69" s="59" t="s">
        <v>65</v>
      </c>
      <c r="L69" s="59" t="s">
        <v>65</v>
      </c>
      <c r="M69" s="59" t="s">
        <v>65</v>
      </c>
      <c r="N69" s="59" t="s">
        <v>65</v>
      </c>
      <c r="O69" s="59" t="s">
        <v>65</v>
      </c>
      <c r="P69" s="59" t="s">
        <v>65</v>
      </c>
      <c r="Q69" s="59" t="s">
        <v>65</v>
      </c>
      <c r="R69" s="59" t="s">
        <v>65</v>
      </c>
      <c r="S69" s="59" t="s">
        <v>65</v>
      </c>
      <c r="T69" s="59" t="s">
        <v>65</v>
      </c>
      <c r="U69" s="59" t="s">
        <v>65</v>
      </c>
      <c r="V69" s="59" t="s">
        <v>65</v>
      </c>
      <c r="W69" s="59" t="s">
        <v>65</v>
      </c>
      <c r="X69" s="59" t="s">
        <v>65</v>
      </c>
      <c r="Y69" s="59" t="s">
        <v>65</v>
      </c>
      <c r="Z69" s="59" t="s">
        <v>65</v>
      </c>
      <c r="AA69" s="59" t="s">
        <v>65</v>
      </c>
      <c r="AB69" s="59" t="s">
        <v>65</v>
      </c>
      <c r="AC69" s="59" t="s">
        <v>65</v>
      </c>
      <c r="AD69" s="128" t="s">
        <v>65</v>
      </c>
      <c r="AE69" s="128" t="s">
        <v>65</v>
      </c>
      <c r="AF69" s="128" t="s">
        <v>65</v>
      </c>
      <c r="AG69" s="128" t="s">
        <v>65</v>
      </c>
      <c r="AH69" s="128" t="s">
        <v>65</v>
      </c>
      <c r="AI69" s="128" t="s">
        <v>65</v>
      </c>
      <c r="AJ69" s="26"/>
      <c r="AL69" t="str">
        <f t="shared" ca="1" si="0"/>
        <v xml:space="preserve">    (U1)ALERT_REQ_C_BRK_0_</v>
      </c>
      <c r="AR69" s="61" t="str">
        <f t="shared" si="6"/>
        <v/>
      </c>
      <c r="AS69" s="61" t="str">
        <f t="shared" si="5"/>
        <v/>
      </c>
      <c r="AT69" s="61" t="str">
        <f t="shared" si="7"/>
        <v/>
      </c>
    </row>
    <row r="70" spans="1:46" ht="14.25" thickBot="1">
      <c r="A70" s="54" t="s">
        <v>62</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6"/>
        <v/>
      </c>
      <c r="AS70" s="62" t="str">
        <f t="shared" si="5"/>
        <v/>
      </c>
      <c r="AT70" s="62" t="str">
        <f t="shared" ref="AT70" si="8">IF(AJ70&lt;&gt;"",AL70&amp;IF(AJ71&lt;&gt;"",","," ")&amp;REPT(" ",78-LEN(AL70))&amp;"/* "&amp;IF(C70&lt;10,"0"&amp;C70,C70)&amp;" "&amp;AJ70&amp;REPT(" ",48-LEN(AJ70))&amp;"*/",IF(AJ69&lt;&gt;"","};",""))</f>
        <v/>
      </c>
    </row>
    <row r="71" spans="1:46">
      <c r="B71" s="134" t="str">
        <f ca="1">IF(B6&lt;&gt;"",B6,"")</f>
        <v>Table C_BRK_0</v>
      </c>
      <c r="C71" s="45">
        <f>IF(C6&lt;&gt;"",C6,"")</f>
        <v>0</v>
      </c>
      <c r="D71" s="125">
        <f t="shared" ref="D71:AI78" si="9">IF(D6=1,1,0)</f>
        <v>0</v>
      </c>
      <c r="E71" s="125">
        <f t="shared" si="9"/>
        <v>0</v>
      </c>
      <c r="F71" s="125">
        <f t="shared" si="9"/>
        <v>0</v>
      </c>
      <c r="G71" s="125">
        <f t="shared" si="9"/>
        <v>0</v>
      </c>
      <c r="H71" s="125">
        <f t="shared" si="9"/>
        <v>0</v>
      </c>
      <c r="I71" s="125">
        <f t="shared" si="9"/>
        <v>0</v>
      </c>
      <c r="J71" s="125">
        <f>IF(J6=1,1,0)</f>
        <v>0</v>
      </c>
      <c r="K71" s="125">
        <f>IF(K6=1,1,0)</f>
        <v>0</v>
      </c>
      <c r="L71" s="125">
        <f t="shared" si="9"/>
        <v>0</v>
      </c>
      <c r="M71" s="125">
        <f t="shared" si="9"/>
        <v>0</v>
      </c>
      <c r="N71" s="125">
        <f t="shared" si="9"/>
        <v>0</v>
      </c>
      <c r="O71" s="125">
        <f t="shared" si="9"/>
        <v>0</v>
      </c>
      <c r="P71" s="125">
        <f t="shared" si="9"/>
        <v>0</v>
      </c>
      <c r="Q71" s="125">
        <f t="shared" si="9"/>
        <v>0</v>
      </c>
      <c r="R71" s="125">
        <f t="shared" si="9"/>
        <v>0</v>
      </c>
      <c r="S71" s="125">
        <f t="shared" si="9"/>
        <v>0</v>
      </c>
      <c r="T71" s="125">
        <f t="shared" si="9"/>
        <v>0</v>
      </c>
      <c r="U71" s="125">
        <f t="shared" si="9"/>
        <v>0</v>
      </c>
      <c r="V71" s="125">
        <f t="shared" si="9"/>
        <v>0</v>
      </c>
      <c r="W71" s="125">
        <f t="shared" si="9"/>
        <v>0</v>
      </c>
      <c r="X71" s="125">
        <f t="shared" si="9"/>
        <v>0</v>
      </c>
      <c r="Y71" s="125">
        <f t="shared" si="9"/>
        <v>0</v>
      </c>
      <c r="Z71" s="125">
        <f t="shared" si="9"/>
        <v>0</v>
      </c>
      <c r="AA71" s="125">
        <f>IF(AA6=1,1,0)</f>
        <v>0</v>
      </c>
      <c r="AB71" s="125">
        <f>IF(AB6=1,1,0)</f>
        <v>0</v>
      </c>
      <c r="AC71" s="125">
        <f t="shared" si="9"/>
        <v>0</v>
      </c>
      <c r="AD71" s="125">
        <f t="shared" si="9"/>
        <v>0</v>
      </c>
      <c r="AE71" s="125">
        <f t="shared" si="9"/>
        <v>0</v>
      </c>
      <c r="AF71" s="125">
        <f t="shared" si="9"/>
        <v>0</v>
      </c>
      <c r="AG71" s="125">
        <f t="shared" si="9"/>
        <v>0</v>
      </c>
      <c r="AH71" s="125">
        <f t="shared" si="9"/>
        <v>0</v>
      </c>
      <c r="AI71" s="125">
        <f t="shared" si="9"/>
        <v>0</v>
      </c>
      <c r="AJ71" s="45" t="str">
        <f t="shared" ref="AJ71:AJ134" si="10">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32"/>
      <c r="C72" s="45">
        <f t="shared" ref="C72:C134" si="12">IF(C7&lt;&gt;"",C7,"")</f>
        <v>1</v>
      </c>
      <c r="D72" s="125">
        <f t="shared" si="9"/>
        <v>0</v>
      </c>
      <c r="E72" s="125">
        <f t="shared" si="9"/>
        <v>0</v>
      </c>
      <c r="F72" s="125">
        <f t="shared" si="9"/>
        <v>0</v>
      </c>
      <c r="G72" s="125">
        <f t="shared" si="9"/>
        <v>0</v>
      </c>
      <c r="H72" s="125">
        <f t="shared" si="9"/>
        <v>0</v>
      </c>
      <c r="I72" s="125">
        <f t="shared" si="9"/>
        <v>0</v>
      </c>
      <c r="J72" s="125">
        <f>IF(J7=1,1,0)</f>
        <v>0</v>
      </c>
      <c r="K72" s="125">
        <f>IF(K7=1,1,0)</f>
        <v>0</v>
      </c>
      <c r="L72" s="125">
        <f t="shared" si="9"/>
        <v>0</v>
      </c>
      <c r="M72" s="125">
        <f t="shared" si="9"/>
        <v>0</v>
      </c>
      <c r="N72" s="125">
        <f t="shared" si="9"/>
        <v>0</v>
      </c>
      <c r="O72" s="125">
        <f t="shared" si="9"/>
        <v>0</v>
      </c>
      <c r="P72" s="125">
        <f t="shared" si="9"/>
        <v>0</v>
      </c>
      <c r="Q72" s="125">
        <f t="shared" si="9"/>
        <v>0</v>
      </c>
      <c r="R72" s="125">
        <f t="shared" si="9"/>
        <v>0</v>
      </c>
      <c r="S72" s="125">
        <f t="shared" si="9"/>
        <v>0</v>
      </c>
      <c r="T72" s="125">
        <f t="shared" si="9"/>
        <v>0</v>
      </c>
      <c r="U72" s="125">
        <f t="shared" si="9"/>
        <v>0</v>
      </c>
      <c r="V72" s="125">
        <f t="shared" si="9"/>
        <v>0</v>
      </c>
      <c r="W72" s="125">
        <f t="shared" si="9"/>
        <v>0</v>
      </c>
      <c r="X72" s="125">
        <f t="shared" si="9"/>
        <v>0</v>
      </c>
      <c r="Y72" s="125">
        <f t="shared" si="9"/>
        <v>0</v>
      </c>
      <c r="Z72" s="125">
        <f t="shared" si="9"/>
        <v>0</v>
      </c>
      <c r="AA72" s="125">
        <f>IF(AA7=1,1,0)</f>
        <v>0</v>
      </c>
      <c r="AB72" s="125">
        <f>IF(AB7=1,1,0)</f>
        <v>1</v>
      </c>
      <c r="AC72" s="125">
        <f t="shared" si="9"/>
        <v>0</v>
      </c>
      <c r="AD72" s="125">
        <f t="shared" si="9"/>
        <v>0</v>
      </c>
      <c r="AE72" s="125">
        <f t="shared" si="9"/>
        <v>0</v>
      </c>
      <c r="AF72" s="125">
        <f t="shared" si="9"/>
        <v>0</v>
      </c>
      <c r="AG72" s="125">
        <f t="shared" si="9"/>
        <v>0</v>
      </c>
      <c r="AH72" s="125">
        <f>IF(AH7=1,1,0)</f>
        <v>0</v>
      </c>
      <c r="AI72" s="125">
        <f t="shared" si="9"/>
        <v>0</v>
      </c>
      <c r="AJ72" s="45" t="str">
        <f t="shared" si="10"/>
        <v>UNKNOWN</v>
      </c>
      <c r="AK72" s="58"/>
      <c r="AL72" s="58" t="str">
        <f t="shared" ref="AL72:AL134" si="13">BIN2HEX(AB72&amp;AC72&amp;AD72&amp;AE72&amp;AF72&amp;AG72&amp;AH72&amp;AI72,2)</f>
        <v>80</v>
      </c>
      <c r="AM72" s="60" t="str">
        <f t="shared" ref="AM72:AM134" si="14">BIN2HEX(T72&amp;U72&amp;V72&amp;W72&amp;X72&amp;Y72&amp;Z72&amp;AA72,2)</f>
        <v>00</v>
      </c>
      <c r="AN72" s="60" t="str">
        <f t="shared" ref="AN72:AN134" si="15">BIN2HEX(L72&amp;M72&amp;N72&amp;O72&amp;P72&amp;Q72&amp;R72&amp;S72,2)</f>
        <v>00</v>
      </c>
      <c r="AO72" s="60" t="str">
        <f t="shared" ref="AO72:AO134" si="16">BIN2HEX(D72&amp;E72&amp;F72&amp;G72&amp;H72&amp;I72&amp;J72&amp;K72,2)</f>
        <v>00</v>
      </c>
      <c r="AQ72" t="str">
        <f t="shared" si="11"/>
        <v xml:space="preserve">    (U4)0x00000080U,                                                           /* 01 UNKNOWN                                         */</v>
      </c>
    </row>
    <row r="73" spans="1:46">
      <c r="B73" s="132"/>
      <c r="C73" s="45">
        <f t="shared" si="12"/>
        <v>2</v>
      </c>
      <c r="D73" s="125">
        <f t="shared" si="9"/>
        <v>0</v>
      </c>
      <c r="E73" s="125">
        <f t="shared" si="9"/>
        <v>0</v>
      </c>
      <c r="F73" s="125">
        <f t="shared" si="9"/>
        <v>0</v>
      </c>
      <c r="G73" s="125">
        <f t="shared" si="9"/>
        <v>0</v>
      </c>
      <c r="H73" s="125">
        <f t="shared" si="9"/>
        <v>0</v>
      </c>
      <c r="I73" s="125">
        <f t="shared" si="9"/>
        <v>0</v>
      </c>
      <c r="J73" s="125">
        <f t="shared" si="9"/>
        <v>0</v>
      </c>
      <c r="K73" s="125">
        <f t="shared" si="9"/>
        <v>0</v>
      </c>
      <c r="L73" s="125">
        <f t="shared" si="9"/>
        <v>0</v>
      </c>
      <c r="M73" s="125">
        <f t="shared" si="9"/>
        <v>0</v>
      </c>
      <c r="N73" s="125">
        <f t="shared" si="9"/>
        <v>0</v>
      </c>
      <c r="O73" s="125">
        <f t="shared" si="9"/>
        <v>0</v>
      </c>
      <c r="P73" s="125">
        <f t="shared" si="9"/>
        <v>0</v>
      </c>
      <c r="Q73" s="125">
        <f t="shared" si="9"/>
        <v>0</v>
      </c>
      <c r="R73" s="125">
        <f t="shared" si="9"/>
        <v>0</v>
      </c>
      <c r="S73" s="125">
        <f t="shared" si="9"/>
        <v>0</v>
      </c>
      <c r="T73" s="125">
        <f t="shared" si="9"/>
        <v>0</v>
      </c>
      <c r="U73" s="125">
        <f t="shared" si="9"/>
        <v>0</v>
      </c>
      <c r="V73" s="125">
        <f t="shared" si="9"/>
        <v>0</v>
      </c>
      <c r="W73" s="125">
        <f t="shared" si="9"/>
        <v>0</v>
      </c>
      <c r="X73" s="125">
        <f t="shared" si="9"/>
        <v>0</v>
      </c>
      <c r="Y73" s="125">
        <f t="shared" si="9"/>
        <v>0</v>
      </c>
      <c r="Z73" s="125">
        <f t="shared" si="9"/>
        <v>0</v>
      </c>
      <c r="AA73" s="125">
        <f t="shared" si="9"/>
        <v>0</v>
      </c>
      <c r="AB73" s="125">
        <f t="shared" si="9"/>
        <v>1</v>
      </c>
      <c r="AC73" s="125">
        <f t="shared" si="9"/>
        <v>0</v>
      </c>
      <c r="AD73" s="125">
        <f t="shared" si="9"/>
        <v>1</v>
      </c>
      <c r="AE73" s="125">
        <f t="shared" si="9"/>
        <v>0</v>
      </c>
      <c r="AF73" s="125">
        <f t="shared" si="9"/>
        <v>0</v>
      </c>
      <c r="AG73" s="125">
        <f t="shared" si="9"/>
        <v>0</v>
      </c>
      <c r="AH73" s="125">
        <f t="shared" si="9"/>
        <v>0</v>
      </c>
      <c r="AI73" s="125">
        <f>IF(AI8=1,1,0)</f>
        <v>0</v>
      </c>
      <c r="AJ73" s="45" t="str">
        <f t="shared" si="10"/>
        <v>UNKNOWN</v>
      </c>
      <c r="AK73" s="58"/>
      <c r="AL73" s="58" t="str">
        <f t="shared" si="13"/>
        <v>A0</v>
      </c>
      <c r="AM73" s="60" t="str">
        <f t="shared" si="14"/>
        <v>00</v>
      </c>
      <c r="AN73" s="60" t="str">
        <f t="shared" si="15"/>
        <v>00</v>
      </c>
      <c r="AO73" s="60" t="str">
        <f t="shared" si="16"/>
        <v>00</v>
      </c>
      <c r="AQ73" t="str">
        <f t="shared" si="11"/>
        <v xml:space="preserve">    (U4)0x000000A0U,                                                           /* 02 UNKNOWN                                         */</v>
      </c>
    </row>
    <row r="74" spans="1:46">
      <c r="B74" s="132"/>
      <c r="C74" s="45">
        <f t="shared" si="12"/>
        <v>3</v>
      </c>
      <c r="D74" s="125">
        <f t="shared" si="9"/>
        <v>0</v>
      </c>
      <c r="E74" s="125">
        <f t="shared" si="9"/>
        <v>0</v>
      </c>
      <c r="F74" s="125">
        <f t="shared" si="9"/>
        <v>0</v>
      </c>
      <c r="G74" s="125">
        <f t="shared" si="9"/>
        <v>0</v>
      </c>
      <c r="H74" s="125">
        <f t="shared" si="9"/>
        <v>0</v>
      </c>
      <c r="I74" s="125">
        <f t="shared" si="9"/>
        <v>0</v>
      </c>
      <c r="J74" s="125">
        <f t="shared" si="9"/>
        <v>0</v>
      </c>
      <c r="K74" s="125">
        <f t="shared" si="9"/>
        <v>0</v>
      </c>
      <c r="L74" s="125">
        <f t="shared" si="9"/>
        <v>0</v>
      </c>
      <c r="M74" s="125">
        <f t="shared" si="9"/>
        <v>0</v>
      </c>
      <c r="N74" s="125">
        <f t="shared" si="9"/>
        <v>0</v>
      </c>
      <c r="O74" s="125">
        <f t="shared" si="9"/>
        <v>0</v>
      </c>
      <c r="P74" s="125">
        <f t="shared" si="9"/>
        <v>0</v>
      </c>
      <c r="Q74" s="125">
        <f t="shared" si="9"/>
        <v>0</v>
      </c>
      <c r="R74" s="125">
        <f t="shared" si="9"/>
        <v>0</v>
      </c>
      <c r="S74" s="125">
        <f t="shared" si="9"/>
        <v>0</v>
      </c>
      <c r="T74" s="125">
        <f t="shared" si="9"/>
        <v>0</v>
      </c>
      <c r="U74" s="125">
        <f t="shared" si="9"/>
        <v>0</v>
      </c>
      <c r="V74" s="125">
        <f t="shared" si="9"/>
        <v>0</v>
      </c>
      <c r="W74" s="125">
        <f t="shared" si="9"/>
        <v>0</v>
      </c>
      <c r="X74" s="125">
        <f t="shared" si="9"/>
        <v>0</v>
      </c>
      <c r="Y74" s="125">
        <f t="shared" si="9"/>
        <v>0</v>
      </c>
      <c r="Z74" s="125">
        <f t="shared" si="9"/>
        <v>0</v>
      </c>
      <c r="AA74" s="125">
        <f t="shared" si="9"/>
        <v>0</v>
      </c>
      <c r="AB74" s="125">
        <f t="shared" si="9"/>
        <v>1</v>
      </c>
      <c r="AC74" s="125">
        <f t="shared" si="9"/>
        <v>0</v>
      </c>
      <c r="AD74" s="125">
        <f t="shared" si="9"/>
        <v>1</v>
      </c>
      <c r="AE74" s="125">
        <f t="shared" si="9"/>
        <v>0</v>
      </c>
      <c r="AF74" s="125">
        <f t="shared" si="9"/>
        <v>0</v>
      </c>
      <c r="AG74" s="125">
        <f t="shared" si="9"/>
        <v>0</v>
      </c>
      <c r="AH74" s="125">
        <f t="shared" si="9"/>
        <v>0</v>
      </c>
      <c r="AI74" s="125">
        <f t="shared" si="9"/>
        <v>1</v>
      </c>
      <c r="AJ74" s="45" t="str">
        <f t="shared" si="10"/>
        <v>UNKNOWN</v>
      </c>
      <c r="AK74" s="58"/>
      <c r="AL74" s="58" t="str">
        <f t="shared" si="13"/>
        <v>A1</v>
      </c>
      <c r="AM74" s="60" t="str">
        <f t="shared" si="14"/>
        <v>00</v>
      </c>
      <c r="AN74" s="60" t="str">
        <f t="shared" si="15"/>
        <v>00</v>
      </c>
      <c r="AO74" s="60" t="str">
        <f t="shared" si="16"/>
        <v>00</v>
      </c>
      <c r="AQ74" t="str">
        <f t="shared" si="11"/>
        <v xml:space="preserve">    (U4)0x000000A1U,                                                           /* 03 UNKNOWN                                         */</v>
      </c>
    </row>
    <row r="75" spans="1:46">
      <c r="B75" s="132"/>
      <c r="C75" s="45">
        <f t="shared" si="12"/>
        <v>4</v>
      </c>
      <c r="D75" s="125">
        <f t="shared" si="9"/>
        <v>0</v>
      </c>
      <c r="E75" s="125">
        <f t="shared" si="9"/>
        <v>0</v>
      </c>
      <c r="F75" s="125">
        <f t="shared" si="9"/>
        <v>0</v>
      </c>
      <c r="G75" s="125">
        <f t="shared" si="9"/>
        <v>0</v>
      </c>
      <c r="H75" s="125">
        <f t="shared" si="9"/>
        <v>0</v>
      </c>
      <c r="I75" s="125">
        <f t="shared" si="9"/>
        <v>0</v>
      </c>
      <c r="J75" s="125">
        <f t="shared" si="9"/>
        <v>0</v>
      </c>
      <c r="K75" s="125">
        <f t="shared" si="9"/>
        <v>0</v>
      </c>
      <c r="L75" s="125">
        <f t="shared" si="9"/>
        <v>0</v>
      </c>
      <c r="M75" s="125">
        <f t="shared" si="9"/>
        <v>0</v>
      </c>
      <c r="N75" s="125">
        <f t="shared" si="9"/>
        <v>0</v>
      </c>
      <c r="O75" s="125">
        <f t="shared" si="9"/>
        <v>0</v>
      </c>
      <c r="P75" s="125">
        <f t="shared" si="9"/>
        <v>0</v>
      </c>
      <c r="Q75" s="125">
        <f t="shared" si="9"/>
        <v>0</v>
      </c>
      <c r="R75" s="125">
        <f t="shared" si="9"/>
        <v>0</v>
      </c>
      <c r="S75" s="125">
        <f t="shared" si="9"/>
        <v>0</v>
      </c>
      <c r="T75" s="125">
        <f t="shared" si="9"/>
        <v>0</v>
      </c>
      <c r="U75" s="125">
        <f t="shared" si="9"/>
        <v>0</v>
      </c>
      <c r="V75" s="125">
        <f t="shared" si="9"/>
        <v>0</v>
      </c>
      <c r="W75" s="125">
        <f t="shared" si="9"/>
        <v>0</v>
      </c>
      <c r="X75" s="125">
        <f t="shared" si="9"/>
        <v>0</v>
      </c>
      <c r="Y75" s="125">
        <f t="shared" si="9"/>
        <v>0</v>
      </c>
      <c r="Z75" s="125">
        <f t="shared" si="9"/>
        <v>0</v>
      </c>
      <c r="AA75" s="125">
        <f t="shared" si="9"/>
        <v>0</v>
      </c>
      <c r="AB75" s="125">
        <f t="shared" si="9"/>
        <v>1</v>
      </c>
      <c r="AC75" s="125">
        <f t="shared" si="9"/>
        <v>0</v>
      </c>
      <c r="AD75" s="125">
        <f t="shared" si="9"/>
        <v>1</v>
      </c>
      <c r="AE75" s="125">
        <f t="shared" si="9"/>
        <v>0</v>
      </c>
      <c r="AF75" s="125">
        <f t="shared" si="9"/>
        <v>0</v>
      </c>
      <c r="AG75" s="125">
        <f t="shared" si="9"/>
        <v>0</v>
      </c>
      <c r="AH75" s="125">
        <f t="shared" si="9"/>
        <v>1</v>
      </c>
      <c r="AI75" s="125">
        <f t="shared" si="9"/>
        <v>0</v>
      </c>
      <c r="AJ75" s="45" t="str">
        <f t="shared" si="10"/>
        <v>UNKNOWN</v>
      </c>
      <c r="AK75" s="58"/>
      <c r="AL75" s="58" t="str">
        <f t="shared" si="13"/>
        <v>A2</v>
      </c>
      <c r="AM75" s="60" t="str">
        <f t="shared" si="14"/>
        <v>00</v>
      </c>
      <c r="AN75" s="60" t="str">
        <f t="shared" si="15"/>
        <v>00</v>
      </c>
      <c r="AO75" s="60" t="str">
        <f t="shared" si="16"/>
        <v>00</v>
      </c>
      <c r="AQ75" t="str">
        <f t="shared" si="11"/>
        <v xml:space="preserve">    (U4)0x000000A2U,                                                           /* 04 UNKNOWN                                         */</v>
      </c>
    </row>
    <row r="76" spans="1:46">
      <c r="B76" s="132"/>
      <c r="C76" s="45">
        <f t="shared" si="12"/>
        <v>5</v>
      </c>
      <c r="D76" s="125">
        <f t="shared" si="9"/>
        <v>0</v>
      </c>
      <c r="E76" s="125">
        <f t="shared" si="9"/>
        <v>0</v>
      </c>
      <c r="F76" s="125">
        <f t="shared" si="9"/>
        <v>0</v>
      </c>
      <c r="G76" s="125">
        <f t="shared" si="9"/>
        <v>0</v>
      </c>
      <c r="H76" s="125">
        <f t="shared" si="9"/>
        <v>0</v>
      </c>
      <c r="I76" s="125">
        <f t="shared" si="9"/>
        <v>0</v>
      </c>
      <c r="J76" s="125">
        <f t="shared" si="9"/>
        <v>0</v>
      </c>
      <c r="K76" s="125">
        <f t="shared" si="9"/>
        <v>0</v>
      </c>
      <c r="L76" s="125">
        <f t="shared" si="9"/>
        <v>0</v>
      </c>
      <c r="M76" s="125">
        <f t="shared" si="9"/>
        <v>0</v>
      </c>
      <c r="N76" s="125">
        <f t="shared" si="9"/>
        <v>0</v>
      </c>
      <c r="O76" s="125">
        <f t="shared" si="9"/>
        <v>0</v>
      </c>
      <c r="P76" s="125">
        <f t="shared" si="9"/>
        <v>0</v>
      </c>
      <c r="Q76" s="125">
        <f t="shared" si="9"/>
        <v>0</v>
      </c>
      <c r="R76" s="125">
        <f t="shared" si="9"/>
        <v>0</v>
      </c>
      <c r="S76" s="125">
        <f t="shared" si="9"/>
        <v>0</v>
      </c>
      <c r="T76" s="125">
        <f t="shared" si="9"/>
        <v>0</v>
      </c>
      <c r="U76" s="125">
        <f t="shared" si="9"/>
        <v>0</v>
      </c>
      <c r="V76" s="125">
        <f t="shared" si="9"/>
        <v>0</v>
      </c>
      <c r="W76" s="125">
        <f t="shared" si="9"/>
        <v>0</v>
      </c>
      <c r="X76" s="125">
        <f t="shared" si="9"/>
        <v>0</v>
      </c>
      <c r="Y76" s="125">
        <f t="shared" si="9"/>
        <v>0</v>
      </c>
      <c r="Z76" s="125">
        <f t="shared" si="9"/>
        <v>0</v>
      </c>
      <c r="AA76" s="125">
        <f t="shared" si="9"/>
        <v>0</v>
      </c>
      <c r="AB76" s="125">
        <f t="shared" si="9"/>
        <v>1</v>
      </c>
      <c r="AC76" s="125">
        <f t="shared" si="9"/>
        <v>0</v>
      </c>
      <c r="AD76" s="125">
        <f t="shared" si="9"/>
        <v>1</v>
      </c>
      <c r="AE76" s="125">
        <f t="shared" si="9"/>
        <v>0</v>
      </c>
      <c r="AF76" s="125">
        <f t="shared" si="9"/>
        <v>0</v>
      </c>
      <c r="AG76" s="125">
        <f t="shared" si="9"/>
        <v>0</v>
      </c>
      <c r="AH76" s="125">
        <f t="shared" si="9"/>
        <v>1</v>
      </c>
      <c r="AI76" s="125">
        <f t="shared" si="9"/>
        <v>1</v>
      </c>
      <c r="AJ76" s="45" t="str">
        <f t="shared" si="10"/>
        <v>UNKNOWN</v>
      </c>
      <c r="AK76" s="58"/>
      <c r="AL76" s="58" t="str">
        <f t="shared" si="13"/>
        <v>A3</v>
      </c>
      <c r="AM76" s="60" t="str">
        <f t="shared" si="14"/>
        <v>00</v>
      </c>
      <c r="AN76" s="60" t="str">
        <f t="shared" si="15"/>
        <v>00</v>
      </c>
      <c r="AO76" s="60" t="str">
        <f t="shared" si="16"/>
        <v>00</v>
      </c>
      <c r="AQ76" t="str">
        <f t="shared" si="11"/>
        <v xml:space="preserve">    (U4)0x000000A3U,                                                           /* 05 UNKNOWN                                         */</v>
      </c>
    </row>
    <row r="77" spans="1:46">
      <c r="B77" s="132"/>
      <c r="C77" s="45">
        <f t="shared" si="12"/>
        <v>6</v>
      </c>
      <c r="D77" s="125">
        <f t="shared" si="9"/>
        <v>0</v>
      </c>
      <c r="E77" s="125">
        <f t="shared" si="9"/>
        <v>0</v>
      </c>
      <c r="F77" s="125">
        <f t="shared" si="9"/>
        <v>0</v>
      </c>
      <c r="G77" s="125">
        <f t="shared" si="9"/>
        <v>0</v>
      </c>
      <c r="H77" s="125">
        <f t="shared" si="9"/>
        <v>0</v>
      </c>
      <c r="I77" s="125">
        <f t="shared" si="9"/>
        <v>0</v>
      </c>
      <c r="J77" s="125">
        <f t="shared" si="9"/>
        <v>0</v>
      </c>
      <c r="K77" s="125">
        <f t="shared" si="9"/>
        <v>0</v>
      </c>
      <c r="L77" s="125">
        <f t="shared" si="9"/>
        <v>0</v>
      </c>
      <c r="M77" s="125">
        <f t="shared" si="9"/>
        <v>0</v>
      </c>
      <c r="N77" s="125">
        <f t="shared" si="9"/>
        <v>0</v>
      </c>
      <c r="O77" s="125">
        <f t="shared" si="9"/>
        <v>0</v>
      </c>
      <c r="P77" s="125">
        <f t="shared" si="9"/>
        <v>0</v>
      </c>
      <c r="Q77" s="125">
        <f t="shared" si="9"/>
        <v>0</v>
      </c>
      <c r="R77" s="125">
        <f t="shared" si="9"/>
        <v>0</v>
      </c>
      <c r="S77" s="125">
        <f t="shared" si="9"/>
        <v>0</v>
      </c>
      <c r="T77" s="125">
        <f t="shared" si="9"/>
        <v>0</v>
      </c>
      <c r="U77" s="125">
        <f t="shared" si="9"/>
        <v>0</v>
      </c>
      <c r="V77" s="125">
        <f t="shared" si="9"/>
        <v>0</v>
      </c>
      <c r="W77" s="125">
        <f t="shared" si="9"/>
        <v>0</v>
      </c>
      <c r="X77" s="125">
        <f t="shared" si="9"/>
        <v>0</v>
      </c>
      <c r="Y77" s="125">
        <f t="shared" si="9"/>
        <v>0</v>
      </c>
      <c r="Z77" s="125">
        <f t="shared" si="9"/>
        <v>0</v>
      </c>
      <c r="AA77" s="125">
        <f t="shared" si="9"/>
        <v>0</v>
      </c>
      <c r="AB77" s="125">
        <f t="shared" si="9"/>
        <v>1</v>
      </c>
      <c r="AC77" s="125">
        <f t="shared" si="9"/>
        <v>0</v>
      </c>
      <c r="AD77" s="125">
        <f t="shared" si="9"/>
        <v>1</v>
      </c>
      <c r="AE77" s="125">
        <f t="shared" si="9"/>
        <v>0</v>
      </c>
      <c r="AF77" s="125">
        <f t="shared" si="9"/>
        <v>0</v>
      </c>
      <c r="AG77" s="125">
        <f t="shared" si="9"/>
        <v>1</v>
      </c>
      <c r="AH77" s="125">
        <f t="shared" si="9"/>
        <v>0</v>
      </c>
      <c r="AI77" s="125">
        <f t="shared" si="9"/>
        <v>0</v>
      </c>
      <c r="AJ77" s="45" t="str">
        <f t="shared" si="10"/>
        <v>UNKNOWN</v>
      </c>
      <c r="AK77" s="58"/>
      <c r="AL77" s="58" t="str">
        <f t="shared" si="13"/>
        <v>A4</v>
      </c>
      <c r="AM77" s="60" t="str">
        <f t="shared" si="14"/>
        <v>00</v>
      </c>
      <c r="AN77" s="60" t="str">
        <f t="shared" si="15"/>
        <v>00</v>
      </c>
      <c r="AO77" s="60" t="str">
        <f t="shared" si="16"/>
        <v>00</v>
      </c>
      <c r="AQ77" t="str">
        <f t="shared" si="11"/>
        <v xml:space="preserve">    (U4)0x000000A4U,                                                           /* 06 UNKNOWN                                         */</v>
      </c>
    </row>
    <row r="78" spans="1:46">
      <c r="B78" s="132"/>
      <c r="C78" s="45">
        <f t="shared" si="12"/>
        <v>7</v>
      </c>
      <c r="D78" s="125">
        <f t="shared" si="9"/>
        <v>0</v>
      </c>
      <c r="E78" s="125">
        <f t="shared" si="9"/>
        <v>0</v>
      </c>
      <c r="F78" s="125">
        <f t="shared" si="9"/>
        <v>0</v>
      </c>
      <c r="G78" s="125">
        <f t="shared" si="9"/>
        <v>0</v>
      </c>
      <c r="H78" s="125">
        <f t="shared" si="9"/>
        <v>0</v>
      </c>
      <c r="I78" s="125">
        <f t="shared" si="9"/>
        <v>0</v>
      </c>
      <c r="J78" s="125">
        <f t="shared" si="9"/>
        <v>0</v>
      </c>
      <c r="K78" s="125">
        <f t="shared" si="9"/>
        <v>0</v>
      </c>
      <c r="L78" s="125">
        <f t="shared" si="9"/>
        <v>0</v>
      </c>
      <c r="M78" s="125">
        <f t="shared" si="9"/>
        <v>0</v>
      </c>
      <c r="N78" s="125">
        <f t="shared" si="9"/>
        <v>0</v>
      </c>
      <c r="O78" s="125">
        <f t="shared" si="9"/>
        <v>0</v>
      </c>
      <c r="P78" s="125">
        <f t="shared" si="9"/>
        <v>0</v>
      </c>
      <c r="Q78" s="125">
        <f t="shared" si="9"/>
        <v>0</v>
      </c>
      <c r="R78" s="125">
        <f t="shared" si="9"/>
        <v>0</v>
      </c>
      <c r="S78" s="125">
        <f t="shared" si="9"/>
        <v>0</v>
      </c>
      <c r="T78" s="125">
        <f t="shared" si="9"/>
        <v>0</v>
      </c>
      <c r="U78" s="125">
        <f t="shared" si="9"/>
        <v>0</v>
      </c>
      <c r="V78" s="125">
        <f t="shared" si="9"/>
        <v>0</v>
      </c>
      <c r="W78" s="125">
        <f t="shared" si="9"/>
        <v>0</v>
      </c>
      <c r="X78" s="125">
        <f t="shared" si="9"/>
        <v>0</v>
      </c>
      <c r="Y78" s="125">
        <f t="shared" si="9"/>
        <v>0</v>
      </c>
      <c r="Z78" s="125">
        <f t="shared" si="9"/>
        <v>0</v>
      </c>
      <c r="AA78" s="125">
        <f t="shared" si="9"/>
        <v>0</v>
      </c>
      <c r="AB78" s="125">
        <f t="shared" si="9"/>
        <v>1</v>
      </c>
      <c r="AC78" s="125">
        <f t="shared" si="9"/>
        <v>0</v>
      </c>
      <c r="AD78" s="125">
        <f t="shared" si="9"/>
        <v>1</v>
      </c>
      <c r="AE78" s="125">
        <f t="shared" si="9"/>
        <v>0</v>
      </c>
      <c r="AF78" s="125">
        <f t="shared" si="9"/>
        <v>1</v>
      </c>
      <c r="AG78" s="125">
        <f t="shared" si="9"/>
        <v>0</v>
      </c>
      <c r="AH78" s="125">
        <f t="shared" si="9"/>
        <v>0</v>
      </c>
      <c r="AI78" s="125">
        <f t="shared" ref="AI78" si="17">IF(AI13=1,1,0)</f>
        <v>0</v>
      </c>
      <c r="AJ78" s="45" t="str">
        <f t="shared" si="10"/>
        <v>UNKNOWN</v>
      </c>
      <c r="AK78" s="58"/>
      <c r="AL78" s="58" t="str">
        <f t="shared" si="13"/>
        <v>A8</v>
      </c>
      <c r="AM78" s="60" t="str">
        <f t="shared" si="14"/>
        <v>00</v>
      </c>
      <c r="AN78" s="60" t="str">
        <f t="shared" si="15"/>
        <v>00</v>
      </c>
      <c r="AO78" s="60" t="str">
        <f t="shared" si="16"/>
        <v>00</v>
      </c>
      <c r="AQ78" t="str">
        <f t="shared" si="11"/>
        <v xml:space="preserve">    (U4)0x000000A8U,                                                           /* 07 UNKNOWN                                         */</v>
      </c>
    </row>
    <row r="79" spans="1:46">
      <c r="B79" s="132"/>
      <c r="C79" s="45">
        <f t="shared" si="12"/>
        <v>8</v>
      </c>
      <c r="D79" s="125">
        <f t="shared" ref="D79:AI86" si="18">IF(D14=1,1,0)</f>
        <v>0</v>
      </c>
      <c r="E79" s="125">
        <f t="shared" si="18"/>
        <v>0</v>
      </c>
      <c r="F79" s="125">
        <f t="shared" si="18"/>
        <v>0</v>
      </c>
      <c r="G79" s="125">
        <f t="shared" si="18"/>
        <v>0</v>
      </c>
      <c r="H79" s="125">
        <f t="shared" si="18"/>
        <v>0</v>
      </c>
      <c r="I79" s="125">
        <f t="shared" si="18"/>
        <v>0</v>
      </c>
      <c r="J79" s="125">
        <f t="shared" si="18"/>
        <v>0</v>
      </c>
      <c r="K79" s="125">
        <f t="shared" si="18"/>
        <v>0</v>
      </c>
      <c r="L79" s="125">
        <f t="shared" si="18"/>
        <v>0</v>
      </c>
      <c r="M79" s="125">
        <f t="shared" si="18"/>
        <v>0</v>
      </c>
      <c r="N79" s="125">
        <f t="shared" si="18"/>
        <v>0</v>
      </c>
      <c r="O79" s="125">
        <f t="shared" si="18"/>
        <v>0</v>
      </c>
      <c r="P79" s="125">
        <f t="shared" si="18"/>
        <v>0</v>
      </c>
      <c r="Q79" s="125">
        <f t="shared" si="18"/>
        <v>0</v>
      </c>
      <c r="R79" s="125">
        <f t="shared" si="18"/>
        <v>0</v>
      </c>
      <c r="S79" s="125">
        <f t="shared" si="18"/>
        <v>0</v>
      </c>
      <c r="T79" s="125">
        <f t="shared" si="18"/>
        <v>0</v>
      </c>
      <c r="U79" s="125">
        <f t="shared" si="18"/>
        <v>0</v>
      </c>
      <c r="V79" s="125">
        <f t="shared" si="18"/>
        <v>0</v>
      </c>
      <c r="W79" s="125">
        <f t="shared" si="18"/>
        <v>0</v>
      </c>
      <c r="X79" s="125">
        <f t="shared" si="18"/>
        <v>0</v>
      </c>
      <c r="Y79" s="125">
        <f t="shared" si="18"/>
        <v>0</v>
      </c>
      <c r="Z79" s="125">
        <f t="shared" si="18"/>
        <v>0</v>
      </c>
      <c r="AA79" s="125">
        <f t="shared" si="18"/>
        <v>0</v>
      </c>
      <c r="AB79" s="125">
        <f t="shared" si="18"/>
        <v>1</v>
      </c>
      <c r="AC79" s="125">
        <f t="shared" si="18"/>
        <v>0</v>
      </c>
      <c r="AD79" s="125">
        <f t="shared" si="18"/>
        <v>1</v>
      </c>
      <c r="AE79" s="125">
        <f t="shared" si="18"/>
        <v>1</v>
      </c>
      <c r="AF79" s="125">
        <f t="shared" si="18"/>
        <v>0</v>
      </c>
      <c r="AG79" s="125">
        <f t="shared" si="18"/>
        <v>0</v>
      </c>
      <c r="AH79" s="125">
        <f t="shared" si="18"/>
        <v>0</v>
      </c>
      <c r="AI79" s="125">
        <f t="shared" si="18"/>
        <v>0</v>
      </c>
      <c r="AJ79" s="45" t="str">
        <f t="shared" si="10"/>
        <v>UNKNOWN</v>
      </c>
      <c r="AK79" s="58"/>
      <c r="AL79" s="58" t="str">
        <f t="shared" si="13"/>
        <v>B0</v>
      </c>
      <c r="AM79" s="60" t="str">
        <f t="shared" si="14"/>
        <v>00</v>
      </c>
      <c r="AN79" s="60" t="str">
        <f t="shared" si="15"/>
        <v>00</v>
      </c>
      <c r="AO79" s="60" t="str">
        <f t="shared" si="16"/>
        <v>00</v>
      </c>
      <c r="AQ79" t="str">
        <f t="shared" si="11"/>
        <v xml:space="preserve">    (U4)0x000000B0U,                                                           /* 08 UNKNOWN                                         */</v>
      </c>
    </row>
    <row r="80" spans="1:46">
      <c r="B80" s="132"/>
      <c r="C80" s="45">
        <f t="shared" si="12"/>
        <v>9</v>
      </c>
      <c r="D80" s="125">
        <f t="shared" si="18"/>
        <v>0</v>
      </c>
      <c r="E80" s="125">
        <f t="shared" si="18"/>
        <v>0</v>
      </c>
      <c r="F80" s="125">
        <f t="shared" si="18"/>
        <v>0</v>
      </c>
      <c r="G80" s="125">
        <f t="shared" si="18"/>
        <v>0</v>
      </c>
      <c r="H80" s="125">
        <f t="shared" si="18"/>
        <v>0</v>
      </c>
      <c r="I80" s="125">
        <f t="shared" si="18"/>
        <v>0</v>
      </c>
      <c r="J80" s="125">
        <f t="shared" si="18"/>
        <v>0</v>
      </c>
      <c r="K80" s="125">
        <f t="shared" si="18"/>
        <v>0</v>
      </c>
      <c r="L80" s="125">
        <f t="shared" si="18"/>
        <v>0</v>
      </c>
      <c r="M80" s="125">
        <f t="shared" si="18"/>
        <v>0</v>
      </c>
      <c r="N80" s="125">
        <f t="shared" si="18"/>
        <v>0</v>
      </c>
      <c r="O80" s="125">
        <f t="shared" si="18"/>
        <v>0</v>
      </c>
      <c r="P80" s="125">
        <f t="shared" si="18"/>
        <v>0</v>
      </c>
      <c r="Q80" s="125">
        <f t="shared" si="18"/>
        <v>0</v>
      </c>
      <c r="R80" s="125">
        <f t="shared" si="18"/>
        <v>0</v>
      </c>
      <c r="S80" s="125">
        <f t="shared" si="18"/>
        <v>0</v>
      </c>
      <c r="T80" s="125">
        <f t="shared" si="18"/>
        <v>0</v>
      </c>
      <c r="U80" s="125">
        <f t="shared" si="18"/>
        <v>0</v>
      </c>
      <c r="V80" s="125">
        <f t="shared" si="18"/>
        <v>0</v>
      </c>
      <c r="W80" s="125">
        <f t="shared" si="18"/>
        <v>0</v>
      </c>
      <c r="X80" s="125">
        <f t="shared" si="18"/>
        <v>0</v>
      </c>
      <c r="Y80" s="125">
        <f t="shared" si="18"/>
        <v>0</v>
      </c>
      <c r="Z80" s="125">
        <f t="shared" si="18"/>
        <v>0</v>
      </c>
      <c r="AA80" s="125">
        <f t="shared" si="18"/>
        <v>0</v>
      </c>
      <c r="AB80" s="125">
        <f t="shared" si="18"/>
        <v>1</v>
      </c>
      <c r="AC80" s="125">
        <f t="shared" si="18"/>
        <v>0</v>
      </c>
      <c r="AD80" s="125">
        <f t="shared" si="18"/>
        <v>1</v>
      </c>
      <c r="AE80" s="125">
        <f t="shared" si="18"/>
        <v>1</v>
      </c>
      <c r="AF80" s="125">
        <f t="shared" si="18"/>
        <v>0</v>
      </c>
      <c r="AG80" s="125">
        <f t="shared" si="18"/>
        <v>0</v>
      </c>
      <c r="AH80" s="125">
        <f t="shared" si="18"/>
        <v>0</v>
      </c>
      <c r="AI80" s="125">
        <f t="shared" si="18"/>
        <v>1</v>
      </c>
      <c r="AJ80" s="45" t="str">
        <f t="shared" si="10"/>
        <v>UNKNOWN</v>
      </c>
      <c r="AK80" s="58"/>
      <c r="AL80" s="58" t="str">
        <f t="shared" si="13"/>
        <v>B1</v>
      </c>
      <c r="AM80" s="60" t="str">
        <f t="shared" si="14"/>
        <v>00</v>
      </c>
      <c r="AN80" s="60" t="str">
        <f t="shared" si="15"/>
        <v>00</v>
      </c>
      <c r="AO80" s="60" t="str">
        <f t="shared" si="16"/>
        <v>00</v>
      </c>
      <c r="AQ80" t="str">
        <f t="shared" si="11"/>
        <v xml:space="preserve">    (U4)0x000000B1U,                                                           /* 09 UNKNOWN                                         */</v>
      </c>
    </row>
    <row r="81" spans="2:43">
      <c r="B81" s="132"/>
      <c r="C81" s="45">
        <f t="shared" si="12"/>
        <v>10</v>
      </c>
      <c r="D81" s="125">
        <f t="shared" si="18"/>
        <v>0</v>
      </c>
      <c r="E81" s="125">
        <f t="shared" si="18"/>
        <v>0</v>
      </c>
      <c r="F81" s="125">
        <f t="shared" si="18"/>
        <v>0</v>
      </c>
      <c r="G81" s="125">
        <f t="shared" si="18"/>
        <v>0</v>
      </c>
      <c r="H81" s="125">
        <f t="shared" si="18"/>
        <v>0</v>
      </c>
      <c r="I81" s="125">
        <f t="shared" si="18"/>
        <v>0</v>
      </c>
      <c r="J81" s="125">
        <f t="shared" si="18"/>
        <v>0</v>
      </c>
      <c r="K81" s="125">
        <f t="shared" si="18"/>
        <v>0</v>
      </c>
      <c r="L81" s="125">
        <f t="shared" si="18"/>
        <v>0</v>
      </c>
      <c r="M81" s="125">
        <f t="shared" si="18"/>
        <v>0</v>
      </c>
      <c r="N81" s="125">
        <f t="shared" si="18"/>
        <v>0</v>
      </c>
      <c r="O81" s="125">
        <f t="shared" si="18"/>
        <v>0</v>
      </c>
      <c r="P81" s="125">
        <f t="shared" si="18"/>
        <v>0</v>
      </c>
      <c r="Q81" s="125">
        <f t="shared" si="18"/>
        <v>0</v>
      </c>
      <c r="R81" s="125">
        <f t="shared" si="18"/>
        <v>0</v>
      </c>
      <c r="S81" s="125">
        <f t="shared" si="18"/>
        <v>0</v>
      </c>
      <c r="T81" s="125">
        <f t="shared" si="18"/>
        <v>0</v>
      </c>
      <c r="U81" s="125">
        <f t="shared" si="18"/>
        <v>0</v>
      </c>
      <c r="V81" s="125">
        <f t="shared" si="18"/>
        <v>0</v>
      </c>
      <c r="W81" s="125">
        <f t="shared" si="18"/>
        <v>0</v>
      </c>
      <c r="X81" s="125">
        <f t="shared" si="18"/>
        <v>0</v>
      </c>
      <c r="Y81" s="125">
        <f t="shared" si="18"/>
        <v>0</v>
      </c>
      <c r="Z81" s="125">
        <f t="shared" si="18"/>
        <v>0</v>
      </c>
      <c r="AA81" s="125">
        <f t="shared" si="18"/>
        <v>0</v>
      </c>
      <c r="AB81" s="125">
        <f t="shared" si="18"/>
        <v>1</v>
      </c>
      <c r="AC81" s="125">
        <f t="shared" si="18"/>
        <v>0</v>
      </c>
      <c r="AD81" s="125">
        <f t="shared" si="18"/>
        <v>1</v>
      </c>
      <c r="AE81" s="125">
        <f t="shared" si="18"/>
        <v>1</v>
      </c>
      <c r="AF81" s="125">
        <f t="shared" si="18"/>
        <v>0</v>
      </c>
      <c r="AG81" s="125">
        <f t="shared" si="18"/>
        <v>0</v>
      </c>
      <c r="AH81" s="125">
        <f t="shared" si="18"/>
        <v>1</v>
      </c>
      <c r="AI81" s="125">
        <f t="shared" si="18"/>
        <v>0</v>
      </c>
      <c r="AJ81" s="45" t="str">
        <f t="shared" si="10"/>
        <v>UNKNOWN</v>
      </c>
      <c r="AK81" s="58"/>
      <c r="AL81" s="58" t="str">
        <f t="shared" si="13"/>
        <v>B2</v>
      </c>
      <c r="AM81" s="60" t="str">
        <f t="shared" si="14"/>
        <v>00</v>
      </c>
      <c r="AN81" s="60" t="str">
        <f t="shared" si="15"/>
        <v>00</v>
      </c>
      <c r="AO81" s="60" t="str">
        <f t="shared" si="16"/>
        <v>00</v>
      </c>
      <c r="AQ81" t="str">
        <f t="shared" si="11"/>
        <v xml:space="preserve">    (U4)0x000000B2U,                                                           /* 10 UNKNOWN                                         */</v>
      </c>
    </row>
    <row r="82" spans="2:43">
      <c r="B82" s="132"/>
      <c r="C82" s="45">
        <f t="shared" si="12"/>
        <v>11</v>
      </c>
      <c r="D82" s="125">
        <f t="shared" si="18"/>
        <v>0</v>
      </c>
      <c r="E82" s="125">
        <f t="shared" si="18"/>
        <v>0</v>
      </c>
      <c r="F82" s="125">
        <f t="shared" si="18"/>
        <v>0</v>
      </c>
      <c r="G82" s="125">
        <f t="shared" si="18"/>
        <v>0</v>
      </c>
      <c r="H82" s="125">
        <f t="shared" si="18"/>
        <v>0</v>
      </c>
      <c r="I82" s="125">
        <f t="shared" si="18"/>
        <v>0</v>
      </c>
      <c r="J82" s="125">
        <f t="shared" si="18"/>
        <v>0</v>
      </c>
      <c r="K82" s="125">
        <f t="shared" si="18"/>
        <v>0</v>
      </c>
      <c r="L82" s="125">
        <f t="shared" si="18"/>
        <v>0</v>
      </c>
      <c r="M82" s="125">
        <f t="shared" si="18"/>
        <v>0</v>
      </c>
      <c r="N82" s="125">
        <f t="shared" si="18"/>
        <v>0</v>
      </c>
      <c r="O82" s="125">
        <f t="shared" si="18"/>
        <v>0</v>
      </c>
      <c r="P82" s="125">
        <f t="shared" si="18"/>
        <v>0</v>
      </c>
      <c r="Q82" s="125">
        <f t="shared" si="18"/>
        <v>0</v>
      </c>
      <c r="R82" s="125">
        <f t="shared" si="18"/>
        <v>0</v>
      </c>
      <c r="S82" s="125">
        <f t="shared" si="18"/>
        <v>0</v>
      </c>
      <c r="T82" s="125">
        <f t="shared" si="18"/>
        <v>0</v>
      </c>
      <c r="U82" s="125">
        <f t="shared" si="18"/>
        <v>0</v>
      </c>
      <c r="V82" s="125">
        <f t="shared" si="18"/>
        <v>0</v>
      </c>
      <c r="W82" s="125">
        <f t="shared" si="18"/>
        <v>0</v>
      </c>
      <c r="X82" s="125">
        <f t="shared" si="18"/>
        <v>0</v>
      </c>
      <c r="Y82" s="125">
        <f t="shared" si="18"/>
        <v>0</v>
      </c>
      <c r="Z82" s="125">
        <f t="shared" si="18"/>
        <v>0</v>
      </c>
      <c r="AA82" s="125">
        <f t="shared" si="18"/>
        <v>0</v>
      </c>
      <c r="AB82" s="125">
        <f t="shared" si="18"/>
        <v>1</v>
      </c>
      <c r="AC82" s="125">
        <f t="shared" si="18"/>
        <v>0</v>
      </c>
      <c r="AD82" s="125">
        <f t="shared" si="18"/>
        <v>1</v>
      </c>
      <c r="AE82" s="125">
        <f t="shared" si="18"/>
        <v>1</v>
      </c>
      <c r="AF82" s="125">
        <f t="shared" si="18"/>
        <v>0</v>
      </c>
      <c r="AG82" s="125">
        <f t="shared" si="18"/>
        <v>0</v>
      </c>
      <c r="AH82" s="125">
        <f t="shared" si="18"/>
        <v>1</v>
      </c>
      <c r="AI82" s="125">
        <f t="shared" si="18"/>
        <v>1</v>
      </c>
      <c r="AJ82" s="45" t="str">
        <f t="shared" si="10"/>
        <v>LOW</v>
      </c>
      <c r="AK82" s="58"/>
      <c r="AL82" s="58" t="str">
        <f t="shared" si="13"/>
        <v>B3</v>
      </c>
      <c r="AM82" s="60" t="str">
        <f t="shared" si="14"/>
        <v>00</v>
      </c>
      <c r="AN82" s="60" t="str">
        <f t="shared" si="15"/>
        <v>00</v>
      </c>
      <c r="AO82" s="60" t="str">
        <f t="shared" si="16"/>
        <v>00</v>
      </c>
      <c r="AQ82" t="str">
        <f t="shared" si="11"/>
        <v xml:space="preserve">    (U4)0x000000B3U,                                                           /* 11 LOW                                             */</v>
      </c>
    </row>
    <row r="83" spans="2:43">
      <c r="B83" s="132"/>
      <c r="C83" s="45">
        <f t="shared" si="12"/>
        <v>12</v>
      </c>
      <c r="D83" s="125">
        <f t="shared" si="18"/>
        <v>0</v>
      </c>
      <c r="E83" s="125">
        <f t="shared" si="18"/>
        <v>0</v>
      </c>
      <c r="F83" s="125">
        <f t="shared" si="18"/>
        <v>0</v>
      </c>
      <c r="G83" s="125">
        <f t="shared" si="18"/>
        <v>0</v>
      </c>
      <c r="H83" s="125">
        <f t="shared" si="18"/>
        <v>0</v>
      </c>
      <c r="I83" s="125">
        <f t="shared" si="18"/>
        <v>0</v>
      </c>
      <c r="J83" s="125">
        <f t="shared" si="18"/>
        <v>0</v>
      </c>
      <c r="K83" s="125">
        <f t="shared" si="18"/>
        <v>0</v>
      </c>
      <c r="L83" s="125">
        <f t="shared" si="18"/>
        <v>0</v>
      </c>
      <c r="M83" s="125">
        <f t="shared" si="18"/>
        <v>0</v>
      </c>
      <c r="N83" s="125">
        <f t="shared" si="18"/>
        <v>0</v>
      </c>
      <c r="O83" s="125">
        <f t="shared" si="18"/>
        <v>0</v>
      </c>
      <c r="P83" s="125">
        <f t="shared" si="18"/>
        <v>0</v>
      </c>
      <c r="Q83" s="125">
        <f t="shared" si="18"/>
        <v>0</v>
      </c>
      <c r="R83" s="125">
        <f t="shared" si="18"/>
        <v>0</v>
      </c>
      <c r="S83" s="125">
        <f t="shared" si="18"/>
        <v>0</v>
      </c>
      <c r="T83" s="125">
        <f t="shared" si="18"/>
        <v>0</v>
      </c>
      <c r="U83" s="125">
        <f t="shared" si="18"/>
        <v>0</v>
      </c>
      <c r="V83" s="125">
        <f t="shared" si="18"/>
        <v>0</v>
      </c>
      <c r="W83" s="125">
        <f t="shared" si="18"/>
        <v>0</v>
      </c>
      <c r="X83" s="125">
        <f t="shared" si="18"/>
        <v>0</v>
      </c>
      <c r="Y83" s="125">
        <f t="shared" si="18"/>
        <v>0</v>
      </c>
      <c r="Z83" s="125">
        <f t="shared" si="18"/>
        <v>0</v>
      </c>
      <c r="AA83" s="125">
        <f t="shared" si="18"/>
        <v>0</v>
      </c>
      <c r="AB83" s="125">
        <f t="shared" si="18"/>
        <v>1</v>
      </c>
      <c r="AC83" s="125">
        <f t="shared" si="18"/>
        <v>0</v>
      </c>
      <c r="AD83" s="125">
        <f t="shared" si="18"/>
        <v>1</v>
      </c>
      <c r="AE83" s="125">
        <f t="shared" si="18"/>
        <v>1</v>
      </c>
      <c r="AF83" s="125">
        <f t="shared" si="18"/>
        <v>0</v>
      </c>
      <c r="AG83" s="125">
        <f t="shared" si="18"/>
        <v>1</v>
      </c>
      <c r="AH83" s="125">
        <f t="shared" si="18"/>
        <v>0</v>
      </c>
      <c r="AI83" s="125">
        <f t="shared" si="18"/>
        <v>0</v>
      </c>
      <c r="AJ83" s="45" t="str">
        <f t="shared" si="10"/>
        <v>UNKNOWN</v>
      </c>
      <c r="AK83" s="58"/>
      <c r="AL83" s="58" t="str">
        <f t="shared" si="13"/>
        <v>B4</v>
      </c>
      <c r="AM83" s="60" t="str">
        <f t="shared" si="14"/>
        <v>00</v>
      </c>
      <c r="AN83" s="60" t="str">
        <f t="shared" si="15"/>
        <v>00</v>
      </c>
      <c r="AO83" s="60" t="str">
        <f t="shared" si="16"/>
        <v>00</v>
      </c>
      <c r="AQ83" t="str">
        <f t="shared" si="11"/>
        <v xml:space="preserve">    (U4)0x000000B4U,                                                           /* 12 UNKNOWN                                         */</v>
      </c>
    </row>
    <row r="84" spans="2:43">
      <c r="B84" s="132"/>
      <c r="C84" s="45">
        <f t="shared" si="12"/>
        <v>13</v>
      </c>
      <c r="D84" s="125">
        <f t="shared" si="18"/>
        <v>0</v>
      </c>
      <c r="E84" s="125">
        <f t="shared" si="18"/>
        <v>0</v>
      </c>
      <c r="F84" s="125">
        <f t="shared" si="18"/>
        <v>0</v>
      </c>
      <c r="G84" s="125">
        <f t="shared" si="18"/>
        <v>0</v>
      </c>
      <c r="H84" s="125">
        <f t="shared" si="18"/>
        <v>0</v>
      </c>
      <c r="I84" s="125">
        <f t="shared" si="18"/>
        <v>0</v>
      </c>
      <c r="J84" s="125">
        <f t="shared" si="18"/>
        <v>0</v>
      </c>
      <c r="K84" s="125">
        <f t="shared" si="18"/>
        <v>0</v>
      </c>
      <c r="L84" s="125">
        <f t="shared" si="18"/>
        <v>0</v>
      </c>
      <c r="M84" s="125">
        <f t="shared" si="18"/>
        <v>0</v>
      </c>
      <c r="N84" s="125">
        <f t="shared" si="18"/>
        <v>0</v>
      </c>
      <c r="O84" s="125">
        <f t="shared" si="18"/>
        <v>0</v>
      </c>
      <c r="P84" s="125">
        <f t="shared" si="18"/>
        <v>0</v>
      </c>
      <c r="Q84" s="125">
        <f t="shared" si="18"/>
        <v>0</v>
      </c>
      <c r="R84" s="125">
        <f t="shared" si="18"/>
        <v>0</v>
      </c>
      <c r="S84" s="125">
        <f t="shared" si="18"/>
        <v>0</v>
      </c>
      <c r="T84" s="125">
        <f t="shared" si="18"/>
        <v>0</v>
      </c>
      <c r="U84" s="125">
        <f t="shared" si="18"/>
        <v>0</v>
      </c>
      <c r="V84" s="125">
        <f t="shared" si="18"/>
        <v>0</v>
      </c>
      <c r="W84" s="125">
        <f t="shared" si="18"/>
        <v>0</v>
      </c>
      <c r="X84" s="125">
        <f t="shared" si="18"/>
        <v>0</v>
      </c>
      <c r="Y84" s="125">
        <f t="shared" si="18"/>
        <v>0</v>
      </c>
      <c r="Z84" s="125">
        <f t="shared" si="18"/>
        <v>0</v>
      </c>
      <c r="AA84" s="125">
        <f t="shared" si="18"/>
        <v>0</v>
      </c>
      <c r="AB84" s="125">
        <f t="shared" si="18"/>
        <v>1</v>
      </c>
      <c r="AC84" s="125">
        <f t="shared" si="18"/>
        <v>0</v>
      </c>
      <c r="AD84" s="125">
        <f t="shared" si="18"/>
        <v>1</v>
      </c>
      <c r="AE84" s="125">
        <f t="shared" si="18"/>
        <v>1</v>
      </c>
      <c r="AF84" s="125">
        <f t="shared" si="18"/>
        <v>1</v>
      </c>
      <c r="AG84" s="125">
        <f t="shared" si="18"/>
        <v>0</v>
      </c>
      <c r="AH84" s="125">
        <f t="shared" si="18"/>
        <v>0</v>
      </c>
      <c r="AI84" s="125">
        <f t="shared" si="18"/>
        <v>0</v>
      </c>
      <c r="AJ84" s="45" t="str">
        <f t="shared" si="10"/>
        <v>UNKNOWN</v>
      </c>
      <c r="AK84" s="58"/>
      <c r="AL84" s="58" t="str">
        <f t="shared" si="13"/>
        <v>B8</v>
      </c>
      <c r="AM84" s="60" t="str">
        <f t="shared" si="14"/>
        <v>00</v>
      </c>
      <c r="AN84" s="60" t="str">
        <f t="shared" si="15"/>
        <v>00</v>
      </c>
      <c r="AO84" s="60" t="str">
        <f t="shared" si="16"/>
        <v>00</v>
      </c>
      <c r="AQ84" t="str">
        <f t="shared" si="11"/>
        <v xml:space="preserve">    (U4)0x000000B8U,                                                           /* 13 UNKNOWN                                         */</v>
      </c>
    </row>
    <row r="85" spans="2:43">
      <c r="B85" s="132"/>
      <c r="C85" s="45">
        <f t="shared" si="12"/>
        <v>14</v>
      </c>
      <c r="D85" s="125">
        <f t="shared" si="18"/>
        <v>0</v>
      </c>
      <c r="E85" s="125">
        <f t="shared" si="18"/>
        <v>0</v>
      </c>
      <c r="F85" s="125">
        <f t="shared" si="18"/>
        <v>0</v>
      </c>
      <c r="G85" s="125">
        <f t="shared" si="18"/>
        <v>0</v>
      </c>
      <c r="H85" s="125">
        <f t="shared" si="18"/>
        <v>0</v>
      </c>
      <c r="I85" s="125">
        <f t="shared" si="18"/>
        <v>0</v>
      </c>
      <c r="J85" s="125">
        <f t="shared" si="18"/>
        <v>0</v>
      </c>
      <c r="K85" s="125">
        <f t="shared" si="18"/>
        <v>0</v>
      </c>
      <c r="L85" s="125">
        <f t="shared" si="18"/>
        <v>0</v>
      </c>
      <c r="M85" s="125">
        <f t="shared" si="18"/>
        <v>0</v>
      </c>
      <c r="N85" s="125">
        <f t="shared" si="18"/>
        <v>0</v>
      </c>
      <c r="O85" s="125">
        <f t="shared" si="18"/>
        <v>0</v>
      </c>
      <c r="P85" s="125">
        <f t="shared" si="18"/>
        <v>0</v>
      </c>
      <c r="Q85" s="125">
        <f t="shared" si="18"/>
        <v>0</v>
      </c>
      <c r="R85" s="125">
        <f t="shared" si="18"/>
        <v>0</v>
      </c>
      <c r="S85" s="125">
        <f t="shared" si="18"/>
        <v>0</v>
      </c>
      <c r="T85" s="125">
        <f t="shared" si="18"/>
        <v>0</v>
      </c>
      <c r="U85" s="125">
        <f t="shared" si="18"/>
        <v>0</v>
      </c>
      <c r="V85" s="125">
        <f t="shared" si="18"/>
        <v>0</v>
      </c>
      <c r="W85" s="125">
        <f t="shared" si="18"/>
        <v>0</v>
      </c>
      <c r="X85" s="125">
        <f t="shared" si="18"/>
        <v>0</v>
      </c>
      <c r="Y85" s="125">
        <f t="shared" si="18"/>
        <v>0</v>
      </c>
      <c r="Z85" s="125">
        <f t="shared" si="18"/>
        <v>0</v>
      </c>
      <c r="AA85" s="125">
        <f t="shared" si="18"/>
        <v>0</v>
      </c>
      <c r="AB85" s="125">
        <f t="shared" si="18"/>
        <v>1</v>
      </c>
      <c r="AC85" s="125">
        <f t="shared" si="18"/>
        <v>1</v>
      </c>
      <c r="AD85" s="125">
        <f t="shared" si="18"/>
        <v>0</v>
      </c>
      <c r="AE85" s="125">
        <f t="shared" si="18"/>
        <v>0</v>
      </c>
      <c r="AF85" s="125">
        <f t="shared" si="18"/>
        <v>0</v>
      </c>
      <c r="AG85" s="125">
        <f t="shared" si="18"/>
        <v>0</v>
      </c>
      <c r="AH85" s="125">
        <f t="shared" si="18"/>
        <v>0</v>
      </c>
      <c r="AI85" s="125">
        <f t="shared" si="18"/>
        <v>0</v>
      </c>
      <c r="AJ85" s="45" t="str">
        <f t="shared" si="10"/>
        <v>UNKNOWN</v>
      </c>
      <c r="AK85" s="58"/>
      <c r="AL85" s="58" t="str">
        <f t="shared" si="13"/>
        <v>C0</v>
      </c>
      <c r="AM85" s="60" t="str">
        <f t="shared" si="14"/>
        <v>00</v>
      </c>
      <c r="AN85" s="60" t="str">
        <f t="shared" si="15"/>
        <v>00</v>
      </c>
      <c r="AO85" s="60" t="str">
        <f t="shared" si="16"/>
        <v>00</v>
      </c>
      <c r="AQ85" t="str">
        <f t="shared" si="11"/>
        <v xml:space="preserve">    (U4)0x000000C0U,                                                           /* 14 UNKNOWN                                         */</v>
      </c>
    </row>
    <row r="86" spans="2:43">
      <c r="B86" s="132"/>
      <c r="C86" s="45">
        <f t="shared" si="12"/>
        <v>15</v>
      </c>
      <c r="D86" s="125">
        <f t="shared" si="18"/>
        <v>0</v>
      </c>
      <c r="E86" s="125">
        <f t="shared" si="18"/>
        <v>0</v>
      </c>
      <c r="F86" s="125">
        <f t="shared" si="18"/>
        <v>0</v>
      </c>
      <c r="G86" s="125">
        <f t="shared" si="18"/>
        <v>0</v>
      </c>
      <c r="H86" s="125">
        <f t="shared" si="18"/>
        <v>0</v>
      </c>
      <c r="I86" s="125">
        <f t="shared" si="18"/>
        <v>0</v>
      </c>
      <c r="J86" s="125">
        <f t="shared" si="18"/>
        <v>0</v>
      </c>
      <c r="K86" s="125">
        <f t="shared" si="18"/>
        <v>0</v>
      </c>
      <c r="L86" s="125">
        <f t="shared" si="18"/>
        <v>0</v>
      </c>
      <c r="M86" s="125">
        <f t="shared" si="18"/>
        <v>0</v>
      </c>
      <c r="N86" s="125">
        <f t="shared" si="18"/>
        <v>0</v>
      </c>
      <c r="O86" s="125">
        <f t="shared" si="18"/>
        <v>0</v>
      </c>
      <c r="P86" s="125">
        <f t="shared" si="18"/>
        <v>0</v>
      </c>
      <c r="Q86" s="125">
        <f t="shared" si="18"/>
        <v>0</v>
      </c>
      <c r="R86" s="125">
        <f t="shared" si="18"/>
        <v>0</v>
      </c>
      <c r="S86" s="125">
        <f t="shared" si="18"/>
        <v>0</v>
      </c>
      <c r="T86" s="125">
        <f t="shared" si="18"/>
        <v>0</v>
      </c>
      <c r="U86" s="125">
        <f t="shared" si="18"/>
        <v>0</v>
      </c>
      <c r="V86" s="125">
        <f t="shared" si="18"/>
        <v>0</v>
      </c>
      <c r="W86" s="125">
        <f t="shared" si="18"/>
        <v>0</v>
      </c>
      <c r="X86" s="125">
        <f t="shared" si="18"/>
        <v>0</v>
      </c>
      <c r="Y86" s="125">
        <f t="shared" si="18"/>
        <v>0</v>
      </c>
      <c r="Z86" s="125">
        <f t="shared" si="18"/>
        <v>0</v>
      </c>
      <c r="AA86" s="125">
        <f t="shared" si="18"/>
        <v>0</v>
      </c>
      <c r="AB86" s="125">
        <f t="shared" si="18"/>
        <v>1</v>
      </c>
      <c r="AC86" s="125">
        <f t="shared" si="18"/>
        <v>1</v>
      </c>
      <c r="AD86" s="125">
        <f t="shared" si="18"/>
        <v>0</v>
      </c>
      <c r="AE86" s="125">
        <f t="shared" si="18"/>
        <v>0</v>
      </c>
      <c r="AF86" s="125">
        <f t="shared" si="18"/>
        <v>0</v>
      </c>
      <c r="AG86" s="125">
        <f t="shared" si="18"/>
        <v>0</v>
      </c>
      <c r="AH86" s="125">
        <f t="shared" si="18"/>
        <v>0</v>
      </c>
      <c r="AI86" s="125">
        <f t="shared" ref="AI86" si="19">IF(AI21=1,1,0)</f>
        <v>1</v>
      </c>
      <c r="AJ86" s="45" t="str">
        <f t="shared" si="10"/>
        <v>UNKNOWN</v>
      </c>
      <c r="AK86" s="58"/>
      <c r="AL86" s="58" t="str">
        <f t="shared" si="13"/>
        <v>C1</v>
      </c>
      <c r="AM86" s="60" t="str">
        <f t="shared" si="14"/>
        <v>00</v>
      </c>
      <c r="AN86" s="60" t="str">
        <f t="shared" si="15"/>
        <v>00</v>
      </c>
      <c r="AO86" s="60" t="str">
        <f t="shared" si="16"/>
        <v>00</v>
      </c>
      <c r="AQ86" t="str">
        <f t="shared" si="11"/>
        <v xml:space="preserve">    (U4)0x000000C1U,                                                           /* 15 UNKNOWN                                         */</v>
      </c>
    </row>
    <row r="87" spans="2:43">
      <c r="B87" s="132"/>
      <c r="C87" s="45">
        <f t="shared" si="12"/>
        <v>16</v>
      </c>
      <c r="D87" s="125">
        <f t="shared" ref="D87:AI94" si="20">IF(D22=1,1,0)</f>
        <v>0</v>
      </c>
      <c r="E87" s="125">
        <f t="shared" si="20"/>
        <v>0</v>
      </c>
      <c r="F87" s="125">
        <f t="shared" si="20"/>
        <v>0</v>
      </c>
      <c r="G87" s="125">
        <f t="shared" si="20"/>
        <v>0</v>
      </c>
      <c r="H87" s="125">
        <f t="shared" si="20"/>
        <v>0</v>
      </c>
      <c r="I87" s="125">
        <f t="shared" si="20"/>
        <v>0</v>
      </c>
      <c r="J87" s="125">
        <f t="shared" si="20"/>
        <v>0</v>
      </c>
      <c r="K87" s="125">
        <f t="shared" si="20"/>
        <v>0</v>
      </c>
      <c r="L87" s="125">
        <f t="shared" si="20"/>
        <v>0</v>
      </c>
      <c r="M87" s="125">
        <f t="shared" si="20"/>
        <v>0</v>
      </c>
      <c r="N87" s="125">
        <f t="shared" si="20"/>
        <v>0</v>
      </c>
      <c r="O87" s="125">
        <f t="shared" si="20"/>
        <v>0</v>
      </c>
      <c r="P87" s="125">
        <f t="shared" si="20"/>
        <v>0</v>
      </c>
      <c r="Q87" s="125">
        <f t="shared" si="20"/>
        <v>0</v>
      </c>
      <c r="R87" s="125">
        <f t="shared" si="20"/>
        <v>0</v>
      </c>
      <c r="S87" s="125">
        <f t="shared" si="20"/>
        <v>0</v>
      </c>
      <c r="T87" s="125">
        <f t="shared" si="20"/>
        <v>0</v>
      </c>
      <c r="U87" s="125">
        <f t="shared" si="20"/>
        <v>0</v>
      </c>
      <c r="V87" s="125">
        <f t="shared" si="20"/>
        <v>0</v>
      </c>
      <c r="W87" s="125">
        <f t="shared" si="20"/>
        <v>0</v>
      </c>
      <c r="X87" s="125">
        <f t="shared" si="20"/>
        <v>0</v>
      </c>
      <c r="Y87" s="125">
        <f t="shared" si="20"/>
        <v>0</v>
      </c>
      <c r="Z87" s="125">
        <f t="shared" si="20"/>
        <v>0</v>
      </c>
      <c r="AA87" s="125">
        <f t="shared" si="20"/>
        <v>0</v>
      </c>
      <c r="AB87" s="125">
        <f t="shared" si="20"/>
        <v>1</v>
      </c>
      <c r="AC87" s="125">
        <f t="shared" si="20"/>
        <v>1</v>
      </c>
      <c r="AD87" s="125">
        <f t="shared" si="20"/>
        <v>0</v>
      </c>
      <c r="AE87" s="125">
        <f t="shared" si="20"/>
        <v>0</v>
      </c>
      <c r="AF87" s="125">
        <f t="shared" si="20"/>
        <v>0</v>
      </c>
      <c r="AG87" s="125">
        <f t="shared" si="20"/>
        <v>0</v>
      </c>
      <c r="AH87" s="125">
        <f t="shared" si="20"/>
        <v>1</v>
      </c>
      <c r="AI87" s="125">
        <f t="shared" si="20"/>
        <v>0</v>
      </c>
      <c r="AJ87" s="45" t="str">
        <f t="shared" si="10"/>
        <v>UNKNOWN</v>
      </c>
      <c r="AK87" s="58"/>
      <c r="AL87" s="58" t="str">
        <f t="shared" si="13"/>
        <v>C2</v>
      </c>
      <c r="AM87" s="60" t="str">
        <f t="shared" si="14"/>
        <v>00</v>
      </c>
      <c r="AN87" s="60" t="str">
        <f t="shared" si="15"/>
        <v>00</v>
      </c>
      <c r="AO87" s="60" t="str">
        <f t="shared" si="16"/>
        <v>00</v>
      </c>
      <c r="AQ87" t="str">
        <f t="shared" si="11"/>
        <v xml:space="preserve">    (U4)0x000000C2U,                                                           /* 16 UNKNOWN                                         */</v>
      </c>
    </row>
    <row r="88" spans="2:43">
      <c r="B88" s="132"/>
      <c r="C88" s="45">
        <f t="shared" si="12"/>
        <v>17</v>
      </c>
      <c r="D88" s="125">
        <f t="shared" si="20"/>
        <v>0</v>
      </c>
      <c r="E88" s="125">
        <f t="shared" si="20"/>
        <v>0</v>
      </c>
      <c r="F88" s="125">
        <f t="shared" si="20"/>
        <v>0</v>
      </c>
      <c r="G88" s="125">
        <f t="shared" si="20"/>
        <v>0</v>
      </c>
      <c r="H88" s="125">
        <f t="shared" si="20"/>
        <v>0</v>
      </c>
      <c r="I88" s="125">
        <f t="shared" si="20"/>
        <v>0</v>
      </c>
      <c r="J88" s="125">
        <f t="shared" si="20"/>
        <v>0</v>
      </c>
      <c r="K88" s="125">
        <f t="shared" si="20"/>
        <v>0</v>
      </c>
      <c r="L88" s="125">
        <f t="shared" si="20"/>
        <v>0</v>
      </c>
      <c r="M88" s="125">
        <f t="shared" si="20"/>
        <v>0</v>
      </c>
      <c r="N88" s="125">
        <f t="shared" si="20"/>
        <v>0</v>
      </c>
      <c r="O88" s="125">
        <f t="shared" si="20"/>
        <v>0</v>
      </c>
      <c r="P88" s="125">
        <f t="shared" si="20"/>
        <v>0</v>
      </c>
      <c r="Q88" s="125">
        <f t="shared" si="20"/>
        <v>0</v>
      </c>
      <c r="R88" s="125">
        <f t="shared" si="20"/>
        <v>0</v>
      </c>
      <c r="S88" s="125">
        <f t="shared" si="20"/>
        <v>0</v>
      </c>
      <c r="T88" s="125">
        <f t="shared" si="20"/>
        <v>0</v>
      </c>
      <c r="U88" s="125">
        <f t="shared" si="20"/>
        <v>0</v>
      </c>
      <c r="V88" s="125">
        <f t="shared" si="20"/>
        <v>0</v>
      </c>
      <c r="W88" s="125">
        <f t="shared" si="20"/>
        <v>0</v>
      </c>
      <c r="X88" s="125">
        <f t="shared" si="20"/>
        <v>0</v>
      </c>
      <c r="Y88" s="125">
        <f t="shared" si="20"/>
        <v>0</v>
      </c>
      <c r="Z88" s="125">
        <f t="shared" si="20"/>
        <v>0</v>
      </c>
      <c r="AA88" s="125">
        <f t="shared" si="20"/>
        <v>0</v>
      </c>
      <c r="AB88" s="125">
        <f t="shared" si="20"/>
        <v>1</v>
      </c>
      <c r="AC88" s="125">
        <f t="shared" si="20"/>
        <v>1</v>
      </c>
      <c r="AD88" s="125">
        <f t="shared" si="20"/>
        <v>0</v>
      </c>
      <c r="AE88" s="125">
        <f t="shared" si="20"/>
        <v>0</v>
      </c>
      <c r="AF88" s="125">
        <f t="shared" si="20"/>
        <v>0</v>
      </c>
      <c r="AG88" s="125">
        <f t="shared" si="20"/>
        <v>0</v>
      </c>
      <c r="AH88" s="125">
        <f t="shared" si="20"/>
        <v>1</v>
      </c>
      <c r="AI88" s="125">
        <f t="shared" si="20"/>
        <v>1</v>
      </c>
      <c r="AJ88" s="45" t="str">
        <f t="shared" si="10"/>
        <v>TMODE</v>
      </c>
      <c r="AK88" s="58"/>
      <c r="AL88" s="58" t="str">
        <f t="shared" si="13"/>
        <v>C3</v>
      </c>
      <c r="AM88" s="60" t="str">
        <f t="shared" si="14"/>
        <v>00</v>
      </c>
      <c r="AN88" s="60" t="str">
        <f t="shared" si="15"/>
        <v>00</v>
      </c>
      <c r="AO88" s="60" t="str">
        <f t="shared" si="16"/>
        <v>00</v>
      </c>
      <c r="AQ88" t="str">
        <f t="shared" si="11"/>
        <v xml:space="preserve">    (U4)0x000000C3U,                                                           /* 17 TMODE                                           */</v>
      </c>
    </row>
    <row r="89" spans="2:43">
      <c r="B89" s="132"/>
      <c r="C89" s="45">
        <f t="shared" si="12"/>
        <v>18</v>
      </c>
      <c r="D89" s="125">
        <f t="shared" si="20"/>
        <v>0</v>
      </c>
      <c r="E89" s="125">
        <f t="shared" si="20"/>
        <v>0</v>
      </c>
      <c r="F89" s="125">
        <f t="shared" si="20"/>
        <v>0</v>
      </c>
      <c r="G89" s="125">
        <f t="shared" si="20"/>
        <v>0</v>
      </c>
      <c r="H89" s="125">
        <f t="shared" si="20"/>
        <v>0</v>
      </c>
      <c r="I89" s="125">
        <f t="shared" si="20"/>
        <v>0</v>
      </c>
      <c r="J89" s="125">
        <f t="shared" si="20"/>
        <v>0</v>
      </c>
      <c r="K89" s="125">
        <f t="shared" si="20"/>
        <v>0</v>
      </c>
      <c r="L89" s="125">
        <f t="shared" si="20"/>
        <v>0</v>
      </c>
      <c r="M89" s="125">
        <f t="shared" si="20"/>
        <v>0</v>
      </c>
      <c r="N89" s="125">
        <f t="shared" si="20"/>
        <v>0</v>
      </c>
      <c r="O89" s="125">
        <f t="shared" si="20"/>
        <v>0</v>
      </c>
      <c r="P89" s="125">
        <f t="shared" si="20"/>
        <v>0</v>
      </c>
      <c r="Q89" s="125">
        <f t="shared" si="20"/>
        <v>0</v>
      </c>
      <c r="R89" s="125">
        <f t="shared" si="20"/>
        <v>0</v>
      </c>
      <c r="S89" s="125">
        <f t="shared" si="20"/>
        <v>0</v>
      </c>
      <c r="T89" s="125">
        <f t="shared" si="20"/>
        <v>0</v>
      </c>
      <c r="U89" s="125">
        <f t="shared" si="20"/>
        <v>0</v>
      </c>
      <c r="V89" s="125">
        <f t="shared" si="20"/>
        <v>0</v>
      </c>
      <c r="W89" s="125">
        <f t="shared" si="20"/>
        <v>0</v>
      </c>
      <c r="X89" s="125">
        <f t="shared" si="20"/>
        <v>0</v>
      </c>
      <c r="Y89" s="125">
        <f t="shared" si="20"/>
        <v>0</v>
      </c>
      <c r="Z89" s="125">
        <f t="shared" si="20"/>
        <v>0</v>
      </c>
      <c r="AA89" s="125">
        <f t="shared" si="20"/>
        <v>0</v>
      </c>
      <c r="AB89" s="125">
        <f t="shared" si="20"/>
        <v>1</v>
      </c>
      <c r="AC89" s="125">
        <f t="shared" si="20"/>
        <v>1</v>
      </c>
      <c r="AD89" s="125">
        <f t="shared" si="20"/>
        <v>0</v>
      </c>
      <c r="AE89" s="125">
        <f t="shared" si="20"/>
        <v>0</v>
      </c>
      <c r="AF89" s="125">
        <f t="shared" si="20"/>
        <v>0</v>
      </c>
      <c r="AG89" s="125">
        <f t="shared" si="20"/>
        <v>1</v>
      </c>
      <c r="AH89" s="125">
        <f t="shared" si="20"/>
        <v>0</v>
      </c>
      <c r="AI89" s="125">
        <f t="shared" si="20"/>
        <v>0</v>
      </c>
      <c r="AJ89" s="45" t="str">
        <f t="shared" si="10"/>
        <v>UNKNOWN</v>
      </c>
      <c r="AK89" s="58"/>
      <c r="AL89" s="58" t="str">
        <f t="shared" si="13"/>
        <v>C4</v>
      </c>
      <c r="AM89" s="60" t="str">
        <f t="shared" si="14"/>
        <v>00</v>
      </c>
      <c r="AN89" s="60" t="str">
        <f t="shared" si="15"/>
        <v>00</v>
      </c>
      <c r="AO89" s="60" t="str">
        <f t="shared" si="16"/>
        <v>00</v>
      </c>
      <c r="AQ89" t="str">
        <f t="shared" si="11"/>
        <v xml:space="preserve">    (U4)0x000000C4U,                                                           /* 18 UNKNOWN                                         */</v>
      </c>
    </row>
    <row r="90" spans="2:43">
      <c r="B90" s="132"/>
      <c r="C90" s="45">
        <f t="shared" si="12"/>
        <v>19</v>
      </c>
      <c r="D90" s="125">
        <f t="shared" si="20"/>
        <v>0</v>
      </c>
      <c r="E90" s="125">
        <f t="shared" si="20"/>
        <v>0</v>
      </c>
      <c r="F90" s="125">
        <f t="shared" si="20"/>
        <v>0</v>
      </c>
      <c r="G90" s="125">
        <f t="shared" si="20"/>
        <v>0</v>
      </c>
      <c r="H90" s="125">
        <f t="shared" si="20"/>
        <v>0</v>
      </c>
      <c r="I90" s="125">
        <f t="shared" si="20"/>
        <v>0</v>
      </c>
      <c r="J90" s="125">
        <f t="shared" si="20"/>
        <v>0</v>
      </c>
      <c r="K90" s="125">
        <f t="shared" si="20"/>
        <v>0</v>
      </c>
      <c r="L90" s="125">
        <f t="shared" si="20"/>
        <v>0</v>
      </c>
      <c r="M90" s="125">
        <f t="shared" si="20"/>
        <v>0</v>
      </c>
      <c r="N90" s="125">
        <f t="shared" si="20"/>
        <v>0</v>
      </c>
      <c r="O90" s="125">
        <f t="shared" si="20"/>
        <v>0</v>
      </c>
      <c r="P90" s="125">
        <f t="shared" si="20"/>
        <v>0</v>
      </c>
      <c r="Q90" s="125">
        <f t="shared" si="20"/>
        <v>0</v>
      </c>
      <c r="R90" s="125">
        <f t="shared" si="20"/>
        <v>0</v>
      </c>
      <c r="S90" s="125">
        <f t="shared" si="20"/>
        <v>0</v>
      </c>
      <c r="T90" s="125">
        <f t="shared" si="20"/>
        <v>0</v>
      </c>
      <c r="U90" s="125">
        <f t="shared" si="20"/>
        <v>0</v>
      </c>
      <c r="V90" s="125">
        <f t="shared" si="20"/>
        <v>0</v>
      </c>
      <c r="W90" s="125">
        <f t="shared" si="20"/>
        <v>0</v>
      </c>
      <c r="X90" s="125">
        <f t="shared" si="20"/>
        <v>0</v>
      </c>
      <c r="Y90" s="125">
        <f t="shared" si="20"/>
        <v>0</v>
      </c>
      <c r="Z90" s="125">
        <f t="shared" si="20"/>
        <v>0</v>
      </c>
      <c r="AA90" s="125">
        <f t="shared" si="20"/>
        <v>0</v>
      </c>
      <c r="AB90" s="125">
        <f t="shared" si="20"/>
        <v>1</v>
      </c>
      <c r="AC90" s="125">
        <f t="shared" si="20"/>
        <v>1</v>
      </c>
      <c r="AD90" s="125">
        <f t="shared" si="20"/>
        <v>0</v>
      </c>
      <c r="AE90" s="125">
        <f t="shared" si="20"/>
        <v>0</v>
      </c>
      <c r="AF90" s="125">
        <f t="shared" si="20"/>
        <v>1</v>
      </c>
      <c r="AG90" s="125">
        <f t="shared" si="20"/>
        <v>0</v>
      </c>
      <c r="AH90" s="125">
        <f t="shared" si="20"/>
        <v>0</v>
      </c>
      <c r="AI90" s="125">
        <f t="shared" si="20"/>
        <v>0</v>
      </c>
      <c r="AJ90" s="45" t="str">
        <f t="shared" si="10"/>
        <v>UNKNOWN</v>
      </c>
      <c r="AK90" s="58"/>
      <c r="AL90" s="58" t="str">
        <f t="shared" si="13"/>
        <v>C8</v>
      </c>
      <c r="AM90" s="60" t="str">
        <f t="shared" si="14"/>
        <v>00</v>
      </c>
      <c r="AN90" s="60" t="str">
        <f t="shared" si="15"/>
        <v>00</v>
      </c>
      <c r="AO90" s="60" t="str">
        <f t="shared" si="16"/>
        <v>00</v>
      </c>
      <c r="AQ90" t="str">
        <f t="shared" si="11"/>
        <v xml:space="preserve">    (U4)0x000000C8U                                                            /* 19 UNKNOWN                                         */</v>
      </c>
    </row>
    <row r="91" spans="2:43">
      <c r="B91" s="132"/>
      <c r="C91" s="45">
        <f t="shared" si="12"/>
        <v>20</v>
      </c>
      <c r="D91" s="125">
        <f t="shared" si="20"/>
        <v>0</v>
      </c>
      <c r="E91" s="125">
        <f t="shared" si="20"/>
        <v>0</v>
      </c>
      <c r="F91" s="125">
        <f t="shared" si="20"/>
        <v>0</v>
      </c>
      <c r="G91" s="125">
        <f t="shared" si="20"/>
        <v>0</v>
      </c>
      <c r="H91" s="125">
        <f t="shared" si="20"/>
        <v>0</v>
      </c>
      <c r="I91" s="125">
        <f t="shared" si="20"/>
        <v>0</v>
      </c>
      <c r="J91" s="125">
        <f t="shared" si="20"/>
        <v>0</v>
      </c>
      <c r="K91" s="125">
        <f t="shared" si="20"/>
        <v>0</v>
      </c>
      <c r="L91" s="125">
        <f t="shared" si="20"/>
        <v>0</v>
      </c>
      <c r="M91" s="125">
        <f t="shared" si="20"/>
        <v>0</v>
      </c>
      <c r="N91" s="125">
        <f t="shared" si="20"/>
        <v>0</v>
      </c>
      <c r="O91" s="125">
        <f t="shared" si="20"/>
        <v>0</v>
      </c>
      <c r="P91" s="125">
        <f t="shared" si="20"/>
        <v>0</v>
      </c>
      <c r="Q91" s="125">
        <f t="shared" si="20"/>
        <v>0</v>
      </c>
      <c r="R91" s="125">
        <f t="shared" si="20"/>
        <v>0</v>
      </c>
      <c r="S91" s="125">
        <f t="shared" si="20"/>
        <v>0</v>
      </c>
      <c r="T91" s="125">
        <f t="shared" si="20"/>
        <v>0</v>
      </c>
      <c r="U91" s="125">
        <f t="shared" si="20"/>
        <v>0</v>
      </c>
      <c r="V91" s="125">
        <f t="shared" si="20"/>
        <v>0</v>
      </c>
      <c r="W91" s="125">
        <f t="shared" si="20"/>
        <v>0</v>
      </c>
      <c r="X91" s="125">
        <f t="shared" si="20"/>
        <v>0</v>
      </c>
      <c r="Y91" s="125">
        <f t="shared" si="20"/>
        <v>0</v>
      </c>
      <c r="Z91" s="125">
        <f t="shared" si="20"/>
        <v>0</v>
      </c>
      <c r="AA91" s="125">
        <f t="shared" si="20"/>
        <v>0</v>
      </c>
      <c r="AB91" s="125">
        <f t="shared" si="20"/>
        <v>0</v>
      </c>
      <c r="AC91" s="125">
        <f t="shared" si="20"/>
        <v>0</v>
      </c>
      <c r="AD91" s="125">
        <f t="shared" si="20"/>
        <v>0</v>
      </c>
      <c r="AE91" s="125">
        <f t="shared" si="20"/>
        <v>0</v>
      </c>
      <c r="AF91" s="125">
        <f t="shared" si="20"/>
        <v>0</v>
      </c>
      <c r="AG91" s="125">
        <f t="shared" si="20"/>
        <v>0</v>
      </c>
      <c r="AH91" s="125">
        <f t="shared" si="20"/>
        <v>0</v>
      </c>
      <c r="AI91" s="125">
        <f t="shared" si="20"/>
        <v>0</v>
      </c>
      <c r="AJ91" s="45" t="str">
        <f t="shared" si="10"/>
        <v/>
      </c>
      <c r="AK91" s="58"/>
      <c r="AL91" s="58" t="str">
        <f t="shared" si="13"/>
        <v>00</v>
      </c>
      <c r="AM91" s="60" t="str">
        <f t="shared" si="14"/>
        <v>00</v>
      </c>
      <c r="AN91" s="60" t="str">
        <f t="shared" si="15"/>
        <v>00</v>
      </c>
      <c r="AO91" s="60" t="str">
        <f t="shared" si="16"/>
        <v>00</v>
      </c>
      <c r="AQ91" t="str">
        <f t="shared" si="11"/>
        <v/>
      </c>
    </row>
    <row r="92" spans="2:43">
      <c r="B92" s="132"/>
      <c r="C92" s="45">
        <f t="shared" si="12"/>
        <v>21</v>
      </c>
      <c r="D92" s="125">
        <f t="shared" si="20"/>
        <v>0</v>
      </c>
      <c r="E92" s="125">
        <f t="shared" si="20"/>
        <v>0</v>
      </c>
      <c r="F92" s="125">
        <f t="shared" si="20"/>
        <v>0</v>
      </c>
      <c r="G92" s="125">
        <f t="shared" si="20"/>
        <v>0</v>
      </c>
      <c r="H92" s="125">
        <f t="shared" si="20"/>
        <v>0</v>
      </c>
      <c r="I92" s="125">
        <f t="shared" si="20"/>
        <v>0</v>
      </c>
      <c r="J92" s="125">
        <f t="shared" si="20"/>
        <v>0</v>
      </c>
      <c r="K92" s="125">
        <f t="shared" si="20"/>
        <v>0</v>
      </c>
      <c r="L92" s="125">
        <f t="shared" si="20"/>
        <v>0</v>
      </c>
      <c r="M92" s="125">
        <f t="shared" si="20"/>
        <v>0</v>
      </c>
      <c r="N92" s="125">
        <f t="shared" si="20"/>
        <v>0</v>
      </c>
      <c r="O92" s="125">
        <f t="shared" si="20"/>
        <v>0</v>
      </c>
      <c r="P92" s="125">
        <f t="shared" si="20"/>
        <v>0</v>
      </c>
      <c r="Q92" s="125">
        <f t="shared" si="20"/>
        <v>0</v>
      </c>
      <c r="R92" s="125">
        <f t="shared" si="20"/>
        <v>0</v>
      </c>
      <c r="S92" s="125">
        <f t="shared" si="20"/>
        <v>0</v>
      </c>
      <c r="T92" s="125">
        <f t="shared" si="20"/>
        <v>0</v>
      </c>
      <c r="U92" s="125">
        <f t="shared" si="20"/>
        <v>0</v>
      </c>
      <c r="V92" s="125">
        <f t="shared" si="20"/>
        <v>0</v>
      </c>
      <c r="W92" s="125">
        <f t="shared" si="20"/>
        <v>0</v>
      </c>
      <c r="X92" s="125">
        <f t="shared" si="20"/>
        <v>0</v>
      </c>
      <c r="Y92" s="125">
        <f t="shared" si="20"/>
        <v>0</v>
      </c>
      <c r="Z92" s="125">
        <f t="shared" si="20"/>
        <v>0</v>
      </c>
      <c r="AA92" s="125">
        <f t="shared" si="20"/>
        <v>0</v>
      </c>
      <c r="AB92" s="125">
        <f t="shared" si="20"/>
        <v>0</v>
      </c>
      <c r="AC92" s="125">
        <f t="shared" si="20"/>
        <v>0</v>
      </c>
      <c r="AD92" s="125">
        <f t="shared" si="20"/>
        <v>0</v>
      </c>
      <c r="AE92" s="125">
        <f t="shared" si="20"/>
        <v>0</v>
      </c>
      <c r="AF92" s="125">
        <f t="shared" si="20"/>
        <v>0</v>
      </c>
      <c r="AG92" s="125">
        <f t="shared" si="20"/>
        <v>0</v>
      </c>
      <c r="AH92" s="125">
        <f t="shared" si="20"/>
        <v>0</v>
      </c>
      <c r="AI92" s="125">
        <f t="shared" si="20"/>
        <v>0</v>
      </c>
      <c r="AJ92" s="45" t="str">
        <f t="shared" si="10"/>
        <v/>
      </c>
      <c r="AK92" s="58"/>
      <c r="AL92" s="58" t="str">
        <f t="shared" si="13"/>
        <v>00</v>
      </c>
      <c r="AM92" s="60" t="str">
        <f t="shared" si="14"/>
        <v>00</v>
      </c>
      <c r="AN92" s="60" t="str">
        <f t="shared" si="15"/>
        <v>00</v>
      </c>
      <c r="AO92" s="60" t="str">
        <f t="shared" si="16"/>
        <v>00</v>
      </c>
      <c r="AQ92" t="str">
        <f t="shared" si="11"/>
        <v/>
      </c>
    </row>
    <row r="93" spans="2:43">
      <c r="B93" s="132"/>
      <c r="C93" s="45">
        <f t="shared" si="12"/>
        <v>22</v>
      </c>
      <c r="D93" s="125">
        <f t="shared" si="20"/>
        <v>0</v>
      </c>
      <c r="E93" s="125">
        <f t="shared" si="20"/>
        <v>0</v>
      </c>
      <c r="F93" s="125">
        <f t="shared" si="20"/>
        <v>0</v>
      </c>
      <c r="G93" s="125">
        <f t="shared" si="20"/>
        <v>0</v>
      </c>
      <c r="H93" s="125">
        <f t="shared" si="20"/>
        <v>0</v>
      </c>
      <c r="I93" s="125">
        <f t="shared" si="20"/>
        <v>0</v>
      </c>
      <c r="J93" s="125">
        <f t="shared" si="20"/>
        <v>0</v>
      </c>
      <c r="K93" s="125">
        <f t="shared" si="20"/>
        <v>0</v>
      </c>
      <c r="L93" s="125">
        <f t="shared" si="20"/>
        <v>0</v>
      </c>
      <c r="M93" s="125">
        <f t="shared" si="20"/>
        <v>0</v>
      </c>
      <c r="N93" s="125">
        <f t="shared" si="20"/>
        <v>0</v>
      </c>
      <c r="O93" s="125">
        <f t="shared" si="20"/>
        <v>0</v>
      </c>
      <c r="P93" s="125">
        <f t="shared" si="20"/>
        <v>0</v>
      </c>
      <c r="Q93" s="125">
        <f t="shared" si="20"/>
        <v>0</v>
      </c>
      <c r="R93" s="125">
        <f t="shared" si="20"/>
        <v>0</v>
      </c>
      <c r="S93" s="125">
        <f t="shared" si="20"/>
        <v>0</v>
      </c>
      <c r="T93" s="125">
        <f t="shared" si="20"/>
        <v>0</v>
      </c>
      <c r="U93" s="125">
        <f t="shared" si="20"/>
        <v>0</v>
      </c>
      <c r="V93" s="125">
        <f t="shared" si="20"/>
        <v>0</v>
      </c>
      <c r="W93" s="125">
        <f t="shared" si="20"/>
        <v>0</v>
      </c>
      <c r="X93" s="125">
        <f t="shared" si="20"/>
        <v>0</v>
      </c>
      <c r="Y93" s="125">
        <f t="shared" si="20"/>
        <v>0</v>
      </c>
      <c r="Z93" s="125">
        <f t="shared" si="20"/>
        <v>0</v>
      </c>
      <c r="AA93" s="125">
        <f t="shared" si="20"/>
        <v>0</v>
      </c>
      <c r="AB93" s="125">
        <f t="shared" si="20"/>
        <v>0</v>
      </c>
      <c r="AC93" s="125">
        <f t="shared" si="20"/>
        <v>0</v>
      </c>
      <c r="AD93" s="125">
        <f t="shared" si="20"/>
        <v>0</v>
      </c>
      <c r="AE93" s="125">
        <f t="shared" si="20"/>
        <v>0</v>
      </c>
      <c r="AF93" s="125">
        <f t="shared" si="20"/>
        <v>0</v>
      </c>
      <c r="AG93" s="125">
        <f t="shared" si="20"/>
        <v>0</v>
      </c>
      <c r="AH93" s="125">
        <f t="shared" si="20"/>
        <v>0</v>
      </c>
      <c r="AI93" s="125">
        <f t="shared" si="20"/>
        <v>0</v>
      </c>
      <c r="AJ93" s="45" t="str">
        <f t="shared" si="10"/>
        <v/>
      </c>
      <c r="AK93" s="58"/>
      <c r="AL93" s="58" t="str">
        <f t="shared" si="13"/>
        <v>00</v>
      </c>
      <c r="AM93" s="60" t="str">
        <f t="shared" si="14"/>
        <v>00</v>
      </c>
      <c r="AN93" s="60" t="str">
        <f t="shared" si="15"/>
        <v>00</v>
      </c>
      <c r="AO93" s="60" t="str">
        <f t="shared" si="16"/>
        <v>00</v>
      </c>
      <c r="AQ93" t="str">
        <f t="shared" si="11"/>
        <v/>
      </c>
    </row>
    <row r="94" spans="2:43">
      <c r="B94" s="132"/>
      <c r="C94" s="45">
        <f t="shared" si="12"/>
        <v>23</v>
      </c>
      <c r="D94" s="125">
        <f t="shared" si="20"/>
        <v>0</v>
      </c>
      <c r="E94" s="125">
        <f t="shared" si="20"/>
        <v>0</v>
      </c>
      <c r="F94" s="125">
        <f t="shared" si="20"/>
        <v>0</v>
      </c>
      <c r="G94" s="125">
        <f t="shared" si="20"/>
        <v>0</v>
      </c>
      <c r="H94" s="125">
        <f t="shared" si="20"/>
        <v>0</v>
      </c>
      <c r="I94" s="125">
        <f t="shared" si="20"/>
        <v>0</v>
      </c>
      <c r="J94" s="125">
        <f t="shared" si="20"/>
        <v>0</v>
      </c>
      <c r="K94" s="125">
        <f t="shared" si="20"/>
        <v>0</v>
      </c>
      <c r="L94" s="125">
        <f t="shared" si="20"/>
        <v>0</v>
      </c>
      <c r="M94" s="125">
        <f t="shared" si="20"/>
        <v>0</v>
      </c>
      <c r="N94" s="125">
        <f t="shared" si="20"/>
        <v>0</v>
      </c>
      <c r="O94" s="125">
        <f t="shared" si="20"/>
        <v>0</v>
      </c>
      <c r="P94" s="125">
        <f t="shared" si="20"/>
        <v>0</v>
      </c>
      <c r="Q94" s="125">
        <f t="shared" si="20"/>
        <v>0</v>
      </c>
      <c r="R94" s="125">
        <f t="shared" si="20"/>
        <v>0</v>
      </c>
      <c r="S94" s="125">
        <f t="shared" si="20"/>
        <v>0</v>
      </c>
      <c r="T94" s="125">
        <f t="shared" si="20"/>
        <v>0</v>
      </c>
      <c r="U94" s="125">
        <f t="shared" si="20"/>
        <v>0</v>
      </c>
      <c r="V94" s="125">
        <f t="shared" si="20"/>
        <v>0</v>
      </c>
      <c r="W94" s="125">
        <f t="shared" si="20"/>
        <v>0</v>
      </c>
      <c r="X94" s="125">
        <f t="shared" si="20"/>
        <v>0</v>
      </c>
      <c r="Y94" s="125">
        <f t="shared" si="20"/>
        <v>0</v>
      </c>
      <c r="Z94" s="125">
        <f t="shared" si="20"/>
        <v>0</v>
      </c>
      <c r="AA94" s="125">
        <f t="shared" si="20"/>
        <v>0</v>
      </c>
      <c r="AB94" s="125">
        <f t="shared" si="20"/>
        <v>0</v>
      </c>
      <c r="AC94" s="125">
        <f t="shared" si="20"/>
        <v>0</v>
      </c>
      <c r="AD94" s="125">
        <f t="shared" si="20"/>
        <v>0</v>
      </c>
      <c r="AE94" s="125">
        <f t="shared" si="20"/>
        <v>0</v>
      </c>
      <c r="AF94" s="125">
        <f t="shared" si="20"/>
        <v>0</v>
      </c>
      <c r="AG94" s="125">
        <f t="shared" si="20"/>
        <v>0</v>
      </c>
      <c r="AH94" s="125">
        <f t="shared" si="20"/>
        <v>0</v>
      </c>
      <c r="AI94" s="125">
        <f t="shared" ref="AI94" si="21">IF(AI29=1,1,0)</f>
        <v>0</v>
      </c>
      <c r="AJ94" s="45" t="str">
        <f t="shared" si="10"/>
        <v/>
      </c>
      <c r="AK94" s="58"/>
      <c r="AL94" s="58" t="str">
        <f t="shared" si="13"/>
        <v>00</v>
      </c>
      <c r="AM94" s="60" t="str">
        <f t="shared" si="14"/>
        <v>00</v>
      </c>
      <c r="AN94" s="60" t="str">
        <f t="shared" si="15"/>
        <v>00</v>
      </c>
      <c r="AO94" s="60" t="str">
        <f t="shared" si="16"/>
        <v>00</v>
      </c>
      <c r="AQ94" t="str">
        <f t="shared" si="11"/>
        <v/>
      </c>
    </row>
    <row r="95" spans="2:43">
      <c r="B95" s="132"/>
      <c r="C95" s="45">
        <f t="shared" si="12"/>
        <v>24</v>
      </c>
      <c r="D95" s="125">
        <f t="shared" ref="D95:AI102" si="22">IF(D30=1,1,0)</f>
        <v>0</v>
      </c>
      <c r="E95" s="125">
        <f t="shared" si="22"/>
        <v>0</v>
      </c>
      <c r="F95" s="125">
        <f t="shared" si="22"/>
        <v>0</v>
      </c>
      <c r="G95" s="125">
        <f t="shared" si="22"/>
        <v>0</v>
      </c>
      <c r="H95" s="125">
        <f t="shared" si="22"/>
        <v>0</v>
      </c>
      <c r="I95" s="125">
        <f t="shared" si="22"/>
        <v>0</v>
      </c>
      <c r="J95" s="125">
        <f t="shared" si="22"/>
        <v>0</v>
      </c>
      <c r="K95" s="125">
        <f t="shared" si="22"/>
        <v>0</v>
      </c>
      <c r="L95" s="125">
        <f t="shared" si="22"/>
        <v>0</v>
      </c>
      <c r="M95" s="125">
        <f t="shared" si="22"/>
        <v>0</v>
      </c>
      <c r="N95" s="125">
        <f t="shared" si="22"/>
        <v>0</v>
      </c>
      <c r="O95" s="125">
        <f t="shared" si="22"/>
        <v>0</v>
      </c>
      <c r="P95" s="125">
        <f t="shared" si="22"/>
        <v>0</v>
      </c>
      <c r="Q95" s="125">
        <f t="shared" si="22"/>
        <v>0</v>
      </c>
      <c r="R95" s="125">
        <f t="shared" si="22"/>
        <v>0</v>
      </c>
      <c r="S95" s="125">
        <f t="shared" si="22"/>
        <v>0</v>
      </c>
      <c r="T95" s="125">
        <f t="shared" si="22"/>
        <v>0</v>
      </c>
      <c r="U95" s="125">
        <f t="shared" si="22"/>
        <v>0</v>
      </c>
      <c r="V95" s="125">
        <f t="shared" si="22"/>
        <v>0</v>
      </c>
      <c r="W95" s="125">
        <f t="shared" si="22"/>
        <v>0</v>
      </c>
      <c r="X95" s="125">
        <f t="shared" si="22"/>
        <v>0</v>
      </c>
      <c r="Y95" s="125">
        <f t="shared" si="22"/>
        <v>0</v>
      </c>
      <c r="Z95" s="125">
        <f t="shared" si="22"/>
        <v>0</v>
      </c>
      <c r="AA95" s="125">
        <f t="shared" si="22"/>
        <v>0</v>
      </c>
      <c r="AB95" s="125">
        <f t="shared" si="22"/>
        <v>0</v>
      </c>
      <c r="AC95" s="125">
        <f t="shared" si="22"/>
        <v>0</v>
      </c>
      <c r="AD95" s="125">
        <f t="shared" si="22"/>
        <v>0</v>
      </c>
      <c r="AE95" s="125">
        <f t="shared" si="22"/>
        <v>0</v>
      </c>
      <c r="AF95" s="125">
        <f t="shared" si="22"/>
        <v>0</v>
      </c>
      <c r="AG95" s="125">
        <f t="shared" si="22"/>
        <v>0</v>
      </c>
      <c r="AH95" s="125">
        <f t="shared" si="22"/>
        <v>0</v>
      </c>
      <c r="AI95" s="125">
        <f t="shared" si="22"/>
        <v>0</v>
      </c>
      <c r="AJ95" s="45" t="str">
        <f t="shared" si="10"/>
        <v/>
      </c>
      <c r="AK95" s="58"/>
      <c r="AL95" s="58" t="str">
        <f t="shared" si="13"/>
        <v>00</v>
      </c>
      <c r="AM95" s="60" t="str">
        <f t="shared" si="14"/>
        <v>00</v>
      </c>
      <c r="AN95" s="60" t="str">
        <f t="shared" si="15"/>
        <v>00</v>
      </c>
      <c r="AO95" s="60" t="str">
        <f t="shared" si="16"/>
        <v>00</v>
      </c>
      <c r="AQ95" t="str">
        <f t="shared" si="11"/>
        <v/>
      </c>
    </row>
    <row r="96" spans="2:43">
      <c r="B96" s="132"/>
      <c r="C96" s="45">
        <f t="shared" si="12"/>
        <v>25</v>
      </c>
      <c r="D96" s="125">
        <f t="shared" si="22"/>
        <v>0</v>
      </c>
      <c r="E96" s="125">
        <f t="shared" si="22"/>
        <v>0</v>
      </c>
      <c r="F96" s="125">
        <f t="shared" si="22"/>
        <v>0</v>
      </c>
      <c r="G96" s="125">
        <f t="shared" si="22"/>
        <v>0</v>
      </c>
      <c r="H96" s="125">
        <f t="shared" si="22"/>
        <v>0</v>
      </c>
      <c r="I96" s="125">
        <f t="shared" si="22"/>
        <v>0</v>
      </c>
      <c r="J96" s="125">
        <f t="shared" si="22"/>
        <v>0</v>
      </c>
      <c r="K96" s="125">
        <f t="shared" si="22"/>
        <v>0</v>
      </c>
      <c r="L96" s="125">
        <f t="shared" si="22"/>
        <v>0</v>
      </c>
      <c r="M96" s="125">
        <f t="shared" si="22"/>
        <v>0</v>
      </c>
      <c r="N96" s="125">
        <f t="shared" si="22"/>
        <v>0</v>
      </c>
      <c r="O96" s="125">
        <f t="shared" si="22"/>
        <v>0</v>
      </c>
      <c r="P96" s="125">
        <f t="shared" si="22"/>
        <v>0</v>
      </c>
      <c r="Q96" s="125">
        <f t="shared" si="22"/>
        <v>0</v>
      </c>
      <c r="R96" s="125">
        <f t="shared" si="22"/>
        <v>0</v>
      </c>
      <c r="S96" s="125">
        <f t="shared" si="22"/>
        <v>0</v>
      </c>
      <c r="T96" s="125">
        <f t="shared" si="22"/>
        <v>0</v>
      </c>
      <c r="U96" s="125">
        <f t="shared" si="22"/>
        <v>0</v>
      </c>
      <c r="V96" s="125">
        <f t="shared" si="22"/>
        <v>0</v>
      </c>
      <c r="W96" s="125">
        <f t="shared" si="22"/>
        <v>0</v>
      </c>
      <c r="X96" s="125">
        <f t="shared" si="22"/>
        <v>0</v>
      </c>
      <c r="Y96" s="125">
        <f t="shared" si="22"/>
        <v>0</v>
      </c>
      <c r="Z96" s="125">
        <f t="shared" si="22"/>
        <v>0</v>
      </c>
      <c r="AA96" s="125">
        <f t="shared" si="22"/>
        <v>0</v>
      </c>
      <c r="AB96" s="125">
        <f t="shared" si="22"/>
        <v>0</v>
      </c>
      <c r="AC96" s="125">
        <f t="shared" si="22"/>
        <v>0</v>
      </c>
      <c r="AD96" s="125">
        <f t="shared" si="22"/>
        <v>0</v>
      </c>
      <c r="AE96" s="125">
        <f t="shared" si="22"/>
        <v>0</v>
      </c>
      <c r="AF96" s="125">
        <f t="shared" si="22"/>
        <v>0</v>
      </c>
      <c r="AG96" s="125">
        <f t="shared" si="22"/>
        <v>0</v>
      </c>
      <c r="AH96" s="125">
        <f t="shared" si="22"/>
        <v>0</v>
      </c>
      <c r="AI96" s="125">
        <f t="shared" si="22"/>
        <v>0</v>
      </c>
      <c r="AJ96" s="45" t="str">
        <f t="shared" si="10"/>
        <v/>
      </c>
      <c r="AK96" s="58"/>
      <c r="AL96" s="58" t="str">
        <f t="shared" si="13"/>
        <v>00</v>
      </c>
      <c r="AM96" s="60" t="str">
        <f t="shared" si="14"/>
        <v>00</v>
      </c>
      <c r="AN96" s="60" t="str">
        <f t="shared" si="15"/>
        <v>00</v>
      </c>
      <c r="AO96" s="60" t="str">
        <f t="shared" si="16"/>
        <v>00</v>
      </c>
      <c r="AQ96" t="str">
        <f t="shared" si="11"/>
        <v/>
      </c>
    </row>
    <row r="97" spans="2:43">
      <c r="B97" s="132"/>
      <c r="C97" s="45">
        <f t="shared" si="12"/>
        <v>26</v>
      </c>
      <c r="D97" s="125">
        <f t="shared" si="22"/>
        <v>0</v>
      </c>
      <c r="E97" s="125">
        <f t="shared" si="22"/>
        <v>0</v>
      </c>
      <c r="F97" s="125">
        <f t="shared" si="22"/>
        <v>0</v>
      </c>
      <c r="G97" s="125">
        <f t="shared" si="22"/>
        <v>0</v>
      </c>
      <c r="H97" s="125">
        <f t="shared" si="22"/>
        <v>0</v>
      </c>
      <c r="I97" s="125">
        <f t="shared" si="22"/>
        <v>0</v>
      </c>
      <c r="J97" s="125">
        <f t="shared" si="22"/>
        <v>0</v>
      </c>
      <c r="K97" s="125">
        <f t="shared" si="22"/>
        <v>0</v>
      </c>
      <c r="L97" s="125">
        <f t="shared" si="22"/>
        <v>0</v>
      </c>
      <c r="M97" s="125">
        <f t="shared" si="22"/>
        <v>0</v>
      </c>
      <c r="N97" s="125">
        <f t="shared" si="22"/>
        <v>0</v>
      </c>
      <c r="O97" s="125">
        <f t="shared" si="22"/>
        <v>0</v>
      </c>
      <c r="P97" s="125">
        <f t="shared" si="22"/>
        <v>0</v>
      </c>
      <c r="Q97" s="125">
        <f t="shared" si="22"/>
        <v>0</v>
      </c>
      <c r="R97" s="125">
        <f t="shared" si="22"/>
        <v>0</v>
      </c>
      <c r="S97" s="125">
        <f t="shared" si="22"/>
        <v>0</v>
      </c>
      <c r="T97" s="125">
        <f t="shared" si="22"/>
        <v>0</v>
      </c>
      <c r="U97" s="125">
        <f t="shared" si="22"/>
        <v>0</v>
      </c>
      <c r="V97" s="125">
        <f t="shared" si="22"/>
        <v>0</v>
      </c>
      <c r="W97" s="125">
        <f t="shared" si="22"/>
        <v>0</v>
      </c>
      <c r="X97" s="125">
        <f t="shared" si="22"/>
        <v>0</v>
      </c>
      <c r="Y97" s="125">
        <f t="shared" si="22"/>
        <v>0</v>
      </c>
      <c r="Z97" s="125">
        <f t="shared" si="22"/>
        <v>0</v>
      </c>
      <c r="AA97" s="125">
        <f t="shared" si="22"/>
        <v>0</v>
      </c>
      <c r="AB97" s="125">
        <f t="shared" si="22"/>
        <v>0</v>
      </c>
      <c r="AC97" s="125">
        <f t="shared" si="22"/>
        <v>0</v>
      </c>
      <c r="AD97" s="125">
        <f t="shared" si="22"/>
        <v>0</v>
      </c>
      <c r="AE97" s="125">
        <f t="shared" si="22"/>
        <v>0</v>
      </c>
      <c r="AF97" s="125">
        <f t="shared" si="22"/>
        <v>0</v>
      </c>
      <c r="AG97" s="125">
        <f t="shared" si="22"/>
        <v>0</v>
      </c>
      <c r="AH97" s="125">
        <f t="shared" si="22"/>
        <v>0</v>
      </c>
      <c r="AI97" s="125">
        <f t="shared" si="22"/>
        <v>0</v>
      </c>
      <c r="AJ97" s="45" t="str">
        <f t="shared" si="10"/>
        <v/>
      </c>
      <c r="AK97" s="58"/>
      <c r="AL97" s="58" t="str">
        <f t="shared" si="13"/>
        <v>00</v>
      </c>
      <c r="AM97" s="60" t="str">
        <f t="shared" si="14"/>
        <v>00</v>
      </c>
      <c r="AN97" s="60" t="str">
        <f t="shared" si="15"/>
        <v>00</v>
      </c>
      <c r="AO97" s="60" t="str">
        <f t="shared" si="16"/>
        <v>00</v>
      </c>
      <c r="AQ97" t="str">
        <f t="shared" si="11"/>
        <v/>
      </c>
    </row>
    <row r="98" spans="2:43">
      <c r="B98" s="132"/>
      <c r="C98" s="45">
        <f t="shared" si="12"/>
        <v>27</v>
      </c>
      <c r="D98" s="125">
        <f t="shared" si="22"/>
        <v>0</v>
      </c>
      <c r="E98" s="125">
        <f t="shared" si="22"/>
        <v>0</v>
      </c>
      <c r="F98" s="125">
        <f t="shared" si="22"/>
        <v>0</v>
      </c>
      <c r="G98" s="125">
        <f t="shared" si="22"/>
        <v>0</v>
      </c>
      <c r="H98" s="125">
        <f t="shared" si="22"/>
        <v>0</v>
      </c>
      <c r="I98" s="125">
        <f t="shared" si="22"/>
        <v>0</v>
      </c>
      <c r="J98" s="125">
        <f t="shared" si="22"/>
        <v>0</v>
      </c>
      <c r="K98" s="125">
        <f t="shared" si="22"/>
        <v>0</v>
      </c>
      <c r="L98" s="125">
        <f t="shared" si="22"/>
        <v>0</v>
      </c>
      <c r="M98" s="125">
        <f t="shared" si="22"/>
        <v>0</v>
      </c>
      <c r="N98" s="125">
        <f t="shared" si="22"/>
        <v>0</v>
      </c>
      <c r="O98" s="125">
        <f t="shared" si="22"/>
        <v>0</v>
      </c>
      <c r="P98" s="125">
        <f t="shared" si="22"/>
        <v>0</v>
      </c>
      <c r="Q98" s="125">
        <f t="shared" si="22"/>
        <v>0</v>
      </c>
      <c r="R98" s="125">
        <f t="shared" si="22"/>
        <v>0</v>
      </c>
      <c r="S98" s="125">
        <f t="shared" si="22"/>
        <v>0</v>
      </c>
      <c r="T98" s="125">
        <f t="shared" si="22"/>
        <v>0</v>
      </c>
      <c r="U98" s="125">
        <f t="shared" si="22"/>
        <v>0</v>
      </c>
      <c r="V98" s="125">
        <f t="shared" si="22"/>
        <v>0</v>
      </c>
      <c r="W98" s="125">
        <f t="shared" si="22"/>
        <v>0</v>
      </c>
      <c r="X98" s="125">
        <f t="shared" si="22"/>
        <v>0</v>
      </c>
      <c r="Y98" s="125">
        <f t="shared" si="22"/>
        <v>0</v>
      </c>
      <c r="Z98" s="125">
        <f t="shared" si="22"/>
        <v>0</v>
      </c>
      <c r="AA98" s="125">
        <f t="shared" si="22"/>
        <v>0</v>
      </c>
      <c r="AB98" s="125">
        <f t="shared" si="22"/>
        <v>0</v>
      </c>
      <c r="AC98" s="125">
        <f t="shared" si="22"/>
        <v>0</v>
      </c>
      <c r="AD98" s="125">
        <f t="shared" si="22"/>
        <v>0</v>
      </c>
      <c r="AE98" s="125">
        <f t="shared" si="22"/>
        <v>0</v>
      </c>
      <c r="AF98" s="125">
        <f t="shared" si="22"/>
        <v>0</v>
      </c>
      <c r="AG98" s="125">
        <f t="shared" si="22"/>
        <v>0</v>
      </c>
      <c r="AH98" s="125">
        <f t="shared" si="22"/>
        <v>0</v>
      </c>
      <c r="AI98" s="125">
        <f t="shared" si="22"/>
        <v>0</v>
      </c>
      <c r="AJ98" s="45" t="str">
        <f t="shared" si="10"/>
        <v/>
      </c>
      <c r="AK98" s="58"/>
      <c r="AL98" s="58" t="str">
        <f t="shared" si="13"/>
        <v>00</v>
      </c>
      <c r="AM98" s="60" t="str">
        <f t="shared" si="14"/>
        <v>00</v>
      </c>
      <c r="AN98" s="60" t="str">
        <f t="shared" si="15"/>
        <v>00</v>
      </c>
      <c r="AO98" s="60" t="str">
        <f t="shared" si="16"/>
        <v>00</v>
      </c>
      <c r="AQ98" t="str">
        <f t="shared" si="11"/>
        <v/>
      </c>
    </row>
    <row r="99" spans="2:43">
      <c r="B99" s="132"/>
      <c r="C99" s="45">
        <f t="shared" si="12"/>
        <v>28</v>
      </c>
      <c r="D99" s="125">
        <f t="shared" si="22"/>
        <v>0</v>
      </c>
      <c r="E99" s="125">
        <f t="shared" si="22"/>
        <v>0</v>
      </c>
      <c r="F99" s="125">
        <f t="shared" si="22"/>
        <v>0</v>
      </c>
      <c r="G99" s="125">
        <f t="shared" si="22"/>
        <v>0</v>
      </c>
      <c r="H99" s="125">
        <f t="shared" si="22"/>
        <v>0</v>
      </c>
      <c r="I99" s="125">
        <f t="shared" si="22"/>
        <v>0</v>
      </c>
      <c r="J99" s="125">
        <f t="shared" si="22"/>
        <v>0</v>
      </c>
      <c r="K99" s="125">
        <f t="shared" si="22"/>
        <v>0</v>
      </c>
      <c r="L99" s="125">
        <f t="shared" si="22"/>
        <v>0</v>
      </c>
      <c r="M99" s="125">
        <f t="shared" si="22"/>
        <v>0</v>
      </c>
      <c r="N99" s="125">
        <f t="shared" si="22"/>
        <v>0</v>
      </c>
      <c r="O99" s="125">
        <f t="shared" si="22"/>
        <v>0</v>
      </c>
      <c r="P99" s="125">
        <f t="shared" si="22"/>
        <v>0</v>
      </c>
      <c r="Q99" s="125">
        <f t="shared" si="22"/>
        <v>0</v>
      </c>
      <c r="R99" s="125">
        <f t="shared" si="22"/>
        <v>0</v>
      </c>
      <c r="S99" s="125">
        <f t="shared" si="22"/>
        <v>0</v>
      </c>
      <c r="T99" s="125">
        <f t="shared" si="22"/>
        <v>0</v>
      </c>
      <c r="U99" s="125">
        <f t="shared" si="22"/>
        <v>0</v>
      </c>
      <c r="V99" s="125">
        <f t="shared" si="22"/>
        <v>0</v>
      </c>
      <c r="W99" s="125">
        <f t="shared" si="22"/>
        <v>0</v>
      </c>
      <c r="X99" s="125">
        <f t="shared" si="22"/>
        <v>0</v>
      </c>
      <c r="Y99" s="125">
        <f t="shared" si="22"/>
        <v>0</v>
      </c>
      <c r="Z99" s="125">
        <f t="shared" si="22"/>
        <v>0</v>
      </c>
      <c r="AA99" s="125">
        <f t="shared" si="22"/>
        <v>0</v>
      </c>
      <c r="AB99" s="125">
        <f t="shared" si="22"/>
        <v>0</v>
      </c>
      <c r="AC99" s="125">
        <f t="shared" si="22"/>
        <v>0</v>
      </c>
      <c r="AD99" s="125">
        <f t="shared" si="22"/>
        <v>0</v>
      </c>
      <c r="AE99" s="125">
        <f t="shared" si="22"/>
        <v>0</v>
      </c>
      <c r="AF99" s="125">
        <f t="shared" si="22"/>
        <v>0</v>
      </c>
      <c r="AG99" s="125">
        <f t="shared" si="22"/>
        <v>0</v>
      </c>
      <c r="AH99" s="125">
        <f t="shared" si="22"/>
        <v>0</v>
      </c>
      <c r="AI99" s="125">
        <f t="shared" si="22"/>
        <v>0</v>
      </c>
      <c r="AJ99" s="45" t="str">
        <f t="shared" si="10"/>
        <v/>
      </c>
      <c r="AK99" s="58"/>
      <c r="AL99" s="58" t="str">
        <f t="shared" si="13"/>
        <v>00</v>
      </c>
      <c r="AM99" s="60" t="str">
        <f t="shared" si="14"/>
        <v>00</v>
      </c>
      <c r="AN99" s="60" t="str">
        <f t="shared" si="15"/>
        <v>00</v>
      </c>
      <c r="AO99" s="60" t="str">
        <f t="shared" si="16"/>
        <v>00</v>
      </c>
      <c r="AQ99" t="str">
        <f t="shared" si="11"/>
        <v/>
      </c>
    </row>
    <row r="100" spans="2:43">
      <c r="B100" s="132"/>
      <c r="C100" s="45">
        <f t="shared" si="12"/>
        <v>29</v>
      </c>
      <c r="D100" s="125">
        <f t="shared" si="22"/>
        <v>0</v>
      </c>
      <c r="E100" s="125">
        <f t="shared" si="22"/>
        <v>0</v>
      </c>
      <c r="F100" s="125">
        <f t="shared" si="22"/>
        <v>0</v>
      </c>
      <c r="G100" s="125">
        <f t="shared" si="22"/>
        <v>0</v>
      </c>
      <c r="H100" s="125">
        <f t="shared" si="22"/>
        <v>0</v>
      </c>
      <c r="I100" s="125">
        <f t="shared" si="22"/>
        <v>0</v>
      </c>
      <c r="J100" s="125">
        <f t="shared" si="22"/>
        <v>0</v>
      </c>
      <c r="K100" s="125">
        <f t="shared" si="22"/>
        <v>0</v>
      </c>
      <c r="L100" s="125">
        <f t="shared" si="22"/>
        <v>0</v>
      </c>
      <c r="M100" s="125">
        <f t="shared" si="22"/>
        <v>0</v>
      </c>
      <c r="N100" s="125">
        <f t="shared" si="22"/>
        <v>0</v>
      </c>
      <c r="O100" s="125">
        <f t="shared" si="22"/>
        <v>0</v>
      </c>
      <c r="P100" s="125">
        <f t="shared" si="22"/>
        <v>0</v>
      </c>
      <c r="Q100" s="125">
        <f t="shared" si="22"/>
        <v>0</v>
      </c>
      <c r="R100" s="125">
        <f t="shared" si="22"/>
        <v>0</v>
      </c>
      <c r="S100" s="125">
        <f t="shared" si="22"/>
        <v>0</v>
      </c>
      <c r="T100" s="125">
        <f t="shared" si="22"/>
        <v>0</v>
      </c>
      <c r="U100" s="125">
        <f t="shared" si="22"/>
        <v>0</v>
      </c>
      <c r="V100" s="125">
        <f t="shared" si="22"/>
        <v>0</v>
      </c>
      <c r="W100" s="125">
        <f t="shared" si="22"/>
        <v>0</v>
      </c>
      <c r="X100" s="125">
        <f t="shared" si="22"/>
        <v>0</v>
      </c>
      <c r="Y100" s="125">
        <f t="shared" si="22"/>
        <v>0</v>
      </c>
      <c r="Z100" s="125">
        <f t="shared" si="22"/>
        <v>0</v>
      </c>
      <c r="AA100" s="125">
        <f t="shared" si="22"/>
        <v>0</v>
      </c>
      <c r="AB100" s="125">
        <f t="shared" si="22"/>
        <v>0</v>
      </c>
      <c r="AC100" s="125">
        <f t="shared" si="22"/>
        <v>0</v>
      </c>
      <c r="AD100" s="125">
        <f t="shared" si="22"/>
        <v>0</v>
      </c>
      <c r="AE100" s="125">
        <f t="shared" si="22"/>
        <v>0</v>
      </c>
      <c r="AF100" s="125">
        <f t="shared" si="22"/>
        <v>0</v>
      </c>
      <c r="AG100" s="125">
        <f t="shared" si="22"/>
        <v>0</v>
      </c>
      <c r="AH100" s="125">
        <f t="shared" si="22"/>
        <v>0</v>
      </c>
      <c r="AI100" s="125">
        <f t="shared" si="22"/>
        <v>0</v>
      </c>
      <c r="AJ100" s="45" t="str">
        <f t="shared" si="10"/>
        <v/>
      </c>
      <c r="AK100" s="58"/>
      <c r="AL100" s="58" t="str">
        <f t="shared" si="13"/>
        <v>00</v>
      </c>
      <c r="AM100" s="60" t="str">
        <f t="shared" si="14"/>
        <v>00</v>
      </c>
      <c r="AN100" s="60" t="str">
        <f t="shared" si="15"/>
        <v>00</v>
      </c>
      <c r="AO100" s="60" t="str">
        <f t="shared" si="16"/>
        <v>00</v>
      </c>
      <c r="AQ100" t="str">
        <f t="shared" si="11"/>
        <v/>
      </c>
    </row>
    <row r="101" spans="2:43">
      <c r="B101" s="132"/>
      <c r="C101" s="45">
        <f t="shared" si="12"/>
        <v>30</v>
      </c>
      <c r="D101" s="125">
        <f t="shared" si="22"/>
        <v>0</v>
      </c>
      <c r="E101" s="125">
        <f t="shared" si="22"/>
        <v>0</v>
      </c>
      <c r="F101" s="125">
        <f t="shared" si="22"/>
        <v>0</v>
      </c>
      <c r="G101" s="125">
        <f t="shared" si="22"/>
        <v>0</v>
      </c>
      <c r="H101" s="125">
        <f t="shared" si="22"/>
        <v>0</v>
      </c>
      <c r="I101" s="125">
        <f t="shared" si="22"/>
        <v>0</v>
      </c>
      <c r="J101" s="125">
        <f t="shared" si="22"/>
        <v>0</v>
      </c>
      <c r="K101" s="125">
        <f t="shared" si="22"/>
        <v>0</v>
      </c>
      <c r="L101" s="125">
        <f t="shared" si="22"/>
        <v>0</v>
      </c>
      <c r="M101" s="125">
        <f t="shared" si="22"/>
        <v>0</v>
      </c>
      <c r="N101" s="125">
        <f t="shared" si="22"/>
        <v>0</v>
      </c>
      <c r="O101" s="125">
        <f t="shared" si="22"/>
        <v>0</v>
      </c>
      <c r="P101" s="125">
        <f t="shared" si="22"/>
        <v>0</v>
      </c>
      <c r="Q101" s="125">
        <f t="shared" si="22"/>
        <v>0</v>
      </c>
      <c r="R101" s="125">
        <f t="shared" si="22"/>
        <v>0</v>
      </c>
      <c r="S101" s="125">
        <f t="shared" si="22"/>
        <v>0</v>
      </c>
      <c r="T101" s="125">
        <f t="shared" si="22"/>
        <v>0</v>
      </c>
      <c r="U101" s="125">
        <f t="shared" si="22"/>
        <v>0</v>
      </c>
      <c r="V101" s="125">
        <f t="shared" si="22"/>
        <v>0</v>
      </c>
      <c r="W101" s="125">
        <f t="shared" si="22"/>
        <v>0</v>
      </c>
      <c r="X101" s="125">
        <f t="shared" si="22"/>
        <v>0</v>
      </c>
      <c r="Y101" s="125">
        <f t="shared" si="22"/>
        <v>0</v>
      </c>
      <c r="Z101" s="125">
        <f t="shared" si="22"/>
        <v>0</v>
      </c>
      <c r="AA101" s="125">
        <f t="shared" si="22"/>
        <v>0</v>
      </c>
      <c r="AB101" s="125">
        <f t="shared" si="22"/>
        <v>0</v>
      </c>
      <c r="AC101" s="125">
        <f t="shared" si="22"/>
        <v>0</v>
      </c>
      <c r="AD101" s="125">
        <f t="shared" si="22"/>
        <v>0</v>
      </c>
      <c r="AE101" s="125">
        <f t="shared" si="22"/>
        <v>0</v>
      </c>
      <c r="AF101" s="125">
        <f t="shared" si="22"/>
        <v>0</v>
      </c>
      <c r="AG101" s="125">
        <f t="shared" si="22"/>
        <v>0</v>
      </c>
      <c r="AH101" s="125">
        <f t="shared" si="22"/>
        <v>0</v>
      </c>
      <c r="AI101" s="125">
        <f t="shared" si="22"/>
        <v>0</v>
      </c>
      <c r="AJ101" s="45" t="str">
        <f t="shared" si="10"/>
        <v/>
      </c>
      <c r="AK101" s="58"/>
      <c r="AL101" s="58" t="str">
        <f t="shared" si="13"/>
        <v>00</v>
      </c>
      <c r="AM101" s="60" t="str">
        <f t="shared" si="14"/>
        <v>00</v>
      </c>
      <c r="AN101" s="60" t="str">
        <f t="shared" si="15"/>
        <v>00</v>
      </c>
      <c r="AO101" s="60" t="str">
        <f t="shared" si="16"/>
        <v>00</v>
      </c>
      <c r="AQ101" t="str">
        <f t="shared" si="11"/>
        <v/>
      </c>
    </row>
    <row r="102" spans="2:43">
      <c r="B102" s="132"/>
      <c r="C102" s="45">
        <f t="shared" si="12"/>
        <v>31</v>
      </c>
      <c r="D102" s="125">
        <f t="shared" si="22"/>
        <v>0</v>
      </c>
      <c r="E102" s="125">
        <f t="shared" si="22"/>
        <v>0</v>
      </c>
      <c r="F102" s="125">
        <f t="shared" si="22"/>
        <v>0</v>
      </c>
      <c r="G102" s="125">
        <f t="shared" si="22"/>
        <v>0</v>
      </c>
      <c r="H102" s="125">
        <f t="shared" si="22"/>
        <v>0</v>
      </c>
      <c r="I102" s="125">
        <f t="shared" si="22"/>
        <v>0</v>
      </c>
      <c r="J102" s="125">
        <f t="shared" si="22"/>
        <v>0</v>
      </c>
      <c r="K102" s="125">
        <f t="shared" si="22"/>
        <v>0</v>
      </c>
      <c r="L102" s="125">
        <f t="shared" si="22"/>
        <v>0</v>
      </c>
      <c r="M102" s="125">
        <f t="shared" si="22"/>
        <v>0</v>
      </c>
      <c r="N102" s="125">
        <f t="shared" si="22"/>
        <v>0</v>
      </c>
      <c r="O102" s="125">
        <f t="shared" si="22"/>
        <v>0</v>
      </c>
      <c r="P102" s="125">
        <f t="shared" si="22"/>
        <v>0</v>
      </c>
      <c r="Q102" s="125">
        <f t="shared" si="22"/>
        <v>0</v>
      </c>
      <c r="R102" s="125">
        <f t="shared" si="22"/>
        <v>0</v>
      </c>
      <c r="S102" s="125">
        <f t="shared" si="22"/>
        <v>0</v>
      </c>
      <c r="T102" s="125">
        <f t="shared" si="22"/>
        <v>0</v>
      </c>
      <c r="U102" s="125">
        <f t="shared" si="22"/>
        <v>0</v>
      </c>
      <c r="V102" s="125">
        <f t="shared" si="22"/>
        <v>0</v>
      </c>
      <c r="W102" s="125">
        <f t="shared" si="22"/>
        <v>0</v>
      </c>
      <c r="X102" s="125">
        <f t="shared" si="22"/>
        <v>0</v>
      </c>
      <c r="Y102" s="125">
        <f t="shared" si="22"/>
        <v>0</v>
      </c>
      <c r="Z102" s="125">
        <f t="shared" si="22"/>
        <v>0</v>
      </c>
      <c r="AA102" s="125">
        <f t="shared" si="22"/>
        <v>0</v>
      </c>
      <c r="AB102" s="125">
        <f t="shared" si="22"/>
        <v>0</v>
      </c>
      <c r="AC102" s="125">
        <f t="shared" si="22"/>
        <v>0</v>
      </c>
      <c r="AD102" s="125">
        <f t="shared" si="22"/>
        <v>0</v>
      </c>
      <c r="AE102" s="125">
        <f t="shared" si="22"/>
        <v>0</v>
      </c>
      <c r="AF102" s="125">
        <f t="shared" si="22"/>
        <v>0</v>
      </c>
      <c r="AG102" s="125">
        <f t="shared" si="22"/>
        <v>0</v>
      </c>
      <c r="AH102" s="125">
        <f t="shared" si="22"/>
        <v>0</v>
      </c>
      <c r="AI102" s="125">
        <f t="shared" ref="AI102" si="23">IF(AI37=1,1,0)</f>
        <v>0</v>
      </c>
      <c r="AJ102" s="45" t="str">
        <f t="shared" si="10"/>
        <v/>
      </c>
      <c r="AK102" s="58"/>
      <c r="AL102" s="58" t="str">
        <f t="shared" si="13"/>
        <v>00</v>
      </c>
      <c r="AM102" s="60" t="str">
        <f t="shared" si="14"/>
        <v>00</v>
      </c>
      <c r="AN102" s="60" t="str">
        <f t="shared" si="15"/>
        <v>00</v>
      </c>
      <c r="AO102" s="60" t="str">
        <f t="shared" si="16"/>
        <v>00</v>
      </c>
      <c r="AQ102" t="str">
        <f t="shared" si="11"/>
        <v/>
      </c>
    </row>
    <row r="103" spans="2:43">
      <c r="B103" s="132"/>
      <c r="C103" s="45">
        <f t="shared" si="12"/>
        <v>32</v>
      </c>
      <c r="D103" s="125">
        <f t="shared" ref="D103:AI110" si="24">IF(D38=1,1,0)</f>
        <v>0</v>
      </c>
      <c r="E103" s="125">
        <f t="shared" si="24"/>
        <v>0</v>
      </c>
      <c r="F103" s="125">
        <f t="shared" si="24"/>
        <v>0</v>
      </c>
      <c r="G103" s="125">
        <f t="shared" si="24"/>
        <v>0</v>
      </c>
      <c r="H103" s="125">
        <f t="shared" si="24"/>
        <v>0</v>
      </c>
      <c r="I103" s="125">
        <f t="shared" si="24"/>
        <v>0</v>
      </c>
      <c r="J103" s="125">
        <f t="shared" si="24"/>
        <v>0</v>
      </c>
      <c r="K103" s="125">
        <f t="shared" si="24"/>
        <v>0</v>
      </c>
      <c r="L103" s="125">
        <f t="shared" si="24"/>
        <v>0</v>
      </c>
      <c r="M103" s="125">
        <f t="shared" si="24"/>
        <v>0</v>
      </c>
      <c r="N103" s="125">
        <f t="shared" si="24"/>
        <v>0</v>
      </c>
      <c r="O103" s="125">
        <f t="shared" si="24"/>
        <v>0</v>
      </c>
      <c r="P103" s="125">
        <f t="shared" si="24"/>
        <v>0</v>
      </c>
      <c r="Q103" s="125">
        <f t="shared" si="24"/>
        <v>0</v>
      </c>
      <c r="R103" s="125">
        <f t="shared" si="24"/>
        <v>0</v>
      </c>
      <c r="S103" s="125">
        <f t="shared" si="24"/>
        <v>0</v>
      </c>
      <c r="T103" s="125">
        <f t="shared" si="24"/>
        <v>0</v>
      </c>
      <c r="U103" s="125">
        <f t="shared" si="24"/>
        <v>0</v>
      </c>
      <c r="V103" s="125">
        <f t="shared" si="24"/>
        <v>0</v>
      </c>
      <c r="W103" s="125">
        <f t="shared" si="24"/>
        <v>0</v>
      </c>
      <c r="X103" s="125">
        <f t="shared" si="24"/>
        <v>0</v>
      </c>
      <c r="Y103" s="125">
        <f t="shared" si="24"/>
        <v>0</v>
      </c>
      <c r="Z103" s="125">
        <f t="shared" si="24"/>
        <v>0</v>
      </c>
      <c r="AA103" s="125">
        <f t="shared" si="24"/>
        <v>0</v>
      </c>
      <c r="AB103" s="125">
        <f t="shared" si="24"/>
        <v>0</v>
      </c>
      <c r="AC103" s="125">
        <f t="shared" si="24"/>
        <v>0</v>
      </c>
      <c r="AD103" s="125">
        <f t="shared" si="24"/>
        <v>0</v>
      </c>
      <c r="AE103" s="125">
        <f t="shared" si="24"/>
        <v>0</v>
      </c>
      <c r="AF103" s="125">
        <f t="shared" si="24"/>
        <v>0</v>
      </c>
      <c r="AG103" s="125">
        <f t="shared" si="24"/>
        <v>0</v>
      </c>
      <c r="AH103" s="125">
        <f t="shared" si="24"/>
        <v>0</v>
      </c>
      <c r="AI103" s="125">
        <f t="shared" si="24"/>
        <v>0</v>
      </c>
      <c r="AJ103" s="45" t="str">
        <f t="shared" si="10"/>
        <v/>
      </c>
      <c r="AK103" s="58"/>
      <c r="AL103" s="58" t="str">
        <f t="shared" si="13"/>
        <v>00</v>
      </c>
      <c r="AM103" s="60" t="str">
        <f t="shared" si="14"/>
        <v>00</v>
      </c>
      <c r="AN103" s="60" t="str">
        <f t="shared" si="15"/>
        <v>00</v>
      </c>
      <c r="AO103" s="60" t="str">
        <f t="shared" si="16"/>
        <v>00</v>
      </c>
      <c r="AQ103" t="str">
        <f t="shared" si="11"/>
        <v/>
      </c>
    </row>
    <row r="104" spans="2:43">
      <c r="B104" s="132"/>
      <c r="C104" s="45">
        <f t="shared" si="12"/>
        <v>33</v>
      </c>
      <c r="D104" s="125">
        <f t="shared" si="24"/>
        <v>0</v>
      </c>
      <c r="E104" s="125">
        <f t="shared" si="24"/>
        <v>0</v>
      </c>
      <c r="F104" s="125">
        <f t="shared" si="24"/>
        <v>0</v>
      </c>
      <c r="G104" s="125">
        <f t="shared" si="24"/>
        <v>0</v>
      </c>
      <c r="H104" s="125">
        <f t="shared" si="24"/>
        <v>0</v>
      </c>
      <c r="I104" s="125">
        <f t="shared" si="24"/>
        <v>0</v>
      </c>
      <c r="J104" s="125">
        <f t="shared" si="24"/>
        <v>0</v>
      </c>
      <c r="K104" s="125">
        <f t="shared" si="24"/>
        <v>0</v>
      </c>
      <c r="L104" s="125">
        <f t="shared" si="24"/>
        <v>0</v>
      </c>
      <c r="M104" s="125">
        <f t="shared" si="24"/>
        <v>0</v>
      </c>
      <c r="N104" s="125">
        <f t="shared" si="24"/>
        <v>0</v>
      </c>
      <c r="O104" s="125">
        <f t="shared" si="24"/>
        <v>0</v>
      </c>
      <c r="P104" s="125">
        <f t="shared" si="24"/>
        <v>0</v>
      </c>
      <c r="Q104" s="125">
        <f t="shared" si="24"/>
        <v>0</v>
      </c>
      <c r="R104" s="125">
        <f t="shared" si="24"/>
        <v>0</v>
      </c>
      <c r="S104" s="125">
        <f t="shared" si="24"/>
        <v>0</v>
      </c>
      <c r="T104" s="125">
        <f t="shared" si="24"/>
        <v>0</v>
      </c>
      <c r="U104" s="125">
        <f t="shared" si="24"/>
        <v>0</v>
      </c>
      <c r="V104" s="125">
        <f t="shared" si="24"/>
        <v>0</v>
      </c>
      <c r="W104" s="125">
        <f t="shared" si="24"/>
        <v>0</v>
      </c>
      <c r="X104" s="125">
        <f t="shared" si="24"/>
        <v>0</v>
      </c>
      <c r="Y104" s="125">
        <f t="shared" si="24"/>
        <v>0</v>
      </c>
      <c r="Z104" s="125">
        <f t="shared" si="24"/>
        <v>0</v>
      </c>
      <c r="AA104" s="125">
        <f t="shared" si="24"/>
        <v>0</v>
      </c>
      <c r="AB104" s="125">
        <f t="shared" si="24"/>
        <v>0</v>
      </c>
      <c r="AC104" s="125">
        <f t="shared" si="24"/>
        <v>0</v>
      </c>
      <c r="AD104" s="125">
        <f t="shared" si="24"/>
        <v>0</v>
      </c>
      <c r="AE104" s="125">
        <f t="shared" si="24"/>
        <v>0</v>
      </c>
      <c r="AF104" s="125">
        <f t="shared" si="24"/>
        <v>0</v>
      </c>
      <c r="AG104" s="125">
        <f t="shared" si="24"/>
        <v>0</v>
      </c>
      <c r="AH104" s="125">
        <f t="shared" si="24"/>
        <v>0</v>
      </c>
      <c r="AI104" s="125">
        <f t="shared" si="24"/>
        <v>0</v>
      </c>
      <c r="AJ104" s="45" t="str">
        <f t="shared" si="10"/>
        <v/>
      </c>
      <c r="AK104" s="58"/>
      <c r="AL104" s="58" t="str">
        <f t="shared" si="13"/>
        <v>00</v>
      </c>
      <c r="AM104" s="60" t="str">
        <f t="shared" si="14"/>
        <v>00</v>
      </c>
      <c r="AN104" s="60" t="str">
        <f t="shared" si="15"/>
        <v>00</v>
      </c>
      <c r="AO104" s="60" t="str">
        <f t="shared" si="16"/>
        <v>00</v>
      </c>
      <c r="AQ104" t="str">
        <f t="shared" si="11"/>
        <v/>
      </c>
    </row>
    <row r="105" spans="2:43">
      <c r="B105" s="132"/>
      <c r="C105" s="45">
        <f t="shared" si="12"/>
        <v>34</v>
      </c>
      <c r="D105" s="125">
        <f t="shared" si="24"/>
        <v>0</v>
      </c>
      <c r="E105" s="125">
        <f t="shared" si="24"/>
        <v>0</v>
      </c>
      <c r="F105" s="125">
        <f t="shared" si="24"/>
        <v>0</v>
      </c>
      <c r="G105" s="125">
        <f t="shared" si="24"/>
        <v>0</v>
      </c>
      <c r="H105" s="125">
        <f t="shared" si="24"/>
        <v>0</v>
      </c>
      <c r="I105" s="125">
        <f t="shared" si="24"/>
        <v>0</v>
      </c>
      <c r="J105" s="125">
        <f t="shared" si="24"/>
        <v>0</v>
      </c>
      <c r="K105" s="125">
        <f t="shared" si="24"/>
        <v>0</v>
      </c>
      <c r="L105" s="125">
        <f t="shared" si="24"/>
        <v>0</v>
      </c>
      <c r="M105" s="125">
        <f t="shared" si="24"/>
        <v>0</v>
      </c>
      <c r="N105" s="125">
        <f t="shared" si="24"/>
        <v>0</v>
      </c>
      <c r="O105" s="125">
        <f t="shared" si="24"/>
        <v>0</v>
      </c>
      <c r="P105" s="125">
        <f t="shared" si="24"/>
        <v>0</v>
      </c>
      <c r="Q105" s="125">
        <f t="shared" si="24"/>
        <v>0</v>
      </c>
      <c r="R105" s="125">
        <f t="shared" si="24"/>
        <v>0</v>
      </c>
      <c r="S105" s="125">
        <f t="shared" si="24"/>
        <v>0</v>
      </c>
      <c r="T105" s="125">
        <f t="shared" si="24"/>
        <v>0</v>
      </c>
      <c r="U105" s="125">
        <f t="shared" si="24"/>
        <v>0</v>
      </c>
      <c r="V105" s="125">
        <f t="shared" si="24"/>
        <v>0</v>
      </c>
      <c r="W105" s="125">
        <f t="shared" si="24"/>
        <v>0</v>
      </c>
      <c r="X105" s="125">
        <f t="shared" si="24"/>
        <v>0</v>
      </c>
      <c r="Y105" s="125">
        <f t="shared" si="24"/>
        <v>0</v>
      </c>
      <c r="Z105" s="125">
        <f t="shared" si="24"/>
        <v>0</v>
      </c>
      <c r="AA105" s="125">
        <f t="shared" si="24"/>
        <v>0</v>
      </c>
      <c r="AB105" s="125">
        <f t="shared" si="24"/>
        <v>0</v>
      </c>
      <c r="AC105" s="125">
        <f t="shared" si="24"/>
        <v>0</v>
      </c>
      <c r="AD105" s="125">
        <f t="shared" si="24"/>
        <v>0</v>
      </c>
      <c r="AE105" s="125">
        <f t="shared" si="24"/>
        <v>0</v>
      </c>
      <c r="AF105" s="125">
        <f t="shared" si="24"/>
        <v>0</v>
      </c>
      <c r="AG105" s="125">
        <f t="shared" si="24"/>
        <v>0</v>
      </c>
      <c r="AH105" s="125">
        <f t="shared" si="24"/>
        <v>0</v>
      </c>
      <c r="AI105" s="125">
        <f t="shared" si="24"/>
        <v>0</v>
      </c>
      <c r="AJ105" s="45" t="str">
        <f t="shared" si="10"/>
        <v/>
      </c>
      <c r="AK105" s="58"/>
      <c r="AL105" s="58" t="str">
        <f t="shared" si="13"/>
        <v>00</v>
      </c>
      <c r="AM105" s="60" t="str">
        <f t="shared" si="14"/>
        <v>00</v>
      </c>
      <c r="AN105" s="60" t="str">
        <f t="shared" si="15"/>
        <v>00</v>
      </c>
      <c r="AO105" s="60" t="str">
        <f t="shared" si="16"/>
        <v>00</v>
      </c>
      <c r="AQ105" t="str">
        <f t="shared" si="11"/>
        <v/>
      </c>
    </row>
    <row r="106" spans="2:43">
      <c r="B106" s="132"/>
      <c r="C106" s="45">
        <f t="shared" si="12"/>
        <v>35</v>
      </c>
      <c r="D106" s="125">
        <f t="shared" si="24"/>
        <v>0</v>
      </c>
      <c r="E106" s="125">
        <f t="shared" si="24"/>
        <v>0</v>
      </c>
      <c r="F106" s="125">
        <f t="shared" si="24"/>
        <v>0</v>
      </c>
      <c r="G106" s="125">
        <f t="shared" si="24"/>
        <v>0</v>
      </c>
      <c r="H106" s="125">
        <f t="shared" si="24"/>
        <v>0</v>
      </c>
      <c r="I106" s="125">
        <f t="shared" si="24"/>
        <v>0</v>
      </c>
      <c r="J106" s="125">
        <f t="shared" si="24"/>
        <v>0</v>
      </c>
      <c r="K106" s="125">
        <f t="shared" si="24"/>
        <v>0</v>
      </c>
      <c r="L106" s="125">
        <f t="shared" si="24"/>
        <v>0</v>
      </c>
      <c r="M106" s="125">
        <f t="shared" si="24"/>
        <v>0</v>
      </c>
      <c r="N106" s="125">
        <f t="shared" si="24"/>
        <v>0</v>
      </c>
      <c r="O106" s="125">
        <f t="shared" si="24"/>
        <v>0</v>
      </c>
      <c r="P106" s="125">
        <f t="shared" si="24"/>
        <v>0</v>
      </c>
      <c r="Q106" s="125">
        <f t="shared" si="24"/>
        <v>0</v>
      </c>
      <c r="R106" s="125">
        <f t="shared" si="24"/>
        <v>0</v>
      </c>
      <c r="S106" s="125">
        <f t="shared" si="24"/>
        <v>0</v>
      </c>
      <c r="T106" s="125">
        <f t="shared" si="24"/>
        <v>0</v>
      </c>
      <c r="U106" s="125">
        <f t="shared" si="24"/>
        <v>0</v>
      </c>
      <c r="V106" s="125">
        <f t="shared" si="24"/>
        <v>0</v>
      </c>
      <c r="W106" s="125">
        <f t="shared" si="24"/>
        <v>0</v>
      </c>
      <c r="X106" s="125">
        <f t="shared" si="24"/>
        <v>0</v>
      </c>
      <c r="Y106" s="125">
        <f t="shared" si="24"/>
        <v>0</v>
      </c>
      <c r="Z106" s="125">
        <f t="shared" si="24"/>
        <v>0</v>
      </c>
      <c r="AA106" s="125">
        <f t="shared" si="24"/>
        <v>0</v>
      </c>
      <c r="AB106" s="125">
        <f t="shared" si="24"/>
        <v>0</v>
      </c>
      <c r="AC106" s="125">
        <f t="shared" si="24"/>
        <v>0</v>
      </c>
      <c r="AD106" s="125">
        <f t="shared" si="24"/>
        <v>0</v>
      </c>
      <c r="AE106" s="125">
        <f t="shared" si="24"/>
        <v>0</v>
      </c>
      <c r="AF106" s="125">
        <f t="shared" si="24"/>
        <v>0</v>
      </c>
      <c r="AG106" s="125">
        <f t="shared" si="24"/>
        <v>0</v>
      </c>
      <c r="AH106" s="125">
        <f t="shared" si="24"/>
        <v>0</v>
      </c>
      <c r="AI106" s="125">
        <f t="shared" si="24"/>
        <v>0</v>
      </c>
      <c r="AJ106" s="45" t="str">
        <f t="shared" si="10"/>
        <v/>
      </c>
      <c r="AK106" s="58"/>
      <c r="AL106" s="58" t="str">
        <f t="shared" si="13"/>
        <v>00</v>
      </c>
      <c r="AM106" s="60" t="str">
        <f t="shared" si="14"/>
        <v>00</v>
      </c>
      <c r="AN106" s="60" t="str">
        <f t="shared" si="15"/>
        <v>00</v>
      </c>
      <c r="AO106" s="60" t="str">
        <f t="shared" si="16"/>
        <v>00</v>
      </c>
      <c r="AQ106" t="str">
        <f t="shared" si="11"/>
        <v/>
      </c>
    </row>
    <row r="107" spans="2:43">
      <c r="B107" s="132"/>
      <c r="C107" s="45">
        <f t="shared" si="12"/>
        <v>36</v>
      </c>
      <c r="D107" s="125">
        <f t="shared" si="24"/>
        <v>0</v>
      </c>
      <c r="E107" s="125">
        <f t="shared" si="24"/>
        <v>0</v>
      </c>
      <c r="F107" s="125">
        <f t="shared" si="24"/>
        <v>0</v>
      </c>
      <c r="G107" s="125">
        <f t="shared" si="24"/>
        <v>0</v>
      </c>
      <c r="H107" s="125">
        <f t="shared" si="24"/>
        <v>0</v>
      </c>
      <c r="I107" s="125">
        <f t="shared" si="24"/>
        <v>0</v>
      </c>
      <c r="J107" s="125">
        <f t="shared" si="24"/>
        <v>0</v>
      </c>
      <c r="K107" s="125">
        <f t="shared" si="24"/>
        <v>0</v>
      </c>
      <c r="L107" s="125">
        <f t="shared" si="24"/>
        <v>0</v>
      </c>
      <c r="M107" s="125">
        <f t="shared" si="24"/>
        <v>0</v>
      </c>
      <c r="N107" s="125">
        <f t="shared" si="24"/>
        <v>0</v>
      </c>
      <c r="O107" s="125">
        <f t="shared" si="24"/>
        <v>0</v>
      </c>
      <c r="P107" s="125">
        <f t="shared" si="24"/>
        <v>0</v>
      </c>
      <c r="Q107" s="125">
        <f t="shared" si="24"/>
        <v>0</v>
      </c>
      <c r="R107" s="125">
        <f t="shared" si="24"/>
        <v>0</v>
      </c>
      <c r="S107" s="125">
        <f t="shared" si="24"/>
        <v>0</v>
      </c>
      <c r="T107" s="125">
        <f t="shared" si="24"/>
        <v>0</v>
      </c>
      <c r="U107" s="125">
        <f t="shared" si="24"/>
        <v>0</v>
      </c>
      <c r="V107" s="125">
        <f t="shared" si="24"/>
        <v>0</v>
      </c>
      <c r="W107" s="125">
        <f t="shared" si="24"/>
        <v>0</v>
      </c>
      <c r="X107" s="125">
        <f t="shared" si="24"/>
        <v>0</v>
      </c>
      <c r="Y107" s="125">
        <f t="shared" si="24"/>
        <v>0</v>
      </c>
      <c r="Z107" s="125">
        <f t="shared" si="24"/>
        <v>0</v>
      </c>
      <c r="AA107" s="125">
        <f t="shared" si="24"/>
        <v>0</v>
      </c>
      <c r="AB107" s="125">
        <f t="shared" si="24"/>
        <v>0</v>
      </c>
      <c r="AC107" s="125">
        <f t="shared" si="24"/>
        <v>0</v>
      </c>
      <c r="AD107" s="125">
        <f t="shared" si="24"/>
        <v>0</v>
      </c>
      <c r="AE107" s="125">
        <f t="shared" si="24"/>
        <v>0</v>
      </c>
      <c r="AF107" s="125">
        <f t="shared" si="24"/>
        <v>0</v>
      </c>
      <c r="AG107" s="125">
        <f t="shared" si="24"/>
        <v>0</v>
      </c>
      <c r="AH107" s="125">
        <f t="shared" si="24"/>
        <v>0</v>
      </c>
      <c r="AI107" s="125">
        <f t="shared" si="24"/>
        <v>0</v>
      </c>
      <c r="AJ107" s="45" t="str">
        <f t="shared" si="10"/>
        <v/>
      </c>
      <c r="AK107" s="58"/>
      <c r="AL107" s="58" t="str">
        <f t="shared" si="13"/>
        <v>00</v>
      </c>
      <c r="AM107" s="60" t="str">
        <f t="shared" si="14"/>
        <v>00</v>
      </c>
      <c r="AN107" s="60" t="str">
        <f t="shared" si="15"/>
        <v>00</v>
      </c>
      <c r="AO107" s="60" t="str">
        <f t="shared" si="16"/>
        <v>00</v>
      </c>
      <c r="AQ107" t="str">
        <f t="shared" si="11"/>
        <v/>
      </c>
    </row>
    <row r="108" spans="2:43">
      <c r="B108" s="132"/>
      <c r="C108" s="45">
        <f t="shared" si="12"/>
        <v>37</v>
      </c>
      <c r="D108" s="125">
        <f t="shared" si="24"/>
        <v>0</v>
      </c>
      <c r="E108" s="125">
        <f t="shared" si="24"/>
        <v>0</v>
      </c>
      <c r="F108" s="125">
        <f t="shared" si="24"/>
        <v>0</v>
      </c>
      <c r="G108" s="125">
        <f t="shared" si="24"/>
        <v>0</v>
      </c>
      <c r="H108" s="125">
        <f t="shared" si="24"/>
        <v>0</v>
      </c>
      <c r="I108" s="125">
        <f t="shared" si="24"/>
        <v>0</v>
      </c>
      <c r="J108" s="125">
        <f t="shared" si="24"/>
        <v>0</v>
      </c>
      <c r="K108" s="125">
        <f t="shared" si="24"/>
        <v>0</v>
      </c>
      <c r="L108" s="125">
        <f t="shared" si="24"/>
        <v>0</v>
      </c>
      <c r="M108" s="125">
        <f t="shared" si="24"/>
        <v>0</v>
      </c>
      <c r="N108" s="125">
        <f t="shared" si="24"/>
        <v>0</v>
      </c>
      <c r="O108" s="125">
        <f t="shared" si="24"/>
        <v>0</v>
      </c>
      <c r="P108" s="125">
        <f t="shared" si="24"/>
        <v>0</v>
      </c>
      <c r="Q108" s="125">
        <f t="shared" si="24"/>
        <v>0</v>
      </c>
      <c r="R108" s="125">
        <f t="shared" si="24"/>
        <v>0</v>
      </c>
      <c r="S108" s="125">
        <f t="shared" si="24"/>
        <v>0</v>
      </c>
      <c r="T108" s="125">
        <f t="shared" si="24"/>
        <v>0</v>
      </c>
      <c r="U108" s="125">
        <f t="shared" si="24"/>
        <v>0</v>
      </c>
      <c r="V108" s="125">
        <f t="shared" si="24"/>
        <v>0</v>
      </c>
      <c r="W108" s="125">
        <f t="shared" si="24"/>
        <v>0</v>
      </c>
      <c r="X108" s="125">
        <f t="shared" si="24"/>
        <v>0</v>
      </c>
      <c r="Y108" s="125">
        <f t="shared" si="24"/>
        <v>0</v>
      </c>
      <c r="Z108" s="125">
        <f t="shared" si="24"/>
        <v>0</v>
      </c>
      <c r="AA108" s="125">
        <f t="shared" si="24"/>
        <v>0</v>
      </c>
      <c r="AB108" s="125">
        <f t="shared" si="24"/>
        <v>0</v>
      </c>
      <c r="AC108" s="125">
        <f t="shared" si="24"/>
        <v>0</v>
      </c>
      <c r="AD108" s="125">
        <f t="shared" si="24"/>
        <v>0</v>
      </c>
      <c r="AE108" s="125">
        <f t="shared" si="24"/>
        <v>0</v>
      </c>
      <c r="AF108" s="125">
        <f t="shared" si="24"/>
        <v>0</v>
      </c>
      <c r="AG108" s="125">
        <f t="shared" si="24"/>
        <v>0</v>
      </c>
      <c r="AH108" s="125">
        <f t="shared" si="24"/>
        <v>0</v>
      </c>
      <c r="AI108" s="125">
        <f t="shared" si="24"/>
        <v>0</v>
      </c>
      <c r="AJ108" s="45" t="str">
        <f t="shared" si="10"/>
        <v/>
      </c>
      <c r="AK108" s="58"/>
      <c r="AL108" s="58" t="str">
        <f t="shared" si="13"/>
        <v>00</v>
      </c>
      <c r="AM108" s="60" t="str">
        <f t="shared" si="14"/>
        <v>00</v>
      </c>
      <c r="AN108" s="60" t="str">
        <f t="shared" si="15"/>
        <v>00</v>
      </c>
      <c r="AO108" s="60" t="str">
        <f t="shared" si="16"/>
        <v>00</v>
      </c>
      <c r="AQ108" t="str">
        <f t="shared" si="11"/>
        <v/>
      </c>
    </row>
    <row r="109" spans="2:43">
      <c r="B109" s="132"/>
      <c r="C109" s="45">
        <f t="shared" si="12"/>
        <v>38</v>
      </c>
      <c r="D109" s="125">
        <f t="shared" si="24"/>
        <v>0</v>
      </c>
      <c r="E109" s="125">
        <f t="shared" si="24"/>
        <v>0</v>
      </c>
      <c r="F109" s="125">
        <f t="shared" si="24"/>
        <v>0</v>
      </c>
      <c r="G109" s="125">
        <f t="shared" si="24"/>
        <v>0</v>
      </c>
      <c r="H109" s="125">
        <f t="shared" si="24"/>
        <v>0</v>
      </c>
      <c r="I109" s="125">
        <f t="shared" si="24"/>
        <v>0</v>
      </c>
      <c r="J109" s="125">
        <f t="shared" si="24"/>
        <v>0</v>
      </c>
      <c r="K109" s="125">
        <f t="shared" si="24"/>
        <v>0</v>
      </c>
      <c r="L109" s="125">
        <f t="shared" si="24"/>
        <v>0</v>
      </c>
      <c r="M109" s="125">
        <f t="shared" si="24"/>
        <v>0</v>
      </c>
      <c r="N109" s="125">
        <f t="shared" si="24"/>
        <v>0</v>
      </c>
      <c r="O109" s="125">
        <f t="shared" si="24"/>
        <v>0</v>
      </c>
      <c r="P109" s="125">
        <f t="shared" si="24"/>
        <v>0</v>
      </c>
      <c r="Q109" s="125">
        <f t="shared" si="24"/>
        <v>0</v>
      </c>
      <c r="R109" s="125">
        <f t="shared" si="24"/>
        <v>0</v>
      </c>
      <c r="S109" s="125">
        <f t="shared" si="24"/>
        <v>0</v>
      </c>
      <c r="T109" s="125">
        <f t="shared" si="24"/>
        <v>0</v>
      </c>
      <c r="U109" s="125">
        <f t="shared" si="24"/>
        <v>0</v>
      </c>
      <c r="V109" s="125">
        <f t="shared" si="24"/>
        <v>0</v>
      </c>
      <c r="W109" s="125">
        <f t="shared" si="24"/>
        <v>0</v>
      </c>
      <c r="X109" s="125">
        <f t="shared" si="24"/>
        <v>0</v>
      </c>
      <c r="Y109" s="125">
        <f t="shared" si="24"/>
        <v>0</v>
      </c>
      <c r="Z109" s="125">
        <f t="shared" si="24"/>
        <v>0</v>
      </c>
      <c r="AA109" s="125">
        <f t="shared" si="24"/>
        <v>0</v>
      </c>
      <c r="AB109" s="125">
        <f t="shared" si="24"/>
        <v>0</v>
      </c>
      <c r="AC109" s="125">
        <f t="shared" si="24"/>
        <v>0</v>
      </c>
      <c r="AD109" s="125">
        <f t="shared" si="24"/>
        <v>0</v>
      </c>
      <c r="AE109" s="125">
        <f t="shared" si="24"/>
        <v>0</v>
      </c>
      <c r="AF109" s="125">
        <f t="shared" si="24"/>
        <v>0</v>
      </c>
      <c r="AG109" s="125">
        <f t="shared" si="24"/>
        <v>0</v>
      </c>
      <c r="AH109" s="125">
        <f t="shared" si="24"/>
        <v>0</v>
      </c>
      <c r="AI109" s="125">
        <f t="shared" si="24"/>
        <v>0</v>
      </c>
      <c r="AJ109" s="45" t="str">
        <f t="shared" si="10"/>
        <v/>
      </c>
      <c r="AK109" s="58"/>
      <c r="AL109" s="58" t="str">
        <f t="shared" si="13"/>
        <v>00</v>
      </c>
      <c r="AM109" s="60" t="str">
        <f t="shared" si="14"/>
        <v>00</v>
      </c>
      <c r="AN109" s="60" t="str">
        <f t="shared" si="15"/>
        <v>00</v>
      </c>
      <c r="AO109" s="60" t="str">
        <f t="shared" si="16"/>
        <v>00</v>
      </c>
      <c r="AQ109" t="str">
        <f t="shared" si="11"/>
        <v/>
      </c>
    </row>
    <row r="110" spans="2:43">
      <c r="B110" s="132"/>
      <c r="C110" s="45">
        <f t="shared" si="12"/>
        <v>39</v>
      </c>
      <c r="D110" s="125">
        <f t="shared" si="24"/>
        <v>0</v>
      </c>
      <c r="E110" s="125">
        <f t="shared" si="24"/>
        <v>0</v>
      </c>
      <c r="F110" s="125">
        <f t="shared" si="24"/>
        <v>0</v>
      </c>
      <c r="G110" s="125">
        <f t="shared" si="24"/>
        <v>0</v>
      </c>
      <c r="H110" s="125">
        <f t="shared" si="24"/>
        <v>0</v>
      </c>
      <c r="I110" s="125">
        <f t="shared" si="24"/>
        <v>0</v>
      </c>
      <c r="J110" s="125">
        <f t="shared" si="24"/>
        <v>0</v>
      </c>
      <c r="K110" s="125">
        <f t="shared" si="24"/>
        <v>0</v>
      </c>
      <c r="L110" s="125">
        <f t="shared" si="24"/>
        <v>0</v>
      </c>
      <c r="M110" s="125">
        <f t="shared" si="24"/>
        <v>0</v>
      </c>
      <c r="N110" s="125">
        <f t="shared" si="24"/>
        <v>0</v>
      </c>
      <c r="O110" s="125">
        <f t="shared" si="24"/>
        <v>0</v>
      </c>
      <c r="P110" s="125">
        <f t="shared" si="24"/>
        <v>0</v>
      </c>
      <c r="Q110" s="125">
        <f t="shared" si="24"/>
        <v>0</v>
      </c>
      <c r="R110" s="125">
        <f t="shared" si="24"/>
        <v>0</v>
      </c>
      <c r="S110" s="125">
        <f t="shared" si="24"/>
        <v>0</v>
      </c>
      <c r="T110" s="125">
        <f t="shared" si="24"/>
        <v>0</v>
      </c>
      <c r="U110" s="125">
        <f t="shared" si="24"/>
        <v>0</v>
      </c>
      <c r="V110" s="125">
        <f t="shared" si="24"/>
        <v>0</v>
      </c>
      <c r="W110" s="125">
        <f t="shared" si="24"/>
        <v>0</v>
      </c>
      <c r="X110" s="125">
        <f t="shared" si="24"/>
        <v>0</v>
      </c>
      <c r="Y110" s="125">
        <f t="shared" si="24"/>
        <v>0</v>
      </c>
      <c r="Z110" s="125">
        <f t="shared" si="24"/>
        <v>0</v>
      </c>
      <c r="AA110" s="125">
        <f t="shared" si="24"/>
        <v>0</v>
      </c>
      <c r="AB110" s="125">
        <f t="shared" si="24"/>
        <v>0</v>
      </c>
      <c r="AC110" s="125">
        <f t="shared" si="24"/>
        <v>0</v>
      </c>
      <c r="AD110" s="125">
        <f t="shared" si="24"/>
        <v>0</v>
      </c>
      <c r="AE110" s="125">
        <f t="shared" si="24"/>
        <v>0</v>
      </c>
      <c r="AF110" s="125">
        <f t="shared" si="24"/>
        <v>0</v>
      </c>
      <c r="AG110" s="125">
        <f t="shared" si="24"/>
        <v>0</v>
      </c>
      <c r="AH110" s="125">
        <f t="shared" si="24"/>
        <v>0</v>
      </c>
      <c r="AI110" s="125">
        <f t="shared" ref="AI110" si="25">IF(AI45=1,1,0)</f>
        <v>0</v>
      </c>
      <c r="AJ110" s="45" t="str">
        <f t="shared" si="10"/>
        <v/>
      </c>
      <c r="AK110" s="58"/>
      <c r="AL110" s="58" t="str">
        <f t="shared" si="13"/>
        <v>00</v>
      </c>
      <c r="AM110" s="60" t="str">
        <f t="shared" si="14"/>
        <v>00</v>
      </c>
      <c r="AN110" s="60" t="str">
        <f t="shared" si="15"/>
        <v>00</v>
      </c>
      <c r="AO110" s="60" t="str">
        <f t="shared" si="16"/>
        <v>00</v>
      </c>
      <c r="AQ110" t="str">
        <f t="shared" si="11"/>
        <v/>
      </c>
    </row>
    <row r="111" spans="2:43">
      <c r="B111" s="132"/>
      <c r="C111" s="45">
        <f t="shared" si="12"/>
        <v>40</v>
      </c>
      <c r="D111" s="125">
        <f t="shared" ref="D111:AI118" si="26">IF(D46=1,1,0)</f>
        <v>0</v>
      </c>
      <c r="E111" s="125">
        <f t="shared" si="26"/>
        <v>0</v>
      </c>
      <c r="F111" s="125">
        <f t="shared" si="26"/>
        <v>0</v>
      </c>
      <c r="G111" s="125">
        <f t="shared" si="26"/>
        <v>0</v>
      </c>
      <c r="H111" s="125">
        <f t="shared" si="26"/>
        <v>0</v>
      </c>
      <c r="I111" s="125">
        <f t="shared" si="26"/>
        <v>0</v>
      </c>
      <c r="J111" s="125">
        <f t="shared" si="26"/>
        <v>0</v>
      </c>
      <c r="K111" s="125">
        <f t="shared" si="26"/>
        <v>0</v>
      </c>
      <c r="L111" s="125">
        <f t="shared" si="26"/>
        <v>0</v>
      </c>
      <c r="M111" s="125">
        <f t="shared" si="26"/>
        <v>0</v>
      </c>
      <c r="N111" s="125">
        <f t="shared" si="26"/>
        <v>0</v>
      </c>
      <c r="O111" s="125">
        <f t="shared" si="26"/>
        <v>0</v>
      </c>
      <c r="P111" s="125">
        <f t="shared" si="26"/>
        <v>0</v>
      </c>
      <c r="Q111" s="125">
        <f t="shared" si="26"/>
        <v>0</v>
      </c>
      <c r="R111" s="125">
        <f t="shared" si="26"/>
        <v>0</v>
      </c>
      <c r="S111" s="125">
        <f t="shared" si="26"/>
        <v>0</v>
      </c>
      <c r="T111" s="125">
        <f t="shared" si="26"/>
        <v>0</v>
      </c>
      <c r="U111" s="125">
        <f t="shared" si="26"/>
        <v>0</v>
      </c>
      <c r="V111" s="125">
        <f t="shared" si="26"/>
        <v>0</v>
      </c>
      <c r="W111" s="125">
        <f t="shared" si="26"/>
        <v>0</v>
      </c>
      <c r="X111" s="125">
        <f t="shared" si="26"/>
        <v>0</v>
      </c>
      <c r="Y111" s="125">
        <f t="shared" si="26"/>
        <v>0</v>
      </c>
      <c r="Z111" s="125">
        <f t="shared" si="26"/>
        <v>0</v>
      </c>
      <c r="AA111" s="125">
        <f t="shared" si="26"/>
        <v>0</v>
      </c>
      <c r="AB111" s="125">
        <f t="shared" si="26"/>
        <v>0</v>
      </c>
      <c r="AC111" s="125">
        <f t="shared" si="26"/>
        <v>0</v>
      </c>
      <c r="AD111" s="125">
        <f t="shared" si="26"/>
        <v>0</v>
      </c>
      <c r="AE111" s="125">
        <f t="shared" si="26"/>
        <v>0</v>
      </c>
      <c r="AF111" s="125">
        <f t="shared" si="26"/>
        <v>0</v>
      </c>
      <c r="AG111" s="125">
        <f t="shared" si="26"/>
        <v>0</v>
      </c>
      <c r="AH111" s="125">
        <f t="shared" si="26"/>
        <v>0</v>
      </c>
      <c r="AI111" s="125">
        <f t="shared" si="26"/>
        <v>0</v>
      </c>
      <c r="AJ111" s="45" t="str">
        <f t="shared" si="10"/>
        <v/>
      </c>
      <c r="AK111" s="58"/>
      <c r="AL111" s="58" t="str">
        <f t="shared" si="13"/>
        <v>00</v>
      </c>
      <c r="AM111" s="60" t="str">
        <f t="shared" si="14"/>
        <v>00</v>
      </c>
      <c r="AN111" s="60" t="str">
        <f t="shared" si="15"/>
        <v>00</v>
      </c>
      <c r="AO111" s="60" t="str">
        <f t="shared" si="16"/>
        <v>00</v>
      </c>
      <c r="AQ111" t="str">
        <f t="shared" si="11"/>
        <v/>
      </c>
    </row>
    <row r="112" spans="2:43">
      <c r="B112" s="132"/>
      <c r="C112" s="45">
        <f t="shared" si="12"/>
        <v>41</v>
      </c>
      <c r="D112" s="125">
        <f t="shared" si="26"/>
        <v>0</v>
      </c>
      <c r="E112" s="125">
        <f t="shared" si="26"/>
        <v>0</v>
      </c>
      <c r="F112" s="125">
        <f t="shared" si="26"/>
        <v>0</v>
      </c>
      <c r="G112" s="125">
        <f t="shared" si="26"/>
        <v>0</v>
      </c>
      <c r="H112" s="125">
        <f t="shared" si="26"/>
        <v>0</v>
      </c>
      <c r="I112" s="125">
        <f t="shared" si="26"/>
        <v>0</v>
      </c>
      <c r="J112" s="125">
        <f t="shared" si="26"/>
        <v>0</v>
      </c>
      <c r="K112" s="125">
        <f t="shared" si="26"/>
        <v>0</v>
      </c>
      <c r="L112" s="125">
        <f t="shared" si="26"/>
        <v>0</v>
      </c>
      <c r="M112" s="125">
        <f t="shared" si="26"/>
        <v>0</v>
      </c>
      <c r="N112" s="125">
        <f t="shared" si="26"/>
        <v>0</v>
      </c>
      <c r="O112" s="125">
        <f t="shared" si="26"/>
        <v>0</v>
      </c>
      <c r="P112" s="125">
        <f t="shared" si="26"/>
        <v>0</v>
      </c>
      <c r="Q112" s="125">
        <f t="shared" si="26"/>
        <v>0</v>
      </c>
      <c r="R112" s="125">
        <f t="shared" si="26"/>
        <v>0</v>
      </c>
      <c r="S112" s="125">
        <f t="shared" si="26"/>
        <v>0</v>
      </c>
      <c r="T112" s="125">
        <f t="shared" si="26"/>
        <v>0</v>
      </c>
      <c r="U112" s="125">
        <f t="shared" si="26"/>
        <v>0</v>
      </c>
      <c r="V112" s="125">
        <f t="shared" si="26"/>
        <v>0</v>
      </c>
      <c r="W112" s="125">
        <f t="shared" si="26"/>
        <v>0</v>
      </c>
      <c r="X112" s="125">
        <f t="shared" si="26"/>
        <v>0</v>
      </c>
      <c r="Y112" s="125">
        <f t="shared" si="26"/>
        <v>0</v>
      </c>
      <c r="Z112" s="125">
        <f t="shared" si="26"/>
        <v>0</v>
      </c>
      <c r="AA112" s="125">
        <f t="shared" si="26"/>
        <v>0</v>
      </c>
      <c r="AB112" s="125">
        <f t="shared" si="26"/>
        <v>0</v>
      </c>
      <c r="AC112" s="125">
        <f t="shared" si="26"/>
        <v>0</v>
      </c>
      <c r="AD112" s="125">
        <f t="shared" si="26"/>
        <v>0</v>
      </c>
      <c r="AE112" s="125">
        <f t="shared" si="26"/>
        <v>0</v>
      </c>
      <c r="AF112" s="125">
        <f t="shared" si="26"/>
        <v>0</v>
      </c>
      <c r="AG112" s="125">
        <f t="shared" si="26"/>
        <v>0</v>
      </c>
      <c r="AH112" s="125">
        <f t="shared" si="26"/>
        <v>0</v>
      </c>
      <c r="AI112" s="125">
        <f t="shared" si="26"/>
        <v>0</v>
      </c>
      <c r="AJ112" s="45" t="str">
        <f t="shared" si="10"/>
        <v/>
      </c>
      <c r="AK112" s="58"/>
      <c r="AL112" s="58" t="str">
        <f t="shared" si="13"/>
        <v>00</v>
      </c>
      <c r="AM112" s="60" t="str">
        <f t="shared" si="14"/>
        <v>00</v>
      </c>
      <c r="AN112" s="60" t="str">
        <f t="shared" si="15"/>
        <v>00</v>
      </c>
      <c r="AO112" s="60" t="str">
        <f t="shared" si="16"/>
        <v>00</v>
      </c>
      <c r="AQ112" t="str">
        <f t="shared" si="11"/>
        <v/>
      </c>
    </row>
    <row r="113" spans="2:43">
      <c r="B113" s="132"/>
      <c r="C113" s="45">
        <f t="shared" si="12"/>
        <v>42</v>
      </c>
      <c r="D113" s="125">
        <f t="shared" si="26"/>
        <v>0</v>
      </c>
      <c r="E113" s="125">
        <f t="shared" si="26"/>
        <v>0</v>
      </c>
      <c r="F113" s="125">
        <f t="shared" si="26"/>
        <v>0</v>
      </c>
      <c r="G113" s="125">
        <f t="shared" si="26"/>
        <v>0</v>
      </c>
      <c r="H113" s="125">
        <f t="shared" si="26"/>
        <v>0</v>
      </c>
      <c r="I113" s="125">
        <f t="shared" si="26"/>
        <v>0</v>
      </c>
      <c r="J113" s="125">
        <f t="shared" si="26"/>
        <v>0</v>
      </c>
      <c r="K113" s="125">
        <f t="shared" si="26"/>
        <v>0</v>
      </c>
      <c r="L113" s="125">
        <f t="shared" si="26"/>
        <v>0</v>
      </c>
      <c r="M113" s="125">
        <f t="shared" si="26"/>
        <v>0</v>
      </c>
      <c r="N113" s="125">
        <f t="shared" si="26"/>
        <v>0</v>
      </c>
      <c r="O113" s="125">
        <f t="shared" si="26"/>
        <v>0</v>
      </c>
      <c r="P113" s="125">
        <f t="shared" si="26"/>
        <v>0</v>
      </c>
      <c r="Q113" s="125">
        <f t="shared" si="26"/>
        <v>0</v>
      </c>
      <c r="R113" s="125">
        <f t="shared" si="26"/>
        <v>0</v>
      </c>
      <c r="S113" s="125">
        <f t="shared" si="26"/>
        <v>0</v>
      </c>
      <c r="T113" s="125">
        <f t="shared" si="26"/>
        <v>0</v>
      </c>
      <c r="U113" s="125">
        <f t="shared" si="26"/>
        <v>0</v>
      </c>
      <c r="V113" s="125">
        <f t="shared" si="26"/>
        <v>0</v>
      </c>
      <c r="W113" s="125">
        <f t="shared" si="26"/>
        <v>0</v>
      </c>
      <c r="X113" s="125">
        <f t="shared" si="26"/>
        <v>0</v>
      </c>
      <c r="Y113" s="125">
        <f t="shared" si="26"/>
        <v>0</v>
      </c>
      <c r="Z113" s="125">
        <f t="shared" si="26"/>
        <v>0</v>
      </c>
      <c r="AA113" s="125">
        <f t="shared" si="26"/>
        <v>0</v>
      </c>
      <c r="AB113" s="125">
        <f t="shared" si="26"/>
        <v>0</v>
      </c>
      <c r="AC113" s="125">
        <f t="shared" si="26"/>
        <v>0</v>
      </c>
      <c r="AD113" s="125">
        <f t="shared" si="26"/>
        <v>0</v>
      </c>
      <c r="AE113" s="125">
        <f t="shared" si="26"/>
        <v>0</v>
      </c>
      <c r="AF113" s="125">
        <f t="shared" si="26"/>
        <v>0</v>
      </c>
      <c r="AG113" s="125">
        <f t="shared" si="26"/>
        <v>0</v>
      </c>
      <c r="AH113" s="125">
        <f t="shared" si="26"/>
        <v>0</v>
      </c>
      <c r="AI113" s="125">
        <f t="shared" si="26"/>
        <v>0</v>
      </c>
      <c r="AJ113" s="45" t="str">
        <f t="shared" si="10"/>
        <v/>
      </c>
      <c r="AK113" s="58"/>
      <c r="AL113" s="58" t="str">
        <f t="shared" si="13"/>
        <v>00</v>
      </c>
      <c r="AM113" s="60" t="str">
        <f t="shared" si="14"/>
        <v>00</v>
      </c>
      <c r="AN113" s="60" t="str">
        <f t="shared" si="15"/>
        <v>00</v>
      </c>
      <c r="AO113" s="60" t="str">
        <f t="shared" si="16"/>
        <v>00</v>
      </c>
      <c r="AQ113" t="str">
        <f t="shared" si="11"/>
        <v/>
      </c>
    </row>
    <row r="114" spans="2:43">
      <c r="B114" s="132"/>
      <c r="C114" s="45">
        <f t="shared" si="12"/>
        <v>43</v>
      </c>
      <c r="D114" s="125">
        <f t="shared" si="26"/>
        <v>0</v>
      </c>
      <c r="E114" s="125">
        <f t="shared" si="26"/>
        <v>0</v>
      </c>
      <c r="F114" s="125">
        <f t="shared" si="26"/>
        <v>0</v>
      </c>
      <c r="G114" s="125">
        <f t="shared" si="26"/>
        <v>0</v>
      </c>
      <c r="H114" s="125">
        <f t="shared" si="26"/>
        <v>0</v>
      </c>
      <c r="I114" s="125">
        <f t="shared" si="26"/>
        <v>0</v>
      </c>
      <c r="J114" s="125">
        <f t="shared" si="26"/>
        <v>0</v>
      </c>
      <c r="K114" s="125">
        <f t="shared" si="26"/>
        <v>0</v>
      </c>
      <c r="L114" s="125">
        <f t="shared" si="26"/>
        <v>0</v>
      </c>
      <c r="M114" s="125">
        <f t="shared" si="26"/>
        <v>0</v>
      </c>
      <c r="N114" s="125">
        <f t="shared" si="26"/>
        <v>0</v>
      </c>
      <c r="O114" s="125">
        <f t="shared" si="26"/>
        <v>0</v>
      </c>
      <c r="P114" s="125">
        <f t="shared" si="26"/>
        <v>0</v>
      </c>
      <c r="Q114" s="125">
        <f t="shared" si="26"/>
        <v>0</v>
      </c>
      <c r="R114" s="125">
        <f t="shared" si="26"/>
        <v>0</v>
      </c>
      <c r="S114" s="125">
        <f t="shared" si="26"/>
        <v>0</v>
      </c>
      <c r="T114" s="125">
        <f t="shared" si="26"/>
        <v>0</v>
      </c>
      <c r="U114" s="125">
        <f t="shared" si="26"/>
        <v>0</v>
      </c>
      <c r="V114" s="125">
        <f t="shared" si="26"/>
        <v>0</v>
      </c>
      <c r="W114" s="125">
        <f t="shared" si="26"/>
        <v>0</v>
      </c>
      <c r="X114" s="125">
        <f t="shared" si="26"/>
        <v>0</v>
      </c>
      <c r="Y114" s="125">
        <f t="shared" si="26"/>
        <v>0</v>
      </c>
      <c r="Z114" s="125">
        <f t="shared" si="26"/>
        <v>0</v>
      </c>
      <c r="AA114" s="125">
        <f t="shared" si="26"/>
        <v>0</v>
      </c>
      <c r="AB114" s="125">
        <f t="shared" si="26"/>
        <v>0</v>
      </c>
      <c r="AC114" s="125">
        <f t="shared" si="26"/>
        <v>0</v>
      </c>
      <c r="AD114" s="125">
        <f t="shared" si="26"/>
        <v>0</v>
      </c>
      <c r="AE114" s="125">
        <f t="shared" si="26"/>
        <v>0</v>
      </c>
      <c r="AF114" s="125">
        <f t="shared" si="26"/>
        <v>0</v>
      </c>
      <c r="AG114" s="125">
        <f t="shared" si="26"/>
        <v>0</v>
      </c>
      <c r="AH114" s="125">
        <f t="shared" si="26"/>
        <v>0</v>
      </c>
      <c r="AI114" s="125">
        <f t="shared" si="26"/>
        <v>0</v>
      </c>
      <c r="AJ114" s="45" t="str">
        <f t="shared" si="10"/>
        <v/>
      </c>
      <c r="AK114" s="58"/>
      <c r="AL114" s="58" t="str">
        <f t="shared" si="13"/>
        <v>00</v>
      </c>
      <c r="AM114" s="60" t="str">
        <f t="shared" si="14"/>
        <v>00</v>
      </c>
      <c r="AN114" s="60" t="str">
        <f t="shared" si="15"/>
        <v>00</v>
      </c>
      <c r="AO114" s="60" t="str">
        <f t="shared" si="16"/>
        <v>00</v>
      </c>
      <c r="AQ114" t="str">
        <f t="shared" si="11"/>
        <v/>
      </c>
    </row>
    <row r="115" spans="2:43">
      <c r="B115" s="132"/>
      <c r="C115" s="45">
        <f t="shared" si="12"/>
        <v>44</v>
      </c>
      <c r="D115" s="125">
        <f t="shared" si="26"/>
        <v>0</v>
      </c>
      <c r="E115" s="125">
        <f t="shared" si="26"/>
        <v>0</v>
      </c>
      <c r="F115" s="125">
        <f t="shared" si="26"/>
        <v>0</v>
      </c>
      <c r="G115" s="125">
        <f t="shared" si="26"/>
        <v>0</v>
      </c>
      <c r="H115" s="125">
        <f t="shared" si="26"/>
        <v>0</v>
      </c>
      <c r="I115" s="125">
        <f t="shared" si="26"/>
        <v>0</v>
      </c>
      <c r="J115" s="125">
        <f t="shared" si="26"/>
        <v>0</v>
      </c>
      <c r="K115" s="125">
        <f t="shared" si="26"/>
        <v>0</v>
      </c>
      <c r="L115" s="125">
        <f t="shared" si="26"/>
        <v>0</v>
      </c>
      <c r="M115" s="125">
        <f t="shared" si="26"/>
        <v>0</v>
      </c>
      <c r="N115" s="125">
        <f t="shared" si="26"/>
        <v>0</v>
      </c>
      <c r="O115" s="125">
        <f t="shared" si="26"/>
        <v>0</v>
      </c>
      <c r="P115" s="125">
        <f t="shared" si="26"/>
        <v>0</v>
      </c>
      <c r="Q115" s="125">
        <f t="shared" si="26"/>
        <v>0</v>
      </c>
      <c r="R115" s="125">
        <f t="shared" si="26"/>
        <v>0</v>
      </c>
      <c r="S115" s="125">
        <f t="shared" si="26"/>
        <v>0</v>
      </c>
      <c r="T115" s="125">
        <f t="shared" si="26"/>
        <v>0</v>
      </c>
      <c r="U115" s="125">
        <f t="shared" si="26"/>
        <v>0</v>
      </c>
      <c r="V115" s="125">
        <f t="shared" si="26"/>
        <v>0</v>
      </c>
      <c r="W115" s="125">
        <f t="shared" si="26"/>
        <v>0</v>
      </c>
      <c r="X115" s="125">
        <f t="shared" si="26"/>
        <v>0</v>
      </c>
      <c r="Y115" s="125">
        <f t="shared" si="26"/>
        <v>0</v>
      </c>
      <c r="Z115" s="125">
        <f t="shared" si="26"/>
        <v>0</v>
      </c>
      <c r="AA115" s="125">
        <f t="shared" si="26"/>
        <v>0</v>
      </c>
      <c r="AB115" s="125">
        <f t="shared" si="26"/>
        <v>0</v>
      </c>
      <c r="AC115" s="125">
        <f t="shared" si="26"/>
        <v>0</v>
      </c>
      <c r="AD115" s="125">
        <f t="shared" si="26"/>
        <v>0</v>
      </c>
      <c r="AE115" s="125">
        <f t="shared" si="26"/>
        <v>0</v>
      </c>
      <c r="AF115" s="125">
        <f t="shared" si="26"/>
        <v>0</v>
      </c>
      <c r="AG115" s="125">
        <f t="shared" si="26"/>
        <v>0</v>
      </c>
      <c r="AH115" s="125">
        <f t="shared" si="26"/>
        <v>0</v>
      </c>
      <c r="AI115" s="125">
        <f t="shared" si="26"/>
        <v>0</v>
      </c>
      <c r="AJ115" s="45" t="str">
        <f t="shared" si="10"/>
        <v/>
      </c>
      <c r="AK115" s="58"/>
      <c r="AL115" s="58" t="str">
        <f t="shared" si="13"/>
        <v>00</v>
      </c>
      <c r="AM115" s="60" t="str">
        <f t="shared" si="14"/>
        <v>00</v>
      </c>
      <c r="AN115" s="60" t="str">
        <f t="shared" si="15"/>
        <v>00</v>
      </c>
      <c r="AO115" s="60" t="str">
        <f t="shared" si="16"/>
        <v>00</v>
      </c>
      <c r="AQ115" t="str">
        <f t="shared" si="11"/>
        <v/>
      </c>
    </row>
    <row r="116" spans="2:43">
      <c r="B116" s="132"/>
      <c r="C116" s="45">
        <f t="shared" si="12"/>
        <v>45</v>
      </c>
      <c r="D116" s="125">
        <f t="shared" si="26"/>
        <v>0</v>
      </c>
      <c r="E116" s="125">
        <f t="shared" si="26"/>
        <v>0</v>
      </c>
      <c r="F116" s="125">
        <f t="shared" si="26"/>
        <v>0</v>
      </c>
      <c r="G116" s="125">
        <f t="shared" si="26"/>
        <v>0</v>
      </c>
      <c r="H116" s="125">
        <f t="shared" si="26"/>
        <v>0</v>
      </c>
      <c r="I116" s="125">
        <f t="shared" si="26"/>
        <v>0</v>
      </c>
      <c r="J116" s="125">
        <f t="shared" si="26"/>
        <v>0</v>
      </c>
      <c r="K116" s="125">
        <f t="shared" si="26"/>
        <v>0</v>
      </c>
      <c r="L116" s="125">
        <f t="shared" si="26"/>
        <v>0</v>
      </c>
      <c r="M116" s="125">
        <f t="shared" si="26"/>
        <v>0</v>
      </c>
      <c r="N116" s="125">
        <f t="shared" si="26"/>
        <v>0</v>
      </c>
      <c r="O116" s="125">
        <f t="shared" si="26"/>
        <v>0</v>
      </c>
      <c r="P116" s="125">
        <f t="shared" si="26"/>
        <v>0</v>
      </c>
      <c r="Q116" s="125">
        <f t="shared" si="26"/>
        <v>0</v>
      </c>
      <c r="R116" s="125">
        <f t="shared" si="26"/>
        <v>0</v>
      </c>
      <c r="S116" s="125">
        <f t="shared" si="26"/>
        <v>0</v>
      </c>
      <c r="T116" s="125">
        <f t="shared" si="26"/>
        <v>0</v>
      </c>
      <c r="U116" s="125">
        <f t="shared" si="26"/>
        <v>0</v>
      </c>
      <c r="V116" s="125">
        <f t="shared" si="26"/>
        <v>0</v>
      </c>
      <c r="W116" s="125">
        <f t="shared" si="26"/>
        <v>0</v>
      </c>
      <c r="X116" s="125">
        <f t="shared" si="26"/>
        <v>0</v>
      </c>
      <c r="Y116" s="125">
        <f t="shared" si="26"/>
        <v>0</v>
      </c>
      <c r="Z116" s="125">
        <f t="shared" si="26"/>
        <v>0</v>
      </c>
      <c r="AA116" s="125">
        <f t="shared" si="26"/>
        <v>0</v>
      </c>
      <c r="AB116" s="125">
        <f t="shared" si="26"/>
        <v>0</v>
      </c>
      <c r="AC116" s="125">
        <f t="shared" si="26"/>
        <v>0</v>
      </c>
      <c r="AD116" s="125">
        <f t="shared" si="26"/>
        <v>0</v>
      </c>
      <c r="AE116" s="125">
        <f t="shared" si="26"/>
        <v>0</v>
      </c>
      <c r="AF116" s="125">
        <f t="shared" si="26"/>
        <v>0</v>
      </c>
      <c r="AG116" s="125">
        <f t="shared" si="26"/>
        <v>0</v>
      </c>
      <c r="AH116" s="125">
        <f t="shared" si="26"/>
        <v>0</v>
      </c>
      <c r="AI116" s="125">
        <f t="shared" si="26"/>
        <v>0</v>
      </c>
      <c r="AJ116" s="45" t="str">
        <f t="shared" si="10"/>
        <v/>
      </c>
      <c r="AK116" s="58"/>
      <c r="AL116" s="58" t="str">
        <f t="shared" si="13"/>
        <v>00</v>
      </c>
      <c r="AM116" s="60" t="str">
        <f t="shared" si="14"/>
        <v>00</v>
      </c>
      <c r="AN116" s="60" t="str">
        <f t="shared" si="15"/>
        <v>00</v>
      </c>
      <c r="AO116" s="60" t="str">
        <f t="shared" si="16"/>
        <v>00</v>
      </c>
      <c r="AQ116" t="str">
        <f t="shared" si="11"/>
        <v/>
      </c>
    </row>
    <row r="117" spans="2:43">
      <c r="B117" s="132"/>
      <c r="C117" s="45">
        <f t="shared" si="12"/>
        <v>46</v>
      </c>
      <c r="D117" s="125">
        <f t="shared" si="26"/>
        <v>0</v>
      </c>
      <c r="E117" s="125">
        <f t="shared" si="26"/>
        <v>0</v>
      </c>
      <c r="F117" s="125">
        <f t="shared" si="26"/>
        <v>0</v>
      </c>
      <c r="G117" s="125">
        <f t="shared" si="26"/>
        <v>0</v>
      </c>
      <c r="H117" s="125">
        <f t="shared" si="26"/>
        <v>0</v>
      </c>
      <c r="I117" s="125">
        <f t="shared" si="26"/>
        <v>0</v>
      </c>
      <c r="J117" s="125">
        <f t="shared" si="26"/>
        <v>0</v>
      </c>
      <c r="K117" s="125">
        <f t="shared" si="26"/>
        <v>0</v>
      </c>
      <c r="L117" s="125">
        <f t="shared" si="26"/>
        <v>0</v>
      </c>
      <c r="M117" s="125">
        <f t="shared" si="26"/>
        <v>0</v>
      </c>
      <c r="N117" s="125">
        <f t="shared" si="26"/>
        <v>0</v>
      </c>
      <c r="O117" s="125">
        <f t="shared" si="26"/>
        <v>0</v>
      </c>
      <c r="P117" s="125">
        <f t="shared" si="26"/>
        <v>0</v>
      </c>
      <c r="Q117" s="125">
        <f t="shared" si="26"/>
        <v>0</v>
      </c>
      <c r="R117" s="125">
        <f t="shared" si="26"/>
        <v>0</v>
      </c>
      <c r="S117" s="125">
        <f t="shared" si="26"/>
        <v>0</v>
      </c>
      <c r="T117" s="125">
        <f t="shared" si="26"/>
        <v>0</v>
      </c>
      <c r="U117" s="125">
        <f t="shared" si="26"/>
        <v>0</v>
      </c>
      <c r="V117" s="125">
        <f t="shared" si="26"/>
        <v>0</v>
      </c>
      <c r="W117" s="125">
        <f t="shared" si="26"/>
        <v>0</v>
      </c>
      <c r="X117" s="125">
        <f t="shared" si="26"/>
        <v>0</v>
      </c>
      <c r="Y117" s="125">
        <f t="shared" si="26"/>
        <v>0</v>
      </c>
      <c r="Z117" s="125">
        <f t="shared" si="26"/>
        <v>0</v>
      </c>
      <c r="AA117" s="125">
        <f t="shared" si="26"/>
        <v>0</v>
      </c>
      <c r="AB117" s="125">
        <f t="shared" si="26"/>
        <v>0</v>
      </c>
      <c r="AC117" s="125">
        <f t="shared" si="26"/>
        <v>0</v>
      </c>
      <c r="AD117" s="125">
        <f t="shared" si="26"/>
        <v>0</v>
      </c>
      <c r="AE117" s="125">
        <f t="shared" si="26"/>
        <v>0</v>
      </c>
      <c r="AF117" s="125">
        <f t="shared" si="26"/>
        <v>0</v>
      </c>
      <c r="AG117" s="125">
        <f t="shared" si="26"/>
        <v>0</v>
      </c>
      <c r="AH117" s="125">
        <f t="shared" si="26"/>
        <v>0</v>
      </c>
      <c r="AI117" s="125">
        <f t="shared" si="26"/>
        <v>0</v>
      </c>
      <c r="AJ117" s="45" t="str">
        <f t="shared" si="10"/>
        <v/>
      </c>
      <c r="AK117" s="58"/>
      <c r="AL117" s="58" t="str">
        <f t="shared" si="13"/>
        <v>00</v>
      </c>
      <c r="AM117" s="60" t="str">
        <f t="shared" si="14"/>
        <v>00</v>
      </c>
      <c r="AN117" s="60" t="str">
        <f t="shared" si="15"/>
        <v>00</v>
      </c>
      <c r="AO117" s="60" t="str">
        <f t="shared" si="16"/>
        <v>00</v>
      </c>
      <c r="AQ117" t="str">
        <f t="shared" si="11"/>
        <v/>
      </c>
    </row>
    <row r="118" spans="2:43">
      <c r="B118" s="132"/>
      <c r="C118" s="45">
        <f t="shared" si="12"/>
        <v>47</v>
      </c>
      <c r="D118" s="125">
        <f t="shared" si="26"/>
        <v>0</v>
      </c>
      <c r="E118" s="125">
        <f t="shared" si="26"/>
        <v>0</v>
      </c>
      <c r="F118" s="125">
        <f t="shared" si="26"/>
        <v>0</v>
      </c>
      <c r="G118" s="125">
        <f t="shared" si="26"/>
        <v>0</v>
      </c>
      <c r="H118" s="125">
        <f t="shared" si="26"/>
        <v>0</v>
      </c>
      <c r="I118" s="125">
        <f t="shared" si="26"/>
        <v>0</v>
      </c>
      <c r="J118" s="125">
        <f t="shared" si="26"/>
        <v>0</v>
      </c>
      <c r="K118" s="125">
        <f t="shared" si="26"/>
        <v>0</v>
      </c>
      <c r="L118" s="125">
        <f t="shared" si="26"/>
        <v>0</v>
      </c>
      <c r="M118" s="125">
        <f t="shared" si="26"/>
        <v>0</v>
      </c>
      <c r="N118" s="125">
        <f t="shared" si="26"/>
        <v>0</v>
      </c>
      <c r="O118" s="125">
        <f t="shared" si="26"/>
        <v>0</v>
      </c>
      <c r="P118" s="125">
        <f t="shared" si="26"/>
        <v>0</v>
      </c>
      <c r="Q118" s="125">
        <f t="shared" si="26"/>
        <v>0</v>
      </c>
      <c r="R118" s="125">
        <f t="shared" si="26"/>
        <v>0</v>
      </c>
      <c r="S118" s="125">
        <f t="shared" si="26"/>
        <v>0</v>
      </c>
      <c r="T118" s="125">
        <f t="shared" si="26"/>
        <v>0</v>
      </c>
      <c r="U118" s="125">
        <f t="shared" si="26"/>
        <v>0</v>
      </c>
      <c r="V118" s="125">
        <f t="shared" si="26"/>
        <v>0</v>
      </c>
      <c r="W118" s="125">
        <f t="shared" si="26"/>
        <v>0</v>
      </c>
      <c r="X118" s="125">
        <f t="shared" si="26"/>
        <v>0</v>
      </c>
      <c r="Y118" s="125">
        <f t="shared" si="26"/>
        <v>0</v>
      </c>
      <c r="Z118" s="125">
        <f t="shared" si="26"/>
        <v>0</v>
      </c>
      <c r="AA118" s="125">
        <f t="shared" si="26"/>
        <v>0</v>
      </c>
      <c r="AB118" s="125">
        <f t="shared" si="26"/>
        <v>0</v>
      </c>
      <c r="AC118" s="125">
        <f t="shared" si="26"/>
        <v>0</v>
      </c>
      <c r="AD118" s="125">
        <f t="shared" si="26"/>
        <v>0</v>
      </c>
      <c r="AE118" s="125">
        <f t="shared" si="26"/>
        <v>0</v>
      </c>
      <c r="AF118" s="125">
        <f t="shared" si="26"/>
        <v>0</v>
      </c>
      <c r="AG118" s="125">
        <f t="shared" si="26"/>
        <v>0</v>
      </c>
      <c r="AH118" s="125">
        <f t="shared" si="26"/>
        <v>0</v>
      </c>
      <c r="AI118" s="125">
        <f t="shared" ref="AI118" si="27">IF(AI53=1,1,0)</f>
        <v>0</v>
      </c>
      <c r="AJ118" s="45" t="str">
        <f t="shared" si="10"/>
        <v/>
      </c>
      <c r="AK118" s="58"/>
      <c r="AL118" s="58" t="str">
        <f t="shared" si="13"/>
        <v>00</v>
      </c>
      <c r="AM118" s="60" t="str">
        <f t="shared" si="14"/>
        <v>00</v>
      </c>
      <c r="AN118" s="60" t="str">
        <f t="shared" si="15"/>
        <v>00</v>
      </c>
      <c r="AO118" s="60" t="str">
        <f t="shared" si="16"/>
        <v>00</v>
      </c>
      <c r="AQ118" t="str">
        <f t="shared" si="11"/>
        <v/>
      </c>
    </row>
    <row r="119" spans="2:43">
      <c r="B119" s="132"/>
      <c r="C119" s="45">
        <f t="shared" si="12"/>
        <v>48</v>
      </c>
      <c r="D119" s="125">
        <f t="shared" ref="D119:AI126" si="28">IF(D54=1,1,0)</f>
        <v>0</v>
      </c>
      <c r="E119" s="125">
        <f t="shared" si="28"/>
        <v>0</v>
      </c>
      <c r="F119" s="125">
        <f t="shared" si="28"/>
        <v>0</v>
      </c>
      <c r="G119" s="125">
        <f t="shared" si="28"/>
        <v>0</v>
      </c>
      <c r="H119" s="125">
        <f t="shared" si="28"/>
        <v>0</v>
      </c>
      <c r="I119" s="125">
        <f t="shared" si="28"/>
        <v>0</v>
      </c>
      <c r="J119" s="125">
        <f t="shared" si="28"/>
        <v>0</v>
      </c>
      <c r="K119" s="125">
        <f t="shared" si="28"/>
        <v>0</v>
      </c>
      <c r="L119" s="125">
        <f t="shared" si="28"/>
        <v>0</v>
      </c>
      <c r="M119" s="125">
        <f t="shared" si="28"/>
        <v>0</v>
      </c>
      <c r="N119" s="125">
        <f t="shared" si="28"/>
        <v>0</v>
      </c>
      <c r="O119" s="125">
        <f t="shared" si="28"/>
        <v>0</v>
      </c>
      <c r="P119" s="125">
        <f t="shared" si="28"/>
        <v>0</v>
      </c>
      <c r="Q119" s="125">
        <f t="shared" si="28"/>
        <v>0</v>
      </c>
      <c r="R119" s="125">
        <f t="shared" si="28"/>
        <v>0</v>
      </c>
      <c r="S119" s="125">
        <f t="shared" si="28"/>
        <v>0</v>
      </c>
      <c r="T119" s="125">
        <f t="shared" si="28"/>
        <v>0</v>
      </c>
      <c r="U119" s="125">
        <f t="shared" si="28"/>
        <v>0</v>
      </c>
      <c r="V119" s="125">
        <f t="shared" si="28"/>
        <v>0</v>
      </c>
      <c r="W119" s="125">
        <f t="shared" si="28"/>
        <v>0</v>
      </c>
      <c r="X119" s="125">
        <f t="shared" si="28"/>
        <v>0</v>
      </c>
      <c r="Y119" s="125">
        <f t="shared" si="28"/>
        <v>0</v>
      </c>
      <c r="Z119" s="125">
        <f t="shared" si="28"/>
        <v>0</v>
      </c>
      <c r="AA119" s="125">
        <f t="shared" si="28"/>
        <v>0</v>
      </c>
      <c r="AB119" s="125">
        <f t="shared" si="28"/>
        <v>0</v>
      </c>
      <c r="AC119" s="125">
        <f t="shared" si="28"/>
        <v>0</v>
      </c>
      <c r="AD119" s="125">
        <f t="shared" si="28"/>
        <v>0</v>
      </c>
      <c r="AE119" s="125">
        <f t="shared" si="28"/>
        <v>0</v>
      </c>
      <c r="AF119" s="125">
        <f t="shared" si="28"/>
        <v>0</v>
      </c>
      <c r="AG119" s="125">
        <f t="shared" si="28"/>
        <v>0</v>
      </c>
      <c r="AH119" s="125">
        <f t="shared" si="28"/>
        <v>0</v>
      </c>
      <c r="AI119" s="125">
        <f t="shared" si="28"/>
        <v>0</v>
      </c>
      <c r="AJ119" s="45" t="str">
        <f t="shared" si="10"/>
        <v/>
      </c>
      <c r="AK119" s="58"/>
      <c r="AL119" s="58" t="str">
        <f t="shared" si="13"/>
        <v>00</v>
      </c>
      <c r="AM119" s="60" t="str">
        <f t="shared" si="14"/>
        <v>00</v>
      </c>
      <c r="AN119" s="60" t="str">
        <f t="shared" si="15"/>
        <v>00</v>
      </c>
      <c r="AO119" s="60" t="str">
        <f t="shared" si="16"/>
        <v>00</v>
      </c>
      <c r="AQ119" t="str">
        <f t="shared" si="11"/>
        <v/>
      </c>
    </row>
    <row r="120" spans="2:43">
      <c r="B120" s="132"/>
      <c r="C120" s="45">
        <f t="shared" si="12"/>
        <v>49</v>
      </c>
      <c r="D120" s="125">
        <f t="shared" si="28"/>
        <v>0</v>
      </c>
      <c r="E120" s="125">
        <f t="shared" si="28"/>
        <v>0</v>
      </c>
      <c r="F120" s="125">
        <f t="shared" si="28"/>
        <v>0</v>
      </c>
      <c r="G120" s="125">
        <f t="shared" si="28"/>
        <v>0</v>
      </c>
      <c r="H120" s="125">
        <f t="shared" si="28"/>
        <v>0</v>
      </c>
      <c r="I120" s="125">
        <f t="shared" si="28"/>
        <v>0</v>
      </c>
      <c r="J120" s="125">
        <f t="shared" si="28"/>
        <v>0</v>
      </c>
      <c r="K120" s="125">
        <f t="shared" si="28"/>
        <v>0</v>
      </c>
      <c r="L120" s="125">
        <f t="shared" si="28"/>
        <v>0</v>
      </c>
      <c r="M120" s="125">
        <f t="shared" si="28"/>
        <v>0</v>
      </c>
      <c r="N120" s="125">
        <f t="shared" si="28"/>
        <v>0</v>
      </c>
      <c r="O120" s="125">
        <f t="shared" si="28"/>
        <v>0</v>
      </c>
      <c r="P120" s="125">
        <f t="shared" si="28"/>
        <v>0</v>
      </c>
      <c r="Q120" s="125">
        <f t="shared" si="28"/>
        <v>0</v>
      </c>
      <c r="R120" s="125">
        <f t="shared" si="28"/>
        <v>0</v>
      </c>
      <c r="S120" s="125">
        <f t="shared" si="28"/>
        <v>0</v>
      </c>
      <c r="T120" s="125">
        <f t="shared" si="28"/>
        <v>0</v>
      </c>
      <c r="U120" s="125">
        <f t="shared" si="28"/>
        <v>0</v>
      </c>
      <c r="V120" s="125">
        <f t="shared" si="28"/>
        <v>0</v>
      </c>
      <c r="W120" s="125">
        <f t="shared" si="28"/>
        <v>0</v>
      </c>
      <c r="X120" s="125">
        <f t="shared" si="28"/>
        <v>0</v>
      </c>
      <c r="Y120" s="125">
        <f t="shared" si="28"/>
        <v>0</v>
      </c>
      <c r="Z120" s="125">
        <f t="shared" si="28"/>
        <v>0</v>
      </c>
      <c r="AA120" s="125">
        <f t="shared" si="28"/>
        <v>0</v>
      </c>
      <c r="AB120" s="125">
        <f t="shared" si="28"/>
        <v>0</v>
      </c>
      <c r="AC120" s="125">
        <f t="shared" si="28"/>
        <v>0</v>
      </c>
      <c r="AD120" s="125">
        <f t="shared" si="28"/>
        <v>0</v>
      </c>
      <c r="AE120" s="125">
        <f t="shared" si="28"/>
        <v>0</v>
      </c>
      <c r="AF120" s="125">
        <f t="shared" si="28"/>
        <v>0</v>
      </c>
      <c r="AG120" s="125">
        <f t="shared" si="28"/>
        <v>0</v>
      </c>
      <c r="AH120" s="125">
        <f t="shared" si="28"/>
        <v>0</v>
      </c>
      <c r="AI120" s="125">
        <f t="shared" si="28"/>
        <v>0</v>
      </c>
      <c r="AJ120" s="45" t="str">
        <f t="shared" si="10"/>
        <v/>
      </c>
      <c r="AK120" s="58"/>
      <c r="AL120" s="58" t="str">
        <f t="shared" si="13"/>
        <v>00</v>
      </c>
      <c r="AM120" s="60" t="str">
        <f t="shared" si="14"/>
        <v>00</v>
      </c>
      <c r="AN120" s="60" t="str">
        <f t="shared" si="15"/>
        <v>00</v>
      </c>
      <c r="AO120" s="60" t="str">
        <f t="shared" si="16"/>
        <v>00</v>
      </c>
      <c r="AQ120" t="str">
        <f t="shared" si="11"/>
        <v/>
      </c>
    </row>
    <row r="121" spans="2:43">
      <c r="B121" s="132"/>
      <c r="C121" s="45">
        <f t="shared" si="12"/>
        <v>50</v>
      </c>
      <c r="D121" s="125">
        <f t="shared" si="28"/>
        <v>0</v>
      </c>
      <c r="E121" s="125">
        <f t="shared" si="28"/>
        <v>0</v>
      </c>
      <c r="F121" s="125">
        <f t="shared" si="28"/>
        <v>0</v>
      </c>
      <c r="G121" s="125">
        <f t="shared" si="28"/>
        <v>0</v>
      </c>
      <c r="H121" s="125">
        <f t="shared" si="28"/>
        <v>0</v>
      </c>
      <c r="I121" s="125">
        <f t="shared" si="28"/>
        <v>0</v>
      </c>
      <c r="J121" s="125">
        <f t="shared" si="28"/>
        <v>0</v>
      </c>
      <c r="K121" s="125">
        <f t="shared" si="28"/>
        <v>0</v>
      </c>
      <c r="L121" s="125">
        <f t="shared" si="28"/>
        <v>0</v>
      </c>
      <c r="M121" s="125">
        <f t="shared" si="28"/>
        <v>0</v>
      </c>
      <c r="N121" s="125">
        <f t="shared" si="28"/>
        <v>0</v>
      </c>
      <c r="O121" s="125">
        <f t="shared" si="28"/>
        <v>0</v>
      </c>
      <c r="P121" s="125">
        <f t="shared" si="28"/>
        <v>0</v>
      </c>
      <c r="Q121" s="125">
        <f t="shared" si="28"/>
        <v>0</v>
      </c>
      <c r="R121" s="125">
        <f t="shared" si="28"/>
        <v>0</v>
      </c>
      <c r="S121" s="125">
        <f t="shared" si="28"/>
        <v>0</v>
      </c>
      <c r="T121" s="125">
        <f t="shared" si="28"/>
        <v>0</v>
      </c>
      <c r="U121" s="125">
        <f t="shared" si="28"/>
        <v>0</v>
      </c>
      <c r="V121" s="125">
        <f t="shared" si="28"/>
        <v>0</v>
      </c>
      <c r="W121" s="125">
        <f t="shared" si="28"/>
        <v>0</v>
      </c>
      <c r="X121" s="125">
        <f t="shared" si="28"/>
        <v>0</v>
      </c>
      <c r="Y121" s="125">
        <f t="shared" si="28"/>
        <v>0</v>
      </c>
      <c r="Z121" s="125">
        <f t="shared" si="28"/>
        <v>0</v>
      </c>
      <c r="AA121" s="125">
        <f t="shared" si="28"/>
        <v>0</v>
      </c>
      <c r="AB121" s="125">
        <f t="shared" si="28"/>
        <v>0</v>
      </c>
      <c r="AC121" s="125">
        <f t="shared" si="28"/>
        <v>0</v>
      </c>
      <c r="AD121" s="125">
        <f t="shared" si="28"/>
        <v>0</v>
      </c>
      <c r="AE121" s="125">
        <f t="shared" si="28"/>
        <v>0</v>
      </c>
      <c r="AF121" s="125">
        <f t="shared" si="28"/>
        <v>0</v>
      </c>
      <c r="AG121" s="125">
        <f t="shared" si="28"/>
        <v>0</v>
      </c>
      <c r="AH121" s="125">
        <f t="shared" si="28"/>
        <v>0</v>
      </c>
      <c r="AI121" s="125">
        <f t="shared" si="28"/>
        <v>0</v>
      </c>
      <c r="AJ121" s="45" t="str">
        <f t="shared" si="10"/>
        <v/>
      </c>
      <c r="AK121" s="58"/>
      <c r="AL121" s="58" t="str">
        <f t="shared" si="13"/>
        <v>00</v>
      </c>
      <c r="AM121" s="60" t="str">
        <f t="shared" si="14"/>
        <v>00</v>
      </c>
      <c r="AN121" s="60" t="str">
        <f t="shared" si="15"/>
        <v>00</v>
      </c>
      <c r="AO121" s="60" t="str">
        <f t="shared" si="16"/>
        <v>00</v>
      </c>
      <c r="AQ121" t="str">
        <f t="shared" si="11"/>
        <v/>
      </c>
    </row>
    <row r="122" spans="2:43">
      <c r="B122" s="132"/>
      <c r="C122" s="45">
        <f t="shared" si="12"/>
        <v>51</v>
      </c>
      <c r="D122" s="125">
        <f t="shared" si="28"/>
        <v>0</v>
      </c>
      <c r="E122" s="125">
        <f t="shared" si="28"/>
        <v>0</v>
      </c>
      <c r="F122" s="125">
        <f t="shared" si="28"/>
        <v>0</v>
      </c>
      <c r="G122" s="125">
        <f t="shared" si="28"/>
        <v>0</v>
      </c>
      <c r="H122" s="125">
        <f t="shared" si="28"/>
        <v>0</v>
      </c>
      <c r="I122" s="125">
        <f t="shared" si="28"/>
        <v>0</v>
      </c>
      <c r="J122" s="125">
        <f t="shared" si="28"/>
        <v>0</v>
      </c>
      <c r="K122" s="125">
        <f t="shared" si="28"/>
        <v>0</v>
      </c>
      <c r="L122" s="125">
        <f t="shared" si="28"/>
        <v>0</v>
      </c>
      <c r="M122" s="125">
        <f t="shared" si="28"/>
        <v>0</v>
      </c>
      <c r="N122" s="125">
        <f t="shared" si="28"/>
        <v>0</v>
      </c>
      <c r="O122" s="125">
        <f t="shared" si="28"/>
        <v>0</v>
      </c>
      <c r="P122" s="125">
        <f t="shared" si="28"/>
        <v>0</v>
      </c>
      <c r="Q122" s="125">
        <f t="shared" si="28"/>
        <v>0</v>
      </c>
      <c r="R122" s="125">
        <f t="shared" si="28"/>
        <v>0</v>
      </c>
      <c r="S122" s="125">
        <f t="shared" si="28"/>
        <v>0</v>
      </c>
      <c r="T122" s="125">
        <f t="shared" si="28"/>
        <v>0</v>
      </c>
      <c r="U122" s="125">
        <f t="shared" si="28"/>
        <v>0</v>
      </c>
      <c r="V122" s="125">
        <f t="shared" si="28"/>
        <v>0</v>
      </c>
      <c r="W122" s="125">
        <f t="shared" si="28"/>
        <v>0</v>
      </c>
      <c r="X122" s="125">
        <f t="shared" si="28"/>
        <v>0</v>
      </c>
      <c r="Y122" s="125">
        <f t="shared" si="28"/>
        <v>0</v>
      </c>
      <c r="Z122" s="125">
        <f t="shared" si="28"/>
        <v>0</v>
      </c>
      <c r="AA122" s="125">
        <f t="shared" si="28"/>
        <v>0</v>
      </c>
      <c r="AB122" s="125">
        <f t="shared" si="28"/>
        <v>0</v>
      </c>
      <c r="AC122" s="125">
        <f t="shared" si="28"/>
        <v>0</v>
      </c>
      <c r="AD122" s="125">
        <f t="shared" si="28"/>
        <v>0</v>
      </c>
      <c r="AE122" s="125">
        <f t="shared" si="28"/>
        <v>0</v>
      </c>
      <c r="AF122" s="125">
        <f t="shared" si="28"/>
        <v>0</v>
      </c>
      <c r="AG122" s="125">
        <f t="shared" si="28"/>
        <v>0</v>
      </c>
      <c r="AH122" s="125">
        <f t="shared" si="28"/>
        <v>0</v>
      </c>
      <c r="AI122" s="125">
        <f t="shared" si="28"/>
        <v>0</v>
      </c>
      <c r="AJ122" s="45" t="str">
        <f t="shared" si="10"/>
        <v/>
      </c>
      <c r="AK122" s="58"/>
      <c r="AL122" s="58" t="str">
        <f t="shared" si="13"/>
        <v>00</v>
      </c>
      <c r="AM122" s="60" t="str">
        <f t="shared" si="14"/>
        <v>00</v>
      </c>
      <c r="AN122" s="60" t="str">
        <f t="shared" si="15"/>
        <v>00</v>
      </c>
      <c r="AO122" s="60" t="str">
        <f t="shared" si="16"/>
        <v>00</v>
      </c>
      <c r="AQ122" t="str">
        <f t="shared" si="11"/>
        <v/>
      </c>
    </row>
    <row r="123" spans="2:43">
      <c r="B123" s="132"/>
      <c r="C123" s="45">
        <f t="shared" si="12"/>
        <v>52</v>
      </c>
      <c r="D123" s="125">
        <f t="shared" si="28"/>
        <v>0</v>
      </c>
      <c r="E123" s="125">
        <f t="shared" si="28"/>
        <v>0</v>
      </c>
      <c r="F123" s="125">
        <f t="shared" si="28"/>
        <v>0</v>
      </c>
      <c r="G123" s="125">
        <f t="shared" si="28"/>
        <v>0</v>
      </c>
      <c r="H123" s="125">
        <f t="shared" si="28"/>
        <v>0</v>
      </c>
      <c r="I123" s="125">
        <f t="shared" si="28"/>
        <v>0</v>
      </c>
      <c r="J123" s="125">
        <f t="shared" si="28"/>
        <v>0</v>
      </c>
      <c r="K123" s="125">
        <f t="shared" si="28"/>
        <v>0</v>
      </c>
      <c r="L123" s="125">
        <f t="shared" si="28"/>
        <v>0</v>
      </c>
      <c r="M123" s="125">
        <f t="shared" si="28"/>
        <v>0</v>
      </c>
      <c r="N123" s="125">
        <f t="shared" si="28"/>
        <v>0</v>
      </c>
      <c r="O123" s="125">
        <f t="shared" si="28"/>
        <v>0</v>
      </c>
      <c r="P123" s="125">
        <f t="shared" si="28"/>
        <v>0</v>
      </c>
      <c r="Q123" s="125">
        <f t="shared" si="28"/>
        <v>0</v>
      </c>
      <c r="R123" s="125">
        <f t="shared" si="28"/>
        <v>0</v>
      </c>
      <c r="S123" s="125">
        <f t="shared" si="28"/>
        <v>0</v>
      </c>
      <c r="T123" s="125">
        <f t="shared" si="28"/>
        <v>0</v>
      </c>
      <c r="U123" s="125">
        <f t="shared" si="28"/>
        <v>0</v>
      </c>
      <c r="V123" s="125">
        <f t="shared" si="28"/>
        <v>0</v>
      </c>
      <c r="W123" s="125">
        <f t="shared" si="28"/>
        <v>0</v>
      </c>
      <c r="X123" s="125">
        <f t="shared" si="28"/>
        <v>0</v>
      </c>
      <c r="Y123" s="125">
        <f t="shared" si="28"/>
        <v>0</v>
      </c>
      <c r="Z123" s="125">
        <f t="shared" si="28"/>
        <v>0</v>
      </c>
      <c r="AA123" s="125">
        <f t="shared" si="28"/>
        <v>0</v>
      </c>
      <c r="AB123" s="125">
        <f t="shared" si="28"/>
        <v>0</v>
      </c>
      <c r="AC123" s="125">
        <f t="shared" si="28"/>
        <v>0</v>
      </c>
      <c r="AD123" s="125">
        <f t="shared" si="28"/>
        <v>0</v>
      </c>
      <c r="AE123" s="125">
        <f t="shared" si="28"/>
        <v>0</v>
      </c>
      <c r="AF123" s="125">
        <f t="shared" si="28"/>
        <v>0</v>
      </c>
      <c r="AG123" s="125">
        <f t="shared" si="28"/>
        <v>0</v>
      </c>
      <c r="AH123" s="125">
        <f t="shared" si="28"/>
        <v>0</v>
      </c>
      <c r="AI123" s="125">
        <f t="shared" si="28"/>
        <v>0</v>
      </c>
      <c r="AJ123" s="45" t="str">
        <f t="shared" si="10"/>
        <v/>
      </c>
      <c r="AK123" s="58"/>
      <c r="AL123" s="58" t="str">
        <f t="shared" si="13"/>
        <v>00</v>
      </c>
      <c r="AM123" s="60" t="str">
        <f t="shared" si="14"/>
        <v>00</v>
      </c>
      <c r="AN123" s="60" t="str">
        <f t="shared" si="15"/>
        <v>00</v>
      </c>
      <c r="AO123" s="60" t="str">
        <f t="shared" si="16"/>
        <v>00</v>
      </c>
      <c r="AQ123" t="str">
        <f t="shared" si="11"/>
        <v/>
      </c>
    </row>
    <row r="124" spans="2:43">
      <c r="B124" s="132"/>
      <c r="C124" s="45">
        <f t="shared" si="12"/>
        <v>53</v>
      </c>
      <c r="D124" s="125">
        <f t="shared" si="28"/>
        <v>0</v>
      </c>
      <c r="E124" s="125">
        <f t="shared" si="28"/>
        <v>0</v>
      </c>
      <c r="F124" s="125">
        <f t="shared" si="28"/>
        <v>0</v>
      </c>
      <c r="G124" s="125">
        <f t="shared" si="28"/>
        <v>0</v>
      </c>
      <c r="H124" s="125">
        <f t="shared" si="28"/>
        <v>0</v>
      </c>
      <c r="I124" s="125">
        <f t="shared" si="28"/>
        <v>0</v>
      </c>
      <c r="J124" s="125">
        <f t="shared" si="28"/>
        <v>0</v>
      </c>
      <c r="K124" s="125">
        <f t="shared" si="28"/>
        <v>0</v>
      </c>
      <c r="L124" s="125">
        <f t="shared" si="28"/>
        <v>0</v>
      </c>
      <c r="M124" s="125">
        <f t="shared" si="28"/>
        <v>0</v>
      </c>
      <c r="N124" s="125">
        <f t="shared" si="28"/>
        <v>0</v>
      </c>
      <c r="O124" s="125">
        <f t="shared" si="28"/>
        <v>0</v>
      </c>
      <c r="P124" s="125">
        <f t="shared" si="28"/>
        <v>0</v>
      </c>
      <c r="Q124" s="125">
        <f t="shared" si="28"/>
        <v>0</v>
      </c>
      <c r="R124" s="125">
        <f t="shared" si="28"/>
        <v>0</v>
      </c>
      <c r="S124" s="125">
        <f t="shared" si="28"/>
        <v>0</v>
      </c>
      <c r="T124" s="125">
        <f t="shared" si="28"/>
        <v>0</v>
      </c>
      <c r="U124" s="125">
        <f t="shared" si="28"/>
        <v>0</v>
      </c>
      <c r="V124" s="125">
        <f t="shared" si="28"/>
        <v>0</v>
      </c>
      <c r="W124" s="125">
        <f t="shared" si="28"/>
        <v>0</v>
      </c>
      <c r="X124" s="125">
        <f t="shared" si="28"/>
        <v>0</v>
      </c>
      <c r="Y124" s="125">
        <f t="shared" si="28"/>
        <v>0</v>
      </c>
      <c r="Z124" s="125">
        <f t="shared" si="28"/>
        <v>0</v>
      </c>
      <c r="AA124" s="125">
        <f t="shared" si="28"/>
        <v>0</v>
      </c>
      <c r="AB124" s="125">
        <f t="shared" si="28"/>
        <v>0</v>
      </c>
      <c r="AC124" s="125">
        <f t="shared" si="28"/>
        <v>0</v>
      </c>
      <c r="AD124" s="125">
        <f t="shared" si="28"/>
        <v>0</v>
      </c>
      <c r="AE124" s="125">
        <f t="shared" si="28"/>
        <v>0</v>
      </c>
      <c r="AF124" s="125">
        <f t="shared" si="28"/>
        <v>0</v>
      </c>
      <c r="AG124" s="125">
        <f t="shared" si="28"/>
        <v>0</v>
      </c>
      <c r="AH124" s="125">
        <f t="shared" si="28"/>
        <v>0</v>
      </c>
      <c r="AI124" s="125">
        <f t="shared" si="28"/>
        <v>0</v>
      </c>
      <c r="AJ124" s="45" t="str">
        <f t="shared" si="10"/>
        <v/>
      </c>
      <c r="AK124" s="58"/>
      <c r="AL124" s="58" t="str">
        <f t="shared" si="13"/>
        <v>00</v>
      </c>
      <c r="AM124" s="60" t="str">
        <f t="shared" si="14"/>
        <v>00</v>
      </c>
      <c r="AN124" s="60" t="str">
        <f t="shared" si="15"/>
        <v>00</v>
      </c>
      <c r="AO124" s="60" t="str">
        <f t="shared" si="16"/>
        <v>00</v>
      </c>
      <c r="AQ124" t="str">
        <f t="shared" si="11"/>
        <v/>
      </c>
    </row>
    <row r="125" spans="2:43">
      <c r="B125" s="132"/>
      <c r="C125" s="45">
        <f t="shared" si="12"/>
        <v>54</v>
      </c>
      <c r="D125" s="125">
        <f t="shared" si="28"/>
        <v>0</v>
      </c>
      <c r="E125" s="125">
        <f t="shared" si="28"/>
        <v>0</v>
      </c>
      <c r="F125" s="125">
        <f t="shared" si="28"/>
        <v>0</v>
      </c>
      <c r="G125" s="125">
        <f t="shared" si="28"/>
        <v>0</v>
      </c>
      <c r="H125" s="125">
        <f t="shared" si="28"/>
        <v>0</v>
      </c>
      <c r="I125" s="125">
        <f t="shared" si="28"/>
        <v>0</v>
      </c>
      <c r="J125" s="125">
        <f t="shared" si="28"/>
        <v>0</v>
      </c>
      <c r="K125" s="125">
        <f t="shared" si="28"/>
        <v>0</v>
      </c>
      <c r="L125" s="125">
        <f t="shared" si="28"/>
        <v>0</v>
      </c>
      <c r="M125" s="125">
        <f t="shared" si="28"/>
        <v>0</v>
      </c>
      <c r="N125" s="125">
        <f t="shared" si="28"/>
        <v>0</v>
      </c>
      <c r="O125" s="125">
        <f t="shared" si="28"/>
        <v>0</v>
      </c>
      <c r="P125" s="125">
        <f t="shared" si="28"/>
        <v>0</v>
      </c>
      <c r="Q125" s="125">
        <f t="shared" si="28"/>
        <v>0</v>
      </c>
      <c r="R125" s="125">
        <f t="shared" si="28"/>
        <v>0</v>
      </c>
      <c r="S125" s="125">
        <f t="shared" si="28"/>
        <v>0</v>
      </c>
      <c r="T125" s="125">
        <f t="shared" si="28"/>
        <v>0</v>
      </c>
      <c r="U125" s="125">
        <f t="shared" si="28"/>
        <v>0</v>
      </c>
      <c r="V125" s="125">
        <f t="shared" si="28"/>
        <v>0</v>
      </c>
      <c r="W125" s="125">
        <f t="shared" si="28"/>
        <v>0</v>
      </c>
      <c r="X125" s="125">
        <f t="shared" si="28"/>
        <v>0</v>
      </c>
      <c r="Y125" s="125">
        <f t="shared" si="28"/>
        <v>0</v>
      </c>
      <c r="Z125" s="125">
        <f t="shared" si="28"/>
        <v>0</v>
      </c>
      <c r="AA125" s="125">
        <f t="shared" si="28"/>
        <v>0</v>
      </c>
      <c r="AB125" s="125">
        <f t="shared" si="28"/>
        <v>0</v>
      </c>
      <c r="AC125" s="125">
        <f t="shared" si="28"/>
        <v>0</v>
      </c>
      <c r="AD125" s="125">
        <f t="shared" si="28"/>
        <v>0</v>
      </c>
      <c r="AE125" s="125">
        <f t="shared" si="28"/>
        <v>0</v>
      </c>
      <c r="AF125" s="125">
        <f t="shared" si="28"/>
        <v>0</v>
      </c>
      <c r="AG125" s="125">
        <f t="shared" si="28"/>
        <v>0</v>
      </c>
      <c r="AH125" s="125">
        <f t="shared" si="28"/>
        <v>0</v>
      </c>
      <c r="AI125" s="125">
        <f t="shared" si="28"/>
        <v>0</v>
      </c>
      <c r="AJ125" s="45" t="str">
        <f t="shared" si="10"/>
        <v/>
      </c>
      <c r="AK125" s="58"/>
      <c r="AL125" s="58" t="str">
        <f t="shared" si="13"/>
        <v>00</v>
      </c>
      <c r="AM125" s="60" t="str">
        <f t="shared" si="14"/>
        <v>00</v>
      </c>
      <c r="AN125" s="60" t="str">
        <f t="shared" si="15"/>
        <v>00</v>
      </c>
      <c r="AO125" s="60" t="str">
        <f t="shared" si="16"/>
        <v>00</v>
      </c>
      <c r="AQ125" t="str">
        <f t="shared" si="11"/>
        <v/>
      </c>
    </row>
    <row r="126" spans="2:43">
      <c r="B126" s="132"/>
      <c r="C126" s="45">
        <f t="shared" si="12"/>
        <v>55</v>
      </c>
      <c r="D126" s="125">
        <f t="shared" si="28"/>
        <v>0</v>
      </c>
      <c r="E126" s="125">
        <f t="shared" si="28"/>
        <v>0</v>
      </c>
      <c r="F126" s="125">
        <f t="shared" si="28"/>
        <v>0</v>
      </c>
      <c r="G126" s="125">
        <f t="shared" si="28"/>
        <v>0</v>
      </c>
      <c r="H126" s="125">
        <f t="shared" si="28"/>
        <v>0</v>
      </c>
      <c r="I126" s="125">
        <f t="shared" si="28"/>
        <v>0</v>
      </c>
      <c r="J126" s="125">
        <f t="shared" si="28"/>
        <v>0</v>
      </c>
      <c r="K126" s="125">
        <f t="shared" si="28"/>
        <v>0</v>
      </c>
      <c r="L126" s="125">
        <f t="shared" si="28"/>
        <v>0</v>
      </c>
      <c r="M126" s="125">
        <f t="shared" si="28"/>
        <v>0</v>
      </c>
      <c r="N126" s="125">
        <f t="shared" si="28"/>
        <v>0</v>
      </c>
      <c r="O126" s="125">
        <f t="shared" si="28"/>
        <v>0</v>
      </c>
      <c r="P126" s="125">
        <f t="shared" si="28"/>
        <v>0</v>
      </c>
      <c r="Q126" s="125">
        <f t="shared" si="28"/>
        <v>0</v>
      </c>
      <c r="R126" s="125">
        <f t="shared" si="28"/>
        <v>0</v>
      </c>
      <c r="S126" s="125">
        <f t="shared" si="28"/>
        <v>0</v>
      </c>
      <c r="T126" s="125">
        <f t="shared" si="28"/>
        <v>0</v>
      </c>
      <c r="U126" s="125">
        <f t="shared" si="28"/>
        <v>0</v>
      </c>
      <c r="V126" s="125">
        <f t="shared" si="28"/>
        <v>0</v>
      </c>
      <c r="W126" s="125">
        <f t="shared" si="28"/>
        <v>0</v>
      </c>
      <c r="X126" s="125">
        <f t="shared" si="28"/>
        <v>0</v>
      </c>
      <c r="Y126" s="125">
        <f t="shared" si="28"/>
        <v>0</v>
      </c>
      <c r="Z126" s="125">
        <f t="shared" si="28"/>
        <v>0</v>
      </c>
      <c r="AA126" s="125">
        <f t="shared" si="28"/>
        <v>0</v>
      </c>
      <c r="AB126" s="125">
        <f t="shared" si="28"/>
        <v>0</v>
      </c>
      <c r="AC126" s="125">
        <f t="shared" si="28"/>
        <v>0</v>
      </c>
      <c r="AD126" s="125">
        <f t="shared" si="28"/>
        <v>0</v>
      </c>
      <c r="AE126" s="125">
        <f t="shared" si="28"/>
        <v>0</v>
      </c>
      <c r="AF126" s="125">
        <f t="shared" si="28"/>
        <v>0</v>
      </c>
      <c r="AG126" s="125">
        <f t="shared" si="28"/>
        <v>0</v>
      </c>
      <c r="AH126" s="125">
        <f t="shared" si="28"/>
        <v>0</v>
      </c>
      <c r="AI126" s="125">
        <f t="shared" ref="AI126" si="29">IF(AI61=1,1,0)</f>
        <v>0</v>
      </c>
      <c r="AJ126" s="45" t="str">
        <f t="shared" si="10"/>
        <v/>
      </c>
      <c r="AK126" s="58"/>
      <c r="AL126" s="58" t="str">
        <f t="shared" si="13"/>
        <v>00</v>
      </c>
      <c r="AM126" s="60" t="str">
        <f t="shared" si="14"/>
        <v>00</v>
      </c>
      <c r="AN126" s="60" t="str">
        <f t="shared" si="15"/>
        <v>00</v>
      </c>
      <c r="AO126" s="60" t="str">
        <f t="shared" si="16"/>
        <v>00</v>
      </c>
      <c r="AQ126" t="str">
        <f t="shared" si="11"/>
        <v/>
      </c>
    </row>
    <row r="127" spans="2:43">
      <c r="B127" s="132"/>
      <c r="C127" s="45">
        <f t="shared" si="12"/>
        <v>56</v>
      </c>
      <c r="D127" s="125">
        <f t="shared" ref="D127:AI134" si="30">IF(D62=1,1,0)</f>
        <v>0</v>
      </c>
      <c r="E127" s="125">
        <f t="shared" si="30"/>
        <v>0</v>
      </c>
      <c r="F127" s="125">
        <f t="shared" si="30"/>
        <v>0</v>
      </c>
      <c r="G127" s="125">
        <f t="shared" si="30"/>
        <v>0</v>
      </c>
      <c r="H127" s="125">
        <f t="shared" si="30"/>
        <v>0</v>
      </c>
      <c r="I127" s="125">
        <f t="shared" si="30"/>
        <v>0</v>
      </c>
      <c r="J127" s="125">
        <f t="shared" si="30"/>
        <v>0</v>
      </c>
      <c r="K127" s="125">
        <f t="shared" si="30"/>
        <v>0</v>
      </c>
      <c r="L127" s="125">
        <f t="shared" si="30"/>
        <v>0</v>
      </c>
      <c r="M127" s="125">
        <f t="shared" si="30"/>
        <v>0</v>
      </c>
      <c r="N127" s="125">
        <f t="shared" si="30"/>
        <v>0</v>
      </c>
      <c r="O127" s="125">
        <f t="shared" si="30"/>
        <v>0</v>
      </c>
      <c r="P127" s="125">
        <f t="shared" si="30"/>
        <v>0</v>
      </c>
      <c r="Q127" s="125">
        <f t="shared" si="30"/>
        <v>0</v>
      </c>
      <c r="R127" s="125">
        <f t="shared" si="30"/>
        <v>0</v>
      </c>
      <c r="S127" s="125">
        <f t="shared" si="30"/>
        <v>0</v>
      </c>
      <c r="T127" s="125">
        <f t="shared" si="30"/>
        <v>0</v>
      </c>
      <c r="U127" s="125">
        <f t="shared" si="30"/>
        <v>0</v>
      </c>
      <c r="V127" s="125">
        <f t="shared" si="30"/>
        <v>0</v>
      </c>
      <c r="W127" s="125">
        <f t="shared" si="30"/>
        <v>0</v>
      </c>
      <c r="X127" s="125">
        <f t="shared" si="30"/>
        <v>0</v>
      </c>
      <c r="Y127" s="125">
        <f t="shared" si="30"/>
        <v>0</v>
      </c>
      <c r="Z127" s="125">
        <f t="shared" si="30"/>
        <v>0</v>
      </c>
      <c r="AA127" s="125">
        <f t="shared" si="30"/>
        <v>0</v>
      </c>
      <c r="AB127" s="125">
        <f t="shared" si="30"/>
        <v>0</v>
      </c>
      <c r="AC127" s="125">
        <f t="shared" si="30"/>
        <v>0</v>
      </c>
      <c r="AD127" s="125">
        <f t="shared" si="30"/>
        <v>0</v>
      </c>
      <c r="AE127" s="125">
        <f t="shared" si="30"/>
        <v>0</v>
      </c>
      <c r="AF127" s="125">
        <f t="shared" si="30"/>
        <v>0</v>
      </c>
      <c r="AG127" s="125">
        <f t="shared" si="30"/>
        <v>0</v>
      </c>
      <c r="AH127" s="125">
        <f t="shared" si="30"/>
        <v>0</v>
      </c>
      <c r="AI127" s="125">
        <f t="shared" si="30"/>
        <v>0</v>
      </c>
      <c r="AJ127" s="45" t="str">
        <f t="shared" si="10"/>
        <v/>
      </c>
      <c r="AK127" s="58"/>
      <c r="AL127" s="58" t="str">
        <f t="shared" si="13"/>
        <v>00</v>
      </c>
      <c r="AM127" s="60" t="str">
        <f t="shared" si="14"/>
        <v>00</v>
      </c>
      <c r="AN127" s="60" t="str">
        <f t="shared" si="15"/>
        <v>00</v>
      </c>
      <c r="AO127" s="60" t="str">
        <f t="shared" si="16"/>
        <v>00</v>
      </c>
      <c r="AQ127" t="str">
        <f t="shared" si="11"/>
        <v/>
      </c>
    </row>
    <row r="128" spans="2:43">
      <c r="B128" s="132"/>
      <c r="C128" s="45">
        <f t="shared" si="12"/>
        <v>57</v>
      </c>
      <c r="D128" s="125">
        <f t="shared" si="30"/>
        <v>0</v>
      </c>
      <c r="E128" s="125">
        <f t="shared" si="30"/>
        <v>0</v>
      </c>
      <c r="F128" s="125">
        <f t="shared" si="30"/>
        <v>0</v>
      </c>
      <c r="G128" s="125">
        <f t="shared" si="30"/>
        <v>0</v>
      </c>
      <c r="H128" s="125">
        <f t="shared" si="30"/>
        <v>0</v>
      </c>
      <c r="I128" s="125">
        <f t="shared" si="30"/>
        <v>0</v>
      </c>
      <c r="J128" s="125">
        <f t="shared" si="30"/>
        <v>0</v>
      </c>
      <c r="K128" s="125">
        <f t="shared" si="30"/>
        <v>0</v>
      </c>
      <c r="L128" s="125">
        <f t="shared" si="30"/>
        <v>0</v>
      </c>
      <c r="M128" s="125">
        <f t="shared" si="30"/>
        <v>0</v>
      </c>
      <c r="N128" s="125">
        <f t="shared" si="30"/>
        <v>0</v>
      </c>
      <c r="O128" s="125">
        <f t="shared" si="30"/>
        <v>0</v>
      </c>
      <c r="P128" s="125">
        <f t="shared" si="30"/>
        <v>0</v>
      </c>
      <c r="Q128" s="125">
        <f t="shared" si="30"/>
        <v>0</v>
      </c>
      <c r="R128" s="125">
        <f t="shared" si="30"/>
        <v>0</v>
      </c>
      <c r="S128" s="125">
        <f t="shared" si="30"/>
        <v>0</v>
      </c>
      <c r="T128" s="125">
        <f t="shared" si="30"/>
        <v>0</v>
      </c>
      <c r="U128" s="125">
        <f t="shared" si="30"/>
        <v>0</v>
      </c>
      <c r="V128" s="125">
        <f t="shared" si="30"/>
        <v>0</v>
      </c>
      <c r="W128" s="125">
        <f t="shared" si="30"/>
        <v>0</v>
      </c>
      <c r="X128" s="125">
        <f t="shared" si="30"/>
        <v>0</v>
      </c>
      <c r="Y128" s="125">
        <f t="shared" si="30"/>
        <v>0</v>
      </c>
      <c r="Z128" s="125">
        <f t="shared" si="30"/>
        <v>0</v>
      </c>
      <c r="AA128" s="125">
        <f t="shared" si="30"/>
        <v>0</v>
      </c>
      <c r="AB128" s="125">
        <f t="shared" si="30"/>
        <v>0</v>
      </c>
      <c r="AC128" s="125">
        <f t="shared" si="30"/>
        <v>0</v>
      </c>
      <c r="AD128" s="125">
        <f t="shared" si="30"/>
        <v>0</v>
      </c>
      <c r="AE128" s="125">
        <f t="shared" si="30"/>
        <v>0</v>
      </c>
      <c r="AF128" s="125">
        <f t="shared" si="30"/>
        <v>0</v>
      </c>
      <c r="AG128" s="125">
        <f t="shared" si="30"/>
        <v>0</v>
      </c>
      <c r="AH128" s="125">
        <f t="shared" si="30"/>
        <v>0</v>
      </c>
      <c r="AI128" s="125">
        <f t="shared" si="30"/>
        <v>0</v>
      </c>
      <c r="AJ128" s="45" t="str">
        <f t="shared" si="10"/>
        <v/>
      </c>
      <c r="AK128" s="58"/>
      <c r="AL128" s="58" t="str">
        <f t="shared" si="13"/>
        <v>00</v>
      </c>
      <c r="AM128" s="60" t="str">
        <f t="shared" si="14"/>
        <v>00</v>
      </c>
      <c r="AN128" s="60" t="str">
        <f t="shared" si="15"/>
        <v>00</v>
      </c>
      <c r="AO128" s="60" t="str">
        <f t="shared" si="16"/>
        <v>00</v>
      </c>
      <c r="AQ128" t="str">
        <f t="shared" si="11"/>
        <v/>
      </c>
    </row>
    <row r="129" spans="1:43">
      <c r="B129" s="132"/>
      <c r="C129" s="45">
        <f t="shared" si="12"/>
        <v>58</v>
      </c>
      <c r="D129" s="125">
        <f t="shared" si="30"/>
        <v>0</v>
      </c>
      <c r="E129" s="125">
        <f t="shared" si="30"/>
        <v>0</v>
      </c>
      <c r="F129" s="125">
        <f t="shared" si="30"/>
        <v>0</v>
      </c>
      <c r="G129" s="125">
        <f t="shared" si="30"/>
        <v>0</v>
      </c>
      <c r="H129" s="125">
        <f t="shared" si="30"/>
        <v>0</v>
      </c>
      <c r="I129" s="125">
        <f t="shared" si="30"/>
        <v>0</v>
      </c>
      <c r="J129" s="125">
        <f t="shared" si="30"/>
        <v>0</v>
      </c>
      <c r="K129" s="125">
        <f t="shared" si="30"/>
        <v>0</v>
      </c>
      <c r="L129" s="125">
        <f t="shared" si="30"/>
        <v>0</v>
      </c>
      <c r="M129" s="125">
        <f t="shared" si="30"/>
        <v>0</v>
      </c>
      <c r="N129" s="125">
        <f t="shared" si="30"/>
        <v>0</v>
      </c>
      <c r="O129" s="125">
        <f t="shared" si="30"/>
        <v>0</v>
      </c>
      <c r="P129" s="125">
        <f t="shared" si="30"/>
        <v>0</v>
      </c>
      <c r="Q129" s="125">
        <f t="shared" si="30"/>
        <v>0</v>
      </c>
      <c r="R129" s="125">
        <f t="shared" si="30"/>
        <v>0</v>
      </c>
      <c r="S129" s="125">
        <f t="shared" si="30"/>
        <v>0</v>
      </c>
      <c r="T129" s="125">
        <f t="shared" si="30"/>
        <v>0</v>
      </c>
      <c r="U129" s="125">
        <f t="shared" si="30"/>
        <v>0</v>
      </c>
      <c r="V129" s="125">
        <f t="shared" si="30"/>
        <v>0</v>
      </c>
      <c r="W129" s="125">
        <f t="shared" si="30"/>
        <v>0</v>
      </c>
      <c r="X129" s="125">
        <f t="shared" si="30"/>
        <v>0</v>
      </c>
      <c r="Y129" s="125">
        <f t="shared" si="30"/>
        <v>0</v>
      </c>
      <c r="Z129" s="125">
        <f t="shared" si="30"/>
        <v>0</v>
      </c>
      <c r="AA129" s="125">
        <f t="shared" si="30"/>
        <v>0</v>
      </c>
      <c r="AB129" s="125">
        <f t="shared" si="30"/>
        <v>0</v>
      </c>
      <c r="AC129" s="125">
        <f t="shared" si="30"/>
        <v>0</v>
      </c>
      <c r="AD129" s="125">
        <f t="shared" si="30"/>
        <v>0</v>
      </c>
      <c r="AE129" s="125">
        <f t="shared" si="30"/>
        <v>0</v>
      </c>
      <c r="AF129" s="125">
        <f t="shared" si="30"/>
        <v>0</v>
      </c>
      <c r="AG129" s="125">
        <f t="shared" si="30"/>
        <v>0</v>
      </c>
      <c r="AH129" s="125">
        <f t="shared" si="30"/>
        <v>0</v>
      </c>
      <c r="AI129" s="125">
        <f t="shared" si="30"/>
        <v>0</v>
      </c>
      <c r="AJ129" s="45" t="str">
        <f t="shared" si="10"/>
        <v/>
      </c>
      <c r="AK129" s="58"/>
      <c r="AL129" s="58" t="str">
        <f t="shared" si="13"/>
        <v>00</v>
      </c>
      <c r="AM129" s="60" t="str">
        <f t="shared" si="14"/>
        <v>00</v>
      </c>
      <c r="AN129" s="60" t="str">
        <f t="shared" si="15"/>
        <v>00</v>
      </c>
      <c r="AO129" s="60" t="str">
        <f t="shared" si="16"/>
        <v>00</v>
      </c>
      <c r="AQ129" t="str">
        <f t="shared" si="11"/>
        <v/>
      </c>
    </row>
    <row r="130" spans="1:43">
      <c r="B130" s="132"/>
      <c r="C130" s="45">
        <f t="shared" si="12"/>
        <v>59</v>
      </c>
      <c r="D130" s="125">
        <f t="shared" si="30"/>
        <v>0</v>
      </c>
      <c r="E130" s="125">
        <f t="shared" si="30"/>
        <v>0</v>
      </c>
      <c r="F130" s="125">
        <f t="shared" si="30"/>
        <v>0</v>
      </c>
      <c r="G130" s="125">
        <f t="shared" si="30"/>
        <v>0</v>
      </c>
      <c r="H130" s="125">
        <f t="shared" si="30"/>
        <v>0</v>
      </c>
      <c r="I130" s="125">
        <f t="shared" si="30"/>
        <v>0</v>
      </c>
      <c r="J130" s="125">
        <f t="shared" si="30"/>
        <v>0</v>
      </c>
      <c r="K130" s="125">
        <f t="shared" si="30"/>
        <v>0</v>
      </c>
      <c r="L130" s="125">
        <f t="shared" si="30"/>
        <v>0</v>
      </c>
      <c r="M130" s="125">
        <f t="shared" si="30"/>
        <v>0</v>
      </c>
      <c r="N130" s="125">
        <f t="shared" si="30"/>
        <v>0</v>
      </c>
      <c r="O130" s="125">
        <f t="shared" si="30"/>
        <v>0</v>
      </c>
      <c r="P130" s="125">
        <f t="shared" si="30"/>
        <v>0</v>
      </c>
      <c r="Q130" s="125">
        <f t="shared" si="30"/>
        <v>0</v>
      </c>
      <c r="R130" s="125">
        <f t="shared" si="30"/>
        <v>0</v>
      </c>
      <c r="S130" s="125">
        <f t="shared" si="30"/>
        <v>0</v>
      </c>
      <c r="T130" s="125">
        <f t="shared" si="30"/>
        <v>0</v>
      </c>
      <c r="U130" s="125">
        <f t="shared" si="30"/>
        <v>0</v>
      </c>
      <c r="V130" s="125">
        <f t="shared" si="30"/>
        <v>0</v>
      </c>
      <c r="W130" s="125">
        <f t="shared" si="30"/>
        <v>0</v>
      </c>
      <c r="X130" s="125">
        <f t="shared" si="30"/>
        <v>0</v>
      </c>
      <c r="Y130" s="125">
        <f t="shared" si="30"/>
        <v>0</v>
      </c>
      <c r="Z130" s="125">
        <f t="shared" si="30"/>
        <v>0</v>
      </c>
      <c r="AA130" s="125">
        <f t="shared" si="30"/>
        <v>0</v>
      </c>
      <c r="AB130" s="125">
        <f t="shared" si="30"/>
        <v>0</v>
      </c>
      <c r="AC130" s="125">
        <f t="shared" si="30"/>
        <v>0</v>
      </c>
      <c r="AD130" s="125">
        <f t="shared" si="30"/>
        <v>0</v>
      </c>
      <c r="AE130" s="125">
        <f t="shared" si="30"/>
        <v>0</v>
      </c>
      <c r="AF130" s="125">
        <f t="shared" si="30"/>
        <v>0</v>
      </c>
      <c r="AG130" s="125">
        <f t="shared" si="30"/>
        <v>0</v>
      </c>
      <c r="AH130" s="125">
        <f t="shared" si="30"/>
        <v>0</v>
      </c>
      <c r="AI130" s="125">
        <f t="shared" si="30"/>
        <v>0</v>
      </c>
      <c r="AJ130" s="45" t="str">
        <f t="shared" si="10"/>
        <v/>
      </c>
      <c r="AK130" s="58"/>
      <c r="AL130" s="58" t="str">
        <f t="shared" si="13"/>
        <v>00</v>
      </c>
      <c r="AM130" s="60" t="str">
        <f t="shared" si="14"/>
        <v>00</v>
      </c>
      <c r="AN130" s="60" t="str">
        <f t="shared" si="15"/>
        <v>00</v>
      </c>
      <c r="AO130" s="60" t="str">
        <f t="shared" si="16"/>
        <v>00</v>
      </c>
      <c r="AQ130" t="str">
        <f t="shared" si="11"/>
        <v/>
      </c>
    </row>
    <row r="131" spans="1:43">
      <c r="B131" s="132"/>
      <c r="C131" s="45">
        <f t="shared" si="12"/>
        <v>60</v>
      </c>
      <c r="D131" s="125">
        <f t="shared" si="30"/>
        <v>0</v>
      </c>
      <c r="E131" s="125">
        <f t="shared" si="30"/>
        <v>0</v>
      </c>
      <c r="F131" s="125">
        <f t="shared" si="30"/>
        <v>0</v>
      </c>
      <c r="G131" s="125">
        <f t="shared" si="30"/>
        <v>0</v>
      </c>
      <c r="H131" s="125">
        <f t="shared" si="30"/>
        <v>0</v>
      </c>
      <c r="I131" s="125">
        <f t="shared" si="30"/>
        <v>0</v>
      </c>
      <c r="J131" s="125">
        <f t="shared" si="30"/>
        <v>0</v>
      </c>
      <c r="K131" s="125">
        <f t="shared" si="30"/>
        <v>0</v>
      </c>
      <c r="L131" s="125">
        <f t="shared" si="30"/>
        <v>0</v>
      </c>
      <c r="M131" s="125">
        <f t="shared" si="30"/>
        <v>0</v>
      </c>
      <c r="N131" s="125">
        <f t="shared" si="30"/>
        <v>0</v>
      </c>
      <c r="O131" s="125">
        <f t="shared" si="30"/>
        <v>0</v>
      </c>
      <c r="P131" s="125">
        <f t="shared" si="30"/>
        <v>0</v>
      </c>
      <c r="Q131" s="125">
        <f t="shared" si="30"/>
        <v>0</v>
      </c>
      <c r="R131" s="125">
        <f t="shared" si="30"/>
        <v>0</v>
      </c>
      <c r="S131" s="125">
        <f t="shared" si="30"/>
        <v>0</v>
      </c>
      <c r="T131" s="125">
        <f t="shared" si="30"/>
        <v>0</v>
      </c>
      <c r="U131" s="125">
        <f t="shared" si="30"/>
        <v>0</v>
      </c>
      <c r="V131" s="125">
        <f t="shared" si="30"/>
        <v>0</v>
      </c>
      <c r="W131" s="125">
        <f t="shared" si="30"/>
        <v>0</v>
      </c>
      <c r="X131" s="125">
        <f t="shared" si="30"/>
        <v>0</v>
      </c>
      <c r="Y131" s="125">
        <f t="shared" si="30"/>
        <v>0</v>
      </c>
      <c r="Z131" s="125">
        <f t="shared" si="30"/>
        <v>0</v>
      </c>
      <c r="AA131" s="125">
        <f t="shared" si="30"/>
        <v>0</v>
      </c>
      <c r="AB131" s="125">
        <f t="shared" si="30"/>
        <v>0</v>
      </c>
      <c r="AC131" s="125">
        <f t="shared" si="30"/>
        <v>0</v>
      </c>
      <c r="AD131" s="125">
        <f t="shared" si="30"/>
        <v>0</v>
      </c>
      <c r="AE131" s="125">
        <f t="shared" si="30"/>
        <v>0</v>
      </c>
      <c r="AF131" s="125">
        <f t="shared" si="30"/>
        <v>0</v>
      </c>
      <c r="AG131" s="125">
        <f t="shared" si="30"/>
        <v>0</v>
      </c>
      <c r="AH131" s="125">
        <f t="shared" si="30"/>
        <v>0</v>
      </c>
      <c r="AI131" s="125">
        <f t="shared" si="30"/>
        <v>0</v>
      </c>
      <c r="AJ131" s="45" t="str">
        <f t="shared" si="10"/>
        <v/>
      </c>
      <c r="AK131" s="58"/>
      <c r="AL131" s="58" t="str">
        <f t="shared" si="13"/>
        <v>00</v>
      </c>
      <c r="AM131" s="60" t="str">
        <f t="shared" si="14"/>
        <v>00</v>
      </c>
      <c r="AN131" s="60" t="str">
        <f t="shared" si="15"/>
        <v>00</v>
      </c>
      <c r="AO131" s="60" t="str">
        <f t="shared" si="16"/>
        <v>00</v>
      </c>
      <c r="AQ131" t="str">
        <f t="shared" si="11"/>
        <v/>
      </c>
    </row>
    <row r="132" spans="1:43">
      <c r="B132" s="132"/>
      <c r="C132" s="45">
        <f t="shared" si="12"/>
        <v>61</v>
      </c>
      <c r="D132" s="125">
        <f t="shared" si="30"/>
        <v>0</v>
      </c>
      <c r="E132" s="125">
        <f t="shared" si="30"/>
        <v>0</v>
      </c>
      <c r="F132" s="125">
        <f t="shared" si="30"/>
        <v>0</v>
      </c>
      <c r="G132" s="125">
        <f t="shared" si="30"/>
        <v>0</v>
      </c>
      <c r="H132" s="125">
        <f t="shared" si="30"/>
        <v>0</v>
      </c>
      <c r="I132" s="125">
        <f t="shared" si="30"/>
        <v>0</v>
      </c>
      <c r="J132" s="125">
        <f t="shared" si="30"/>
        <v>0</v>
      </c>
      <c r="K132" s="125">
        <f t="shared" si="30"/>
        <v>0</v>
      </c>
      <c r="L132" s="125">
        <f t="shared" si="30"/>
        <v>0</v>
      </c>
      <c r="M132" s="125">
        <f t="shared" si="30"/>
        <v>0</v>
      </c>
      <c r="N132" s="125">
        <f t="shared" si="30"/>
        <v>0</v>
      </c>
      <c r="O132" s="125">
        <f t="shared" si="30"/>
        <v>0</v>
      </c>
      <c r="P132" s="125">
        <f t="shared" si="30"/>
        <v>0</v>
      </c>
      <c r="Q132" s="125">
        <f t="shared" si="30"/>
        <v>0</v>
      </c>
      <c r="R132" s="125">
        <f t="shared" si="30"/>
        <v>0</v>
      </c>
      <c r="S132" s="125">
        <f t="shared" si="30"/>
        <v>0</v>
      </c>
      <c r="T132" s="125">
        <f t="shared" si="30"/>
        <v>0</v>
      </c>
      <c r="U132" s="125">
        <f t="shared" si="30"/>
        <v>0</v>
      </c>
      <c r="V132" s="125">
        <f t="shared" si="30"/>
        <v>0</v>
      </c>
      <c r="W132" s="125">
        <f t="shared" si="30"/>
        <v>0</v>
      </c>
      <c r="X132" s="125">
        <f t="shared" si="30"/>
        <v>0</v>
      </c>
      <c r="Y132" s="125">
        <f t="shared" si="30"/>
        <v>0</v>
      </c>
      <c r="Z132" s="125">
        <f t="shared" si="30"/>
        <v>0</v>
      </c>
      <c r="AA132" s="125">
        <f t="shared" si="30"/>
        <v>0</v>
      </c>
      <c r="AB132" s="125">
        <f t="shared" si="30"/>
        <v>0</v>
      </c>
      <c r="AC132" s="125">
        <f t="shared" si="30"/>
        <v>0</v>
      </c>
      <c r="AD132" s="125">
        <f t="shared" si="30"/>
        <v>0</v>
      </c>
      <c r="AE132" s="125">
        <f t="shared" si="30"/>
        <v>0</v>
      </c>
      <c r="AF132" s="125">
        <f t="shared" si="30"/>
        <v>0</v>
      </c>
      <c r="AG132" s="125">
        <f t="shared" si="30"/>
        <v>0</v>
      </c>
      <c r="AH132" s="125">
        <f t="shared" si="30"/>
        <v>0</v>
      </c>
      <c r="AI132" s="125">
        <f t="shared" si="30"/>
        <v>0</v>
      </c>
      <c r="AJ132" s="45" t="str">
        <f t="shared" si="10"/>
        <v/>
      </c>
      <c r="AK132" s="58"/>
      <c r="AL132" s="58" t="str">
        <f t="shared" si="13"/>
        <v>00</v>
      </c>
      <c r="AM132" s="60" t="str">
        <f t="shared" si="14"/>
        <v>00</v>
      </c>
      <c r="AN132" s="60" t="str">
        <f t="shared" si="15"/>
        <v>00</v>
      </c>
      <c r="AO132" s="60" t="str">
        <f t="shared" si="16"/>
        <v>00</v>
      </c>
      <c r="AQ132" t="str">
        <f t="shared" si="11"/>
        <v/>
      </c>
    </row>
    <row r="133" spans="1:43">
      <c r="B133" s="132"/>
      <c r="C133" s="45">
        <f t="shared" si="12"/>
        <v>62</v>
      </c>
      <c r="D133" s="125">
        <f t="shared" si="30"/>
        <v>0</v>
      </c>
      <c r="E133" s="125">
        <f t="shared" si="30"/>
        <v>0</v>
      </c>
      <c r="F133" s="125">
        <f t="shared" si="30"/>
        <v>0</v>
      </c>
      <c r="G133" s="125">
        <f t="shared" si="30"/>
        <v>0</v>
      </c>
      <c r="H133" s="125">
        <f t="shared" si="30"/>
        <v>0</v>
      </c>
      <c r="I133" s="125">
        <f t="shared" si="30"/>
        <v>0</v>
      </c>
      <c r="J133" s="125">
        <f t="shared" si="30"/>
        <v>0</v>
      </c>
      <c r="K133" s="125">
        <f t="shared" si="30"/>
        <v>0</v>
      </c>
      <c r="L133" s="125">
        <f t="shared" si="30"/>
        <v>0</v>
      </c>
      <c r="M133" s="125">
        <f t="shared" si="30"/>
        <v>0</v>
      </c>
      <c r="N133" s="125">
        <f t="shared" si="30"/>
        <v>0</v>
      </c>
      <c r="O133" s="125">
        <f t="shared" si="30"/>
        <v>0</v>
      </c>
      <c r="P133" s="125">
        <f t="shared" si="30"/>
        <v>0</v>
      </c>
      <c r="Q133" s="125">
        <f t="shared" si="30"/>
        <v>0</v>
      </c>
      <c r="R133" s="125">
        <f t="shared" si="30"/>
        <v>0</v>
      </c>
      <c r="S133" s="125">
        <f t="shared" si="30"/>
        <v>0</v>
      </c>
      <c r="T133" s="125">
        <f t="shared" si="30"/>
        <v>0</v>
      </c>
      <c r="U133" s="125">
        <f t="shared" si="30"/>
        <v>0</v>
      </c>
      <c r="V133" s="125">
        <f t="shared" si="30"/>
        <v>0</v>
      </c>
      <c r="W133" s="125">
        <f t="shared" si="30"/>
        <v>0</v>
      </c>
      <c r="X133" s="125">
        <f t="shared" si="30"/>
        <v>0</v>
      </c>
      <c r="Y133" s="125">
        <f t="shared" si="30"/>
        <v>0</v>
      </c>
      <c r="Z133" s="125">
        <f t="shared" si="30"/>
        <v>0</v>
      </c>
      <c r="AA133" s="125">
        <f t="shared" si="30"/>
        <v>0</v>
      </c>
      <c r="AB133" s="125">
        <f t="shared" si="30"/>
        <v>0</v>
      </c>
      <c r="AC133" s="125">
        <f t="shared" si="30"/>
        <v>0</v>
      </c>
      <c r="AD133" s="125">
        <f t="shared" si="30"/>
        <v>0</v>
      </c>
      <c r="AE133" s="125">
        <f t="shared" si="30"/>
        <v>0</v>
      </c>
      <c r="AF133" s="125">
        <f t="shared" si="30"/>
        <v>0</v>
      </c>
      <c r="AG133" s="125">
        <f t="shared" si="30"/>
        <v>0</v>
      </c>
      <c r="AH133" s="125">
        <f t="shared" si="30"/>
        <v>0</v>
      </c>
      <c r="AI133" s="125">
        <f t="shared" si="30"/>
        <v>0</v>
      </c>
      <c r="AJ133" s="45" t="str">
        <f t="shared" si="10"/>
        <v/>
      </c>
      <c r="AK133" s="58"/>
      <c r="AL133" s="58" t="str">
        <f t="shared" si="13"/>
        <v>00</v>
      </c>
      <c r="AM133" s="60" t="str">
        <f t="shared" si="14"/>
        <v>00</v>
      </c>
      <c r="AN133" s="60" t="str">
        <f t="shared" si="15"/>
        <v>00</v>
      </c>
      <c r="AO133" s="60" t="str">
        <f t="shared" si="16"/>
        <v>00</v>
      </c>
      <c r="AQ133" t="str">
        <f t="shared" si="11"/>
        <v/>
      </c>
    </row>
    <row r="134" spans="1:43">
      <c r="B134" s="133"/>
      <c r="C134" s="45">
        <f t="shared" si="12"/>
        <v>63</v>
      </c>
      <c r="D134" s="125">
        <f t="shared" si="30"/>
        <v>0</v>
      </c>
      <c r="E134" s="125">
        <f t="shared" si="30"/>
        <v>0</v>
      </c>
      <c r="F134" s="125">
        <f t="shared" si="30"/>
        <v>0</v>
      </c>
      <c r="G134" s="125">
        <f t="shared" si="30"/>
        <v>0</v>
      </c>
      <c r="H134" s="125">
        <f t="shared" si="30"/>
        <v>0</v>
      </c>
      <c r="I134" s="125">
        <f t="shared" si="30"/>
        <v>0</v>
      </c>
      <c r="J134" s="125">
        <f t="shared" si="30"/>
        <v>0</v>
      </c>
      <c r="K134" s="125">
        <f t="shared" si="30"/>
        <v>0</v>
      </c>
      <c r="L134" s="125">
        <f t="shared" si="30"/>
        <v>0</v>
      </c>
      <c r="M134" s="125">
        <f t="shared" si="30"/>
        <v>0</v>
      </c>
      <c r="N134" s="125">
        <f t="shared" si="30"/>
        <v>0</v>
      </c>
      <c r="O134" s="125">
        <f t="shared" si="30"/>
        <v>0</v>
      </c>
      <c r="P134" s="125">
        <f t="shared" si="30"/>
        <v>0</v>
      </c>
      <c r="Q134" s="125">
        <f t="shared" si="30"/>
        <v>0</v>
      </c>
      <c r="R134" s="125">
        <f t="shared" si="30"/>
        <v>0</v>
      </c>
      <c r="S134" s="125">
        <f t="shared" si="30"/>
        <v>0</v>
      </c>
      <c r="T134" s="125">
        <f t="shared" si="30"/>
        <v>0</v>
      </c>
      <c r="U134" s="125">
        <f t="shared" si="30"/>
        <v>0</v>
      </c>
      <c r="V134" s="125">
        <f t="shared" si="30"/>
        <v>0</v>
      </c>
      <c r="W134" s="125">
        <f t="shared" si="30"/>
        <v>0</v>
      </c>
      <c r="X134" s="125">
        <f t="shared" si="30"/>
        <v>0</v>
      </c>
      <c r="Y134" s="125">
        <f t="shared" si="30"/>
        <v>0</v>
      </c>
      <c r="Z134" s="125">
        <f t="shared" si="30"/>
        <v>0</v>
      </c>
      <c r="AA134" s="125">
        <f t="shared" si="30"/>
        <v>0</v>
      </c>
      <c r="AB134" s="125">
        <f t="shared" si="30"/>
        <v>0</v>
      </c>
      <c r="AC134" s="125">
        <f t="shared" si="30"/>
        <v>0</v>
      </c>
      <c r="AD134" s="125">
        <f t="shared" si="30"/>
        <v>0</v>
      </c>
      <c r="AE134" s="125">
        <f t="shared" si="30"/>
        <v>0</v>
      </c>
      <c r="AF134" s="125">
        <f t="shared" si="30"/>
        <v>0</v>
      </c>
      <c r="AG134" s="125">
        <f t="shared" si="30"/>
        <v>0</v>
      </c>
      <c r="AH134" s="125">
        <f t="shared" si="30"/>
        <v>0</v>
      </c>
      <c r="AI134" s="125">
        <f t="shared" ref="AI134" si="31">IF(AI69=1,1,0)</f>
        <v>0</v>
      </c>
      <c r="AJ134" s="45" t="str">
        <f t="shared" si="10"/>
        <v/>
      </c>
      <c r="AK134" s="58"/>
      <c r="AL134" s="58" t="str">
        <f t="shared" si="13"/>
        <v>00</v>
      </c>
      <c r="AM134" s="60" t="str">
        <f t="shared" si="14"/>
        <v>00</v>
      </c>
      <c r="AN134" s="60" t="str">
        <f t="shared" si="15"/>
        <v>00</v>
      </c>
      <c r="AO134" s="60" t="str">
        <f t="shared" si="16"/>
        <v>00</v>
      </c>
      <c r="AQ134" t="str">
        <f t="shared" si="11"/>
        <v/>
      </c>
    </row>
    <row r="135" spans="1:43">
      <c r="A135" s="54" t="s">
        <v>63</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4" t="str">
        <f ca="1">IF(B6&lt;&gt;"",B6,"")</f>
        <v>Table C_BRK_0</v>
      </c>
      <c r="C136" s="45">
        <f>IF(C6&lt;&gt;"",C6,"")</f>
        <v>0</v>
      </c>
      <c r="D136" s="125">
        <f t="shared" ref="D136:AI143" si="32">IF(OR(D6=0,D6=1),1,0)</f>
        <v>0</v>
      </c>
      <c r="E136" s="125">
        <f t="shared" si="32"/>
        <v>0</v>
      </c>
      <c r="F136" s="125">
        <f t="shared" si="32"/>
        <v>0</v>
      </c>
      <c r="G136" s="125">
        <f t="shared" si="32"/>
        <v>0</v>
      </c>
      <c r="H136" s="125">
        <f t="shared" si="32"/>
        <v>0</v>
      </c>
      <c r="I136" s="125">
        <f t="shared" si="32"/>
        <v>0</v>
      </c>
      <c r="J136" s="125">
        <f>IF(OR(J6=0,J6=1),1,0)</f>
        <v>0</v>
      </c>
      <c r="K136" s="125">
        <f>IF(OR(K6=0,K6=1),1,0)</f>
        <v>0</v>
      </c>
      <c r="L136" s="125">
        <f t="shared" si="32"/>
        <v>0</v>
      </c>
      <c r="M136" s="125">
        <f t="shared" si="32"/>
        <v>0</v>
      </c>
      <c r="N136" s="125">
        <f t="shared" si="32"/>
        <v>0</v>
      </c>
      <c r="O136" s="125">
        <f t="shared" si="32"/>
        <v>0</v>
      </c>
      <c r="P136" s="125">
        <f t="shared" si="32"/>
        <v>0</v>
      </c>
      <c r="Q136" s="125">
        <f t="shared" si="32"/>
        <v>0</v>
      </c>
      <c r="R136" s="125">
        <f t="shared" si="32"/>
        <v>0</v>
      </c>
      <c r="S136" s="125">
        <f t="shared" si="32"/>
        <v>0</v>
      </c>
      <c r="T136" s="125">
        <f t="shared" si="32"/>
        <v>0</v>
      </c>
      <c r="U136" s="125">
        <f t="shared" si="32"/>
        <v>0</v>
      </c>
      <c r="V136" s="125">
        <f t="shared" si="32"/>
        <v>0</v>
      </c>
      <c r="W136" s="125">
        <f t="shared" si="32"/>
        <v>0</v>
      </c>
      <c r="X136" s="125">
        <f t="shared" si="32"/>
        <v>0</v>
      </c>
      <c r="Y136" s="125">
        <f t="shared" si="32"/>
        <v>0</v>
      </c>
      <c r="Z136" s="125">
        <f t="shared" si="32"/>
        <v>0</v>
      </c>
      <c r="AA136" s="125">
        <f>IF(OR(AA6=0,AA6=1),1,0)</f>
        <v>0</v>
      </c>
      <c r="AB136" s="125">
        <f>IF(OR(AB6=0,AB6=1),1,0)</f>
        <v>1</v>
      </c>
      <c r="AC136" s="125">
        <f t="shared" si="32"/>
        <v>0</v>
      </c>
      <c r="AD136" s="125">
        <f t="shared" si="32"/>
        <v>0</v>
      </c>
      <c r="AE136" s="125">
        <f t="shared" si="32"/>
        <v>0</v>
      </c>
      <c r="AF136" s="125">
        <f t="shared" si="32"/>
        <v>0</v>
      </c>
      <c r="AG136" s="125">
        <f t="shared" si="32"/>
        <v>0</v>
      </c>
      <c r="AH136" s="125">
        <f t="shared" si="32"/>
        <v>0</v>
      </c>
      <c r="AI136" s="125">
        <f t="shared" si="32"/>
        <v>0</v>
      </c>
      <c r="AJ136" s="45" t="str">
        <f t="shared" ref="AJ136:AJ199" si="33">IF(AJ6&lt;&gt;"",AJ6,"")</f>
        <v>UNKNOWN</v>
      </c>
      <c r="AK136" s="58"/>
      <c r="AL136" s="58" t="str">
        <f>BIN2HEX(AB136&amp;AC136&amp;AD136&amp;AE136&amp;AF136&amp;AG136&amp;AH136&amp;AI136,2)</f>
        <v>80</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(U4)0x00000080U,                                                           /* 00 UNKNOWN                                         */</v>
      </c>
    </row>
    <row r="137" spans="1:43">
      <c r="B137" s="132"/>
      <c r="C137" s="45">
        <f t="shared" ref="C137:C199" si="35">IF(C7&lt;&gt;"",C7,"")</f>
        <v>1</v>
      </c>
      <c r="D137" s="125">
        <f t="shared" si="32"/>
        <v>0</v>
      </c>
      <c r="E137" s="125">
        <f t="shared" si="32"/>
        <v>0</v>
      </c>
      <c r="F137" s="125">
        <f t="shared" si="32"/>
        <v>0</v>
      </c>
      <c r="G137" s="125">
        <f t="shared" si="32"/>
        <v>0</v>
      </c>
      <c r="H137" s="125">
        <f t="shared" si="32"/>
        <v>0</v>
      </c>
      <c r="I137" s="125">
        <f t="shared" si="32"/>
        <v>0</v>
      </c>
      <c r="J137" s="125">
        <f>IF(OR(J7=0,J7=1),1,0)</f>
        <v>0</v>
      </c>
      <c r="K137" s="125">
        <f>IF(OR(K7=0,K7=1),1,0)</f>
        <v>0</v>
      </c>
      <c r="L137" s="125">
        <f t="shared" si="32"/>
        <v>0</v>
      </c>
      <c r="M137" s="125">
        <f t="shared" si="32"/>
        <v>0</v>
      </c>
      <c r="N137" s="125">
        <f t="shared" si="32"/>
        <v>0</v>
      </c>
      <c r="O137" s="125">
        <f t="shared" si="32"/>
        <v>0</v>
      </c>
      <c r="P137" s="125">
        <f t="shared" si="32"/>
        <v>0</v>
      </c>
      <c r="Q137" s="125">
        <f t="shared" si="32"/>
        <v>0</v>
      </c>
      <c r="R137" s="125">
        <f t="shared" si="32"/>
        <v>0</v>
      </c>
      <c r="S137" s="125">
        <f t="shared" si="32"/>
        <v>0</v>
      </c>
      <c r="T137" s="125">
        <f t="shared" si="32"/>
        <v>0</v>
      </c>
      <c r="U137" s="125">
        <f t="shared" si="32"/>
        <v>0</v>
      </c>
      <c r="V137" s="125">
        <f t="shared" si="32"/>
        <v>0</v>
      </c>
      <c r="W137" s="125">
        <f t="shared" si="32"/>
        <v>0</v>
      </c>
      <c r="X137" s="125">
        <f t="shared" si="32"/>
        <v>0</v>
      </c>
      <c r="Y137" s="125">
        <f t="shared" si="32"/>
        <v>0</v>
      </c>
      <c r="Z137" s="125">
        <f t="shared" si="32"/>
        <v>0</v>
      </c>
      <c r="AA137" s="125">
        <f>IF(OR(AA7=0,AA7=1),1,0)</f>
        <v>0</v>
      </c>
      <c r="AB137" s="125">
        <f>IF(OR(AB7=0,AB7=1),1,0)</f>
        <v>1</v>
      </c>
      <c r="AC137" s="125">
        <f t="shared" si="32"/>
        <v>1</v>
      </c>
      <c r="AD137" s="125">
        <f t="shared" si="32"/>
        <v>1</v>
      </c>
      <c r="AE137" s="125">
        <f t="shared" si="32"/>
        <v>0</v>
      </c>
      <c r="AF137" s="125">
        <f t="shared" si="32"/>
        <v>0</v>
      </c>
      <c r="AG137" s="125">
        <f t="shared" si="32"/>
        <v>0</v>
      </c>
      <c r="AH137" s="125">
        <f>IF(OR(AH7=0,AH7=1),1,0)</f>
        <v>0</v>
      </c>
      <c r="AI137" s="125">
        <f t="shared" si="32"/>
        <v>0</v>
      </c>
      <c r="AJ137" s="45" t="str">
        <f t="shared" si="33"/>
        <v>UNKNOWN</v>
      </c>
      <c r="AK137" s="58"/>
      <c r="AL137" s="58" t="str">
        <f t="shared" ref="AL137:AL199" si="36">BIN2HEX(AB137&amp;AC137&amp;AD137&amp;AE137&amp;AF137&amp;AG137&amp;AH137&amp;AI137,2)</f>
        <v>E0</v>
      </c>
      <c r="AM137" s="60" t="str">
        <f t="shared" ref="AM137:AM199" si="37">BIN2HEX(T137&amp;U137&amp;V137&amp;W137&amp;X137&amp;Y137&amp;Z137&amp;AA137,2)</f>
        <v>00</v>
      </c>
      <c r="AN137" s="60" t="str">
        <f t="shared" ref="AN137:AN199" si="38">BIN2HEX(L137&amp;M137&amp;N137&amp;O137&amp;P137&amp;Q137&amp;R137&amp;S137,2)</f>
        <v>00</v>
      </c>
      <c r="AO137" s="60" t="str">
        <f t="shared" ref="AO137:AO199" si="39">BIN2HEX(D137&amp;E137&amp;F137&amp;G137&amp;H137&amp;I137&amp;J137&amp;K137,2)</f>
        <v>00</v>
      </c>
      <c r="AQ137" t="str">
        <f t="shared" si="34"/>
        <v xml:space="preserve">    (U4)0x000000E0U,                                                           /* 01 UNKNOWN                                         */</v>
      </c>
    </row>
    <row r="138" spans="1:43">
      <c r="B138" s="132"/>
      <c r="C138" s="45">
        <f t="shared" si="35"/>
        <v>2</v>
      </c>
      <c r="D138" s="125">
        <f t="shared" si="32"/>
        <v>0</v>
      </c>
      <c r="E138" s="125">
        <f t="shared" si="32"/>
        <v>0</v>
      </c>
      <c r="F138" s="125">
        <f t="shared" si="32"/>
        <v>0</v>
      </c>
      <c r="G138" s="125">
        <f t="shared" si="32"/>
        <v>0</v>
      </c>
      <c r="H138" s="125">
        <f t="shared" si="32"/>
        <v>0</v>
      </c>
      <c r="I138" s="125">
        <f t="shared" si="32"/>
        <v>0</v>
      </c>
      <c r="J138" s="125">
        <f t="shared" si="32"/>
        <v>0</v>
      </c>
      <c r="K138" s="125">
        <f t="shared" si="32"/>
        <v>0</v>
      </c>
      <c r="L138" s="125">
        <f t="shared" si="32"/>
        <v>0</v>
      </c>
      <c r="M138" s="125">
        <f t="shared" si="32"/>
        <v>0</v>
      </c>
      <c r="N138" s="125">
        <f t="shared" si="32"/>
        <v>0</v>
      </c>
      <c r="O138" s="125">
        <f t="shared" si="32"/>
        <v>0</v>
      </c>
      <c r="P138" s="125">
        <f t="shared" si="32"/>
        <v>0</v>
      </c>
      <c r="Q138" s="125">
        <f t="shared" si="32"/>
        <v>0</v>
      </c>
      <c r="R138" s="125">
        <f t="shared" si="32"/>
        <v>0</v>
      </c>
      <c r="S138" s="125">
        <f t="shared" si="32"/>
        <v>0</v>
      </c>
      <c r="T138" s="125">
        <f t="shared" si="32"/>
        <v>0</v>
      </c>
      <c r="U138" s="125">
        <f t="shared" si="32"/>
        <v>0</v>
      </c>
      <c r="V138" s="125">
        <f t="shared" si="32"/>
        <v>0</v>
      </c>
      <c r="W138" s="125">
        <f t="shared" si="32"/>
        <v>0</v>
      </c>
      <c r="X138" s="125">
        <f t="shared" si="32"/>
        <v>0</v>
      </c>
      <c r="Y138" s="125">
        <f t="shared" si="32"/>
        <v>0</v>
      </c>
      <c r="Z138" s="125">
        <f t="shared" si="32"/>
        <v>0</v>
      </c>
      <c r="AA138" s="125">
        <f t="shared" si="32"/>
        <v>0</v>
      </c>
      <c r="AB138" s="125">
        <f t="shared" si="32"/>
        <v>1</v>
      </c>
      <c r="AC138" s="125">
        <f t="shared" si="32"/>
        <v>1</v>
      </c>
      <c r="AD138" s="125">
        <f t="shared" si="32"/>
        <v>1</v>
      </c>
      <c r="AE138" s="125">
        <f t="shared" si="32"/>
        <v>1</v>
      </c>
      <c r="AF138" s="125">
        <f t="shared" si="32"/>
        <v>1</v>
      </c>
      <c r="AG138" s="125">
        <f t="shared" si="32"/>
        <v>1</v>
      </c>
      <c r="AH138" s="125">
        <f t="shared" si="32"/>
        <v>1</v>
      </c>
      <c r="AI138" s="125">
        <f>IF(OR(AI8=0,AI8=1),1,0)</f>
        <v>1</v>
      </c>
      <c r="AJ138" s="45" t="str">
        <f t="shared" si="33"/>
        <v>UNKNOWN</v>
      </c>
      <c r="AK138" s="58"/>
      <c r="AL138" s="58" t="str">
        <f t="shared" si="36"/>
        <v>FF</v>
      </c>
      <c r="AM138" s="60" t="str">
        <f t="shared" si="37"/>
        <v>00</v>
      </c>
      <c r="AN138" s="60" t="str">
        <f t="shared" si="38"/>
        <v>00</v>
      </c>
      <c r="AO138" s="60" t="str">
        <f t="shared" si="39"/>
        <v>00</v>
      </c>
      <c r="AQ138" t="str">
        <f t="shared" si="34"/>
        <v xml:space="preserve">    (U4)0x000000FFU,                                                           /* 02 UNKNOWN                                         */</v>
      </c>
    </row>
    <row r="139" spans="1:43">
      <c r="B139" s="132"/>
      <c r="C139" s="45">
        <f t="shared" si="35"/>
        <v>3</v>
      </c>
      <c r="D139" s="125">
        <f t="shared" si="32"/>
        <v>0</v>
      </c>
      <c r="E139" s="125">
        <f t="shared" si="32"/>
        <v>0</v>
      </c>
      <c r="F139" s="125">
        <f t="shared" si="32"/>
        <v>0</v>
      </c>
      <c r="G139" s="125">
        <f t="shared" si="32"/>
        <v>0</v>
      </c>
      <c r="H139" s="125">
        <f t="shared" si="32"/>
        <v>0</v>
      </c>
      <c r="I139" s="125">
        <f t="shared" si="32"/>
        <v>0</v>
      </c>
      <c r="J139" s="125">
        <f t="shared" si="32"/>
        <v>0</v>
      </c>
      <c r="K139" s="125">
        <f t="shared" si="32"/>
        <v>0</v>
      </c>
      <c r="L139" s="125">
        <f t="shared" si="32"/>
        <v>0</v>
      </c>
      <c r="M139" s="125">
        <f t="shared" si="32"/>
        <v>0</v>
      </c>
      <c r="N139" s="125">
        <f t="shared" si="32"/>
        <v>0</v>
      </c>
      <c r="O139" s="125">
        <f t="shared" si="32"/>
        <v>0</v>
      </c>
      <c r="P139" s="125">
        <f t="shared" si="32"/>
        <v>0</v>
      </c>
      <c r="Q139" s="125">
        <f t="shared" si="32"/>
        <v>0</v>
      </c>
      <c r="R139" s="125">
        <f t="shared" si="32"/>
        <v>0</v>
      </c>
      <c r="S139" s="125">
        <f t="shared" si="32"/>
        <v>0</v>
      </c>
      <c r="T139" s="125">
        <f t="shared" si="32"/>
        <v>0</v>
      </c>
      <c r="U139" s="125">
        <f t="shared" si="32"/>
        <v>0</v>
      </c>
      <c r="V139" s="125">
        <f t="shared" si="32"/>
        <v>0</v>
      </c>
      <c r="W139" s="125">
        <f t="shared" si="32"/>
        <v>0</v>
      </c>
      <c r="X139" s="125">
        <f t="shared" si="32"/>
        <v>0</v>
      </c>
      <c r="Y139" s="125">
        <f t="shared" si="32"/>
        <v>0</v>
      </c>
      <c r="Z139" s="125">
        <f t="shared" si="32"/>
        <v>0</v>
      </c>
      <c r="AA139" s="125">
        <f t="shared" si="32"/>
        <v>0</v>
      </c>
      <c r="AB139" s="125">
        <f t="shared" si="32"/>
        <v>1</v>
      </c>
      <c r="AC139" s="125">
        <f t="shared" si="32"/>
        <v>1</v>
      </c>
      <c r="AD139" s="125">
        <f t="shared" si="32"/>
        <v>1</v>
      </c>
      <c r="AE139" s="125">
        <f t="shared" si="32"/>
        <v>1</v>
      </c>
      <c r="AF139" s="125">
        <f t="shared" si="32"/>
        <v>1</v>
      </c>
      <c r="AG139" s="125">
        <f t="shared" si="32"/>
        <v>1</v>
      </c>
      <c r="AH139" s="125">
        <f t="shared" si="32"/>
        <v>1</v>
      </c>
      <c r="AI139" s="125">
        <f t="shared" si="32"/>
        <v>1</v>
      </c>
      <c r="AJ139" s="45" t="str">
        <f t="shared" si="33"/>
        <v>UNKNOWN</v>
      </c>
      <c r="AK139" s="58"/>
      <c r="AL139" s="58" t="str">
        <f t="shared" si="36"/>
        <v>FF</v>
      </c>
      <c r="AM139" s="60" t="str">
        <f t="shared" si="37"/>
        <v>00</v>
      </c>
      <c r="AN139" s="60" t="str">
        <f t="shared" si="38"/>
        <v>00</v>
      </c>
      <c r="AO139" s="60" t="str">
        <f t="shared" si="39"/>
        <v>00</v>
      </c>
      <c r="AQ139" t="str">
        <f t="shared" si="34"/>
        <v xml:space="preserve">    (U4)0x000000FFU,                                                           /* 03 UNKNOWN                                         */</v>
      </c>
    </row>
    <row r="140" spans="1:43">
      <c r="B140" s="132"/>
      <c r="C140" s="45">
        <f t="shared" si="35"/>
        <v>4</v>
      </c>
      <c r="D140" s="125">
        <f t="shared" si="32"/>
        <v>0</v>
      </c>
      <c r="E140" s="125">
        <f t="shared" si="32"/>
        <v>0</v>
      </c>
      <c r="F140" s="125">
        <f t="shared" si="32"/>
        <v>0</v>
      </c>
      <c r="G140" s="125">
        <f t="shared" si="32"/>
        <v>0</v>
      </c>
      <c r="H140" s="125">
        <f t="shared" si="32"/>
        <v>0</v>
      </c>
      <c r="I140" s="125">
        <f t="shared" si="32"/>
        <v>0</v>
      </c>
      <c r="J140" s="125">
        <f t="shared" si="32"/>
        <v>0</v>
      </c>
      <c r="K140" s="125">
        <f t="shared" si="32"/>
        <v>0</v>
      </c>
      <c r="L140" s="125">
        <f t="shared" si="32"/>
        <v>0</v>
      </c>
      <c r="M140" s="125">
        <f t="shared" si="32"/>
        <v>0</v>
      </c>
      <c r="N140" s="125">
        <f t="shared" si="32"/>
        <v>0</v>
      </c>
      <c r="O140" s="125">
        <f t="shared" si="32"/>
        <v>0</v>
      </c>
      <c r="P140" s="125">
        <f t="shared" si="32"/>
        <v>0</v>
      </c>
      <c r="Q140" s="125">
        <f t="shared" si="32"/>
        <v>0</v>
      </c>
      <c r="R140" s="125">
        <f t="shared" si="32"/>
        <v>0</v>
      </c>
      <c r="S140" s="125">
        <f t="shared" si="32"/>
        <v>0</v>
      </c>
      <c r="T140" s="125">
        <f t="shared" si="32"/>
        <v>0</v>
      </c>
      <c r="U140" s="125">
        <f t="shared" si="32"/>
        <v>0</v>
      </c>
      <c r="V140" s="125">
        <f t="shared" si="32"/>
        <v>0</v>
      </c>
      <c r="W140" s="125">
        <f t="shared" si="32"/>
        <v>0</v>
      </c>
      <c r="X140" s="125">
        <f t="shared" si="32"/>
        <v>0</v>
      </c>
      <c r="Y140" s="125">
        <f t="shared" si="32"/>
        <v>0</v>
      </c>
      <c r="Z140" s="125">
        <f t="shared" si="32"/>
        <v>0</v>
      </c>
      <c r="AA140" s="125">
        <f t="shared" si="32"/>
        <v>0</v>
      </c>
      <c r="AB140" s="125">
        <f t="shared" si="32"/>
        <v>1</v>
      </c>
      <c r="AC140" s="125">
        <f t="shared" si="32"/>
        <v>1</v>
      </c>
      <c r="AD140" s="125">
        <f t="shared" si="32"/>
        <v>1</v>
      </c>
      <c r="AE140" s="125">
        <f t="shared" si="32"/>
        <v>1</v>
      </c>
      <c r="AF140" s="125">
        <f t="shared" si="32"/>
        <v>1</v>
      </c>
      <c r="AG140" s="125">
        <f t="shared" si="32"/>
        <v>1</v>
      </c>
      <c r="AH140" s="125">
        <f t="shared" si="32"/>
        <v>1</v>
      </c>
      <c r="AI140" s="125">
        <f t="shared" si="32"/>
        <v>1</v>
      </c>
      <c r="AJ140" s="45" t="str">
        <f t="shared" si="33"/>
        <v>UNKNOWN</v>
      </c>
      <c r="AK140" s="58"/>
      <c r="AL140" s="58" t="str">
        <f t="shared" si="36"/>
        <v>FF</v>
      </c>
      <c r="AM140" s="60" t="str">
        <f t="shared" si="37"/>
        <v>00</v>
      </c>
      <c r="AN140" s="60" t="str">
        <f t="shared" si="38"/>
        <v>00</v>
      </c>
      <c r="AO140" s="60" t="str">
        <f t="shared" si="39"/>
        <v>00</v>
      </c>
      <c r="AQ140" t="str">
        <f t="shared" si="34"/>
        <v xml:space="preserve">    (U4)0x000000FFU,                                                           /* 04 UNKNOWN                                         */</v>
      </c>
    </row>
    <row r="141" spans="1:43">
      <c r="B141" s="132"/>
      <c r="C141" s="45">
        <f t="shared" si="35"/>
        <v>5</v>
      </c>
      <c r="D141" s="125">
        <f t="shared" si="32"/>
        <v>0</v>
      </c>
      <c r="E141" s="125">
        <f t="shared" si="32"/>
        <v>0</v>
      </c>
      <c r="F141" s="125">
        <f t="shared" si="32"/>
        <v>0</v>
      </c>
      <c r="G141" s="125">
        <f t="shared" si="32"/>
        <v>0</v>
      </c>
      <c r="H141" s="125">
        <f t="shared" si="32"/>
        <v>0</v>
      </c>
      <c r="I141" s="125">
        <f t="shared" si="32"/>
        <v>0</v>
      </c>
      <c r="J141" s="125">
        <f t="shared" si="32"/>
        <v>0</v>
      </c>
      <c r="K141" s="125">
        <f t="shared" si="32"/>
        <v>0</v>
      </c>
      <c r="L141" s="125">
        <f t="shared" si="32"/>
        <v>0</v>
      </c>
      <c r="M141" s="125">
        <f t="shared" si="32"/>
        <v>0</v>
      </c>
      <c r="N141" s="125">
        <f t="shared" si="32"/>
        <v>0</v>
      </c>
      <c r="O141" s="125">
        <f t="shared" si="32"/>
        <v>0</v>
      </c>
      <c r="P141" s="125">
        <f t="shared" si="32"/>
        <v>0</v>
      </c>
      <c r="Q141" s="125">
        <f t="shared" si="32"/>
        <v>0</v>
      </c>
      <c r="R141" s="125">
        <f t="shared" si="32"/>
        <v>0</v>
      </c>
      <c r="S141" s="125">
        <f t="shared" si="32"/>
        <v>0</v>
      </c>
      <c r="T141" s="125">
        <f t="shared" si="32"/>
        <v>0</v>
      </c>
      <c r="U141" s="125">
        <f t="shared" si="32"/>
        <v>0</v>
      </c>
      <c r="V141" s="125">
        <f t="shared" si="32"/>
        <v>0</v>
      </c>
      <c r="W141" s="125">
        <f t="shared" si="32"/>
        <v>0</v>
      </c>
      <c r="X141" s="125">
        <f t="shared" si="32"/>
        <v>0</v>
      </c>
      <c r="Y141" s="125">
        <f t="shared" si="32"/>
        <v>0</v>
      </c>
      <c r="Z141" s="125">
        <f t="shared" si="32"/>
        <v>0</v>
      </c>
      <c r="AA141" s="125">
        <f t="shared" si="32"/>
        <v>0</v>
      </c>
      <c r="AB141" s="125">
        <f t="shared" si="32"/>
        <v>1</v>
      </c>
      <c r="AC141" s="125">
        <f t="shared" si="32"/>
        <v>1</v>
      </c>
      <c r="AD141" s="125">
        <f t="shared" si="32"/>
        <v>1</v>
      </c>
      <c r="AE141" s="125">
        <f t="shared" si="32"/>
        <v>1</v>
      </c>
      <c r="AF141" s="125">
        <f t="shared" si="32"/>
        <v>1</v>
      </c>
      <c r="AG141" s="125">
        <f t="shared" si="32"/>
        <v>1</v>
      </c>
      <c r="AH141" s="125">
        <f t="shared" si="32"/>
        <v>1</v>
      </c>
      <c r="AI141" s="125">
        <f t="shared" si="32"/>
        <v>1</v>
      </c>
      <c r="AJ141" s="45" t="str">
        <f t="shared" si="33"/>
        <v>UNKNOWN</v>
      </c>
      <c r="AK141" s="58"/>
      <c r="AL141" s="58" t="str">
        <f t="shared" si="36"/>
        <v>FF</v>
      </c>
      <c r="AM141" s="60" t="str">
        <f t="shared" si="37"/>
        <v>00</v>
      </c>
      <c r="AN141" s="60" t="str">
        <f t="shared" si="38"/>
        <v>00</v>
      </c>
      <c r="AO141" s="60" t="str">
        <f t="shared" si="39"/>
        <v>00</v>
      </c>
      <c r="AQ141" t="str">
        <f t="shared" si="34"/>
        <v xml:space="preserve">    (U4)0x000000FFU,                                                           /* 05 UNKNOWN                                         */</v>
      </c>
    </row>
    <row r="142" spans="1:43">
      <c r="B142" s="132"/>
      <c r="C142" s="45">
        <f t="shared" si="35"/>
        <v>6</v>
      </c>
      <c r="D142" s="125">
        <f t="shared" si="32"/>
        <v>0</v>
      </c>
      <c r="E142" s="125">
        <f t="shared" si="32"/>
        <v>0</v>
      </c>
      <c r="F142" s="125">
        <f t="shared" si="32"/>
        <v>0</v>
      </c>
      <c r="G142" s="125">
        <f t="shared" si="32"/>
        <v>0</v>
      </c>
      <c r="H142" s="125">
        <f t="shared" si="32"/>
        <v>0</v>
      </c>
      <c r="I142" s="125">
        <f t="shared" si="32"/>
        <v>0</v>
      </c>
      <c r="J142" s="125">
        <f t="shared" si="32"/>
        <v>0</v>
      </c>
      <c r="K142" s="125">
        <f t="shared" si="32"/>
        <v>0</v>
      </c>
      <c r="L142" s="125">
        <f t="shared" si="32"/>
        <v>0</v>
      </c>
      <c r="M142" s="125">
        <f t="shared" si="32"/>
        <v>0</v>
      </c>
      <c r="N142" s="125">
        <f t="shared" si="32"/>
        <v>0</v>
      </c>
      <c r="O142" s="125">
        <f t="shared" si="32"/>
        <v>0</v>
      </c>
      <c r="P142" s="125">
        <f t="shared" si="32"/>
        <v>0</v>
      </c>
      <c r="Q142" s="125">
        <f t="shared" si="32"/>
        <v>0</v>
      </c>
      <c r="R142" s="125">
        <f t="shared" si="32"/>
        <v>0</v>
      </c>
      <c r="S142" s="125">
        <f t="shared" si="32"/>
        <v>0</v>
      </c>
      <c r="T142" s="125">
        <f t="shared" si="32"/>
        <v>0</v>
      </c>
      <c r="U142" s="125">
        <f t="shared" si="32"/>
        <v>0</v>
      </c>
      <c r="V142" s="125">
        <f t="shared" si="32"/>
        <v>0</v>
      </c>
      <c r="W142" s="125">
        <f t="shared" si="32"/>
        <v>0</v>
      </c>
      <c r="X142" s="125">
        <f t="shared" si="32"/>
        <v>0</v>
      </c>
      <c r="Y142" s="125">
        <f t="shared" si="32"/>
        <v>0</v>
      </c>
      <c r="Z142" s="125">
        <f t="shared" si="32"/>
        <v>0</v>
      </c>
      <c r="AA142" s="125">
        <f t="shared" si="32"/>
        <v>0</v>
      </c>
      <c r="AB142" s="125">
        <f t="shared" si="32"/>
        <v>1</v>
      </c>
      <c r="AC142" s="125">
        <f t="shared" si="32"/>
        <v>1</v>
      </c>
      <c r="AD142" s="125">
        <f t="shared" si="32"/>
        <v>1</v>
      </c>
      <c r="AE142" s="125">
        <f t="shared" si="32"/>
        <v>1</v>
      </c>
      <c r="AF142" s="125">
        <f t="shared" si="32"/>
        <v>1</v>
      </c>
      <c r="AG142" s="125">
        <f t="shared" si="32"/>
        <v>1</v>
      </c>
      <c r="AH142" s="125">
        <f t="shared" si="32"/>
        <v>0</v>
      </c>
      <c r="AI142" s="125">
        <f t="shared" si="32"/>
        <v>0</v>
      </c>
      <c r="AJ142" s="45" t="str">
        <f t="shared" si="33"/>
        <v>UNKNOWN</v>
      </c>
      <c r="AK142" s="58"/>
      <c r="AL142" s="58" t="str">
        <f t="shared" si="36"/>
        <v>FC</v>
      </c>
      <c r="AM142" s="60" t="str">
        <f t="shared" si="37"/>
        <v>00</v>
      </c>
      <c r="AN142" s="60" t="str">
        <f t="shared" si="38"/>
        <v>00</v>
      </c>
      <c r="AO142" s="60" t="str">
        <f t="shared" si="39"/>
        <v>00</v>
      </c>
      <c r="AQ142" t="str">
        <f t="shared" si="34"/>
        <v xml:space="preserve">    (U4)0x000000FCU,                                                           /* 06 UNKNOWN                                         */</v>
      </c>
    </row>
    <row r="143" spans="1:43">
      <c r="B143" s="132"/>
      <c r="C143" s="45">
        <f t="shared" si="35"/>
        <v>7</v>
      </c>
      <c r="D143" s="125">
        <f t="shared" si="32"/>
        <v>0</v>
      </c>
      <c r="E143" s="125">
        <f t="shared" si="32"/>
        <v>0</v>
      </c>
      <c r="F143" s="125">
        <f t="shared" si="32"/>
        <v>0</v>
      </c>
      <c r="G143" s="125">
        <f t="shared" si="32"/>
        <v>0</v>
      </c>
      <c r="H143" s="125">
        <f t="shared" si="32"/>
        <v>0</v>
      </c>
      <c r="I143" s="125">
        <f t="shared" si="32"/>
        <v>0</v>
      </c>
      <c r="J143" s="125">
        <f t="shared" si="32"/>
        <v>0</v>
      </c>
      <c r="K143" s="125">
        <f t="shared" si="32"/>
        <v>0</v>
      </c>
      <c r="L143" s="125">
        <f t="shared" si="32"/>
        <v>0</v>
      </c>
      <c r="M143" s="125">
        <f t="shared" si="32"/>
        <v>0</v>
      </c>
      <c r="N143" s="125">
        <f t="shared" si="32"/>
        <v>0</v>
      </c>
      <c r="O143" s="125">
        <f t="shared" si="32"/>
        <v>0</v>
      </c>
      <c r="P143" s="125">
        <f t="shared" si="32"/>
        <v>0</v>
      </c>
      <c r="Q143" s="125">
        <f t="shared" si="32"/>
        <v>0</v>
      </c>
      <c r="R143" s="125">
        <f t="shared" si="32"/>
        <v>0</v>
      </c>
      <c r="S143" s="125">
        <f t="shared" si="32"/>
        <v>0</v>
      </c>
      <c r="T143" s="125">
        <f t="shared" si="32"/>
        <v>0</v>
      </c>
      <c r="U143" s="125">
        <f t="shared" si="32"/>
        <v>0</v>
      </c>
      <c r="V143" s="125">
        <f t="shared" si="32"/>
        <v>0</v>
      </c>
      <c r="W143" s="125">
        <f t="shared" si="32"/>
        <v>0</v>
      </c>
      <c r="X143" s="125">
        <f t="shared" si="32"/>
        <v>0</v>
      </c>
      <c r="Y143" s="125">
        <f t="shared" si="32"/>
        <v>0</v>
      </c>
      <c r="Z143" s="125">
        <f t="shared" si="32"/>
        <v>0</v>
      </c>
      <c r="AA143" s="125">
        <f t="shared" si="32"/>
        <v>0</v>
      </c>
      <c r="AB143" s="125">
        <f t="shared" si="32"/>
        <v>1</v>
      </c>
      <c r="AC143" s="125">
        <f t="shared" si="32"/>
        <v>1</v>
      </c>
      <c r="AD143" s="125">
        <f t="shared" si="32"/>
        <v>1</v>
      </c>
      <c r="AE143" s="125">
        <f t="shared" si="32"/>
        <v>1</v>
      </c>
      <c r="AF143" s="125">
        <f t="shared" si="32"/>
        <v>1</v>
      </c>
      <c r="AG143" s="125">
        <f t="shared" si="32"/>
        <v>0</v>
      </c>
      <c r="AH143" s="125">
        <f t="shared" si="32"/>
        <v>0</v>
      </c>
      <c r="AI143" s="125">
        <f t="shared" ref="AI143" si="40">IF(OR(AI13=0,AI13=1),1,0)</f>
        <v>0</v>
      </c>
      <c r="AJ143" s="45" t="str">
        <f t="shared" si="33"/>
        <v>UNKNOWN</v>
      </c>
      <c r="AK143" s="58"/>
      <c r="AL143" s="58" t="str">
        <f t="shared" si="36"/>
        <v>F8</v>
      </c>
      <c r="AM143" s="60" t="str">
        <f t="shared" si="37"/>
        <v>00</v>
      </c>
      <c r="AN143" s="60" t="str">
        <f t="shared" si="38"/>
        <v>00</v>
      </c>
      <c r="AO143" s="60" t="str">
        <f t="shared" si="39"/>
        <v>00</v>
      </c>
      <c r="AQ143" t="str">
        <f t="shared" si="34"/>
        <v xml:space="preserve">    (U4)0x000000F8U,                                                           /* 07 UNKNOWN                                         */</v>
      </c>
    </row>
    <row r="144" spans="1:43">
      <c r="B144" s="132"/>
      <c r="C144" s="45">
        <f t="shared" si="35"/>
        <v>8</v>
      </c>
      <c r="D144" s="125">
        <f t="shared" ref="D144:AI151" si="41">IF(OR(D14=0,D14=1),1,0)</f>
        <v>0</v>
      </c>
      <c r="E144" s="125">
        <f t="shared" si="41"/>
        <v>0</v>
      </c>
      <c r="F144" s="125">
        <f t="shared" si="41"/>
        <v>0</v>
      </c>
      <c r="G144" s="125">
        <f t="shared" si="41"/>
        <v>0</v>
      </c>
      <c r="H144" s="125">
        <f t="shared" si="41"/>
        <v>0</v>
      </c>
      <c r="I144" s="125">
        <f t="shared" si="41"/>
        <v>0</v>
      </c>
      <c r="J144" s="125">
        <f t="shared" si="41"/>
        <v>0</v>
      </c>
      <c r="K144" s="125">
        <f t="shared" si="41"/>
        <v>0</v>
      </c>
      <c r="L144" s="125">
        <f t="shared" si="41"/>
        <v>0</v>
      </c>
      <c r="M144" s="125">
        <f t="shared" si="41"/>
        <v>0</v>
      </c>
      <c r="N144" s="125">
        <f t="shared" si="41"/>
        <v>0</v>
      </c>
      <c r="O144" s="125">
        <f t="shared" si="41"/>
        <v>0</v>
      </c>
      <c r="P144" s="125">
        <f t="shared" si="41"/>
        <v>0</v>
      </c>
      <c r="Q144" s="125">
        <f t="shared" si="41"/>
        <v>0</v>
      </c>
      <c r="R144" s="125">
        <f t="shared" si="41"/>
        <v>0</v>
      </c>
      <c r="S144" s="125">
        <f t="shared" si="41"/>
        <v>0</v>
      </c>
      <c r="T144" s="125">
        <f t="shared" si="41"/>
        <v>0</v>
      </c>
      <c r="U144" s="125">
        <f t="shared" si="41"/>
        <v>0</v>
      </c>
      <c r="V144" s="125">
        <f t="shared" si="41"/>
        <v>0</v>
      </c>
      <c r="W144" s="125">
        <f t="shared" si="41"/>
        <v>0</v>
      </c>
      <c r="X144" s="125">
        <f t="shared" si="41"/>
        <v>0</v>
      </c>
      <c r="Y144" s="125">
        <f t="shared" si="41"/>
        <v>0</v>
      </c>
      <c r="Z144" s="125">
        <f t="shared" si="41"/>
        <v>0</v>
      </c>
      <c r="AA144" s="125">
        <f t="shared" si="41"/>
        <v>0</v>
      </c>
      <c r="AB144" s="125">
        <f t="shared" si="41"/>
        <v>1</v>
      </c>
      <c r="AC144" s="125">
        <f t="shared" si="41"/>
        <v>1</v>
      </c>
      <c r="AD144" s="125">
        <f t="shared" si="41"/>
        <v>1</v>
      </c>
      <c r="AE144" s="125">
        <f t="shared" si="41"/>
        <v>1</v>
      </c>
      <c r="AF144" s="125">
        <f t="shared" si="41"/>
        <v>1</v>
      </c>
      <c r="AG144" s="125">
        <f t="shared" si="41"/>
        <v>1</v>
      </c>
      <c r="AH144" s="125">
        <f t="shared" si="41"/>
        <v>1</v>
      </c>
      <c r="AI144" s="125">
        <f t="shared" si="41"/>
        <v>1</v>
      </c>
      <c r="AJ144" s="45" t="str">
        <f t="shared" si="33"/>
        <v>UNKNOWN</v>
      </c>
      <c r="AK144" s="58"/>
      <c r="AL144" s="58" t="str">
        <f t="shared" si="36"/>
        <v>FF</v>
      </c>
      <c r="AM144" s="60" t="str">
        <f t="shared" si="37"/>
        <v>00</v>
      </c>
      <c r="AN144" s="60" t="str">
        <f t="shared" si="38"/>
        <v>00</v>
      </c>
      <c r="AO144" s="60" t="str">
        <f t="shared" si="39"/>
        <v>00</v>
      </c>
      <c r="AQ144" t="str">
        <f t="shared" si="34"/>
        <v xml:space="preserve">    (U4)0x000000FFU,                                                           /* 08 UNKNOWN                                         */</v>
      </c>
    </row>
    <row r="145" spans="2:43">
      <c r="B145" s="132"/>
      <c r="C145" s="45">
        <f t="shared" si="35"/>
        <v>9</v>
      </c>
      <c r="D145" s="125">
        <f t="shared" si="41"/>
        <v>0</v>
      </c>
      <c r="E145" s="125">
        <f t="shared" si="41"/>
        <v>0</v>
      </c>
      <c r="F145" s="125">
        <f t="shared" si="41"/>
        <v>0</v>
      </c>
      <c r="G145" s="125">
        <f t="shared" si="41"/>
        <v>0</v>
      </c>
      <c r="H145" s="125">
        <f t="shared" si="41"/>
        <v>0</v>
      </c>
      <c r="I145" s="125">
        <f t="shared" si="41"/>
        <v>0</v>
      </c>
      <c r="J145" s="125">
        <f t="shared" si="41"/>
        <v>0</v>
      </c>
      <c r="K145" s="125">
        <f t="shared" si="41"/>
        <v>0</v>
      </c>
      <c r="L145" s="125">
        <f t="shared" si="41"/>
        <v>0</v>
      </c>
      <c r="M145" s="125">
        <f t="shared" si="41"/>
        <v>0</v>
      </c>
      <c r="N145" s="125">
        <f t="shared" si="41"/>
        <v>0</v>
      </c>
      <c r="O145" s="125">
        <f t="shared" si="41"/>
        <v>0</v>
      </c>
      <c r="P145" s="125">
        <f t="shared" si="41"/>
        <v>0</v>
      </c>
      <c r="Q145" s="125">
        <f t="shared" si="41"/>
        <v>0</v>
      </c>
      <c r="R145" s="125">
        <f t="shared" si="41"/>
        <v>0</v>
      </c>
      <c r="S145" s="125">
        <f t="shared" si="41"/>
        <v>0</v>
      </c>
      <c r="T145" s="125">
        <f t="shared" si="41"/>
        <v>0</v>
      </c>
      <c r="U145" s="125">
        <f t="shared" si="41"/>
        <v>0</v>
      </c>
      <c r="V145" s="125">
        <f t="shared" si="41"/>
        <v>0</v>
      </c>
      <c r="W145" s="125">
        <f t="shared" si="41"/>
        <v>0</v>
      </c>
      <c r="X145" s="125">
        <f t="shared" si="41"/>
        <v>0</v>
      </c>
      <c r="Y145" s="125">
        <f t="shared" si="41"/>
        <v>0</v>
      </c>
      <c r="Z145" s="125">
        <f t="shared" si="41"/>
        <v>0</v>
      </c>
      <c r="AA145" s="125">
        <f t="shared" si="41"/>
        <v>0</v>
      </c>
      <c r="AB145" s="125">
        <f t="shared" si="41"/>
        <v>1</v>
      </c>
      <c r="AC145" s="125">
        <f t="shared" si="41"/>
        <v>1</v>
      </c>
      <c r="AD145" s="125">
        <f t="shared" si="41"/>
        <v>1</v>
      </c>
      <c r="AE145" s="125">
        <f t="shared" si="41"/>
        <v>1</v>
      </c>
      <c r="AF145" s="125">
        <f t="shared" si="41"/>
        <v>1</v>
      </c>
      <c r="AG145" s="125">
        <f t="shared" si="41"/>
        <v>1</v>
      </c>
      <c r="AH145" s="125">
        <f t="shared" si="41"/>
        <v>1</v>
      </c>
      <c r="AI145" s="125">
        <f t="shared" si="41"/>
        <v>1</v>
      </c>
      <c r="AJ145" s="45" t="str">
        <f t="shared" si="33"/>
        <v>UNKNOWN</v>
      </c>
      <c r="AK145" s="58"/>
      <c r="AL145" s="58" t="str">
        <f t="shared" si="36"/>
        <v>FF</v>
      </c>
      <c r="AM145" s="60" t="str">
        <f t="shared" si="37"/>
        <v>00</v>
      </c>
      <c r="AN145" s="60" t="str">
        <f t="shared" si="38"/>
        <v>00</v>
      </c>
      <c r="AO145" s="60" t="str">
        <f t="shared" si="39"/>
        <v>00</v>
      </c>
      <c r="AQ145" t="str">
        <f t="shared" si="34"/>
        <v xml:space="preserve">    (U4)0x000000FFU,                                                           /* 09 UNKNOWN                                         */</v>
      </c>
    </row>
    <row r="146" spans="2:43">
      <c r="B146" s="132"/>
      <c r="C146" s="45">
        <f t="shared" si="35"/>
        <v>10</v>
      </c>
      <c r="D146" s="125">
        <f t="shared" si="41"/>
        <v>0</v>
      </c>
      <c r="E146" s="125">
        <f t="shared" si="41"/>
        <v>0</v>
      </c>
      <c r="F146" s="125">
        <f t="shared" si="41"/>
        <v>0</v>
      </c>
      <c r="G146" s="125">
        <f t="shared" si="41"/>
        <v>0</v>
      </c>
      <c r="H146" s="125">
        <f t="shared" si="41"/>
        <v>0</v>
      </c>
      <c r="I146" s="125">
        <f t="shared" si="41"/>
        <v>0</v>
      </c>
      <c r="J146" s="125">
        <f t="shared" si="41"/>
        <v>0</v>
      </c>
      <c r="K146" s="125">
        <f t="shared" si="41"/>
        <v>0</v>
      </c>
      <c r="L146" s="125">
        <f t="shared" si="41"/>
        <v>0</v>
      </c>
      <c r="M146" s="125">
        <f t="shared" si="41"/>
        <v>0</v>
      </c>
      <c r="N146" s="125">
        <f t="shared" si="41"/>
        <v>0</v>
      </c>
      <c r="O146" s="125">
        <f t="shared" si="41"/>
        <v>0</v>
      </c>
      <c r="P146" s="125">
        <f t="shared" si="41"/>
        <v>0</v>
      </c>
      <c r="Q146" s="125">
        <f t="shared" si="41"/>
        <v>0</v>
      </c>
      <c r="R146" s="125">
        <f t="shared" si="41"/>
        <v>0</v>
      </c>
      <c r="S146" s="125">
        <f t="shared" si="41"/>
        <v>0</v>
      </c>
      <c r="T146" s="125">
        <f t="shared" si="41"/>
        <v>0</v>
      </c>
      <c r="U146" s="125">
        <f t="shared" si="41"/>
        <v>0</v>
      </c>
      <c r="V146" s="125">
        <f t="shared" si="41"/>
        <v>0</v>
      </c>
      <c r="W146" s="125">
        <f t="shared" si="41"/>
        <v>0</v>
      </c>
      <c r="X146" s="125">
        <f t="shared" si="41"/>
        <v>0</v>
      </c>
      <c r="Y146" s="125">
        <f t="shared" si="41"/>
        <v>0</v>
      </c>
      <c r="Z146" s="125">
        <f t="shared" si="41"/>
        <v>0</v>
      </c>
      <c r="AA146" s="125">
        <f t="shared" si="41"/>
        <v>0</v>
      </c>
      <c r="AB146" s="125">
        <f t="shared" si="41"/>
        <v>1</v>
      </c>
      <c r="AC146" s="125">
        <f t="shared" si="41"/>
        <v>1</v>
      </c>
      <c r="AD146" s="125">
        <f t="shared" si="41"/>
        <v>1</v>
      </c>
      <c r="AE146" s="125">
        <f t="shared" si="41"/>
        <v>1</v>
      </c>
      <c r="AF146" s="125">
        <f t="shared" si="41"/>
        <v>1</v>
      </c>
      <c r="AG146" s="125">
        <f t="shared" si="41"/>
        <v>1</v>
      </c>
      <c r="AH146" s="125">
        <f t="shared" si="41"/>
        <v>1</v>
      </c>
      <c r="AI146" s="125">
        <f t="shared" si="41"/>
        <v>1</v>
      </c>
      <c r="AJ146" s="45" t="str">
        <f t="shared" si="33"/>
        <v>UNKNOWN</v>
      </c>
      <c r="AK146" s="58"/>
      <c r="AL146" s="58" t="str">
        <f t="shared" si="36"/>
        <v>FF</v>
      </c>
      <c r="AM146" s="60" t="str">
        <f t="shared" si="37"/>
        <v>00</v>
      </c>
      <c r="AN146" s="60" t="str">
        <f t="shared" si="38"/>
        <v>00</v>
      </c>
      <c r="AO146" s="60" t="str">
        <f t="shared" si="39"/>
        <v>00</v>
      </c>
      <c r="AQ146" t="str">
        <f t="shared" si="34"/>
        <v xml:space="preserve">    (U4)0x000000FFU,                                                           /* 10 UNKNOWN                                         */</v>
      </c>
    </row>
    <row r="147" spans="2:43">
      <c r="B147" s="132"/>
      <c r="C147" s="45">
        <f t="shared" si="35"/>
        <v>11</v>
      </c>
      <c r="D147" s="125">
        <f t="shared" si="41"/>
        <v>0</v>
      </c>
      <c r="E147" s="125">
        <f t="shared" si="41"/>
        <v>0</v>
      </c>
      <c r="F147" s="125">
        <f t="shared" si="41"/>
        <v>0</v>
      </c>
      <c r="G147" s="125">
        <f t="shared" si="41"/>
        <v>0</v>
      </c>
      <c r="H147" s="125">
        <f t="shared" si="41"/>
        <v>0</v>
      </c>
      <c r="I147" s="125">
        <f t="shared" si="41"/>
        <v>0</v>
      </c>
      <c r="J147" s="125">
        <f t="shared" si="41"/>
        <v>0</v>
      </c>
      <c r="K147" s="125">
        <f t="shared" si="41"/>
        <v>0</v>
      </c>
      <c r="L147" s="125">
        <f t="shared" si="41"/>
        <v>0</v>
      </c>
      <c r="M147" s="125">
        <f t="shared" si="41"/>
        <v>0</v>
      </c>
      <c r="N147" s="125">
        <f t="shared" si="41"/>
        <v>0</v>
      </c>
      <c r="O147" s="125">
        <f t="shared" si="41"/>
        <v>0</v>
      </c>
      <c r="P147" s="125">
        <f t="shared" si="41"/>
        <v>0</v>
      </c>
      <c r="Q147" s="125">
        <f t="shared" si="41"/>
        <v>0</v>
      </c>
      <c r="R147" s="125">
        <f t="shared" si="41"/>
        <v>0</v>
      </c>
      <c r="S147" s="125">
        <f t="shared" si="41"/>
        <v>0</v>
      </c>
      <c r="T147" s="125">
        <f t="shared" si="41"/>
        <v>0</v>
      </c>
      <c r="U147" s="125">
        <f t="shared" si="41"/>
        <v>0</v>
      </c>
      <c r="V147" s="125">
        <f t="shared" si="41"/>
        <v>0</v>
      </c>
      <c r="W147" s="125">
        <f t="shared" si="41"/>
        <v>0</v>
      </c>
      <c r="X147" s="125">
        <f t="shared" si="41"/>
        <v>0</v>
      </c>
      <c r="Y147" s="125">
        <f t="shared" si="41"/>
        <v>0</v>
      </c>
      <c r="Z147" s="125">
        <f t="shared" si="41"/>
        <v>0</v>
      </c>
      <c r="AA147" s="125">
        <f t="shared" si="41"/>
        <v>0</v>
      </c>
      <c r="AB147" s="125">
        <f t="shared" si="41"/>
        <v>1</v>
      </c>
      <c r="AC147" s="125">
        <f t="shared" si="41"/>
        <v>1</v>
      </c>
      <c r="AD147" s="125">
        <f t="shared" si="41"/>
        <v>1</v>
      </c>
      <c r="AE147" s="125">
        <f t="shared" si="41"/>
        <v>1</v>
      </c>
      <c r="AF147" s="125">
        <f t="shared" si="41"/>
        <v>1</v>
      </c>
      <c r="AG147" s="125">
        <f t="shared" si="41"/>
        <v>1</v>
      </c>
      <c r="AH147" s="125">
        <f t="shared" si="41"/>
        <v>1</v>
      </c>
      <c r="AI147" s="125">
        <f t="shared" si="41"/>
        <v>1</v>
      </c>
      <c r="AJ147" s="45" t="str">
        <f t="shared" si="33"/>
        <v>LOW</v>
      </c>
      <c r="AK147" s="58"/>
      <c r="AL147" s="58" t="str">
        <f t="shared" si="36"/>
        <v>FF</v>
      </c>
      <c r="AM147" s="60" t="str">
        <f t="shared" si="37"/>
        <v>00</v>
      </c>
      <c r="AN147" s="60" t="str">
        <f t="shared" si="38"/>
        <v>00</v>
      </c>
      <c r="AO147" s="60" t="str">
        <f t="shared" si="39"/>
        <v>00</v>
      </c>
      <c r="AQ147" t="str">
        <f t="shared" si="34"/>
        <v xml:space="preserve">    (U4)0x000000FFU,                                                           /* 11 LOW                                             */</v>
      </c>
    </row>
    <row r="148" spans="2:43">
      <c r="B148" s="132"/>
      <c r="C148" s="45">
        <f t="shared" si="35"/>
        <v>12</v>
      </c>
      <c r="D148" s="125">
        <f t="shared" si="41"/>
        <v>0</v>
      </c>
      <c r="E148" s="125">
        <f t="shared" si="41"/>
        <v>0</v>
      </c>
      <c r="F148" s="125">
        <f t="shared" si="41"/>
        <v>0</v>
      </c>
      <c r="G148" s="125">
        <f t="shared" si="41"/>
        <v>0</v>
      </c>
      <c r="H148" s="125">
        <f t="shared" si="41"/>
        <v>0</v>
      </c>
      <c r="I148" s="125">
        <f t="shared" si="41"/>
        <v>0</v>
      </c>
      <c r="J148" s="125">
        <f t="shared" si="41"/>
        <v>0</v>
      </c>
      <c r="K148" s="125">
        <f t="shared" si="41"/>
        <v>0</v>
      </c>
      <c r="L148" s="125">
        <f t="shared" si="41"/>
        <v>0</v>
      </c>
      <c r="M148" s="125">
        <f t="shared" si="41"/>
        <v>0</v>
      </c>
      <c r="N148" s="125">
        <f t="shared" si="41"/>
        <v>0</v>
      </c>
      <c r="O148" s="125">
        <f t="shared" si="41"/>
        <v>0</v>
      </c>
      <c r="P148" s="125">
        <f t="shared" si="41"/>
        <v>0</v>
      </c>
      <c r="Q148" s="125">
        <f t="shared" si="41"/>
        <v>0</v>
      </c>
      <c r="R148" s="125">
        <f t="shared" si="41"/>
        <v>0</v>
      </c>
      <c r="S148" s="125">
        <f t="shared" si="41"/>
        <v>0</v>
      </c>
      <c r="T148" s="125">
        <f t="shared" si="41"/>
        <v>0</v>
      </c>
      <c r="U148" s="125">
        <f t="shared" si="41"/>
        <v>0</v>
      </c>
      <c r="V148" s="125">
        <f t="shared" si="41"/>
        <v>0</v>
      </c>
      <c r="W148" s="125">
        <f t="shared" si="41"/>
        <v>0</v>
      </c>
      <c r="X148" s="125">
        <f t="shared" si="41"/>
        <v>0</v>
      </c>
      <c r="Y148" s="125">
        <f t="shared" si="41"/>
        <v>0</v>
      </c>
      <c r="Z148" s="125">
        <f t="shared" si="41"/>
        <v>0</v>
      </c>
      <c r="AA148" s="125">
        <f t="shared" si="41"/>
        <v>0</v>
      </c>
      <c r="AB148" s="125">
        <f t="shared" si="41"/>
        <v>1</v>
      </c>
      <c r="AC148" s="125">
        <f t="shared" si="41"/>
        <v>1</v>
      </c>
      <c r="AD148" s="125">
        <f t="shared" si="41"/>
        <v>1</v>
      </c>
      <c r="AE148" s="125">
        <f t="shared" si="41"/>
        <v>1</v>
      </c>
      <c r="AF148" s="125">
        <f t="shared" si="41"/>
        <v>1</v>
      </c>
      <c r="AG148" s="125">
        <f t="shared" si="41"/>
        <v>1</v>
      </c>
      <c r="AH148" s="125">
        <f t="shared" si="41"/>
        <v>0</v>
      </c>
      <c r="AI148" s="125">
        <f t="shared" si="41"/>
        <v>0</v>
      </c>
      <c r="AJ148" s="45" t="str">
        <f t="shared" si="33"/>
        <v>UNKNOWN</v>
      </c>
      <c r="AK148" s="58"/>
      <c r="AL148" s="58" t="str">
        <f t="shared" si="36"/>
        <v>FC</v>
      </c>
      <c r="AM148" s="60" t="str">
        <f t="shared" si="37"/>
        <v>00</v>
      </c>
      <c r="AN148" s="60" t="str">
        <f t="shared" si="38"/>
        <v>00</v>
      </c>
      <c r="AO148" s="60" t="str">
        <f t="shared" si="39"/>
        <v>00</v>
      </c>
      <c r="AQ148" t="str">
        <f t="shared" si="34"/>
        <v xml:space="preserve">    (U4)0x000000FCU,                                                           /* 12 UNKNOWN                                         */</v>
      </c>
    </row>
    <row r="149" spans="2:43">
      <c r="B149" s="132"/>
      <c r="C149" s="45">
        <f t="shared" si="35"/>
        <v>13</v>
      </c>
      <c r="D149" s="125">
        <f t="shared" si="41"/>
        <v>0</v>
      </c>
      <c r="E149" s="125">
        <f t="shared" si="41"/>
        <v>0</v>
      </c>
      <c r="F149" s="125">
        <f t="shared" si="41"/>
        <v>0</v>
      </c>
      <c r="G149" s="125">
        <f t="shared" si="41"/>
        <v>0</v>
      </c>
      <c r="H149" s="125">
        <f t="shared" si="41"/>
        <v>0</v>
      </c>
      <c r="I149" s="125">
        <f t="shared" si="41"/>
        <v>0</v>
      </c>
      <c r="J149" s="125">
        <f t="shared" si="41"/>
        <v>0</v>
      </c>
      <c r="K149" s="125">
        <f t="shared" si="41"/>
        <v>0</v>
      </c>
      <c r="L149" s="125">
        <f t="shared" si="41"/>
        <v>0</v>
      </c>
      <c r="M149" s="125">
        <f t="shared" si="41"/>
        <v>0</v>
      </c>
      <c r="N149" s="125">
        <f t="shared" si="41"/>
        <v>0</v>
      </c>
      <c r="O149" s="125">
        <f t="shared" si="41"/>
        <v>0</v>
      </c>
      <c r="P149" s="125">
        <f t="shared" si="41"/>
        <v>0</v>
      </c>
      <c r="Q149" s="125">
        <f t="shared" si="41"/>
        <v>0</v>
      </c>
      <c r="R149" s="125">
        <f t="shared" si="41"/>
        <v>0</v>
      </c>
      <c r="S149" s="125">
        <f t="shared" si="41"/>
        <v>0</v>
      </c>
      <c r="T149" s="125">
        <f t="shared" si="41"/>
        <v>0</v>
      </c>
      <c r="U149" s="125">
        <f t="shared" si="41"/>
        <v>0</v>
      </c>
      <c r="V149" s="125">
        <f t="shared" si="41"/>
        <v>0</v>
      </c>
      <c r="W149" s="125">
        <f t="shared" si="41"/>
        <v>0</v>
      </c>
      <c r="X149" s="125">
        <f t="shared" si="41"/>
        <v>0</v>
      </c>
      <c r="Y149" s="125">
        <f t="shared" si="41"/>
        <v>0</v>
      </c>
      <c r="Z149" s="125">
        <f t="shared" si="41"/>
        <v>0</v>
      </c>
      <c r="AA149" s="125">
        <f t="shared" si="41"/>
        <v>0</v>
      </c>
      <c r="AB149" s="125">
        <f t="shared" si="41"/>
        <v>1</v>
      </c>
      <c r="AC149" s="125">
        <f t="shared" si="41"/>
        <v>1</v>
      </c>
      <c r="AD149" s="125">
        <f t="shared" si="41"/>
        <v>1</v>
      </c>
      <c r="AE149" s="125">
        <f t="shared" si="41"/>
        <v>1</v>
      </c>
      <c r="AF149" s="125">
        <f t="shared" si="41"/>
        <v>1</v>
      </c>
      <c r="AG149" s="125">
        <f t="shared" si="41"/>
        <v>0</v>
      </c>
      <c r="AH149" s="125">
        <f t="shared" si="41"/>
        <v>0</v>
      </c>
      <c r="AI149" s="125">
        <f t="shared" si="41"/>
        <v>0</v>
      </c>
      <c r="AJ149" s="45" t="str">
        <f t="shared" si="33"/>
        <v>UNKNOWN</v>
      </c>
      <c r="AK149" s="58"/>
      <c r="AL149" s="58" t="str">
        <f t="shared" si="36"/>
        <v>F8</v>
      </c>
      <c r="AM149" s="60" t="str">
        <f t="shared" si="37"/>
        <v>00</v>
      </c>
      <c r="AN149" s="60" t="str">
        <f t="shared" si="38"/>
        <v>00</v>
      </c>
      <c r="AO149" s="60" t="str">
        <f t="shared" si="39"/>
        <v>00</v>
      </c>
      <c r="AQ149" t="str">
        <f t="shared" si="34"/>
        <v xml:space="preserve">    (U4)0x000000F8U,                                                           /* 13 UNKNOWN                                         */</v>
      </c>
    </row>
    <row r="150" spans="2:43">
      <c r="B150" s="132"/>
      <c r="C150" s="45">
        <f t="shared" si="35"/>
        <v>14</v>
      </c>
      <c r="D150" s="125">
        <f t="shared" si="41"/>
        <v>0</v>
      </c>
      <c r="E150" s="125">
        <f t="shared" si="41"/>
        <v>0</v>
      </c>
      <c r="F150" s="125">
        <f t="shared" si="41"/>
        <v>0</v>
      </c>
      <c r="G150" s="125">
        <f t="shared" si="41"/>
        <v>0</v>
      </c>
      <c r="H150" s="125">
        <f t="shared" si="41"/>
        <v>0</v>
      </c>
      <c r="I150" s="125">
        <f t="shared" si="41"/>
        <v>0</v>
      </c>
      <c r="J150" s="125">
        <f t="shared" si="41"/>
        <v>0</v>
      </c>
      <c r="K150" s="125">
        <f t="shared" si="41"/>
        <v>0</v>
      </c>
      <c r="L150" s="125">
        <f t="shared" si="41"/>
        <v>0</v>
      </c>
      <c r="M150" s="125">
        <f t="shared" si="41"/>
        <v>0</v>
      </c>
      <c r="N150" s="125">
        <f t="shared" si="41"/>
        <v>0</v>
      </c>
      <c r="O150" s="125">
        <f t="shared" si="41"/>
        <v>0</v>
      </c>
      <c r="P150" s="125">
        <f t="shared" si="41"/>
        <v>0</v>
      </c>
      <c r="Q150" s="125">
        <f t="shared" si="41"/>
        <v>0</v>
      </c>
      <c r="R150" s="125">
        <f t="shared" si="41"/>
        <v>0</v>
      </c>
      <c r="S150" s="125">
        <f t="shared" si="41"/>
        <v>0</v>
      </c>
      <c r="T150" s="125">
        <f t="shared" si="41"/>
        <v>0</v>
      </c>
      <c r="U150" s="125">
        <f t="shared" si="41"/>
        <v>0</v>
      </c>
      <c r="V150" s="125">
        <f t="shared" si="41"/>
        <v>0</v>
      </c>
      <c r="W150" s="125">
        <f t="shared" si="41"/>
        <v>0</v>
      </c>
      <c r="X150" s="125">
        <f t="shared" si="41"/>
        <v>0</v>
      </c>
      <c r="Y150" s="125">
        <f t="shared" si="41"/>
        <v>0</v>
      </c>
      <c r="Z150" s="125">
        <f t="shared" si="41"/>
        <v>0</v>
      </c>
      <c r="AA150" s="125">
        <f t="shared" si="41"/>
        <v>0</v>
      </c>
      <c r="AB150" s="125">
        <f t="shared" si="41"/>
        <v>1</v>
      </c>
      <c r="AC150" s="125">
        <f t="shared" si="41"/>
        <v>1</v>
      </c>
      <c r="AD150" s="125">
        <f t="shared" si="41"/>
        <v>0</v>
      </c>
      <c r="AE150" s="125">
        <f t="shared" si="41"/>
        <v>0</v>
      </c>
      <c r="AF150" s="125">
        <f t="shared" si="41"/>
        <v>1</v>
      </c>
      <c r="AG150" s="125">
        <f t="shared" si="41"/>
        <v>1</v>
      </c>
      <c r="AH150" s="125">
        <f t="shared" si="41"/>
        <v>1</v>
      </c>
      <c r="AI150" s="125">
        <f t="shared" si="41"/>
        <v>1</v>
      </c>
      <c r="AJ150" s="45" t="str">
        <f t="shared" si="33"/>
        <v>UNKNOWN</v>
      </c>
      <c r="AK150" s="58"/>
      <c r="AL150" s="58" t="str">
        <f t="shared" si="36"/>
        <v>CF</v>
      </c>
      <c r="AM150" s="60" t="str">
        <f t="shared" si="37"/>
        <v>00</v>
      </c>
      <c r="AN150" s="60" t="str">
        <f t="shared" si="38"/>
        <v>00</v>
      </c>
      <c r="AO150" s="60" t="str">
        <f t="shared" si="39"/>
        <v>00</v>
      </c>
      <c r="AQ150" t="str">
        <f t="shared" si="34"/>
        <v xml:space="preserve">    (U4)0x000000CFU,                                                           /* 14 UNKNOWN                                         */</v>
      </c>
    </row>
    <row r="151" spans="2:43">
      <c r="B151" s="132"/>
      <c r="C151" s="45">
        <f t="shared" si="35"/>
        <v>15</v>
      </c>
      <c r="D151" s="125">
        <f t="shared" si="41"/>
        <v>0</v>
      </c>
      <c r="E151" s="125">
        <f t="shared" si="41"/>
        <v>0</v>
      </c>
      <c r="F151" s="125">
        <f t="shared" si="41"/>
        <v>0</v>
      </c>
      <c r="G151" s="125">
        <f t="shared" si="41"/>
        <v>0</v>
      </c>
      <c r="H151" s="125">
        <f t="shared" si="41"/>
        <v>0</v>
      </c>
      <c r="I151" s="125">
        <f t="shared" si="41"/>
        <v>0</v>
      </c>
      <c r="J151" s="125">
        <f t="shared" si="41"/>
        <v>0</v>
      </c>
      <c r="K151" s="125">
        <f t="shared" si="41"/>
        <v>0</v>
      </c>
      <c r="L151" s="125">
        <f t="shared" si="41"/>
        <v>0</v>
      </c>
      <c r="M151" s="125">
        <f t="shared" si="41"/>
        <v>0</v>
      </c>
      <c r="N151" s="125">
        <f t="shared" si="41"/>
        <v>0</v>
      </c>
      <c r="O151" s="125">
        <f t="shared" si="41"/>
        <v>0</v>
      </c>
      <c r="P151" s="125">
        <f t="shared" si="41"/>
        <v>0</v>
      </c>
      <c r="Q151" s="125">
        <f t="shared" si="41"/>
        <v>0</v>
      </c>
      <c r="R151" s="125">
        <f t="shared" si="41"/>
        <v>0</v>
      </c>
      <c r="S151" s="125">
        <f t="shared" si="41"/>
        <v>0</v>
      </c>
      <c r="T151" s="125">
        <f t="shared" si="41"/>
        <v>0</v>
      </c>
      <c r="U151" s="125">
        <f t="shared" si="41"/>
        <v>0</v>
      </c>
      <c r="V151" s="125">
        <f t="shared" si="41"/>
        <v>0</v>
      </c>
      <c r="W151" s="125">
        <f t="shared" si="41"/>
        <v>0</v>
      </c>
      <c r="X151" s="125">
        <f t="shared" si="41"/>
        <v>0</v>
      </c>
      <c r="Y151" s="125">
        <f t="shared" si="41"/>
        <v>0</v>
      </c>
      <c r="Z151" s="125">
        <f t="shared" si="41"/>
        <v>0</v>
      </c>
      <c r="AA151" s="125">
        <f t="shared" si="41"/>
        <v>0</v>
      </c>
      <c r="AB151" s="125">
        <f t="shared" si="41"/>
        <v>1</v>
      </c>
      <c r="AC151" s="125">
        <f t="shared" si="41"/>
        <v>1</v>
      </c>
      <c r="AD151" s="125">
        <f t="shared" si="41"/>
        <v>0</v>
      </c>
      <c r="AE151" s="125">
        <f t="shared" si="41"/>
        <v>0</v>
      </c>
      <c r="AF151" s="125">
        <f t="shared" si="41"/>
        <v>1</v>
      </c>
      <c r="AG151" s="125">
        <f t="shared" si="41"/>
        <v>1</v>
      </c>
      <c r="AH151" s="125">
        <f t="shared" si="41"/>
        <v>1</v>
      </c>
      <c r="AI151" s="125">
        <f t="shared" ref="AI151" si="42">IF(OR(AI21=0,AI21=1),1,0)</f>
        <v>1</v>
      </c>
      <c r="AJ151" s="45" t="str">
        <f t="shared" si="33"/>
        <v>UNKNOWN</v>
      </c>
      <c r="AK151" s="58"/>
      <c r="AL151" s="58" t="str">
        <f t="shared" si="36"/>
        <v>CF</v>
      </c>
      <c r="AM151" s="60" t="str">
        <f t="shared" si="37"/>
        <v>00</v>
      </c>
      <c r="AN151" s="60" t="str">
        <f t="shared" si="38"/>
        <v>00</v>
      </c>
      <c r="AO151" s="60" t="str">
        <f t="shared" si="39"/>
        <v>00</v>
      </c>
      <c r="AQ151" t="str">
        <f t="shared" si="34"/>
        <v xml:space="preserve">    (U4)0x000000CFU,                                                           /* 15 UNKNOWN                                         */</v>
      </c>
    </row>
    <row r="152" spans="2:43">
      <c r="B152" s="132"/>
      <c r="C152" s="45">
        <f t="shared" si="35"/>
        <v>16</v>
      </c>
      <c r="D152" s="125">
        <f t="shared" ref="D152:AI159" si="43">IF(OR(D22=0,D22=1),1,0)</f>
        <v>0</v>
      </c>
      <c r="E152" s="125">
        <f t="shared" si="43"/>
        <v>0</v>
      </c>
      <c r="F152" s="125">
        <f t="shared" si="43"/>
        <v>0</v>
      </c>
      <c r="G152" s="125">
        <f t="shared" si="43"/>
        <v>0</v>
      </c>
      <c r="H152" s="125">
        <f t="shared" si="43"/>
        <v>0</v>
      </c>
      <c r="I152" s="125">
        <f t="shared" si="43"/>
        <v>0</v>
      </c>
      <c r="J152" s="125">
        <f t="shared" si="43"/>
        <v>0</v>
      </c>
      <c r="K152" s="125">
        <f t="shared" si="43"/>
        <v>0</v>
      </c>
      <c r="L152" s="125">
        <f t="shared" si="43"/>
        <v>0</v>
      </c>
      <c r="M152" s="125">
        <f t="shared" si="43"/>
        <v>0</v>
      </c>
      <c r="N152" s="125">
        <f t="shared" si="43"/>
        <v>0</v>
      </c>
      <c r="O152" s="125">
        <f t="shared" si="43"/>
        <v>0</v>
      </c>
      <c r="P152" s="125">
        <f t="shared" si="43"/>
        <v>0</v>
      </c>
      <c r="Q152" s="125">
        <f t="shared" si="43"/>
        <v>0</v>
      </c>
      <c r="R152" s="125">
        <f t="shared" si="43"/>
        <v>0</v>
      </c>
      <c r="S152" s="125">
        <f t="shared" si="43"/>
        <v>0</v>
      </c>
      <c r="T152" s="125">
        <f t="shared" si="43"/>
        <v>0</v>
      </c>
      <c r="U152" s="125">
        <f t="shared" si="43"/>
        <v>0</v>
      </c>
      <c r="V152" s="125">
        <f t="shared" si="43"/>
        <v>0</v>
      </c>
      <c r="W152" s="125">
        <f t="shared" si="43"/>
        <v>0</v>
      </c>
      <c r="X152" s="125">
        <f t="shared" si="43"/>
        <v>0</v>
      </c>
      <c r="Y152" s="125">
        <f t="shared" si="43"/>
        <v>0</v>
      </c>
      <c r="Z152" s="125">
        <f t="shared" si="43"/>
        <v>0</v>
      </c>
      <c r="AA152" s="125">
        <f t="shared" si="43"/>
        <v>0</v>
      </c>
      <c r="AB152" s="125">
        <f t="shared" si="43"/>
        <v>1</v>
      </c>
      <c r="AC152" s="125">
        <f t="shared" si="43"/>
        <v>1</v>
      </c>
      <c r="AD152" s="125">
        <f t="shared" si="43"/>
        <v>0</v>
      </c>
      <c r="AE152" s="125">
        <f t="shared" si="43"/>
        <v>0</v>
      </c>
      <c r="AF152" s="125">
        <f t="shared" si="43"/>
        <v>1</v>
      </c>
      <c r="AG152" s="125">
        <f t="shared" si="43"/>
        <v>1</v>
      </c>
      <c r="AH152" s="125">
        <f t="shared" si="43"/>
        <v>1</v>
      </c>
      <c r="AI152" s="125">
        <f t="shared" si="43"/>
        <v>1</v>
      </c>
      <c r="AJ152" s="45" t="str">
        <f t="shared" si="33"/>
        <v>UNKNOWN</v>
      </c>
      <c r="AK152" s="58"/>
      <c r="AL152" s="58" t="str">
        <f t="shared" si="36"/>
        <v>CF</v>
      </c>
      <c r="AM152" s="60" t="str">
        <f t="shared" si="37"/>
        <v>00</v>
      </c>
      <c r="AN152" s="60" t="str">
        <f t="shared" si="38"/>
        <v>00</v>
      </c>
      <c r="AO152" s="60" t="str">
        <f t="shared" si="39"/>
        <v>00</v>
      </c>
      <c r="AQ152" t="str">
        <f t="shared" si="34"/>
        <v xml:space="preserve">    (U4)0x000000CFU,                                                           /* 16 UNKNOWN                                         */</v>
      </c>
    </row>
    <row r="153" spans="2:43">
      <c r="B153" s="132"/>
      <c r="C153" s="45">
        <f t="shared" si="35"/>
        <v>17</v>
      </c>
      <c r="D153" s="125">
        <f t="shared" si="43"/>
        <v>0</v>
      </c>
      <c r="E153" s="125">
        <f t="shared" si="43"/>
        <v>0</v>
      </c>
      <c r="F153" s="125">
        <f t="shared" si="43"/>
        <v>0</v>
      </c>
      <c r="G153" s="125">
        <f t="shared" si="43"/>
        <v>0</v>
      </c>
      <c r="H153" s="125">
        <f t="shared" si="43"/>
        <v>0</v>
      </c>
      <c r="I153" s="125">
        <f t="shared" si="43"/>
        <v>0</v>
      </c>
      <c r="J153" s="125">
        <f t="shared" si="43"/>
        <v>0</v>
      </c>
      <c r="K153" s="125">
        <f t="shared" si="43"/>
        <v>0</v>
      </c>
      <c r="L153" s="125">
        <f t="shared" si="43"/>
        <v>0</v>
      </c>
      <c r="M153" s="125">
        <f t="shared" si="43"/>
        <v>0</v>
      </c>
      <c r="N153" s="125">
        <f t="shared" si="43"/>
        <v>0</v>
      </c>
      <c r="O153" s="125">
        <f t="shared" si="43"/>
        <v>0</v>
      </c>
      <c r="P153" s="125">
        <f t="shared" si="43"/>
        <v>0</v>
      </c>
      <c r="Q153" s="125">
        <f t="shared" si="43"/>
        <v>0</v>
      </c>
      <c r="R153" s="125">
        <f t="shared" si="43"/>
        <v>0</v>
      </c>
      <c r="S153" s="125">
        <f t="shared" si="43"/>
        <v>0</v>
      </c>
      <c r="T153" s="125">
        <f t="shared" si="43"/>
        <v>0</v>
      </c>
      <c r="U153" s="125">
        <f t="shared" si="43"/>
        <v>0</v>
      </c>
      <c r="V153" s="125">
        <f t="shared" si="43"/>
        <v>0</v>
      </c>
      <c r="W153" s="125">
        <f t="shared" si="43"/>
        <v>0</v>
      </c>
      <c r="X153" s="125">
        <f t="shared" si="43"/>
        <v>0</v>
      </c>
      <c r="Y153" s="125">
        <f t="shared" si="43"/>
        <v>0</v>
      </c>
      <c r="Z153" s="125">
        <f t="shared" si="43"/>
        <v>0</v>
      </c>
      <c r="AA153" s="125">
        <f t="shared" si="43"/>
        <v>0</v>
      </c>
      <c r="AB153" s="125">
        <f t="shared" si="43"/>
        <v>1</v>
      </c>
      <c r="AC153" s="125">
        <f t="shared" si="43"/>
        <v>1</v>
      </c>
      <c r="AD153" s="125">
        <f t="shared" si="43"/>
        <v>0</v>
      </c>
      <c r="AE153" s="125">
        <f t="shared" si="43"/>
        <v>0</v>
      </c>
      <c r="AF153" s="125">
        <f t="shared" si="43"/>
        <v>1</v>
      </c>
      <c r="AG153" s="125">
        <f t="shared" si="43"/>
        <v>1</v>
      </c>
      <c r="AH153" s="125">
        <f t="shared" si="43"/>
        <v>1</v>
      </c>
      <c r="AI153" s="125">
        <f t="shared" si="43"/>
        <v>1</v>
      </c>
      <c r="AJ153" s="45" t="str">
        <f t="shared" si="33"/>
        <v>TMODE</v>
      </c>
      <c r="AK153" s="58"/>
      <c r="AL153" s="58" t="str">
        <f t="shared" si="36"/>
        <v>CF</v>
      </c>
      <c r="AM153" s="60" t="str">
        <f t="shared" si="37"/>
        <v>00</v>
      </c>
      <c r="AN153" s="60" t="str">
        <f t="shared" si="38"/>
        <v>00</v>
      </c>
      <c r="AO153" s="60" t="str">
        <f t="shared" si="39"/>
        <v>00</v>
      </c>
      <c r="AQ153" t="str">
        <f t="shared" si="34"/>
        <v xml:space="preserve">    (U4)0x000000CFU,                                                           /* 17 TMODE                                           */</v>
      </c>
    </row>
    <row r="154" spans="2:43">
      <c r="B154" s="132"/>
      <c r="C154" s="45">
        <f t="shared" si="35"/>
        <v>18</v>
      </c>
      <c r="D154" s="125">
        <f t="shared" si="43"/>
        <v>0</v>
      </c>
      <c r="E154" s="125">
        <f t="shared" si="43"/>
        <v>0</v>
      </c>
      <c r="F154" s="125">
        <f t="shared" si="43"/>
        <v>0</v>
      </c>
      <c r="G154" s="125">
        <f t="shared" si="43"/>
        <v>0</v>
      </c>
      <c r="H154" s="125">
        <f t="shared" si="43"/>
        <v>0</v>
      </c>
      <c r="I154" s="125">
        <f t="shared" si="43"/>
        <v>0</v>
      </c>
      <c r="J154" s="125">
        <f t="shared" si="43"/>
        <v>0</v>
      </c>
      <c r="K154" s="125">
        <f t="shared" si="43"/>
        <v>0</v>
      </c>
      <c r="L154" s="125">
        <f t="shared" si="43"/>
        <v>0</v>
      </c>
      <c r="M154" s="125">
        <f t="shared" si="43"/>
        <v>0</v>
      </c>
      <c r="N154" s="125">
        <f t="shared" si="43"/>
        <v>0</v>
      </c>
      <c r="O154" s="125">
        <f t="shared" si="43"/>
        <v>0</v>
      </c>
      <c r="P154" s="125">
        <f t="shared" si="43"/>
        <v>0</v>
      </c>
      <c r="Q154" s="125">
        <f t="shared" si="43"/>
        <v>0</v>
      </c>
      <c r="R154" s="125">
        <f t="shared" si="43"/>
        <v>0</v>
      </c>
      <c r="S154" s="125">
        <f t="shared" si="43"/>
        <v>0</v>
      </c>
      <c r="T154" s="125">
        <f t="shared" si="43"/>
        <v>0</v>
      </c>
      <c r="U154" s="125">
        <f t="shared" si="43"/>
        <v>0</v>
      </c>
      <c r="V154" s="125">
        <f t="shared" si="43"/>
        <v>0</v>
      </c>
      <c r="W154" s="125">
        <f t="shared" si="43"/>
        <v>0</v>
      </c>
      <c r="X154" s="125">
        <f t="shared" si="43"/>
        <v>0</v>
      </c>
      <c r="Y154" s="125">
        <f t="shared" si="43"/>
        <v>0</v>
      </c>
      <c r="Z154" s="125">
        <f t="shared" si="43"/>
        <v>0</v>
      </c>
      <c r="AA154" s="125">
        <f t="shared" si="43"/>
        <v>0</v>
      </c>
      <c r="AB154" s="125">
        <f t="shared" si="43"/>
        <v>1</v>
      </c>
      <c r="AC154" s="125">
        <f t="shared" si="43"/>
        <v>1</v>
      </c>
      <c r="AD154" s="125">
        <f t="shared" si="43"/>
        <v>0</v>
      </c>
      <c r="AE154" s="125">
        <f t="shared" si="43"/>
        <v>0</v>
      </c>
      <c r="AF154" s="125">
        <f t="shared" si="43"/>
        <v>1</v>
      </c>
      <c r="AG154" s="125">
        <f t="shared" si="43"/>
        <v>1</v>
      </c>
      <c r="AH154" s="125">
        <f t="shared" si="43"/>
        <v>0</v>
      </c>
      <c r="AI154" s="125">
        <f t="shared" si="43"/>
        <v>0</v>
      </c>
      <c r="AJ154" s="45" t="str">
        <f t="shared" si="33"/>
        <v>UNKNOWN</v>
      </c>
      <c r="AK154" s="58"/>
      <c r="AL154" s="58" t="str">
        <f t="shared" si="36"/>
        <v>CC</v>
      </c>
      <c r="AM154" s="60" t="str">
        <f t="shared" si="37"/>
        <v>00</v>
      </c>
      <c r="AN154" s="60" t="str">
        <f t="shared" si="38"/>
        <v>00</v>
      </c>
      <c r="AO154" s="60" t="str">
        <f t="shared" si="39"/>
        <v>00</v>
      </c>
      <c r="AQ154" t="str">
        <f t="shared" si="34"/>
        <v xml:space="preserve">    (U4)0x000000CCU,                                                           /* 18 UNKNOWN                                         */</v>
      </c>
    </row>
    <row r="155" spans="2:43">
      <c r="B155" s="132"/>
      <c r="C155" s="45">
        <f t="shared" si="35"/>
        <v>19</v>
      </c>
      <c r="D155" s="125">
        <f t="shared" si="43"/>
        <v>0</v>
      </c>
      <c r="E155" s="125">
        <f t="shared" si="43"/>
        <v>0</v>
      </c>
      <c r="F155" s="125">
        <f t="shared" si="43"/>
        <v>0</v>
      </c>
      <c r="G155" s="125">
        <f t="shared" si="43"/>
        <v>0</v>
      </c>
      <c r="H155" s="125">
        <f t="shared" si="43"/>
        <v>0</v>
      </c>
      <c r="I155" s="125">
        <f t="shared" si="43"/>
        <v>0</v>
      </c>
      <c r="J155" s="125">
        <f t="shared" si="43"/>
        <v>0</v>
      </c>
      <c r="K155" s="125">
        <f t="shared" si="43"/>
        <v>0</v>
      </c>
      <c r="L155" s="125">
        <f t="shared" si="43"/>
        <v>0</v>
      </c>
      <c r="M155" s="125">
        <f t="shared" si="43"/>
        <v>0</v>
      </c>
      <c r="N155" s="125">
        <f t="shared" si="43"/>
        <v>0</v>
      </c>
      <c r="O155" s="125">
        <f t="shared" si="43"/>
        <v>0</v>
      </c>
      <c r="P155" s="125">
        <f t="shared" si="43"/>
        <v>0</v>
      </c>
      <c r="Q155" s="125">
        <f t="shared" si="43"/>
        <v>0</v>
      </c>
      <c r="R155" s="125">
        <f t="shared" si="43"/>
        <v>0</v>
      </c>
      <c r="S155" s="125">
        <f t="shared" si="43"/>
        <v>0</v>
      </c>
      <c r="T155" s="125">
        <f t="shared" si="43"/>
        <v>0</v>
      </c>
      <c r="U155" s="125">
        <f t="shared" si="43"/>
        <v>0</v>
      </c>
      <c r="V155" s="125">
        <f t="shared" si="43"/>
        <v>0</v>
      </c>
      <c r="W155" s="125">
        <f t="shared" si="43"/>
        <v>0</v>
      </c>
      <c r="X155" s="125">
        <f t="shared" si="43"/>
        <v>0</v>
      </c>
      <c r="Y155" s="125">
        <f t="shared" si="43"/>
        <v>0</v>
      </c>
      <c r="Z155" s="125">
        <f t="shared" si="43"/>
        <v>0</v>
      </c>
      <c r="AA155" s="125">
        <f t="shared" si="43"/>
        <v>0</v>
      </c>
      <c r="AB155" s="125">
        <f t="shared" si="43"/>
        <v>1</v>
      </c>
      <c r="AC155" s="125">
        <f t="shared" si="43"/>
        <v>1</v>
      </c>
      <c r="AD155" s="125">
        <f t="shared" si="43"/>
        <v>0</v>
      </c>
      <c r="AE155" s="125">
        <f t="shared" si="43"/>
        <v>0</v>
      </c>
      <c r="AF155" s="125">
        <f t="shared" si="43"/>
        <v>1</v>
      </c>
      <c r="AG155" s="125">
        <f t="shared" si="43"/>
        <v>0</v>
      </c>
      <c r="AH155" s="125">
        <f t="shared" si="43"/>
        <v>0</v>
      </c>
      <c r="AI155" s="125">
        <f t="shared" si="43"/>
        <v>0</v>
      </c>
      <c r="AJ155" s="45" t="str">
        <f t="shared" si="33"/>
        <v>UNKNOWN</v>
      </c>
      <c r="AK155" s="58"/>
      <c r="AL155" s="58" t="str">
        <f t="shared" si="36"/>
        <v>C8</v>
      </c>
      <c r="AM155" s="60" t="str">
        <f t="shared" si="37"/>
        <v>00</v>
      </c>
      <c r="AN155" s="60" t="str">
        <f t="shared" si="38"/>
        <v>00</v>
      </c>
      <c r="AO155" s="60" t="str">
        <f t="shared" si="39"/>
        <v>00</v>
      </c>
      <c r="AQ155" t="str">
        <f t="shared" si="34"/>
        <v xml:space="preserve">    (U4)0x000000C8U                                                            /* 19 UNKNOWN                                         */</v>
      </c>
    </row>
    <row r="156" spans="2:43">
      <c r="B156" s="132"/>
      <c r="C156" s="45">
        <f t="shared" si="35"/>
        <v>20</v>
      </c>
      <c r="D156" s="125">
        <f t="shared" si="43"/>
        <v>0</v>
      </c>
      <c r="E156" s="125">
        <f t="shared" si="43"/>
        <v>0</v>
      </c>
      <c r="F156" s="125">
        <f t="shared" si="43"/>
        <v>0</v>
      </c>
      <c r="G156" s="125">
        <f t="shared" si="43"/>
        <v>0</v>
      </c>
      <c r="H156" s="125">
        <f t="shared" si="43"/>
        <v>0</v>
      </c>
      <c r="I156" s="125">
        <f t="shared" si="43"/>
        <v>0</v>
      </c>
      <c r="J156" s="125">
        <f t="shared" si="43"/>
        <v>0</v>
      </c>
      <c r="K156" s="125">
        <f t="shared" si="43"/>
        <v>0</v>
      </c>
      <c r="L156" s="125">
        <f t="shared" si="43"/>
        <v>0</v>
      </c>
      <c r="M156" s="125">
        <f t="shared" si="43"/>
        <v>0</v>
      </c>
      <c r="N156" s="125">
        <f t="shared" si="43"/>
        <v>0</v>
      </c>
      <c r="O156" s="125">
        <f t="shared" si="43"/>
        <v>0</v>
      </c>
      <c r="P156" s="125">
        <f t="shared" si="43"/>
        <v>0</v>
      </c>
      <c r="Q156" s="125">
        <f t="shared" si="43"/>
        <v>0</v>
      </c>
      <c r="R156" s="125">
        <f t="shared" si="43"/>
        <v>0</v>
      </c>
      <c r="S156" s="125">
        <f t="shared" si="43"/>
        <v>0</v>
      </c>
      <c r="T156" s="125">
        <f t="shared" si="43"/>
        <v>0</v>
      </c>
      <c r="U156" s="125">
        <f t="shared" si="43"/>
        <v>0</v>
      </c>
      <c r="V156" s="125">
        <f t="shared" si="43"/>
        <v>0</v>
      </c>
      <c r="W156" s="125">
        <f t="shared" si="43"/>
        <v>0</v>
      </c>
      <c r="X156" s="125">
        <f t="shared" si="43"/>
        <v>0</v>
      </c>
      <c r="Y156" s="125">
        <f t="shared" si="43"/>
        <v>0</v>
      </c>
      <c r="Z156" s="125">
        <f t="shared" si="43"/>
        <v>0</v>
      </c>
      <c r="AA156" s="125">
        <f t="shared" si="43"/>
        <v>0</v>
      </c>
      <c r="AB156" s="125">
        <f t="shared" si="43"/>
        <v>0</v>
      </c>
      <c r="AC156" s="125">
        <f t="shared" si="43"/>
        <v>0</v>
      </c>
      <c r="AD156" s="125">
        <f t="shared" si="43"/>
        <v>0</v>
      </c>
      <c r="AE156" s="125">
        <f t="shared" si="43"/>
        <v>0</v>
      </c>
      <c r="AF156" s="125">
        <f t="shared" si="43"/>
        <v>0</v>
      </c>
      <c r="AG156" s="125">
        <f t="shared" si="43"/>
        <v>0</v>
      </c>
      <c r="AH156" s="125">
        <f t="shared" si="43"/>
        <v>0</v>
      </c>
      <c r="AI156" s="125">
        <f t="shared" si="43"/>
        <v>0</v>
      </c>
      <c r="AJ156" s="45" t="str">
        <f t="shared" si="33"/>
        <v/>
      </c>
      <c r="AK156" s="58"/>
      <c r="AL156" s="58" t="str">
        <f t="shared" si="36"/>
        <v>00</v>
      </c>
      <c r="AM156" s="60" t="str">
        <f t="shared" si="37"/>
        <v>00</v>
      </c>
      <c r="AN156" s="60" t="str">
        <f t="shared" si="38"/>
        <v>00</v>
      </c>
      <c r="AO156" s="60" t="str">
        <f t="shared" si="39"/>
        <v>00</v>
      </c>
      <c r="AQ156" t="str">
        <f t="shared" si="34"/>
        <v/>
      </c>
    </row>
    <row r="157" spans="2:43">
      <c r="B157" s="132"/>
      <c r="C157" s="45">
        <f t="shared" si="35"/>
        <v>21</v>
      </c>
      <c r="D157" s="125">
        <f t="shared" si="43"/>
        <v>0</v>
      </c>
      <c r="E157" s="125">
        <f t="shared" si="43"/>
        <v>0</v>
      </c>
      <c r="F157" s="125">
        <f t="shared" si="43"/>
        <v>0</v>
      </c>
      <c r="G157" s="125">
        <f t="shared" si="43"/>
        <v>0</v>
      </c>
      <c r="H157" s="125">
        <f t="shared" si="43"/>
        <v>0</v>
      </c>
      <c r="I157" s="125">
        <f t="shared" si="43"/>
        <v>0</v>
      </c>
      <c r="J157" s="125">
        <f t="shared" si="43"/>
        <v>0</v>
      </c>
      <c r="K157" s="125">
        <f t="shared" si="43"/>
        <v>0</v>
      </c>
      <c r="L157" s="125">
        <f t="shared" si="43"/>
        <v>0</v>
      </c>
      <c r="M157" s="125">
        <f t="shared" si="43"/>
        <v>0</v>
      </c>
      <c r="N157" s="125">
        <f t="shared" si="43"/>
        <v>0</v>
      </c>
      <c r="O157" s="125">
        <f t="shared" si="43"/>
        <v>0</v>
      </c>
      <c r="P157" s="125">
        <f t="shared" si="43"/>
        <v>0</v>
      </c>
      <c r="Q157" s="125">
        <f t="shared" si="43"/>
        <v>0</v>
      </c>
      <c r="R157" s="125">
        <f t="shared" si="43"/>
        <v>0</v>
      </c>
      <c r="S157" s="125">
        <f t="shared" si="43"/>
        <v>0</v>
      </c>
      <c r="T157" s="125">
        <f t="shared" si="43"/>
        <v>0</v>
      </c>
      <c r="U157" s="125">
        <f t="shared" si="43"/>
        <v>0</v>
      </c>
      <c r="V157" s="125">
        <f t="shared" si="43"/>
        <v>0</v>
      </c>
      <c r="W157" s="125">
        <f t="shared" si="43"/>
        <v>0</v>
      </c>
      <c r="X157" s="125">
        <f t="shared" si="43"/>
        <v>0</v>
      </c>
      <c r="Y157" s="125">
        <f t="shared" si="43"/>
        <v>0</v>
      </c>
      <c r="Z157" s="125">
        <f t="shared" si="43"/>
        <v>0</v>
      </c>
      <c r="AA157" s="125">
        <f t="shared" si="43"/>
        <v>0</v>
      </c>
      <c r="AB157" s="125">
        <f t="shared" si="43"/>
        <v>0</v>
      </c>
      <c r="AC157" s="125">
        <f t="shared" si="43"/>
        <v>0</v>
      </c>
      <c r="AD157" s="125">
        <f t="shared" si="43"/>
        <v>0</v>
      </c>
      <c r="AE157" s="125">
        <f t="shared" si="43"/>
        <v>0</v>
      </c>
      <c r="AF157" s="125">
        <f t="shared" si="43"/>
        <v>0</v>
      </c>
      <c r="AG157" s="125">
        <f t="shared" si="43"/>
        <v>0</v>
      </c>
      <c r="AH157" s="125">
        <f t="shared" si="43"/>
        <v>0</v>
      </c>
      <c r="AI157" s="125">
        <f t="shared" si="43"/>
        <v>0</v>
      </c>
      <c r="AJ157" s="45" t="str">
        <f t="shared" si="33"/>
        <v/>
      </c>
      <c r="AK157" s="58"/>
      <c r="AL157" s="58" t="str">
        <f t="shared" si="36"/>
        <v>00</v>
      </c>
      <c r="AM157" s="60" t="str">
        <f t="shared" si="37"/>
        <v>00</v>
      </c>
      <c r="AN157" s="60" t="str">
        <f t="shared" si="38"/>
        <v>00</v>
      </c>
      <c r="AO157" s="60" t="str">
        <f t="shared" si="39"/>
        <v>00</v>
      </c>
      <c r="AQ157" t="str">
        <f t="shared" si="34"/>
        <v/>
      </c>
    </row>
    <row r="158" spans="2:43">
      <c r="B158" s="132"/>
      <c r="C158" s="45">
        <f t="shared" si="35"/>
        <v>22</v>
      </c>
      <c r="D158" s="125">
        <f t="shared" si="43"/>
        <v>0</v>
      </c>
      <c r="E158" s="125">
        <f t="shared" si="43"/>
        <v>0</v>
      </c>
      <c r="F158" s="125">
        <f t="shared" si="43"/>
        <v>0</v>
      </c>
      <c r="G158" s="125">
        <f t="shared" si="43"/>
        <v>0</v>
      </c>
      <c r="H158" s="125">
        <f t="shared" si="43"/>
        <v>0</v>
      </c>
      <c r="I158" s="125">
        <f t="shared" si="43"/>
        <v>0</v>
      </c>
      <c r="J158" s="125">
        <f t="shared" si="43"/>
        <v>0</v>
      </c>
      <c r="K158" s="125">
        <f t="shared" si="43"/>
        <v>0</v>
      </c>
      <c r="L158" s="125">
        <f t="shared" si="43"/>
        <v>0</v>
      </c>
      <c r="M158" s="125">
        <f t="shared" si="43"/>
        <v>0</v>
      </c>
      <c r="N158" s="125">
        <f t="shared" si="43"/>
        <v>0</v>
      </c>
      <c r="O158" s="125">
        <f t="shared" si="43"/>
        <v>0</v>
      </c>
      <c r="P158" s="125">
        <f t="shared" si="43"/>
        <v>0</v>
      </c>
      <c r="Q158" s="125">
        <f t="shared" si="43"/>
        <v>0</v>
      </c>
      <c r="R158" s="125">
        <f t="shared" si="43"/>
        <v>0</v>
      </c>
      <c r="S158" s="125">
        <f t="shared" si="43"/>
        <v>0</v>
      </c>
      <c r="T158" s="125">
        <f t="shared" si="43"/>
        <v>0</v>
      </c>
      <c r="U158" s="125">
        <f t="shared" si="43"/>
        <v>0</v>
      </c>
      <c r="V158" s="125">
        <f t="shared" si="43"/>
        <v>0</v>
      </c>
      <c r="W158" s="125">
        <f t="shared" si="43"/>
        <v>0</v>
      </c>
      <c r="X158" s="125">
        <f t="shared" si="43"/>
        <v>0</v>
      </c>
      <c r="Y158" s="125">
        <f t="shared" si="43"/>
        <v>0</v>
      </c>
      <c r="Z158" s="125">
        <f t="shared" si="43"/>
        <v>0</v>
      </c>
      <c r="AA158" s="125">
        <f t="shared" si="43"/>
        <v>0</v>
      </c>
      <c r="AB158" s="125">
        <f t="shared" si="43"/>
        <v>0</v>
      </c>
      <c r="AC158" s="125">
        <f t="shared" si="43"/>
        <v>0</v>
      </c>
      <c r="AD158" s="125">
        <f t="shared" si="43"/>
        <v>0</v>
      </c>
      <c r="AE158" s="125">
        <f t="shared" si="43"/>
        <v>0</v>
      </c>
      <c r="AF158" s="125">
        <f t="shared" si="43"/>
        <v>0</v>
      </c>
      <c r="AG158" s="125">
        <f t="shared" si="43"/>
        <v>0</v>
      </c>
      <c r="AH158" s="125">
        <f t="shared" si="43"/>
        <v>0</v>
      </c>
      <c r="AI158" s="125">
        <f t="shared" si="43"/>
        <v>0</v>
      </c>
      <c r="AJ158" s="45" t="str">
        <f t="shared" si="33"/>
        <v/>
      </c>
      <c r="AK158" s="58"/>
      <c r="AL158" s="58" t="str">
        <f t="shared" si="36"/>
        <v>00</v>
      </c>
      <c r="AM158" s="60" t="str">
        <f t="shared" si="37"/>
        <v>00</v>
      </c>
      <c r="AN158" s="60" t="str">
        <f t="shared" si="38"/>
        <v>00</v>
      </c>
      <c r="AO158" s="60" t="str">
        <f t="shared" si="39"/>
        <v>00</v>
      </c>
      <c r="AQ158" t="str">
        <f t="shared" si="34"/>
        <v/>
      </c>
    </row>
    <row r="159" spans="2:43">
      <c r="B159" s="132"/>
      <c r="C159" s="45">
        <f t="shared" si="35"/>
        <v>23</v>
      </c>
      <c r="D159" s="125">
        <f t="shared" si="43"/>
        <v>0</v>
      </c>
      <c r="E159" s="125">
        <f t="shared" si="43"/>
        <v>0</v>
      </c>
      <c r="F159" s="125">
        <f t="shared" si="43"/>
        <v>0</v>
      </c>
      <c r="G159" s="125">
        <f t="shared" si="43"/>
        <v>0</v>
      </c>
      <c r="H159" s="125">
        <f t="shared" si="43"/>
        <v>0</v>
      </c>
      <c r="I159" s="125">
        <f t="shared" si="43"/>
        <v>0</v>
      </c>
      <c r="J159" s="125">
        <f t="shared" si="43"/>
        <v>0</v>
      </c>
      <c r="K159" s="125">
        <f t="shared" si="43"/>
        <v>0</v>
      </c>
      <c r="L159" s="125">
        <f t="shared" si="43"/>
        <v>0</v>
      </c>
      <c r="M159" s="125">
        <f t="shared" si="43"/>
        <v>0</v>
      </c>
      <c r="N159" s="125">
        <f t="shared" si="43"/>
        <v>0</v>
      </c>
      <c r="O159" s="125">
        <f t="shared" si="43"/>
        <v>0</v>
      </c>
      <c r="P159" s="125">
        <f t="shared" si="43"/>
        <v>0</v>
      </c>
      <c r="Q159" s="125">
        <f t="shared" si="43"/>
        <v>0</v>
      </c>
      <c r="R159" s="125">
        <f t="shared" si="43"/>
        <v>0</v>
      </c>
      <c r="S159" s="125">
        <f t="shared" si="43"/>
        <v>0</v>
      </c>
      <c r="T159" s="125">
        <f t="shared" si="43"/>
        <v>0</v>
      </c>
      <c r="U159" s="125">
        <f t="shared" si="43"/>
        <v>0</v>
      </c>
      <c r="V159" s="125">
        <f t="shared" si="43"/>
        <v>0</v>
      </c>
      <c r="W159" s="125">
        <f t="shared" si="43"/>
        <v>0</v>
      </c>
      <c r="X159" s="125">
        <f t="shared" si="43"/>
        <v>0</v>
      </c>
      <c r="Y159" s="125">
        <f t="shared" si="43"/>
        <v>0</v>
      </c>
      <c r="Z159" s="125">
        <f t="shared" si="43"/>
        <v>0</v>
      </c>
      <c r="AA159" s="125">
        <f t="shared" si="43"/>
        <v>0</v>
      </c>
      <c r="AB159" s="125">
        <f t="shared" si="43"/>
        <v>0</v>
      </c>
      <c r="AC159" s="125">
        <f t="shared" si="43"/>
        <v>0</v>
      </c>
      <c r="AD159" s="125">
        <f t="shared" si="43"/>
        <v>0</v>
      </c>
      <c r="AE159" s="125">
        <f t="shared" si="43"/>
        <v>0</v>
      </c>
      <c r="AF159" s="125">
        <f t="shared" si="43"/>
        <v>0</v>
      </c>
      <c r="AG159" s="125">
        <f t="shared" si="43"/>
        <v>0</v>
      </c>
      <c r="AH159" s="125">
        <f t="shared" si="43"/>
        <v>0</v>
      </c>
      <c r="AI159" s="125">
        <f t="shared" ref="AI159" si="44">IF(OR(AI29=0,AI29=1),1,0)</f>
        <v>0</v>
      </c>
      <c r="AJ159" s="45" t="str">
        <f t="shared" si="33"/>
        <v/>
      </c>
      <c r="AK159" s="58"/>
      <c r="AL159" s="58" t="str">
        <f t="shared" si="36"/>
        <v>00</v>
      </c>
      <c r="AM159" s="60" t="str">
        <f t="shared" si="37"/>
        <v>00</v>
      </c>
      <c r="AN159" s="60" t="str">
        <f t="shared" si="38"/>
        <v>00</v>
      </c>
      <c r="AO159" s="60" t="str">
        <f t="shared" si="39"/>
        <v>00</v>
      </c>
      <c r="AQ159" t="str">
        <f t="shared" si="34"/>
        <v/>
      </c>
    </row>
    <row r="160" spans="2:43">
      <c r="B160" s="132"/>
      <c r="C160" s="45">
        <f t="shared" si="35"/>
        <v>24</v>
      </c>
      <c r="D160" s="125">
        <f t="shared" ref="D160:AI167" si="45">IF(OR(D30=0,D30=1),1,0)</f>
        <v>0</v>
      </c>
      <c r="E160" s="125">
        <f t="shared" si="45"/>
        <v>0</v>
      </c>
      <c r="F160" s="125">
        <f t="shared" si="45"/>
        <v>0</v>
      </c>
      <c r="G160" s="125">
        <f t="shared" si="45"/>
        <v>0</v>
      </c>
      <c r="H160" s="125">
        <f t="shared" si="45"/>
        <v>0</v>
      </c>
      <c r="I160" s="125">
        <f t="shared" si="45"/>
        <v>0</v>
      </c>
      <c r="J160" s="125">
        <f t="shared" si="45"/>
        <v>0</v>
      </c>
      <c r="K160" s="125">
        <f t="shared" si="45"/>
        <v>0</v>
      </c>
      <c r="L160" s="125">
        <f t="shared" si="45"/>
        <v>0</v>
      </c>
      <c r="M160" s="125">
        <f t="shared" si="45"/>
        <v>0</v>
      </c>
      <c r="N160" s="125">
        <f t="shared" si="45"/>
        <v>0</v>
      </c>
      <c r="O160" s="125">
        <f t="shared" si="45"/>
        <v>0</v>
      </c>
      <c r="P160" s="125">
        <f t="shared" si="45"/>
        <v>0</v>
      </c>
      <c r="Q160" s="125">
        <f t="shared" si="45"/>
        <v>0</v>
      </c>
      <c r="R160" s="125">
        <f t="shared" si="45"/>
        <v>0</v>
      </c>
      <c r="S160" s="125">
        <f t="shared" si="45"/>
        <v>0</v>
      </c>
      <c r="T160" s="125">
        <f t="shared" si="45"/>
        <v>0</v>
      </c>
      <c r="U160" s="125">
        <f t="shared" si="45"/>
        <v>0</v>
      </c>
      <c r="V160" s="125">
        <f t="shared" si="45"/>
        <v>0</v>
      </c>
      <c r="W160" s="125">
        <f t="shared" si="45"/>
        <v>0</v>
      </c>
      <c r="X160" s="125">
        <f t="shared" si="45"/>
        <v>0</v>
      </c>
      <c r="Y160" s="125">
        <f t="shared" si="45"/>
        <v>0</v>
      </c>
      <c r="Z160" s="125">
        <f t="shared" si="45"/>
        <v>0</v>
      </c>
      <c r="AA160" s="125">
        <f t="shared" si="45"/>
        <v>0</v>
      </c>
      <c r="AB160" s="125">
        <f t="shared" si="45"/>
        <v>0</v>
      </c>
      <c r="AC160" s="125">
        <f t="shared" si="45"/>
        <v>0</v>
      </c>
      <c r="AD160" s="125">
        <f t="shared" si="45"/>
        <v>0</v>
      </c>
      <c r="AE160" s="125">
        <f t="shared" si="45"/>
        <v>0</v>
      </c>
      <c r="AF160" s="125">
        <f t="shared" si="45"/>
        <v>0</v>
      </c>
      <c r="AG160" s="125">
        <f t="shared" si="45"/>
        <v>0</v>
      </c>
      <c r="AH160" s="125">
        <f t="shared" si="45"/>
        <v>0</v>
      </c>
      <c r="AI160" s="125">
        <f t="shared" si="45"/>
        <v>0</v>
      </c>
      <c r="AJ160" s="45" t="str">
        <f t="shared" si="33"/>
        <v/>
      </c>
      <c r="AK160" s="58"/>
      <c r="AL160" s="58" t="str">
        <f t="shared" si="36"/>
        <v>00</v>
      </c>
      <c r="AM160" s="60" t="str">
        <f t="shared" si="37"/>
        <v>00</v>
      </c>
      <c r="AN160" s="60" t="str">
        <f t="shared" si="38"/>
        <v>00</v>
      </c>
      <c r="AO160" s="60" t="str">
        <f t="shared" si="39"/>
        <v>00</v>
      </c>
      <c r="AQ160" t="str">
        <f t="shared" si="34"/>
        <v/>
      </c>
    </row>
    <row r="161" spans="2:43">
      <c r="B161" s="132"/>
      <c r="C161" s="45">
        <f t="shared" si="35"/>
        <v>25</v>
      </c>
      <c r="D161" s="125">
        <f t="shared" si="45"/>
        <v>0</v>
      </c>
      <c r="E161" s="125">
        <f t="shared" si="45"/>
        <v>0</v>
      </c>
      <c r="F161" s="125">
        <f t="shared" si="45"/>
        <v>0</v>
      </c>
      <c r="G161" s="125">
        <f t="shared" si="45"/>
        <v>0</v>
      </c>
      <c r="H161" s="125">
        <f t="shared" si="45"/>
        <v>0</v>
      </c>
      <c r="I161" s="125">
        <f t="shared" si="45"/>
        <v>0</v>
      </c>
      <c r="J161" s="125">
        <f t="shared" si="45"/>
        <v>0</v>
      </c>
      <c r="K161" s="125">
        <f t="shared" si="45"/>
        <v>0</v>
      </c>
      <c r="L161" s="125">
        <f t="shared" si="45"/>
        <v>0</v>
      </c>
      <c r="M161" s="125">
        <f t="shared" si="45"/>
        <v>0</v>
      </c>
      <c r="N161" s="125">
        <f t="shared" si="45"/>
        <v>0</v>
      </c>
      <c r="O161" s="125">
        <f t="shared" si="45"/>
        <v>0</v>
      </c>
      <c r="P161" s="125">
        <f t="shared" si="45"/>
        <v>0</v>
      </c>
      <c r="Q161" s="125">
        <f t="shared" si="45"/>
        <v>0</v>
      </c>
      <c r="R161" s="125">
        <f t="shared" si="45"/>
        <v>0</v>
      </c>
      <c r="S161" s="125">
        <f t="shared" si="45"/>
        <v>0</v>
      </c>
      <c r="T161" s="125">
        <f t="shared" si="45"/>
        <v>0</v>
      </c>
      <c r="U161" s="125">
        <f t="shared" si="45"/>
        <v>0</v>
      </c>
      <c r="V161" s="125">
        <f t="shared" si="45"/>
        <v>0</v>
      </c>
      <c r="W161" s="125">
        <f t="shared" si="45"/>
        <v>0</v>
      </c>
      <c r="X161" s="125">
        <f t="shared" si="45"/>
        <v>0</v>
      </c>
      <c r="Y161" s="125">
        <f t="shared" si="45"/>
        <v>0</v>
      </c>
      <c r="Z161" s="125">
        <f t="shared" si="45"/>
        <v>0</v>
      </c>
      <c r="AA161" s="125">
        <f t="shared" si="45"/>
        <v>0</v>
      </c>
      <c r="AB161" s="125">
        <f t="shared" si="45"/>
        <v>0</v>
      </c>
      <c r="AC161" s="125">
        <f t="shared" si="45"/>
        <v>0</v>
      </c>
      <c r="AD161" s="125">
        <f t="shared" si="45"/>
        <v>0</v>
      </c>
      <c r="AE161" s="125">
        <f t="shared" si="45"/>
        <v>0</v>
      </c>
      <c r="AF161" s="125">
        <f t="shared" si="45"/>
        <v>0</v>
      </c>
      <c r="AG161" s="125">
        <f t="shared" si="45"/>
        <v>0</v>
      </c>
      <c r="AH161" s="125">
        <f t="shared" si="45"/>
        <v>0</v>
      </c>
      <c r="AI161" s="125">
        <f t="shared" si="45"/>
        <v>0</v>
      </c>
      <c r="AJ161" s="45" t="str">
        <f t="shared" si="33"/>
        <v/>
      </c>
      <c r="AK161" s="58"/>
      <c r="AL161" s="58" t="str">
        <f t="shared" si="36"/>
        <v>00</v>
      </c>
      <c r="AM161" s="60" t="str">
        <f t="shared" si="37"/>
        <v>00</v>
      </c>
      <c r="AN161" s="60" t="str">
        <f t="shared" si="38"/>
        <v>00</v>
      </c>
      <c r="AO161" s="60" t="str">
        <f t="shared" si="39"/>
        <v>00</v>
      </c>
      <c r="AQ161" t="str">
        <f t="shared" si="34"/>
        <v/>
      </c>
    </row>
    <row r="162" spans="2:43">
      <c r="B162" s="132"/>
      <c r="C162" s="45">
        <f t="shared" si="35"/>
        <v>26</v>
      </c>
      <c r="D162" s="125">
        <f t="shared" si="45"/>
        <v>0</v>
      </c>
      <c r="E162" s="125">
        <f t="shared" si="45"/>
        <v>0</v>
      </c>
      <c r="F162" s="125">
        <f t="shared" si="45"/>
        <v>0</v>
      </c>
      <c r="G162" s="125">
        <f t="shared" si="45"/>
        <v>0</v>
      </c>
      <c r="H162" s="125">
        <f t="shared" si="45"/>
        <v>0</v>
      </c>
      <c r="I162" s="125">
        <f t="shared" si="45"/>
        <v>0</v>
      </c>
      <c r="J162" s="125">
        <f t="shared" si="45"/>
        <v>0</v>
      </c>
      <c r="K162" s="125">
        <f t="shared" si="45"/>
        <v>0</v>
      </c>
      <c r="L162" s="125">
        <f t="shared" si="45"/>
        <v>0</v>
      </c>
      <c r="M162" s="125">
        <f t="shared" si="45"/>
        <v>0</v>
      </c>
      <c r="N162" s="125">
        <f t="shared" si="45"/>
        <v>0</v>
      </c>
      <c r="O162" s="125">
        <f t="shared" si="45"/>
        <v>0</v>
      </c>
      <c r="P162" s="125">
        <f t="shared" si="45"/>
        <v>0</v>
      </c>
      <c r="Q162" s="125">
        <f t="shared" si="45"/>
        <v>0</v>
      </c>
      <c r="R162" s="125">
        <f t="shared" si="45"/>
        <v>0</v>
      </c>
      <c r="S162" s="125">
        <f t="shared" si="45"/>
        <v>0</v>
      </c>
      <c r="T162" s="125">
        <f t="shared" si="45"/>
        <v>0</v>
      </c>
      <c r="U162" s="125">
        <f t="shared" si="45"/>
        <v>0</v>
      </c>
      <c r="V162" s="125">
        <f t="shared" si="45"/>
        <v>0</v>
      </c>
      <c r="W162" s="125">
        <f t="shared" si="45"/>
        <v>0</v>
      </c>
      <c r="X162" s="125">
        <f t="shared" si="45"/>
        <v>0</v>
      </c>
      <c r="Y162" s="125">
        <f t="shared" si="45"/>
        <v>0</v>
      </c>
      <c r="Z162" s="125">
        <f t="shared" si="45"/>
        <v>0</v>
      </c>
      <c r="AA162" s="125">
        <f t="shared" si="45"/>
        <v>0</v>
      </c>
      <c r="AB162" s="125">
        <f t="shared" si="45"/>
        <v>0</v>
      </c>
      <c r="AC162" s="125">
        <f t="shared" si="45"/>
        <v>0</v>
      </c>
      <c r="AD162" s="125">
        <f t="shared" si="45"/>
        <v>0</v>
      </c>
      <c r="AE162" s="125">
        <f t="shared" si="45"/>
        <v>0</v>
      </c>
      <c r="AF162" s="125">
        <f t="shared" si="45"/>
        <v>0</v>
      </c>
      <c r="AG162" s="125">
        <f t="shared" si="45"/>
        <v>0</v>
      </c>
      <c r="AH162" s="125">
        <f t="shared" si="45"/>
        <v>0</v>
      </c>
      <c r="AI162" s="125">
        <f t="shared" si="45"/>
        <v>0</v>
      </c>
      <c r="AJ162" s="45" t="str">
        <f t="shared" si="33"/>
        <v/>
      </c>
      <c r="AK162" s="58"/>
      <c r="AL162" s="58" t="str">
        <f t="shared" si="36"/>
        <v>00</v>
      </c>
      <c r="AM162" s="60" t="str">
        <f t="shared" si="37"/>
        <v>00</v>
      </c>
      <c r="AN162" s="60" t="str">
        <f t="shared" si="38"/>
        <v>00</v>
      </c>
      <c r="AO162" s="60" t="str">
        <f t="shared" si="39"/>
        <v>00</v>
      </c>
      <c r="AQ162" t="str">
        <f t="shared" si="34"/>
        <v/>
      </c>
    </row>
    <row r="163" spans="2:43">
      <c r="B163" s="132"/>
      <c r="C163" s="45">
        <f t="shared" si="35"/>
        <v>27</v>
      </c>
      <c r="D163" s="125">
        <f t="shared" si="45"/>
        <v>0</v>
      </c>
      <c r="E163" s="125">
        <f t="shared" si="45"/>
        <v>0</v>
      </c>
      <c r="F163" s="125">
        <f t="shared" si="45"/>
        <v>0</v>
      </c>
      <c r="G163" s="125">
        <f t="shared" si="45"/>
        <v>0</v>
      </c>
      <c r="H163" s="125">
        <f t="shared" si="45"/>
        <v>0</v>
      </c>
      <c r="I163" s="125">
        <f t="shared" si="45"/>
        <v>0</v>
      </c>
      <c r="J163" s="125">
        <f t="shared" si="45"/>
        <v>0</v>
      </c>
      <c r="K163" s="125">
        <f t="shared" si="45"/>
        <v>0</v>
      </c>
      <c r="L163" s="125">
        <f t="shared" si="45"/>
        <v>0</v>
      </c>
      <c r="M163" s="125">
        <f t="shared" si="45"/>
        <v>0</v>
      </c>
      <c r="N163" s="125">
        <f t="shared" si="45"/>
        <v>0</v>
      </c>
      <c r="O163" s="125">
        <f t="shared" si="45"/>
        <v>0</v>
      </c>
      <c r="P163" s="125">
        <f t="shared" si="45"/>
        <v>0</v>
      </c>
      <c r="Q163" s="125">
        <f t="shared" si="45"/>
        <v>0</v>
      </c>
      <c r="R163" s="125">
        <f t="shared" si="45"/>
        <v>0</v>
      </c>
      <c r="S163" s="125">
        <f t="shared" si="45"/>
        <v>0</v>
      </c>
      <c r="T163" s="125">
        <f t="shared" si="45"/>
        <v>0</v>
      </c>
      <c r="U163" s="125">
        <f t="shared" si="45"/>
        <v>0</v>
      </c>
      <c r="V163" s="125">
        <f t="shared" si="45"/>
        <v>0</v>
      </c>
      <c r="W163" s="125">
        <f t="shared" si="45"/>
        <v>0</v>
      </c>
      <c r="X163" s="125">
        <f t="shared" si="45"/>
        <v>0</v>
      </c>
      <c r="Y163" s="125">
        <f t="shared" si="45"/>
        <v>0</v>
      </c>
      <c r="Z163" s="125">
        <f t="shared" si="45"/>
        <v>0</v>
      </c>
      <c r="AA163" s="125">
        <f t="shared" si="45"/>
        <v>0</v>
      </c>
      <c r="AB163" s="125">
        <f t="shared" si="45"/>
        <v>0</v>
      </c>
      <c r="AC163" s="125">
        <f t="shared" si="45"/>
        <v>0</v>
      </c>
      <c r="AD163" s="125">
        <f t="shared" si="45"/>
        <v>0</v>
      </c>
      <c r="AE163" s="125">
        <f t="shared" si="45"/>
        <v>0</v>
      </c>
      <c r="AF163" s="125">
        <f t="shared" si="45"/>
        <v>0</v>
      </c>
      <c r="AG163" s="125">
        <f t="shared" si="45"/>
        <v>0</v>
      </c>
      <c r="AH163" s="125">
        <f t="shared" si="45"/>
        <v>0</v>
      </c>
      <c r="AI163" s="125">
        <f t="shared" si="45"/>
        <v>0</v>
      </c>
      <c r="AJ163" s="45" t="str">
        <f t="shared" si="33"/>
        <v/>
      </c>
      <c r="AK163" s="58"/>
      <c r="AL163" s="58" t="str">
        <f t="shared" si="36"/>
        <v>00</v>
      </c>
      <c r="AM163" s="60" t="str">
        <f t="shared" si="37"/>
        <v>00</v>
      </c>
      <c r="AN163" s="60" t="str">
        <f t="shared" si="38"/>
        <v>00</v>
      </c>
      <c r="AO163" s="60" t="str">
        <f t="shared" si="39"/>
        <v>00</v>
      </c>
      <c r="AQ163" t="str">
        <f t="shared" si="34"/>
        <v/>
      </c>
    </row>
    <row r="164" spans="2:43">
      <c r="B164" s="132"/>
      <c r="C164" s="45">
        <f t="shared" si="35"/>
        <v>28</v>
      </c>
      <c r="D164" s="125">
        <f t="shared" si="45"/>
        <v>0</v>
      </c>
      <c r="E164" s="125">
        <f t="shared" si="45"/>
        <v>0</v>
      </c>
      <c r="F164" s="125">
        <f t="shared" si="45"/>
        <v>0</v>
      </c>
      <c r="G164" s="125">
        <f t="shared" si="45"/>
        <v>0</v>
      </c>
      <c r="H164" s="125">
        <f t="shared" si="45"/>
        <v>0</v>
      </c>
      <c r="I164" s="125">
        <f t="shared" si="45"/>
        <v>0</v>
      </c>
      <c r="J164" s="125">
        <f t="shared" si="45"/>
        <v>0</v>
      </c>
      <c r="K164" s="125">
        <f t="shared" si="45"/>
        <v>0</v>
      </c>
      <c r="L164" s="125">
        <f t="shared" si="45"/>
        <v>0</v>
      </c>
      <c r="M164" s="125">
        <f t="shared" si="45"/>
        <v>0</v>
      </c>
      <c r="N164" s="125">
        <f t="shared" si="45"/>
        <v>0</v>
      </c>
      <c r="O164" s="125">
        <f t="shared" si="45"/>
        <v>0</v>
      </c>
      <c r="P164" s="125">
        <f t="shared" si="45"/>
        <v>0</v>
      </c>
      <c r="Q164" s="125">
        <f t="shared" si="45"/>
        <v>0</v>
      </c>
      <c r="R164" s="125">
        <f t="shared" si="45"/>
        <v>0</v>
      </c>
      <c r="S164" s="125">
        <f t="shared" si="45"/>
        <v>0</v>
      </c>
      <c r="T164" s="125">
        <f t="shared" si="45"/>
        <v>0</v>
      </c>
      <c r="U164" s="125">
        <f t="shared" si="45"/>
        <v>0</v>
      </c>
      <c r="V164" s="125">
        <f t="shared" si="45"/>
        <v>0</v>
      </c>
      <c r="W164" s="125">
        <f t="shared" si="45"/>
        <v>0</v>
      </c>
      <c r="X164" s="125">
        <f t="shared" si="45"/>
        <v>0</v>
      </c>
      <c r="Y164" s="125">
        <f t="shared" si="45"/>
        <v>0</v>
      </c>
      <c r="Z164" s="125">
        <f t="shared" si="45"/>
        <v>0</v>
      </c>
      <c r="AA164" s="125">
        <f t="shared" si="45"/>
        <v>0</v>
      </c>
      <c r="AB164" s="125">
        <f t="shared" si="45"/>
        <v>0</v>
      </c>
      <c r="AC164" s="125">
        <f t="shared" si="45"/>
        <v>0</v>
      </c>
      <c r="AD164" s="125">
        <f t="shared" si="45"/>
        <v>0</v>
      </c>
      <c r="AE164" s="125">
        <f t="shared" si="45"/>
        <v>0</v>
      </c>
      <c r="AF164" s="125">
        <f t="shared" si="45"/>
        <v>0</v>
      </c>
      <c r="AG164" s="125">
        <f t="shared" si="45"/>
        <v>0</v>
      </c>
      <c r="AH164" s="125">
        <f t="shared" si="45"/>
        <v>0</v>
      </c>
      <c r="AI164" s="125">
        <f t="shared" si="45"/>
        <v>0</v>
      </c>
      <c r="AJ164" s="45" t="str">
        <f t="shared" si="33"/>
        <v/>
      </c>
      <c r="AK164" s="58"/>
      <c r="AL164" s="58" t="str">
        <f t="shared" si="36"/>
        <v>00</v>
      </c>
      <c r="AM164" s="60" t="str">
        <f t="shared" si="37"/>
        <v>00</v>
      </c>
      <c r="AN164" s="60" t="str">
        <f t="shared" si="38"/>
        <v>00</v>
      </c>
      <c r="AO164" s="60" t="str">
        <f t="shared" si="39"/>
        <v>00</v>
      </c>
      <c r="AQ164" t="str">
        <f t="shared" si="34"/>
        <v/>
      </c>
    </row>
    <row r="165" spans="2:43">
      <c r="B165" s="132"/>
      <c r="C165" s="45">
        <f t="shared" si="35"/>
        <v>29</v>
      </c>
      <c r="D165" s="125">
        <f t="shared" si="45"/>
        <v>0</v>
      </c>
      <c r="E165" s="125">
        <f t="shared" si="45"/>
        <v>0</v>
      </c>
      <c r="F165" s="125">
        <f t="shared" si="45"/>
        <v>0</v>
      </c>
      <c r="G165" s="125">
        <f t="shared" si="45"/>
        <v>0</v>
      </c>
      <c r="H165" s="125">
        <f t="shared" si="45"/>
        <v>0</v>
      </c>
      <c r="I165" s="125">
        <f t="shared" si="45"/>
        <v>0</v>
      </c>
      <c r="J165" s="125">
        <f t="shared" si="45"/>
        <v>0</v>
      </c>
      <c r="K165" s="125">
        <f t="shared" si="45"/>
        <v>0</v>
      </c>
      <c r="L165" s="125">
        <f t="shared" si="45"/>
        <v>0</v>
      </c>
      <c r="M165" s="125">
        <f t="shared" si="45"/>
        <v>0</v>
      </c>
      <c r="N165" s="125">
        <f t="shared" si="45"/>
        <v>0</v>
      </c>
      <c r="O165" s="125">
        <f t="shared" si="45"/>
        <v>0</v>
      </c>
      <c r="P165" s="125">
        <f t="shared" si="45"/>
        <v>0</v>
      </c>
      <c r="Q165" s="125">
        <f t="shared" si="45"/>
        <v>0</v>
      </c>
      <c r="R165" s="125">
        <f t="shared" si="45"/>
        <v>0</v>
      </c>
      <c r="S165" s="125">
        <f t="shared" si="45"/>
        <v>0</v>
      </c>
      <c r="T165" s="125">
        <f t="shared" si="45"/>
        <v>0</v>
      </c>
      <c r="U165" s="125">
        <f t="shared" si="45"/>
        <v>0</v>
      </c>
      <c r="V165" s="125">
        <f t="shared" si="45"/>
        <v>0</v>
      </c>
      <c r="W165" s="125">
        <f t="shared" si="45"/>
        <v>0</v>
      </c>
      <c r="X165" s="125">
        <f t="shared" si="45"/>
        <v>0</v>
      </c>
      <c r="Y165" s="125">
        <f t="shared" si="45"/>
        <v>0</v>
      </c>
      <c r="Z165" s="125">
        <f t="shared" si="45"/>
        <v>0</v>
      </c>
      <c r="AA165" s="125">
        <f t="shared" si="45"/>
        <v>0</v>
      </c>
      <c r="AB165" s="125">
        <f t="shared" si="45"/>
        <v>0</v>
      </c>
      <c r="AC165" s="125">
        <f t="shared" si="45"/>
        <v>0</v>
      </c>
      <c r="AD165" s="125">
        <f t="shared" si="45"/>
        <v>0</v>
      </c>
      <c r="AE165" s="125">
        <f t="shared" si="45"/>
        <v>0</v>
      </c>
      <c r="AF165" s="125">
        <f t="shared" si="45"/>
        <v>0</v>
      </c>
      <c r="AG165" s="125">
        <f t="shared" si="45"/>
        <v>0</v>
      </c>
      <c r="AH165" s="125">
        <f t="shared" si="45"/>
        <v>0</v>
      </c>
      <c r="AI165" s="125">
        <f t="shared" si="45"/>
        <v>0</v>
      </c>
      <c r="AJ165" s="45" t="str">
        <f t="shared" si="33"/>
        <v/>
      </c>
      <c r="AK165" s="58"/>
      <c r="AL165" s="58" t="str">
        <f t="shared" si="36"/>
        <v>00</v>
      </c>
      <c r="AM165" s="60" t="str">
        <f t="shared" si="37"/>
        <v>00</v>
      </c>
      <c r="AN165" s="60" t="str">
        <f t="shared" si="38"/>
        <v>00</v>
      </c>
      <c r="AO165" s="60" t="str">
        <f t="shared" si="39"/>
        <v>00</v>
      </c>
      <c r="AQ165" t="str">
        <f t="shared" si="34"/>
        <v/>
      </c>
    </row>
    <row r="166" spans="2:43">
      <c r="B166" s="132"/>
      <c r="C166" s="45">
        <f t="shared" si="35"/>
        <v>30</v>
      </c>
      <c r="D166" s="125">
        <f t="shared" si="45"/>
        <v>0</v>
      </c>
      <c r="E166" s="125">
        <f t="shared" si="45"/>
        <v>0</v>
      </c>
      <c r="F166" s="125">
        <f t="shared" si="45"/>
        <v>0</v>
      </c>
      <c r="G166" s="125">
        <f t="shared" si="45"/>
        <v>0</v>
      </c>
      <c r="H166" s="125">
        <f t="shared" si="45"/>
        <v>0</v>
      </c>
      <c r="I166" s="125">
        <f t="shared" si="45"/>
        <v>0</v>
      </c>
      <c r="J166" s="125">
        <f t="shared" si="45"/>
        <v>0</v>
      </c>
      <c r="K166" s="125">
        <f t="shared" si="45"/>
        <v>0</v>
      </c>
      <c r="L166" s="125">
        <f t="shared" si="45"/>
        <v>0</v>
      </c>
      <c r="M166" s="125">
        <f t="shared" si="45"/>
        <v>0</v>
      </c>
      <c r="N166" s="125">
        <f t="shared" si="45"/>
        <v>0</v>
      </c>
      <c r="O166" s="125">
        <f t="shared" si="45"/>
        <v>0</v>
      </c>
      <c r="P166" s="125">
        <f t="shared" si="45"/>
        <v>0</v>
      </c>
      <c r="Q166" s="125">
        <f t="shared" si="45"/>
        <v>0</v>
      </c>
      <c r="R166" s="125">
        <f t="shared" si="45"/>
        <v>0</v>
      </c>
      <c r="S166" s="125">
        <f t="shared" si="45"/>
        <v>0</v>
      </c>
      <c r="T166" s="125">
        <f t="shared" si="45"/>
        <v>0</v>
      </c>
      <c r="U166" s="125">
        <f t="shared" si="45"/>
        <v>0</v>
      </c>
      <c r="V166" s="125">
        <f t="shared" si="45"/>
        <v>0</v>
      </c>
      <c r="W166" s="125">
        <f t="shared" si="45"/>
        <v>0</v>
      </c>
      <c r="X166" s="125">
        <f t="shared" si="45"/>
        <v>0</v>
      </c>
      <c r="Y166" s="125">
        <f t="shared" si="45"/>
        <v>0</v>
      </c>
      <c r="Z166" s="125">
        <f t="shared" si="45"/>
        <v>0</v>
      </c>
      <c r="AA166" s="125">
        <f t="shared" si="45"/>
        <v>0</v>
      </c>
      <c r="AB166" s="125">
        <f t="shared" si="45"/>
        <v>0</v>
      </c>
      <c r="AC166" s="125">
        <f t="shared" si="45"/>
        <v>0</v>
      </c>
      <c r="AD166" s="125">
        <f t="shared" si="45"/>
        <v>0</v>
      </c>
      <c r="AE166" s="125">
        <f t="shared" si="45"/>
        <v>0</v>
      </c>
      <c r="AF166" s="125">
        <f t="shared" si="45"/>
        <v>0</v>
      </c>
      <c r="AG166" s="125">
        <f t="shared" si="45"/>
        <v>0</v>
      </c>
      <c r="AH166" s="125">
        <f t="shared" si="45"/>
        <v>0</v>
      </c>
      <c r="AI166" s="125">
        <f t="shared" si="45"/>
        <v>0</v>
      </c>
      <c r="AJ166" s="45" t="str">
        <f t="shared" si="33"/>
        <v/>
      </c>
      <c r="AK166" s="58"/>
      <c r="AL166" s="58" t="str">
        <f t="shared" si="36"/>
        <v>00</v>
      </c>
      <c r="AM166" s="60" t="str">
        <f t="shared" si="37"/>
        <v>00</v>
      </c>
      <c r="AN166" s="60" t="str">
        <f t="shared" si="38"/>
        <v>00</v>
      </c>
      <c r="AO166" s="60" t="str">
        <f t="shared" si="39"/>
        <v>00</v>
      </c>
      <c r="AQ166" t="str">
        <f t="shared" si="34"/>
        <v/>
      </c>
    </row>
    <row r="167" spans="2:43">
      <c r="B167" s="132"/>
      <c r="C167" s="45">
        <f t="shared" si="35"/>
        <v>31</v>
      </c>
      <c r="D167" s="125">
        <f t="shared" si="45"/>
        <v>0</v>
      </c>
      <c r="E167" s="125">
        <f t="shared" si="45"/>
        <v>0</v>
      </c>
      <c r="F167" s="125">
        <f t="shared" si="45"/>
        <v>0</v>
      </c>
      <c r="G167" s="125">
        <f t="shared" si="45"/>
        <v>0</v>
      </c>
      <c r="H167" s="125">
        <f t="shared" si="45"/>
        <v>0</v>
      </c>
      <c r="I167" s="125">
        <f t="shared" si="45"/>
        <v>0</v>
      </c>
      <c r="J167" s="125">
        <f t="shared" si="45"/>
        <v>0</v>
      </c>
      <c r="K167" s="125">
        <f t="shared" si="45"/>
        <v>0</v>
      </c>
      <c r="L167" s="125">
        <f t="shared" si="45"/>
        <v>0</v>
      </c>
      <c r="M167" s="125">
        <f t="shared" si="45"/>
        <v>0</v>
      </c>
      <c r="N167" s="125">
        <f t="shared" si="45"/>
        <v>0</v>
      </c>
      <c r="O167" s="125">
        <f t="shared" si="45"/>
        <v>0</v>
      </c>
      <c r="P167" s="125">
        <f t="shared" si="45"/>
        <v>0</v>
      </c>
      <c r="Q167" s="125">
        <f t="shared" si="45"/>
        <v>0</v>
      </c>
      <c r="R167" s="125">
        <f t="shared" si="45"/>
        <v>0</v>
      </c>
      <c r="S167" s="125">
        <f t="shared" si="45"/>
        <v>0</v>
      </c>
      <c r="T167" s="125">
        <f t="shared" si="45"/>
        <v>0</v>
      </c>
      <c r="U167" s="125">
        <f t="shared" si="45"/>
        <v>0</v>
      </c>
      <c r="V167" s="125">
        <f t="shared" si="45"/>
        <v>0</v>
      </c>
      <c r="W167" s="125">
        <f t="shared" si="45"/>
        <v>0</v>
      </c>
      <c r="X167" s="125">
        <f t="shared" si="45"/>
        <v>0</v>
      </c>
      <c r="Y167" s="125">
        <f t="shared" si="45"/>
        <v>0</v>
      </c>
      <c r="Z167" s="125">
        <f t="shared" si="45"/>
        <v>0</v>
      </c>
      <c r="AA167" s="125">
        <f t="shared" si="45"/>
        <v>0</v>
      </c>
      <c r="AB167" s="125">
        <f t="shared" si="45"/>
        <v>0</v>
      </c>
      <c r="AC167" s="125">
        <f t="shared" si="45"/>
        <v>0</v>
      </c>
      <c r="AD167" s="125">
        <f t="shared" si="45"/>
        <v>0</v>
      </c>
      <c r="AE167" s="125">
        <f t="shared" si="45"/>
        <v>0</v>
      </c>
      <c r="AF167" s="125">
        <f t="shared" si="45"/>
        <v>0</v>
      </c>
      <c r="AG167" s="125">
        <f t="shared" si="45"/>
        <v>0</v>
      </c>
      <c r="AH167" s="125">
        <f t="shared" si="45"/>
        <v>0</v>
      </c>
      <c r="AI167" s="125">
        <f t="shared" ref="AI167" si="46">IF(OR(AI37=0,AI37=1),1,0)</f>
        <v>0</v>
      </c>
      <c r="AJ167" s="45" t="str">
        <f t="shared" si="33"/>
        <v/>
      </c>
      <c r="AK167" s="58"/>
      <c r="AL167" s="58" t="str">
        <f t="shared" si="36"/>
        <v>00</v>
      </c>
      <c r="AM167" s="60" t="str">
        <f t="shared" si="37"/>
        <v>00</v>
      </c>
      <c r="AN167" s="60" t="str">
        <f t="shared" si="38"/>
        <v>00</v>
      </c>
      <c r="AO167" s="60" t="str">
        <f t="shared" si="39"/>
        <v>00</v>
      </c>
      <c r="AQ167" t="str">
        <f t="shared" si="34"/>
        <v/>
      </c>
    </row>
    <row r="168" spans="2:43">
      <c r="B168" s="132"/>
      <c r="C168" s="45">
        <f t="shared" si="35"/>
        <v>32</v>
      </c>
      <c r="D168" s="125">
        <f t="shared" ref="D168:AI175" si="47">IF(OR(D38=0,D38=1),1,0)</f>
        <v>0</v>
      </c>
      <c r="E168" s="125">
        <f t="shared" si="47"/>
        <v>0</v>
      </c>
      <c r="F168" s="125">
        <f t="shared" si="47"/>
        <v>0</v>
      </c>
      <c r="G168" s="125">
        <f t="shared" si="47"/>
        <v>0</v>
      </c>
      <c r="H168" s="125">
        <f t="shared" si="47"/>
        <v>0</v>
      </c>
      <c r="I168" s="125">
        <f t="shared" si="47"/>
        <v>0</v>
      </c>
      <c r="J168" s="125">
        <f t="shared" si="47"/>
        <v>0</v>
      </c>
      <c r="K168" s="125">
        <f t="shared" si="47"/>
        <v>0</v>
      </c>
      <c r="L168" s="125">
        <f t="shared" si="47"/>
        <v>0</v>
      </c>
      <c r="M168" s="125">
        <f t="shared" si="47"/>
        <v>0</v>
      </c>
      <c r="N168" s="125">
        <f t="shared" si="47"/>
        <v>0</v>
      </c>
      <c r="O168" s="125">
        <f t="shared" si="47"/>
        <v>0</v>
      </c>
      <c r="P168" s="125">
        <f t="shared" si="47"/>
        <v>0</v>
      </c>
      <c r="Q168" s="125">
        <f t="shared" si="47"/>
        <v>0</v>
      </c>
      <c r="R168" s="125">
        <f t="shared" si="47"/>
        <v>0</v>
      </c>
      <c r="S168" s="125">
        <f t="shared" si="47"/>
        <v>0</v>
      </c>
      <c r="T168" s="125">
        <f t="shared" si="47"/>
        <v>0</v>
      </c>
      <c r="U168" s="125">
        <f t="shared" si="47"/>
        <v>0</v>
      </c>
      <c r="V168" s="125">
        <f t="shared" si="47"/>
        <v>0</v>
      </c>
      <c r="W168" s="125">
        <f t="shared" si="47"/>
        <v>0</v>
      </c>
      <c r="X168" s="125">
        <f t="shared" si="47"/>
        <v>0</v>
      </c>
      <c r="Y168" s="125">
        <f t="shared" si="47"/>
        <v>0</v>
      </c>
      <c r="Z168" s="125">
        <f t="shared" si="47"/>
        <v>0</v>
      </c>
      <c r="AA168" s="125">
        <f t="shared" si="47"/>
        <v>0</v>
      </c>
      <c r="AB168" s="125">
        <f t="shared" si="47"/>
        <v>0</v>
      </c>
      <c r="AC168" s="125">
        <f t="shared" si="47"/>
        <v>0</v>
      </c>
      <c r="AD168" s="125">
        <f t="shared" si="47"/>
        <v>0</v>
      </c>
      <c r="AE168" s="125">
        <f t="shared" si="47"/>
        <v>0</v>
      </c>
      <c r="AF168" s="125">
        <f t="shared" si="47"/>
        <v>0</v>
      </c>
      <c r="AG168" s="125">
        <f t="shared" si="47"/>
        <v>0</v>
      </c>
      <c r="AH168" s="125">
        <f t="shared" si="47"/>
        <v>0</v>
      </c>
      <c r="AI168" s="125">
        <f t="shared" si="47"/>
        <v>0</v>
      </c>
      <c r="AJ168" s="45" t="str">
        <f t="shared" si="33"/>
        <v/>
      </c>
      <c r="AK168" s="58"/>
      <c r="AL168" s="58" t="str">
        <f t="shared" si="36"/>
        <v>00</v>
      </c>
      <c r="AM168" s="60" t="str">
        <f t="shared" si="37"/>
        <v>00</v>
      </c>
      <c r="AN168" s="60" t="str">
        <f t="shared" si="38"/>
        <v>00</v>
      </c>
      <c r="AO168" s="60" t="str">
        <f t="shared" si="39"/>
        <v>00</v>
      </c>
      <c r="AQ168" t="str">
        <f t="shared" si="34"/>
        <v/>
      </c>
    </row>
    <row r="169" spans="2:43">
      <c r="B169" s="132"/>
      <c r="C169" s="45">
        <f t="shared" si="35"/>
        <v>33</v>
      </c>
      <c r="D169" s="125">
        <f t="shared" si="47"/>
        <v>0</v>
      </c>
      <c r="E169" s="125">
        <f t="shared" si="47"/>
        <v>0</v>
      </c>
      <c r="F169" s="125">
        <f t="shared" si="47"/>
        <v>0</v>
      </c>
      <c r="G169" s="125">
        <f t="shared" si="47"/>
        <v>0</v>
      </c>
      <c r="H169" s="125">
        <f t="shared" si="47"/>
        <v>0</v>
      </c>
      <c r="I169" s="125">
        <f t="shared" si="47"/>
        <v>0</v>
      </c>
      <c r="J169" s="125">
        <f t="shared" si="47"/>
        <v>0</v>
      </c>
      <c r="K169" s="125">
        <f t="shared" si="47"/>
        <v>0</v>
      </c>
      <c r="L169" s="125">
        <f t="shared" si="47"/>
        <v>0</v>
      </c>
      <c r="M169" s="125">
        <f t="shared" si="47"/>
        <v>0</v>
      </c>
      <c r="N169" s="125">
        <f t="shared" si="47"/>
        <v>0</v>
      </c>
      <c r="O169" s="125">
        <f t="shared" si="47"/>
        <v>0</v>
      </c>
      <c r="P169" s="125">
        <f t="shared" si="47"/>
        <v>0</v>
      </c>
      <c r="Q169" s="125">
        <f t="shared" si="47"/>
        <v>0</v>
      </c>
      <c r="R169" s="125">
        <f t="shared" si="47"/>
        <v>0</v>
      </c>
      <c r="S169" s="125">
        <f t="shared" si="47"/>
        <v>0</v>
      </c>
      <c r="T169" s="125">
        <f t="shared" si="47"/>
        <v>0</v>
      </c>
      <c r="U169" s="125">
        <f t="shared" si="47"/>
        <v>0</v>
      </c>
      <c r="V169" s="125">
        <f t="shared" si="47"/>
        <v>0</v>
      </c>
      <c r="W169" s="125">
        <f t="shared" si="47"/>
        <v>0</v>
      </c>
      <c r="X169" s="125">
        <f t="shared" si="47"/>
        <v>0</v>
      </c>
      <c r="Y169" s="125">
        <f t="shared" si="47"/>
        <v>0</v>
      </c>
      <c r="Z169" s="125">
        <f t="shared" si="47"/>
        <v>0</v>
      </c>
      <c r="AA169" s="125">
        <f t="shared" si="47"/>
        <v>0</v>
      </c>
      <c r="AB169" s="125">
        <f t="shared" si="47"/>
        <v>0</v>
      </c>
      <c r="AC169" s="125">
        <f t="shared" si="47"/>
        <v>0</v>
      </c>
      <c r="AD169" s="125">
        <f t="shared" si="47"/>
        <v>0</v>
      </c>
      <c r="AE169" s="125">
        <f t="shared" si="47"/>
        <v>0</v>
      </c>
      <c r="AF169" s="125">
        <f t="shared" si="47"/>
        <v>0</v>
      </c>
      <c r="AG169" s="125">
        <f t="shared" si="47"/>
        <v>0</v>
      </c>
      <c r="AH169" s="125">
        <f t="shared" si="47"/>
        <v>0</v>
      </c>
      <c r="AI169" s="125">
        <f t="shared" si="47"/>
        <v>0</v>
      </c>
      <c r="AJ169" s="45" t="str">
        <f t="shared" si="33"/>
        <v/>
      </c>
      <c r="AK169" s="58"/>
      <c r="AL169" s="58" t="str">
        <f t="shared" si="36"/>
        <v>00</v>
      </c>
      <c r="AM169" s="60" t="str">
        <f t="shared" si="37"/>
        <v>00</v>
      </c>
      <c r="AN169" s="60" t="str">
        <f t="shared" si="38"/>
        <v>00</v>
      </c>
      <c r="AO169" s="60" t="str">
        <f t="shared" si="39"/>
        <v>00</v>
      </c>
      <c r="AQ169" t="str">
        <f t="shared" si="34"/>
        <v/>
      </c>
    </row>
    <row r="170" spans="2:43">
      <c r="B170" s="132"/>
      <c r="C170" s="45">
        <f t="shared" si="35"/>
        <v>34</v>
      </c>
      <c r="D170" s="125">
        <f t="shared" si="47"/>
        <v>0</v>
      </c>
      <c r="E170" s="125">
        <f t="shared" si="47"/>
        <v>0</v>
      </c>
      <c r="F170" s="125">
        <f t="shared" si="47"/>
        <v>0</v>
      </c>
      <c r="G170" s="125">
        <f t="shared" si="47"/>
        <v>0</v>
      </c>
      <c r="H170" s="125">
        <f t="shared" si="47"/>
        <v>0</v>
      </c>
      <c r="I170" s="125">
        <f t="shared" si="47"/>
        <v>0</v>
      </c>
      <c r="J170" s="125">
        <f t="shared" si="47"/>
        <v>0</v>
      </c>
      <c r="K170" s="125">
        <f t="shared" si="47"/>
        <v>0</v>
      </c>
      <c r="L170" s="125">
        <f t="shared" si="47"/>
        <v>0</v>
      </c>
      <c r="M170" s="125">
        <f t="shared" si="47"/>
        <v>0</v>
      </c>
      <c r="N170" s="125">
        <f t="shared" si="47"/>
        <v>0</v>
      </c>
      <c r="O170" s="125">
        <f t="shared" si="47"/>
        <v>0</v>
      </c>
      <c r="P170" s="125">
        <f t="shared" si="47"/>
        <v>0</v>
      </c>
      <c r="Q170" s="125">
        <f t="shared" si="47"/>
        <v>0</v>
      </c>
      <c r="R170" s="125">
        <f t="shared" si="47"/>
        <v>0</v>
      </c>
      <c r="S170" s="125">
        <f t="shared" si="47"/>
        <v>0</v>
      </c>
      <c r="T170" s="125">
        <f t="shared" si="47"/>
        <v>0</v>
      </c>
      <c r="U170" s="125">
        <f t="shared" si="47"/>
        <v>0</v>
      </c>
      <c r="V170" s="125">
        <f t="shared" si="47"/>
        <v>0</v>
      </c>
      <c r="W170" s="125">
        <f t="shared" si="47"/>
        <v>0</v>
      </c>
      <c r="X170" s="125">
        <f t="shared" si="47"/>
        <v>0</v>
      </c>
      <c r="Y170" s="125">
        <f t="shared" si="47"/>
        <v>0</v>
      </c>
      <c r="Z170" s="125">
        <f t="shared" si="47"/>
        <v>0</v>
      </c>
      <c r="AA170" s="125">
        <f t="shared" si="47"/>
        <v>0</v>
      </c>
      <c r="AB170" s="125">
        <f t="shared" si="47"/>
        <v>0</v>
      </c>
      <c r="AC170" s="125">
        <f t="shared" si="47"/>
        <v>0</v>
      </c>
      <c r="AD170" s="125">
        <f t="shared" si="47"/>
        <v>0</v>
      </c>
      <c r="AE170" s="125">
        <f t="shared" si="47"/>
        <v>0</v>
      </c>
      <c r="AF170" s="125">
        <f t="shared" si="47"/>
        <v>0</v>
      </c>
      <c r="AG170" s="125">
        <f t="shared" si="47"/>
        <v>0</v>
      </c>
      <c r="AH170" s="125">
        <f t="shared" si="47"/>
        <v>0</v>
      </c>
      <c r="AI170" s="125">
        <f t="shared" si="47"/>
        <v>0</v>
      </c>
      <c r="AJ170" s="45" t="str">
        <f t="shared" si="33"/>
        <v/>
      </c>
      <c r="AK170" s="58"/>
      <c r="AL170" s="58" t="str">
        <f t="shared" si="36"/>
        <v>00</v>
      </c>
      <c r="AM170" s="60" t="str">
        <f t="shared" si="37"/>
        <v>00</v>
      </c>
      <c r="AN170" s="60" t="str">
        <f t="shared" si="38"/>
        <v>00</v>
      </c>
      <c r="AO170" s="60" t="str">
        <f t="shared" si="39"/>
        <v>00</v>
      </c>
      <c r="AQ170" t="str">
        <f t="shared" si="34"/>
        <v/>
      </c>
    </row>
    <row r="171" spans="2:43">
      <c r="B171" s="132"/>
      <c r="C171" s="45">
        <f t="shared" si="35"/>
        <v>35</v>
      </c>
      <c r="D171" s="125">
        <f t="shared" si="47"/>
        <v>0</v>
      </c>
      <c r="E171" s="125">
        <f t="shared" si="47"/>
        <v>0</v>
      </c>
      <c r="F171" s="125">
        <f t="shared" si="47"/>
        <v>0</v>
      </c>
      <c r="G171" s="125">
        <f t="shared" si="47"/>
        <v>0</v>
      </c>
      <c r="H171" s="125">
        <f t="shared" si="47"/>
        <v>0</v>
      </c>
      <c r="I171" s="125">
        <f t="shared" si="47"/>
        <v>0</v>
      </c>
      <c r="J171" s="125">
        <f t="shared" si="47"/>
        <v>0</v>
      </c>
      <c r="K171" s="125">
        <f t="shared" si="47"/>
        <v>0</v>
      </c>
      <c r="L171" s="125">
        <f t="shared" si="47"/>
        <v>0</v>
      </c>
      <c r="M171" s="125">
        <f t="shared" si="47"/>
        <v>0</v>
      </c>
      <c r="N171" s="125">
        <f t="shared" si="47"/>
        <v>0</v>
      </c>
      <c r="O171" s="125">
        <f t="shared" si="47"/>
        <v>0</v>
      </c>
      <c r="P171" s="125">
        <f t="shared" si="47"/>
        <v>0</v>
      </c>
      <c r="Q171" s="125">
        <f t="shared" si="47"/>
        <v>0</v>
      </c>
      <c r="R171" s="125">
        <f t="shared" si="47"/>
        <v>0</v>
      </c>
      <c r="S171" s="125">
        <f t="shared" si="47"/>
        <v>0</v>
      </c>
      <c r="T171" s="125">
        <f t="shared" si="47"/>
        <v>0</v>
      </c>
      <c r="U171" s="125">
        <f t="shared" si="47"/>
        <v>0</v>
      </c>
      <c r="V171" s="125">
        <f t="shared" si="47"/>
        <v>0</v>
      </c>
      <c r="W171" s="125">
        <f t="shared" si="47"/>
        <v>0</v>
      </c>
      <c r="X171" s="125">
        <f t="shared" si="47"/>
        <v>0</v>
      </c>
      <c r="Y171" s="125">
        <f t="shared" si="47"/>
        <v>0</v>
      </c>
      <c r="Z171" s="125">
        <f t="shared" si="47"/>
        <v>0</v>
      </c>
      <c r="AA171" s="125">
        <f t="shared" si="47"/>
        <v>0</v>
      </c>
      <c r="AB171" s="125">
        <f t="shared" si="47"/>
        <v>0</v>
      </c>
      <c r="AC171" s="125">
        <f t="shared" si="47"/>
        <v>0</v>
      </c>
      <c r="AD171" s="125">
        <f t="shared" si="47"/>
        <v>0</v>
      </c>
      <c r="AE171" s="125">
        <f t="shared" si="47"/>
        <v>0</v>
      </c>
      <c r="AF171" s="125">
        <f t="shared" si="47"/>
        <v>0</v>
      </c>
      <c r="AG171" s="125">
        <f t="shared" si="47"/>
        <v>0</v>
      </c>
      <c r="AH171" s="125">
        <f t="shared" si="47"/>
        <v>0</v>
      </c>
      <c r="AI171" s="125">
        <f t="shared" si="47"/>
        <v>0</v>
      </c>
      <c r="AJ171" s="45" t="str">
        <f t="shared" si="33"/>
        <v/>
      </c>
      <c r="AK171" s="58"/>
      <c r="AL171" s="58" t="str">
        <f t="shared" si="36"/>
        <v>00</v>
      </c>
      <c r="AM171" s="60" t="str">
        <f t="shared" si="37"/>
        <v>00</v>
      </c>
      <c r="AN171" s="60" t="str">
        <f t="shared" si="38"/>
        <v>00</v>
      </c>
      <c r="AO171" s="60" t="str">
        <f t="shared" si="39"/>
        <v>00</v>
      </c>
      <c r="AQ171" t="str">
        <f t="shared" si="34"/>
        <v/>
      </c>
    </row>
    <row r="172" spans="2:43">
      <c r="B172" s="132"/>
      <c r="C172" s="45">
        <f t="shared" si="35"/>
        <v>36</v>
      </c>
      <c r="D172" s="125">
        <f t="shared" si="47"/>
        <v>0</v>
      </c>
      <c r="E172" s="125">
        <f t="shared" si="47"/>
        <v>0</v>
      </c>
      <c r="F172" s="125">
        <f t="shared" si="47"/>
        <v>0</v>
      </c>
      <c r="G172" s="125">
        <f t="shared" si="47"/>
        <v>0</v>
      </c>
      <c r="H172" s="125">
        <f t="shared" si="47"/>
        <v>0</v>
      </c>
      <c r="I172" s="125">
        <f t="shared" si="47"/>
        <v>0</v>
      </c>
      <c r="J172" s="125">
        <f t="shared" si="47"/>
        <v>0</v>
      </c>
      <c r="K172" s="125">
        <f t="shared" si="47"/>
        <v>0</v>
      </c>
      <c r="L172" s="125">
        <f t="shared" si="47"/>
        <v>0</v>
      </c>
      <c r="M172" s="125">
        <f t="shared" si="47"/>
        <v>0</v>
      </c>
      <c r="N172" s="125">
        <f t="shared" si="47"/>
        <v>0</v>
      </c>
      <c r="O172" s="125">
        <f t="shared" si="47"/>
        <v>0</v>
      </c>
      <c r="P172" s="125">
        <f t="shared" si="47"/>
        <v>0</v>
      </c>
      <c r="Q172" s="125">
        <f t="shared" si="47"/>
        <v>0</v>
      </c>
      <c r="R172" s="125">
        <f t="shared" si="47"/>
        <v>0</v>
      </c>
      <c r="S172" s="125">
        <f t="shared" si="47"/>
        <v>0</v>
      </c>
      <c r="T172" s="125">
        <f t="shared" si="47"/>
        <v>0</v>
      </c>
      <c r="U172" s="125">
        <f t="shared" si="47"/>
        <v>0</v>
      </c>
      <c r="V172" s="125">
        <f t="shared" si="47"/>
        <v>0</v>
      </c>
      <c r="W172" s="125">
        <f t="shared" si="47"/>
        <v>0</v>
      </c>
      <c r="X172" s="125">
        <f t="shared" si="47"/>
        <v>0</v>
      </c>
      <c r="Y172" s="125">
        <f t="shared" si="47"/>
        <v>0</v>
      </c>
      <c r="Z172" s="125">
        <f t="shared" si="47"/>
        <v>0</v>
      </c>
      <c r="AA172" s="125">
        <f t="shared" si="47"/>
        <v>0</v>
      </c>
      <c r="AB172" s="125">
        <f t="shared" si="47"/>
        <v>0</v>
      </c>
      <c r="AC172" s="125">
        <f t="shared" si="47"/>
        <v>0</v>
      </c>
      <c r="AD172" s="125">
        <f t="shared" si="47"/>
        <v>0</v>
      </c>
      <c r="AE172" s="125">
        <f t="shared" si="47"/>
        <v>0</v>
      </c>
      <c r="AF172" s="125">
        <f t="shared" si="47"/>
        <v>0</v>
      </c>
      <c r="AG172" s="125">
        <f t="shared" si="47"/>
        <v>0</v>
      </c>
      <c r="AH172" s="125">
        <f t="shared" si="47"/>
        <v>0</v>
      </c>
      <c r="AI172" s="125">
        <f t="shared" si="47"/>
        <v>0</v>
      </c>
      <c r="AJ172" s="45" t="str">
        <f t="shared" si="33"/>
        <v/>
      </c>
      <c r="AK172" s="58"/>
      <c r="AL172" s="58" t="str">
        <f t="shared" si="36"/>
        <v>00</v>
      </c>
      <c r="AM172" s="60" t="str">
        <f t="shared" si="37"/>
        <v>00</v>
      </c>
      <c r="AN172" s="60" t="str">
        <f t="shared" si="38"/>
        <v>00</v>
      </c>
      <c r="AO172" s="60" t="str">
        <f t="shared" si="39"/>
        <v>00</v>
      </c>
      <c r="AQ172" t="str">
        <f t="shared" si="34"/>
        <v/>
      </c>
    </row>
    <row r="173" spans="2:43">
      <c r="B173" s="132"/>
      <c r="C173" s="45">
        <f t="shared" si="35"/>
        <v>37</v>
      </c>
      <c r="D173" s="125">
        <f t="shared" si="47"/>
        <v>0</v>
      </c>
      <c r="E173" s="125">
        <f t="shared" si="47"/>
        <v>0</v>
      </c>
      <c r="F173" s="125">
        <f t="shared" si="47"/>
        <v>0</v>
      </c>
      <c r="G173" s="125">
        <f t="shared" si="47"/>
        <v>0</v>
      </c>
      <c r="H173" s="125">
        <f t="shared" si="47"/>
        <v>0</v>
      </c>
      <c r="I173" s="125">
        <f t="shared" si="47"/>
        <v>0</v>
      </c>
      <c r="J173" s="125">
        <f t="shared" si="47"/>
        <v>0</v>
      </c>
      <c r="K173" s="125">
        <f t="shared" si="47"/>
        <v>0</v>
      </c>
      <c r="L173" s="125">
        <f t="shared" si="47"/>
        <v>0</v>
      </c>
      <c r="M173" s="125">
        <f t="shared" si="47"/>
        <v>0</v>
      </c>
      <c r="N173" s="125">
        <f t="shared" si="47"/>
        <v>0</v>
      </c>
      <c r="O173" s="125">
        <f t="shared" si="47"/>
        <v>0</v>
      </c>
      <c r="P173" s="125">
        <f t="shared" si="47"/>
        <v>0</v>
      </c>
      <c r="Q173" s="125">
        <f t="shared" si="47"/>
        <v>0</v>
      </c>
      <c r="R173" s="125">
        <f t="shared" si="47"/>
        <v>0</v>
      </c>
      <c r="S173" s="125">
        <f t="shared" si="47"/>
        <v>0</v>
      </c>
      <c r="T173" s="125">
        <f t="shared" si="47"/>
        <v>0</v>
      </c>
      <c r="U173" s="125">
        <f t="shared" si="47"/>
        <v>0</v>
      </c>
      <c r="V173" s="125">
        <f t="shared" si="47"/>
        <v>0</v>
      </c>
      <c r="W173" s="125">
        <f t="shared" si="47"/>
        <v>0</v>
      </c>
      <c r="X173" s="125">
        <f t="shared" si="47"/>
        <v>0</v>
      </c>
      <c r="Y173" s="125">
        <f t="shared" si="47"/>
        <v>0</v>
      </c>
      <c r="Z173" s="125">
        <f t="shared" si="47"/>
        <v>0</v>
      </c>
      <c r="AA173" s="125">
        <f t="shared" si="47"/>
        <v>0</v>
      </c>
      <c r="AB173" s="125">
        <f t="shared" si="47"/>
        <v>0</v>
      </c>
      <c r="AC173" s="125">
        <f t="shared" si="47"/>
        <v>0</v>
      </c>
      <c r="AD173" s="125">
        <f t="shared" si="47"/>
        <v>0</v>
      </c>
      <c r="AE173" s="125">
        <f t="shared" si="47"/>
        <v>0</v>
      </c>
      <c r="AF173" s="125">
        <f t="shared" si="47"/>
        <v>0</v>
      </c>
      <c r="AG173" s="125">
        <f t="shared" si="47"/>
        <v>0</v>
      </c>
      <c r="AH173" s="125">
        <f t="shared" si="47"/>
        <v>0</v>
      </c>
      <c r="AI173" s="125">
        <f t="shared" si="47"/>
        <v>0</v>
      </c>
      <c r="AJ173" s="45" t="str">
        <f t="shared" si="33"/>
        <v/>
      </c>
      <c r="AK173" s="58"/>
      <c r="AL173" s="58" t="str">
        <f t="shared" si="36"/>
        <v>00</v>
      </c>
      <c r="AM173" s="60" t="str">
        <f t="shared" si="37"/>
        <v>00</v>
      </c>
      <c r="AN173" s="60" t="str">
        <f t="shared" si="38"/>
        <v>00</v>
      </c>
      <c r="AO173" s="60" t="str">
        <f t="shared" si="39"/>
        <v>00</v>
      </c>
      <c r="AQ173" t="str">
        <f t="shared" si="34"/>
        <v/>
      </c>
    </row>
    <row r="174" spans="2:43">
      <c r="B174" s="132"/>
      <c r="C174" s="45">
        <f t="shared" si="35"/>
        <v>38</v>
      </c>
      <c r="D174" s="125">
        <f t="shared" si="47"/>
        <v>0</v>
      </c>
      <c r="E174" s="125">
        <f t="shared" si="47"/>
        <v>0</v>
      </c>
      <c r="F174" s="125">
        <f t="shared" si="47"/>
        <v>0</v>
      </c>
      <c r="G174" s="125">
        <f t="shared" si="47"/>
        <v>0</v>
      </c>
      <c r="H174" s="125">
        <f t="shared" si="47"/>
        <v>0</v>
      </c>
      <c r="I174" s="125">
        <f t="shared" si="47"/>
        <v>0</v>
      </c>
      <c r="J174" s="125">
        <f t="shared" si="47"/>
        <v>0</v>
      </c>
      <c r="K174" s="125">
        <f t="shared" si="47"/>
        <v>0</v>
      </c>
      <c r="L174" s="125">
        <f t="shared" si="47"/>
        <v>0</v>
      </c>
      <c r="M174" s="125">
        <f t="shared" si="47"/>
        <v>0</v>
      </c>
      <c r="N174" s="125">
        <f t="shared" si="47"/>
        <v>0</v>
      </c>
      <c r="O174" s="125">
        <f t="shared" si="47"/>
        <v>0</v>
      </c>
      <c r="P174" s="125">
        <f t="shared" si="47"/>
        <v>0</v>
      </c>
      <c r="Q174" s="125">
        <f t="shared" si="47"/>
        <v>0</v>
      </c>
      <c r="R174" s="125">
        <f t="shared" si="47"/>
        <v>0</v>
      </c>
      <c r="S174" s="125">
        <f t="shared" si="47"/>
        <v>0</v>
      </c>
      <c r="T174" s="125">
        <f t="shared" si="47"/>
        <v>0</v>
      </c>
      <c r="U174" s="125">
        <f t="shared" si="47"/>
        <v>0</v>
      </c>
      <c r="V174" s="125">
        <f t="shared" si="47"/>
        <v>0</v>
      </c>
      <c r="W174" s="125">
        <f t="shared" si="47"/>
        <v>0</v>
      </c>
      <c r="X174" s="125">
        <f t="shared" si="47"/>
        <v>0</v>
      </c>
      <c r="Y174" s="125">
        <f t="shared" si="47"/>
        <v>0</v>
      </c>
      <c r="Z174" s="125">
        <f t="shared" si="47"/>
        <v>0</v>
      </c>
      <c r="AA174" s="125">
        <f t="shared" si="47"/>
        <v>0</v>
      </c>
      <c r="AB174" s="125">
        <f t="shared" si="47"/>
        <v>0</v>
      </c>
      <c r="AC174" s="125">
        <f t="shared" si="47"/>
        <v>0</v>
      </c>
      <c r="AD174" s="125">
        <f t="shared" si="47"/>
        <v>0</v>
      </c>
      <c r="AE174" s="125">
        <f t="shared" si="47"/>
        <v>0</v>
      </c>
      <c r="AF174" s="125">
        <f t="shared" si="47"/>
        <v>0</v>
      </c>
      <c r="AG174" s="125">
        <f t="shared" si="47"/>
        <v>0</v>
      </c>
      <c r="AH174" s="125">
        <f t="shared" si="47"/>
        <v>0</v>
      </c>
      <c r="AI174" s="125">
        <f t="shared" si="47"/>
        <v>0</v>
      </c>
      <c r="AJ174" s="45" t="str">
        <f t="shared" si="33"/>
        <v/>
      </c>
      <c r="AK174" s="58"/>
      <c r="AL174" s="58" t="str">
        <f t="shared" si="36"/>
        <v>00</v>
      </c>
      <c r="AM174" s="60" t="str">
        <f t="shared" si="37"/>
        <v>00</v>
      </c>
      <c r="AN174" s="60" t="str">
        <f t="shared" si="38"/>
        <v>00</v>
      </c>
      <c r="AO174" s="60" t="str">
        <f t="shared" si="39"/>
        <v>00</v>
      </c>
      <c r="AQ174" t="str">
        <f t="shared" si="34"/>
        <v/>
      </c>
    </row>
    <row r="175" spans="2:43">
      <c r="B175" s="132"/>
      <c r="C175" s="45">
        <f t="shared" si="35"/>
        <v>39</v>
      </c>
      <c r="D175" s="125">
        <f t="shared" si="47"/>
        <v>0</v>
      </c>
      <c r="E175" s="125">
        <f t="shared" si="47"/>
        <v>0</v>
      </c>
      <c r="F175" s="125">
        <f t="shared" si="47"/>
        <v>0</v>
      </c>
      <c r="G175" s="125">
        <f t="shared" si="47"/>
        <v>0</v>
      </c>
      <c r="H175" s="125">
        <f t="shared" si="47"/>
        <v>0</v>
      </c>
      <c r="I175" s="125">
        <f t="shared" si="47"/>
        <v>0</v>
      </c>
      <c r="J175" s="125">
        <f t="shared" si="47"/>
        <v>0</v>
      </c>
      <c r="K175" s="125">
        <f t="shared" si="47"/>
        <v>0</v>
      </c>
      <c r="L175" s="125">
        <f t="shared" si="47"/>
        <v>0</v>
      </c>
      <c r="M175" s="125">
        <f t="shared" si="47"/>
        <v>0</v>
      </c>
      <c r="N175" s="125">
        <f t="shared" si="47"/>
        <v>0</v>
      </c>
      <c r="O175" s="125">
        <f t="shared" si="47"/>
        <v>0</v>
      </c>
      <c r="P175" s="125">
        <f t="shared" si="47"/>
        <v>0</v>
      </c>
      <c r="Q175" s="125">
        <f t="shared" si="47"/>
        <v>0</v>
      </c>
      <c r="R175" s="125">
        <f t="shared" si="47"/>
        <v>0</v>
      </c>
      <c r="S175" s="125">
        <f t="shared" si="47"/>
        <v>0</v>
      </c>
      <c r="T175" s="125">
        <f t="shared" si="47"/>
        <v>0</v>
      </c>
      <c r="U175" s="125">
        <f t="shared" si="47"/>
        <v>0</v>
      </c>
      <c r="V175" s="125">
        <f t="shared" si="47"/>
        <v>0</v>
      </c>
      <c r="W175" s="125">
        <f t="shared" si="47"/>
        <v>0</v>
      </c>
      <c r="X175" s="125">
        <f t="shared" si="47"/>
        <v>0</v>
      </c>
      <c r="Y175" s="125">
        <f t="shared" si="47"/>
        <v>0</v>
      </c>
      <c r="Z175" s="125">
        <f t="shared" si="47"/>
        <v>0</v>
      </c>
      <c r="AA175" s="125">
        <f t="shared" si="47"/>
        <v>0</v>
      </c>
      <c r="AB175" s="125">
        <f t="shared" si="47"/>
        <v>0</v>
      </c>
      <c r="AC175" s="125">
        <f t="shared" si="47"/>
        <v>0</v>
      </c>
      <c r="AD175" s="125">
        <f t="shared" si="47"/>
        <v>0</v>
      </c>
      <c r="AE175" s="125">
        <f t="shared" si="47"/>
        <v>0</v>
      </c>
      <c r="AF175" s="125">
        <f t="shared" si="47"/>
        <v>0</v>
      </c>
      <c r="AG175" s="125">
        <f t="shared" si="47"/>
        <v>0</v>
      </c>
      <c r="AH175" s="125">
        <f t="shared" si="47"/>
        <v>0</v>
      </c>
      <c r="AI175" s="125">
        <f t="shared" ref="AI175" si="48">IF(OR(AI45=0,AI45=1),1,0)</f>
        <v>0</v>
      </c>
      <c r="AJ175" s="45" t="str">
        <f t="shared" si="33"/>
        <v/>
      </c>
      <c r="AK175" s="58"/>
      <c r="AL175" s="58" t="str">
        <f t="shared" si="36"/>
        <v>00</v>
      </c>
      <c r="AM175" s="60" t="str">
        <f t="shared" si="37"/>
        <v>00</v>
      </c>
      <c r="AN175" s="60" t="str">
        <f t="shared" si="38"/>
        <v>00</v>
      </c>
      <c r="AO175" s="60" t="str">
        <f t="shared" si="39"/>
        <v>00</v>
      </c>
      <c r="AQ175" t="str">
        <f t="shared" si="34"/>
        <v/>
      </c>
    </row>
    <row r="176" spans="2:43">
      <c r="B176" s="132"/>
      <c r="C176" s="45">
        <f t="shared" si="35"/>
        <v>40</v>
      </c>
      <c r="D176" s="125">
        <f t="shared" ref="D176:AI183" si="49">IF(OR(D46=0,D46=1),1,0)</f>
        <v>0</v>
      </c>
      <c r="E176" s="125">
        <f t="shared" si="49"/>
        <v>0</v>
      </c>
      <c r="F176" s="125">
        <f t="shared" si="49"/>
        <v>0</v>
      </c>
      <c r="G176" s="125">
        <f t="shared" si="49"/>
        <v>0</v>
      </c>
      <c r="H176" s="125">
        <f t="shared" si="49"/>
        <v>0</v>
      </c>
      <c r="I176" s="125">
        <f t="shared" si="49"/>
        <v>0</v>
      </c>
      <c r="J176" s="125">
        <f t="shared" si="49"/>
        <v>0</v>
      </c>
      <c r="K176" s="125">
        <f t="shared" si="49"/>
        <v>0</v>
      </c>
      <c r="L176" s="125">
        <f t="shared" si="49"/>
        <v>0</v>
      </c>
      <c r="M176" s="125">
        <f t="shared" si="49"/>
        <v>0</v>
      </c>
      <c r="N176" s="125">
        <f t="shared" si="49"/>
        <v>0</v>
      </c>
      <c r="O176" s="125">
        <f t="shared" si="49"/>
        <v>0</v>
      </c>
      <c r="P176" s="125">
        <f t="shared" si="49"/>
        <v>0</v>
      </c>
      <c r="Q176" s="125">
        <f t="shared" si="49"/>
        <v>0</v>
      </c>
      <c r="R176" s="125">
        <f t="shared" si="49"/>
        <v>0</v>
      </c>
      <c r="S176" s="125">
        <f t="shared" si="49"/>
        <v>0</v>
      </c>
      <c r="T176" s="125">
        <f t="shared" si="49"/>
        <v>0</v>
      </c>
      <c r="U176" s="125">
        <f t="shared" si="49"/>
        <v>0</v>
      </c>
      <c r="V176" s="125">
        <f t="shared" si="49"/>
        <v>0</v>
      </c>
      <c r="W176" s="125">
        <f t="shared" si="49"/>
        <v>0</v>
      </c>
      <c r="X176" s="125">
        <f t="shared" si="49"/>
        <v>0</v>
      </c>
      <c r="Y176" s="125">
        <f t="shared" si="49"/>
        <v>0</v>
      </c>
      <c r="Z176" s="125">
        <f t="shared" si="49"/>
        <v>0</v>
      </c>
      <c r="AA176" s="125">
        <f t="shared" si="49"/>
        <v>0</v>
      </c>
      <c r="AB176" s="125">
        <f t="shared" si="49"/>
        <v>0</v>
      </c>
      <c r="AC176" s="125">
        <f t="shared" si="49"/>
        <v>0</v>
      </c>
      <c r="AD176" s="125">
        <f t="shared" si="49"/>
        <v>0</v>
      </c>
      <c r="AE176" s="125">
        <f t="shared" si="49"/>
        <v>0</v>
      </c>
      <c r="AF176" s="125">
        <f t="shared" si="49"/>
        <v>0</v>
      </c>
      <c r="AG176" s="125">
        <f t="shared" si="49"/>
        <v>0</v>
      </c>
      <c r="AH176" s="125">
        <f t="shared" si="49"/>
        <v>0</v>
      </c>
      <c r="AI176" s="125">
        <f t="shared" si="49"/>
        <v>0</v>
      </c>
      <c r="AJ176" s="45" t="str">
        <f t="shared" si="33"/>
        <v/>
      </c>
      <c r="AK176" s="58"/>
      <c r="AL176" s="58" t="str">
        <f t="shared" si="36"/>
        <v>00</v>
      </c>
      <c r="AM176" s="60" t="str">
        <f t="shared" si="37"/>
        <v>00</v>
      </c>
      <c r="AN176" s="60" t="str">
        <f t="shared" si="38"/>
        <v>00</v>
      </c>
      <c r="AO176" s="60" t="str">
        <f t="shared" si="39"/>
        <v>00</v>
      </c>
      <c r="AQ176" t="str">
        <f t="shared" si="34"/>
        <v/>
      </c>
    </row>
    <row r="177" spans="2:43">
      <c r="B177" s="132"/>
      <c r="C177" s="45">
        <f t="shared" si="35"/>
        <v>41</v>
      </c>
      <c r="D177" s="125">
        <f t="shared" si="49"/>
        <v>0</v>
      </c>
      <c r="E177" s="125">
        <f t="shared" si="49"/>
        <v>0</v>
      </c>
      <c r="F177" s="125">
        <f t="shared" si="49"/>
        <v>0</v>
      </c>
      <c r="G177" s="125">
        <f t="shared" si="49"/>
        <v>0</v>
      </c>
      <c r="H177" s="125">
        <f t="shared" si="49"/>
        <v>0</v>
      </c>
      <c r="I177" s="125">
        <f t="shared" si="49"/>
        <v>0</v>
      </c>
      <c r="J177" s="125">
        <f t="shared" si="49"/>
        <v>0</v>
      </c>
      <c r="K177" s="125">
        <f t="shared" si="49"/>
        <v>0</v>
      </c>
      <c r="L177" s="125">
        <f t="shared" si="49"/>
        <v>0</v>
      </c>
      <c r="M177" s="125">
        <f t="shared" si="49"/>
        <v>0</v>
      </c>
      <c r="N177" s="125">
        <f t="shared" si="49"/>
        <v>0</v>
      </c>
      <c r="O177" s="125">
        <f t="shared" si="49"/>
        <v>0</v>
      </c>
      <c r="P177" s="125">
        <f t="shared" si="49"/>
        <v>0</v>
      </c>
      <c r="Q177" s="125">
        <f t="shared" si="49"/>
        <v>0</v>
      </c>
      <c r="R177" s="125">
        <f t="shared" si="49"/>
        <v>0</v>
      </c>
      <c r="S177" s="125">
        <f t="shared" si="49"/>
        <v>0</v>
      </c>
      <c r="T177" s="125">
        <f t="shared" si="49"/>
        <v>0</v>
      </c>
      <c r="U177" s="125">
        <f t="shared" si="49"/>
        <v>0</v>
      </c>
      <c r="V177" s="125">
        <f t="shared" si="49"/>
        <v>0</v>
      </c>
      <c r="W177" s="125">
        <f t="shared" si="49"/>
        <v>0</v>
      </c>
      <c r="X177" s="125">
        <f t="shared" si="49"/>
        <v>0</v>
      </c>
      <c r="Y177" s="125">
        <f t="shared" si="49"/>
        <v>0</v>
      </c>
      <c r="Z177" s="125">
        <f t="shared" si="49"/>
        <v>0</v>
      </c>
      <c r="AA177" s="125">
        <f t="shared" si="49"/>
        <v>0</v>
      </c>
      <c r="AB177" s="125">
        <f t="shared" si="49"/>
        <v>0</v>
      </c>
      <c r="AC177" s="125">
        <f t="shared" si="49"/>
        <v>0</v>
      </c>
      <c r="AD177" s="125">
        <f t="shared" si="49"/>
        <v>0</v>
      </c>
      <c r="AE177" s="125">
        <f t="shared" si="49"/>
        <v>0</v>
      </c>
      <c r="AF177" s="125">
        <f t="shared" si="49"/>
        <v>0</v>
      </c>
      <c r="AG177" s="125">
        <f t="shared" si="49"/>
        <v>0</v>
      </c>
      <c r="AH177" s="125">
        <f t="shared" si="49"/>
        <v>0</v>
      </c>
      <c r="AI177" s="125">
        <f t="shared" si="49"/>
        <v>0</v>
      </c>
      <c r="AJ177" s="45" t="str">
        <f t="shared" si="33"/>
        <v/>
      </c>
      <c r="AK177" s="58"/>
      <c r="AL177" s="58" t="str">
        <f t="shared" si="36"/>
        <v>00</v>
      </c>
      <c r="AM177" s="60" t="str">
        <f t="shared" si="37"/>
        <v>00</v>
      </c>
      <c r="AN177" s="60" t="str">
        <f t="shared" si="38"/>
        <v>00</v>
      </c>
      <c r="AO177" s="60" t="str">
        <f t="shared" si="39"/>
        <v>00</v>
      </c>
      <c r="AQ177" t="str">
        <f t="shared" si="34"/>
        <v/>
      </c>
    </row>
    <row r="178" spans="2:43">
      <c r="B178" s="132"/>
      <c r="C178" s="45">
        <f t="shared" si="35"/>
        <v>42</v>
      </c>
      <c r="D178" s="125">
        <f t="shared" si="49"/>
        <v>0</v>
      </c>
      <c r="E178" s="125">
        <f t="shared" si="49"/>
        <v>0</v>
      </c>
      <c r="F178" s="125">
        <f t="shared" si="49"/>
        <v>0</v>
      </c>
      <c r="G178" s="125">
        <f t="shared" si="49"/>
        <v>0</v>
      </c>
      <c r="H178" s="125">
        <f t="shared" si="49"/>
        <v>0</v>
      </c>
      <c r="I178" s="125">
        <f t="shared" si="49"/>
        <v>0</v>
      </c>
      <c r="J178" s="125">
        <f t="shared" si="49"/>
        <v>0</v>
      </c>
      <c r="K178" s="125">
        <f t="shared" si="49"/>
        <v>0</v>
      </c>
      <c r="L178" s="125">
        <f t="shared" si="49"/>
        <v>0</v>
      </c>
      <c r="M178" s="125">
        <f t="shared" si="49"/>
        <v>0</v>
      </c>
      <c r="N178" s="125">
        <f t="shared" si="49"/>
        <v>0</v>
      </c>
      <c r="O178" s="125">
        <f t="shared" si="49"/>
        <v>0</v>
      </c>
      <c r="P178" s="125">
        <f t="shared" si="49"/>
        <v>0</v>
      </c>
      <c r="Q178" s="125">
        <f t="shared" si="49"/>
        <v>0</v>
      </c>
      <c r="R178" s="125">
        <f t="shared" si="49"/>
        <v>0</v>
      </c>
      <c r="S178" s="125">
        <f t="shared" si="49"/>
        <v>0</v>
      </c>
      <c r="T178" s="125">
        <f t="shared" si="49"/>
        <v>0</v>
      </c>
      <c r="U178" s="125">
        <f t="shared" si="49"/>
        <v>0</v>
      </c>
      <c r="V178" s="125">
        <f t="shared" si="49"/>
        <v>0</v>
      </c>
      <c r="W178" s="125">
        <f t="shared" si="49"/>
        <v>0</v>
      </c>
      <c r="X178" s="125">
        <f t="shared" si="49"/>
        <v>0</v>
      </c>
      <c r="Y178" s="125">
        <f t="shared" si="49"/>
        <v>0</v>
      </c>
      <c r="Z178" s="125">
        <f t="shared" si="49"/>
        <v>0</v>
      </c>
      <c r="AA178" s="125">
        <f t="shared" si="49"/>
        <v>0</v>
      </c>
      <c r="AB178" s="125">
        <f t="shared" si="49"/>
        <v>0</v>
      </c>
      <c r="AC178" s="125">
        <f t="shared" si="49"/>
        <v>0</v>
      </c>
      <c r="AD178" s="125">
        <f t="shared" si="49"/>
        <v>0</v>
      </c>
      <c r="AE178" s="125">
        <f t="shared" si="49"/>
        <v>0</v>
      </c>
      <c r="AF178" s="125">
        <f t="shared" si="49"/>
        <v>0</v>
      </c>
      <c r="AG178" s="125">
        <f t="shared" si="49"/>
        <v>0</v>
      </c>
      <c r="AH178" s="125">
        <f t="shared" si="49"/>
        <v>0</v>
      </c>
      <c r="AI178" s="125">
        <f t="shared" si="49"/>
        <v>0</v>
      </c>
      <c r="AJ178" s="45" t="str">
        <f t="shared" si="33"/>
        <v/>
      </c>
      <c r="AK178" s="58"/>
      <c r="AL178" s="58" t="str">
        <f t="shared" si="36"/>
        <v>00</v>
      </c>
      <c r="AM178" s="60" t="str">
        <f t="shared" si="37"/>
        <v>00</v>
      </c>
      <c r="AN178" s="60" t="str">
        <f t="shared" si="38"/>
        <v>00</v>
      </c>
      <c r="AO178" s="60" t="str">
        <f t="shared" si="39"/>
        <v>00</v>
      </c>
      <c r="AQ178" t="str">
        <f t="shared" si="34"/>
        <v/>
      </c>
    </row>
    <row r="179" spans="2:43">
      <c r="B179" s="132"/>
      <c r="C179" s="45">
        <f t="shared" si="35"/>
        <v>43</v>
      </c>
      <c r="D179" s="125">
        <f t="shared" si="49"/>
        <v>0</v>
      </c>
      <c r="E179" s="125">
        <f t="shared" si="49"/>
        <v>0</v>
      </c>
      <c r="F179" s="125">
        <f t="shared" si="49"/>
        <v>0</v>
      </c>
      <c r="G179" s="125">
        <f t="shared" si="49"/>
        <v>0</v>
      </c>
      <c r="H179" s="125">
        <f t="shared" si="49"/>
        <v>0</v>
      </c>
      <c r="I179" s="125">
        <f t="shared" si="49"/>
        <v>0</v>
      </c>
      <c r="J179" s="125">
        <f t="shared" si="49"/>
        <v>0</v>
      </c>
      <c r="K179" s="125">
        <f t="shared" si="49"/>
        <v>0</v>
      </c>
      <c r="L179" s="125">
        <f t="shared" si="49"/>
        <v>0</v>
      </c>
      <c r="M179" s="125">
        <f t="shared" si="49"/>
        <v>0</v>
      </c>
      <c r="N179" s="125">
        <f t="shared" si="49"/>
        <v>0</v>
      </c>
      <c r="O179" s="125">
        <f t="shared" si="49"/>
        <v>0</v>
      </c>
      <c r="P179" s="125">
        <f t="shared" si="49"/>
        <v>0</v>
      </c>
      <c r="Q179" s="125">
        <f t="shared" si="49"/>
        <v>0</v>
      </c>
      <c r="R179" s="125">
        <f t="shared" si="49"/>
        <v>0</v>
      </c>
      <c r="S179" s="125">
        <f t="shared" si="49"/>
        <v>0</v>
      </c>
      <c r="T179" s="125">
        <f t="shared" si="49"/>
        <v>0</v>
      </c>
      <c r="U179" s="125">
        <f t="shared" si="49"/>
        <v>0</v>
      </c>
      <c r="V179" s="125">
        <f t="shared" si="49"/>
        <v>0</v>
      </c>
      <c r="W179" s="125">
        <f t="shared" si="49"/>
        <v>0</v>
      </c>
      <c r="X179" s="125">
        <f t="shared" si="49"/>
        <v>0</v>
      </c>
      <c r="Y179" s="125">
        <f t="shared" si="49"/>
        <v>0</v>
      </c>
      <c r="Z179" s="125">
        <f t="shared" si="49"/>
        <v>0</v>
      </c>
      <c r="AA179" s="125">
        <f t="shared" si="49"/>
        <v>0</v>
      </c>
      <c r="AB179" s="125">
        <f t="shared" si="49"/>
        <v>0</v>
      </c>
      <c r="AC179" s="125">
        <f t="shared" si="49"/>
        <v>0</v>
      </c>
      <c r="AD179" s="125">
        <f t="shared" si="49"/>
        <v>0</v>
      </c>
      <c r="AE179" s="125">
        <f t="shared" si="49"/>
        <v>0</v>
      </c>
      <c r="AF179" s="125">
        <f t="shared" si="49"/>
        <v>0</v>
      </c>
      <c r="AG179" s="125">
        <f t="shared" si="49"/>
        <v>0</v>
      </c>
      <c r="AH179" s="125">
        <f t="shared" si="49"/>
        <v>0</v>
      </c>
      <c r="AI179" s="125">
        <f t="shared" si="49"/>
        <v>0</v>
      </c>
      <c r="AJ179" s="45" t="str">
        <f t="shared" si="33"/>
        <v/>
      </c>
      <c r="AK179" s="58"/>
      <c r="AL179" s="58" t="str">
        <f t="shared" si="36"/>
        <v>00</v>
      </c>
      <c r="AM179" s="60" t="str">
        <f t="shared" si="37"/>
        <v>00</v>
      </c>
      <c r="AN179" s="60" t="str">
        <f t="shared" si="38"/>
        <v>00</v>
      </c>
      <c r="AO179" s="60" t="str">
        <f t="shared" si="39"/>
        <v>00</v>
      </c>
      <c r="AQ179" t="str">
        <f t="shared" si="34"/>
        <v/>
      </c>
    </row>
    <row r="180" spans="2:43">
      <c r="B180" s="132"/>
      <c r="C180" s="45">
        <f t="shared" si="35"/>
        <v>44</v>
      </c>
      <c r="D180" s="125">
        <f t="shared" si="49"/>
        <v>0</v>
      </c>
      <c r="E180" s="125">
        <f t="shared" si="49"/>
        <v>0</v>
      </c>
      <c r="F180" s="125">
        <f t="shared" si="49"/>
        <v>0</v>
      </c>
      <c r="G180" s="125">
        <f t="shared" si="49"/>
        <v>0</v>
      </c>
      <c r="H180" s="125">
        <f t="shared" si="49"/>
        <v>0</v>
      </c>
      <c r="I180" s="125">
        <f t="shared" si="49"/>
        <v>0</v>
      </c>
      <c r="J180" s="125">
        <f t="shared" si="49"/>
        <v>0</v>
      </c>
      <c r="K180" s="125">
        <f t="shared" si="49"/>
        <v>0</v>
      </c>
      <c r="L180" s="125">
        <f t="shared" si="49"/>
        <v>0</v>
      </c>
      <c r="M180" s="125">
        <f t="shared" si="49"/>
        <v>0</v>
      </c>
      <c r="N180" s="125">
        <f t="shared" si="49"/>
        <v>0</v>
      </c>
      <c r="O180" s="125">
        <f t="shared" si="49"/>
        <v>0</v>
      </c>
      <c r="P180" s="125">
        <f t="shared" si="49"/>
        <v>0</v>
      </c>
      <c r="Q180" s="125">
        <f t="shared" si="49"/>
        <v>0</v>
      </c>
      <c r="R180" s="125">
        <f t="shared" si="49"/>
        <v>0</v>
      </c>
      <c r="S180" s="125">
        <f t="shared" si="49"/>
        <v>0</v>
      </c>
      <c r="T180" s="125">
        <f t="shared" si="49"/>
        <v>0</v>
      </c>
      <c r="U180" s="125">
        <f t="shared" si="49"/>
        <v>0</v>
      </c>
      <c r="V180" s="125">
        <f t="shared" si="49"/>
        <v>0</v>
      </c>
      <c r="W180" s="125">
        <f t="shared" si="49"/>
        <v>0</v>
      </c>
      <c r="X180" s="125">
        <f t="shared" si="49"/>
        <v>0</v>
      </c>
      <c r="Y180" s="125">
        <f t="shared" si="49"/>
        <v>0</v>
      </c>
      <c r="Z180" s="125">
        <f t="shared" si="49"/>
        <v>0</v>
      </c>
      <c r="AA180" s="125">
        <f t="shared" si="49"/>
        <v>0</v>
      </c>
      <c r="AB180" s="125">
        <f t="shared" si="49"/>
        <v>0</v>
      </c>
      <c r="AC180" s="125">
        <f t="shared" si="49"/>
        <v>0</v>
      </c>
      <c r="AD180" s="125">
        <f t="shared" si="49"/>
        <v>0</v>
      </c>
      <c r="AE180" s="125">
        <f t="shared" si="49"/>
        <v>0</v>
      </c>
      <c r="AF180" s="125">
        <f t="shared" si="49"/>
        <v>0</v>
      </c>
      <c r="AG180" s="125">
        <f t="shared" si="49"/>
        <v>0</v>
      </c>
      <c r="AH180" s="125">
        <f t="shared" si="49"/>
        <v>0</v>
      </c>
      <c r="AI180" s="125">
        <f t="shared" si="49"/>
        <v>0</v>
      </c>
      <c r="AJ180" s="45" t="str">
        <f t="shared" si="33"/>
        <v/>
      </c>
      <c r="AK180" s="58"/>
      <c r="AL180" s="58" t="str">
        <f t="shared" si="36"/>
        <v>00</v>
      </c>
      <c r="AM180" s="60" t="str">
        <f t="shared" si="37"/>
        <v>00</v>
      </c>
      <c r="AN180" s="60" t="str">
        <f t="shared" si="38"/>
        <v>00</v>
      </c>
      <c r="AO180" s="60" t="str">
        <f t="shared" si="39"/>
        <v>00</v>
      </c>
      <c r="AQ180" t="str">
        <f t="shared" si="34"/>
        <v/>
      </c>
    </row>
    <row r="181" spans="2:43">
      <c r="B181" s="132"/>
      <c r="C181" s="45">
        <f t="shared" si="35"/>
        <v>45</v>
      </c>
      <c r="D181" s="125">
        <f t="shared" si="49"/>
        <v>0</v>
      </c>
      <c r="E181" s="125">
        <f t="shared" si="49"/>
        <v>0</v>
      </c>
      <c r="F181" s="125">
        <f t="shared" si="49"/>
        <v>0</v>
      </c>
      <c r="G181" s="125">
        <f t="shared" si="49"/>
        <v>0</v>
      </c>
      <c r="H181" s="125">
        <f t="shared" si="49"/>
        <v>0</v>
      </c>
      <c r="I181" s="125">
        <f t="shared" si="49"/>
        <v>0</v>
      </c>
      <c r="J181" s="125">
        <f t="shared" si="49"/>
        <v>0</v>
      </c>
      <c r="K181" s="125">
        <f t="shared" si="49"/>
        <v>0</v>
      </c>
      <c r="L181" s="125">
        <f t="shared" si="49"/>
        <v>0</v>
      </c>
      <c r="M181" s="125">
        <f t="shared" si="49"/>
        <v>0</v>
      </c>
      <c r="N181" s="125">
        <f t="shared" si="49"/>
        <v>0</v>
      </c>
      <c r="O181" s="125">
        <f t="shared" si="49"/>
        <v>0</v>
      </c>
      <c r="P181" s="125">
        <f t="shared" si="49"/>
        <v>0</v>
      </c>
      <c r="Q181" s="125">
        <f t="shared" si="49"/>
        <v>0</v>
      </c>
      <c r="R181" s="125">
        <f t="shared" si="49"/>
        <v>0</v>
      </c>
      <c r="S181" s="125">
        <f t="shared" si="49"/>
        <v>0</v>
      </c>
      <c r="T181" s="125">
        <f t="shared" si="49"/>
        <v>0</v>
      </c>
      <c r="U181" s="125">
        <f t="shared" si="49"/>
        <v>0</v>
      </c>
      <c r="V181" s="125">
        <f t="shared" si="49"/>
        <v>0</v>
      </c>
      <c r="W181" s="125">
        <f t="shared" si="49"/>
        <v>0</v>
      </c>
      <c r="X181" s="125">
        <f t="shared" si="49"/>
        <v>0</v>
      </c>
      <c r="Y181" s="125">
        <f t="shared" si="49"/>
        <v>0</v>
      </c>
      <c r="Z181" s="125">
        <f t="shared" si="49"/>
        <v>0</v>
      </c>
      <c r="AA181" s="125">
        <f t="shared" si="49"/>
        <v>0</v>
      </c>
      <c r="AB181" s="125">
        <f t="shared" si="49"/>
        <v>0</v>
      </c>
      <c r="AC181" s="125">
        <f t="shared" si="49"/>
        <v>0</v>
      </c>
      <c r="AD181" s="125">
        <f t="shared" si="49"/>
        <v>0</v>
      </c>
      <c r="AE181" s="125">
        <f t="shared" si="49"/>
        <v>0</v>
      </c>
      <c r="AF181" s="125">
        <f t="shared" si="49"/>
        <v>0</v>
      </c>
      <c r="AG181" s="125">
        <f t="shared" si="49"/>
        <v>0</v>
      </c>
      <c r="AH181" s="125">
        <f t="shared" si="49"/>
        <v>0</v>
      </c>
      <c r="AI181" s="125">
        <f t="shared" si="49"/>
        <v>0</v>
      </c>
      <c r="AJ181" s="45" t="str">
        <f t="shared" si="33"/>
        <v/>
      </c>
      <c r="AK181" s="58"/>
      <c r="AL181" s="58" t="str">
        <f t="shared" si="36"/>
        <v>00</v>
      </c>
      <c r="AM181" s="60" t="str">
        <f t="shared" si="37"/>
        <v>00</v>
      </c>
      <c r="AN181" s="60" t="str">
        <f t="shared" si="38"/>
        <v>00</v>
      </c>
      <c r="AO181" s="60" t="str">
        <f t="shared" si="39"/>
        <v>00</v>
      </c>
      <c r="AQ181" t="str">
        <f t="shared" si="34"/>
        <v/>
      </c>
    </row>
    <row r="182" spans="2:43">
      <c r="B182" s="132"/>
      <c r="C182" s="45">
        <f t="shared" si="35"/>
        <v>46</v>
      </c>
      <c r="D182" s="125">
        <f t="shared" si="49"/>
        <v>0</v>
      </c>
      <c r="E182" s="125">
        <f t="shared" si="49"/>
        <v>0</v>
      </c>
      <c r="F182" s="125">
        <f t="shared" si="49"/>
        <v>0</v>
      </c>
      <c r="G182" s="125">
        <f t="shared" si="49"/>
        <v>0</v>
      </c>
      <c r="H182" s="125">
        <f t="shared" si="49"/>
        <v>0</v>
      </c>
      <c r="I182" s="125">
        <f t="shared" si="49"/>
        <v>0</v>
      </c>
      <c r="J182" s="125">
        <f t="shared" si="49"/>
        <v>0</v>
      </c>
      <c r="K182" s="125">
        <f t="shared" si="49"/>
        <v>0</v>
      </c>
      <c r="L182" s="125">
        <f t="shared" si="49"/>
        <v>0</v>
      </c>
      <c r="M182" s="125">
        <f t="shared" si="49"/>
        <v>0</v>
      </c>
      <c r="N182" s="125">
        <f t="shared" si="49"/>
        <v>0</v>
      </c>
      <c r="O182" s="125">
        <f t="shared" si="49"/>
        <v>0</v>
      </c>
      <c r="P182" s="125">
        <f t="shared" si="49"/>
        <v>0</v>
      </c>
      <c r="Q182" s="125">
        <f t="shared" si="49"/>
        <v>0</v>
      </c>
      <c r="R182" s="125">
        <f t="shared" si="49"/>
        <v>0</v>
      </c>
      <c r="S182" s="125">
        <f t="shared" si="49"/>
        <v>0</v>
      </c>
      <c r="T182" s="125">
        <f t="shared" si="49"/>
        <v>0</v>
      </c>
      <c r="U182" s="125">
        <f t="shared" si="49"/>
        <v>0</v>
      </c>
      <c r="V182" s="125">
        <f t="shared" si="49"/>
        <v>0</v>
      </c>
      <c r="W182" s="125">
        <f t="shared" si="49"/>
        <v>0</v>
      </c>
      <c r="X182" s="125">
        <f t="shared" si="49"/>
        <v>0</v>
      </c>
      <c r="Y182" s="125">
        <f t="shared" si="49"/>
        <v>0</v>
      </c>
      <c r="Z182" s="125">
        <f t="shared" si="49"/>
        <v>0</v>
      </c>
      <c r="AA182" s="125">
        <f t="shared" si="49"/>
        <v>0</v>
      </c>
      <c r="AB182" s="125">
        <f t="shared" si="49"/>
        <v>0</v>
      </c>
      <c r="AC182" s="125">
        <f t="shared" si="49"/>
        <v>0</v>
      </c>
      <c r="AD182" s="125">
        <f t="shared" si="49"/>
        <v>0</v>
      </c>
      <c r="AE182" s="125">
        <f t="shared" si="49"/>
        <v>0</v>
      </c>
      <c r="AF182" s="125">
        <f t="shared" si="49"/>
        <v>0</v>
      </c>
      <c r="AG182" s="125">
        <f t="shared" si="49"/>
        <v>0</v>
      </c>
      <c r="AH182" s="125">
        <f t="shared" si="49"/>
        <v>0</v>
      </c>
      <c r="AI182" s="125">
        <f t="shared" si="49"/>
        <v>0</v>
      </c>
      <c r="AJ182" s="45" t="str">
        <f t="shared" si="33"/>
        <v/>
      </c>
      <c r="AK182" s="58"/>
      <c r="AL182" s="58" t="str">
        <f t="shared" si="36"/>
        <v>00</v>
      </c>
      <c r="AM182" s="60" t="str">
        <f t="shared" si="37"/>
        <v>00</v>
      </c>
      <c r="AN182" s="60" t="str">
        <f t="shared" si="38"/>
        <v>00</v>
      </c>
      <c r="AO182" s="60" t="str">
        <f t="shared" si="39"/>
        <v>00</v>
      </c>
      <c r="AQ182" t="str">
        <f t="shared" si="34"/>
        <v/>
      </c>
    </row>
    <row r="183" spans="2:43">
      <c r="B183" s="132"/>
      <c r="C183" s="45">
        <f t="shared" si="35"/>
        <v>47</v>
      </c>
      <c r="D183" s="125">
        <f t="shared" si="49"/>
        <v>0</v>
      </c>
      <c r="E183" s="125">
        <f t="shared" si="49"/>
        <v>0</v>
      </c>
      <c r="F183" s="125">
        <f t="shared" si="49"/>
        <v>0</v>
      </c>
      <c r="G183" s="125">
        <f t="shared" si="49"/>
        <v>0</v>
      </c>
      <c r="H183" s="125">
        <f t="shared" si="49"/>
        <v>0</v>
      </c>
      <c r="I183" s="125">
        <f t="shared" si="49"/>
        <v>0</v>
      </c>
      <c r="J183" s="125">
        <f t="shared" si="49"/>
        <v>0</v>
      </c>
      <c r="K183" s="125">
        <f t="shared" si="49"/>
        <v>0</v>
      </c>
      <c r="L183" s="125">
        <f t="shared" si="49"/>
        <v>0</v>
      </c>
      <c r="M183" s="125">
        <f t="shared" si="49"/>
        <v>0</v>
      </c>
      <c r="N183" s="125">
        <f t="shared" si="49"/>
        <v>0</v>
      </c>
      <c r="O183" s="125">
        <f t="shared" si="49"/>
        <v>0</v>
      </c>
      <c r="P183" s="125">
        <f t="shared" si="49"/>
        <v>0</v>
      </c>
      <c r="Q183" s="125">
        <f t="shared" si="49"/>
        <v>0</v>
      </c>
      <c r="R183" s="125">
        <f t="shared" si="49"/>
        <v>0</v>
      </c>
      <c r="S183" s="125">
        <f t="shared" si="49"/>
        <v>0</v>
      </c>
      <c r="T183" s="125">
        <f t="shared" si="49"/>
        <v>0</v>
      </c>
      <c r="U183" s="125">
        <f t="shared" si="49"/>
        <v>0</v>
      </c>
      <c r="V183" s="125">
        <f t="shared" si="49"/>
        <v>0</v>
      </c>
      <c r="W183" s="125">
        <f t="shared" si="49"/>
        <v>0</v>
      </c>
      <c r="X183" s="125">
        <f t="shared" si="49"/>
        <v>0</v>
      </c>
      <c r="Y183" s="125">
        <f t="shared" si="49"/>
        <v>0</v>
      </c>
      <c r="Z183" s="125">
        <f t="shared" si="49"/>
        <v>0</v>
      </c>
      <c r="AA183" s="125">
        <f t="shared" si="49"/>
        <v>0</v>
      </c>
      <c r="AB183" s="125">
        <f t="shared" si="49"/>
        <v>0</v>
      </c>
      <c r="AC183" s="125">
        <f t="shared" si="49"/>
        <v>0</v>
      </c>
      <c r="AD183" s="125">
        <f t="shared" si="49"/>
        <v>0</v>
      </c>
      <c r="AE183" s="125">
        <f t="shared" si="49"/>
        <v>0</v>
      </c>
      <c r="AF183" s="125">
        <f t="shared" si="49"/>
        <v>0</v>
      </c>
      <c r="AG183" s="125">
        <f t="shared" si="49"/>
        <v>0</v>
      </c>
      <c r="AH183" s="125">
        <f t="shared" si="49"/>
        <v>0</v>
      </c>
      <c r="AI183" s="125">
        <f t="shared" ref="AI183" si="50">IF(OR(AI53=0,AI53=1),1,0)</f>
        <v>0</v>
      </c>
      <c r="AJ183" s="45" t="str">
        <f t="shared" si="33"/>
        <v/>
      </c>
      <c r="AK183" s="58"/>
      <c r="AL183" s="58" t="str">
        <f t="shared" si="36"/>
        <v>00</v>
      </c>
      <c r="AM183" s="60" t="str">
        <f t="shared" si="37"/>
        <v>00</v>
      </c>
      <c r="AN183" s="60" t="str">
        <f t="shared" si="38"/>
        <v>00</v>
      </c>
      <c r="AO183" s="60" t="str">
        <f t="shared" si="39"/>
        <v>00</v>
      </c>
      <c r="AQ183" t="str">
        <f t="shared" si="34"/>
        <v/>
      </c>
    </row>
    <row r="184" spans="2:43">
      <c r="B184" s="132"/>
      <c r="C184" s="45">
        <f t="shared" si="35"/>
        <v>48</v>
      </c>
      <c r="D184" s="125">
        <f t="shared" ref="D184:AI191" si="51">IF(OR(D54=0,D54=1),1,0)</f>
        <v>0</v>
      </c>
      <c r="E184" s="125">
        <f t="shared" si="51"/>
        <v>0</v>
      </c>
      <c r="F184" s="125">
        <f t="shared" si="51"/>
        <v>0</v>
      </c>
      <c r="G184" s="125">
        <f t="shared" si="51"/>
        <v>0</v>
      </c>
      <c r="H184" s="125">
        <f t="shared" si="51"/>
        <v>0</v>
      </c>
      <c r="I184" s="125">
        <f t="shared" si="51"/>
        <v>0</v>
      </c>
      <c r="J184" s="125">
        <f t="shared" si="51"/>
        <v>0</v>
      </c>
      <c r="K184" s="125">
        <f t="shared" si="51"/>
        <v>0</v>
      </c>
      <c r="L184" s="125">
        <f t="shared" si="51"/>
        <v>0</v>
      </c>
      <c r="M184" s="125">
        <f t="shared" si="51"/>
        <v>0</v>
      </c>
      <c r="N184" s="125">
        <f t="shared" si="51"/>
        <v>0</v>
      </c>
      <c r="O184" s="125">
        <f t="shared" si="51"/>
        <v>0</v>
      </c>
      <c r="P184" s="125">
        <f t="shared" si="51"/>
        <v>0</v>
      </c>
      <c r="Q184" s="125">
        <f t="shared" si="51"/>
        <v>0</v>
      </c>
      <c r="R184" s="125">
        <f t="shared" si="51"/>
        <v>0</v>
      </c>
      <c r="S184" s="125">
        <f t="shared" si="51"/>
        <v>0</v>
      </c>
      <c r="T184" s="125">
        <f t="shared" si="51"/>
        <v>0</v>
      </c>
      <c r="U184" s="125">
        <f t="shared" si="51"/>
        <v>0</v>
      </c>
      <c r="V184" s="125">
        <f t="shared" si="51"/>
        <v>0</v>
      </c>
      <c r="W184" s="125">
        <f t="shared" si="51"/>
        <v>0</v>
      </c>
      <c r="X184" s="125">
        <f t="shared" si="51"/>
        <v>0</v>
      </c>
      <c r="Y184" s="125">
        <f t="shared" si="51"/>
        <v>0</v>
      </c>
      <c r="Z184" s="125">
        <f t="shared" si="51"/>
        <v>0</v>
      </c>
      <c r="AA184" s="125">
        <f t="shared" si="51"/>
        <v>0</v>
      </c>
      <c r="AB184" s="125">
        <f t="shared" si="51"/>
        <v>0</v>
      </c>
      <c r="AC184" s="125">
        <f t="shared" si="51"/>
        <v>0</v>
      </c>
      <c r="AD184" s="125">
        <f t="shared" si="51"/>
        <v>0</v>
      </c>
      <c r="AE184" s="125">
        <f t="shared" si="51"/>
        <v>0</v>
      </c>
      <c r="AF184" s="125">
        <f t="shared" si="51"/>
        <v>0</v>
      </c>
      <c r="AG184" s="125">
        <f t="shared" si="51"/>
        <v>0</v>
      </c>
      <c r="AH184" s="125">
        <f t="shared" si="51"/>
        <v>0</v>
      </c>
      <c r="AI184" s="125">
        <f t="shared" si="51"/>
        <v>0</v>
      </c>
      <c r="AJ184" s="45" t="str">
        <f t="shared" si="33"/>
        <v/>
      </c>
      <c r="AK184" s="58"/>
      <c r="AL184" s="58" t="str">
        <f t="shared" si="36"/>
        <v>00</v>
      </c>
      <c r="AM184" s="60" t="str">
        <f t="shared" si="37"/>
        <v>00</v>
      </c>
      <c r="AN184" s="60" t="str">
        <f t="shared" si="38"/>
        <v>00</v>
      </c>
      <c r="AO184" s="60" t="str">
        <f t="shared" si="39"/>
        <v>00</v>
      </c>
      <c r="AQ184" t="str">
        <f t="shared" si="34"/>
        <v/>
      </c>
    </row>
    <row r="185" spans="2:43">
      <c r="B185" s="132"/>
      <c r="C185" s="45">
        <f t="shared" si="35"/>
        <v>49</v>
      </c>
      <c r="D185" s="125">
        <f t="shared" si="51"/>
        <v>0</v>
      </c>
      <c r="E185" s="125">
        <f t="shared" si="51"/>
        <v>0</v>
      </c>
      <c r="F185" s="125">
        <f t="shared" si="51"/>
        <v>0</v>
      </c>
      <c r="G185" s="125">
        <f t="shared" si="51"/>
        <v>0</v>
      </c>
      <c r="H185" s="125">
        <f t="shared" si="51"/>
        <v>0</v>
      </c>
      <c r="I185" s="125">
        <f t="shared" si="51"/>
        <v>0</v>
      </c>
      <c r="J185" s="125">
        <f t="shared" si="51"/>
        <v>0</v>
      </c>
      <c r="K185" s="125">
        <f t="shared" si="51"/>
        <v>0</v>
      </c>
      <c r="L185" s="125">
        <f t="shared" si="51"/>
        <v>0</v>
      </c>
      <c r="M185" s="125">
        <f t="shared" si="51"/>
        <v>0</v>
      </c>
      <c r="N185" s="125">
        <f t="shared" si="51"/>
        <v>0</v>
      </c>
      <c r="O185" s="125">
        <f t="shared" si="51"/>
        <v>0</v>
      </c>
      <c r="P185" s="125">
        <f t="shared" si="51"/>
        <v>0</v>
      </c>
      <c r="Q185" s="125">
        <f t="shared" si="51"/>
        <v>0</v>
      </c>
      <c r="R185" s="125">
        <f t="shared" si="51"/>
        <v>0</v>
      </c>
      <c r="S185" s="125">
        <f t="shared" si="51"/>
        <v>0</v>
      </c>
      <c r="T185" s="125">
        <f t="shared" si="51"/>
        <v>0</v>
      </c>
      <c r="U185" s="125">
        <f t="shared" si="51"/>
        <v>0</v>
      </c>
      <c r="V185" s="125">
        <f t="shared" si="51"/>
        <v>0</v>
      </c>
      <c r="W185" s="125">
        <f t="shared" si="51"/>
        <v>0</v>
      </c>
      <c r="X185" s="125">
        <f t="shared" si="51"/>
        <v>0</v>
      </c>
      <c r="Y185" s="125">
        <f t="shared" si="51"/>
        <v>0</v>
      </c>
      <c r="Z185" s="125">
        <f t="shared" si="51"/>
        <v>0</v>
      </c>
      <c r="AA185" s="125">
        <f t="shared" si="51"/>
        <v>0</v>
      </c>
      <c r="AB185" s="125">
        <f t="shared" si="51"/>
        <v>0</v>
      </c>
      <c r="AC185" s="125">
        <f t="shared" si="51"/>
        <v>0</v>
      </c>
      <c r="AD185" s="125">
        <f t="shared" si="51"/>
        <v>0</v>
      </c>
      <c r="AE185" s="125">
        <f t="shared" si="51"/>
        <v>0</v>
      </c>
      <c r="AF185" s="125">
        <f t="shared" si="51"/>
        <v>0</v>
      </c>
      <c r="AG185" s="125">
        <f t="shared" si="51"/>
        <v>0</v>
      </c>
      <c r="AH185" s="125">
        <f t="shared" si="51"/>
        <v>0</v>
      </c>
      <c r="AI185" s="125">
        <f t="shared" si="51"/>
        <v>0</v>
      </c>
      <c r="AJ185" s="45" t="str">
        <f t="shared" si="33"/>
        <v/>
      </c>
      <c r="AK185" s="58"/>
      <c r="AL185" s="58" t="str">
        <f t="shared" si="36"/>
        <v>00</v>
      </c>
      <c r="AM185" s="60" t="str">
        <f t="shared" si="37"/>
        <v>00</v>
      </c>
      <c r="AN185" s="60" t="str">
        <f t="shared" si="38"/>
        <v>00</v>
      </c>
      <c r="AO185" s="60" t="str">
        <f t="shared" si="39"/>
        <v>00</v>
      </c>
      <c r="AQ185" t="str">
        <f t="shared" si="34"/>
        <v/>
      </c>
    </row>
    <row r="186" spans="2:43">
      <c r="B186" s="132"/>
      <c r="C186" s="45">
        <f t="shared" si="35"/>
        <v>50</v>
      </c>
      <c r="D186" s="125">
        <f t="shared" si="51"/>
        <v>0</v>
      </c>
      <c r="E186" s="125">
        <f t="shared" si="51"/>
        <v>0</v>
      </c>
      <c r="F186" s="125">
        <f t="shared" si="51"/>
        <v>0</v>
      </c>
      <c r="G186" s="125">
        <f t="shared" si="51"/>
        <v>0</v>
      </c>
      <c r="H186" s="125">
        <f t="shared" si="51"/>
        <v>0</v>
      </c>
      <c r="I186" s="125">
        <f t="shared" si="51"/>
        <v>0</v>
      </c>
      <c r="J186" s="125">
        <f t="shared" si="51"/>
        <v>0</v>
      </c>
      <c r="K186" s="125">
        <f t="shared" si="51"/>
        <v>0</v>
      </c>
      <c r="L186" s="125">
        <f t="shared" si="51"/>
        <v>0</v>
      </c>
      <c r="M186" s="125">
        <f t="shared" si="51"/>
        <v>0</v>
      </c>
      <c r="N186" s="125">
        <f t="shared" si="51"/>
        <v>0</v>
      </c>
      <c r="O186" s="125">
        <f t="shared" si="51"/>
        <v>0</v>
      </c>
      <c r="P186" s="125">
        <f t="shared" si="51"/>
        <v>0</v>
      </c>
      <c r="Q186" s="125">
        <f t="shared" si="51"/>
        <v>0</v>
      </c>
      <c r="R186" s="125">
        <f t="shared" si="51"/>
        <v>0</v>
      </c>
      <c r="S186" s="125">
        <f t="shared" si="51"/>
        <v>0</v>
      </c>
      <c r="T186" s="125">
        <f t="shared" si="51"/>
        <v>0</v>
      </c>
      <c r="U186" s="125">
        <f t="shared" si="51"/>
        <v>0</v>
      </c>
      <c r="V186" s="125">
        <f t="shared" si="51"/>
        <v>0</v>
      </c>
      <c r="W186" s="125">
        <f t="shared" si="51"/>
        <v>0</v>
      </c>
      <c r="X186" s="125">
        <f t="shared" si="51"/>
        <v>0</v>
      </c>
      <c r="Y186" s="125">
        <f t="shared" si="51"/>
        <v>0</v>
      </c>
      <c r="Z186" s="125">
        <f t="shared" si="51"/>
        <v>0</v>
      </c>
      <c r="AA186" s="125">
        <f t="shared" si="51"/>
        <v>0</v>
      </c>
      <c r="AB186" s="125">
        <f t="shared" si="51"/>
        <v>0</v>
      </c>
      <c r="AC186" s="125">
        <f t="shared" si="51"/>
        <v>0</v>
      </c>
      <c r="AD186" s="125">
        <f t="shared" si="51"/>
        <v>0</v>
      </c>
      <c r="AE186" s="125">
        <f t="shared" si="51"/>
        <v>0</v>
      </c>
      <c r="AF186" s="125">
        <f t="shared" si="51"/>
        <v>0</v>
      </c>
      <c r="AG186" s="125">
        <f t="shared" si="51"/>
        <v>0</v>
      </c>
      <c r="AH186" s="125">
        <f t="shared" si="51"/>
        <v>0</v>
      </c>
      <c r="AI186" s="125">
        <f t="shared" si="51"/>
        <v>0</v>
      </c>
      <c r="AJ186" s="45" t="str">
        <f t="shared" si="33"/>
        <v/>
      </c>
      <c r="AK186" s="58"/>
      <c r="AL186" s="58" t="str">
        <f t="shared" si="36"/>
        <v>00</v>
      </c>
      <c r="AM186" s="60" t="str">
        <f t="shared" si="37"/>
        <v>00</v>
      </c>
      <c r="AN186" s="60" t="str">
        <f t="shared" si="38"/>
        <v>00</v>
      </c>
      <c r="AO186" s="60" t="str">
        <f t="shared" si="39"/>
        <v>00</v>
      </c>
      <c r="AQ186" t="str">
        <f t="shared" si="34"/>
        <v/>
      </c>
    </row>
    <row r="187" spans="2:43">
      <c r="B187" s="132"/>
      <c r="C187" s="45">
        <f t="shared" si="35"/>
        <v>51</v>
      </c>
      <c r="D187" s="125">
        <f t="shared" si="51"/>
        <v>0</v>
      </c>
      <c r="E187" s="125">
        <f t="shared" si="51"/>
        <v>0</v>
      </c>
      <c r="F187" s="125">
        <f t="shared" si="51"/>
        <v>0</v>
      </c>
      <c r="G187" s="125">
        <f t="shared" si="51"/>
        <v>0</v>
      </c>
      <c r="H187" s="125">
        <f t="shared" si="51"/>
        <v>0</v>
      </c>
      <c r="I187" s="125">
        <f t="shared" si="51"/>
        <v>0</v>
      </c>
      <c r="J187" s="125">
        <f t="shared" si="51"/>
        <v>0</v>
      </c>
      <c r="K187" s="125">
        <f t="shared" si="51"/>
        <v>0</v>
      </c>
      <c r="L187" s="125">
        <f t="shared" si="51"/>
        <v>0</v>
      </c>
      <c r="M187" s="125">
        <f t="shared" si="51"/>
        <v>0</v>
      </c>
      <c r="N187" s="125">
        <f t="shared" si="51"/>
        <v>0</v>
      </c>
      <c r="O187" s="125">
        <f t="shared" si="51"/>
        <v>0</v>
      </c>
      <c r="P187" s="125">
        <f t="shared" si="51"/>
        <v>0</v>
      </c>
      <c r="Q187" s="125">
        <f t="shared" si="51"/>
        <v>0</v>
      </c>
      <c r="R187" s="125">
        <f t="shared" si="51"/>
        <v>0</v>
      </c>
      <c r="S187" s="125">
        <f t="shared" si="51"/>
        <v>0</v>
      </c>
      <c r="T187" s="125">
        <f t="shared" si="51"/>
        <v>0</v>
      </c>
      <c r="U187" s="125">
        <f t="shared" si="51"/>
        <v>0</v>
      </c>
      <c r="V187" s="125">
        <f t="shared" si="51"/>
        <v>0</v>
      </c>
      <c r="W187" s="125">
        <f t="shared" si="51"/>
        <v>0</v>
      </c>
      <c r="X187" s="125">
        <f t="shared" si="51"/>
        <v>0</v>
      </c>
      <c r="Y187" s="125">
        <f t="shared" si="51"/>
        <v>0</v>
      </c>
      <c r="Z187" s="125">
        <f t="shared" si="51"/>
        <v>0</v>
      </c>
      <c r="AA187" s="125">
        <f t="shared" si="51"/>
        <v>0</v>
      </c>
      <c r="AB187" s="125">
        <f t="shared" si="51"/>
        <v>0</v>
      </c>
      <c r="AC187" s="125">
        <f t="shared" si="51"/>
        <v>0</v>
      </c>
      <c r="AD187" s="125">
        <f t="shared" si="51"/>
        <v>0</v>
      </c>
      <c r="AE187" s="125">
        <f t="shared" si="51"/>
        <v>0</v>
      </c>
      <c r="AF187" s="125">
        <f t="shared" si="51"/>
        <v>0</v>
      </c>
      <c r="AG187" s="125">
        <f t="shared" si="51"/>
        <v>0</v>
      </c>
      <c r="AH187" s="125">
        <f t="shared" si="51"/>
        <v>0</v>
      </c>
      <c r="AI187" s="125">
        <f t="shared" si="51"/>
        <v>0</v>
      </c>
      <c r="AJ187" s="45" t="str">
        <f t="shared" si="33"/>
        <v/>
      </c>
      <c r="AK187" s="58"/>
      <c r="AL187" s="58" t="str">
        <f t="shared" si="36"/>
        <v>00</v>
      </c>
      <c r="AM187" s="60" t="str">
        <f t="shared" si="37"/>
        <v>00</v>
      </c>
      <c r="AN187" s="60" t="str">
        <f t="shared" si="38"/>
        <v>00</v>
      </c>
      <c r="AO187" s="60" t="str">
        <f t="shared" si="39"/>
        <v>00</v>
      </c>
      <c r="AQ187" t="str">
        <f t="shared" si="34"/>
        <v/>
      </c>
    </row>
    <row r="188" spans="2:43">
      <c r="B188" s="132"/>
      <c r="C188" s="45">
        <f t="shared" si="35"/>
        <v>52</v>
      </c>
      <c r="D188" s="125">
        <f t="shared" si="51"/>
        <v>0</v>
      </c>
      <c r="E188" s="125">
        <f t="shared" si="51"/>
        <v>0</v>
      </c>
      <c r="F188" s="125">
        <f t="shared" si="51"/>
        <v>0</v>
      </c>
      <c r="G188" s="125">
        <f t="shared" si="51"/>
        <v>0</v>
      </c>
      <c r="H188" s="125">
        <f t="shared" si="51"/>
        <v>0</v>
      </c>
      <c r="I188" s="125">
        <f t="shared" si="51"/>
        <v>0</v>
      </c>
      <c r="J188" s="125">
        <f t="shared" si="51"/>
        <v>0</v>
      </c>
      <c r="K188" s="125">
        <f t="shared" si="51"/>
        <v>0</v>
      </c>
      <c r="L188" s="125">
        <f t="shared" si="51"/>
        <v>0</v>
      </c>
      <c r="M188" s="125">
        <f t="shared" si="51"/>
        <v>0</v>
      </c>
      <c r="N188" s="125">
        <f t="shared" si="51"/>
        <v>0</v>
      </c>
      <c r="O188" s="125">
        <f t="shared" si="51"/>
        <v>0</v>
      </c>
      <c r="P188" s="125">
        <f t="shared" si="51"/>
        <v>0</v>
      </c>
      <c r="Q188" s="125">
        <f t="shared" si="51"/>
        <v>0</v>
      </c>
      <c r="R188" s="125">
        <f t="shared" si="51"/>
        <v>0</v>
      </c>
      <c r="S188" s="125">
        <f t="shared" si="51"/>
        <v>0</v>
      </c>
      <c r="T188" s="125">
        <f t="shared" si="51"/>
        <v>0</v>
      </c>
      <c r="U188" s="125">
        <f t="shared" si="51"/>
        <v>0</v>
      </c>
      <c r="V188" s="125">
        <f t="shared" si="51"/>
        <v>0</v>
      </c>
      <c r="W188" s="125">
        <f t="shared" si="51"/>
        <v>0</v>
      </c>
      <c r="X188" s="125">
        <f t="shared" si="51"/>
        <v>0</v>
      </c>
      <c r="Y188" s="125">
        <f t="shared" si="51"/>
        <v>0</v>
      </c>
      <c r="Z188" s="125">
        <f t="shared" si="51"/>
        <v>0</v>
      </c>
      <c r="AA188" s="125">
        <f t="shared" si="51"/>
        <v>0</v>
      </c>
      <c r="AB188" s="125">
        <f t="shared" si="51"/>
        <v>0</v>
      </c>
      <c r="AC188" s="125">
        <f t="shared" si="51"/>
        <v>0</v>
      </c>
      <c r="AD188" s="125">
        <f t="shared" si="51"/>
        <v>0</v>
      </c>
      <c r="AE188" s="125">
        <f t="shared" si="51"/>
        <v>0</v>
      </c>
      <c r="AF188" s="125">
        <f t="shared" si="51"/>
        <v>0</v>
      </c>
      <c r="AG188" s="125">
        <f t="shared" si="51"/>
        <v>0</v>
      </c>
      <c r="AH188" s="125">
        <f t="shared" si="51"/>
        <v>0</v>
      </c>
      <c r="AI188" s="125">
        <f t="shared" si="51"/>
        <v>0</v>
      </c>
      <c r="AJ188" s="45" t="str">
        <f t="shared" si="33"/>
        <v/>
      </c>
      <c r="AK188" s="58"/>
      <c r="AL188" s="58" t="str">
        <f t="shared" si="36"/>
        <v>00</v>
      </c>
      <c r="AM188" s="60" t="str">
        <f t="shared" si="37"/>
        <v>00</v>
      </c>
      <c r="AN188" s="60" t="str">
        <f t="shared" si="38"/>
        <v>00</v>
      </c>
      <c r="AO188" s="60" t="str">
        <f t="shared" si="39"/>
        <v>00</v>
      </c>
      <c r="AQ188" t="str">
        <f t="shared" si="34"/>
        <v/>
      </c>
    </row>
    <row r="189" spans="2:43">
      <c r="B189" s="132"/>
      <c r="C189" s="45">
        <f t="shared" si="35"/>
        <v>53</v>
      </c>
      <c r="D189" s="125">
        <f t="shared" si="51"/>
        <v>0</v>
      </c>
      <c r="E189" s="125">
        <f t="shared" si="51"/>
        <v>0</v>
      </c>
      <c r="F189" s="125">
        <f t="shared" si="51"/>
        <v>0</v>
      </c>
      <c r="G189" s="125">
        <f t="shared" si="51"/>
        <v>0</v>
      </c>
      <c r="H189" s="125">
        <f t="shared" si="51"/>
        <v>0</v>
      </c>
      <c r="I189" s="125">
        <f t="shared" si="51"/>
        <v>0</v>
      </c>
      <c r="J189" s="125">
        <f t="shared" si="51"/>
        <v>0</v>
      </c>
      <c r="K189" s="125">
        <f t="shared" si="51"/>
        <v>0</v>
      </c>
      <c r="L189" s="125">
        <f t="shared" si="51"/>
        <v>0</v>
      </c>
      <c r="M189" s="125">
        <f t="shared" si="51"/>
        <v>0</v>
      </c>
      <c r="N189" s="125">
        <f t="shared" si="51"/>
        <v>0</v>
      </c>
      <c r="O189" s="125">
        <f t="shared" si="51"/>
        <v>0</v>
      </c>
      <c r="P189" s="125">
        <f t="shared" si="51"/>
        <v>0</v>
      </c>
      <c r="Q189" s="125">
        <f t="shared" si="51"/>
        <v>0</v>
      </c>
      <c r="R189" s="125">
        <f t="shared" si="51"/>
        <v>0</v>
      </c>
      <c r="S189" s="125">
        <f t="shared" si="51"/>
        <v>0</v>
      </c>
      <c r="T189" s="125">
        <f t="shared" si="51"/>
        <v>0</v>
      </c>
      <c r="U189" s="125">
        <f t="shared" si="51"/>
        <v>0</v>
      </c>
      <c r="V189" s="125">
        <f t="shared" si="51"/>
        <v>0</v>
      </c>
      <c r="W189" s="125">
        <f t="shared" si="51"/>
        <v>0</v>
      </c>
      <c r="X189" s="125">
        <f t="shared" si="51"/>
        <v>0</v>
      </c>
      <c r="Y189" s="125">
        <f t="shared" si="51"/>
        <v>0</v>
      </c>
      <c r="Z189" s="125">
        <f t="shared" si="51"/>
        <v>0</v>
      </c>
      <c r="AA189" s="125">
        <f t="shared" si="51"/>
        <v>0</v>
      </c>
      <c r="AB189" s="125">
        <f t="shared" si="51"/>
        <v>0</v>
      </c>
      <c r="AC189" s="125">
        <f t="shared" si="51"/>
        <v>0</v>
      </c>
      <c r="AD189" s="125">
        <f t="shared" si="51"/>
        <v>0</v>
      </c>
      <c r="AE189" s="125">
        <f t="shared" si="51"/>
        <v>0</v>
      </c>
      <c r="AF189" s="125">
        <f t="shared" si="51"/>
        <v>0</v>
      </c>
      <c r="AG189" s="125">
        <f t="shared" si="51"/>
        <v>0</v>
      </c>
      <c r="AH189" s="125">
        <f t="shared" si="51"/>
        <v>0</v>
      </c>
      <c r="AI189" s="125">
        <f t="shared" si="51"/>
        <v>0</v>
      </c>
      <c r="AJ189" s="45" t="str">
        <f t="shared" si="33"/>
        <v/>
      </c>
      <c r="AK189" s="58"/>
      <c r="AL189" s="58" t="str">
        <f t="shared" si="36"/>
        <v>00</v>
      </c>
      <c r="AM189" s="60" t="str">
        <f t="shared" si="37"/>
        <v>00</v>
      </c>
      <c r="AN189" s="60" t="str">
        <f t="shared" si="38"/>
        <v>00</v>
      </c>
      <c r="AO189" s="60" t="str">
        <f t="shared" si="39"/>
        <v>00</v>
      </c>
      <c r="AQ189" t="str">
        <f t="shared" si="34"/>
        <v/>
      </c>
    </row>
    <row r="190" spans="2:43">
      <c r="B190" s="132"/>
      <c r="C190" s="45">
        <f t="shared" si="35"/>
        <v>54</v>
      </c>
      <c r="D190" s="125">
        <f t="shared" si="51"/>
        <v>0</v>
      </c>
      <c r="E190" s="125">
        <f t="shared" si="51"/>
        <v>0</v>
      </c>
      <c r="F190" s="125">
        <f t="shared" si="51"/>
        <v>0</v>
      </c>
      <c r="G190" s="125">
        <f t="shared" si="51"/>
        <v>0</v>
      </c>
      <c r="H190" s="125">
        <f t="shared" si="51"/>
        <v>0</v>
      </c>
      <c r="I190" s="125">
        <f t="shared" si="51"/>
        <v>0</v>
      </c>
      <c r="J190" s="125">
        <f t="shared" si="51"/>
        <v>0</v>
      </c>
      <c r="K190" s="125">
        <f t="shared" si="51"/>
        <v>0</v>
      </c>
      <c r="L190" s="125">
        <f t="shared" si="51"/>
        <v>0</v>
      </c>
      <c r="M190" s="125">
        <f t="shared" si="51"/>
        <v>0</v>
      </c>
      <c r="N190" s="125">
        <f t="shared" si="51"/>
        <v>0</v>
      </c>
      <c r="O190" s="125">
        <f t="shared" si="51"/>
        <v>0</v>
      </c>
      <c r="P190" s="125">
        <f t="shared" si="51"/>
        <v>0</v>
      </c>
      <c r="Q190" s="125">
        <f t="shared" si="51"/>
        <v>0</v>
      </c>
      <c r="R190" s="125">
        <f t="shared" si="51"/>
        <v>0</v>
      </c>
      <c r="S190" s="125">
        <f t="shared" si="51"/>
        <v>0</v>
      </c>
      <c r="T190" s="125">
        <f t="shared" si="51"/>
        <v>0</v>
      </c>
      <c r="U190" s="125">
        <f t="shared" si="51"/>
        <v>0</v>
      </c>
      <c r="V190" s="125">
        <f t="shared" si="51"/>
        <v>0</v>
      </c>
      <c r="W190" s="125">
        <f t="shared" si="51"/>
        <v>0</v>
      </c>
      <c r="X190" s="125">
        <f t="shared" si="51"/>
        <v>0</v>
      </c>
      <c r="Y190" s="125">
        <f t="shared" si="51"/>
        <v>0</v>
      </c>
      <c r="Z190" s="125">
        <f t="shared" si="51"/>
        <v>0</v>
      </c>
      <c r="AA190" s="125">
        <f t="shared" si="51"/>
        <v>0</v>
      </c>
      <c r="AB190" s="125">
        <f t="shared" si="51"/>
        <v>0</v>
      </c>
      <c r="AC190" s="125">
        <f t="shared" si="51"/>
        <v>0</v>
      </c>
      <c r="AD190" s="125">
        <f t="shared" si="51"/>
        <v>0</v>
      </c>
      <c r="AE190" s="125">
        <f t="shared" si="51"/>
        <v>0</v>
      </c>
      <c r="AF190" s="125">
        <f t="shared" si="51"/>
        <v>0</v>
      </c>
      <c r="AG190" s="125">
        <f t="shared" si="51"/>
        <v>0</v>
      </c>
      <c r="AH190" s="125">
        <f t="shared" si="51"/>
        <v>0</v>
      </c>
      <c r="AI190" s="125">
        <f t="shared" si="51"/>
        <v>0</v>
      </c>
      <c r="AJ190" s="45" t="str">
        <f t="shared" si="33"/>
        <v/>
      </c>
      <c r="AK190" s="58"/>
      <c r="AL190" s="58" t="str">
        <f t="shared" si="36"/>
        <v>00</v>
      </c>
      <c r="AM190" s="60" t="str">
        <f t="shared" si="37"/>
        <v>00</v>
      </c>
      <c r="AN190" s="60" t="str">
        <f t="shared" si="38"/>
        <v>00</v>
      </c>
      <c r="AO190" s="60" t="str">
        <f t="shared" si="39"/>
        <v>00</v>
      </c>
      <c r="AQ190" t="str">
        <f t="shared" si="34"/>
        <v/>
      </c>
    </row>
    <row r="191" spans="2:43">
      <c r="B191" s="132"/>
      <c r="C191" s="45">
        <f t="shared" si="35"/>
        <v>55</v>
      </c>
      <c r="D191" s="125">
        <f t="shared" si="51"/>
        <v>0</v>
      </c>
      <c r="E191" s="125">
        <f t="shared" si="51"/>
        <v>0</v>
      </c>
      <c r="F191" s="125">
        <f t="shared" si="51"/>
        <v>0</v>
      </c>
      <c r="G191" s="125">
        <f t="shared" si="51"/>
        <v>0</v>
      </c>
      <c r="H191" s="125">
        <f t="shared" si="51"/>
        <v>0</v>
      </c>
      <c r="I191" s="125">
        <f t="shared" si="51"/>
        <v>0</v>
      </c>
      <c r="J191" s="125">
        <f t="shared" si="51"/>
        <v>0</v>
      </c>
      <c r="K191" s="125">
        <f t="shared" si="51"/>
        <v>0</v>
      </c>
      <c r="L191" s="125">
        <f t="shared" si="51"/>
        <v>0</v>
      </c>
      <c r="M191" s="125">
        <f t="shared" si="51"/>
        <v>0</v>
      </c>
      <c r="N191" s="125">
        <f t="shared" si="51"/>
        <v>0</v>
      </c>
      <c r="O191" s="125">
        <f t="shared" si="51"/>
        <v>0</v>
      </c>
      <c r="P191" s="125">
        <f t="shared" si="51"/>
        <v>0</v>
      </c>
      <c r="Q191" s="125">
        <f t="shared" si="51"/>
        <v>0</v>
      </c>
      <c r="R191" s="125">
        <f t="shared" si="51"/>
        <v>0</v>
      </c>
      <c r="S191" s="125">
        <f t="shared" si="51"/>
        <v>0</v>
      </c>
      <c r="T191" s="125">
        <f t="shared" si="51"/>
        <v>0</v>
      </c>
      <c r="U191" s="125">
        <f t="shared" si="51"/>
        <v>0</v>
      </c>
      <c r="V191" s="125">
        <f t="shared" si="51"/>
        <v>0</v>
      </c>
      <c r="W191" s="125">
        <f t="shared" si="51"/>
        <v>0</v>
      </c>
      <c r="X191" s="125">
        <f t="shared" si="51"/>
        <v>0</v>
      </c>
      <c r="Y191" s="125">
        <f t="shared" si="51"/>
        <v>0</v>
      </c>
      <c r="Z191" s="125">
        <f t="shared" si="51"/>
        <v>0</v>
      </c>
      <c r="AA191" s="125">
        <f t="shared" si="51"/>
        <v>0</v>
      </c>
      <c r="AB191" s="125">
        <f t="shared" si="51"/>
        <v>0</v>
      </c>
      <c r="AC191" s="125">
        <f t="shared" si="51"/>
        <v>0</v>
      </c>
      <c r="AD191" s="125">
        <f t="shared" si="51"/>
        <v>0</v>
      </c>
      <c r="AE191" s="125">
        <f t="shared" si="51"/>
        <v>0</v>
      </c>
      <c r="AF191" s="125">
        <f t="shared" si="51"/>
        <v>0</v>
      </c>
      <c r="AG191" s="125">
        <f t="shared" si="51"/>
        <v>0</v>
      </c>
      <c r="AH191" s="125">
        <f t="shared" si="51"/>
        <v>0</v>
      </c>
      <c r="AI191" s="125">
        <f t="shared" ref="AI191" si="52">IF(OR(AI61=0,AI61=1),1,0)</f>
        <v>0</v>
      </c>
      <c r="AJ191" s="45" t="str">
        <f t="shared" si="33"/>
        <v/>
      </c>
      <c r="AK191" s="58"/>
      <c r="AL191" s="58" t="str">
        <f t="shared" si="36"/>
        <v>00</v>
      </c>
      <c r="AM191" s="60" t="str">
        <f t="shared" si="37"/>
        <v>00</v>
      </c>
      <c r="AN191" s="60" t="str">
        <f t="shared" si="38"/>
        <v>00</v>
      </c>
      <c r="AO191" s="60" t="str">
        <f t="shared" si="39"/>
        <v>00</v>
      </c>
      <c r="AQ191" t="str">
        <f t="shared" si="34"/>
        <v/>
      </c>
    </row>
    <row r="192" spans="2:43">
      <c r="B192" s="132"/>
      <c r="C192" s="45">
        <f t="shared" si="35"/>
        <v>56</v>
      </c>
      <c r="D192" s="125">
        <f t="shared" ref="D192:AI199" si="53">IF(OR(D62=0,D62=1),1,0)</f>
        <v>0</v>
      </c>
      <c r="E192" s="125">
        <f t="shared" si="53"/>
        <v>0</v>
      </c>
      <c r="F192" s="125">
        <f t="shared" si="53"/>
        <v>0</v>
      </c>
      <c r="G192" s="125">
        <f t="shared" si="53"/>
        <v>0</v>
      </c>
      <c r="H192" s="125">
        <f t="shared" si="53"/>
        <v>0</v>
      </c>
      <c r="I192" s="125">
        <f t="shared" si="53"/>
        <v>0</v>
      </c>
      <c r="J192" s="125">
        <f t="shared" si="53"/>
        <v>0</v>
      </c>
      <c r="K192" s="125">
        <f t="shared" si="53"/>
        <v>0</v>
      </c>
      <c r="L192" s="125">
        <f t="shared" si="53"/>
        <v>0</v>
      </c>
      <c r="M192" s="125">
        <f t="shared" si="53"/>
        <v>0</v>
      </c>
      <c r="N192" s="125">
        <f t="shared" si="53"/>
        <v>0</v>
      </c>
      <c r="O192" s="125">
        <f t="shared" si="53"/>
        <v>0</v>
      </c>
      <c r="P192" s="125">
        <f t="shared" si="53"/>
        <v>0</v>
      </c>
      <c r="Q192" s="125">
        <f t="shared" si="53"/>
        <v>0</v>
      </c>
      <c r="R192" s="125">
        <f t="shared" si="53"/>
        <v>0</v>
      </c>
      <c r="S192" s="125">
        <f t="shared" si="53"/>
        <v>0</v>
      </c>
      <c r="T192" s="125">
        <f t="shared" si="53"/>
        <v>0</v>
      </c>
      <c r="U192" s="125">
        <f t="shared" si="53"/>
        <v>0</v>
      </c>
      <c r="V192" s="125">
        <f t="shared" si="53"/>
        <v>0</v>
      </c>
      <c r="W192" s="125">
        <f t="shared" si="53"/>
        <v>0</v>
      </c>
      <c r="X192" s="125">
        <f t="shared" si="53"/>
        <v>0</v>
      </c>
      <c r="Y192" s="125">
        <f t="shared" si="53"/>
        <v>0</v>
      </c>
      <c r="Z192" s="125">
        <f t="shared" si="53"/>
        <v>0</v>
      </c>
      <c r="AA192" s="125">
        <f t="shared" si="53"/>
        <v>0</v>
      </c>
      <c r="AB192" s="125">
        <f t="shared" si="53"/>
        <v>0</v>
      </c>
      <c r="AC192" s="125">
        <f t="shared" si="53"/>
        <v>0</v>
      </c>
      <c r="AD192" s="125">
        <f t="shared" si="53"/>
        <v>0</v>
      </c>
      <c r="AE192" s="125">
        <f t="shared" si="53"/>
        <v>0</v>
      </c>
      <c r="AF192" s="125">
        <f t="shared" si="53"/>
        <v>0</v>
      </c>
      <c r="AG192" s="125">
        <f t="shared" si="53"/>
        <v>0</v>
      </c>
      <c r="AH192" s="125">
        <f t="shared" si="53"/>
        <v>0</v>
      </c>
      <c r="AI192" s="125">
        <f t="shared" si="53"/>
        <v>0</v>
      </c>
      <c r="AJ192" s="45" t="str">
        <f t="shared" si="33"/>
        <v/>
      </c>
      <c r="AK192" s="58"/>
      <c r="AL192" s="58" t="str">
        <f t="shared" si="36"/>
        <v>00</v>
      </c>
      <c r="AM192" s="60" t="str">
        <f t="shared" si="37"/>
        <v>00</v>
      </c>
      <c r="AN192" s="60" t="str">
        <f t="shared" si="38"/>
        <v>00</v>
      </c>
      <c r="AO192" s="60" t="str">
        <f t="shared" si="39"/>
        <v>00</v>
      </c>
      <c r="AQ192" t="str">
        <f t="shared" si="34"/>
        <v/>
      </c>
    </row>
    <row r="193" spans="2:43">
      <c r="B193" s="132"/>
      <c r="C193" s="45">
        <f t="shared" si="35"/>
        <v>57</v>
      </c>
      <c r="D193" s="125">
        <f t="shared" si="53"/>
        <v>0</v>
      </c>
      <c r="E193" s="125">
        <f t="shared" si="53"/>
        <v>0</v>
      </c>
      <c r="F193" s="125">
        <f t="shared" si="53"/>
        <v>0</v>
      </c>
      <c r="G193" s="125">
        <f t="shared" si="53"/>
        <v>0</v>
      </c>
      <c r="H193" s="125">
        <f t="shared" si="53"/>
        <v>0</v>
      </c>
      <c r="I193" s="125">
        <f t="shared" si="53"/>
        <v>0</v>
      </c>
      <c r="J193" s="125">
        <f t="shared" si="53"/>
        <v>0</v>
      </c>
      <c r="K193" s="125">
        <f t="shared" si="53"/>
        <v>0</v>
      </c>
      <c r="L193" s="125">
        <f t="shared" si="53"/>
        <v>0</v>
      </c>
      <c r="M193" s="125">
        <f t="shared" si="53"/>
        <v>0</v>
      </c>
      <c r="N193" s="125">
        <f t="shared" si="53"/>
        <v>0</v>
      </c>
      <c r="O193" s="125">
        <f t="shared" si="53"/>
        <v>0</v>
      </c>
      <c r="P193" s="125">
        <f t="shared" si="53"/>
        <v>0</v>
      </c>
      <c r="Q193" s="125">
        <f t="shared" si="53"/>
        <v>0</v>
      </c>
      <c r="R193" s="125">
        <f t="shared" si="53"/>
        <v>0</v>
      </c>
      <c r="S193" s="125">
        <f t="shared" si="53"/>
        <v>0</v>
      </c>
      <c r="T193" s="125">
        <f t="shared" si="53"/>
        <v>0</v>
      </c>
      <c r="U193" s="125">
        <f t="shared" si="53"/>
        <v>0</v>
      </c>
      <c r="V193" s="125">
        <f t="shared" si="53"/>
        <v>0</v>
      </c>
      <c r="W193" s="125">
        <f t="shared" si="53"/>
        <v>0</v>
      </c>
      <c r="X193" s="125">
        <f t="shared" si="53"/>
        <v>0</v>
      </c>
      <c r="Y193" s="125">
        <f t="shared" si="53"/>
        <v>0</v>
      </c>
      <c r="Z193" s="125">
        <f t="shared" si="53"/>
        <v>0</v>
      </c>
      <c r="AA193" s="125">
        <f t="shared" si="53"/>
        <v>0</v>
      </c>
      <c r="AB193" s="125">
        <f t="shared" si="53"/>
        <v>0</v>
      </c>
      <c r="AC193" s="125">
        <f t="shared" si="53"/>
        <v>0</v>
      </c>
      <c r="AD193" s="125">
        <f t="shared" si="53"/>
        <v>0</v>
      </c>
      <c r="AE193" s="125">
        <f t="shared" si="53"/>
        <v>0</v>
      </c>
      <c r="AF193" s="125">
        <f t="shared" si="53"/>
        <v>0</v>
      </c>
      <c r="AG193" s="125">
        <f t="shared" si="53"/>
        <v>0</v>
      </c>
      <c r="AH193" s="125">
        <f t="shared" si="53"/>
        <v>0</v>
      </c>
      <c r="AI193" s="125">
        <f t="shared" si="53"/>
        <v>0</v>
      </c>
      <c r="AJ193" s="45" t="str">
        <f t="shared" si="33"/>
        <v/>
      </c>
      <c r="AK193" s="58"/>
      <c r="AL193" s="58" t="str">
        <f t="shared" si="36"/>
        <v>00</v>
      </c>
      <c r="AM193" s="60" t="str">
        <f t="shared" si="37"/>
        <v>00</v>
      </c>
      <c r="AN193" s="60" t="str">
        <f t="shared" si="38"/>
        <v>00</v>
      </c>
      <c r="AO193" s="60" t="str">
        <f t="shared" si="39"/>
        <v>00</v>
      </c>
      <c r="AQ193" t="str">
        <f t="shared" si="34"/>
        <v/>
      </c>
    </row>
    <row r="194" spans="2:43">
      <c r="B194" s="132"/>
      <c r="C194" s="45">
        <f t="shared" si="35"/>
        <v>58</v>
      </c>
      <c r="D194" s="125">
        <f t="shared" si="53"/>
        <v>0</v>
      </c>
      <c r="E194" s="125">
        <f t="shared" si="53"/>
        <v>0</v>
      </c>
      <c r="F194" s="125">
        <f t="shared" si="53"/>
        <v>0</v>
      </c>
      <c r="G194" s="125">
        <f t="shared" si="53"/>
        <v>0</v>
      </c>
      <c r="H194" s="125">
        <f t="shared" si="53"/>
        <v>0</v>
      </c>
      <c r="I194" s="125">
        <f t="shared" si="53"/>
        <v>0</v>
      </c>
      <c r="J194" s="125">
        <f t="shared" si="53"/>
        <v>0</v>
      </c>
      <c r="K194" s="125">
        <f t="shared" si="53"/>
        <v>0</v>
      </c>
      <c r="L194" s="125">
        <f t="shared" si="53"/>
        <v>0</v>
      </c>
      <c r="M194" s="125">
        <f t="shared" si="53"/>
        <v>0</v>
      </c>
      <c r="N194" s="125">
        <f t="shared" si="53"/>
        <v>0</v>
      </c>
      <c r="O194" s="125">
        <f t="shared" si="53"/>
        <v>0</v>
      </c>
      <c r="P194" s="125">
        <f t="shared" si="53"/>
        <v>0</v>
      </c>
      <c r="Q194" s="125">
        <f t="shared" si="53"/>
        <v>0</v>
      </c>
      <c r="R194" s="125">
        <f t="shared" si="53"/>
        <v>0</v>
      </c>
      <c r="S194" s="125">
        <f t="shared" si="53"/>
        <v>0</v>
      </c>
      <c r="T194" s="125">
        <f t="shared" si="53"/>
        <v>0</v>
      </c>
      <c r="U194" s="125">
        <f t="shared" si="53"/>
        <v>0</v>
      </c>
      <c r="V194" s="125">
        <f t="shared" si="53"/>
        <v>0</v>
      </c>
      <c r="W194" s="125">
        <f t="shared" si="53"/>
        <v>0</v>
      </c>
      <c r="X194" s="125">
        <f t="shared" si="53"/>
        <v>0</v>
      </c>
      <c r="Y194" s="125">
        <f t="shared" si="53"/>
        <v>0</v>
      </c>
      <c r="Z194" s="125">
        <f t="shared" si="53"/>
        <v>0</v>
      </c>
      <c r="AA194" s="125">
        <f t="shared" si="53"/>
        <v>0</v>
      </c>
      <c r="AB194" s="125">
        <f t="shared" si="53"/>
        <v>0</v>
      </c>
      <c r="AC194" s="125">
        <f t="shared" si="53"/>
        <v>0</v>
      </c>
      <c r="AD194" s="125">
        <f t="shared" si="53"/>
        <v>0</v>
      </c>
      <c r="AE194" s="125">
        <f t="shared" si="53"/>
        <v>0</v>
      </c>
      <c r="AF194" s="125">
        <f t="shared" si="53"/>
        <v>0</v>
      </c>
      <c r="AG194" s="125">
        <f t="shared" si="53"/>
        <v>0</v>
      </c>
      <c r="AH194" s="125">
        <f t="shared" si="53"/>
        <v>0</v>
      </c>
      <c r="AI194" s="125">
        <f t="shared" si="53"/>
        <v>0</v>
      </c>
      <c r="AJ194" s="45" t="str">
        <f t="shared" si="33"/>
        <v/>
      </c>
      <c r="AK194" s="58"/>
      <c r="AL194" s="58" t="str">
        <f t="shared" si="36"/>
        <v>00</v>
      </c>
      <c r="AM194" s="60" t="str">
        <f t="shared" si="37"/>
        <v>00</v>
      </c>
      <c r="AN194" s="60" t="str">
        <f t="shared" si="38"/>
        <v>00</v>
      </c>
      <c r="AO194" s="60" t="str">
        <f t="shared" si="39"/>
        <v>00</v>
      </c>
      <c r="AQ194" t="str">
        <f t="shared" si="34"/>
        <v/>
      </c>
    </row>
    <row r="195" spans="2:43">
      <c r="B195" s="132"/>
      <c r="C195" s="45">
        <f t="shared" si="35"/>
        <v>59</v>
      </c>
      <c r="D195" s="125">
        <f t="shared" si="53"/>
        <v>0</v>
      </c>
      <c r="E195" s="125">
        <f t="shared" si="53"/>
        <v>0</v>
      </c>
      <c r="F195" s="125">
        <f t="shared" si="53"/>
        <v>0</v>
      </c>
      <c r="G195" s="125">
        <f t="shared" si="53"/>
        <v>0</v>
      </c>
      <c r="H195" s="125">
        <f t="shared" si="53"/>
        <v>0</v>
      </c>
      <c r="I195" s="125">
        <f t="shared" si="53"/>
        <v>0</v>
      </c>
      <c r="J195" s="125">
        <f t="shared" si="53"/>
        <v>0</v>
      </c>
      <c r="K195" s="125">
        <f t="shared" si="53"/>
        <v>0</v>
      </c>
      <c r="L195" s="125">
        <f t="shared" si="53"/>
        <v>0</v>
      </c>
      <c r="M195" s="125">
        <f t="shared" si="53"/>
        <v>0</v>
      </c>
      <c r="N195" s="125">
        <f t="shared" si="53"/>
        <v>0</v>
      </c>
      <c r="O195" s="125">
        <f t="shared" si="53"/>
        <v>0</v>
      </c>
      <c r="P195" s="125">
        <f t="shared" si="53"/>
        <v>0</v>
      </c>
      <c r="Q195" s="125">
        <f t="shared" si="53"/>
        <v>0</v>
      </c>
      <c r="R195" s="125">
        <f t="shared" si="53"/>
        <v>0</v>
      </c>
      <c r="S195" s="125">
        <f t="shared" si="53"/>
        <v>0</v>
      </c>
      <c r="T195" s="125">
        <f t="shared" si="53"/>
        <v>0</v>
      </c>
      <c r="U195" s="125">
        <f t="shared" si="53"/>
        <v>0</v>
      </c>
      <c r="V195" s="125">
        <f t="shared" si="53"/>
        <v>0</v>
      </c>
      <c r="W195" s="125">
        <f t="shared" si="53"/>
        <v>0</v>
      </c>
      <c r="X195" s="125">
        <f t="shared" si="53"/>
        <v>0</v>
      </c>
      <c r="Y195" s="125">
        <f t="shared" si="53"/>
        <v>0</v>
      </c>
      <c r="Z195" s="125">
        <f t="shared" si="53"/>
        <v>0</v>
      </c>
      <c r="AA195" s="125">
        <f t="shared" si="53"/>
        <v>0</v>
      </c>
      <c r="AB195" s="125">
        <f t="shared" si="53"/>
        <v>0</v>
      </c>
      <c r="AC195" s="125">
        <f t="shared" si="53"/>
        <v>0</v>
      </c>
      <c r="AD195" s="125">
        <f t="shared" si="53"/>
        <v>0</v>
      </c>
      <c r="AE195" s="125">
        <f t="shared" si="53"/>
        <v>0</v>
      </c>
      <c r="AF195" s="125">
        <f t="shared" si="53"/>
        <v>0</v>
      </c>
      <c r="AG195" s="125">
        <f t="shared" si="53"/>
        <v>0</v>
      </c>
      <c r="AH195" s="125">
        <f t="shared" si="53"/>
        <v>0</v>
      </c>
      <c r="AI195" s="125">
        <f t="shared" si="53"/>
        <v>0</v>
      </c>
      <c r="AJ195" s="45" t="str">
        <f t="shared" si="33"/>
        <v/>
      </c>
      <c r="AK195" s="58"/>
      <c r="AL195" s="58" t="str">
        <f t="shared" si="36"/>
        <v>00</v>
      </c>
      <c r="AM195" s="60" t="str">
        <f t="shared" si="37"/>
        <v>00</v>
      </c>
      <c r="AN195" s="60" t="str">
        <f t="shared" si="38"/>
        <v>00</v>
      </c>
      <c r="AO195" s="60" t="str">
        <f t="shared" si="39"/>
        <v>00</v>
      </c>
      <c r="AQ195" t="str">
        <f t="shared" si="34"/>
        <v/>
      </c>
    </row>
    <row r="196" spans="2:43">
      <c r="B196" s="132"/>
      <c r="C196" s="45">
        <f t="shared" si="35"/>
        <v>60</v>
      </c>
      <c r="D196" s="125">
        <f t="shared" si="53"/>
        <v>0</v>
      </c>
      <c r="E196" s="125">
        <f t="shared" si="53"/>
        <v>0</v>
      </c>
      <c r="F196" s="125">
        <f t="shared" si="53"/>
        <v>0</v>
      </c>
      <c r="G196" s="125">
        <f t="shared" si="53"/>
        <v>0</v>
      </c>
      <c r="H196" s="125">
        <f t="shared" si="53"/>
        <v>0</v>
      </c>
      <c r="I196" s="125">
        <f t="shared" si="53"/>
        <v>0</v>
      </c>
      <c r="J196" s="125">
        <f t="shared" si="53"/>
        <v>0</v>
      </c>
      <c r="K196" s="125">
        <f t="shared" si="53"/>
        <v>0</v>
      </c>
      <c r="L196" s="125">
        <f t="shared" si="53"/>
        <v>0</v>
      </c>
      <c r="M196" s="125">
        <f t="shared" si="53"/>
        <v>0</v>
      </c>
      <c r="N196" s="125">
        <f t="shared" si="53"/>
        <v>0</v>
      </c>
      <c r="O196" s="125">
        <f t="shared" si="53"/>
        <v>0</v>
      </c>
      <c r="P196" s="125">
        <f t="shared" si="53"/>
        <v>0</v>
      </c>
      <c r="Q196" s="125">
        <f t="shared" si="53"/>
        <v>0</v>
      </c>
      <c r="R196" s="125">
        <f t="shared" si="53"/>
        <v>0</v>
      </c>
      <c r="S196" s="125">
        <f t="shared" si="53"/>
        <v>0</v>
      </c>
      <c r="T196" s="125">
        <f t="shared" si="53"/>
        <v>0</v>
      </c>
      <c r="U196" s="125">
        <f t="shared" si="53"/>
        <v>0</v>
      </c>
      <c r="V196" s="125">
        <f t="shared" si="53"/>
        <v>0</v>
      </c>
      <c r="W196" s="125">
        <f t="shared" si="53"/>
        <v>0</v>
      </c>
      <c r="X196" s="125">
        <f t="shared" si="53"/>
        <v>0</v>
      </c>
      <c r="Y196" s="125">
        <f t="shared" si="53"/>
        <v>0</v>
      </c>
      <c r="Z196" s="125">
        <f t="shared" si="53"/>
        <v>0</v>
      </c>
      <c r="AA196" s="125">
        <f t="shared" si="53"/>
        <v>0</v>
      </c>
      <c r="AB196" s="125">
        <f t="shared" si="53"/>
        <v>0</v>
      </c>
      <c r="AC196" s="125">
        <f t="shared" si="53"/>
        <v>0</v>
      </c>
      <c r="AD196" s="125">
        <f t="shared" si="53"/>
        <v>0</v>
      </c>
      <c r="AE196" s="125">
        <f t="shared" si="53"/>
        <v>0</v>
      </c>
      <c r="AF196" s="125">
        <f t="shared" si="53"/>
        <v>0</v>
      </c>
      <c r="AG196" s="125">
        <f t="shared" si="53"/>
        <v>0</v>
      </c>
      <c r="AH196" s="125">
        <f t="shared" si="53"/>
        <v>0</v>
      </c>
      <c r="AI196" s="125">
        <f t="shared" si="53"/>
        <v>0</v>
      </c>
      <c r="AJ196" s="45" t="str">
        <f t="shared" si="33"/>
        <v/>
      </c>
      <c r="AK196" s="58"/>
      <c r="AL196" s="58" t="str">
        <f t="shared" si="36"/>
        <v>00</v>
      </c>
      <c r="AM196" s="60" t="str">
        <f t="shared" si="37"/>
        <v>00</v>
      </c>
      <c r="AN196" s="60" t="str">
        <f t="shared" si="38"/>
        <v>00</v>
      </c>
      <c r="AO196" s="60" t="str">
        <f t="shared" si="39"/>
        <v>00</v>
      </c>
      <c r="AQ196" t="str">
        <f t="shared" si="34"/>
        <v/>
      </c>
    </row>
    <row r="197" spans="2:43">
      <c r="B197" s="132"/>
      <c r="C197" s="45">
        <f t="shared" si="35"/>
        <v>61</v>
      </c>
      <c r="D197" s="125">
        <f t="shared" si="53"/>
        <v>0</v>
      </c>
      <c r="E197" s="125">
        <f t="shared" si="53"/>
        <v>0</v>
      </c>
      <c r="F197" s="125">
        <f t="shared" si="53"/>
        <v>0</v>
      </c>
      <c r="G197" s="125">
        <f t="shared" si="53"/>
        <v>0</v>
      </c>
      <c r="H197" s="125">
        <f t="shared" si="53"/>
        <v>0</v>
      </c>
      <c r="I197" s="125">
        <f t="shared" si="53"/>
        <v>0</v>
      </c>
      <c r="J197" s="125">
        <f t="shared" si="53"/>
        <v>0</v>
      </c>
      <c r="K197" s="125">
        <f t="shared" si="53"/>
        <v>0</v>
      </c>
      <c r="L197" s="125">
        <f t="shared" si="53"/>
        <v>0</v>
      </c>
      <c r="M197" s="125">
        <f t="shared" si="53"/>
        <v>0</v>
      </c>
      <c r="N197" s="125">
        <f t="shared" si="53"/>
        <v>0</v>
      </c>
      <c r="O197" s="125">
        <f t="shared" si="53"/>
        <v>0</v>
      </c>
      <c r="P197" s="125">
        <f t="shared" si="53"/>
        <v>0</v>
      </c>
      <c r="Q197" s="125">
        <f t="shared" si="53"/>
        <v>0</v>
      </c>
      <c r="R197" s="125">
        <f t="shared" si="53"/>
        <v>0</v>
      </c>
      <c r="S197" s="125">
        <f t="shared" si="53"/>
        <v>0</v>
      </c>
      <c r="T197" s="125">
        <f t="shared" si="53"/>
        <v>0</v>
      </c>
      <c r="U197" s="125">
        <f t="shared" si="53"/>
        <v>0</v>
      </c>
      <c r="V197" s="125">
        <f t="shared" si="53"/>
        <v>0</v>
      </c>
      <c r="W197" s="125">
        <f t="shared" si="53"/>
        <v>0</v>
      </c>
      <c r="X197" s="125">
        <f t="shared" si="53"/>
        <v>0</v>
      </c>
      <c r="Y197" s="125">
        <f t="shared" si="53"/>
        <v>0</v>
      </c>
      <c r="Z197" s="125">
        <f t="shared" si="53"/>
        <v>0</v>
      </c>
      <c r="AA197" s="125">
        <f t="shared" si="53"/>
        <v>0</v>
      </c>
      <c r="AB197" s="125">
        <f t="shared" si="53"/>
        <v>0</v>
      </c>
      <c r="AC197" s="125">
        <f t="shared" si="53"/>
        <v>0</v>
      </c>
      <c r="AD197" s="125">
        <f t="shared" si="53"/>
        <v>0</v>
      </c>
      <c r="AE197" s="125">
        <f t="shared" si="53"/>
        <v>0</v>
      </c>
      <c r="AF197" s="125">
        <f t="shared" si="53"/>
        <v>0</v>
      </c>
      <c r="AG197" s="125">
        <f t="shared" si="53"/>
        <v>0</v>
      </c>
      <c r="AH197" s="125">
        <f t="shared" si="53"/>
        <v>0</v>
      </c>
      <c r="AI197" s="125">
        <f t="shared" si="53"/>
        <v>0</v>
      </c>
      <c r="AJ197" s="45" t="str">
        <f t="shared" si="33"/>
        <v/>
      </c>
      <c r="AK197" s="58"/>
      <c r="AL197" s="58" t="str">
        <f t="shared" si="36"/>
        <v>00</v>
      </c>
      <c r="AM197" s="60" t="str">
        <f t="shared" si="37"/>
        <v>00</v>
      </c>
      <c r="AN197" s="60" t="str">
        <f t="shared" si="38"/>
        <v>00</v>
      </c>
      <c r="AO197" s="60" t="str">
        <f t="shared" si="39"/>
        <v>00</v>
      </c>
      <c r="AQ197" t="str">
        <f t="shared" si="34"/>
        <v/>
      </c>
    </row>
    <row r="198" spans="2:43">
      <c r="B198" s="132"/>
      <c r="C198" s="45">
        <f t="shared" si="35"/>
        <v>62</v>
      </c>
      <c r="D198" s="125">
        <f t="shared" si="53"/>
        <v>0</v>
      </c>
      <c r="E198" s="125">
        <f t="shared" si="53"/>
        <v>0</v>
      </c>
      <c r="F198" s="125">
        <f t="shared" si="53"/>
        <v>0</v>
      </c>
      <c r="G198" s="125">
        <f t="shared" si="53"/>
        <v>0</v>
      </c>
      <c r="H198" s="125">
        <f t="shared" si="53"/>
        <v>0</v>
      </c>
      <c r="I198" s="125">
        <f t="shared" si="53"/>
        <v>0</v>
      </c>
      <c r="J198" s="125">
        <f t="shared" si="53"/>
        <v>0</v>
      </c>
      <c r="K198" s="125">
        <f t="shared" si="53"/>
        <v>0</v>
      </c>
      <c r="L198" s="125">
        <f t="shared" si="53"/>
        <v>0</v>
      </c>
      <c r="M198" s="125">
        <f t="shared" si="53"/>
        <v>0</v>
      </c>
      <c r="N198" s="125">
        <f t="shared" si="53"/>
        <v>0</v>
      </c>
      <c r="O198" s="125">
        <f t="shared" si="53"/>
        <v>0</v>
      </c>
      <c r="P198" s="125">
        <f t="shared" si="53"/>
        <v>0</v>
      </c>
      <c r="Q198" s="125">
        <f t="shared" si="53"/>
        <v>0</v>
      </c>
      <c r="R198" s="125">
        <f t="shared" si="53"/>
        <v>0</v>
      </c>
      <c r="S198" s="125">
        <f t="shared" si="53"/>
        <v>0</v>
      </c>
      <c r="T198" s="125">
        <f t="shared" si="53"/>
        <v>0</v>
      </c>
      <c r="U198" s="125">
        <f t="shared" si="53"/>
        <v>0</v>
      </c>
      <c r="V198" s="125">
        <f t="shared" si="53"/>
        <v>0</v>
      </c>
      <c r="W198" s="125">
        <f t="shared" si="53"/>
        <v>0</v>
      </c>
      <c r="X198" s="125">
        <f t="shared" si="53"/>
        <v>0</v>
      </c>
      <c r="Y198" s="125">
        <f t="shared" si="53"/>
        <v>0</v>
      </c>
      <c r="Z198" s="125">
        <f t="shared" si="53"/>
        <v>0</v>
      </c>
      <c r="AA198" s="125">
        <f t="shared" si="53"/>
        <v>0</v>
      </c>
      <c r="AB198" s="125">
        <f t="shared" si="53"/>
        <v>0</v>
      </c>
      <c r="AC198" s="125">
        <f t="shared" si="53"/>
        <v>0</v>
      </c>
      <c r="AD198" s="125">
        <f t="shared" si="53"/>
        <v>0</v>
      </c>
      <c r="AE198" s="125">
        <f t="shared" si="53"/>
        <v>0</v>
      </c>
      <c r="AF198" s="125">
        <f t="shared" si="53"/>
        <v>0</v>
      </c>
      <c r="AG198" s="125">
        <f t="shared" si="53"/>
        <v>0</v>
      </c>
      <c r="AH198" s="125">
        <f t="shared" si="53"/>
        <v>0</v>
      </c>
      <c r="AI198" s="125">
        <f t="shared" si="53"/>
        <v>0</v>
      </c>
      <c r="AJ198" s="45" t="str">
        <f t="shared" si="33"/>
        <v/>
      </c>
      <c r="AK198" s="58"/>
      <c r="AL198" s="58" t="str">
        <f t="shared" si="36"/>
        <v>00</v>
      </c>
      <c r="AM198" s="60" t="str">
        <f t="shared" si="37"/>
        <v>00</v>
      </c>
      <c r="AN198" s="60" t="str">
        <f t="shared" si="38"/>
        <v>00</v>
      </c>
      <c r="AO198" s="60" t="str">
        <f t="shared" si="39"/>
        <v>00</v>
      </c>
      <c r="AQ198" t="str">
        <f t="shared" si="34"/>
        <v/>
      </c>
    </row>
    <row r="199" spans="2:43">
      <c r="B199" s="133"/>
      <c r="C199" s="45">
        <f t="shared" si="35"/>
        <v>63</v>
      </c>
      <c r="D199" s="125">
        <f t="shared" si="53"/>
        <v>0</v>
      </c>
      <c r="E199" s="125">
        <f t="shared" si="53"/>
        <v>0</v>
      </c>
      <c r="F199" s="125">
        <f t="shared" si="53"/>
        <v>0</v>
      </c>
      <c r="G199" s="125">
        <f t="shared" si="53"/>
        <v>0</v>
      </c>
      <c r="H199" s="125">
        <f t="shared" si="53"/>
        <v>0</v>
      </c>
      <c r="I199" s="125">
        <f t="shared" si="53"/>
        <v>0</v>
      </c>
      <c r="J199" s="125">
        <f t="shared" si="53"/>
        <v>0</v>
      </c>
      <c r="K199" s="125">
        <f t="shared" si="53"/>
        <v>0</v>
      </c>
      <c r="L199" s="125">
        <f t="shared" si="53"/>
        <v>0</v>
      </c>
      <c r="M199" s="125">
        <f t="shared" si="53"/>
        <v>0</v>
      </c>
      <c r="N199" s="125">
        <f t="shared" si="53"/>
        <v>0</v>
      </c>
      <c r="O199" s="125">
        <f t="shared" si="53"/>
        <v>0</v>
      </c>
      <c r="P199" s="125">
        <f t="shared" si="53"/>
        <v>0</v>
      </c>
      <c r="Q199" s="125">
        <f t="shared" si="53"/>
        <v>0</v>
      </c>
      <c r="R199" s="125">
        <f t="shared" si="53"/>
        <v>0</v>
      </c>
      <c r="S199" s="125">
        <f t="shared" si="53"/>
        <v>0</v>
      </c>
      <c r="T199" s="125">
        <f t="shared" si="53"/>
        <v>0</v>
      </c>
      <c r="U199" s="125">
        <f t="shared" si="53"/>
        <v>0</v>
      </c>
      <c r="V199" s="125">
        <f t="shared" si="53"/>
        <v>0</v>
      </c>
      <c r="W199" s="125">
        <f t="shared" si="53"/>
        <v>0</v>
      </c>
      <c r="X199" s="125">
        <f t="shared" si="53"/>
        <v>0</v>
      </c>
      <c r="Y199" s="125">
        <f t="shared" si="53"/>
        <v>0</v>
      </c>
      <c r="Z199" s="125">
        <f t="shared" si="53"/>
        <v>0</v>
      </c>
      <c r="AA199" s="125">
        <f t="shared" si="53"/>
        <v>0</v>
      </c>
      <c r="AB199" s="125">
        <f t="shared" si="53"/>
        <v>0</v>
      </c>
      <c r="AC199" s="125">
        <f t="shared" si="53"/>
        <v>0</v>
      </c>
      <c r="AD199" s="125">
        <f t="shared" si="53"/>
        <v>0</v>
      </c>
      <c r="AE199" s="125">
        <f t="shared" si="53"/>
        <v>0</v>
      </c>
      <c r="AF199" s="125">
        <f t="shared" si="53"/>
        <v>0</v>
      </c>
      <c r="AG199" s="125">
        <f t="shared" si="53"/>
        <v>0</v>
      </c>
      <c r="AH199" s="125">
        <f t="shared" si="53"/>
        <v>0</v>
      </c>
      <c r="AI199" s="125">
        <f t="shared" ref="AI199" si="54">IF(OR(AI69=0,AI69=1),1,0)</f>
        <v>0</v>
      </c>
      <c r="AJ199" s="45" t="str">
        <f t="shared" si="33"/>
        <v/>
      </c>
      <c r="AK199" s="58"/>
      <c r="AL199" s="58" t="str">
        <f t="shared" si="36"/>
        <v>00</v>
      </c>
      <c r="AM199" s="60" t="str">
        <f t="shared" si="37"/>
        <v>00</v>
      </c>
      <c r="AN199" s="60" t="str">
        <f t="shared" si="38"/>
        <v>00</v>
      </c>
      <c r="AO199" s="60" t="str">
        <f t="shared" si="39"/>
        <v>00</v>
      </c>
      <c r="AQ199" t="str">
        <f t="shared" si="34"/>
        <v/>
      </c>
    </row>
  </sheetData>
  <protectedRanges>
    <protectedRange sqref="B3 AJ38:AJ44 D45:AJ69 L3:AA3 D6:AI44" name="Table作成編集範囲"/>
    <protectedRange sqref="AJ6:AJ37" name="Table作成編集範囲_3"/>
    <protectedRange sqref="AH3:AI3 AB3:AE3" name="Table作成編集範囲_1_1"/>
  </protectedRanges>
  <mergeCells count="4">
    <mergeCell ref="C2:C3"/>
    <mergeCell ref="AJ2:AJ3"/>
    <mergeCell ref="A4:B5"/>
    <mergeCell ref="AF3:AG3"/>
  </mergeCells>
  <phoneticPr fontId="2"/>
  <conditionalFormatting sqref="D6:O53 D54:AC69">
    <cfRule type="cellIs" dxfId="14940" priority="34582" operator="equal">
      <formula>1</formula>
    </cfRule>
    <cfRule type="cellIs" dxfId="14939" priority="34583" operator="equal">
      <formula>"×"</formula>
    </cfRule>
  </conditionalFormatting>
  <conditionalFormatting sqref="AR5:AS70">
    <cfRule type="expression" dxfId="14938" priority="34581">
      <formula>$B$3="Index Table"</formula>
    </cfRule>
  </conditionalFormatting>
  <conditionalFormatting sqref="P46:AC53 P6:Z7 P8:Y45 Y6:AA39">
    <cfRule type="cellIs" dxfId="14937" priority="33573" operator="equal">
      <formula>1</formula>
    </cfRule>
    <cfRule type="cellIs" dxfId="14936" priority="33574" operator="equal">
      <formula>"×"</formula>
    </cfRule>
  </conditionalFormatting>
  <conditionalFormatting sqref="AG13:AH15">
    <cfRule type="cellIs" dxfId="14935" priority="33501" operator="equal">
      <formula>1</formula>
    </cfRule>
    <cfRule type="cellIs" dxfId="14934" priority="33502" operator="equal">
      <formula>"×"</formula>
    </cfRule>
  </conditionalFormatting>
  <conditionalFormatting sqref="AE46:AI69">
    <cfRule type="cellIs" dxfId="14933" priority="33477" operator="equal">
      <formula>1</formula>
    </cfRule>
    <cfRule type="cellIs" dxfId="14932" priority="33478" operator="equal">
      <formula>"×"</formula>
    </cfRule>
  </conditionalFormatting>
  <conditionalFormatting sqref="AD46:AD69">
    <cfRule type="cellIs" dxfId="14931" priority="33479" operator="equal">
      <formula>1</formula>
    </cfRule>
    <cfRule type="cellIs" dxfId="14930" priority="33480" operator="equal">
      <formula>"×"</formula>
    </cfRule>
  </conditionalFormatting>
  <conditionalFormatting sqref="AF20:AF23">
    <cfRule type="cellIs" dxfId="14929" priority="1815" operator="equal">
      <formula>1</formula>
    </cfRule>
    <cfRule type="cellIs" dxfId="14928" priority="1816" operator="equal">
      <formula>"×"</formula>
    </cfRule>
  </conditionalFormatting>
  <conditionalFormatting sqref="AF20:AF23">
    <cfRule type="cellIs" dxfId="14927" priority="1813" operator="equal">
      <formula>1</formula>
    </cfRule>
    <cfRule type="cellIs" dxfId="14926" priority="1814" operator="equal">
      <formula>"×"</formula>
    </cfRule>
  </conditionalFormatting>
  <conditionalFormatting sqref="AF20:AF23">
    <cfRule type="cellIs" dxfId="14925" priority="1811" operator="equal">
      <formula>1</formula>
    </cfRule>
    <cfRule type="cellIs" dxfId="14924" priority="1812" operator="equal">
      <formula>"×"</formula>
    </cfRule>
  </conditionalFormatting>
  <conditionalFormatting sqref="AF20:AF23">
    <cfRule type="cellIs" dxfId="14923" priority="1809" operator="equal">
      <formula>1</formula>
    </cfRule>
    <cfRule type="cellIs" dxfId="14922" priority="1810" operator="equal">
      <formula>"×"</formula>
    </cfRule>
  </conditionalFormatting>
  <conditionalFormatting sqref="AF20:AF23">
    <cfRule type="cellIs" dxfId="14921" priority="1807" operator="equal">
      <formula>1</formula>
    </cfRule>
    <cfRule type="cellIs" dxfId="14920" priority="1808" operator="equal">
      <formula>"×"</formula>
    </cfRule>
  </conditionalFormatting>
  <conditionalFormatting sqref="AF8:AI8">
    <cfRule type="cellIs" dxfId="14919" priority="5489" operator="equal">
      <formula>1</formula>
    </cfRule>
    <cfRule type="cellIs" dxfId="14918" priority="5490" operator="equal">
      <formula>"×"</formula>
    </cfRule>
  </conditionalFormatting>
  <conditionalFormatting sqref="AC8">
    <cfRule type="cellIs" dxfId="14917" priority="5491" operator="equal">
      <formula>1</formula>
    </cfRule>
    <cfRule type="cellIs" dxfId="14916" priority="5492" operator="equal">
      <formula>"×"</formula>
    </cfRule>
  </conditionalFormatting>
  <conditionalFormatting sqref="AI8">
    <cfRule type="cellIs" dxfId="14915" priority="5487" operator="equal">
      <formula>1</formula>
    </cfRule>
    <cfRule type="cellIs" dxfId="14914" priority="5488" operator="equal">
      <formula>"×"</formula>
    </cfRule>
  </conditionalFormatting>
  <conditionalFormatting sqref="AD8">
    <cfRule type="cellIs" dxfId="14913" priority="5485" operator="equal">
      <formula>1</formula>
    </cfRule>
    <cfRule type="cellIs" dxfId="14912" priority="5486" operator="equal">
      <formula>"×"</formula>
    </cfRule>
  </conditionalFormatting>
  <conditionalFormatting sqref="AD8">
    <cfRule type="cellIs" dxfId="14911" priority="5483" operator="equal">
      <formula>1</formula>
    </cfRule>
    <cfRule type="cellIs" dxfId="14910" priority="5484" operator="equal">
      <formula>"×"</formula>
    </cfRule>
  </conditionalFormatting>
  <conditionalFormatting sqref="AD8">
    <cfRule type="cellIs" dxfId="14909" priority="5481" operator="equal">
      <formula>1</formula>
    </cfRule>
    <cfRule type="cellIs" dxfId="14908" priority="5482" operator="equal">
      <formula>"×"</formula>
    </cfRule>
  </conditionalFormatting>
  <conditionalFormatting sqref="AD8">
    <cfRule type="cellIs" dxfId="14907" priority="5479" operator="equal">
      <formula>1</formula>
    </cfRule>
    <cfRule type="cellIs" dxfId="14906" priority="5480" operator="equal">
      <formula>"×"</formula>
    </cfRule>
  </conditionalFormatting>
  <conditionalFormatting sqref="AF12">
    <cfRule type="cellIs" dxfId="14905" priority="5477" operator="equal">
      <formula>1</formula>
    </cfRule>
    <cfRule type="cellIs" dxfId="14904" priority="5478" operator="equal">
      <formula>"×"</formula>
    </cfRule>
  </conditionalFormatting>
  <conditionalFormatting sqref="AF23">
    <cfRule type="cellIs" dxfId="14903" priority="1953" operator="equal">
      <formula>1</formula>
    </cfRule>
    <cfRule type="cellIs" dxfId="14902" priority="1954" operator="equal">
      <formula>"×"</formula>
    </cfRule>
  </conditionalFormatting>
  <conditionalFormatting sqref="AF23">
    <cfRule type="cellIs" dxfId="14901" priority="1951" operator="equal">
      <formula>1</formula>
    </cfRule>
    <cfRule type="cellIs" dxfId="14900" priority="1952" operator="equal">
      <formula>"×"</formula>
    </cfRule>
  </conditionalFormatting>
  <conditionalFormatting sqref="AC7:AI7 AB6:AD7">
    <cfRule type="cellIs" dxfId="14899" priority="33395" operator="equal">
      <formula>1</formula>
    </cfRule>
    <cfRule type="cellIs" dxfId="14898" priority="33396" operator="equal">
      <formula>"×"</formula>
    </cfRule>
  </conditionalFormatting>
  <conditionalFormatting sqref="AD6:AE7 AE9 AE15">
    <cfRule type="cellIs" dxfId="14897" priority="33393" operator="equal">
      <formula>1</formula>
    </cfRule>
    <cfRule type="cellIs" dxfId="14896" priority="33394" operator="equal">
      <formula>"×"</formula>
    </cfRule>
  </conditionalFormatting>
  <conditionalFormatting sqref="AD6:AI6 AD7:AE7">
    <cfRule type="cellIs" dxfId="14895" priority="33391" operator="equal">
      <formula>1</formula>
    </cfRule>
    <cfRule type="cellIs" dxfId="14894" priority="33392" operator="equal">
      <formula>"×"</formula>
    </cfRule>
  </conditionalFormatting>
  <conditionalFormatting sqref="AI6">
    <cfRule type="cellIs" dxfId="14893" priority="33389" operator="equal">
      <formula>1</formula>
    </cfRule>
    <cfRule type="cellIs" dxfId="14892" priority="33390" operator="equal">
      <formula>"×"</formula>
    </cfRule>
  </conditionalFormatting>
  <conditionalFormatting sqref="AE19 AF17:AI19 AE9:AI10 AF8:AI9 AD6:AI8 AE13:AI16 AF11:AI15">
    <cfRule type="cellIs" dxfId="14891" priority="33381" operator="equal">
      <formula>1</formula>
    </cfRule>
    <cfRule type="cellIs" dxfId="14890" priority="33382" operator="equal">
      <formula>"×"</formula>
    </cfRule>
  </conditionalFormatting>
  <conditionalFormatting sqref="AD6:AD7">
    <cfRule type="cellIs" dxfId="14889" priority="33383" operator="equal">
      <formula>1</formula>
    </cfRule>
    <cfRule type="cellIs" dxfId="14888" priority="33384" operator="equal">
      <formula>"×"</formula>
    </cfRule>
  </conditionalFormatting>
  <conditionalFormatting sqref="AF23">
    <cfRule type="cellIs" dxfId="14887" priority="2093" operator="equal">
      <formula>1</formula>
    </cfRule>
    <cfRule type="cellIs" dxfId="14886" priority="2094" operator="equal">
      <formula>"×"</formula>
    </cfRule>
  </conditionalFormatting>
  <conditionalFormatting sqref="AF23">
    <cfRule type="cellIs" dxfId="14885" priority="2089" operator="equal">
      <formula>1</formula>
    </cfRule>
    <cfRule type="cellIs" dxfId="14884" priority="2090" operator="equal">
      <formula>"×"</formula>
    </cfRule>
  </conditionalFormatting>
  <conditionalFormatting sqref="AF23">
    <cfRule type="cellIs" dxfId="14883" priority="2091" operator="equal">
      <formula>1</formula>
    </cfRule>
    <cfRule type="cellIs" dxfId="14882" priority="2092" operator="equal">
      <formula>"×"</formula>
    </cfRule>
  </conditionalFormatting>
  <conditionalFormatting sqref="AF23">
    <cfRule type="cellIs" dxfId="14881" priority="2087" operator="equal">
      <formula>1</formula>
    </cfRule>
    <cfRule type="cellIs" dxfId="14880" priority="2088" operator="equal">
      <formula>"×"</formula>
    </cfRule>
  </conditionalFormatting>
  <conditionalFormatting sqref="AF23">
    <cfRule type="cellIs" dxfId="14879" priority="2085" operator="equal">
      <formula>1</formula>
    </cfRule>
    <cfRule type="cellIs" dxfId="14878" priority="2086" operator="equal">
      <formula>"×"</formula>
    </cfRule>
  </conditionalFormatting>
  <conditionalFormatting sqref="AF23">
    <cfRule type="cellIs" dxfId="14877" priority="2083" operator="equal">
      <formula>1</formula>
    </cfRule>
    <cfRule type="cellIs" dxfId="14876" priority="2084" operator="equal">
      <formula>"×"</formula>
    </cfRule>
  </conditionalFormatting>
  <conditionalFormatting sqref="AF23">
    <cfRule type="cellIs" dxfId="14875" priority="2075" operator="equal">
      <formula>1</formula>
    </cfRule>
    <cfRule type="cellIs" dxfId="14874" priority="2076" operator="equal">
      <formula>"×"</formula>
    </cfRule>
  </conditionalFormatting>
  <conditionalFormatting sqref="AF23">
    <cfRule type="cellIs" dxfId="14873" priority="2073" operator="equal">
      <formula>1</formula>
    </cfRule>
    <cfRule type="cellIs" dxfId="14872" priority="2074" operator="equal">
      <formula>"×"</formula>
    </cfRule>
  </conditionalFormatting>
  <conditionalFormatting sqref="AF23">
    <cfRule type="cellIs" dxfId="14871" priority="2071" operator="equal">
      <formula>1</formula>
    </cfRule>
    <cfRule type="cellIs" dxfId="14870" priority="2072" operator="equal">
      <formula>"×"</formula>
    </cfRule>
  </conditionalFormatting>
  <conditionalFormatting sqref="AF23">
    <cfRule type="cellIs" dxfId="14869" priority="2069" operator="equal">
      <formula>1</formula>
    </cfRule>
    <cfRule type="cellIs" dxfId="14868" priority="2070" operator="equal">
      <formula>"×"</formula>
    </cfRule>
  </conditionalFormatting>
  <conditionalFormatting sqref="AF23">
    <cfRule type="cellIs" dxfId="14867" priority="2065" operator="equal">
      <formula>1</formula>
    </cfRule>
    <cfRule type="cellIs" dxfId="14866" priority="2066" operator="equal">
      <formula>"×"</formula>
    </cfRule>
  </conditionalFormatting>
  <conditionalFormatting sqref="AF23">
    <cfRule type="cellIs" dxfId="14865" priority="2067" operator="equal">
      <formula>1</formula>
    </cfRule>
    <cfRule type="cellIs" dxfId="14864" priority="2068" operator="equal">
      <formula>"×"</formula>
    </cfRule>
  </conditionalFormatting>
  <conditionalFormatting sqref="AF23:AI23">
    <cfRule type="cellIs" dxfId="14863" priority="2063" operator="equal">
      <formula>1</formula>
    </cfRule>
    <cfRule type="cellIs" dxfId="14862" priority="2064" operator="equal">
      <formula>"×"</formula>
    </cfRule>
  </conditionalFormatting>
  <conditionalFormatting sqref="AF23:AI23">
    <cfRule type="cellIs" dxfId="14861" priority="2061" operator="equal">
      <formula>1</formula>
    </cfRule>
    <cfRule type="cellIs" dxfId="14860" priority="2062" operator="equal">
      <formula>"×"</formula>
    </cfRule>
  </conditionalFormatting>
  <conditionalFormatting sqref="AF23:AI23">
    <cfRule type="cellIs" dxfId="14859" priority="2059" operator="equal">
      <formula>1</formula>
    </cfRule>
    <cfRule type="cellIs" dxfId="14858" priority="2060" operator="equal">
      <formula>"×"</formula>
    </cfRule>
  </conditionalFormatting>
  <conditionalFormatting sqref="AG13:AI15">
    <cfRule type="cellIs" dxfId="14857" priority="33333" operator="equal">
      <formula>1</formula>
    </cfRule>
    <cfRule type="cellIs" dxfId="14856" priority="33334" operator="equal">
      <formula>"×"</formula>
    </cfRule>
  </conditionalFormatting>
  <conditionalFormatting sqref="AI13:AI15">
    <cfRule type="cellIs" dxfId="14855" priority="33331" operator="equal">
      <formula>1</formula>
    </cfRule>
    <cfRule type="cellIs" dxfId="14854" priority="33332" operator="equal">
      <formula>"×"</formula>
    </cfRule>
  </conditionalFormatting>
  <conditionalFormatting sqref="AG13:AI15">
    <cfRule type="cellIs" dxfId="14853" priority="33329" operator="equal">
      <formula>1</formula>
    </cfRule>
    <cfRule type="cellIs" dxfId="14852" priority="33330" operator="equal">
      <formula>"×"</formula>
    </cfRule>
  </conditionalFormatting>
  <conditionalFormatting sqref="AF13">
    <cfRule type="cellIs" dxfId="14851" priority="33327" operator="equal">
      <formula>1</formula>
    </cfRule>
    <cfRule type="cellIs" dxfId="14850" priority="33328" operator="equal">
      <formula>"×"</formula>
    </cfRule>
  </conditionalFormatting>
  <conditionalFormatting sqref="AF13">
    <cfRule type="cellIs" dxfId="14849" priority="33325" operator="equal">
      <formula>1</formula>
    </cfRule>
    <cfRule type="cellIs" dxfId="14848" priority="33326" operator="equal">
      <formula>"×"</formula>
    </cfRule>
  </conditionalFormatting>
  <conditionalFormatting sqref="AH14:AI14">
    <cfRule type="cellIs" dxfId="14847" priority="5915" operator="equal">
      <formula>1</formula>
    </cfRule>
    <cfRule type="cellIs" dxfId="14846" priority="5916" operator="equal">
      <formula>"×"</formula>
    </cfRule>
  </conditionalFormatting>
  <conditionalFormatting sqref="AH14:AI14">
    <cfRule type="cellIs" dxfId="14845" priority="5913" operator="equal">
      <formula>1</formula>
    </cfRule>
    <cfRule type="cellIs" dxfId="14844" priority="5914" operator="equal">
      <formula>"×"</formula>
    </cfRule>
  </conditionalFormatting>
  <conditionalFormatting sqref="AH14:AI14">
    <cfRule type="cellIs" dxfId="14843" priority="5911" operator="equal">
      <formula>1</formula>
    </cfRule>
    <cfRule type="cellIs" dxfId="14842" priority="5912" operator="equal">
      <formula>"×"</formula>
    </cfRule>
  </conditionalFormatting>
  <conditionalFormatting sqref="AH14:AI14">
    <cfRule type="cellIs" dxfId="14841" priority="5909" operator="equal">
      <formula>1</formula>
    </cfRule>
    <cfRule type="cellIs" dxfId="14840" priority="5910" operator="equal">
      <formula>"×"</formula>
    </cfRule>
  </conditionalFormatting>
  <conditionalFormatting sqref="AH14:AI14">
    <cfRule type="cellIs" dxfId="14839" priority="5907" operator="equal">
      <formula>1</formula>
    </cfRule>
    <cfRule type="cellIs" dxfId="14838" priority="5908" operator="equal">
      <formula>"×"</formula>
    </cfRule>
  </conditionalFormatting>
  <conditionalFormatting sqref="AI20:AI21">
    <cfRule type="cellIs" dxfId="14837" priority="3155" operator="equal">
      <formula>1</formula>
    </cfRule>
    <cfRule type="cellIs" dxfId="14836" priority="3156" operator="equal">
      <formula>"×"</formula>
    </cfRule>
  </conditionalFormatting>
  <conditionalFormatting sqref="AF14:AG14">
    <cfRule type="cellIs" dxfId="14835" priority="5931" operator="equal">
      <formula>1</formula>
    </cfRule>
    <cfRule type="cellIs" dxfId="14834" priority="5932" operator="equal">
      <formula>"×"</formula>
    </cfRule>
  </conditionalFormatting>
  <conditionalFormatting sqref="AF23">
    <cfRule type="cellIs" dxfId="14833" priority="1991" operator="equal">
      <formula>1</formula>
    </cfRule>
    <cfRule type="cellIs" dxfId="14832" priority="1992" operator="equal">
      <formula>"×"</formula>
    </cfRule>
  </conditionalFormatting>
  <conditionalFormatting sqref="AB14">
    <cfRule type="cellIs" dxfId="14831" priority="5677" operator="equal">
      <formula>1</formula>
    </cfRule>
    <cfRule type="cellIs" dxfId="14830" priority="5678" operator="equal">
      <formula>"×"</formula>
    </cfRule>
  </conditionalFormatting>
  <conditionalFormatting sqref="AF23">
    <cfRule type="cellIs" dxfId="14829" priority="1987" operator="equal">
      <formula>1</formula>
    </cfRule>
    <cfRule type="cellIs" dxfId="14828" priority="1988" operator="equal">
      <formula>"×"</formula>
    </cfRule>
  </conditionalFormatting>
  <conditionalFormatting sqref="AF23">
    <cfRule type="cellIs" dxfId="14827" priority="1985" operator="equal">
      <formula>1</formula>
    </cfRule>
    <cfRule type="cellIs" dxfId="14826" priority="1986" operator="equal">
      <formula>"×"</formula>
    </cfRule>
  </conditionalFormatting>
  <conditionalFormatting sqref="AF23">
    <cfRule type="cellIs" dxfId="14825" priority="1981" operator="equal">
      <formula>1</formula>
    </cfRule>
    <cfRule type="cellIs" dxfId="14824" priority="1982" operator="equal">
      <formula>"×"</formula>
    </cfRule>
  </conditionalFormatting>
  <conditionalFormatting sqref="AF23">
    <cfRule type="cellIs" dxfId="14823" priority="1983" operator="equal">
      <formula>1</formula>
    </cfRule>
    <cfRule type="cellIs" dxfId="14822" priority="1984" operator="equal">
      <formula>"×"</formula>
    </cfRule>
  </conditionalFormatting>
  <conditionalFormatting sqref="AF23">
    <cfRule type="cellIs" dxfId="14821" priority="1979" operator="equal">
      <formula>1</formula>
    </cfRule>
    <cfRule type="cellIs" dxfId="14820" priority="1980" operator="equal">
      <formula>"×"</formula>
    </cfRule>
  </conditionalFormatting>
  <conditionalFormatting sqref="AG23:AI23">
    <cfRule type="cellIs" dxfId="14819" priority="1977" operator="equal">
      <formula>1</formula>
    </cfRule>
    <cfRule type="cellIs" dxfId="14818" priority="1978" operator="equal">
      <formula>"×"</formula>
    </cfRule>
  </conditionalFormatting>
  <conditionalFormatting sqref="AI23">
    <cfRule type="cellIs" dxfId="14817" priority="1975" operator="equal">
      <formula>1</formula>
    </cfRule>
    <cfRule type="cellIs" dxfId="14816" priority="1976" operator="equal">
      <formula>"×"</formula>
    </cfRule>
  </conditionalFormatting>
  <conditionalFormatting sqref="AG23:AI23">
    <cfRule type="cellIs" dxfId="14815" priority="1973" operator="equal">
      <formula>1</formula>
    </cfRule>
    <cfRule type="cellIs" dxfId="14814" priority="1974" operator="equal">
      <formula>"×"</formula>
    </cfRule>
  </conditionalFormatting>
  <conditionalFormatting sqref="AG23:AI23">
    <cfRule type="cellIs" dxfId="14813" priority="1971" operator="equal">
      <formula>1</formula>
    </cfRule>
    <cfRule type="cellIs" dxfId="14812" priority="1972" operator="equal">
      <formula>"×"</formula>
    </cfRule>
  </conditionalFormatting>
  <conditionalFormatting sqref="AI23">
    <cfRule type="cellIs" dxfId="14811" priority="1965" operator="equal">
      <formula>1</formula>
    </cfRule>
    <cfRule type="cellIs" dxfId="14810" priority="1966" operator="equal">
      <formula>"×"</formula>
    </cfRule>
  </conditionalFormatting>
  <conditionalFormatting sqref="AI23">
    <cfRule type="cellIs" dxfId="14809" priority="1963" operator="equal">
      <formula>1</formula>
    </cfRule>
    <cfRule type="cellIs" dxfId="14808" priority="1964" operator="equal">
      <formula>"×"</formula>
    </cfRule>
  </conditionalFormatting>
  <conditionalFormatting sqref="AI23">
    <cfRule type="cellIs" dxfId="14807" priority="1961" operator="equal">
      <formula>1</formula>
    </cfRule>
    <cfRule type="cellIs" dxfId="14806" priority="1962" operator="equal">
      <formula>"×"</formula>
    </cfRule>
  </conditionalFormatting>
  <conditionalFormatting sqref="AI23">
    <cfRule type="cellIs" dxfId="14805" priority="1959" operator="equal">
      <formula>1</formula>
    </cfRule>
    <cfRule type="cellIs" dxfId="14804" priority="1960" operator="equal">
      <formula>"×"</formula>
    </cfRule>
  </conditionalFormatting>
  <conditionalFormatting sqref="AI23">
    <cfRule type="cellIs" dxfId="14803" priority="1957" operator="equal">
      <formula>1</formula>
    </cfRule>
    <cfRule type="cellIs" dxfId="14802" priority="1958" operator="equal">
      <formula>"×"</formula>
    </cfRule>
  </conditionalFormatting>
  <conditionalFormatting sqref="AH22:AI22">
    <cfRule type="cellIs" dxfId="14801" priority="2139" operator="equal">
      <formula>1</formula>
    </cfRule>
    <cfRule type="cellIs" dxfId="14800" priority="2140" operator="equal">
      <formula>"×"</formula>
    </cfRule>
  </conditionalFormatting>
  <conditionalFormatting sqref="AE15">
    <cfRule type="cellIs" dxfId="14799" priority="33223" operator="equal">
      <formula>1</formula>
    </cfRule>
    <cfRule type="cellIs" dxfId="14798" priority="33224" operator="equal">
      <formula>"×"</formula>
    </cfRule>
  </conditionalFormatting>
  <conditionalFormatting sqref="AE15 AF13:AI13">
    <cfRule type="cellIs" dxfId="14797" priority="33221" operator="equal">
      <formula>1</formula>
    </cfRule>
    <cfRule type="cellIs" dxfId="14796" priority="33222" operator="equal">
      <formula>"×"</formula>
    </cfRule>
  </conditionalFormatting>
  <conditionalFormatting sqref="AI13">
    <cfRule type="cellIs" dxfId="14795" priority="33219" operator="equal">
      <formula>1</formula>
    </cfRule>
    <cfRule type="cellIs" dxfId="14794" priority="33220" operator="equal">
      <formula>"×"</formula>
    </cfRule>
  </conditionalFormatting>
  <conditionalFormatting sqref="AE15 AF13:AI13">
    <cfRule type="cellIs" dxfId="14793" priority="33215" operator="equal">
      <formula>1</formula>
    </cfRule>
    <cfRule type="cellIs" dxfId="14792" priority="33216" operator="equal">
      <formula>"×"</formula>
    </cfRule>
  </conditionalFormatting>
  <conditionalFormatting sqref="AH20">
    <cfRule type="cellIs" dxfId="14791" priority="2131" operator="equal">
      <formula>1</formula>
    </cfRule>
    <cfRule type="cellIs" dxfId="14790" priority="2132" operator="equal">
      <formula>"×"</formula>
    </cfRule>
  </conditionalFormatting>
  <conditionalFormatting sqref="AH20">
    <cfRule type="cellIs" dxfId="14789" priority="2127" operator="equal">
      <formula>1</formula>
    </cfRule>
    <cfRule type="cellIs" dxfId="14788" priority="2128" operator="equal">
      <formula>"×"</formula>
    </cfRule>
  </conditionalFormatting>
  <conditionalFormatting sqref="AF20:AF23">
    <cfRule type="cellIs" dxfId="14787" priority="1819" operator="equal">
      <formula>1</formula>
    </cfRule>
    <cfRule type="cellIs" dxfId="14786" priority="1820" operator="equal">
      <formula>"×"</formula>
    </cfRule>
  </conditionalFormatting>
  <conditionalFormatting sqref="AF20:AF23">
    <cfRule type="cellIs" dxfId="14785" priority="1817" operator="equal">
      <formula>1</formula>
    </cfRule>
    <cfRule type="cellIs" dxfId="14784" priority="1818" operator="equal">
      <formula>"×"</formula>
    </cfRule>
  </conditionalFormatting>
  <conditionalFormatting sqref="AH20">
    <cfRule type="cellIs" dxfId="14783" priority="1891" operator="equal">
      <formula>1</formula>
    </cfRule>
    <cfRule type="cellIs" dxfId="14782" priority="1892" operator="equal">
      <formula>"×"</formula>
    </cfRule>
  </conditionalFormatting>
  <conditionalFormatting sqref="AH20">
    <cfRule type="cellIs" dxfId="14781" priority="1889" operator="equal">
      <formula>1</formula>
    </cfRule>
    <cfRule type="cellIs" dxfId="14780" priority="1890" operator="equal">
      <formula>"×"</formula>
    </cfRule>
  </conditionalFormatting>
  <conditionalFormatting sqref="AH20">
    <cfRule type="cellIs" dxfId="14779" priority="1887" operator="equal">
      <formula>1</formula>
    </cfRule>
    <cfRule type="cellIs" dxfId="14778" priority="1888" operator="equal">
      <formula>"×"</formula>
    </cfRule>
  </conditionalFormatting>
  <conditionalFormatting sqref="AH20">
    <cfRule type="cellIs" dxfId="14777" priority="1885" operator="equal">
      <formula>1</formula>
    </cfRule>
    <cfRule type="cellIs" dxfId="14776" priority="1886" operator="equal">
      <formula>"×"</formula>
    </cfRule>
  </conditionalFormatting>
  <conditionalFormatting sqref="AH20">
    <cfRule type="cellIs" dxfId="14775" priority="1881" operator="equal">
      <formula>1</formula>
    </cfRule>
    <cfRule type="cellIs" dxfId="14774" priority="1882" operator="equal">
      <formula>"×"</formula>
    </cfRule>
  </conditionalFormatting>
  <conditionalFormatting sqref="AH20">
    <cfRule type="cellIs" dxfId="14773" priority="1883" operator="equal">
      <formula>1</formula>
    </cfRule>
    <cfRule type="cellIs" dxfId="14772" priority="1884" operator="equal">
      <formula>"×"</formula>
    </cfRule>
  </conditionalFormatting>
  <conditionalFormatting sqref="AH20">
    <cfRule type="cellIs" dxfId="14771" priority="1879" operator="equal">
      <formula>1</formula>
    </cfRule>
    <cfRule type="cellIs" dxfId="14770" priority="1880" operator="equal">
      <formula>"×"</formula>
    </cfRule>
  </conditionalFormatting>
  <conditionalFormatting sqref="AH20">
    <cfRule type="cellIs" dxfId="14769" priority="1877" operator="equal">
      <formula>1</formula>
    </cfRule>
    <cfRule type="cellIs" dxfId="14768" priority="1878" operator="equal">
      <formula>"×"</formula>
    </cfRule>
  </conditionalFormatting>
  <conditionalFormatting sqref="AH20">
    <cfRule type="cellIs" dxfId="14767" priority="1875" operator="equal">
      <formula>1</formula>
    </cfRule>
    <cfRule type="cellIs" dxfId="14766" priority="1876" operator="equal">
      <formula>"×"</formula>
    </cfRule>
  </conditionalFormatting>
  <conditionalFormatting sqref="AH20">
    <cfRule type="cellIs" dxfId="14765" priority="1873" operator="equal">
      <formula>1</formula>
    </cfRule>
    <cfRule type="cellIs" dxfId="14764" priority="1874" operator="equal">
      <formula>"×"</formula>
    </cfRule>
  </conditionalFormatting>
  <conditionalFormatting sqref="AH20">
    <cfRule type="cellIs" dxfId="14763" priority="1871" operator="equal">
      <formula>1</formula>
    </cfRule>
    <cfRule type="cellIs" dxfId="14762" priority="1872" operator="equal">
      <formula>"×"</formula>
    </cfRule>
  </conditionalFormatting>
  <conditionalFormatting sqref="AH20">
    <cfRule type="cellIs" dxfId="14761" priority="1865" operator="equal">
      <formula>1</formula>
    </cfRule>
    <cfRule type="cellIs" dxfId="14760" priority="1866" operator="equal">
      <formula>"×"</formula>
    </cfRule>
  </conditionalFormatting>
  <conditionalFormatting sqref="AH20">
    <cfRule type="cellIs" dxfId="14759" priority="1863" operator="equal">
      <formula>1</formula>
    </cfRule>
    <cfRule type="cellIs" dxfId="14758" priority="1864" operator="equal">
      <formula>"×"</formula>
    </cfRule>
  </conditionalFormatting>
  <conditionalFormatting sqref="AH20">
    <cfRule type="cellIs" dxfId="14757" priority="1861" operator="equal">
      <formula>1</formula>
    </cfRule>
    <cfRule type="cellIs" dxfId="14756" priority="1862" operator="equal">
      <formula>"×"</formula>
    </cfRule>
  </conditionalFormatting>
  <conditionalFormatting sqref="AH20">
    <cfRule type="cellIs" dxfId="14755" priority="1859" operator="equal">
      <formula>1</formula>
    </cfRule>
    <cfRule type="cellIs" dxfId="14754" priority="1860" operator="equal">
      <formula>"×"</formula>
    </cfRule>
  </conditionalFormatting>
  <conditionalFormatting sqref="AF20:AG23">
    <cfRule type="cellIs" dxfId="14753" priority="1857" operator="equal">
      <formula>1</formula>
    </cfRule>
    <cfRule type="cellIs" dxfId="14752" priority="1858" operator="equal">
      <formula>"×"</formula>
    </cfRule>
  </conditionalFormatting>
  <conditionalFormatting sqref="AI23">
    <cfRule type="cellIs" dxfId="14751" priority="1969" operator="equal">
      <formula>1</formula>
    </cfRule>
    <cfRule type="cellIs" dxfId="14750" priority="1970" operator="equal">
      <formula>"×"</formula>
    </cfRule>
  </conditionalFormatting>
  <conditionalFormatting sqref="AE15">
    <cfRule type="cellIs" dxfId="14749" priority="33053" operator="equal">
      <formula>1</formula>
    </cfRule>
    <cfRule type="cellIs" dxfId="14748" priority="33054" operator="equal">
      <formula>"×"</formula>
    </cfRule>
  </conditionalFormatting>
  <conditionalFormatting sqref="AE15 AF13:AI13">
    <cfRule type="cellIs" dxfId="14747" priority="33051" operator="equal">
      <formula>1</formula>
    </cfRule>
    <cfRule type="cellIs" dxfId="14746" priority="33052" operator="equal">
      <formula>"×"</formula>
    </cfRule>
  </conditionalFormatting>
  <conditionalFormatting sqref="AI13">
    <cfRule type="cellIs" dxfId="14745" priority="33049" operator="equal">
      <formula>1</formula>
    </cfRule>
    <cfRule type="cellIs" dxfId="14744" priority="33050" operator="equal">
      <formula>"×"</formula>
    </cfRule>
  </conditionalFormatting>
  <conditionalFormatting sqref="AF13:AI13">
    <cfRule type="cellIs" dxfId="14743" priority="33047" operator="equal">
      <formula>1</formula>
    </cfRule>
    <cfRule type="cellIs" dxfId="14742" priority="33048" operator="equal">
      <formula>"×"</formula>
    </cfRule>
  </conditionalFormatting>
  <conditionalFormatting sqref="AE15 AF13:AI13">
    <cfRule type="cellIs" dxfId="14741" priority="33043" operator="equal">
      <formula>1</formula>
    </cfRule>
    <cfRule type="cellIs" dxfId="14740" priority="33044" operator="equal">
      <formula>"×"</formula>
    </cfRule>
  </conditionalFormatting>
  <conditionalFormatting sqref="AI13">
    <cfRule type="cellIs" dxfId="14739" priority="33041" operator="equal">
      <formula>1</formula>
    </cfRule>
    <cfRule type="cellIs" dxfId="14738" priority="33042" operator="equal">
      <formula>"×"</formula>
    </cfRule>
  </conditionalFormatting>
  <conditionalFormatting sqref="AF23">
    <cfRule type="cellIs" dxfId="14737" priority="1949" operator="equal">
      <formula>1</formula>
    </cfRule>
    <cfRule type="cellIs" dxfId="14736" priority="1950" operator="equal">
      <formula>"×"</formula>
    </cfRule>
  </conditionalFormatting>
  <conditionalFormatting sqref="AF14">
    <cfRule type="cellIs" dxfId="14735" priority="33033" operator="equal">
      <formula>1</formula>
    </cfRule>
    <cfRule type="cellIs" dxfId="14734" priority="33034" operator="equal">
      <formula>"×"</formula>
    </cfRule>
  </conditionalFormatting>
  <conditionalFormatting sqref="AE19 AE9:AE10 AE15:AE16 AE7:AF8 AE13:AF14 AF7:AF19">
    <cfRule type="cellIs" dxfId="14733" priority="33031" operator="equal">
      <formula>1</formula>
    </cfRule>
    <cfRule type="cellIs" dxfId="14732" priority="33032" operator="equal">
      <formula>"×"</formula>
    </cfRule>
  </conditionalFormatting>
  <conditionalFormatting sqref="AE19 AE9:AE10 AE15:AE16 AE7:AF8 AE13:AF14 AF7:AF19">
    <cfRule type="cellIs" dxfId="14731" priority="33029" operator="equal">
      <formula>1</formula>
    </cfRule>
    <cfRule type="cellIs" dxfId="14730" priority="33030" operator="equal">
      <formula>"×"</formula>
    </cfRule>
  </conditionalFormatting>
  <conditionalFormatting sqref="AE19 AE9:AE10 AE15:AE16 AE7:AF8 AE13:AF14 AF7:AF19">
    <cfRule type="cellIs" dxfId="14729" priority="33027" operator="equal">
      <formula>1</formula>
    </cfRule>
    <cfRule type="cellIs" dxfId="14728" priority="33028" operator="equal">
      <formula>"×"</formula>
    </cfRule>
  </conditionalFormatting>
  <conditionalFormatting sqref="AE19 AE9:AE10 AE15:AE16 AE7:AF8 AE13:AF14 AF7:AF19">
    <cfRule type="cellIs" dxfId="14727" priority="33025" operator="equal">
      <formula>1</formula>
    </cfRule>
    <cfRule type="cellIs" dxfId="14726" priority="33026" operator="equal">
      <formula>"×"</formula>
    </cfRule>
  </conditionalFormatting>
  <conditionalFormatting sqref="AE19 AE9:AE10 AE15:AE16 AE7:AF8 AE13:AF14 AF7:AF19">
    <cfRule type="cellIs" dxfId="14725" priority="33023" operator="equal">
      <formula>1</formula>
    </cfRule>
    <cfRule type="cellIs" dxfId="14724" priority="33024" operator="equal">
      <formula>"×"</formula>
    </cfRule>
  </conditionalFormatting>
  <conditionalFormatting sqref="AE19 AE9:AE10 AE15:AE16 AE7:AF8 AE13:AF14 AF7:AF19">
    <cfRule type="cellIs" dxfId="14723" priority="33021" operator="equal">
      <formula>1</formula>
    </cfRule>
    <cfRule type="cellIs" dxfId="14722" priority="33022" operator="equal">
      <formula>"×"</formula>
    </cfRule>
  </conditionalFormatting>
  <conditionalFormatting sqref="AG13:AI15">
    <cfRule type="cellIs" dxfId="14721" priority="33019" operator="equal">
      <formula>1</formula>
    </cfRule>
    <cfRule type="cellIs" dxfId="14720" priority="33020" operator="equal">
      <formula>"×"</formula>
    </cfRule>
  </conditionalFormatting>
  <conditionalFormatting sqref="AI13:AI15">
    <cfRule type="cellIs" dxfId="14719" priority="33017" operator="equal">
      <formula>1</formula>
    </cfRule>
    <cfRule type="cellIs" dxfId="14718" priority="33018" operator="equal">
      <formula>"×"</formula>
    </cfRule>
  </conditionalFormatting>
  <conditionalFormatting sqref="AG13:AI15">
    <cfRule type="cellIs" dxfId="14717" priority="33015" operator="equal">
      <formula>1</formula>
    </cfRule>
    <cfRule type="cellIs" dxfId="14716" priority="33016" operator="equal">
      <formula>"×"</formula>
    </cfRule>
  </conditionalFormatting>
  <conditionalFormatting sqref="AG13:AI15">
    <cfRule type="cellIs" dxfId="14715" priority="33013" operator="equal">
      <formula>1</formula>
    </cfRule>
    <cfRule type="cellIs" dxfId="14714" priority="33014" operator="equal">
      <formula>"×"</formula>
    </cfRule>
  </conditionalFormatting>
  <conditionalFormatting sqref="AI13:AI15">
    <cfRule type="cellIs" dxfId="14713" priority="33011" operator="equal">
      <formula>1</formula>
    </cfRule>
    <cfRule type="cellIs" dxfId="14712" priority="33012" operator="equal">
      <formula>"×"</formula>
    </cfRule>
  </conditionalFormatting>
  <conditionalFormatting sqref="AG13:AI15">
    <cfRule type="cellIs" dxfId="14711" priority="33009" operator="equal">
      <formula>1</formula>
    </cfRule>
    <cfRule type="cellIs" dxfId="14710" priority="33010" operator="equal">
      <formula>"×"</formula>
    </cfRule>
  </conditionalFormatting>
  <conditionalFormatting sqref="AF23:AI23">
    <cfRule type="cellIs" dxfId="14709" priority="2049" operator="equal">
      <formula>1</formula>
    </cfRule>
    <cfRule type="cellIs" dxfId="14708" priority="2050" operator="equal">
      <formula>"×"</formula>
    </cfRule>
  </conditionalFormatting>
  <conditionalFormatting sqref="AG20:AI20 AH21:AI22">
    <cfRule type="cellIs" dxfId="14707" priority="2047" operator="equal">
      <formula>1</formula>
    </cfRule>
    <cfRule type="cellIs" dxfId="14706" priority="2048" operator="equal">
      <formula>"×"</formula>
    </cfRule>
  </conditionalFormatting>
  <conditionalFormatting sqref="AI20:AI22">
    <cfRule type="cellIs" dxfId="14705" priority="2045" operator="equal">
      <formula>1</formula>
    </cfRule>
    <cfRule type="cellIs" dxfId="14704" priority="2046" operator="equal">
      <formula>"×"</formula>
    </cfRule>
  </conditionalFormatting>
  <conditionalFormatting sqref="AG20:AI20 AH21:AI22">
    <cfRule type="cellIs" dxfId="14703" priority="2043" operator="equal">
      <formula>1</formula>
    </cfRule>
    <cfRule type="cellIs" dxfId="14702" priority="2044" operator="equal">
      <formula>"×"</formula>
    </cfRule>
  </conditionalFormatting>
  <conditionalFormatting sqref="AH20:AI22 AG23:AI24">
    <cfRule type="cellIs" dxfId="14701" priority="2041" operator="equal">
      <formula>1</formula>
    </cfRule>
    <cfRule type="cellIs" dxfId="14700" priority="2042" operator="equal">
      <formula>"×"</formula>
    </cfRule>
  </conditionalFormatting>
  <conditionalFormatting sqref="AI20:AI24">
    <cfRule type="cellIs" dxfId="14699" priority="2039" operator="equal">
      <formula>1</formula>
    </cfRule>
    <cfRule type="cellIs" dxfId="14698" priority="2040" operator="equal">
      <formula>"×"</formula>
    </cfRule>
  </conditionalFormatting>
  <conditionalFormatting sqref="AH20:AI22 AG23:AI24">
    <cfRule type="cellIs" dxfId="14697" priority="2037" operator="equal">
      <formula>1</formula>
    </cfRule>
    <cfRule type="cellIs" dxfId="14696" priority="2038" operator="equal">
      <formula>"×"</formula>
    </cfRule>
  </conditionalFormatting>
  <conditionalFormatting sqref="AF23">
    <cfRule type="cellIs" dxfId="14695" priority="2035" operator="equal">
      <formula>1</formula>
    </cfRule>
    <cfRule type="cellIs" dxfId="14694" priority="2036" operator="equal">
      <formula>"×"</formula>
    </cfRule>
  </conditionalFormatting>
  <conditionalFormatting sqref="AF23">
    <cfRule type="cellIs" dxfId="14693" priority="2033" operator="equal">
      <formula>1</formula>
    </cfRule>
    <cfRule type="cellIs" dxfId="14692" priority="2034" operator="equal">
      <formula>"×"</formula>
    </cfRule>
  </conditionalFormatting>
  <conditionalFormatting sqref="AF23:AI23">
    <cfRule type="cellIs" dxfId="14691" priority="2031" operator="equal">
      <formula>1</formula>
    </cfRule>
    <cfRule type="cellIs" dxfId="14690" priority="2032" operator="equal">
      <formula>"×"</formula>
    </cfRule>
  </conditionalFormatting>
  <conditionalFormatting sqref="AI23">
    <cfRule type="cellIs" dxfId="14689" priority="2029" operator="equal">
      <formula>1</formula>
    </cfRule>
    <cfRule type="cellIs" dxfId="14688" priority="2030" operator="equal">
      <formula>"×"</formula>
    </cfRule>
  </conditionalFormatting>
  <conditionalFormatting sqref="AF23:AI23">
    <cfRule type="cellIs" dxfId="14687" priority="2027" operator="equal">
      <formula>1</formula>
    </cfRule>
    <cfRule type="cellIs" dxfId="14686" priority="2028" operator="equal">
      <formula>"×"</formula>
    </cfRule>
  </conditionalFormatting>
  <conditionalFormatting sqref="AF23:AI23">
    <cfRule type="cellIs" dxfId="14685" priority="2025" operator="equal">
      <formula>1</formula>
    </cfRule>
    <cfRule type="cellIs" dxfId="14684" priority="2026" operator="equal">
      <formula>"×"</formula>
    </cfRule>
  </conditionalFormatting>
  <conditionalFormatting sqref="AI23">
    <cfRule type="cellIs" dxfId="14683" priority="2023" operator="equal">
      <formula>1</formula>
    </cfRule>
    <cfRule type="cellIs" dxfId="14682" priority="2024" operator="equal">
      <formula>"×"</formula>
    </cfRule>
  </conditionalFormatting>
  <conditionalFormatting sqref="AF23:AI23">
    <cfRule type="cellIs" dxfId="14681" priority="2021" operator="equal">
      <formula>1</formula>
    </cfRule>
    <cfRule type="cellIs" dxfId="14680" priority="2022" operator="equal">
      <formula>"×"</formula>
    </cfRule>
  </conditionalFormatting>
  <conditionalFormatting sqref="AF23:AI23">
    <cfRule type="cellIs" dxfId="14679" priority="2019" operator="equal">
      <formula>1</formula>
    </cfRule>
    <cfRule type="cellIs" dxfId="14678" priority="2020" operator="equal">
      <formula>"×"</formula>
    </cfRule>
  </conditionalFormatting>
  <conditionalFormatting sqref="AI23">
    <cfRule type="cellIs" dxfId="14677" priority="2017" operator="equal">
      <formula>1</formula>
    </cfRule>
    <cfRule type="cellIs" dxfId="14676" priority="2018" operator="equal">
      <formula>"×"</formula>
    </cfRule>
  </conditionalFormatting>
  <conditionalFormatting sqref="AF23">
    <cfRule type="cellIs" dxfId="14675" priority="2015" operator="equal">
      <formula>1</formula>
    </cfRule>
    <cfRule type="cellIs" dxfId="14674" priority="2016" operator="equal">
      <formula>"×"</formula>
    </cfRule>
  </conditionalFormatting>
  <conditionalFormatting sqref="AF23">
    <cfRule type="cellIs" dxfId="14673" priority="2013" operator="equal">
      <formula>1</formula>
    </cfRule>
    <cfRule type="cellIs" dxfId="14672" priority="2014" operator="equal">
      <formula>"×"</formula>
    </cfRule>
  </conditionalFormatting>
  <conditionalFormatting sqref="AF23">
    <cfRule type="cellIs" dxfId="14671" priority="2011" operator="equal">
      <formula>1</formula>
    </cfRule>
    <cfRule type="cellIs" dxfId="14670" priority="2012" operator="equal">
      <formula>"×"</formula>
    </cfRule>
  </conditionalFormatting>
  <conditionalFormatting sqref="AF23">
    <cfRule type="cellIs" dxfId="14669" priority="2009" operator="equal">
      <formula>1</formula>
    </cfRule>
    <cfRule type="cellIs" dxfId="14668" priority="2010" operator="equal">
      <formula>"×"</formula>
    </cfRule>
  </conditionalFormatting>
  <conditionalFormatting sqref="AF23">
    <cfRule type="cellIs" dxfId="14667" priority="2007" operator="equal">
      <formula>1</formula>
    </cfRule>
    <cfRule type="cellIs" dxfId="14666" priority="2008" operator="equal">
      <formula>"×"</formula>
    </cfRule>
  </conditionalFormatting>
  <conditionalFormatting sqref="AD8">
    <cfRule type="cellIs" dxfId="14665" priority="6223" operator="equal">
      <formula>1</formula>
    </cfRule>
    <cfRule type="cellIs" dxfId="14664" priority="6224" operator="equal">
      <formula>"×"</formula>
    </cfRule>
  </conditionalFormatting>
  <conditionalFormatting sqref="AC8:AD8">
    <cfRule type="cellIs" dxfId="14663" priority="6221" operator="equal">
      <formula>1</formula>
    </cfRule>
    <cfRule type="cellIs" dxfId="14662" priority="6222" operator="equal">
      <formula>"×"</formula>
    </cfRule>
  </conditionalFormatting>
  <conditionalFormatting sqref="AB8">
    <cfRule type="cellIs" dxfId="14661" priority="6219" operator="equal">
      <formula>1</formula>
    </cfRule>
    <cfRule type="cellIs" dxfId="14660" priority="6220" operator="equal">
      <formula>"×"</formula>
    </cfRule>
  </conditionalFormatting>
  <conditionalFormatting sqref="AF8:AI8">
    <cfRule type="cellIs" dxfId="14659" priority="6217" operator="equal">
      <formula>1</formula>
    </cfRule>
    <cfRule type="cellIs" dxfId="14658" priority="6218" operator="equal">
      <formula>"×"</formula>
    </cfRule>
  </conditionalFormatting>
  <conditionalFormatting sqref="AI8">
    <cfRule type="cellIs" dxfId="14657" priority="6215" operator="equal">
      <formula>1</formula>
    </cfRule>
    <cfRule type="cellIs" dxfId="14656" priority="6216" operator="equal">
      <formula>"×"</formula>
    </cfRule>
  </conditionalFormatting>
  <conditionalFormatting sqref="AF12">
    <cfRule type="cellIs" dxfId="14655" priority="6213" operator="equal">
      <formula>1</formula>
    </cfRule>
    <cfRule type="cellIs" dxfId="14654" priority="6214" operator="equal">
      <formula>"×"</formula>
    </cfRule>
  </conditionalFormatting>
  <conditionalFormatting sqref="AF12">
    <cfRule type="cellIs" dxfId="14653" priority="6211" operator="equal">
      <formula>1</formula>
    </cfRule>
    <cfRule type="cellIs" dxfId="14652" priority="6212" operator="equal">
      <formula>"×"</formula>
    </cfRule>
  </conditionalFormatting>
  <conditionalFormatting sqref="AF12:AI12">
    <cfRule type="cellIs" dxfId="14651" priority="6209" operator="equal">
      <formula>1</formula>
    </cfRule>
    <cfRule type="cellIs" dxfId="14650" priority="6210" operator="equal">
      <formula>"×"</formula>
    </cfRule>
  </conditionalFormatting>
  <conditionalFormatting sqref="AH11">
    <cfRule type="cellIs" dxfId="14649" priority="7201" operator="equal">
      <formula>1</formula>
    </cfRule>
    <cfRule type="cellIs" dxfId="14648" priority="7202" operator="equal">
      <formula>"×"</formula>
    </cfRule>
  </conditionalFormatting>
  <conditionalFormatting sqref="AE9:AE10 AC15:AE16 AE7:AF8 AC19:AE19 AF7:AF19 AC13:AF14">
    <cfRule type="cellIs" dxfId="14647" priority="32945" operator="equal">
      <formula>1</formula>
    </cfRule>
    <cfRule type="cellIs" dxfId="14646" priority="32946" operator="equal">
      <formula>"×"</formula>
    </cfRule>
  </conditionalFormatting>
  <conditionalFormatting sqref="AE9:AE10 AC15:AE16 AE7:AF8 AC19:AE19 AF7:AF19 AC13:AF14">
    <cfRule type="cellIs" dxfId="14645" priority="32943" operator="equal">
      <formula>1</formula>
    </cfRule>
    <cfRule type="cellIs" dxfId="14644" priority="32944" operator="equal">
      <formula>"×"</formula>
    </cfRule>
  </conditionalFormatting>
  <conditionalFormatting sqref="AE9:AE10 AC15:AE16 AE7:AF8 AC19:AE19 AF7:AF19 AC13:AF14">
    <cfRule type="cellIs" dxfId="14643" priority="32941" operator="equal">
      <formula>1</formula>
    </cfRule>
    <cfRule type="cellIs" dxfId="14642" priority="32942" operator="equal">
      <formula>"×"</formula>
    </cfRule>
  </conditionalFormatting>
  <conditionalFormatting sqref="AE9:AE10 AC15:AE16 AE7:AF8 AC19:AE19 AF7:AF19 AC13:AF14">
    <cfRule type="cellIs" dxfId="14641" priority="32939" operator="equal">
      <formula>1</formula>
    </cfRule>
    <cfRule type="cellIs" dxfId="14640" priority="32940" operator="equal">
      <formula>"×"</formula>
    </cfRule>
  </conditionalFormatting>
  <conditionalFormatting sqref="AE9:AE10 AC15:AE16 AE7:AF8 AC19:AE19 AF7:AF19 AC13:AF14">
    <cfRule type="cellIs" dxfId="14639" priority="32937" operator="equal">
      <formula>1</formula>
    </cfRule>
    <cfRule type="cellIs" dxfId="14638" priority="32938" operator="equal">
      <formula>"×"</formula>
    </cfRule>
  </conditionalFormatting>
  <conditionalFormatting sqref="AE9:AE10 AC15:AE16 AE7:AF8 AC19:AE19 AF7:AF19 AC13:AF14">
    <cfRule type="cellIs" dxfId="14637" priority="32935" operator="equal">
      <formula>1</formula>
    </cfRule>
    <cfRule type="cellIs" dxfId="14636" priority="32936" operator="equal">
      <formula>"×"</formula>
    </cfRule>
  </conditionalFormatting>
  <conditionalFormatting sqref="AE9:AE10 AC15:AE16 AE7:AF8 AC19:AE19 AF7:AF19 AC13:AF14">
    <cfRule type="cellIs" dxfId="14635" priority="32933" operator="equal">
      <formula>1</formula>
    </cfRule>
    <cfRule type="cellIs" dxfId="14634" priority="32934" operator="equal">
      <formula>"×"</formula>
    </cfRule>
  </conditionalFormatting>
  <conditionalFormatting sqref="AE16">
    <cfRule type="cellIs" dxfId="14633" priority="7185" operator="equal">
      <formula>1</formula>
    </cfRule>
    <cfRule type="cellIs" dxfId="14632" priority="7186" operator="equal">
      <formula>"×"</formula>
    </cfRule>
  </conditionalFormatting>
  <conditionalFormatting sqref="AG13:AI15">
    <cfRule type="cellIs" dxfId="14631" priority="32801" operator="equal">
      <formula>1</formula>
    </cfRule>
    <cfRule type="cellIs" dxfId="14630" priority="32802" operator="equal">
      <formula>"×"</formula>
    </cfRule>
  </conditionalFormatting>
  <conditionalFormatting sqref="AG13:AI15">
    <cfRule type="cellIs" dxfId="14629" priority="32797" operator="equal">
      <formula>1</formula>
    </cfRule>
    <cfRule type="cellIs" dxfId="14628" priority="32798" operator="equal">
      <formula>"×"</formula>
    </cfRule>
  </conditionalFormatting>
  <conditionalFormatting sqref="AI13:AI15">
    <cfRule type="cellIs" dxfId="14627" priority="32799" operator="equal">
      <formula>1</formula>
    </cfRule>
    <cfRule type="cellIs" dxfId="14626" priority="32800" operator="equal">
      <formula>"×"</formula>
    </cfRule>
  </conditionalFormatting>
  <conditionalFormatting sqref="AG13:AI15">
    <cfRule type="cellIs" dxfId="14625" priority="32795" operator="equal">
      <formula>1</formula>
    </cfRule>
    <cfRule type="cellIs" dxfId="14624" priority="32796" operator="equal">
      <formula>"×"</formula>
    </cfRule>
  </conditionalFormatting>
  <conditionalFormatting sqref="AI13:AI15">
    <cfRule type="cellIs" dxfId="14623" priority="32793" operator="equal">
      <formula>1</formula>
    </cfRule>
    <cfRule type="cellIs" dxfId="14622" priority="32794" operator="equal">
      <formula>"×"</formula>
    </cfRule>
  </conditionalFormatting>
  <conditionalFormatting sqref="AG13:AI15">
    <cfRule type="cellIs" dxfId="14621" priority="32791" operator="equal">
      <formula>1</formula>
    </cfRule>
    <cfRule type="cellIs" dxfId="14620" priority="32792" operator="equal">
      <formula>"×"</formula>
    </cfRule>
  </conditionalFormatting>
  <conditionalFormatting sqref="AI13:AI15">
    <cfRule type="cellIs" dxfId="14619" priority="32789" operator="equal">
      <formula>1</formula>
    </cfRule>
    <cfRule type="cellIs" dxfId="14618" priority="32790" operator="equal">
      <formula>"×"</formula>
    </cfRule>
  </conditionalFormatting>
  <conditionalFormatting sqref="AI13:AI15">
    <cfRule type="cellIs" dxfId="14617" priority="32787" operator="equal">
      <formula>1</formula>
    </cfRule>
    <cfRule type="cellIs" dxfId="14616" priority="32788" operator="equal">
      <formula>"×"</formula>
    </cfRule>
  </conditionalFormatting>
  <conditionalFormatting sqref="AI13:AI15">
    <cfRule type="cellIs" dxfId="14615" priority="32785" operator="equal">
      <formula>1</formula>
    </cfRule>
    <cfRule type="cellIs" dxfId="14614" priority="32786" operator="equal">
      <formula>"×"</formula>
    </cfRule>
  </conditionalFormatting>
  <conditionalFormatting sqref="AI13:AI15">
    <cfRule type="cellIs" dxfId="14613" priority="32783" operator="equal">
      <formula>1</formula>
    </cfRule>
    <cfRule type="cellIs" dxfId="14612" priority="32784" operator="equal">
      <formula>"×"</formula>
    </cfRule>
  </conditionalFormatting>
  <conditionalFormatting sqref="AI13:AI15">
    <cfRule type="cellIs" dxfId="14611" priority="32781" operator="equal">
      <formula>1</formula>
    </cfRule>
    <cfRule type="cellIs" dxfId="14610" priority="32782" operator="equal">
      <formula>"×"</formula>
    </cfRule>
  </conditionalFormatting>
  <conditionalFormatting sqref="AI13:AI15">
    <cfRule type="cellIs" dxfId="14609" priority="32779" operator="equal">
      <formula>1</formula>
    </cfRule>
    <cfRule type="cellIs" dxfId="14608" priority="32780" operator="equal">
      <formula>"×"</formula>
    </cfRule>
  </conditionalFormatting>
  <conditionalFormatting sqref="AF12">
    <cfRule type="cellIs" dxfId="14607" priority="5475" operator="equal">
      <formula>1</formula>
    </cfRule>
    <cfRule type="cellIs" dxfId="14606" priority="5476" operator="equal">
      <formula>"×"</formula>
    </cfRule>
  </conditionalFormatting>
  <conditionalFormatting sqref="AE8">
    <cfRule type="cellIs" dxfId="14605" priority="5473" operator="equal">
      <formula>1</formula>
    </cfRule>
    <cfRule type="cellIs" dxfId="14604" priority="5474" operator="equal">
      <formula>"×"</formula>
    </cfRule>
  </conditionalFormatting>
  <conditionalFormatting sqref="AD8">
    <cfRule type="cellIs" dxfId="14603" priority="5471" operator="equal">
      <formula>1</formula>
    </cfRule>
    <cfRule type="cellIs" dxfId="14602" priority="5472" operator="equal">
      <formula>"×"</formula>
    </cfRule>
  </conditionalFormatting>
  <conditionalFormatting sqref="AE8">
    <cfRule type="cellIs" dxfId="14601" priority="5469" operator="equal">
      <formula>1</formula>
    </cfRule>
    <cfRule type="cellIs" dxfId="14600" priority="5470" operator="equal">
      <formula>"×"</formula>
    </cfRule>
  </conditionalFormatting>
  <conditionalFormatting sqref="AD8">
    <cfRule type="cellIs" dxfId="14599" priority="5467" operator="equal">
      <formula>1</formula>
    </cfRule>
    <cfRule type="cellIs" dxfId="14598" priority="5468" operator="equal">
      <formula>"×"</formula>
    </cfRule>
  </conditionalFormatting>
  <conditionalFormatting sqref="AD8">
    <cfRule type="cellIs" dxfId="14597" priority="5465" operator="equal">
      <formula>1</formula>
    </cfRule>
    <cfRule type="cellIs" dxfId="14596" priority="5466" operator="equal">
      <formula>"×"</formula>
    </cfRule>
  </conditionalFormatting>
  <conditionalFormatting sqref="AD8">
    <cfRule type="cellIs" dxfId="14595" priority="5463" operator="equal">
      <formula>1</formula>
    </cfRule>
    <cfRule type="cellIs" dxfId="14594" priority="5464" operator="equal">
      <formula>"×"</formula>
    </cfRule>
  </conditionalFormatting>
  <conditionalFormatting sqref="AE14">
    <cfRule type="cellIs" dxfId="14593" priority="5461" operator="equal">
      <formula>1</formula>
    </cfRule>
    <cfRule type="cellIs" dxfId="14592" priority="5462" operator="equal">
      <formula>"×"</formula>
    </cfRule>
  </conditionalFormatting>
  <conditionalFormatting sqref="AF18:AI18">
    <cfRule type="cellIs" dxfId="14591" priority="5989" operator="equal">
      <formula>1</formula>
    </cfRule>
    <cfRule type="cellIs" dxfId="14590" priority="5990" operator="equal">
      <formula>"×"</formula>
    </cfRule>
  </conditionalFormatting>
  <conditionalFormatting sqref="AI19">
    <cfRule type="cellIs" dxfId="14589" priority="5987" operator="equal">
      <formula>1</formula>
    </cfRule>
    <cfRule type="cellIs" dxfId="14588" priority="5988" operator="equal">
      <formula>"×"</formula>
    </cfRule>
  </conditionalFormatting>
  <conditionalFormatting sqref="AE14 AF12:AI12">
    <cfRule type="cellIs" dxfId="14587" priority="5455" operator="equal">
      <formula>1</formula>
    </cfRule>
    <cfRule type="cellIs" dxfId="14586" priority="5456" operator="equal">
      <formula>"×"</formula>
    </cfRule>
  </conditionalFormatting>
  <conditionalFormatting sqref="AE8">
    <cfRule type="cellIs" dxfId="14585" priority="5453" operator="equal">
      <formula>1</formula>
    </cfRule>
    <cfRule type="cellIs" dxfId="14584" priority="5454" operator="equal">
      <formula>"×"</formula>
    </cfRule>
  </conditionalFormatting>
  <conditionalFormatting sqref="AF18">
    <cfRule type="cellIs" dxfId="14583" priority="5981" operator="equal">
      <formula>1</formula>
    </cfRule>
    <cfRule type="cellIs" dxfId="14582" priority="5982" operator="equal">
      <formula>"×"</formula>
    </cfRule>
  </conditionalFormatting>
  <conditionalFormatting sqref="AF18">
    <cfRule type="cellIs" dxfId="14581" priority="5979" operator="equal">
      <formula>1</formula>
    </cfRule>
    <cfRule type="cellIs" dxfId="14580" priority="5980" operator="equal">
      <formula>"×"</formula>
    </cfRule>
  </conditionalFormatting>
  <conditionalFormatting sqref="AF18">
    <cfRule type="cellIs" dxfId="14579" priority="5977" operator="equal">
      <formula>1</formula>
    </cfRule>
    <cfRule type="cellIs" dxfId="14578" priority="5978" operator="equal">
      <formula>"×"</formula>
    </cfRule>
  </conditionalFormatting>
  <conditionalFormatting sqref="AF18">
    <cfRule type="cellIs" dxfId="14577" priority="5975" operator="equal">
      <formula>1</formula>
    </cfRule>
    <cfRule type="cellIs" dxfId="14576" priority="5976" operator="equal">
      <formula>"×"</formula>
    </cfRule>
  </conditionalFormatting>
  <conditionalFormatting sqref="AF18">
    <cfRule type="cellIs" dxfId="14575" priority="5973" operator="equal">
      <formula>1</formula>
    </cfRule>
    <cfRule type="cellIs" dxfId="14574" priority="5974" operator="equal">
      <formula>"×"</formula>
    </cfRule>
  </conditionalFormatting>
  <conditionalFormatting sqref="AH20">
    <cfRule type="cellIs" dxfId="14573" priority="2113" operator="equal">
      <formula>1</formula>
    </cfRule>
    <cfRule type="cellIs" dxfId="14572" priority="2114" operator="equal">
      <formula>"×"</formula>
    </cfRule>
  </conditionalFormatting>
  <conditionalFormatting sqref="AH20">
    <cfRule type="cellIs" dxfId="14571" priority="2111" operator="equal">
      <formula>1</formula>
    </cfRule>
    <cfRule type="cellIs" dxfId="14570" priority="2112" operator="equal">
      <formula>"×"</formula>
    </cfRule>
  </conditionalFormatting>
  <conditionalFormatting sqref="AH20">
    <cfRule type="cellIs" dxfId="14569" priority="2109" operator="equal">
      <formula>1</formula>
    </cfRule>
    <cfRule type="cellIs" dxfId="14568" priority="2110" operator="equal">
      <formula>"×"</formula>
    </cfRule>
  </conditionalFormatting>
  <conditionalFormatting sqref="AH20">
    <cfRule type="cellIs" dxfId="14567" priority="2107" operator="equal">
      <formula>1</formula>
    </cfRule>
    <cfRule type="cellIs" dxfId="14566" priority="2108" operator="equal">
      <formula>"×"</formula>
    </cfRule>
  </conditionalFormatting>
  <conditionalFormatting sqref="AH20">
    <cfRule type="cellIs" dxfId="14565" priority="2105" operator="equal">
      <formula>1</formula>
    </cfRule>
    <cfRule type="cellIs" dxfId="14564" priority="2106" operator="equal">
      <formula>"×"</formula>
    </cfRule>
  </conditionalFormatting>
  <conditionalFormatting sqref="AE14 AF12:AI12">
    <cfRule type="cellIs" dxfId="14563" priority="5421" operator="equal">
      <formula>1</formula>
    </cfRule>
    <cfRule type="cellIs" dxfId="14562" priority="5422" operator="equal">
      <formula>"×"</formula>
    </cfRule>
  </conditionalFormatting>
  <conditionalFormatting sqref="AI12">
    <cfRule type="cellIs" dxfId="14561" priority="5419" operator="equal">
      <formula>1</formula>
    </cfRule>
    <cfRule type="cellIs" dxfId="14560" priority="5420" operator="equal">
      <formula>"×"</formula>
    </cfRule>
  </conditionalFormatting>
  <conditionalFormatting sqref="AF23">
    <cfRule type="cellIs" dxfId="14559" priority="2081" operator="equal">
      <formula>1</formula>
    </cfRule>
    <cfRule type="cellIs" dxfId="14558" priority="2082" operator="equal">
      <formula>"×"</formula>
    </cfRule>
  </conditionalFormatting>
  <conditionalFormatting sqref="AI23">
    <cfRule type="cellIs" dxfId="14557" priority="1707" operator="equal">
      <formula>1</formula>
    </cfRule>
    <cfRule type="cellIs" dxfId="14556" priority="1708" operator="equal">
      <formula>"×"</formula>
    </cfRule>
  </conditionalFormatting>
  <conditionalFormatting sqref="AI23">
    <cfRule type="cellIs" dxfId="14555" priority="1705" operator="equal">
      <formula>1</formula>
    </cfRule>
    <cfRule type="cellIs" dxfId="14554" priority="1706" operator="equal">
      <formula>"×"</formula>
    </cfRule>
  </conditionalFormatting>
  <conditionalFormatting sqref="AF23:AI23">
    <cfRule type="cellIs" dxfId="14553" priority="2057" operator="equal">
      <formula>1</formula>
    </cfRule>
    <cfRule type="cellIs" dxfId="14552" priority="2058" operator="equal">
      <formula>"×"</formula>
    </cfRule>
  </conditionalFormatting>
  <conditionalFormatting sqref="AF23:AI23">
    <cfRule type="cellIs" dxfId="14551" priority="2055" operator="equal">
      <formula>1</formula>
    </cfRule>
    <cfRule type="cellIs" dxfId="14550" priority="2056" operator="equal">
      <formula>"×"</formula>
    </cfRule>
  </conditionalFormatting>
  <conditionalFormatting sqref="AF20:AI20 AH21:AI24 AF23:AG24">
    <cfRule type="cellIs" dxfId="14549" priority="2053" operator="equal">
      <formula>1</formula>
    </cfRule>
    <cfRule type="cellIs" dxfId="14548" priority="2054" operator="equal">
      <formula>"×"</formula>
    </cfRule>
  </conditionalFormatting>
  <conditionalFormatting sqref="AG23:AH23">
    <cfRule type="cellIs" dxfId="14547" priority="2051" operator="equal">
      <formula>1</formula>
    </cfRule>
    <cfRule type="cellIs" dxfId="14546" priority="2052" operator="equal">
      <formula>"×"</formula>
    </cfRule>
  </conditionalFormatting>
  <conditionalFormatting sqref="AI23">
    <cfRule type="cellIs" dxfId="14545" priority="1687" operator="equal">
      <formula>1</formula>
    </cfRule>
    <cfRule type="cellIs" dxfId="14544" priority="1688" operator="equal">
      <formula>"×"</formula>
    </cfRule>
  </conditionalFormatting>
  <conditionalFormatting sqref="AH15">
    <cfRule type="cellIs" dxfId="14543" priority="5893" operator="equal">
      <formula>1</formula>
    </cfRule>
    <cfRule type="cellIs" dxfId="14542" priority="5894" operator="equal">
      <formula>"×"</formula>
    </cfRule>
  </conditionalFormatting>
  <conditionalFormatting sqref="AH15">
    <cfRule type="cellIs" dxfId="14541" priority="5891" operator="equal">
      <formula>1</formula>
    </cfRule>
    <cfRule type="cellIs" dxfId="14540" priority="5892" operator="equal">
      <formula>"×"</formula>
    </cfRule>
  </conditionalFormatting>
  <conditionalFormatting sqref="AH15">
    <cfRule type="cellIs" dxfId="14539" priority="5885" operator="equal">
      <formula>1</formula>
    </cfRule>
    <cfRule type="cellIs" dxfId="14538" priority="5886" operator="equal">
      <formula>"×"</formula>
    </cfRule>
  </conditionalFormatting>
  <conditionalFormatting sqref="AA6">
    <cfRule type="cellIs" dxfId="14537" priority="32615" operator="equal">
      <formula>1</formula>
    </cfRule>
    <cfRule type="cellIs" dxfId="14536" priority="32616" operator="equal">
      <formula>"×"</formula>
    </cfRule>
  </conditionalFormatting>
  <conditionalFormatting sqref="AA6">
    <cfRule type="cellIs" dxfId="14535" priority="32613" operator="equal">
      <formula>1</formula>
    </cfRule>
    <cfRule type="cellIs" dxfId="14534" priority="32614" operator="equal">
      <formula>"×"</formula>
    </cfRule>
  </conditionalFormatting>
  <conditionalFormatting sqref="AA6">
    <cfRule type="cellIs" dxfId="14533" priority="32611" operator="equal">
      <formula>1</formula>
    </cfRule>
    <cfRule type="cellIs" dxfId="14532" priority="32612" operator="equal">
      <formula>"×"</formula>
    </cfRule>
  </conditionalFormatting>
  <conditionalFormatting sqref="AA6">
    <cfRule type="cellIs" dxfId="14531" priority="32609" operator="equal">
      <formula>1</formula>
    </cfRule>
    <cfRule type="cellIs" dxfId="14530" priority="32610" operator="equal">
      <formula>"×"</formula>
    </cfRule>
  </conditionalFormatting>
  <conditionalFormatting sqref="AA6">
    <cfRule type="cellIs" dxfId="14529" priority="32607" operator="equal">
      <formula>1</formula>
    </cfRule>
    <cfRule type="cellIs" dxfId="14528" priority="32608" operator="equal">
      <formula>"×"</formula>
    </cfRule>
  </conditionalFormatting>
  <conditionalFormatting sqref="AG20:AI21">
    <cfRule type="cellIs" dxfId="14527" priority="3171" operator="equal">
      <formula>1</formula>
    </cfRule>
    <cfRule type="cellIs" dxfId="14526" priority="3172" operator="equal">
      <formula>"×"</formula>
    </cfRule>
  </conditionalFormatting>
  <conditionalFormatting sqref="AG20:AI21">
    <cfRule type="cellIs" dxfId="14525" priority="3169" operator="equal">
      <formula>1</formula>
    </cfRule>
    <cfRule type="cellIs" dxfId="14524" priority="3170" operator="equal">
      <formula>"×"</formula>
    </cfRule>
  </conditionalFormatting>
  <conditionalFormatting sqref="AI20:AI21">
    <cfRule type="cellIs" dxfId="14523" priority="3167" operator="equal">
      <formula>1</formula>
    </cfRule>
    <cfRule type="cellIs" dxfId="14522" priority="3168" operator="equal">
      <formula>"×"</formula>
    </cfRule>
  </conditionalFormatting>
  <conditionalFormatting sqref="AG20:AI21">
    <cfRule type="cellIs" dxfId="14521" priority="3165" operator="equal">
      <formula>1</formula>
    </cfRule>
    <cfRule type="cellIs" dxfId="14520" priority="3166" operator="equal">
      <formula>"×"</formula>
    </cfRule>
  </conditionalFormatting>
  <conditionalFormatting sqref="AI20:AI21">
    <cfRule type="cellIs" dxfId="14519" priority="3163" operator="equal">
      <formula>1</formula>
    </cfRule>
    <cfRule type="cellIs" dxfId="14518" priority="3164" operator="equal">
      <formula>"×"</formula>
    </cfRule>
  </conditionalFormatting>
  <conditionalFormatting sqref="AI20:AI21">
    <cfRule type="cellIs" dxfId="14517" priority="3161" operator="equal">
      <formula>1</formula>
    </cfRule>
    <cfRule type="cellIs" dxfId="14516" priority="3162" operator="equal">
      <formula>"×"</formula>
    </cfRule>
  </conditionalFormatting>
  <conditionalFormatting sqref="AI20:AI21">
    <cfRule type="cellIs" dxfId="14515" priority="3159" operator="equal">
      <formula>1</formula>
    </cfRule>
    <cfRule type="cellIs" dxfId="14514" priority="3160" operator="equal">
      <formula>"×"</formula>
    </cfRule>
  </conditionalFormatting>
  <conditionalFormatting sqref="AI20:AI21">
    <cfRule type="cellIs" dxfId="14513" priority="3157" operator="equal">
      <formula>1</formula>
    </cfRule>
    <cfRule type="cellIs" dxfId="14512" priority="3158" operator="equal">
      <formula>"×"</formula>
    </cfRule>
  </conditionalFormatting>
  <conditionalFormatting sqref="AC14">
    <cfRule type="cellIs" dxfId="14511" priority="5121" operator="equal">
      <formula>1</formula>
    </cfRule>
    <cfRule type="cellIs" dxfId="14510" priority="5122" operator="equal">
      <formula>"×"</formula>
    </cfRule>
  </conditionalFormatting>
  <conditionalFormatting sqref="AE14">
    <cfRule type="cellIs" dxfId="14509" priority="5125" operator="equal">
      <formula>1</formula>
    </cfRule>
    <cfRule type="cellIs" dxfId="14508" priority="5126" operator="equal">
      <formula>"×"</formula>
    </cfRule>
  </conditionalFormatting>
  <conditionalFormatting sqref="AE14">
    <cfRule type="cellIs" dxfId="14507" priority="5123" operator="equal">
      <formula>1</formula>
    </cfRule>
    <cfRule type="cellIs" dxfId="14506" priority="5124" operator="equal">
      <formula>"×"</formula>
    </cfRule>
  </conditionalFormatting>
  <conditionalFormatting sqref="AD14">
    <cfRule type="cellIs" dxfId="14505" priority="5119" operator="equal">
      <formula>1</formula>
    </cfRule>
    <cfRule type="cellIs" dxfId="14504" priority="5120" operator="equal">
      <formula>"×"</formula>
    </cfRule>
  </conditionalFormatting>
  <conditionalFormatting sqref="AE15">
    <cfRule type="cellIs" dxfId="14503" priority="32515" operator="equal">
      <formula>1</formula>
    </cfRule>
    <cfRule type="cellIs" dxfId="14502" priority="32516" operator="equal">
      <formula>"×"</formula>
    </cfRule>
  </conditionalFormatting>
  <conditionalFormatting sqref="AE15 AF13:AI13">
    <cfRule type="cellIs" dxfId="14501" priority="32513" operator="equal">
      <formula>1</formula>
    </cfRule>
    <cfRule type="cellIs" dxfId="14500" priority="32514" operator="equal">
      <formula>"×"</formula>
    </cfRule>
  </conditionalFormatting>
  <conditionalFormatting sqref="AI13">
    <cfRule type="cellIs" dxfId="14499" priority="32511" operator="equal">
      <formula>1</formula>
    </cfRule>
    <cfRule type="cellIs" dxfId="14498" priority="32512" operator="equal">
      <formula>"×"</formula>
    </cfRule>
  </conditionalFormatting>
  <conditionalFormatting sqref="AD14">
    <cfRule type="cellIs" dxfId="14497" priority="5111" operator="equal">
      <formula>1</formula>
    </cfRule>
    <cfRule type="cellIs" dxfId="14496" priority="5112" operator="equal">
      <formula>"×"</formula>
    </cfRule>
  </conditionalFormatting>
  <conditionalFormatting sqref="AE15 AF13:AI13">
    <cfRule type="cellIs" dxfId="14495" priority="32507" operator="equal">
      <formula>1</formula>
    </cfRule>
    <cfRule type="cellIs" dxfId="14494" priority="32508" operator="equal">
      <formula>"×"</formula>
    </cfRule>
  </conditionalFormatting>
  <conditionalFormatting sqref="AD14">
    <cfRule type="cellIs" dxfId="14493" priority="5091" operator="equal">
      <formula>1</formula>
    </cfRule>
    <cfRule type="cellIs" dxfId="14492" priority="5092" operator="equal">
      <formula>"×"</formula>
    </cfRule>
  </conditionalFormatting>
  <conditionalFormatting sqref="AD14">
    <cfRule type="cellIs" dxfId="14491" priority="5089" operator="equal">
      <formula>1</formula>
    </cfRule>
    <cfRule type="cellIs" dxfId="14490" priority="5090" operator="equal">
      <formula>"×"</formula>
    </cfRule>
  </conditionalFormatting>
  <conditionalFormatting sqref="AF13">
    <cfRule type="cellIs" dxfId="14489" priority="32587" operator="equal">
      <formula>1</formula>
    </cfRule>
    <cfRule type="cellIs" dxfId="14488" priority="32588" operator="equal">
      <formula>"×"</formula>
    </cfRule>
  </conditionalFormatting>
  <conditionalFormatting sqref="AF13">
    <cfRule type="cellIs" dxfId="14487" priority="32585" operator="equal">
      <formula>1</formula>
    </cfRule>
    <cfRule type="cellIs" dxfId="14486" priority="32586" operator="equal">
      <formula>"×"</formula>
    </cfRule>
  </conditionalFormatting>
  <conditionalFormatting sqref="AF7:AF19">
    <cfRule type="cellIs" dxfId="14485" priority="32583" operator="equal">
      <formula>1</formula>
    </cfRule>
    <cfRule type="cellIs" dxfId="14484" priority="32584" operator="equal">
      <formula>"×"</formula>
    </cfRule>
  </conditionalFormatting>
  <conditionalFormatting sqref="AF7:AF19">
    <cfRule type="cellIs" dxfId="14483" priority="32581" operator="equal">
      <formula>1</formula>
    </cfRule>
    <cfRule type="cellIs" dxfId="14482" priority="32582" operator="equal">
      <formula>"×"</formula>
    </cfRule>
  </conditionalFormatting>
  <conditionalFormatting sqref="AH9">
    <cfRule type="cellIs" dxfId="14481" priority="5181" operator="equal">
      <formula>1</formula>
    </cfRule>
    <cfRule type="cellIs" dxfId="14480" priority="5182" operator="equal">
      <formula>"×"</formula>
    </cfRule>
  </conditionalFormatting>
  <conditionalFormatting sqref="AH9">
    <cfRule type="cellIs" dxfId="14479" priority="5179" operator="equal">
      <formula>1</formula>
    </cfRule>
    <cfRule type="cellIs" dxfId="14478" priority="5180" operator="equal">
      <formula>"×"</formula>
    </cfRule>
  </conditionalFormatting>
  <conditionalFormatting sqref="AH9">
    <cfRule type="cellIs" dxfId="14477" priority="5177" operator="equal">
      <formula>1</formula>
    </cfRule>
    <cfRule type="cellIs" dxfId="14476" priority="5178" operator="equal">
      <formula>"×"</formula>
    </cfRule>
  </conditionalFormatting>
  <conditionalFormatting sqref="AH9">
    <cfRule type="cellIs" dxfId="14475" priority="5175" operator="equal">
      <formula>1</formula>
    </cfRule>
    <cfRule type="cellIs" dxfId="14474" priority="5176" operator="equal">
      <formula>"×"</formula>
    </cfRule>
  </conditionalFormatting>
  <conditionalFormatting sqref="AH9">
    <cfRule type="cellIs" dxfId="14473" priority="5173" operator="equal">
      <formula>1</formula>
    </cfRule>
    <cfRule type="cellIs" dxfId="14472" priority="5174" operator="equal">
      <formula>"×"</formula>
    </cfRule>
  </conditionalFormatting>
  <conditionalFormatting sqref="AH9">
    <cfRule type="cellIs" dxfId="14471" priority="5171" operator="equal">
      <formula>1</formula>
    </cfRule>
    <cfRule type="cellIs" dxfId="14470" priority="5172" operator="equal">
      <formula>"×"</formula>
    </cfRule>
  </conditionalFormatting>
  <conditionalFormatting sqref="AH9">
    <cfRule type="cellIs" dxfId="14469" priority="5169" operator="equal">
      <formula>1</formula>
    </cfRule>
    <cfRule type="cellIs" dxfId="14468" priority="5170" operator="equal">
      <formula>"×"</formula>
    </cfRule>
  </conditionalFormatting>
  <conditionalFormatting sqref="AH9">
    <cfRule type="cellIs" dxfId="14467" priority="5167" operator="equal">
      <formula>1</formula>
    </cfRule>
    <cfRule type="cellIs" dxfId="14466" priority="5168" operator="equal">
      <formula>"×"</formula>
    </cfRule>
  </conditionalFormatting>
  <conditionalFormatting sqref="AE14">
    <cfRule type="cellIs" dxfId="14465" priority="5165" operator="equal">
      <formula>1</formula>
    </cfRule>
    <cfRule type="cellIs" dxfId="14464" priority="5166" operator="equal">
      <formula>"×"</formula>
    </cfRule>
  </conditionalFormatting>
  <conditionalFormatting sqref="AE14">
    <cfRule type="cellIs" dxfId="14463" priority="5163" operator="equal">
      <formula>1</formula>
    </cfRule>
    <cfRule type="cellIs" dxfId="14462" priority="5164" operator="equal">
      <formula>"×"</formula>
    </cfRule>
  </conditionalFormatting>
  <conditionalFormatting sqref="AF23:AI23">
    <cfRule type="cellIs" dxfId="14461" priority="1929" operator="equal">
      <formula>1</formula>
    </cfRule>
    <cfRule type="cellIs" dxfId="14460" priority="1930" operator="equal">
      <formula>"×"</formula>
    </cfRule>
  </conditionalFormatting>
  <conditionalFormatting sqref="AF13">
    <cfRule type="cellIs" dxfId="14459" priority="32559" operator="equal">
      <formula>1</formula>
    </cfRule>
    <cfRule type="cellIs" dxfId="14458" priority="32560" operator="equal">
      <formula>"×"</formula>
    </cfRule>
  </conditionalFormatting>
  <conditionalFormatting sqref="AF13">
    <cfRule type="cellIs" dxfId="14457" priority="32557" operator="equal">
      <formula>1</formula>
    </cfRule>
    <cfRule type="cellIs" dxfId="14456" priority="32558" operator="equal">
      <formula>"×"</formula>
    </cfRule>
  </conditionalFormatting>
  <conditionalFormatting sqref="AE14">
    <cfRule type="cellIs" dxfId="14455" priority="5157" operator="equal">
      <formula>1</formula>
    </cfRule>
    <cfRule type="cellIs" dxfId="14454" priority="5158" operator="equal">
      <formula>"×"</formula>
    </cfRule>
  </conditionalFormatting>
  <conditionalFormatting sqref="AE14">
    <cfRule type="cellIs" dxfId="14453" priority="5155" operator="equal">
      <formula>1</formula>
    </cfRule>
    <cfRule type="cellIs" dxfId="14452" priority="5156" operator="equal">
      <formula>"×"</formula>
    </cfRule>
  </conditionalFormatting>
  <conditionalFormatting sqref="AE14">
    <cfRule type="cellIs" dxfId="14451" priority="5153" operator="equal">
      <formula>1</formula>
    </cfRule>
    <cfRule type="cellIs" dxfId="14450" priority="5154" operator="equal">
      <formula>"×"</formula>
    </cfRule>
  </conditionalFormatting>
  <conditionalFormatting sqref="AE14">
    <cfRule type="cellIs" dxfId="14449" priority="5151" operator="equal">
      <formula>1</formula>
    </cfRule>
    <cfRule type="cellIs" dxfId="14448" priority="5152" operator="equal">
      <formula>"×"</formula>
    </cfRule>
  </conditionalFormatting>
  <conditionalFormatting sqref="AE14">
    <cfRule type="cellIs" dxfId="14447" priority="5149" operator="equal">
      <formula>1</formula>
    </cfRule>
    <cfRule type="cellIs" dxfId="14446" priority="5150" operator="equal">
      <formula>"×"</formula>
    </cfRule>
  </conditionalFormatting>
  <conditionalFormatting sqref="AE14">
    <cfRule type="cellIs" dxfId="14445" priority="5147" operator="equal">
      <formula>1</formula>
    </cfRule>
    <cfRule type="cellIs" dxfId="14444" priority="5148" operator="equal">
      <formula>"×"</formula>
    </cfRule>
  </conditionalFormatting>
  <conditionalFormatting sqref="AE14">
    <cfRule type="cellIs" dxfId="14443" priority="5145" operator="equal">
      <formula>1</formula>
    </cfRule>
    <cfRule type="cellIs" dxfId="14442" priority="5146" operator="equal">
      <formula>"×"</formula>
    </cfRule>
  </conditionalFormatting>
  <conditionalFormatting sqref="AF17:AI19 AE19 AF8:AI9 AE9:AE10 AF8:AF10 AE13:AF16 AE7:AI8 AF11:AI15">
    <cfRule type="cellIs" dxfId="14441" priority="32541" operator="equal">
      <formula>1</formula>
    </cfRule>
    <cfRule type="cellIs" dxfId="14440" priority="32542" operator="equal">
      <formula>"×"</formula>
    </cfRule>
  </conditionalFormatting>
  <conditionalFormatting sqref="AI14">
    <cfRule type="cellIs" dxfId="14439" priority="32539" operator="equal">
      <formula>1</formula>
    </cfRule>
    <cfRule type="cellIs" dxfId="14438" priority="32540" operator="equal">
      <formula>"×"</formula>
    </cfRule>
  </conditionalFormatting>
  <conditionalFormatting sqref="AF17:AI19 AE19 AF8:AI9 AE9:AE10 AF8:AF10 AE13:AF16 AE7:AI8 AF11:AI15">
    <cfRule type="cellIs" dxfId="14437" priority="32535" operator="equal">
      <formula>1</formula>
    </cfRule>
    <cfRule type="cellIs" dxfId="14436" priority="32536" operator="equal">
      <formula>"×"</formula>
    </cfRule>
  </conditionalFormatting>
  <conditionalFormatting sqref="AE14">
    <cfRule type="cellIs" dxfId="14435" priority="5139" operator="equal">
      <formula>1</formula>
    </cfRule>
    <cfRule type="cellIs" dxfId="14434" priority="5140" operator="equal">
      <formula>"×"</formula>
    </cfRule>
  </conditionalFormatting>
  <conditionalFormatting sqref="AH8:AI8">
    <cfRule type="cellIs" dxfId="14433" priority="5223" operator="equal">
      <formula>1</formula>
    </cfRule>
    <cfRule type="cellIs" dxfId="14432" priority="5224" operator="equal">
      <formula>"×"</formula>
    </cfRule>
  </conditionalFormatting>
  <conditionalFormatting sqref="AE14">
    <cfRule type="cellIs" dxfId="14431" priority="5159" operator="equal">
      <formula>1</formula>
    </cfRule>
    <cfRule type="cellIs" dxfId="14430" priority="5160" operator="equal">
      <formula>"×"</formula>
    </cfRule>
  </conditionalFormatting>
  <conditionalFormatting sqref="AE14">
    <cfRule type="cellIs" dxfId="14429" priority="5143" operator="equal">
      <formula>1</formula>
    </cfRule>
    <cfRule type="cellIs" dxfId="14428" priority="5144" operator="equal">
      <formula>"×"</formula>
    </cfRule>
  </conditionalFormatting>
  <conditionalFormatting sqref="AE14">
    <cfRule type="cellIs" dxfId="14427" priority="5141" operator="equal">
      <formula>1</formula>
    </cfRule>
    <cfRule type="cellIs" dxfId="14426" priority="5142" operator="equal">
      <formula>"×"</formula>
    </cfRule>
  </conditionalFormatting>
  <conditionalFormatting sqref="AF13">
    <cfRule type="cellIs" dxfId="14425" priority="32531" operator="equal">
      <formula>1</formula>
    </cfRule>
    <cfRule type="cellIs" dxfId="14424" priority="32532" operator="equal">
      <formula>"×"</formula>
    </cfRule>
  </conditionalFormatting>
  <conditionalFormatting sqref="AF13">
    <cfRule type="cellIs" dxfId="14423" priority="32529" operator="equal">
      <formula>1</formula>
    </cfRule>
    <cfRule type="cellIs" dxfId="14422" priority="32530" operator="equal">
      <formula>"×"</formula>
    </cfRule>
  </conditionalFormatting>
  <conditionalFormatting sqref="AE14">
    <cfRule type="cellIs" dxfId="14421" priority="5129" operator="equal">
      <formula>1</formula>
    </cfRule>
    <cfRule type="cellIs" dxfId="14420" priority="5130" operator="equal">
      <formula>"×"</formula>
    </cfRule>
  </conditionalFormatting>
  <conditionalFormatting sqref="AE14">
    <cfRule type="cellIs" dxfId="14419" priority="5127" operator="equal">
      <formula>1</formula>
    </cfRule>
    <cfRule type="cellIs" dxfId="14418" priority="5128" operator="equal">
      <formula>"×"</formula>
    </cfRule>
  </conditionalFormatting>
  <conditionalFormatting sqref="AD14">
    <cfRule type="cellIs" dxfId="14417" priority="5107" operator="equal">
      <formula>1</formula>
    </cfRule>
    <cfRule type="cellIs" dxfId="14416" priority="5108" operator="equal">
      <formula>"×"</formula>
    </cfRule>
  </conditionalFormatting>
  <conditionalFormatting sqref="AD14">
    <cfRule type="cellIs" dxfId="14415" priority="5105" operator="equal">
      <formula>1</formula>
    </cfRule>
    <cfRule type="cellIs" dxfId="14414" priority="5106" operator="equal">
      <formula>"×"</formula>
    </cfRule>
  </conditionalFormatting>
  <conditionalFormatting sqref="AF17:AI19 AE19 AF8:AI9 AE9:AE10 AF8:AF10 AE13:AF16 AE7:AI8 AF11:AI15">
    <cfRule type="cellIs" dxfId="14413" priority="32501" operator="equal">
      <formula>1</formula>
    </cfRule>
    <cfRule type="cellIs" dxfId="14412" priority="32502" operator="equal">
      <formula>"×"</formula>
    </cfRule>
  </conditionalFormatting>
  <conditionalFormatting sqref="AI14">
    <cfRule type="cellIs" dxfId="14411" priority="32499" operator="equal">
      <formula>1</formula>
    </cfRule>
    <cfRule type="cellIs" dxfId="14410" priority="32500" operator="equal">
      <formula>"×"</formula>
    </cfRule>
  </conditionalFormatting>
  <conditionalFormatting sqref="AF14:AF16 AF17:AI19 AF7:AI9 AF7:AF10 AF11:AI15">
    <cfRule type="cellIs" dxfId="14409" priority="32497" operator="equal">
      <formula>1</formula>
    </cfRule>
    <cfRule type="cellIs" dxfId="14408" priority="32498" operator="equal">
      <formula>"×"</formula>
    </cfRule>
  </conditionalFormatting>
  <conditionalFormatting sqref="AF17:AI19 AE19 AF8:AI9 AE9:AE10 AF8:AF10 AE13:AF16 AE7:AI8 AF11:AI15">
    <cfRule type="cellIs" dxfId="14407" priority="32493" operator="equal">
      <formula>1</formula>
    </cfRule>
    <cfRule type="cellIs" dxfId="14406" priority="32494" operator="equal">
      <formula>"×"</formula>
    </cfRule>
  </conditionalFormatting>
  <conditionalFormatting sqref="AD14">
    <cfRule type="cellIs" dxfId="14405" priority="5097" operator="equal">
      <formula>1</formula>
    </cfRule>
    <cfRule type="cellIs" dxfId="14404" priority="5098" operator="equal">
      <formula>"×"</formula>
    </cfRule>
  </conditionalFormatting>
  <conditionalFormatting sqref="AI14">
    <cfRule type="cellIs" dxfId="14403" priority="32491" operator="equal">
      <formula>1</formula>
    </cfRule>
    <cfRule type="cellIs" dxfId="14402" priority="32492" operator="equal">
      <formula>"×"</formula>
    </cfRule>
  </conditionalFormatting>
  <conditionalFormatting sqref="AD14">
    <cfRule type="cellIs" dxfId="14401" priority="5087" operator="equal">
      <formula>1</formula>
    </cfRule>
    <cfRule type="cellIs" dxfId="14400" priority="5088" operator="equal">
      <formula>"×"</formula>
    </cfRule>
  </conditionalFormatting>
  <conditionalFormatting sqref="AE15">
    <cfRule type="cellIs" dxfId="14399" priority="32483" operator="equal">
      <formula>1</formula>
    </cfRule>
    <cfRule type="cellIs" dxfId="14398" priority="32484" operator="equal">
      <formula>"×"</formula>
    </cfRule>
  </conditionalFormatting>
  <conditionalFormatting sqref="AE15">
    <cfRule type="cellIs" dxfId="14397" priority="32481" operator="equal">
      <formula>1</formula>
    </cfRule>
    <cfRule type="cellIs" dxfId="14396" priority="32482" operator="equal">
      <formula>"×"</formula>
    </cfRule>
  </conditionalFormatting>
  <conditionalFormatting sqref="AE15">
    <cfRule type="cellIs" dxfId="14395" priority="32479" operator="equal">
      <formula>1</formula>
    </cfRule>
    <cfRule type="cellIs" dxfId="14394" priority="32480" operator="equal">
      <formula>"×"</formula>
    </cfRule>
  </conditionalFormatting>
  <conditionalFormatting sqref="AE15">
    <cfRule type="cellIs" dxfId="14393" priority="32477" operator="equal">
      <formula>1</formula>
    </cfRule>
    <cfRule type="cellIs" dxfId="14392" priority="32478" operator="equal">
      <formula>"×"</formula>
    </cfRule>
  </conditionalFormatting>
  <conditionalFormatting sqref="AE15">
    <cfRule type="cellIs" dxfId="14391" priority="32475" operator="equal">
      <formula>1</formula>
    </cfRule>
    <cfRule type="cellIs" dxfId="14390" priority="32476" operator="equal">
      <formula>"×"</formula>
    </cfRule>
  </conditionalFormatting>
  <conditionalFormatting sqref="AE15">
    <cfRule type="cellIs" dxfId="14389" priority="32473" operator="equal">
      <formula>1</formula>
    </cfRule>
    <cfRule type="cellIs" dxfId="14388" priority="32474" operator="equal">
      <formula>"×"</formula>
    </cfRule>
  </conditionalFormatting>
  <conditionalFormatting sqref="AE15">
    <cfRule type="cellIs" dxfId="14387" priority="32471" operator="equal">
      <formula>1</formula>
    </cfRule>
    <cfRule type="cellIs" dxfId="14386" priority="32472" operator="equal">
      <formula>"×"</formula>
    </cfRule>
  </conditionalFormatting>
  <conditionalFormatting sqref="AH9">
    <cfRule type="cellIs" dxfId="14385" priority="5199" operator="equal">
      <formula>1</formula>
    </cfRule>
    <cfRule type="cellIs" dxfId="14384" priority="5200" operator="equal">
      <formula>"×"</formula>
    </cfRule>
  </conditionalFormatting>
  <conditionalFormatting sqref="AH9">
    <cfRule type="cellIs" dxfId="14383" priority="5197" operator="equal">
      <formula>1</formula>
    </cfRule>
    <cfRule type="cellIs" dxfId="14382" priority="5198" operator="equal">
      <formula>"×"</formula>
    </cfRule>
  </conditionalFormatting>
  <conditionalFormatting sqref="AH9">
    <cfRule type="cellIs" dxfId="14381" priority="5195" operator="equal">
      <formula>1</formula>
    </cfRule>
    <cfRule type="cellIs" dxfId="14380" priority="5196" operator="equal">
      <formula>"×"</formula>
    </cfRule>
  </conditionalFormatting>
  <conditionalFormatting sqref="AH9">
    <cfRule type="cellIs" dxfId="14379" priority="5193" operator="equal">
      <formula>1</formula>
    </cfRule>
    <cfRule type="cellIs" dxfId="14378" priority="5194" operator="equal">
      <formula>"×"</formula>
    </cfRule>
  </conditionalFormatting>
  <conditionalFormatting sqref="AH9">
    <cfRule type="cellIs" dxfId="14377" priority="5191" operator="equal">
      <formula>1</formula>
    </cfRule>
    <cfRule type="cellIs" dxfId="14376" priority="5192" operator="equal">
      <formula>"×"</formula>
    </cfRule>
  </conditionalFormatting>
  <conditionalFormatting sqref="AH9">
    <cfRule type="cellIs" dxfId="14375" priority="5189" operator="equal">
      <formula>1</formula>
    </cfRule>
    <cfRule type="cellIs" dxfId="14374" priority="5190" operator="equal">
      <formula>"×"</formula>
    </cfRule>
  </conditionalFormatting>
  <conditionalFormatting sqref="AH9">
    <cfRule type="cellIs" dxfId="14373" priority="5187" operator="equal">
      <formula>1</formula>
    </cfRule>
    <cfRule type="cellIs" dxfId="14372" priority="5188" operator="equal">
      <formula>"×"</formula>
    </cfRule>
  </conditionalFormatting>
  <conditionalFormatting sqref="AH9">
    <cfRule type="cellIs" dxfId="14371" priority="5185" operator="equal">
      <formula>1</formula>
    </cfRule>
    <cfRule type="cellIs" dxfId="14370" priority="5186" operator="equal">
      <formula>"×"</formula>
    </cfRule>
  </conditionalFormatting>
  <conditionalFormatting sqref="AH9">
    <cfRule type="cellIs" dxfId="14369" priority="5183" operator="equal">
      <formula>1</formula>
    </cfRule>
    <cfRule type="cellIs" dxfId="14368" priority="5184" operator="equal">
      <formula>"×"</formula>
    </cfRule>
  </conditionalFormatting>
  <conditionalFormatting sqref="AF18">
    <cfRule type="cellIs" dxfId="14367" priority="5047" operator="equal">
      <formula>1</formula>
    </cfRule>
    <cfRule type="cellIs" dxfId="14366" priority="5048" operator="equal">
      <formula>"×"</formula>
    </cfRule>
  </conditionalFormatting>
  <conditionalFormatting sqref="AE15 AF13">
    <cfRule type="cellIs" dxfId="14365" priority="32443" operator="equal">
      <formula>1</formula>
    </cfRule>
    <cfRule type="cellIs" dxfId="14364" priority="32444" operator="equal">
      <formula>"×"</formula>
    </cfRule>
  </conditionalFormatting>
  <conditionalFormatting sqref="AE15 AF13">
    <cfRule type="cellIs" dxfId="14363" priority="32439" operator="equal">
      <formula>1</formula>
    </cfRule>
    <cfRule type="cellIs" dxfId="14362" priority="32440" operator="equal">
      <formula>"×"</formula>
    </cfRule>
  </conditionalFormatting>
  <conditionalFormatting sqref="AE15 AF13">
    <cfRule type="cellIs" dxfId="14361" priority="32441" operator="equal">
      <formula>1</formula>
    </cfRule>
    <cfRule type="cellIs" dxfId="14360" priority="32442" operator="equal">
      <formula>"×"</formula>
    </cfRule>
  </conditionalFormatting>
  <conditionalFormatting sqref="AE15 AF13">
    <cfRule type="cellIs" dxfId="14359" priority="32437" operator="equal">
      <formula>1</formula>
    </cfRule>
    <cfRule type="cellIs" dxfId="14358" priority="32438" operator="equal">
      <formula>"×"</formula>
    </cfRule>
  </conditionalFormatting>
  <conditionalFormatting sqref="AE15 AF13">
    <cfRule type="cellIs" dxfId="14357" priority="32435" operator="equal">
      <formula>1</formula>
    </cfRule>
    <cfRule type="cellIs" dxfId="14356" priority="32436" operator="equal">
      <formula>"×"</formula>
    </cfRule>
  </conditionalFormatting>
  <conditionalFormatting sqref="AE15 AF13">
    <cfRule type="cellIs" dxfId="14355" priority="32433" operator="equal">
      <formula>1</formula>
    </cfRule>
    <cfRule type="cellIs" dxfId="14354" priority="32434" operator="equal">
      <formula>"×"</formula>
    </cfRule>
  </conditionalFormatting>
  <conditionalFormatting sqref="AE15 AF13">
    <cfRule type="cellIs" dxfId="14353" priority="32431" operator="equal">
      <formula>1</formula>
    </cfRule>
    <cfRule type="cellIs" dxfId="14352" priority="32432" operator="equal">
      <formula>"×"</formula>
    </cfRule>
  </conditionalFormatting>
  <conditionalFormatting sqref="AE14">
    <cfRule type="cellIs" dxfId="14351" priority="5137" operator="equal">
      <formula>1</formula>
    </cfRule>
    <cfRule type="cellIs" dxfId="14350" priority="5138" operator="equal">
      <formula>"×"</formula>
    </cfRule>
  </conditionalFormatting>
  <conditionalFormatting sqref="AF23">
    <cfRule type="cellIs" dxfId="14349" priority="1947" operator="equal">
      <formula>1</formula>
    </cfRule>
    <cfRule type="cellIs" dxfId="14348" priority="1948" operator="equal">
      <formula>"×"</formula>
    </cfRule>
  </conditionalFormatting>
  <conditionalFormatting sqref="AF23:AI23">
    <cfRule type="cellIs" dxfId="14347" priority="1923" operator="equal">
      <formula>1</formula>
    </cfRule>
    <cfRule type="cellIs" dxfId="14346" priority="1924" operator="equal">
      <formula>"×"</formula>
    </cfRule>
  </conditionalFormatting>
  <conditionalFormatting sqref="AF23">
    <cfRule type="cellIs" dxfId="14345" priority="1921" operator="equal">
      <formula>1</formula>
    </cfRule>
    <cfRule type="cellIs" dxfId="14344" priority="1922" operator="equal">
      <formula>"×"</formula>
    </cfRule>
  </conditionalFormatting>
  <conditionalFormatting sqref="AH22:AI22">
    <cfRule type="cellIs" dxfId="14343" priority="1903" operator="equal">
      <formula>1</formula>
    </cfRule>
    <cfRule type="cellIs" dxfId="14342" priority="1904" operator="equal">
      <formula>"×"</formula>
    </cfRule>
  </conditionalFormatting>
  <conditionalFormatting sqref="AF17:AI19 AF8:AI9 AC9:AI10 AH8:AI19 AF11:AI15 AC13:AI16 AC19:AE19 AA6:AI6 AB7:AI8">
    <cfRule type="cellIs" dxfId="14341" priority="31517" operator="equal">
      <formula>1</formula>
    </cfRule>
    <cfRule type="cellIs" dxfId="14340" priority="31518" operator="equal">
      <formula>"×"</formula>
    </cfRule>
  </conditionalFormatting>
  <conditionalFormatting sqref="Z8">
    <cfRule type="cellIs" dxfId="14339" priority="31515" operator="equal">
      <formula>1</formula>
    </cfRule>
    <cfRule type="cellIs" dxfId="14338" priority="31516" operator="equal">
      <formula>"×"</formula>
    </cfRule>
  </conditionalFormatting>
  <conditionalFormatting sqref="Z13:Z16 Z9:Z10 AA31:AA37 AB13:AB16 AB7:AB10 AD13:AD16 AD7:AD10">
    <cfRule type="cellIs" dxfId="14337" priority="31513" operator="equal">
      <formula>1</formula>
    </cfRule>
    <cfRule type="cellIs" dxfId="14336" priority="31514" operator="equal">
      <formula>"×"</formula>
    </cfRule>
  </conditionalFormatting>
  <conditionalFormatting sqref="AE14">
    <cfRule type="cellIs" dxfId="14335" priority="10503" operator="equal">
      <formula>1</formula>
    </cfRule>
    <cfRule type="cellIs" dxfId="14334" priority="10504" operator="equal">
      <formula>"×"</formula>
    </cfRule>
  </conditionalFormatting>
  <conditionalFormatting sqref="AE14">
    <cfRule type="cellIs" dxfId="14333" priority="10501" operator="equal">
      <formula>1</formula>
    </cfRule>
    <cfRule type="cellIs" dxfId="14332" priority="10502" operator="equal">
      <formula>"×"</formula>
    </cfRule>
  </conditionalFormatting>
  <conditionalFormatting sqref="AE14">
    <cfRule type="cellIs" dxfId="14331" priority="10497" operator="equal">
      <formula>1</formula>
    </cfRule>
    <cfRule type="cellIs" dxfId="14330" priority="10498" operator="equal">
      <formula>"×"</formula>
    </cfRule>
  </conditionalFormatting>
  <conditionalFormatting sqref="AE14">
    <cfRule type="cellIs" dxfId="14329" priority="10499" operator="equal">
      <formula>1</formula>
    </cfRule>
    <cfRule type="cellIs" dxfId="14328" priority="10500" operator="equal">
      <formula>"×"</formula>
    </cfRule>
  </conditionalFormatting>
  <conditionalFormatting sqref="AE14">
    <cfRule type="cellIs" dxfId="14327" priority="10515" operator="equal">
      <formula>1</formula>
    </cfRule>
    <cfRule type="cellIs" dxfId="14326" priority="10516" operator="equal">
      <formula>"×"</formula>
    </cfRule>
  </conditionalFormatting>
  <conditionalFormatting sqref="AE14">
    <cfRule type="cellIs" dxfId="14325" priority="10513" operator="equal">
      <formula>1</formula>
    </cfRule>
    <cfRule type="cellIs" dxfId="14324" priority="10514" operator="equal">
      <formula>"×"</formula>
    </cfRule>
  </conditionalFormatting>
  <conditionalFormatting sqref="AE14">
    <cfRule type="cellIs" dxfId="14323" priority="10511" operator="equal">
      <formula>1</formula>
    </cfRule>
    <cfRule type="cellIs" dxfId="14322" priority="10512" operator="equal">
      <formula>"×"</formula>
    </cfRule>
  </conditionalFormatting>
  <conditionalFormatting sqref="AE14">
    <cfRule type="cellIs" dxfId="14321" priority="10509" operator="equal">
      <formula>1</formula>
    </cfRule>
    <cfRule type="cellIs" dxfId="14320" priority="10510" operator="equal">
      <formula>"×"</formula>
    </cfRule>
  </conditionalFormatting>
  <conditionalFormatting sqref="AE14">
    <cfRule type="cellIs" dxfId="14319" priority="10507" operator="equal">
      <formula>1</formula>
    </cfRule>
    <cfRule type="cellIs" dxfId="14318" priority="10508" operator="equal">
      <formula>"×"</formula>
    </cfRule>
  </conditionalFormatting>
  <conditionalFormatting sqref="AE14">
    <cfRule type="cellIs" dxfId="14317" priority="10505" operator="equal">
      <formula>1</formula>
    </cfRule>
    <cfRule type="cellIs" dxfId="14316" priority="10506" operator="equal">
      <formula>"×"</formula>
    </cfRule>
  </conditionalFormatting>
  <conditionalFormatting sqref="AE14">
    <cfRule type="cellIs" dxfId="14315" priority="10495" operator="equal">
      <formula>1</formula>
    </cfRule>
    <cfRule type="cellIs" dxfId="14314" priority="10496" operator="equal">
      <formula>"×"</formula>
    </cfRule>
  </conditionalFormatting>
  <conditionalFormatting sqref="AE14">
    <cfRule type="cellIs" dxfId="14313" priority="10493" operator="equal">
      <formula>1</formula>
    </cfRule>
    <cfRule type="cellIs" dxfId="14312" priority="10494" operator="equal">
      <formula>"×"</formula>
    </cfRule>
  </conditionalFormatting>
  <conditionalFormatting sqref="AE14">
    <cfRule type="cellIs" dxfId="14311" priority="10491" operator="equal">
      <formula>1</formula>
    </cfRule>
    <cfRule type="cellIs" dxfId="14310" priority="10492" operator="equal">
      <formula>"×"</formula>
    </cfRule>
  </conditionalFormatting>
  <conditionalFormatting sqref="AE14">
    <cfRule type="cellIs" dxfId="14309" priority="10489" operator="equal">
      <formula>1</formula>
    </cfRule>
    <cfRule type="cellIs" dxfId="14308" priority="10490" operator="equal">
      <formula>"×"</formula>
    </cfRule>
  </conditionalFormatting>
  <conditionalFormatting sqref="AE14">
    <cfRule type="cellIs" dxfId="14307" priority="10487" operator="equal">
      <formula>1</formula>
    </cfRule>
    <cfRule type="cellIs" dxfId="14306" priority="10488" operator="equal">
      <formula>"×"</formula>
    </cfRule>
  </conditionalFormatting>
  <conditionalFormatting sqref="AE14">
    <cfRule type="cellIs" dxfId="14305" priority="10485" operator="equal">
      <formula>1</formula>
    </cfRule>
    <cfRule type="cellIs" dxfId="14304" priority="10486" operator="equal">
      <formula>"×"</formula>
    </cfRule>
  </conditionalFormatting>
  <conditionalFormatting sqref="AE14">
    <cfRule type="cellIs" dxfId="14303" priority="10483" operator="equal">
      <formula>1</formula>
    </cfRule>
    <cfRule type="cellIs" dxfId="14302" priority="10484" operator="equal">
      <formula>"×"</formula>
    </cfRule>
  </conditionalFormatting>
  <conditionalFormatting sqref="AE14">
    <cfRule type="cellIs" dxfId="14301" priority="10435" operator="equal">
      <formula>1</formula>
    </cfRule>
    <cfRule type="cellIs" dxfId="14300" priority="10436" operator="equal">
      <formula>"×"</formula>
    </cfRule>
  </conditionalFormatting>
  <conditionalFormatting sqref="AE14">
    <cfRule type="cellIs" dxfId="14299" priority="10433" operator="equal">
      <formula>1</formula>
    </cfRule>
    <cfRule type="cellIs" dxfId="14298" priority="10434" operator="equal">
      <formula>"×"</formula>
    </cfRule>
  </conditionalFormatting>
  <conditionalFormatting sqref="AE14">
    <cfRule type="cellIs" dxfId="14297" priority="10429" operator="equal">
      <formula>1</formula>
    </cfRule>
    <cfRule type="cellIs" dxfId="14296" priority="10430" operator="equal">
      <formula>"×"</formula>
    </cfRule>
  </conditionalFormatting>
  <conditionalFormatting sqref="AE14">
    <cfRule type="cellIs" dxfId="14295" priority="10431" operator="equal">
      <formula>1</formula>
    </cfRule>
    <cfRule type="cellIs" dxfId="14294" priority="10432" operator="equal">
      <formula>"×"</formula>
    </cfRule>
  </conditionalFormatting>
  <conditionalFormatting sqref="AE14">
    <cfRule type="cellIs" dxfId="14293" priority="10441" operator="equal">
      <formula>1</formula>
    </cfRule>
    <cfRule type="cellIs" dxfId="14292" priority="10442" operator="equal">
      <formula>"×"</formula>
    </cfRule>
  </conditionalFormatting>
  <conditionalFormatting sqref="AE14">
    <cfRule type="cellIs" dxfId="14291" priority="10439" operator="equal">
      <formula>1</formula>
    </cfRule>
    <cfRule type="cellIs" dxfId="14290" priority="10440" operator="equal">
      <formula>"×"</formula>
    </cfRule>
  </conditionalFormatting>
  <conditionalFormatting sqref="AE14">
    <cfRule type="cellIs" dxfId="14289" priority="10437" operator="equal">
      <formula>1</formula>
    </cfRule>
    <cfRule type="cellIs" dxfId="14288" priority="10438" operator="equal">
      <formula>"×"</formula>
    </cfRule>
  </conditionalFormatting>
  <conditionalFormatting sqref="AD14">
    <cfRule type="cellIs" dxfId="14287" priority="10379" operator="equal">
      <formula>1</formula>
    </cfRule>
    <cfRule type="cellIs" dxfId="14286" priority="10380" operator="equal">
      <formula>"×"</formula>
    </cfRule>
  </conditionalFormatting>
  <conditionalFormatting sqref="AD14">
    <cfRule type="cellIs" dxfId="14285" priority="10381" operator="equal">
      <formula>1</formula>
    </cfRule>
    <cfRule type="cellIs" dxfId="14284" priority="10382" operator="equal">
      <formula>"×"</formula>
    </cfRule>
  </conditionalFormatting>
  <conditionalFormatting sqref="AD14">
    <cfRule type="cellIs" dxfId="14283" priority="10373" operator="equal">
      <formula>1</formula>
    </cfRule>
    <cfRule type="cellIs" dxfId="14282" priority="10374" operator="equal">
      <formula>"×"</formula>
    </cfRule>
  </conditionalFormatting>
  <conditionalFormatting sqref="AC14">
    <cfRule type="cellIs" dxfId="14281" priority="10371" operator="equal">
      <formula>1</formula>
    </cfRule>
    <cfRule type="cellIs" dxfId="14280" priority="10372" operator="equal">
      <formula>"×"</formula>
    </cfRule>
  </conditionalFormatting>
  <conditionalFormatting sqref="AD14">
    <cfRule type="cellIs" dxfId="14279" priority="10369" operator="equal">
      <formula>1</formula>
    </cfRule>
    <cfRule type="cellIs" dxfId="14278" priority="10370" operator="equal">
      <formula>"×"</formula>
    </cfRule>
  </conditionalFormatting>
  <conditionalFormatting sqref="AD14">
    <cfRule type="cellIs" dxfId="14277" priority="10367" operator="equal">
      <formula>1</formula>
    </cfRule>
    <cfRule type="cellIs" dxfId="14276" priority="10368" operator="equal">
      <formula>"×"</formula>
    </cfRule>
  </conditionalFormatting>
  <conditionalFormatting sqref="AD14">
    <cfRule type="cellIs" dxfId="14275" priority="10363" operator="equal">
      <formula>1</formula>
    </cfRule>
    <cfRule type="cellIs" dxfId="14274" priority="10364" operator="equal">
      <formula>"×"</formula>
    </cfRule>
  </conditionalFormatting>
  <conditionalFormatting sqref="AD14">
    <cfRule type="cellIs" dxfId="14273" priority="10365" operator="equal">
      <formula>1</formula>
    </cfRule>
    <cfRule type="cellIs" dxfId="14272" priority="10366" operator="equal">
      <formula>"×"</formula>
    </cfRule>
  </conditionalFormatting>
  <conditionalFormatting sqref="AE14">
    <cfRule type="cellIs" dxfId="14271" priority="10423" operator="equal">
      <formula>1</formula>
    </cfRule>
    <cfRule type="cellIs" dxfId="14270" priority="10424" operator="equal">
      <formula>"×"</formula>
    </cfRule>
  </conditionalFormatting>
  <conditionalFormatting sqref="AE14">
    <cfRule type="cellIs" dxfId="14269" priority="10421" operator="equal">
      <formula>1</formula>
    </cfRule>
    <cfRule type="cellIs" dxfId="14268" priority="10422" operator="equal">
      <formula>"×"</formula>
    </cfRule>
  </conditionalFormatting>
  <conditionalFormatting sqref="AE14">
    <cfRule type="cellIs" dxfId="14267" priority="10419" operator="equal">
      <formula>1</formula>
    </cfRule>
    <cfRule type="cellIs" dxfId="14266" priority="10420" operator="equal">
      <formula>"×"</formula>
    </cfRule>
  </conditionalFormatting>
  <conditionalFormatting sqref="AE14">
    <cfRule type="cellIs" dxfId="14265" priority="10417" operator="equal">
      <formula>1</formula>
    </cfRule>
    <cfRule type="cellIs" dxfId="14264" priority="10418" operator="equal">
      <formula>"×"</formula>
    </cfRule>
  </conditionalFormatting>
  <conditionalFormatting sqref="AE14">
    <cfRule type="cellIs" dxfId="14263" priority="10413" operator="equal">
      <formula>1</formula>
    </cfRule>
    <cfRule type="cellIs" dxfId="14262" priority="10414" operator="equal">
      <formula>"×"</formula>
    </cfRule>
  </conditionalFormatting>
  <conditionalFormatting sqref="AE14">
    <cfRule type="cellIs" dxfId="14261" priority="10411" operator="equal">
      <formula>1</formula>
    </cfRule>
    <cfRule type="cellIs" dxfId="14260" priority="10412" operator="equal">
      <formula>"×"</formula>
    </cfRule>
  </conditionalFormatting>
  <conditionalFormatting sqref="AE14">
    <cfRule type="cellIs" dxfId="14259" priority="10409" operator="equal">
      <formula>1</formula>
    </cfRule>
    <cfRule type="cellIs" dxfId="14258" priority="10410" operator="equal">
      <formula>"×"</formula>
    </cfRule>
  </conditionalFormatting>
  <conditionalFormatting sqref="AE14">
    <cfRule type="cellIs" dxfId="14257" priority="10403" operator="equal">
      <formula>1</formula>
    </cfRule>
    <cfRule type="cellIs" dxfId="14256" priority="10404" operator="equal">
      <formula>"×"</formula>
    </cfRule>
  </conditionalFormatting>
  <conditionalFormatting sqref="AE14">
    <cfRule type="cellIs" dxfId="14255" priority="10399" operator="equal">
      <formula>1</formula>
    </cfRule>
    <cfRule type="cellIs" dxfId="14254" priority="10400" operator="equal">
      <formula>"×"</formula>
    </cfRule>
  </conditionalFormatting>
  <conditionalFormatting sqref="AE14">
    <cfRule type="cellIs" dxfId="14253" priority="10401" operator="equal">
      <formula>1</formula>
    </cfRule>
    <cfRule type="cellIs" dxfId="14252" priority="10402" operator="equal">
      <formula>"×"</formula>
    </cfRule>
  </conditionalFormatting>
  <conditionalFormatting sqref="AC14">
    <cfRule type="cellIs" dxfId="14251" priority="10397" operator="equal">
      <formula>1</formula>
    </cfRule>
    <cfRule type="cellIs" dxfId="14250" priority="10398" operator="equal">
      <formula>"×"</formula>
    </cfRule>
  </conditionalFormatting>
  <conditionalFormatting sqref="AD14">
    <cfRule type="cellIs" dxfId="14249" priority="10395" operator="equal">
      <formula>1</formula>
    </cfRule>
    <cfRule type="cellIs" dxfId="14248" priority="10396" operator="equal">
      <formula>"×"</formula>
    </cfRule>
  </conditionalFormatting>
  <conditionalFormatting sqref="AD14">
    <cfRule type="cellIs" dxfId="14247" priority="10393" operator="equal">
      <formula>1</formula>
    </cfRule>
    <cfRule type="cellIs" dxfId="14246" priority="10394" operator="equal">
      <formula>"×"</formula>
    </cfRule>
  </conditionalFormatting>
  <conditionalFormatting sqref="AD14">
    <cfRule type="cellIs" dxfId="14245" priority="10391" operator="equal">
      <formula>1</formula>
    </cfRule>
    <cfRule type="cellIs" dxfId="14244" priority="10392" operator="equal">
      <formula>"×"</formula>
    </cfRule>
  </conditionalFormatting>
  <conditionalFormatting sqref="AD14">
    <cfRule type="cellIs" dxfId="14243" priority="10387" operator="equal">
      <formula>1</formula>
    </cfRule>
    <cfRule type="cellIs" dxfId="14242" priority="10388" operator="equal">
      <formula>"×"</formula>
    </cfRule>
  </conditionalFormatting>
  <conditionalFormatting sqref="AD14">
    <cfRule type="cellIs" dxfId="14241" priority="10389" operator="equal">
      <formula>1</formula>
    </cfRule>
    <cfRule type="cellIs" dxfId="14240" priority="10390" operator="equal">
      <formula>"×"</formula>
    </cfRule>
  </conditionalFormatting>
  <conditionalFormatting sqref="AD14">
    <cfRule type="cellIs" dxfId="14239" priority="10385" operator="equal">
      <formula>1</formula>
    </cfRule>
    <cfRule type="cellIs" dxfId="14238" priority="10386" operator="equal">
      <formula>"×"</formula>
    </cfRule>
  </conditionalFormatting>
  <conditionalFormatting sqref="AD14">
    <cfRule type="cellIs" dxfId="14237" priority="10383" operator="equal">
      <formula>1</formula>
    </cfRule>
    <cfRule type="cellIs" dxfId="14236" priority="10384" operator="equal">
      <formula>"×"</formula>
    </cfRule>
  </conditionalFormatting>
  <conditionalFormatting sqref="AC14:AD14">
    <cfRule type="cellIs" dxfId="14235" priority="10361" operator="equal">
      <formula>1</formula>
    </cfRule>
    <cfRule type="cellIs" dxfId="14234" priority="10362" operator="equal">
      <formula>"×"</formula>
    </cfRule>
  </conditionalFormatting>
  <conditionalFormatting sqref="Z14 AB14 AD14">
    <cfRule type="cellIs" dxfId="14233" priority="10359" operator="equal">
      <formula>1</formula>
    </cfRule>
    <cfRule type="cellIs" dxfId="14232" priority="10360" operator="equal">
      <formula>"×"</formula>
    </cfRule>
  </conditionalFormatting>
  <conditionalFormatting sqref="AF14:AI14">
    <cfRule type="cellIs" dxfId="14231" priority="10357" operator="equal">
      <formula>1</formula>
    </cfRule>
    <cfRule type="cellIs" dxfId="14230" priority="10358" operator="equal">
      <formula>"×"</formula>
    </cfRule>
  </conditionalFormatting>
  <conditionalFormatting sqref="AI14">
    <cfRule type="cellIs" dxfId="14229" priority="10355" operator="equal">
      <formula>1</formula>
    </cfRule>
    <cfRule type="cellIs" dxfId="14228" priority="10356" operator="equal">
      <formula>"×"</formula>
    </cfRule>
  </conditionalFormatting>
  <conditionalFormatting sqref="AF18">
    <cfRule type="cellIs" dxfId="14227" priority="10353" operator="equal">
      <formula>1</formula>
    </cfRule>
    <cfRule type="cellIs" dxfId="14226" priority="10354" operator="equal">
      <formula>"×"</formula>
    </cfRule>
  </conditionalFormatting>
  <conditionalFormatting sqref="AF18">
    <cfRule type="cellIs" dxfId="14225" priority="10351" operator="equal">
      <formula>1</formula>
    </cfRule>
    <cfRule type="cellIs" dxfId="14224" priority="10352" operator="equal">
      <formula>"×"</formula>
    </cfRule>
  </conditionalFormatting>
  <conditionalFormatting sqref="AF18:AI18">
    <cfRule type="cellIs" dxfId="14223" priority="10349" operator="equal">
      <formula>1</formula>
    </cfRule>
    <cfRule type="cellIs" dxfId="14222" priority="10350" operator="equal">
      <formula>"×"</formula>
    </cfRule>
  </conditionalFormatting>
  <conditionalFormatting sqref="AI18">
    <cfRule type="cellIs" dxfId="14221" priority="10347" operator="equal">
      <formula>1</formula>
    </cfRule>
    <cfRule type="cellIs" dxfId="14220" priority="10348" operator="equal">
      <formula>"×"</formula>
    </cfRule>
  </conditionalFormatting>
  <conditionalFormatting sqref="AF18:AI18">
    <cfRule type="cellIs" dxfId="14219" priority="10345" operator="equal">
      <formula>1</formula>
    </cfRule>
    <cfRule type="cellIs" dxfId="14218" priority="10346" operator="equal">
      <formula>"×"</formula>
    </cfRule>
  </conditionalFormatting>
  <conditionalFormatting sqref="AF14">
    <cfRule type="cellIs" dxfId="14217" priority="10343" operator="equal">
      <formula>1</formula>
    </cfRule>
    <cfRule type="cellIs" dxfId="14216" priority="10344" operator="equal">
      <formula>"×"</formula>
    </cfRule>
  </conditionalFormatting>
  <conditionalFormatting sqref="AF14">
    <cfRule type="cellIs" dxfId="14215" priority="10341" operator="equal">
      <formula>1</formula>
    </cfRule>
    <cfRule type="cellIs" dxfId="14214" priority="10342" operator="equal">
      <formula>"×"</formula>
    </cfRule>
  </conditionalFormatting>
  <conditionalFormatting sqref="AF18:AI18">
    <cfRule type="cellIs" dxfId="14213" priority="10339" operator="equal">
      <formula>1</formula>
    </cfRule>
    <cfRule type="cellIs" dxfId="14212" priority="10340" operator="equal">
      <formula>"×"</formula>
    </cfRule>
  </conditionalFormatting>
  <conditionalFormatting sqref="AI18">
    <cfRule type="cellIs" dxfId="14211" priority="10337" operator="equal">
      <formula>1</formula>
    </cfRule>
    <cfRule type="cellIs" dxfId="14210" priority="10338" operator="equal">
      <formula>"×"</formula>
    </cfRule>
  </conditionalFormatting>
  <conditionalFormatting sqref="AF18:AI18">
    <cfRule type="cellIs" dxfId="14209" priority="10335" operator="equal">
      <formula>1</formula>
    </cfRule>
    <cfRule type="cellIs" dxfId="14208" priority="10336" operator="equal">
      <formula>"×"</formula>
    </cfRule>
  </conditionalFormatting>
  <conditionalFormatting sqref="AF18:AI18">
    <cfRule type="cellIs" dxfId="14207" priority="10333" operator="equal">
      <formula>1</formula>
    </cfRule>
    <cfRule type="cellIs" dxfId="14206" priority="10334" operator="equal">
      <formula>"×"</formula>
    </cfRule>
  </conditionalFormatting>
  <conditionalFormatting sqref="AI18">
    <cfRule type="cellIs" dxfId="14205" priority="10331" operator="equal">
      <formula>1</formula>
    </cfRule>
    <cfRule type="cellIs" dxfId="14204" priority="10332" operator="equal">
      <formula>"×"</formula>
    </cfRule>
  </conditionalFormatting>
  <conditionalFormatting sqref="AF19">
    <cfRule type="cellIs" dxfId="14203" priority="10329" operator="equal">
      <formula>1</formula>
    </cfRule>
    <cfRule type="cellIs" dxfId="14202" priority="10330" operator="equal">
      <formula>"×"</formula>
    </cfRule>
  </conditionalFormatting>
  <conditionalFormatting sqref="AF18">
    <cfRule type="cellIs" dxfId="14201" priority="10327" operator="equal">
      <formula>1</formula>
    </cfRule>
    <cfRule type="cellIs" dxfId="14200" priority="10328" operator="equal">
      <formula>"×"</formula>
    </cfRule>
  </conditionalFormatting>
  <conditionalFormatting sqref="AF18">
    <cfRule type="cellIs" dxfId="14199" priority="10325" operator="equal">
      <formula>1</formula>
    </cfRule>
    <cfRule type="cellIs" dxfId="14198" priority="10326" operator="equal">
      <formula>"×"</formula>
    </cfRule>
  </conditionalFormatting>
  <conditionalFormatting sqref="Z10:Z13">
    <cfRule type="cellIs" dxfId="14197" priority="31307" operator="equal">
      <formula>1</formula>
    </cfRule>
    <cfRule type="cellIs" dxfId="14196" priority="31308" operator="equal">
      <formula>"×"</formula>
    </cfRule>
  </conditionalFormatting>
  <conditionalFormatting sqref="AF18">
    <cfRule type="cellIs" dxfId="14195" priority="10297" operator="equal">
      <formula>1</formula>
    </cfRule>
    <cfRule type="cellIs" dxfId="14194" priority="10298" operator="equal">
      <formula>"×"</formula>
    </cfRule>
  </conditionalFormatting>
  <conditionalFormatting sqref="AF18">
    <cfRule type="cellIs" dxfId="14193" priority="10295" operator="equal">
      <formula>1</formula>
    </cfRule>
    <cfRule type="cellIs" dxfId="14192" priority="10296" operator="equal">
      <formula>"×"</formula>
    </cfRule>
  </conditionalFormatting>
  <conditionalFormatting sqref="AF18">
    <cfRule type="cellIs" dxfId="14191" priority="10291" operator="equal">
      <formula>1</formula>
    </cfRule>
    <cfRule type="cellIs" dxfId="14190" priority="10292" operator="equal">
      <formula>"×"</formula>
    </cfRule>
  </conditionalFormatting>
  <conditionalFormatting sqref="AF18">
    <cfRule type="cellIs" dxfId="14189" priority="10293" operator="equal">
      <formula>1</formula>
    </cfRule>
    <cfRule type="cellIs" dxfId="14188" priority="10294" operator="equal">
      <formula>"×"</formula>
    </cfRule>
  </conditionalFormatting>
  <conditionalFormatting sqref="AF18">
    <cfRule type="cellIs" dxfId="14187" priority="10321" operator="equal">
      <formula>1</formula>
    </cfRule>
    <cfRule type="cellIs" dxfId="14186" priority="10322" operator="equal">
      <formula>"×"</formula>
    </cfRule>
  </conditionalFormatting>
  <conditionalFormatting sqref="AI19">
    <cfRule type="cellIs" dxfId="14185" priority="10319" operator="equal">
      <formula>1</formula>
    </cfRule>
    <cfRule type="cellIs" dxfId="14184" priority="10320" operator="equal">
      <formula>"×"</formula>
    </cfRule>
  </conditionalFormatting>
  <conditionalFormatting sqref="AF18">
    <cfRule type="cellIs" dxfId="14183" priority="10317" operator="equal">
      <formula>1</formula>
    </cfRule>
    <cfRule type="cellIs" dxfId="14182" priority="10318" operator="equal">
      <formula>"×"</formula>
    </cfRule>
  </conditionalFormatting>
  <conditionalFormatting sqref="AF18">
    <cfRule type="cellIs" dxfId="14181" priority="10315" operator="equal">
      <formula>1</formula>
    </cfRule>
    <cfRule type="cellIs" dxfId="14180" priority="10316" operator="equal">
      <formula>"×"</formula>
    </cfRule>
  </conditionalFormatting>
  <conditionalFormatting sqref="AF18:AI18">
    <cfRule type="cellIs" dxfId="14179" priority="10313" operator="equal">
      <formula>1</formula>
    </cfRule>
    <cfRule type="cellIs" dxfId="14178" priority="10314" operator="equal">
      <formula>"×"</formula>
    </cfRule>
  </conditionalFormatting>
  <conditionalFormatting sqref="AI18">
    <cfRule type="cellIs" dxfId="14177" priority="10311" operator="equal">
      <formula>1</formula>
    </cfRule>
    <cfRule type="cellIs" dxfId="14176" priority="10312" operator="equal">
      <formula>"×"</formula>
    </cfRule>
  </conditionalFormatting>
  <conditionalFormatting sqref="AF18:AI18">
    <cfRule type="cellIs" dxfId="14175" priority="10309" operator="equal">
      <formula>1</formula>
    </cfRule>
    <cfRule type="cellIs" dxfId="14174" priority="10310" operator="equal">
      <formula>"×"</formula>
    </cfRule>
  </conditionalFormatting>
  <conditionalFormatting sqref="AI19">
    <cfRule type="cellIs" dxfId="14173" priority="10307" operator="equal">
      <formula>1</formula>
    </cfRule>
    <cfRule type="cellIs" dxfId="14172" priority="10308" operator="equal">
      <formula>"×"</formula>
    </cfRule>
  </conditionalFormatting>
  <conditionalFormatting sqref="AI19">
    <cfRule type="cellIs" dxfId="14171" priority="10305" operator="equal">
      <formula>1</formula>
    </cfRule>
    <cfRule type="cellIs" dxfId="14170" priority="10306" operator="equal">
      <formula>"×"</formula>
    </cfRule>
  </conditionalFormatting>
  <conditionalFormatting sqref="AF18">
    <cfRule type="cellIs" dxfId="14169" priority="10303" operator="equal">
      <formula>1</formula>
    </cfRule>
    <cfRule type="cellIs" dxfId="14168" priority="10304" operator="equal">
      <formula>"×"</formula>
    </cfRule>
  </conditionalFormatting>
  <conditionalFormatting sqref="AF18">
    <cfRule type="cellIs" dxfId="14167" priority="10301" operator="equal">
      <formula>1</formula>
    </cfRule>
    <cfRule type="cellIs" dxfId="14166" priority="10302" operator="equal">
      <formula>"×"</formula>
    </cfRule>
  </conditionalFormatting>
  <conditionalFormatting sqref="AF18">
    <cfRule type="cellIs" dxfId="14165" priority="10299" operator="equal">
      <formula>1</formula>
    </cfRule>
    <cfRule type="cellIs" dxfId="14164" priority="10300" operator="equal">
      <formula>"×"</formula>
    </cfRule>
  </conditionalFormatting>
  <conditionalFormatting sqref="AE15">
    <cfRule type="cellIs" dxfId="14163" priority="31261" operator="equal">
      <formula>1</formula>
    </cfRule>
    <cfRule type="cellIs" dxfId="14162" priority="31262" operator="equal">
      <formula>"×"</formula>
    </cfRule>
  </conditionalFormatting>
  <conditionalFormatting sqref="AE15">
    <cfRule type="cellIs" dxfId="14161" priority="31259" operator="equal">
      <formula>1</formula>
    </cfRule>
    <cfRule type="cellIs" dxfId="14160" priority="31260" operator="equal">
      <formula>"×"</formula>
    </cfRule>
  </conditionalFormatting>
  <conditionalFormatting sqref="AE15">
    <cfRule type="cellIs" dxfId="14159" priority="31273" operator="equal">
      <formula>1</formula>
    </cfRule>
    <cfRule type="cellIs" dxfId="14158" priority="31274" operator="equal">
      <formula>"×"</formula>
    </cfRule>
  </conditionalFormatting>
  <conditionalFormatting sqref="AE15">
    <cfRule type="cellIs" dxfId="14157" priority="31271" operator="equal">
      <formula>1</formula>
    </cfRule>
    <cfRule type="cellIs" dxfId="14156" priority="31272" operator="equal">
      <formula>"×"</formula>
    </cfRule>
  </conditionalFormatting>
  <conditionalFormatting sqref="AE15">
    <cfRule type="cellIs" dxfId="14155" priority="31269" operator="equal">
      <formula>1</formula>
    </cfRule>
    <cfRule type="cellIs" dxfId="14154" priority="31270" operator="equal">
      <formula>"×"</formula>
    </cfRule>
  </conditionalFormatting>
  <conditionalFormatting sqref="AE15">
    <cfRule type="cellIs" dxfId="14153" priority="31267" operator="equal">
      <formula>1</formula>
    </cfRule>
    <cfRule type="cellIs" dxfId="14152" priority="31268" operator="equal">
      <formula>"×"</formula>
    </cfRule>
  </conditionalFormatting>
  <conditionalFormatting sqref="AE15">
    <cfRule type="cellIs" dxfId="14151" priority="31265" operator="equal">
      <formula>1</formula>
    </cfRule>
    <cfRule type="cellIs" dxfId="14150" priority="31266" operator="equal">
      <formula>"×"</formula>
    </cfRule>
  </conditionalFormatting>
  <conditionalFormatting sqref="AE15">
    <cfRule type="cellIs" dxfId="14149" priority="31263" operator="equal">
      <formula>1</formula>
    </cfRule>
    <cfRule type="cellIs" dxfId="14148" priority="31264" operator="equal">
      <formula>"×"</formula>
    </cfRule>
  </conditionalFormatting>
  <conditionalFormatting sqref="AE15">
    <cfRule type="cellIs" dxfId="14147" priority="31257" operator="equal">
      <formula>1</formula>
    </cfRule>
    <cfRule type="cellIs" dxfId="14146" priority="31258" operator="equal">
      <formula>"×"</formula>
    </cfRule>
  </conditionalFormatting>
  <conditionalFormatting sqref="AE15">
    <cfRule type="cellIs" dxfId="14145" priority="31233" operator="equal">
      <formula>1</formula>
    </cfRule>
    <cfRule type="cellIs" dxfId="14144" priority="31234" operator="equal">
      <formula>"×"</formula>
    </cfRule>
  </conditionalFormatting>
  <conditionalFormatting sqref="AE15">
    <cfRule type="cellIs" dxfId="14143" priority="31237" operator="equal">
      <formula>1</formula>
    </cfRule>
    <cfRule type="cellIs" dxfId="14142" priority="31238" operator="equal">
      <formula>"×"</formula>
    </cfRule>
  </conditionalFormatting>
  <conditionalFormatting sqref="AE15">
    <cfRule type="cellIs" dxfId="14141" priority="31235" operator="equal">
      <formula>1</formula>
    </cfRule>
    <cfRule type="cellIs" dxfId="14140" priority="31236" operator="equal">
      <formula>"×"</formula>
    </cfRule>
  </conditionalFormatting>
  <conditionalFormatting sqref="AE15">
    <cfRule type="cellIs" dxfId="14139" priority="31231" operator="equal">
      <formula>1</formula>
    </cfRule>
    <cfRule type="cellIs" dxfId="14138" priority="31232" operator="equal">
      <formula>"×"</formula>
    </cfRule>
  </conditionalFormatting>
  <conditionalFormatting sqref="AE15">
    <cfRule type="cellIs" dxfId="14137" priority="31255" operator="equal">
      <formula>1</formula>
    </cfRule>
    <cfRule type="cellIs" dxfId="14136" priority="31256" operator="equal">
      <formula>"×"</formula>
    </cfRule>
  </conditionalFormatting>
  <conditionalFormatting sqref="AE15">
    <cfRule type="cellIs" dxfId="14135" priority="31253" operator="equal">
      <formula>1</formula>
    </cfRule>
    <cfRule type="cellIs" dxfId="14134" priority="31254" operator="equal">
      <formula>"×"</formula>
    </cfRule>
  </conditionalFormatting>
  <conditionalFormatting sqref="AE15">
    <cfRule type="cellIs" dxfId="14133" priority="31251" operator="equal">
      <formula>1</formula>
    </cfRule>
    <cfRule type="cellIs" dxfId="14132" priority="31252" operator="equal">
      <formula>"×"</formula>
    </cfRule>
  </conditionalFormatting>
  <conditionalFormatting sqref="AE15">
    <cfRule type="cellIs" dxfId="14131" priority="31249" operator="equal">
      <formula>1</formula>
    </cfRule>
    <cfRule type="cellIs" dxfId="14130" priority="31250" operator="equal">
      <formula>"×"</formula>
    </cfRule>
  </conditionalFormatting>
  <conditionalFormatting sqref="AE15">
    <cfRule type="cellIs" dxfId="14129" priority="31247" operator="equal">
      <formula>1</formula>
    </cfRule>
    <cfRule type="cellIs" dxfId="14128" priority="31248" operator="equal">
      <formula>"×"</formula>
    </cfRule>
  </conditionalFormatting>
  <conditionalFormatting sqref="AE15">
    <cfRule type="cellIs" dxfId="14127" priority="31245" operator="equal">
      <formula>1</formula>
    </cfRule>
    <cfRule type="cellIs" dxfId="14126" priority="31246" operator="equal">
      <formula>"×"</formula>
    </cfRule>
  </conditionalFormatting>
  <conditionalFormatting sqref="AE15">
    <cfRule type="cellIs" dxfId="14125" priority="31243" operator="equal">
      <formula>1</formula>
    </cfRule>
    <cfRule type="cellIs" dxfId="14124" priority="31244" operator="equal">
      <formula>"×"</formula>
    </cfRule>
  </conditionalFormatting>
  <conditionalFormatting sqref="AE15">
    <cfRule type="cellIs" dxfId="14123" priority="31241" operator="equal">
      <formula>1</formula>
    </cfRule>
    <cfRule type="cellIs" dxfId="14122" priority="31242" operator="equal">
      <formula>"×"</formula>
    </cfRule>
  </conditionalFormatting>
  <conditionalFormatting sqref="AE15">
    <cfRule type="cellIs" dxfId="14121" priority="31239" operator="equal">
      <formula>1</formula>
    </cfRule>
    <cfRule type="cellIs" dxfId="14120" priority="31240" operator="equal">
      <formula>"×"</formula>
    </cfRule>
  </conditionalFormatting>
  <conditionalFormatting sqref="AH15">
    <cfRule type="cellIs" dxfId="14119" priority="10191" operator="equal">
      <formula>1</formula>
    </cfRule>
    <cfRule type="cellIs" dxfId="14118" priority="10192" operator="equal">
      <formula>"×"</formula>
    </cfRule>
  </conditionalFormatting>
  <conditionalFormatting sqref="AH15">
    <cfRule type="cellIs" dxfId="14117" priority="10189" operator="equal">
      <formula>1</formula>
    </cfRule>
    <cfRule type="cellIs" dxfId="14116" priority="10190" operator="equal">
      <formula>"×"</formula>
    </cfRule>
  </conditionalFormatting>
  <conditionalFormatting sqref="AH15">
    <cfRule type="cellIs" dxfId="14115" priority="10187" operator="equal">
      <formula>1</formula>
    </cfRule>
    <cfRule type="cellIs" dxfId="14114" priority="10188" operator="equal">
      <formula>"×"</formula>
    </cfRule>
  </conditionalFormatting>
  <conditionalFormatting sqref="AH15">
    <cfRule type="cellIs" dxfId="14113" priority="10185" operator="equal">
      <formula>1</formula>
    </cfRule>
    <cfRule type="cellIs" dxfId="14112" priority="10186" operator="equal">
      <formula>"×"</formula>
    </cfRule>
  </conditionalFormatting>
  <conditionalFormatting sqref="AH15">
    <cfRule type="cellIs" dxfId="14111" priority="10183" operator="equal">
      <formula>1</formula>
    </cfRule>
    <cfRule type="cellIs" dxfId="14110" priority="10184" operator="equal">
      <formula>"×"</formula>
    </cfRule>
  </conditionalFormatting>
  <conditionalFormatting sqref="AH15">
    <cfRule type="cellIs" dxfId="14109" priority="10179" operator="equal">
      <formula>1</formula>
    </cfRule>
    <cfRule type="cellIs" dxfId="14108" priority="10180" operator="equal">
      <formula>"×"</formula>
    </cfRule>
  </conditionalFormatting>
  <conditionalFormatting sqref="AH15">
    <cfRule type="cellIs" dxfId="14107" priority="10181" operator="equal">
      <formula>1</formula>
    </cfRule>
    <cfRule type="cellIs" dxfId="14106" priority="10182" operator="equal">
      <formula>"×"</formula>
    </cfRule>
  </conditionalFormatting>
  <conditionalFormatting sqref="AH14:AI14">
    <cfRule type="cellIs" dxfId="14105" priority="10229" operator="equal">
      <formula>1</formula>
    </cfRule>
    <cfRule type="cellIs" dxfId="14104" priority="10230" operator="equal">
      <formula>"×"</formula>
    </cfRule>
  </conditionalFormatting>
  <conditionalFormatting sqref="AH14:AI14">
    <cfRule type="cellIs" dxfId="14103" priority="10227" operator="equal">
      <formula>1</formula>
    </cfRule>
    <cfRule type="cellIs" dxfId="14102" priority="10228" operator="equal">
      <formula>"×"</formula>
    </cfRule>
  </conditionalFormatting>
  <conditionalFormatting sqref="AH14:AI14">
    <cfRule type="cellIs" dxfId="14101" priority="10223" operator="equal">
      <formula>1</formula>
    </cfRule>
    <cfRule type="cellIs" dxfId="14100" priority="10224" operator="equal">
      <formula>"×"</formula>
    </cfRule>
  </conditionalFormatting>
  <conditionalFormatting sqref="AH14:AI14">
    <cfRule type="cellIs" dxfId="14099" priority="10225" operator="equal">
      <formula>1</formula>
    </cfRule>
    <cfRule type="cellIs" dxfId="14098" priority="10226" operator="equal">
      <formula>"×"</formula>
    </cfRule>
  </conditionalFormatting>
  <conditionalFormatting sqref="AH14:AI14">
    <cfRule type="cellIs" dxfId="14097" priority="10221" operator="equal">
      <formula>1</formula>
    </cfRule>
    <cfRule type="cellIs" dxfId="14096" priority="10222" operator="equal">
      <formula>"×"</formula>
    </cfRule>
  </conditionalFormatting>
  <conditionalFormatting sqref="AH14:AI14">
    <cfRule type="cellIs" dxfId="14095" priority="10219" operator="equal">
      <formula>1</formula>
    </cfRule>
    <cfRule type="cellIs" dxfId="14094" priority="10220" operator="equal">
      <formula>"×"</formula>
    </cfRule>
  </conditionalFormatting>
  <conditionalFormatting sqref="AH14:AI14">
    <cfRule type="cellIs" dxfId="14093" priority="10217" operator="equal">
      <formula>1</formula>
    </cfRule>
    <cfRule type="cellIs" dxfId="14092" priority="10218" operator="equal">
      <formula>"×"</formula>
    </cfRule>
  </conditionalFormatting>
  <conditionalFormatting sqref="AH14:AI14">
    <cfRule type="cellIs" dxfId="14091" priority="10215" operator="equal">
      <formula>1</formula>
    </cfRule>
    <cfRule type="cellIs" dxfId="14090" priority="10216" operator="equal">
      <formula>"×"</formula>
    </cfRule>
  </conditionalFormatting>
  <conditionalFormatting sqref="AH15">
    <cfRule type="cellIs" dxfId="14089" priority="10211" operator="equal">
      <formula>1</formula>
    </cfRule>
    <cfRule type="cellIs" dxfId="14088" priority="10212" operator="equal">
      <formula>"×"</formula>
    </cfRule>
  </conditionalFormatting>
  <conditionalFormatting sqref="AH15">
    <cfRule type="cellIs" dxfId="14087" priority="10213" operator="equal">
      <formula>1</formula>
    </cfRule>
    <cfRule type="cellIs" dxfId="14086" priority="10214" operator="equal">
      <formula>"×"</formula>
    </cfRule>
  </conditionalFormatting>
  <conditionalFormatting sqref="AH15">
    <cfRule type="cellIs" dxfId="14085" priority="10209" operator="equal">
      <formula>1</formula>
    </cfRule>
    <cfRule type="cellIs" dxfId="14084" priority="10210" operator="equal">
      <formula>"×"</formula>
    </cfRule>
  </conditionalFormatting>
  <conditionalFormatting sqref="AH15">
    <cfRule type="cellIs" dxfId="14083" priority="10207" operator="equal">
      <formula>1</formula>
    </cfRule>
    <cfRule type="cellIs" dxfId="14082" priority="10208" operator="equal">
      <formula>"×"</formula>
    </cfRule>
  </conditionalFormatting>
  <conditionalFormatting sqref="AH15">
    <cfRule type="cellIs" dxfId="14081" priority="10205" operator="equal">
      <formula>1</formula>
    </cfRule>
    <cfRule type="cellIs" dxfId="14080" priority="10206" operator="equal">
      <formula>"×"</formula>
    </cfRule>
  </conditionalFormatting>
  <conditionalFormatting sqref="AH15">
    <cfRule type="cellIs" dxfId="14079" priority="10203" operator="equal">
      <formula>1</formula>
    </cfRule>
    <cfRule type="cellIs" dxfId="14078" priority="10204" operator="equal">
      <formula>"×"</formula>
    </cfRule>
  </conditionalFormatting>
  <conditionalFormatting sqref="AH15">
    <cfRule type="cellIs" dxfId="14077" priority="10199" operator="equal">
      <formula>1</formula>
    </cfRule>
    <cfRule type="cellIs" dxfId="14076" priority="10200" operator="equal">
      <formula>"×"</formula>
    </cfRule>
  </conditionalFormatting>
  <conditionalFormatting sqref="AH15">
    <cfRule type="cellIs" dxfId="14075" priority="10201" operator="equal">
      <formula>1</formula>
    </cfRule>
    <cfRule type="cellIs" dxfId="14074" priority="10202" operator="equal">
      <formula>"×"</formula>
    </cfRule>
  </conditionalFormatting>
  <conditionalFormatting sqref="AH15">
    <cfRule type="cellIs" dxfId="14073" priority="10197" operator="equal">
      <formula>1</formula>
    </cfRule>
    <cfRule type="cellIs" dxfId="14072" priority="10198" operator="equal">
      <formula>"×"</formula>
    </cfRule>
  </conditionalFormatting>
  <conditionalFormatting sqref="AH15">
    <cfRule type="cellIs" dxfId="14071" priority="10195" operator="equal">
      <formula>1</formula>
    </cfRule>
    <cfRule type="cellIs" dxfId="14070" priority="10196" operator="equal">
      <formula>"×"</formula>
    </cfRule>
  </conditionalFormatting>
  <conditionalFormatting sqref="AH15">
    <cfRule type="cellIs" dxfId="14069" priority="10193" operator="equal">
      <formula>1</formula>
    </cfRule>
    <cfRule type="cellIs" dxfId="14068" priority="10194" operator="equal">
      <formula>"×"</formula>
    </cfRule>
  </conditionalFormatting>
  <conditionalFormatting sqref="Z13:Z15">
    <cfRule type="cellIs" dxfId="14067" priority="31163" operator="equal">
      <formula>1</formula>
    </cfRule>
    <cfRule type="cellIs" dxfId="14066" priority="31164" operator="equal">
      <formula>"×"</formula>
    </cfRule>
  </conditionalFormatting>
  <conditionalFormatting sqref="AC15">
    <cfRule type="cellIs" dxfId="14065" priority="31103" operator="equal">
      <formula>1</formula>
    </cfRule>
    <cfRule type="cellIs" dxfId="14064" priority="31104" operator="equal">
      <formula>"×"</formula>
    </cfRule>
  </conditionalFormatting>
  <conditionalFormatting sqref="AD15">
    <cfRule type="cellIs" dxfId="14063" priority="31101" operator="equal">
      <formula>1</formula>
    </cfRule>
    <cfRule type="cellIs" dxfId="14062" priority="31102" operator="equal">
      <formula>"×"</formula>
    </cfRule>
  </conditionalFormatting>
  <conditionalFormatting sqref="AD15">
    <cfRule type="cellIs" dxfId="14061" priority="31099" operator="equal">
      <formula>1</formula>
    </cfRule>
    <cfRule type="cellIs" dxfId="14060" priority="31100" operator="equal">
      <formula>"×"</formula>
    </cfRule>
  </conditionalFormatting>
  <conditionalFormatting sqref="AD15">
    <cfRule type="cellIs" dxfId="14059" priority="31095" operator="equal">
      <formula>1</formula>
    </cfRule>
    <cfRule type="cellIs" dxfId="14058" priority="31096" operator="equal">
      <formula>"×"</formula>
    </cfRule>
  </conditionalFormatting>
  <conditionalFormatting sqref="AD15">
    <cfRule type="cellIs" dxfId="14057" priority="31097" operator="equal">
      <formula>1</formula>
    </cfRule>
    <cfRule type="cellIs" dxfId="14056" priority="31098" operator="equal">
      <formula>"×"</formula>
    </cfRule>
  </conditionalFormatting>
  <conditionalFormatting sqref="AC15">
    <cfRule type="cellIs" dxfId="14055" priority="31129" operator="equal">
      <formula>1</formula>
    </cfRule>
    <cfRule type="cellIs" dxfId="14054" priority="31130" operator="equal">
      <formula>"×"</formula>
    </cfRule>
  </conditionalFormatting>
  <conditionalFormatting sqref="AD15">
    <cfRule type="cellIs" dxfId="14053" priority="31127" operator="equal">
      <formula>1</formula>
    </cfRule>
    <cfRule type="cellIs" dxfId="14052" priority="31128" operator="equal">
      <formula>"×"</formula>
    </cfRule>
  </conditionalFormatting>
  <conditionalFormatting sqref="AD15">
    <cfRule type="cellIs" dxfId="14051" priority="31125" operator="equal">
      <formula>1</formula>
    </cfRule>
    <cfRule type="cellIs" dxfId="14050" priority="31126" operator="equal">
      <formula>"×"</formula>
    </cfRule>
  </conditionalFormatting>
  <conditionalFormatting sqref="AD15">
    <cfRule type="cellIs" dxfId="14049" priority="31123" operator="equal">
      <formula>1</formula>
    </cfRule>
    <cfRule type="cellIs" dxfId="14048" priority="31124" operator="equal">
      <formula>"×"</formula>
    </cfRule>
  </conditionalFormatting>
  <conditionalFormatting sqref="AD15">
    <cfRule type="cellIs" dxfId="14047" priority="31121" operator="equal">
      <formula>1</formula>
    </cfRule>
    <cfRule type="cellIs" dxfId="14046" priority="31122" operator="equal">
      <formula>"×"</formula>
    </cfRule>
  </conditionalFormatting>
  <conditionalFormatting sqref="AD15">
    <cfRule type="cellIs" dxfId="14045" priority="31119" operator="equal">
      <formula>1</formula>
    </cfRule>
    <cfRule type="cellIs" dxfId="14044" priority="31120" operator="equal">
      <formula>"×"</formula>
    </cfRule>
  </conditionalFormatting>
  <conditionalFormatting sqref="AD15">
    <cfRule type="cellIs" dxfId="14043" priority="31117" operator="equal">
      <formula>1</formula>
    </cfRule>
    <cfRule type="cellIs" dxfId="14042" priority="31118" operator="equal">
      <formula>"×"</formula>
    </cfRule>
  </conditionalFormatting>
  <conditionalFormatting sqref="AD15">
    <cfRule type="cellIs" dxfId="14041" priority="31115" operator="equal">
      <formula>1</formula>
    </cfRule>
    <cfRule type="cellIs" dxfId="14040" priority="31116" operator="equal">
      <formula>"×"</formula>
    </cfRule>
  </conditionalFormatting>
  <conditionalFormatting sqref="AD15">
    <cfRule type="cellIs" dxfId="14039" priority="31113" operator="equal">
      <formula>1</formula>
    </cfRule>
    <cfRule type="cellIs" dxfId="14038" priority="31114" operator="equal">
      <formula>"×"</formula>
    </cfRule>
  </conditionalFormatting>
  <conditionalFormatting sqref="AD15">
    <cfRule type="cellIs" dxfId="14037" priority="31111" operator="equal">
      <formula>1</formula>
    </cfRule>
    <cfRule type="cellIs" dxfId="14036" priority="31112" operator="equal">
      <formula>"×"</formula>
    </cfRule>
  </conditionalFormatting>
  <conditionalFormatting sqref="AD15">
    <cfRule type="cellIs" dxfId="14035" priority="31109" operator="equal">
      <formula>1</formula>
    </cfRule>
    <cfRule type="cellIs" dxfId="14034" priority="31110" operator="equal">
      <formula>"×"</formula>
    </cfRule>
  </conditionalFormatting>
  <conditionalFormatting sqref="AD15">
    <cfRule type="cellIs" dxfId="14033" priority="31107" operator="equal">
      <formula>1</formula>
    </cfRule>
    <cfRule type="cellIs" dxfId="14032" priority="31108" operator="equal">
      <formula>"×"</formula>
    </cfRule>
  </conditionalFormatting>
  <conditionalFormatting sqref="AD15">
    <cfRule type="cellIs" dxfId="14031" priority="31105" operator="equal">
      <formula>1</formula>
    </cfRule>
    <cfRule type="cellIs" dxfId="14030" priority="31106" operator="equal">
      <formula>"×"</formula>
    </cfRule>
  </conditionalFormatting>
  <conditionalFormatting sqref="AC15:AD15">
    <cfRule type="cellIs" dxfId="14029" priority="31093" operator="equal">
      <formula>1</formula>
    </cfRule>
    <cfRule type="cellIs" dxfId="14028" priority="31094" operator="equal">
      <formula>"×"</formula>
    </cfRule>
  </conditionalFormatting>
  <conditionalFormatting sqref="Z15 AB15 AD15">
    <cfRule type="cellIs" dxfId="14027" priority="31091" operator="equal">
      <formula>1</formula>
    </cfRule>
    <cfRule type="cellIs" dxfId="14026" priority="31092" operator="equal">
      <formula>"×"</formula>
    </cfRule>
  </conditionalFormatting>
  <conditionalFormatting sqref="AG19:AH19">
    <cfRule type="cellIs" dxfId="14025" priority="31089" operator="equal">
      <formula>1</formula>
    </cfRule>
    <cfRule type="cellIs" dxfId="14024" priority="31090" operator="equal">
      <formula>"×"</formula>
    </cfRule>
  </conditionalFormatting>
  <conditionalFormatting sqref="AF15">
    <cfRule type="cellIs" dxfId="14023" priority="31059" operator="equal">
      <formula>1</formula>
    </cfRule>
    <cfRule type="cellIs" dxfId="14022" priority="31060" operator="equal">
      <formula>"×"</formula>
    </cfRule>
  </conditionalFormatting>
  <conditionalFormatting sqref="AF15">
    <cfRule type="cellIs" dxfId="14021" priority="31057" operator="equal">
      <formula>1</formula>
    </cfRule>
    <cfRule type="cellIs" dxfId="14020" priority="31058" operator="equal">
      <formula>"×"</formula>
    </cfRule>
  </conditionalFormatting>
  <conditionalFormatting sqref="AI15">
    <cfRule type="cellIs" dxfId="14019" priority="31085" operator="equal">
      <formula>1</formula>
    </cfRule>
    <cfRule type="cellIs" dxfId="14018" priority="31086" operator="equal">
      <formula>"×"</formula>
    </cfRule>
  </conditionalFormatting>
  <conditionalFormatting sqref="AF15:AI15">
    <cfRule type="cellIs" dxfId="14017" priority="31087" operator="equal">
      <formula>1</formula>
    </cfRule>
    <cfRule type="cellIs" dxfId="14016" priority="31088" operator="equal">
      <formula>"×"</formula>
    </cfRule>
  </conditionalFormatting>
  <conditionalFormatting sqref="AF15:AI16 AF19:AI19">
    <cfRule type="cellIs" dxfId="14015" priority="31083" operator="equal">
      <formula>1</formula>
    </cfRule>
    <cfRule type="cellIs" dxfId="14014" priority="31084" operator="equal">
      <formula>"×"</formula>
    </cfRule>
  </conditionalFormatting>
  <conditionalFormatting sqref="AG13:AI16 AH14:AI18">
    <cfRule type="cellIs" dxfId="14013" priority="31081" operator="equal">
      <formula>1</formula>
    </cfRule>
    <cfRule type="cellIs" dxfId="14012" priority="31082" operator="equal">
      <formula>"×"</formula>
    </cfRule>
  </conditionalFormatting>
  <conditionalFormatting sqref="AI13:AI18">
    <cfRule type="cellIs" dxfId="14011" priority="31079" operator="equal">
      <formula>1</formula>
    </cfRule>
    <cfRule type="cellIs" dxfId="14010" priority="31080" operator="equal">
      <formula>"×"</formula>
    </cfRule>
  </conditionalFormatting>
  <conditionalFormatting sqref="AG13:AI16 AH14:AI18">
    <cfRule type="cellIs" dxfId="14009" priority="31077" operator="equal">
      <formula>1</formula>
    </cfRule>
    <cfRule type="cellIs" dxfId="14008" priority="31078" operator="equal">
      <formula>"×"</formula>
    </cfRule>
  </conditionalFormatting>
  <conditionalFormatting sqref="AH14:AI18 AG17:AI19 AH8:AI12 AG11:AI15">
    <cfRule type="cellIs" dxfId="14007" priority="31075" operator="equal">
      <formula>1</formula>
    </cfRule>
    <cfRule type="cellIs" dxfId="14006" priority="31076" operator="equal">
      <formula>"×"</formula>
    </cfRule>
  </conditionalFormatting>
  <conditionalFormatting sqref="AI8:AI19">
    <cfRule type="cellIs" dxfId="14005" priority="31073" operator="equal">
      <formula>1</formula>
    </cfRule>
    <cfRule type="cellIs" dxfId="14004" priority="31074" operator="equal">
      <formula>"×"</formula>
    </cfRule>
  </conditionalFormatting>
  <conditionalFormatting sqref="AH14:AI18 AG17:AI19 AH8:AI12 AG11:AI15">
    <cfRule type="cellIs" dxfId="14003" priority="31071" operator="equal">
      <formula>1</formula>
    </cfRule>
    <cfRule type="cellIs" dxfId="14002" priority="31072" operator="equal">
      <formula>"×"</formula>
    </cfRule>
  </conditionalFormatting>
  <conditionalFormatting sqref="AF19">
    <cfRule type="cellIs" dxfId="14001" priority="31069" operator="equal">
      <formula>1</formula>
    </cfRule>
    <cfRule type="cellIs" dxfId="14000" priority="31070" operator="equal">
      <formula>"×"</formula>
    </cfRule>
  </conditionalFormatting>
  <conditionalFormatting sqref="AF19">
    <cfRule type="cellIs" dxfId="13999" priority="31067" operator="equal">
      <formula>1</formula>
    </cfRule>
    <cfRule type="cellIs" dxfId="13998" priority="31068" operator="equal">
      <formula>"×"</formula>
    </cfRule>
  </conditionalFormatting>
  <conditionalFormatting sqref="AF19:AI19">
    <cfRule type="cellIs" dxfId="13997" priority="31065" operator="equal">
      <formula>1</formula>
    </cfRule>
    <cfRule type="cellIs" dxfId="13996" priority="31066" operator="equal">
      <formula>"×"</formula>
    </cfRule>
  </conditionalFormatting>
  <conditionalFormatting sqref="AI19">
    <cfRule type="cellIs" dxfId="13995" priority="31063" operator="equal">
      <formula>1</formula>
    </cfRule>
    <cfRule type="cellIs" dxfId="13994" priority="31064" operator="equal">
      <formula>"×"</formula>
    </cfRule>
  </conditionalFormatting>
  <conditionalFormatting sqref="AF19:AI19">
    <cfRule type="cellIs" dxfId="13993" priority="31061" operator="equal">
      <formula>1</formula>
    </cfRule>
    <cfRule type="cellIs" dxfId="13992" priority="31062" operator="equal">
      <formula>"×"</formula>
    </cfRule>
  </conditionalFormatting>
  <conditionalFormatting sqref="AF19:AI19">
    <cfRule type="cellIs" dxfId="13991" priority="31055" operator="equal">
      <formula>1</formula>
    </cfRule>
    <cfRule type="cellIs" dxfId="13990" priority="31056" operator="equal">
      <formula>"×"</formula>
    </cfRule>
  </conditionalFormatting>
  <conditionalFormatting sqref="AI19">
    <cfRule type="cellIs" dxfId="13989" priority="31053" operator="equal">
      <formula>1</formula>
    </cfRule>
    <cfRule type="cellIs" dxfId="13988" priority="31054" operator="equal">
      <formula>"×"</formula>
    </cfRule>
  </conditionalFormatting>
  <conditionalFormatting sqref="AF19:AI19">
    <cfRule type="cellIs" dxfId="13987" priority="31051" operator="equal">
      <formula>1</formula>
    </cfRule>
    <cfRule type="cellIs" dxfId="13986" priority="31052" operator="equal">
      <formula>"×"</formula>
    </cfRule>
  </conditionalFormatting>
  <conditionalFormatting sqref="AF19:AI19">
    <cfRule type="cellIs" dxfId="13985" priority="31049" operator="equal">
      <formula>1</formula>
    </cfRule>
    <cfRule type="cellIs" dxfId="13984" priority="31050" operator="equal">
      <formula>"×"</formula>
    </cfRule>
  </conditionalFormatting>
  <conditionalFormatting sqref="AI19">
    <cfRule type="cellIs" dxfId="13983" priority="31047" operator="equal">
      <formula>1</formula>
    </cfRule>
    <cfRule type="cellIs" dxfId="13982" priority="31048" operator="equal">
      <formula>"×"</formula>
    </cfRule>
  </conditionalFormatting>
  <conditionalFormatting sqref="Z37:Z38 Z31:AA37">
    <cfRule type="cellIs" dxfId="13981" priority="27357" operator="equal">
      <formula>1</formula>
    </cfRule>
    <cfRule type="cellIs" dxfId="13980" priority="27358" operator="equal">
      <formula>"×"</formula>
    </cfRule>
  </conditionalFormatting>
  <conditionalFormatting sqref="AF15:AF16 AF19">
    <cfRule type="cellIs" dxfId="13979" priority="31043" operator="equal">
      <formula>1</formula>
    </cfRule>
    <cfRule type="cellIs" dxfId="13978" priority="31044" operator="equal">
      <formula>"×"</formula>
    </cfRule>
  </conditionalFormatting>
  <conditionalFormatting sqref="AF15:AF16 AF19">
    <cfRule type="cellIs" dxfId="13977" priority="31041" operator="equal">
      <formula>1</formula>
    </cfRule>
    <cfRule type="cellIs" dxfId="13976" priority="31042" operator="equal">
      <formula>"×"</formula>
    </cfRule>
  </conditionalFormatting>
  <conditionalFormatting sqref="AF15:AF16 AF19">
    <cfRule type="cellIs" dxfId="13975" priority="31039" operator="equal">
      <formula>1</formula>
    </cfRule>
    <cfRule type="cellIs" dxfId="13974" priority="31040" operator="equal">
      <formula>"×"</formula>
    </cfRule>
  </conditionalFormatting>
  <conditionalFormatting sqref="AF15:AF16 AF19">
    <cfRule type="cellIs" dxfId="13973" priority="31037" operator="equal">
      <formula>1</formula>
    </cfRule>
    <cfRule type="cellIs" dxfId="13972" priority="31038" operator="equal">
      <formula>"×"</formula>
    </cfRule>
  </conditionalFormatting>
  <conditionalFormatting sqref="AF15:AF16 AF19">
    <cfRule type="cellIs" dxfId="13971" priority="31035" operator="equal">
      <formula>1</formula>
    </cfRule>
    <cfRule type="cellIs" dxfId="13970" priority="31036" operator="equal">
      <formula>"×"</formula>
    </cfRule>
  </conditionalFormatting>
  <conditionalFormatting sqref="AF15:AF16 AF19">
    <cfRule type="cellIs" dxfId="13969" priority="31033" operator="equal">
      <formula>1</formula>
    </cfRule>
    <cfRule type="cellIs" dxfId="13968" priority="31034" operator="equal">
      <formula>"×"</formula>
    </cfRule>
  </conditionalFormatting>
  <conditionalFormatting sqref="AG19:AI19">
    <cfRule type="cellIs" dxfId="13967" priority="31031" operator="equal">
      <formula>1</formula>
    </cfRule>
    <cfRule type="cellIs" dxfId="13966" priority="31032" operator="equal">
      <formula>"×"</formula>
    </cfRule>
  </conditionalFormatting>
  <conditionalFormatting sqref="AI19">
    <cfRule type="cellIs" dxfId="13965" priority="31029" operator="equal">
      <formula>1</formula>
    </cfRule>
    <cfRule type="cellIs" dxfId="13964" priority="31030" operator="equal">
      <formula>"×"</formula>
    </cfRule>
  </conditionalFormatting>
  <conditionalFormatting sqref="AG19:AI19">
    <cfRule type="cellIs" dxfId="13963" priority="31027" operator="equal">
      <formula>1</formula>
    </cfRule>
    <cfRule type="cellIs" dxfId="13962" priority="31028" operator="equal">
      <formula>"×"</formula>
    </cfRule>
  </conditionalFormatting>
  <conditionalFormatting sqref="AG19:AI19">
    <cfRule type="cellIs" dxfId="13961" priority="31025" operator="equal">
      <formula>1</formula>
    </cfRule>
    <cfRule type="cellIs" dxfId="13960" priority="31026" operator="equal">
      <formula>"×"</formula>
    </cfRule>
  </conditionalFormatting>
  <conditionalFormatting sqref="AI19">
    <cfRule type="cellIs" dxfId="13959" priority="31023" operator="equal">
      <formula>1</formula>
    </cfRule>
    <cfRule type="cellIs" dxfId="13958" priority="31024" operator="equal">
      <formula>"×"</formula>
    </cfRule>
  </conditionalFormatting>
  <conditionalFormatting sqref="AG19:AI19">
    <cfRule type="cellIs" dxfId="13957" priority="31021" operator="equal">
      <formula>1</formula>
    </cfRule>
    <cfRule type="cellIs" dxfId="13956" priority="31022" operator="equal">
      <formula>"×"</formula>
    </cfRule>
  </conditionalFormatting>
  <conditionalFormatting sqref="AF15:AF16 AF19">
    <cfRule type="cellIs" dxfId="13955" priority="31019" operator="equal">
      <formula>1</formula>
    </cfRule>
    <cfRule type="cellIs" dxfId="13954" priority="31020" operator="equal">
      <formula>"×"</formula>
    </cfRule>
  </conditionalFormatting>
  <conditionalFormatting sqref="AF15:AF16 AF19">
    <cfRule type="cellIs" dxfId="13953" priority="31017" operator="equal">
      <formula>1</formula>
    </cfRule>
    <cfRule type="cellIs" dxfId="13952" priority="31018" operator="equal">
      <formula>"×"</formula>
    </cfRule>
  </conditionalFormatting>
  <conditionalFormatting sqref="AF15:AF16 AF19">
    <cfRule type="cellIs" dxfId="13951" priority="31015" operator="equal">
      <formula>1</formula>
    </cfRule>
    <cfRule type="cellIs" dxfId="13950" priority="31016" operator="equal">
      <formula>"×"</formula>
    </cfRule>
  </conditionalFormatting>
  <conditionalFormatting sqref="AF15:AF16 AF19">
    <cfRule type="cellIs" dxfId="13949" priority="31013" operator="equal">
      <formula>1</formula>
    </cfRule>
    <cfRule type="cellIs" dxfId="13948" priority="31014" operator="equal">
      <formula>"×"</formula>
    </cfRule>
  </conditionalFormatting>
  <conditionalFormatting sqref="AF15:AF16 AF19">
    <cfRule type="cellIs" dxfId="13947" priority="31011" operator="equal">
      <formula>1</formula>
    </cfRule>
    <cfRule type="cellIs" dxfId="13946" priority="31012" operator="equal">
      <formula>"×"</formula>
    </cfRule>
  </conditionalFormatting>
  <conditionalFormatting sqref="AF15:AF16 AF19">
    <cfRule type="cellIs" dxfId="13945" priority="31009" operator="equal">
      <formula>1</formula>
    </cfRule>
    <cfRule type="cellIs" dxfId="13944" priority="31010" operator="equal">
      <formula>"×"</formula>
    </cfRule>
  </conditionalFormatting>
  <conditionalFormatting sqref="AF15:AF16 AF19">
    <cfRule type="cellIs" dxfId="13943" priority="31007" operator="equal">
      <formula>1</formula>
    </cfRule>
    <cfRule type="cellIs" dxfId="13942" priority="31008" operator="equal">
      <formula>"×"</formula>
    </cfRule>
  </conditionalFormatting>
  <conditionalFormatting sqref="AG19:AI19">
    <cfRule type="cellIs" dxfId="13941" priority="31005" operator="equal">
      <formula>1</formula>
    </cfRule>
    <cfRule type="cellIs" dxfId="13940" priority="31006" operator="equal">
      <formula>"×"</formula>
    </cfRule>
  </conditionalFormatting>
  <conditionalFormatting sqref="AG19:AI19">
    <cfRule type="cellIs" dxfId="13939" priority="31001" operator="equal">
      <formula>1</formula>
    </cfRule>
    <cfRule type="cellIs" dxfId="13938" priority="31002" operator="equal">
      <formula>"×"</formula>
    </cfRule>
  </conditionalFormatting>
  <conditionalFormatting sqref="AI19">
    <cfRule type="cellIs" dxfId="13937" priority="31003" operator="equal">
      <formula>1</formula>
    </cfRule>
    <cfRule type="cellIs" dxfId="13936" priority="31004" operator="equal">
      <formula>"×"</formula>
    </cfRule>
  </conditionalFormatting>
  <conditionalFormatting sqref="AG19:AI19">
    <cfRule type="cellIs" dxfId="13935" priority="30999" operator="equal">
      <formula>1</formula>
    </cfRule>
    <cfRule type="cellIs" dxfId="13934" priority="31000" operator="equal">
      <formula>"×"</formula>
    </cfRule>
  </conditionalFormatting>
  <conditionalFormatting sqref="AI19">
    <cfRule type="cellIs" dxfId="13933" priority="30997" operator="equal">
      <formula>1</formula>
    </cfRule>
    <cfRule type="cellIs" dxfId="13932" priority="30998" operator="equal">
      <formula>"×"</formula>
    </cfRule>
  </conditionalFormatting>
  <conditionalFormatting sqref="AG19:AI19">
    <cfRule type="cellIs" dxfId="13931" priority="30995" operator="equal">
      <formula>1</formula>
    </cfRule>
    <cfRule type="cellIs" dxfId="13930" priority="30996" operator="equal">
      <formula>"×"</formula>
    </cfRule>
  </conditionalFormatting>
  <conditionalFormatting sqref="AI19">
    <cfRule type="cellIs" dxfId="13929" priority="30993" operator="equal">
      <formula>1</formula>
    </cfRule>
    <cfRule type="cellIs" dxfId="13928" priority="30994" operator="equal">
      <formula>"×"</formula>
    </cfRule>
  </conditionalFormatting>
  <conditionalFormatting sqref="AI19">
    <cfRule type="cellIs" dxfId="13927" priority="30991" operator="equal">
      <formula>1</formula>
    </cfRule>
    <cfRule type="cellIs" dxfId="13926" priority="30992" operator="equal">
      <formula>"×"</formula>
    </cfRule>
  </conditionalFormatting>
  <conditionalFormatting sqref="AI19">
    <cfRule type="cellIs" dxfId="13925" priority="30989" operator="equal">
      <formula>1</formula>
    </cfRule>
    <cfRule type="cellIs" dxfId="13924" priority="30990" operator="equal">
      <formula>"×"</formula>
    </cfRule>
  </conditionalFormatting>
  <conditionalFormatting sqref="AI19">
    <cfRule type="cellIs" dxfId="13923" priority="30987" operator="equal">
      <formula>1</formula>
    </cfRule>
    <cfRule type="cellIs" dxfId="13922" priority="30988" operator="equal">
      <formula>"×"</formula>
    </cfRule>
  </conditionalFormatting>
  <conditionalFormatting sqref="AI19">
    <cfRule type="cellIs" dxfId="13921" priority="30985" operator="equal">
      <formula>1</formula>
    </cfRule>
    <cfRule type="cellIs" dxfId="13920" priority="30986" operator="equal">
      <formula>"×"</formula>
    </cfRule>
  </conditionalFormatting>
  <conditionalFormatting sqref="AI19">
    <cfRule type="cellIs" dxfId="13919" priority="30983" operator="equal">
      <formula>1</formula>
    </cfRule>
    <cfRule type="cellIs" dxfId="13918" priority="30984" operator="equal">
      <formula>"×"</formula>
    </cfRule>
  </conditionalFormatting>
  <conditionalFormatting sqref="AF19:AI19">
    <cfRule type="cellIs" dxfId="13917" priority="30959" operator="equal">
      <formula>1</formula>
    </cfRule>
    <cfRule type="cellIs" dxfId="13916" priority="30960" operator="equal">
      <formula>"×"</formula>
    </cfRule>
  </conditionalFormatting>
  <conditionalFormatting sqref="AI19">
    <cfRule type="cellIs" dxfId="13915" priority="30957" operator="equal">
      <formula>1</formula>
    </cfRule>
    <cfRule type="cellIs" dxfId="13914" priority="30958" operator="equal">
      <formula>"×"</formula>
    </cfRule>
  </conditionalFormatting>
  <conditionalFormatting sqref="AF19:AI19">
    <cfRule type="cellIs" dxfId="13913" priority="30955" operator="equal">
      <formula>1</formula>
    </cfRule>
    <cfRule type="cellIs" dxfId="13912" priority="30956" operator="equal">
      <formula>"×"</formula>
    </cfRule>
  </conditionalFormatting>
  <conditionalFormatting sqref="AF19">
    <cfRule type="cellIs" dxfId="13911" priority="30981" operator="equal">
      <formula>1</formula>
    </cfRule>
    <cfRule type="cellIs" dxfId="13910" priority="30982" operator="equal">
      <formula>"×"</formula>
    </cfRule>
  </conditionalFormatting>
  <conditionalFormatting sqref="AF19">
    <cfRule type="cellIs" dxfId="13909" priority="30979" operator="equal">
      <formula>1</formula>
    </cfRule>
    <cfRule type="cellIs" dxfId="13908" priority="30980" operator="equal">
      <formula>"×"</formula>
    </cfRule>
  </conditionalFormatting>
  <conditionalFormatting sqref="AF15:AF16 AF19">
    <cfRule type="cellIs" dxfId="13907" priority="30977" operator="equal">
      <formula>1</formula>
    </cfRule>
    <cfRule type="cellIs" dxfId="13906" priority="30978" operator="equal">
      <formula>"×"</formula>
    </cfRule>
  </conditionalFormatting>
  <conditionalFormatting sqref="AF15:AF16 AF19">
    <cfRule type="cellIs" dxfId="13905" priority="30975" operator="equal">
      <formula>1</formula>
    </cfRule>
    <cfRule type="cellIs" dxfId="13904" priority="30976" operator="equal">
      <formula>"×"</formula>
    </cfRule>
  </conditionalFormatting>
  <conditionalFormatting sqref="AF19">
    <cfRule type="cellIs" dxfId="13903" priority="30973" operator="equal">
      <formula>1</formula>
    </cfRule>
    <cfRule type="cellIs" dxfId="13902" priority="30974" operator="equal">
      <formula>"×"</formula>
    </cfRule>
  </conditionalFormatting>
  <conditionalFormatting sqref="AF19">
    <cfRule type="cellIs" dxfId="13901" priority="30971" operator="equal">
      <formula>1</formula>
    </cfRule>
    <cfRule type="cellIs" dxfId="13900" priority="30972" operator="equal">
      <formula>"×"</formula>
    </cfRule>
  </conditionalFormatting>
  <conditionalFormatting sqref="AF15:AF16 AF19:AI19">
    <cfRule type="cellIs" dxfId="13899" priority="30969" operator="equal">
      <formula>1</formula>
    </cfRule>
    <cfRule type="cellIs" dxfId="13898" priority="30970" operator="equal">
      <formula>"×"</formula>
    </cfRule>
  </conditionalFormatting>
  <conditionalFormatting sqref="AG19:AH19">
    <cfRule type="cellIs" dxfId="13897" priority="27279" operator="equal">
      <formula>1</formula>
    </cfRule>
    <cfRule type="cellIs" dxfId="13896" priority="27280" operator="equal">
      <formula>"×"</formula>
    </cfRule>
  </conditionalFormatting>
  <conditionalFormatting sqref="AF15:AF16 AF19:AI19">
    <cfRule type="cellIs" dxfId="13895" priority="30965" operator="equal">
      <formula>1</formula>
    </cfRule>
    <cfRule type="cellIs" dxfId="13894" priority="30966" operator="equal">
      <formula>"×"</formula>
    </cfRule>
  </conditionalFormatting>
  <conditionalFormatting sqref="AF19">
    <cfRule type="cellIs" dxfId="13893" priority="30963" operator="equal">
      <formula>1</formula>
    </cfRule>
    <cfRule type="cellIs" dxfId="13892" priority="30964" operator="equal">
      <formula>"×"</formula>
    </cfRule>
  </conditionalFormatting>
  <conditionalFormatting sqref="AF19">
    <cfRule type="cellIs" dxfId="13891" priority="30961" operator="equal">
      <formula>1</formula>
    </cfRule>
    <cfRule type="cellIs" dxfId="13890" priority="30962" operator="equal">
      <formula>"×"</formula>
    </cfRule>
  </conditionalFormatting>
  <conditionalFormatting sqref="AF15:AF16 AF19:AI19">
    <cfRule type="cellIs" dxfId="13889" priority="30953" operator="equal">
      <formula>1</formula>
    </cfRule>
    <cfRule type="cellIs" dxfId="13888" priority="30954" operator="equal">
      <formula>"×"</formula>
    </cfRule>
  </conditionalFormatting>
  <conditionalFormatting sqref="AD15">
    <cfRule type="cellIs" dxfId="13887" priority="27263" operator="equal">
      <formula>1</formula>
    </cfRule>
    <cfRule type="cellIs" dxfId="13886" priority="27264" operator="equal">
      <formula>"×"</formula>
    </cfRule>
  </conditionalFormatting>
  <conditionalFormatting sqref="AF15:AF16 AF19:AI19">
    <cfRule type="cellIs" dxfId="13885" priority="30949" operator="equal">
      <formula>1</formula>
    </cfRule>
    <cfRule type="cellIs" dxfId="13884" priority="30950" operator="equal">
      <formula>"×"</formula>
    </cfRule>
  </conditionalFormatting>
  <conditionalFormatting sqref="AF15:AF16 AF19:AI19">
    <cfRule type="cellIs" dxfId="13883" priority="30947" operator="equal">
      <formula>1</formula>
    </cfRule>
    <cfRule type="cellIs" dxfId="13882" priority="30948" operator="equal">
      <formula>"×"</formula>
    </cfRule>
  </conditionalFormatting>
  <conditionalFormatting sqref="AG13:AI16 AH14:AI18">
    <cfRule type="cellIs" dxfId="13881" priority="27257" operator="equal">
      <formula>1</formula>
    </cfRule>
    <cfRule type="cellIs" dxfId="13880" priority="27258" operator="equal">
      <formula>"×"</formula>
    </cfRule>
  </conditionalFormatting>
  <conditionalFormatting sqref="AF19">
    <cfRule type="cellIs" dxfId="13879" priority="30943" operator="equal">
      <formula>1</formula>
    </cfRule>
    <cfRule type="cellIs" dxfId="13878" priority="30944" operator="equal">
      <formula>"×"</formula>
    </cfRule>
  </conditionalFormatting>
  <conditionalFormatting sqref="AF19">
    <cfRule type="cellIs" dxfId="13877" priority="30939" operator="equal">
      <formula>1</formula>
    </cfRule>
    <cfRule type="cellIs" dxfId="13876" priority="30940" operator="equal">
      <formula>"×"</formula>
    </cfRule>
  </conditionalFormatting>
  <conditionalFormatting sqref="AF19">
    <cfRule type="cellIs" dxfId="13875" priority="30941" operator="equal">
      <formula>1</formula>
    </cfRule>
    <cfRule type="cellIs" dxfId="13874" priority="30942" operator="equal">
      <formula>"×"</formula>
    </cfRule>
  </conditionalFormatting>
  <conditionalFormatting sqref="AF19">
    <cfRule type="cellIs" dxfId="13873" priority="30937" operator="equal">
      <formula>1</formula>
    </cfRule>
    <cfRule type="cellIs" dxfId="13872" priority="30938" operator="equal">
      <formula>"×"</formula>
    </cfRule>
  </conditionalFormatting>
  <conditionalFormatting sqref="AF19">
    <cfRule type="cellIs" dxfId="13871" priority="30935" operator="equal">
      <formula>1</formula>
    </cfRule>
    <cfRule type="cellIs" dxfId="13870" priority="30936" operator="equal">
      <formula>"×"</formula>
    </cfRule>
  </conditionalFormatting>
  <conditionalFormatting sqref="AF19">
    <cfRule type="cellIs" dxfId="13869" priority="30933" operator="equal">
      <formula>1</formula>
    </cfRule>
    <cfRule type="cellIs" dxfId="13868" priority="30934" operator="equal">
      <formula>"×"</formula>
    </cfRule>
  </conditionalFormatting>
  <conditionalFormatting sqref="AF19">
    <cfRule type="cellIs" dxfId="13867" priority="30931" operator="equal">
      <formula>1</formula>
    </cfRule>
    <cfRule type="cellIs" dxfId="13866" priority="30932" operator="equal">
      <formula>"×"</formula>
    </cfRule>
  </conditionalFormatting>
  <conditionalFormatting sqref="AH18:AI18">
    <cfRule type="cellIs" dxfId="13865" priority="30929" operator="equal">
      <formula>1</formula>
    </cfRule>
    <cfRule type="cellIs" dxfId="13864" priority="30930" operator="equal">
      <formula>"×"</formula>
    </cfRule>
  </conditionalFormatting>
  <conditionalFormatting sqref="AI18">
    <cfRule type="cellIs" dxfId="13863" priority="30927" operator="equal">
      <formula>1</formula>
    </cfRule>
    <cfRule type="cellIs" dxfId="13862" priority="30928" operator="equal">
      <formula>"×"</formula>
    </cfRule>
  </conditionalFormatting>
  <conditionalFormatting sqref="AH18:AI18">
    <cfRule type="cellIs" dxfId="13861" priority="30925" operator="equal">
      <formula>1</formula>
    </cfRule>
    <cfRule type="cellIs" dxfId="13860" priority="30926" operator="equal">
      <formula>"×"</formula>
    </cfRule>
  </conditionalFormatting>
  <conditionalFormatting sqref="AH18:AI18">
    <cfRule type="cellIs" dxfId="13859" priority="30923" operator="equal">
      <formula>1</formula>
    </cfRule>
    <cfRule type="cellIs" dxfId="13858" priority="30924" operator="equal">
      <formula>"×"</formula>
    </cfRule>
  </conditionalFormatting>
  <conditionalFormatting sqref="AI18">
    <cfRule type="cellIs" dxfId="13857" priority="30921" operator="equal">
      <formula>1</formula>
    </cfRule>
    <cfRule type="cellIs" dxfId="13856" priority="30922" operator="equal">
      <formula>"×"</formula>
    </cfRule>
  </conditionalFormatting>
  <conditionalFormatting sqref="AH18:AI18">
    <cfRule type="cellIs" dxfId="13855" priority="30919" operator="equal">
      <formula>1</formula>
    </cfRule>
    <cfRule type="cellIs" dxfId="13854" priority="30920" operator="equal">
      <formula>"×"</formula>
    </cfRule>
  </conditionalFormatting>
  <conditionalFormatting sqref="AF7:AI19">
    <cfRule type="cellIs" dxfId="13853" priority="30917" operator="equal">
      <formula>1</formula>
    </cfRule>
    <cfRule type="cellIs" dxfId="13852" priority="30918" operator="equal">
      <formula>"×"</formula>
    </cfRule>
  </conditionalFormatting>
  <conditionalFormatting sqref="AF15:AG15">
    <cfRule type="cellIs" dxfId="13851" priority="30891" operator="equal">
      <formula>1</formula>
    </cfRule>
    <cfRule type="cellIs" dxfId="13850" priority="30892" operator="equal">
      <formula>"×"</formula>
    </cfRule>
  </conditionalFormatting>
  <conditionalFormatting sqref="AF15:AG15">
    <cfRule type="cellIs" dxfId="13849" priority="30889" operator="equal">
      <formula>1</formula>
    </cfRule>
    <cfRule type="cellIs" dxfId="13848" priority="30890" operator="equal">
      <formula>"×"</formula>
    </cfRule>
  </conditionalFormatting>
  <conditionalFormatting sqref="AF15:AG15">
    <cfRule type="cellIs" dxfId="13847" priority="30885" operator="equal">
      <formula>1</formula>
    </cfRule>
    <cfRule type="cellIs" dxfId="13846" priority="30886" operator="equal">
      <formula>"×"</formula>
    </cfRule>
  </conditionalFormatting>
  <conditionalFormatting sqref="AF15:AG15">
    <cfRule type="cellIs" dxfId="13845" priority="30887" operator="equal">
      <formula>1</formula>
    </cfRule>
    <cfRule type="cellIs" dxfId="13844" priority="30888" operator="equal">
      <formula>"×"</formula>
    </cfRule>
  </conditionalFormatting>
  <conditionalFormatting sqref="AF15:AG15">
    <cfRule type="cellIs" dxfId="13843" priority="30915" operator="equal">
      <formula>1</formula>
    </cfRule>
    <cfRule type="cellIs" dxfId="13842" priority="30916" operator="equal">
      <formula>"×"</formula>
    </cfRule>
  </conditionalFormatting>
  <conditionalFormatting sqref="AF15:AG15">
    <cfRule type="cellIs" dxfId="13841" priority="30913" operator="equal">
      <formula>1</formula>
    </cfRule>
    <cfRule type="cellIs" dxfId="13840" priority="30914" operator="equal">
      <formula>"×"</formula>
    </cfRule>
  </conditionalFormatting>
  <conditionalFormatting sqref="AF15:AG15">
    <cfRule type="cellIs" dxfId="13839" priority="30911" operator="equal">
      <formula>1</formula>
    </cfRule>
    <cfRule type="cellIs" dxfId="13838" priority="30912" operator="equal">
      <formula>"×"</formula>
    </cfRule>
  </conditionalFormatting>
  <conditionalFormatting sqref="AF15:AG15">
    <cfRule type="cellIs" dxfId="13837" priority="30909" operator="equal">
      <formula>1</formula>
    </cfRule>
    <cfRule type="cellIs" dxfId="13836" priority="30910" operator="equal">
      <formula>"×"</formula>
    </cfRule>
  </conditionalFormatting>
  <conditionalFormatting sqref="AF15:AG15">
    <cfRule type="cellIs" dxfId="13835" priority="30907" operator="equal">
      <formula>1</formula>
    </cfRule>
    <cfRule type="cellIs" dxfId="13834" priority="30908" operator="equal">
      <formula>"×"</formula>
    </cfRule>
  </conditionalFormatting>
  <conditionalFormatting sqref="AF15:AG15">
    <cfRule type="cellIs" dxfId="13833" priority="30905" operator="equal">
      <formula>1</formula>
    </cfRule>
    <cfRule type="cellIs" dxfId="13832" priority="30906" operator="equal">
      <formula>"×"</formula>
    </cfRule>
  </conditionalFormatting>
  <conditionalFormatting sqref="AF15:AG15">
    <cfRule type="cellIs" dxfId="13831" priority="30903" operator="equal">
      <formula>1</formula>
    </cfRule>
    <cfRule type="cellIs" dxfId="13830" priority="30904" operator="equal">
      <formula>"×"</formula>
    </cfRule>
  </conditionalFormatting>
  <conditionalFormatting sqref="AF15:AG15">
    <cfRule type="cellIs" dxfId="13829" priority="30901" operator="equal">
      <formula>1</formula>
    </cfRule>
    <cfRule type="cellIs" dxfId="13828" priority="30902" operator="equal">
      <formula>"×"</formula>
    </cfRule>
  </conditionalFormatting>
  <conditionalFormatting sqref="AF15:AG15">
    <cfRule type="cellIs" dxfId="13827" priority="30899" operator="equal">
      <formula>1</formula>
    </cfRule>
    <cfRule type="cellIs" dxfId="13826" priority="30900" operator="equal">
      <formula>"×"</formula>
    </cfRule>
  </conditionalFormatting>
  <conditionalFormatting sqref="AF15:AG15">
    <cfRule type="cellIs" dxfId="13825" priority="30897" operator="equal">
      <formula>1</formula>
    </cfRule>
    <cfRule type="cellIs" dxfId="13824" priority="30898" operator="equal">
      <formula>"×"</formula>
    </cfRule>
  </conditionalFormatting>
  <conditionalFormatting sqref="AF15:AG15">
    <cfRule type="cellIs" dxfId="13823" priority="30895" operator="equal">
      <formula>1</formula>
    </cfRule>
    <cfRule type="cellIs" dxfId="13822" priority="30896" operator="equal">
      <formula>"×"</formula>
    </cfRule>
  </conditionalFormatting>
  <conditionalFormatting sqref="AF15:AG15">
    <cfRule type="cellIs" dxfId="13821" priority="30893" operator="equal">
      <formula>1</formula>
    </cfRule>
    <cfRule type="cellIs" dxfId="13820" priority="30894" operator="equal">
      <formula>"×"</formula>
    </cfRule>
  </conditionalFormatting>
  <conditionalFormatting sqref="AH15:AI15">
    <cfRule type="cellIs" dxfId="13819" priority="30859" operator="equal">
      <formula>1</formula>
    </cfRule>
    <cfRule type="cellIs" dxfId="13818" priority="30860" operator="equal">
      <formula>"×"</formula>
    </cfRule>
  </conditionalFormatting>
  <conditionalFormatting sqref="AH15:AI15">
    <cfRule type="cellIs" dxfId="13817" priority="30857" operator="equal">
      <formula>1</formula>
    </cfRule>
    <cfRule type="cellIs" dxfId="13816" priority="30858" operator="equal">
      <formula>"×"</formula>
    </cfRule>
  </conditionalFormatting>
  <conditionalFormatting sqref="AH15:AI15">
    <cfRule type="cellIs" dxfId="13815" priority="30853" operator="equal">
      <formula>1</formula>
    </cfRule>
    <cfRule type="cellIs" dxfId="13814" priority="30854" operator="equal">
      <formula>"×"</formula>
    </cfRule>
  </conditionalFormatting>
  <conditionalFormatting sqref="AH15:AI15">
    <cfRule type="cellIs" dxfId="13813" priority="30855" operator="equal">
      <formula>1</formula>
    </cfRule>
    <cfRule type="cellIs" dxfId="13812" priority="30856" operator="equal">
      <formula>"×"</formula>
    </cfRule>
  </conditionalFormatting>
  <conditionalFormatting sqref="AH15:AI15">
    <cfRule type="cellIs" dxfId="13811" priority="30883" operator="equal">
      <formula>1</formula>
    </cfRule>
    <cfRule type="cellIs" dxfId="13810" priority="30884" operator="equal">
      <formula>"×"</formula>
    </cfRule>
  </conditionalFormatting>
  <conditionalFormatting sqref="AH15:AI15">
    <cfRule type="cellIs" dxfId="13809" priority="30881" operator="equal">
      <formula>1</formula>
    </cfRule>
    <cfRule type="cellIs" dxfId="13808" priority="30882" operator="equal">
      <formula>"×"</formula>
    </cfRule>
  </conditionalFormatting>
  <conditionalFormatting sqref="AH15:AI15">
    <cfRule type="cellIs" dxfId="13807" priority="30879" operator="equal">
      <formula>1</formula>
    </cfRule>
    <cfRule type="cellIs" dxfId="13806" priority="30880" operator="equal">
      <formula>"×"</formula>
    </cfRule>
  </conditionalFormatting>
  <conditionalFormatting sqref="AH15:AI15">
    <cfRule type="cellIs" dxfId="13805" priority="30877" operator="equal">
      <formula>1</formula>
    </cfRule>
    <cfRule type="cellIs" dxfId="13804" priority="30878" operator="equal">
      <formula>"×"</formula>
    </cfRule>
  </conditionalFormatting>
  <conditionalFormatting sqref="AH15:AI15">
    <cfRule type="cellIs" dxfId="13803" priority="30875" operator="equal">
      <formula>1</formula>
    </cfRule>
    <cfRule type="cellIs" dxfId="13802" priority="30876" operator="equal">
      <formula>"×"</formula>
    </cfRule>
  </conditionalFormatting>
  <conditionalFormatting sqref="AH15:AI15">
    <cfRule type="cellIs" dxfId="13801" priority="30873" operator="equal">
      <formula>1</formula>
    </cfRule>
    <cfRule type="cellIs" dxfId="13800" priority="30874" operator="equal">
      <formula>"×"</formula>
    </cfRule>
  </conditionalFormatting>
  <conditionalFormatting sqref="AH15:AI15">
    <cfRule type="cellIs" dxfId="13799" priority="30871" operator="equal">
      <formula>1</formula>
    </cfRule>
    <cfRule type="cellIs" dxfId="13798" priority="30872" operator="equal">
      <formula>"×"</formula>
    </cfRule>
  </conditionalFormatting>
  <conditionalFormatting sqref="AH15:AI15">
    <cfRule type="cellIs" dxfId="13797" priority="30869" operator="equal">
      <formula>1</formula>
    </cfRule>
    <cfRule type="cellIs" dxfId="13796" priority="30870" operator="equal">
      <formula>"×"</formula>
    </cfRule>
  </conditionalFormatting>
  <conditionalFormatting sqref="AH15:AI15">
    <cfRule type="cellIs" dxfId="13795" priority="30867" operator="equal">
      <formula>1</formula>
    </cfRule>
    <cfRule type="cellIs" dxfId="13794" priority="30868" operator="equal">
      <formula>"×"</formula>
    </cfRule>
  </conditionalFormatting>
  <conditionalFormatting sqref="AH15:AI15">
    <cfRule type="cellIs" dxfId="13793" priority="30865" operator="equal">
      <formula>1</formula>
    </cfRule>
    <cfRule type="cellIs" dxfId="13792" priority="30866" operator="equal">
      <formula>"×"</formula>
    </cfRule>
  </conditionalFormatting>
  <conditionalFormatting sqref="AH15:AI15">
    <cfRule type="cellIs" dxfId="13791" priority="30863" operator="equal">
      <formula>1</formula>
    </cfRule>
    <cfRule type="cellIs" dxfId="13790" priority="30864" operator="equal">
      <formula>"×"</formula>
    </cfRule>
  </conditionalFormatting>
  <conditionalFormatting sqref="AH15:AI15">
    <cfRule type="cellIs" dxfId="13789" priority="30861" operator="equal">
      <formula>1</formula>
    </cfRule>
    <cfRule type="cellIs" dxfId="13788" priority="30862" operator="equal">
      <formula>"×"</formula>
    </cfRule>
  </conditionalFormatting>
  <conditionalFormatting sqref="AH16">
    <cfRule type="cellIs" dxfId="13787" priority="30851" operator="equal">
      <formula>1</formula>
    </cfRule>
    <cfRule type="cellIs" dxfId="13786" priority="30852" operator="equal">
      <formula>"×"</formula>
    </cfRule>
  </conditionalFormatting>
  <conditionalFormatting sqref="AH16">
    <cfRule type="cellIs" dxfId="13785" priority="30849" operator="equal">
      <formula>1</formula>
    </cfRule>
    <cfRule type="cellIs" dxfId="13784" priority="30850" operator="equal">
      <formula>"×"</formula>
    </cfRule>
  </conditionalFormatting>
  <conditionalFormatting sqref="AH16">
    <cfRule type="cellIs" dxfId="13783" priority="30823" operator="equal">
      <formula>1</formula>
    </cfRule>
    <cfRule type="cellIs" dxfId="13782" priority="30824" operator="equal">
      <formula>"×"</formula>
    </cfRule>
  </conditionalFormatting>
  <conditionalFormatting sqref="AH16">
    <cfRule type="cellIs" dxfId="13781" priority="30821" operator="equal">
      <formula>1</formula>
    </cfRule>
    <cfRule type="cellIs" dxfId="13780" priority="30822" operator="equal">
      <formula>"×"</formula>
    </cfRule>
  </conditionalFormatting>
  <conditionalFormatting sqref="AH16">
    <cfRule type="cellIs" dxfId="13779" priority="30817" operator="equal">
      <formula>1</formula>
    </cfRule>
    <cfRule type="cellIs" dxfId="13778" priority="30818" operator="equal">
      <formula>"×"</formula>
    </cfRule>
  </conditionalFormatting>
  <conditionalFormatting sqref="AH16">
    <cfRule type="cellIs" dxfId="13777" priority="30819" operator="equal">
      <formula>1</formula>
    </cfRule>
    <cfRule type="cellIs" dxfId="13776" priority="30820" operator="equal">
      <formula>"×"</formula>
    </cfRule>
  </conditionalFormatting>
  <conditionalFormatting sqref="AH16">
    <cfRule type="cellIs" dxfId="13775" priority="30847" operator="equal">
      <formula>1</formula>
    </cfRule>
    <cfRule type="cellIs" dxfId="13774" priority="30848" operator="equal">
      <formula>"×"</formula>
    </cfRule>
  </conditionalFormatting>
  <conditionalFormatting sqref="AH16">
    <cfRule type="cellIs" dxfId="13773" priority="30845" operator="equal">
      <formula>1</formula>
    </cfRule>
    <cfRule type="cellIs" dxfId="13772" priority="30846" operator="equal">
      <formula>"×"</formula>
    </cfRule>
  </conditionalFormatting>
  <conditionalFormatting sqref="AH16">
    <cfRule type="cellIs" dxfId="13771" priority="30843" operator="equal">
      <formula>1</formula>
    </cfRule>
    <cfRule type="cellIs" dxfId="13770" priority="30844" operator="equal">
      <formula>"×"</formula>
    </cfRule>
  </conditionalFormatting>
  <conditionalFormatting sqref="AH16">
    <cfRule type="cellIs" dxfId="13769" priority="30841" operator="equal">
      <formula>1</formula>
    </cfRule>
    <cfRule type="cellIs" dxfId="13768" priority="30842" operator="equal">
      <formula>"×"</formula>
    </cfRule>
  </conditionalFormatting>
  <conditionalFormatting sqref="AH16">
    <cfRule type="cellIs" dxfId="13767" priority="30839" operator="equal">
      <formula>1</formula>
    </cfRule>
    <cfRule type="cellIs" dxfId="13766" priority="30840" operator="equal">
      <formula>"×"</formula>
    </cfRule>
  </conditionalFormatting>
  <conditionalFormatting sqref="AH16">
    <cfRule type="cellIs" dxfId="13765" priority="30837" operator="equal">
      <formula>1</formula>
    </cfRule>
    <cfRule type="cellIs" dxfId="13764" priority="30838" operator="equal">
      <formula>"×"</formula>
    </cfRule>
  </conditionalFormatting>
  <conditionalFormatting sqref="AH16">
    <cfRule type="cellIs" dxfId="13763" priority="30835" operator="equal">
      <formula>1</formula>
    </cfRule>
    <cfRule type="cellIs" dxfId="13762" priority="30836" operator="equal">
      <formula>"×"</formula>
    </cfRule>
  </conditionalFormatting>
  <conditionalFormatting sqref="AH16">
    <cfRule type="cellIs" dxfId="13761" priority="30833" operator="equal">
      <formula>1</formula>
    </cfRule>
    <cfRule type="cellIs" dxfId="13760" priority="30834" operator="equal">
      <formula>"×"</formula>
    </cfRule>
  </conditionalFormatting>
  <conditionalFormatting sqref="AH16">
    <cfRule type="cellIs" dxfId="13759" priority="30831" operator="equal">
      <formula>1</formula>
    </cfRule>
    <cfRule type="cellIs" dxfId="13758" priority="30832" operator="equal">
      <formula>"×"</formula>
    </cfRule>
  </conditionalFormatting>
  <conditionalFormatting sqref="AH16">
    <cfRule type="cellIs" dxfId="13757" priority="30829" operator="equal">
      <formula>1</formula>
    </cfRule>
    <cfRule type="cellIs" dxfId="13756" priority="30830" operator="equal">
      <formula>"×"</formula>
    </cfRule>
  </conditionalFormatting>
  <conditionalFormatting sqref="AH16">
    <cfRule type="cellIs" dxfId="13755" priority="30827" operator="equal">
      <formula>1</formula>
    </cfRule>
    <cfRule type="cellIs" dxfId="13754" priority="30828" operator="equal">
      <formula>"×"</formula>
    </cfRule>
  </conditionalFormatting>
  <conditionalFormatting sqref="AH16">
    <cfRule type="cellIs" dxfId="13753" priority="30825" operator="equal">
      <formula>1</formula>
    </cfRule>
    <cfRule type="cellIs" dxfId="13752" priority="30826" operator="equal">
      <formula>"×"</formula>
    </cfRule>
  </conditionalFormatting>
  <conditionalFormatting sqref="AF14:AF19">
    <cfRule type="cellIs" dxfId="13751" priority="30807" operator="equal">
      <formula>1</formula>
    </cfRule>
    <cfRule type="cellIs" dxfId="13750" priority="30808" operator="equal">
      <formula>"×"</formula>
    </cfRule>
  </conditionalFormatting>
  <conditionalFormatting sqref="AF14:AF19">
    <cfRule type="cellIs" dxfId="13749" priority="30805" operator="equal">
      <formula>1</formula>
    </cfRule>
    <cfRule type="cellIs" dxfId="13748" priority="30806" operator="equal">
      <formula>"×"</formula>
    </cfRule>
  </conditionalFormatting>
  <conditionalFormatting sqref="AF14:AG19">
    <cfRule type="cellIs" dxfId="13747" priority="30815" operator="equal">
      <formula>1</formula>
    </cfRule>
    <cfRule type="cellIs" dxfId="13746" priority="30816" operator="equal">
      <formula>"×"</formula>
    </cfRule>
  </conditionalFormatting>
  <conditionalFormatting sqref="AF14:AG19">
    <cfRule type="cellIs" dxfId="13745" priority="30813" operator="equal">
      <formula>1</formula>
    </cfRule>
    <cfRule type="cellIs" dxfId="13744" priority="30814" operator="equal">
      <formula>"×"</formula>
    </cfRule>
  </conditionalFormatting>
  <conditionalFormatting sqref="AG14:AG19">
    <cfRule type="cellIs" dxfId="13743" priority="30811" operator="equal">
      <formula>1</formula>
    </cfRule>
    <cfRule type="cellIs" dxfId="13742" priority="30812" operator="equal">
      <formula>"×"</formula>
    </cfRule>
  </conditionalFormatting>
  <conditionalFormatting sqref="AG14:AG19">
    <cfRule type="cellIs" dxfId="13741" priority="30809" operator="equal">
      <formula>1</formula>
    </cfRule>
    <cfRule type="cellIs" dxfId="13740" priority="30810" operator="equal">
      <formula>"×"</formula>
    </cfRule>
  </conditionalFormatting>
  <conditionalFormatting sqref="AF14:AF19">
    <cfRule type="cellIs" dxfId="13739" priority="30803" operator="equal">
      <formula>1</formula>
    </cfRule>
    <cfRule type="cellIs" dxfId="13738" priority="30804" operator="equal">
      <formula>"×"</formula>
    </cfRule>
  </conditionalFormatting>
  <conditionalFormatting sqref="AF14:AF19">
    <cfRule type="cellIs" dxfId="13737" priority="30801" operator="equal">
      <formula>1</formula>
    </cfRule>
    <cfRule type="cellIs" dxfId="13736" priority="30802" operator="equal">
      <formula>"×"</formula>
    </cfRule>
  </conditionalFormatting>
  <conditionalFormatting sqref="AF14:AF19">
    <cfRule type="cellIs" dxfId="13735" priority="30799" operator="equal">
      <formula>1</formula>
    </cfRule>
    <cfRule type="cellIs" dxfId="13734" priority="30800" operator="equal">
      <formula>"×"</formula>
    </cfRule>
  </conditionalFormatting>
  <conditionalFormatting sqref="AF14:AF19">
    <cfRule type="cellIs" dxfId="13733" priority="30797" operator="equal">
      <formula>1</formula>
    </cfRule>
    <cfRule type="cellIs" dxfId="13732" priority="30798" operator="equal">
      <formula>"×"</formula>
    </cfRule>
  </conditionalFormatting>
  <conditionalFormatting sqref="AF14:AF19">
    <cfRule type="cellIs" dxfId="13731" priority="30795" operator="equal">
      <formula>1</formula>
    </cfRule>
    <cfRule type="cellIs" dxfId="13730" priority="30796" operator="equal">
      <formula>"×"</formula>
    </cfRule>
  </conditionalFormatting>
  <conditionalFormatting sqref="AF14:AF19">
    <cfRule type="cellIs" dxfId="13729" priority="30793" operator="equal">
      <formula>1</formula>
    </cfRule>
    <cfRule type="cellIs" dxfId="13728" priority="30794" operator="equal">
      <formula>"×"</formula>
    </cfRule>
  </conditionalFormatting>
  <conditionalFormatting sqref="AF14:AF19">
    <cfRule type="cellIs" dxfId="13727" priority="30791" operator="equal">
      <formula>1</formula>
    </cfRule>
    <cfRule type="cellIs" dxfId="13726" priority="30792" operator="equal">
      <formula>"×"</formula>
    </cfRule>
  </conditionalFormatting>
  <conditionalFormatting sqref="AF14:AF19">
    <cfRule type="cellIs" dxfId="13725" priority="30789" operator="equal">
      <formula>1</formula>
    </cfRule>
    <cfRule type="cellIs" dxfId="13724" priority="30790" operator="equal">
      <formula>"×"</formula>
    </cfRule>
  </conditionalFormatting>
  <conditionalFormatting sqref="AF14:AF19">
    <cfRule type="cellIs" dxfId="13723" priority="30787" operator="equal">
      <formula>1</formula>
    </cfRule>
    <cfRule type="cellIs" dxfId="13722" priority="30788" operator="equal">
      <formula>"×"</formula>
    </cfRule>
  </conditionalFormatting>
  <conditionalFormatting sqref="AF14:AF19">
    <cfRule type="cellIs" dxfId="13721" priority="30785" operator="equal">
      <formula>1</formula>
    </cfRule>
    <cfRule type="cellIs" dxfId="13720" priority="30786" operator="equal">
      <formula>"×"</formula>
    </cfRule>
  </conditionalFormatting>
  <conditionalFormatting sqref="AF14:AF19">
    <cfRule type="cellIs" dxfId="13719" priority="30783" operator="equal">
      <formula>1</formula>
    </cfRule>
    <cfRule type="cellIs" dxfId="13718" priority="30784" operator="equal">
      <formula>"×"</formula>
    </cfRule>
  </conditionalFormatting>
  <conditionalFormatting sqref="AF14:AF19">
    <cfRule type="cellIs" dxfId="13717" priority="30781" operator="equal">
      <formula>1</formula>
    </cfRule>
    <cfRule type="cellIs" dxfId="13716" priority="30782" operator="equal">
      <formula>"×"</formula>
    </cfRule>
  </conditionalFormatting>
  <conditionalFormatting sqref="AF14:AF19">
    <cfRule type="cellIs" dxfId="13715" priority="30779" operator="equal">
      <formula>1</formula>
    </cfRule>
    <cfRule type="cellIs" dxfId="13714" priority="30780" operator="equal">
      <formula>"×"</formula>
    </cfRule>
  </conditionalFormatting>
  <conditionalFormatting sqref="AF14:AF19">
    <cfRule type="cellIs" dxfId="13713" priority="30777" operator="equal">
      <formula>1</formula>
    </cfRule>
    <cfRule type="cellIs" dxfId="13712" priority="30778" operator="equal">
      <formula>"×"</formula>
    </cfRule>
  </conditionalFormatting>
  <conditionalFormatting sqref="AF14:AF19">
    <cfRule type="cellIs" dxfId="13711" priority="30775" operator="equal">
      <formula>1</formula>
    </cfRule>
    <cfRule type="cellIs" dxfId="13710" priority="30776" operator="equal">
      <formula>"×"</formula>
    </cfRule>
  </conditionalFormatting>
  <conditionalFormatting sqref="AF14:AF19">
    <cfRule type="cellIs" dxfId="13709" priority="30773" operator="equal">
      <formula>1</formula>
    </cfRule>
    <cfRule type="cellIs" dxfId="13708" priority="30774" operator="equal">
      <formula>"×"</formula>
    </cfRule>
  </conditionalFormatting>
  <conditionalFormatting sqref="AF14:AF19">
    <cfRule type="cellIs" dxfId="13707" priority="30771" operator="equal">
      <formula>1</formula>
    </cfRule>
    <cfRule type="cellIs" dxfId="13706" priority="30772" operator="equal">
      <formula>"×"</formula>
    </cfRule>
  </conditionalFormatting>
  <conditionalFormatting sqref="AF14:AF19">
    <cfRule type="cellIs" dxfId="13705" priority="30769" operator="equal">
      <formula>1</formula>
    </cfRule>
    <cfRule type="cellIs" dxfId="13704" priority="30770" operator="equal">
      <formula>"×"</formula>
    </cfRule>
  </conditionalFormatting>
  <conditionalFormatting sqref="AF14:AF19">
    <cfRule type="cellIs" dxfId="13703" priority="30767" operator="equal">
      <formula>1</formula>
    </cfRule>
    <cfRule type="cellIs" dxfId="13702" priority="30768" operator="equal">
      <formula>"×"</formula>
    </cfRule>
  </conditionalFormatting>
  <conditionalFormatting sqref="AF14:AF19">
    <cfRule type="cellIs" dxfId="13701" priority="30765" operator="equal">
      <formula>1</formula>
    </cfRule>
    <cfRule type="cellIs" dxfId="13700" priority="30766" operator="equal">
      <formula>"×"</formula>
    </cfRule>
  </conditionalFormatting>
  <conditionalFormatting sqref="AF14:AG19">
    <cfRule type="cellIs" dxfId="13699" priority="30763" operator="equal">
      <formula>1</formula>
    </cfRule>
    <cfRule type="cellIs" dxfId="13698" priority="30764" operator="equal">
      <formula>"×"</formula>
    </cfRule>
  </conditionalFormatting>
  <conditionalFormatting sqref="AF14:AG19">
    <cfRule type="cellIs" dxfId="13697" priority="30737" operator="equal">
      <formula>1</formula>
    </cfRule>
    <cfRule type="cellIs" dxfId="13696" priority="30738" operator="equal">
      <formula>"×"</formula>
    </cfRule>
  </conditionalFormatting>
  <conditionalFormatting sqref="AF14:AG19">
    <cfRule type="cellIs" dxfId="13695" priority="30735" operator="equal">
      <formula>1</formula>
    </cfRule>
    <cfRule type="cellIs" dxfId="13694" priority="30736" operator="equal">
      <formula>"×"</formula>
    </cfRule>
  </conditionalFormatting>
  <conditionalFormatting sqref="AF14:AG19">
    <cfRule type="cellIs" dxfId="13693" priority="30731" operator="equal">
      <formula>1</formula>
    </cfRule>
    <cfRule type="cellIs" dxfId="13692" priority="30732" operator="equal">
      <formula>"×"</formula>
    </cfRule>
  </conditionalFormatting>
  <conditionalFormatting sqref="AF14:AG19">
    <cfRule type="cellIs" dxfId="13691" priority="30733" operator="equal">
      <formula>1</formula>
    </cfRule>
    <cfRule type="cellIs" dxfId="13690" priority="30734" operator="equal">
      <formula>"×"</formula>
    </cfRule>
  </conditionalFormatting>
  <conditionalFormatting sqref="AF14:AG19">
    <cfRule type="cellIs" dxfId="13689" priority="30761" operator="equal">
      <formula>1</formula>
    </cfRule>
    <cfRule type="cellIs" dxfId="13688" priority="30762" operator="equal">
      <formula>"×"</formula>
    </cfRule>
  </conditionalFormatting>
  <conditionalFormatting sqref="AF14:AG19">
    <cfRule type="cellIs" dxfId="13687" priority="30759" operator="equal">
      <formula>1</formula>
    </cfRule>
    <cfRule type="cellIs" dxfId="13686" priority="30760" operator="equal">
      <formula>"×"</formula>
    </cfRule>
  </conditionalFormatting>
  <conditionalFormatting sqref="AF14:AG19">
    <cfRule type="cellIs" dxfId="13685" priority="30757" operator="equal">
      <formula>1</formula>
    </cfRule>
    <cfRule type="cellIs" dxfId="13684" priority="30758" operator="equal">
      <formula>"×"</formula>
    </cfRule>
  </conditionalFormatting>
  <conditionalFormatting sqref="AF14:AG19">
    <cfRule type="cellIs" dxfId="13683" priority="30755" operator="equal">
      <formula>1</formula>
    </cfRule>
    <cfRule type="cellIs" dxfId="13682" priority="30756" operator="equal">
      <formula>"×"</formula>
    </cfRule>
  </conditionalFormatting>
  <conditionalFormatting sqref="AF14:AG19">
    <cfRule type="cellIs" dxfId="13681" priority="30753" operator="equal">
      <formula>1</formula>
    </cfRule>
    <cfRule type="cellIs" dxfId="13680" priority="30754" operator="equal">
      <formula>"×"</formula>
    </cfRule>
  </conditionalFormatting>
  <conditionalFormatting sqref="AF14:AG19">
    <cfRule type="cellIs" dxfId="13679" priority="30751" operator="equal">
      <formula>1</formula>
    </cfRule>
    <cfRule type="cellIs" dxfId="13678" priority="30752" operator="equal">
      <formula>"×"</formula>
    </cfRule>
  </conditionalFormatting>
  <conditionalFormatting sqref="AF14:AG19">
    <cfRule type="cellIs" dxfId="13677" priority="30749" operator="equal">
      <formula>1</formula>
    </cfRule>
    <cfRule type="cellIs" dxfId="13676" priority="30750" operator="equal">
      <formula>"×"</formula>
    </cfRule>
  </conditionalFormatting>
  <conditionalFormatting sqref="AF14:AG19">
    <cfRule type="cellIs" dxfId="13675" priority="30747" operator="equal">
      <formula>1</formula>
    </cfRule>
    <cfRule type="cellIs" dxfId="13674" priority="30748" operator="equal">
      <formula>"×"</formula>
    </cfRule>
  </conditionalFormatting>
  <conditionalFormatting sqref="AF14:AG19">
    <cfRule type="cellIs" dxfId="13673" priority="30745" operator="equal">
      <formula>1</formula>
    </cfRule>
    <cfRule type="cellIs" dxfId="13672" priority="30746" operator="equal">
      <formula>"×"</formula>
    </cfRule>
  </conditionalFormatting>
  <conditionalFormatting sqref="AF14:AG19">
    <cfRule type="cellIs" dxfId="13671" priority="30743" operator="equal">
      <formula>1</formula>
    </cfRule>
    <cfRule type="cellIs" dxfId="13670" priority="30744" operator="equal">
      <formula>"×"</formula>
    </cfRule>
  </conditionalFormatting>
  <conditionalFormatting sqref="AF14:AG19">
    <cfRule type="cellIs" dxfId="13669" priority="30741" operator="equal">
      <formula>1</formula>
    </cfRule>
    <cfRule type="cellIs" dxfId="13668" priority="30742" operator="equal">
      <formula>"×"</formula>
    </cfRule>
  </conditionalFormatting>
  <conditionalFormatting sqref="AF14:AG19">
    <cfRule type="cellIs" dxfId="13667" priority="30739" operator="equal">
      <formula>1</formula>
    </cfRule>
    <cfRule type="cellIs" dxfId="13666" priority="30740" operator="equal">
      <formula>"×"</formula>
    </cfRule>
  </conditionalFormatting>
  <conditionalFormatting sqref="AE8:AE19">
    <cfRule type="cellIs" dxfId="13665" priority="30729" operator="equal">
      <formula>1</formula>
    </cfRule>
    <cfRule type="cellIs" dxfId="13664" priority="30730" operator="equal">
      <formula>"×"</formula>
    </cfRule>
  </conditionalFormatting>
  <conditionalFormatting sqref="AE8:AE19">
    <cfRule type="cellIs" dxfId="13663" priority="30727" operator="equal">
      <formula>1</formula>
    </cfRule>
    <cfRule type="cellIs" dxfId="13662" priority="30728" operator="equal">
      <formula>"×"</formula>
    </cfRule>
  </conditionalFormatting>
  <conditionalFormatting sqref="AE8:AE19">
    <cfRule type="cellIs" dxfId="13661" priority="30725" operator="equal">
      <formula>1</formula>
    </cfRule>
    <cfRule type="cellIs" dxfId="13660" priority="30726" operator="equal">
      <formula>"×"</formula>
    </cfRule>
  </conditionalFormatting>
  <conditionalFormatting sqref="AE8:AE19">
    <cfRule type="cellIs" dxfId="13659" priority="30723" operator="equal">
      <formula>1</formula>
    </cfRule>
    <cfRule type="cellIs" dxfId="13658" priority="30724" operator="equal">
      <formula>"×"</formula>
    </cfRule>
  </conditionalFormatting>
  <conditionalFormatting sqref="AE8:AE19">
    <cfRule type="cellIs" dxfId="13657" priority="30721" operator="equal">
      <formula>1</formula>
    </cfRule>
    <cfRule type="cellIs" dxfId="13656" priority="30722" operator="equal">
      <formula>"×"</formula>
    </cfRule>
  </conditionalFormatting>
  <conditionalFormatting sqref="AE8:AE19">
    <cfRule type="cellIs" dxfId="13655" priority="30719" operator="equal">
      <formula>1</formula>
    </cfRule>
    <cfRule type="cellIs" dxfId="13654" priority="30720" operator="equal">
      <formula>"×"</formula>
    </cfRule>
  </conditionalFormatting>
  <conditionalFormatting sqref="AE8:AE19">
    <cfRule type="cellIs" dxfId="13653" priority="30717" operator="equal">
      <formula>1</formula>
    </cfRule>
    <cfRule type="cellIs" dxfId="13652" priority="30718" operator="equal">
      <formula>"×"</formula>
    </cfRule>
  </conditionalFormatting>
  <conditionalFormatting sqref="AE8:AE19">
    <cfRule type="cellIs" dxfId="13651" priority="30715" operator="equal">
      <formula>1</formula>
    </cfRule>
    <cfRule type="cellIs" dxfId="13650" priority="30716" operator="equal">
      <formula>"×"</formula>
    </cfRule>
  </conditionalFormatting>
  <conditionalFormatting sqref="AE8:AE19">
    <cfRule type="cellIs" dxfId="13649" priority="30713" operator="equal">
      <formula>1</formula>
    </cfRule>
    <cfRule type="cellIs" dxfId="13648" priority="30714" operator="equal">
      <formula>"×"</formula>
    </cfRule>
  </conditionalFormatting>
  <conditionalFormatting sqref="AE8:AE19">
    <cfRule type="cellIs" dxfId="13647" priority="30711" operator="equal">
      <formula>1</formula>
    </cfRule>
    <cfRule type="cellIs" dxfId="13646" priority="30712" operator="equal">
      <formula>"×"</formula>
    </cfRule>
  </conditionalFormatting>
  <conditionalFormatting sqref="AE8:AE19">
    <cfRule type="cellIs" dxfId="13645" priority="30709" operator="equal">
      <formula>1</formula>
    </cfRule>
    <cfRule type="cellIs" dxfId="13644" priority="30710" operator="equal">
      <formula>"×"</formula>
    </cfRule>
  </conditionalFormatting>
  <conditionalFormatting sqref="AE8:AE19">
    <cfRule type="cellIs" dxfId="13643" priority="30707" operator="equal">
      <formula>1</formula>
    </cfRule>
    <cfRule type="cellIs" dxfId="13642" priority="30708" operator="equal">
      <formula>"×"</formula>
    </cfRule>
  </conditionalFormatting>
  <conditionalFormatting sqref="AE8:AE19">
    <cfRule type="cellIs" dxfId="13641" priority="30705" operator="equal">
      <formula>1</formula>
    </cfRule>
    <cfRule type="cellIs" dxfId="13640" priority="30706" operator="equal">
      <formula>"×"</formula>
    </cfRule>
  </conditionalFormatting>
  <conditionalFormatting sqref="AE8:AE19">
    <cfRule type="cellIs" dxfId="13639" priority="30703" operator="equal">
      <formula>1</formula>
    </cfRule>
    <cfRule type="cellIs" dxfId="13638" priority="30704" operator="equal">
      <formula>"×"</formula>
    </cfRule>
  </conditionalFormatting>
  <conditionalFormatting sqref="AE8:AE19">
    <cfRule type="cellIs" dxfId="13637" priority="30701" operator="equal">
      <formula>1</formula>
    </cfRule>
    <cfRule type="cellIs" dxfId="13636" priority="30702" operator="equal">
      <formula>"×"</formula>
    </cfRule>
  </conditionalFormatting>
  <conditionalFormatting sqref="AE8:AE19">
    <cfRule type="cellIs" dxfId="13635" priority="30699" operator="equal">
      <formula>1</formula>
    </cfRule>
    <cfRule type="cellIs" dxfId="13634" priority="30700" operator="equal">
      <formula>"×"</formula>
    </cfRule>
  </conditionalFormatting>
  <conditionalFormatting sqref="AE8:AE19">
    <cfRule type="cellIs" dxfId="13633" priority="30697" operator="equal">
      <formula>1</formula>
    </cfRule>
    <cfRule type="cellIs" dxfId="13632" priority="30698" operator="equal">
      <formula>"×"</formula>
    </cfRule>
  </conditionalFormatting>
  <conditionalFormatting sqref="AE8:AE19">
    <cfRule type="cellIs" dxfId="13631" priority="30695" operator="equal">
      <formula>1</formula>
    </cfRule>
    <cfRule type="cellIs" dxfId="13630" priority="30696" operator="equal">
      <formula>"×"</formula>
    </cfRule>
  </conditionalFormatting>
  <conditionalFormatting sqref="AE8:AE19">
    <cfRule type="cellIs" dxfId="13629" priority="30693" operator="equal">
      <formula>1</formula>
    </cfRule>
    <cfRule type="cellIs" dxfId="13628" priority="30694" operator="equal">
      <formula>"×"</formula>
    </cfRule>
  </conditionalFormatting>
  <conditionalFormatting sqref="AE8:AE19">
    <cfRule type="cellIs" dxfId="13627" priority="30691" operator="equal">
      <formula>1</formula>
    </cfRule>
    <cfRule type="cellIs" dxfId="13626" priority="30692" operator="equal">
      <formula>"×"</formula>
    </cfRule>
  </conditionalFormatting>
  <conditionalFormatting sqref="AE8:AE19">
    <cfRule type="cellIs" dxfId="13625" priority="30689" operator="equal">
      <formula>1</formula>
    </cfRule>
    <cfRule type="cellIs" dxfId="13624" priority="30690" operator="equal">
      <formula>"×"</formula>
    </cfRule>
  </conditionalFormatting>
  <conditionalFormatting sqref="AE8:AE19">
    <cfRule type="cellIs" dxfId="13623" priority="30683" operator="equal">
      <formula>1</formula>
    </cfRule>
    <cfRule type="cellIs" dxfId="13622" priority="30684" operator="equal">
      <formula>"×"</formula>
    </cfRule>
  </conditionalFormatting>
  <conditionalFormatting sqref="AE8:AE19">
    <cfRule type="cellIs" dxfId="13621" priority="30681" operator="equal">
      <formula>1</formula>
    </cfRule>
    <cfRule type="cellIs" dxfId="13620" priority="30682" operator="equal">
      <formula>"×"</formula>
    </cfRule>
  </conditionalFormatting>
  <conditionalFormatting sqref="AE8:AE19">
    <cfRule type="cellIs" dxfId="13619" priority="30679" operator="equal">
      <formula>1</formula>
    </cfRule>
    <cfRule type="cellIs" dxfId="13618" priority="30680" operator="equal">
      <formula>"×"</formula>
    </cfRule>
  </conditionalFormatting>
  <conditionalFormatting sqref="AE8:AE19">
    <cfRule type="cellIs" dxfId="13617" priority="30687" operator="equal">
      <formula>1</formula>
    </cfRule>
    <cfRule type="cellIs" dxfId="13616" priority="30688" operator="equal">
      <formula>"×"</formula>
    </cfRule>
  </conditionalFormatting>
  <conditionalFormatting sqref="AE8:AE19">
    <cfRule type="cellIs" dxfId="13615" priority="30685" operator="equal">
      <formula>1</formula>
    </cfRule>
    <cfRule type="cellIs" dxfId="13614" priority="30686" operator="equal">
      <formula>"×"</formula>
    </cfRule>
  </conditionalFormatting>
  <conditionalFormatting sqref="AE8:AE19">
    <cfRule type="cellIs" dxfId="13613" priority="30677" operator="equal">
      <formula>1</formula>
    </cfRule>
    <cfRule type="cellIs" dxfId="13612" priority="30678" operator="equal">
      <formula>"×"</formula>
    </cfRule>
  </conditionalFormatting>
  <conditionalFormatting sqref="AE8:AE19">
    <cfRule type="cellIs" dxfId="13611" priority="30675" operator="equal">
      <formula>1</formula>
    </cfRule>
    <cfRule type="cellIs" dxfId="13610" priority="30676" operator="equal">
      <formula>"×"</formula>
    </cfRule>
  </conditionalFormatting>
  <conditionalFormatting sqref="AE8:AE19">
    <cfRule type="cellIs" dxfId="13609" priority="30673" operator="equal">
      <formula>1</formula>
    </cfRule>
    <cfRule type="cellIs" dxfId="13608" priority="30674" operator="equal">
      <formula>"×"</formula>
    </cfRule>
  </conditionalFormatting>
  <conditionalFormatting sqref="AE8:AE19">
    <cfRule type="cellIs" dxfId="13607" priority="30671" operator="equal">
      <formula>1</formula>
    </cfRule>
    <cfRule type="cellIs" dxfId="13606" priority="30672" operator="equal">
      <formula>"×"</formula>
    </cfRule>
  </conditionalFormatting>
  <conditionalFormatting sqref="AE8:AE19">
    <cfRule type="cellIs" dxfId="13605" priority="30669" operator="equal">
      <formula>1</formula>
    </cfRule>
    <cfRule type="cellIs" dxfId="13604" priority="30670" operator="equal">
      <formula>"×"</formula>
    </cfRule>
  </conditionalFormatting>
  <conditionalFormatting sqref="AE8:AE19">
    <cfRule type="cellIs" dxfId="13603" priority="30667" operator="equal">
      <formula>1</formula>
    </cfRule>
    <cfRule type="cellIs" dxfId="13602" priority="30668" operator="equal">
      <formula>"×"</formula>
    </cfRule>
  </conditionalFormatting>
  <conditionalFormatting sqref="AE8:AE19">
    <cfRule type="cellIs" dxfId="13601" priority="30665" operator="equal">
      <formula>1</formula>
    </cfRule>
    <cfRule type="cellIs" dxfId="13600" priority="30666" operator="equal">
      <formula>"×"</formula>
    </cfRule>
  </conditionalFormatting>
  <conditionalFormatting sqref="AE8:AE19">
    <cfRule type="cellIs" dxfId="13599" priority="30663" operator="equal">
      <formula>1</formula>
    </cfRule>
    <cfRule type="cellIs" dxfId="13598" priority="30664" operator="equal">
      <formula>"×"</formula>
    </cfRule>
  </conditionalFormatting>
  <conditionalFormatting sqref="AE8:AE19">
    <cfRule type="cellIs" dxfId="13597" priority="30661" operator="equal">
      <formula>1</formula>
    </cfRule>
    <cfRule type="cellIs" dxfId="13596" priority="30662" operator="equal">
      <formula>"×"</formula>
    </cfRule>
  </conditionalFormatting>
  <conditionalFormatting sqref="AE8:AE19">
    <cfRule type="cellIs" dxfId="13595" priority="30659" operator="equal">
      <formula>1</formula>
    </cfRule>
    <cfRule type="cellIs" dxfId="13594" priority="30660" operator="equal">
      <formula>"×"</formula>
    </cfRule>
  </conditionalFormatting>
  <conditionalFormatting sqref="AE8:AE19">
    <cfRule type="cellIs" dxfId="13593" priority="30655" operator="equal">
      <formula>1</formula>
    </cfRule>
    <cfRule type="cellIs" dxfId="13592" priority="30656" operator="equal">
      <formula>"×"</formula>
    </cfRule>
  </conditionalFormatting>
  <conditionalFormatting sqref="AE8:AE19">
    <cfRule type="cellIs" dxfId="13591" priority="30657" operator="equal">
      <formula>1</formula>
    </cfRule>
    <cfRule type="cellIs" dxfId="13590" priority="30658" operator="equal">
      <formula>"×"</formula>
    </cfRule>
  </conditionalFormatting>
  <conditionalFormatting sqref="AE8:AE19">
    <cfRule type="cellIs" dxfId="13589" priority="30653" operator="equal">
      <formula>1</formula>
    </cfRule>
    <cfRule type="cellIs" dxfId="13588" priority="30654" operator="equal">
      <formula>"×"</formula>
    </cfRule>
  </conditionalFormatting>
  <conditionalFormatting sqref="AE8:AE19">
    <cfRule type="cellIs" dxfId="13587" priority="30651" operator="equal">
      <formula>1</formula>
    </cfRule>
    <cfRule type="cellIs" dxfId="13586" priority="30652" operator="equal">
      <formula>"×"</formula>
    </cfRule>
  </conditionalFormatting>
  <conditionalFormatting sqref="AE8:AE19">
    <cfRule type="cellIs" dxfId="13585" priority="30649" operator="equal">
      <formula>1</formula>
    </cfRule>
    <cfRule type="cellIs" dxfId="13584" priority="30650" operator="equal">
      <formula>"×"</formula>
    </cfRule>
  </conditionalFormatting>
  <conditionalFormatting sqref="AE8:AE19">
    <cfRule type="cellIs" dxfId="13583" priority="30647" operator="equal">
      <formula>1</formula>
    </cfRule>
    <cfRule type="cellIs" dxfId="13582" priority="30648" operator="equal">
      <formula>"×"</formula>
    </cfRule>
  </conditionalFormatting>
  <conditionalFormatting sqref="AE8:AE19">
    <cfRule type="cellIs" dxfId="13581" priority="30645" operator="equal">
      <formula>1</formula>
    </cfRule>
    <cfRule type="cellIs" dxfId="13580" priority="30646" operator="equal">
      <formula>"×"</formula>
    </cfRule>
  </conditionalFormatting>
  <conditionalFormatting sqref="AE8:AE19">
    <cfRule type="cellIs" dxfId="13579" priority="30631" operator="equal">
      <formula>1</formula>
    </cfRule>
    <cfRule type="cellIs" dxfId="13578" priority="30632" operator="equal">
      <formula>"×"</formula>
    </cfRule>
  </conditionalFormatting>
  <conditionalFormatting sqref="AE8:AE19">
    <cfRule type="cellIs" dxfId="13577" priority="30629" operator="equal">
      <formula>1</formula>
    </cfRule>
    <cfRule type="cellIs" dxfId="13576" priority="30630" operator="equal">
      <formula>"×"</formula>
    </cfRule>
  </conditionalFormatting>
  <conditionalFormatting sqref="AE8:AE19">
    <cfRule type="cellIs" dxfId="13575" priority="30643" operator="equal">
      <formula>1</formula>
    </cfRule>
    <cfRule type="cellIs" dxfId="13574" priority="30644" operator="equal">
      <formula>"×"</formula>
    </cfRule>
  </conditionalFormatting>
  <conditionalFormatting sqref="AE8:AE19">
    <cfRule type="cellIs" dxfId="13573" priority="30641" operator="equal">
      <formula>1</formula>
    </cfRule>
    <cfRule type="cellIs" dxfId="13572" priority="30642" operator="equal">
      <formula>"×"</formula>
    </cfRule>
  </conditionalFormatting>
  <conditionalFormatting sqref="AE8:AE19">
    <cfRule type="cellIs" dxfId="13571" priority="30639" operator="equal">
      <formula>1</formula>
    </cfRule>
    <cfRule type="cellIs" dxfId="13570" priority="30640" operator="equal">
      <formula>"×"</formula>
    </cfRule>
  </conditionalFormatting>
  <conditionalFormatting sqref="AE8:AE19">
    <cfRule type="cellIs" dxfId="13569" priority="30637" operator="equal">
      <formula>1</formula>
    </cfRule>
    <cfRule type="cellIs" dxfId="13568" priority="30638" operator="equal">
      <formula>"×"</formula>
    </cfRule>
  </conditionalFormatting>
  <conditionalFormatting sqref="AE8:AE19">
    <cfRule type="cellIs" dxfId="13567" priority="30635" operator="equal">
      <formula>1</formula>
    </cfRule>
    <cfRule type="cellIs" dxfId="13566" priority="30636" operator="equal">
      <formula>"×"</formula>
    </cfRule>
  </conditionalFormatting>
  <conditionalFormatting sqref="AE8:AE19">
    <cfRule type="cellIs" dxfId="13565" priority="30633" operator="equal">
      <formula>1</formula>
    </cfRule>
    <cfRule type="cellIs" dxfId="13564" priority="30634" operator="equal">
      <formula>"×"</formula>
    </cfRule>
  </conditionalFormatting>
  <conditionalFormatting sqref="AE8:AE19">
    <cfRule type="cellIs" dxfId="13563" priority="30627" operator="equal">
      <formula>1</formula>
    </cfRule>
    <cfRule type="cellIs" dxfId="13562" priority="30628" operator="equal">
      <formula>"×"</formula>
    </cfRule>
  </conditionalFormatting>
  <conditionalFormatting sqref="AE8:AE19">
    <cfRule type="cellIs" dxfId="13561" priority="30603" operator="equal">
      <formula>1</formula>
    </cfRule>
    <cfRule type="cellIs" dxfId="13560" priority="30604" operator="equal">
      <formula>"×"</formula>
    </cfRule>
  </conditionalFormatting>
  <conditionalFormatting sqref="AE8:AE19">
    <cfRule type="cellIs" dxfId="13559" priority="30607" operator="equal">
      <formula>1</formula>
    </cfRule>
    <cfRule type="cellIs" dxfId="13558" priority="30608" operator="equal">
      <formula>"×"</formula>
    </cfRule>
  </conditionalFormatting>
  <conditionalFormatting sqref="AE8:AE19">
    <cfRule type="cellIs" dxfId="13557" priority="30605" operator="equal">
      <formula>1</formula>
    </cfRule>
    <cfRule type="cellIs" dxfId="13556" priority="30606" operator="equal">
      <formula>"×"</formula>
    </cfRule>
  </conditionalFormatting>
  <conditionalFormatting sqref="AE8:AE19">
    <cfRule type="cellIs" dxfId="13555" priority="30601" operator="equal">
      <formula>1</formula>
    </cfRule>
    <cfRule type="cellIs" dxfId="13554" priority="30602" operator="equal">
      <formula>"×"</formula>
    </cfRule>
  </conditionalFormatting>
  <conditionalFormatting sqref="AE8:AE19">
    <cfRule type="cellIs" dxfId="13553" priority="30625" operator="equal">
      <formula>1</formula>
    </cfRule>
    <cfRule type="cellIs" dxfId="13552" priority="30626" operator="equal">
      <formula>"×"</formula>
    </cfRule>
  </conditionalFormatting>
  <conditionalFormatting sqref="AE8:AE19">
    <cfRule type="cellIs" dxfId="13551" priority="30623" operator="equal">
      <formula>1</formula>
    </cfRule>
    <cfRule type="cellIs" dxfId="13550" priority="30624" operator="equal">
      <formula>"×"</formula>
    </cfRule>
  </conditionalFormatting>
  <conditionalFormatting sqref="AE8:AE19">
    <cfRule type="cellIs" dxfId="13549" priority="30621" operator="equal">
      <formula>1</formula>
    </cfRule>
    <cfRule type="cellIs" dxfId="13548" priority="30622" operator="equal">
      <formula>"×"</formula>
    </cfRule>
  </conditionalFormatting>
  <conditionalFormatting sqref="AE8:AE19">
    <cfRule type="cellIs" dxfId="13547" priority="30619" operator="equal">
      <formula>1</formula>
    </cfRule>
    <cfRule type="cellIs" dxfId="13546" priority="30620" operator="equal">
      <formula>"×"</formula>
    </cfRule>
  </conditionalFormatting>
  <conditionalFormatting sqref="AE8:AE19">
    <cfRule type="cellIs" dxfId="13545" priority="30617" operator="equal">
      <formula>1</formula>
    </cfRule>
    <cfRule type="cellIs" dxfId="13544" priority="30618" operator="equal">
      <formula>"×"</formula>
    </cfRule>
  </conditionalFormatting>
  <conditionalFormatting sqref="AE8:AE19">
    <cfRule type="cellIs" dxfId="13543" priority="30615" operator="equal">
      <formula>1</formula>
    </cfRule>
    <cfRule type="cellIs" dxfId="13542" priority="30616" operator="equal">
      <formula>"×"</formula>
    </cfRule>
  </conditionalFormatting>
  <conditionalFormatting sqref="AE8:AE19">
    <cfRule type="cellIs" dxfId="13541" priority="30613" operator="equal">
      <formula>1</formula>
    </cfRule>
    <cfRule type="cellIs" dxfId="13540" priority="30614" operator="equal">
      <formula>"×"</formula>
    </cfRule>
  </conditionalFormatting>
  <conditionalFormatting sqref="AE8:AE19">
    <cfRule type="cellIs" dxfId="13539" priority="30611" operator="equal">
      <formula>1</formula>
    </cfRule>
    <cfRule type="cellIs" dxfId="13538" priority="30612" operator="equal">
      <formula>"×"</formula>
    </cfRule>
  </conditionalFormatting>
  <conditionalFormatting sqref="AE8:AE19">
    <cfRule type="cellIs" dxfId="13537" priority="30609" operator="equal">
      <formula>1</formula>
    </cfRule>
    <cfRule type="cellIs" dxfId="13536" priority="30610" operator="equal">
      <formula>"×"</formula>
    </cfRule>
  </conditionalFormatting>
  <conditionalFormatting sqref="AC8:AC19">
    <cfRule type="cellIs" dxfId="13535" priority="30573" operator="equal">
      <formula>1</formula>
    </cfRule>
    <cfRule type="cellIs" dxfId="13534" priority="30574" operator="equal">
      <formula>"×"</formula>
    </cfRule>
  </conditionalFormatting>
  <conditionalFormatting sqref="AD8:AD19">
    <cfRule type="cellIs" dxfId="13533" priority="30571" operator="equal">
      <formula>1</formula>
    </cfRule>
    <cfRule type="cellIs" dxfId="13532" priority="30572" operator="equal">
      <formula>"×"</formula>
    </cfRule>
  </conditionalFormatting>
  <conditionalFormatting sqref="AD8:AD19">
    <cfRule type="cellIs" dxfId="13531" priority="30569" operator="equal">
      <formula>1</formula>
    </cfRule>
    <cfRule type="cellIs" dxfId="13530" priority="30570" operator="equal">
      <formula>"×"</formula>
    </cfRule>
  </conditionalFormatting>
  <conditionalFormatting sqref="AD8:AD19">
    <cfRule type="cellIs" dxfId="13529" priority="30565" operator="equal">
      <formula>1</formula>
    </cfRule>
    <cfRule type="cellIs" dxfId="13528" priority="30566" operator="equal">
      <formula>"×"</formula>
    </cfRule>
  </conditionalFormatting>
  <conditionalFormatting sqref="AD8:AD19">
    <cfRule type="cellIs" dxfId="13527" priority="30567" operator="equal">
      <formula>1</formula>
    </cfRule>
    <cfRule type="cellIs" dxfId="13526" priority="30568" operator="equal">
      <formula>"×"</formula>
    </cfRule>
  </conditionalFormatting>
  <conditionalFormatting sqref="AC8:AC19">
    <cfRule type="cellIs" dxfId="13525" priority="30599" operator="equal">
      <formula>1</formula>
    </cfRule>
    <cfRule type="cellIs" dxfId="13524" priority="30600" operator="equal">
      <formula>"×"</formula>
    </cfRule>
  </conditionalFormatting>
  <conditionalFormatting sqref="AD8:AD19">
    <cfRule type="cellIs" dxfId="13523" priority="30597" operator="equal">
      <formula>1</formula>
    </cfRule>
    <cfRule type="cellIs" dxfId="13522" priority="30598" operator="equal">
      <formula>"×"</formula>
    </cfRule>
  </conditionalFormatting>
  <conditionalFormatting sqref="AD8:AD19">
    <cfRule type="cellIs" dxfId="13521" priority="30595" operator="equal">
      <formula>1</formula>
    </cfRule>
    <cfRule type="cellIs" dxfId="13520" priority="30596" operator="equal">
      <formula>"×"</formula>
    </cfRule>
  </conditionalFormatting>
  <conditionalFormatting sqref="AD8:AD19">
    <cfRule type="cellIs" dxfId="13519" priority="30593" operator="equal">
      <formula>1</formula>
    </cfRule>
    <cfRule type="cellIs" dxfId="13518" priority="30594" operator="equal">
      <formula>"×"</formula>
    </cfRule>
  </conditionalFormatting>
  <conditionalFormatting sqref="AD8:AD19">
    <cfRule type="cellIs" dxfId="13517" priority="30591" operator="equal">
      <formula>1</formula>
    </cfRule>
    <cfRule type="cellIs" dxfId="13516" priority="30592" operator="equal">
      <formula>"×"</formula>
    </cfRule>
  </conditionalFormatting>
  <conditionalFormatting sqref="AD8:AD19">
    <cfRule type="cellIs" dxfId="13515" priority="30589" operator="equal">
      <formula>1</formula>
    </cfRule>
    <cfRule type="cellIs" dxfId="13514" priority="30590" operator="equal">
      <formula>"×"</formula>
    </cfRule>
  </conditionalFormatting>
  <conditionalFormatting sqref="AD8:AD19">
    <cfRule type="cellIs" dxfId="13513" priority="30587" operator="equal">
      <formula>1</formula>
    </cfRule>
    <cfRule type="cellIs" dxfId="13512" priority="30588" operator="equal">
      <formula>"×"</formula>
    </cfRule>
  </conditionalFormatting>
  <conditionalFormatting sqref="AD8:AD19">
    <cfRule type="cellIs" dxfId="13511" priority="30585" operator="equal">
      <formula>1</formula>
    </cfRule>
    <cfRule type="cellIs" dxfId="13510" priority="30586" operator="equal">
      <formula>"×"</formula>
    </cfRule>
  </conditionalFormatting>
  <conditionalFormatting sqref="AD8:AD19">
    <cfRule type="cellIs" dxfId="13509" priority="30583" operator="equal">
      <formula>1</formula>
    </cfRule>
    <cfRule type="cellIs" dxfId="13508" priority="30584" operator="equal">
      <formula>"×"</formula>
    </cfRule>
  </conditionalFormatting>
  <conditionalFormatting sqref="AD8:AD19">
    <cfRule type="cellIs" dxfId="13507" priority="30581" operator="equal">
      <formula>1</formula>
    </cfRule>
    <cfRule type="cellIs" dxfId="13506" priority="30582" operator="equal">
      <formula>"×"</formula>
    </cfRule>
  </conditionalFormatting>
  <conditionalFormatting sqref="AD8:AD19">
    <cfRule type="cellIs" dxfId="13505" priority="30579" operator="equal">
      <formula>1</formula>
    </cfRule>
    <cfRule type="cellIs" dxfId="13504" priority="30580" operator="equal">
      <formula>"×"</formula>
    </cfRule>
  </conditionalFormatting>
  <conditionalFormatting sqref="AD8:AD19">
    <cfRule type="cellIs" dxfId="13503" priority="30577" operator="equal">
      <formula>1</formula>
    </cfRule>
    <cfRule type="cellIs" dxfId="13502" priority="30578" operator="equal">
      <formula>"×"</formula>
    </cfRule>
  </conditionalFormatting>
  <conditionalFormatting sqref="AD8:AD19">
    <cfRule type="cellIs" dxfId="13501" priority="30575" operator="equal">
      <formula>1</formula>
    </cfRule>
    <cfRule type="cellIs" dxfId="13500" priority="30576" operator="equal">
      <formula>"×"</formula>
    </cfRule>
  </conditionalFormatting>
  <conditionalFormatting sqref="AC8:AD19">
    <cfRule type="cellIs" dxfId="13499" priority="30563" operator="equal">
      <formula>1</formula>
    </cfRule>
    <cfRule type="cellIs" dxfId="13498" priority="30564" operator="equal">
      <formula>"×"</formula>
    </cfRule>
  </conditionalFormatting>
  <conditionalFormatting sqref="Z14:Z21 AB8:AB19 AD8:AD19">
    <cfRule type="cellIs" dxfId="13497" priority="30561" operator="equal">
      <formula>1</formula>
    </cfRule>
    <cfRule type="cellIs" dxfId="13496" priority="30562" operator="equal">
      <formula>"×"</formula>
    </cfRule>
  </conditionalFormatting>
  <conditionalFormatting sqref="AD14:AD19">
    <cfRule type="cellIs" dxfId="13495" priority="26829" operator="equal">
      <formula>1</formula>
    </cfRule>
    <cfRule type="cellIs" dxfId="13494" priority="26830" operator="equal">
      <formula>"×"</formula>
    </cfRule>
  </conditionalFormatting>
  <conditionalFormatting sqref="AD14:AD19">
    <cfRule type="cellIs" dxfId="13493" priority="26827" operator="equal">
      <formula>1</formula>
    </cfRule>
    <cfRule type="cellIs" dxfId="13492" priority="26828" operator="equal">
      <formula>"×"</formula>
    </cfRule>
  </conditionalFormatting>
  <conditionalFormatting sqref="AH15">
    <cfRule type="cellIs" dxfId="13491" priority="5861" operator="equal">
      <formula>1</formula>
    </cfRule>
    <cfRule type="cellIs" dxfId="13490" priority="5862" operator="equal">
      <formula>"×"</formula>
    </cfRule>
  </conditionalFormatting>
  <conditionalFormatting sqref="AH15">
    <cfRule type="cellIs" dxfId="13489" priority="5859" operator="equal">
      <formula>1</formula>
    </cfRule>
    <cfRule type="cellIs" dxfId="13488" priority="5860" operator="equal">
      <formula>"×"</formula>
    </cfRule>
  </conditionalFormatting>
  <conditionalFormatting sqref="AH14:AI14">
    <cfRule type="cellIs" dxfId="13487" priority="5905" operator="equal">
      <formula>1</formula>
    </cfRule>
    <cfRule type="cellIs" dxfId="13486" priority="5906" operator="equal">
      <formula>"×"</formula>
    </cfRule>
  </conditionalFormatting>
  <conditionalFormatting sqref="AE14:AE19">
    <cfRule type="cellIs" dxfId="13485" priority="26865" operator="equal">
      <formula>1</formula>
    </cfRule>
    <cfRule type="cellIs" dxfId="13484" priority="26866" operator="equal">
      <formula>"×"</formula>
    </cfRule>
  </conditionalFormatting>
  <conditionalFormatting sqref="AC14:AC19">
    <cfRule type="cellIs" dxfId="13483" priority="26867" operator="equal">
      <formula>1</formula>
    </cfRule>
    <cfRule type="cellIs" dxfId="13482" priority="26868" operator="equal">
      <formula>"×"</formula>
    </cfRule>
  </conditionalFormatting>
  <conditionalFormatting sqref="AI19">
    <cfRule type="cellIs" dxfId="13481" priority="30547" operator="equal">
      <formula>1</formula>
    </cfRule>
    <cfRule type="cellIs" dxfId="13480" priority="30548" operator="equal">
      <formula>"×"</formula>
    </cfRule>
  </conditionalFormatting>
  <conditionalFormatting sqref="AG19:AI19">
    <cfRule type="cellIs" dxfId="13479" priority="30549" operator="equal">
      <formula>1</formula>
    </cfRule>
    <cfRule type="cellIs" dxfId="13478" priority="30550" operator="equal">
      <formula>"×"</formula>
    </cfRule>
  </conditionalFormatting>
  <conditionalFormatting sqref="AG19:AI19">
    <cfRule type="cellIs" dxfId="13477" priority="30545" operator="equal">
      <formula>1</formula>
    </cfRule>
    <cfRule type="cellIs" dxfId="13476" priority="30546" operator="equal">
      <formula>"×"</formula>
    </cfRule>
  </conditionalFormatting>
  <conditionalFormatting sqref="AH14:AI18 AG17:AI19">
    <cfRule type="cellIs" dxfId="13475" priority="30543" operator="equal">
      <formula>1</formula>
    </cfRule>
    <cfRule type="cellIs" dxfId="13474" priority="30544" operator="equal">
      <formula>"×"</formula>
    </cfRule>
  </conditionalFormatting>
  <conditionalFormatting sqref="AI14:AI19">
    <cfRule type="cellIs" dxfId="13473" priority="30541" operator="equal">
      <formula>1</formula>
    </cfRule>
    <cfRule type="cellIs" dxfId="13472" priority="30542" operator="equal">
      <formula>"×"</formula>
    </cfRule>
  </conditionalFormatting>
  <conditionalFormatting sqref="AH14:AI18 AG17:AI19">
    <cfRule type="cellIs" dxfId="13471" priority="30539" operator="equal">
      <formula>1</formula>
    </cfRule>
    <cfRule type="cellIs" dxfId="13470" priority="30540" operator="equal">
      <formula>"×"</formula>
    </cfRule>
  </conditionalFormatting>
  <conditionalFormatting sqref="AG14:AG19">
    <cfRule type="cellIs" dxfId="13469" priority="26849" operator="equal">
      <formula>1</formula>
    </cfRule>
    <cfRule type="cellIs" dxfId="13468" priority="26850" operator="equal">
      <formula>"×"</formula>
    </cfRule>
  </conditionalFormatting>
  <conditionalFormatting sqref="AE14:AE19">
    <cfRule type="cellIs" dxfId="13467" priority="26847" operator="equal">
      <formula>1</formula>
    </cfRule>
    <cfRule type="cellIs" dxfId="13466" priority="26848" operator="equal">
      <formula>"×"</formula>
    </cfRule>
  </conditionalFormatting>
  <conditionalFormatting sqref="AH15">
    <cfRule type="cellIs" dxfId="13465" priority="5881" operator="equal">
      <formula>1</formula>
    </cfRule>
    <cfRule type="cellIs" dxfId="13464" priority="5882" operator="equal">
      <formula>"×"</formula>
    </cfRule>
  </conditionalFormatting>
  <conditionalFormatting sqref="AH15">
    <cfRule type="cellIs" dxfId="13463" priority="5879" operator="equal">
      <formula>1</formula>
    </cfRule>
    <cfRule type="cellIs" dxfId="13462" priority="5880" operator="equal">
      <formula>"×"</formula>
    </cfRule>
  </conditionalFormatting>
  <conditionalFormatting sqref="AH15">
    <cfRule type="cellIs" dxfId="13461" priority="5877" operator="equal">
      <formula>1</formula>
    </cfRule>
    <cfRule type="cellIs" dxfId="13460" priority="5878" operator="equal">
      <formula>"×"</formula>
    </cfRule>
  </conditionalFormatting>
  <conditionalFormatting sqref="AD14:AD19">
    <cfRule type="cellIs" dxfId="13459" priority="26839" operator="equal">
      <formula>1</formula>
    </cfRule>
    <cfRule type="cellIs" dxfId="13458" priority="26840" operator="equal">
      <formula>"×"</formula>
    </cfRule>
  </conditionalFormatting>
  <conditionalFormatting sqref="AD14:AD19">
    <cfRule type="cellIs" dxfId="13457" priority="26837" operator="equal">
      <formula>1</formula>
    </cfRule>
    <cfRule type="cellIs" dxfId="13456" priority="26838" operator="equal">
      <formula>"×"</formula>
    </cfRule>
  </conditionalFormatting>
  <conditionalFormatting sqref="AE14:AE19">
    <cfRule type="cellIs" dxfId="13455" priority="26835" operator="equal">
      <formula>1</formula>
    </cfRule>
    <cfRule type="cellIs" dxfId="13454" priority="26836" operator="equal">
      <formula>"×"</formula>
    </cfRule>
  </conditionalFormatting>
  <conditionalFormatting sqref="AH15">
    <cfRule type="cellIs" dxfId="13453" priority="5869" operator="equal">
      <formula>1</formula>
    </cfRule>
    <cfRule type="cellIs" dxfId="13452" priority="5870" operator="equal">
      <formula>"×"</formula>
    </cfRule>
  </conditionalFormatting>
  <conditionalFormatting sqref="AH15">
    <cfRule type="cellIs" dxfId="13451" priority="5867" operator="equal">
      <formula>1</formula>
    </cfRule>
    <cfRule type="cellIs" dxfId="13450" priority="5868" operator="equal">
      <formula>"×"</formula>
    </cfRule>
  </conditionalFormatting>
  <conditionalFormatting sqref="AF20 AF23:AI25">
    <cfRule type="cellIs" dxfId="13449" priority="2169" operator="equal">
      <formula>1</formula>
    </cfRule>
    <cfRule type="cellIs" dxfId="13448" priority="2170" operator="equal">
      <formula>"×"</formula>
    </cfRule>
  </conditionalFormatting>
  <conditionalFormatting sqref="AF14:AF19">
    <cfRule type="cellIs" dxfId="13447" priority="26819" operator="equal">
      <formula>1</formula>
    </cfRule>
    <cfRule type="cellIs" dxfId="13446" priority="26820" operator="equal">
      <formula>"×"</formula>
    </cfRule>
  </conditionalFormatting>
  <conditionalFormatting sqref="AE14:AE19">
    <cfRule type="cellIs" dxfId="13445" priority="26817" operator="equal">
      <formula>1</formula>
    </cfRule>
    <cfRule type="cellIs" dxfId="13444" priority="26818" operator="equal">
      <formula>"×"</formula>
    </cfRule>
  </conditionalFormatting>
  <conditionalFormatting sqref="AD14:AD19">
    <cfRule type="cellIs" dxfId="13443" priority="26815" operator="equal">
      <formula>1</formula>
    </cfRule>
    <cfRule type="cellIs" dxfId="13442" priority="26816" operator="equal">
      <formula>"×"</formula>
    </cfRule>
  </conditionalFormatting>
  <conditionalFormatting sqref="AE14:AE19">
    <cfRule type="cellIs" dxfId="13441" priority="26813" operator="equal">
      <formula>1</formula>
    </cfRule>
    <cfRule type="cellIs" dxfId="13440" priority="26814" operator="equal">
      <formula>"×"</formula>
    </cfRule>
  </conditionalFormatting>
  <conditionalFormatting sqref="AD14:AD19">
    <cfRule type="cellIs" dxfId="13439" priority="26811" operator="equal">
      <formula>1</formula>
    </cfRule>
    <cfRule type="cellIs" dxfId="13438" priority="26812" operator="equal">
      <formula>"×"</formula>
    </cfRule>
  </conditionalFormatting>
  <conditionalFormatting sqref="AE14:AG19">
    <cfRule type="cellIs" dxfId="13437" priority="26745" operator="equal">
      <formula>1</formula>
    </cfRule>
    <cfRule type="cellIs" dxfId="13436" priority="26746" operator="equal">
      <formula>"×"</formula>
    </cfRule>
  </conditionalFormatting>
  <conditionalFormatting sqref="AE14:AG19">
    <cfRule type="cellIs" dxfId="13435" priority="26743" operator="equal">
      <formula>1</formula>
    </cfRule>
    <cfRule type="cellIs" dxfId="13434" priority="26744" operator="equal">
      <formula>"×"</formula>
    </cfRule>
  </conditionalFormatting>
  <conditionalFormatting sqref="AE14:AG19">
    <cfRule type="cellIs" dxfId="13433" priority="26737" operator="equal">
      <formula>1</formula>
    </cfRule>
    <cfRule type="cellIs" dxfId="13432" priority="26738" operator="equal">
      <formula>"×"</formula>
    </cfRule>
  </conditionalFormatting>
  <conditionalFormatting sqref="AE14:AG19">
    <cfRule type="cellIs" dxfId="13431" priority="26735" operator="equal">
      <formula>1</formula>
    </cfRule>
    <cfRule type="cellIs" dxfId="13430" priority="26736" operator="equal">
      <formula>"×"</formula>
    </cfRule>
  </conditionalFormatting>
  <conditionalFormatting sqref="AC19">
    <cfRule type="cellIs" dxfId="13429" priority="26685" operator="equal">
      <formula>1</formula>
    </cfRule>
    <cfRule type="cellIs" dxfId="13428" priority="26686" operator="equal">
      <formula>"×"</formula>
    </cfRule>
  </conditionalFormatting>
  <conditionalFormatting sqref="AE19">
    <cfRule type="cellIs" dxfId="13427" priority="26683" operator="equal">
      <formula>1</formula>
    </cfRule>
    <cfRule type="cellIs" dxfId="13426" priority="26684" operator="equal">
      <formula>"×"</formula>
    </cfRule>
  </conditionalFormatting>
  <conditionalFormatting sqref="AD19">
    <cfRule type="cellIs" dxfId="13425" priority="26681" operator="equal">
      <formula>1</formula>
    </cfRule>
    <cfRule type="cellIs" dxfId="13424" priority="26682" operator="equal">
      <formula>"×"</formula>
    </cfRule>
  </conditionalFormatting>
  <conditionalFormatting sqref="AE19">
    <cfRule type="cellIs" dxfId="13423" priority="26679" operator="equal">
      <formula>1</formula>
    </cfRule>
    <cfRule type="cellIs" dxfId="13422" priority="26680" operator="equal">
      <formula>"×"</formula>
    </cfRule>
  </conditionalFormatting>
  <conditionalFormatting sqref="AD19">
    <cfRule type="cellIs" dxfId="13421" priority="26677" operator="equal">
      <formula>1</formula>
    </cfRule>
    <cfRule type="cellIs" dxfId="13420" priority="26678" operator="equal">
      <formula>"×"</formula>
    </cfRule>
  </conditionalFormatting>
  <conditionalFormatting sqref="AD19">
    <cfRule type="cellIs" dxfId="13419" priority="26675" operator="equal">
      <formula>1</formula>
    </cfRule>
    <cfRule type="cellIs" dxfId="13418" priority="26676" operator="equal">
      <formula>"×"</formula>
    </cfRule>
  </conditionalFormatting>
  <conditionalFormatting sqref="AD19">
    <cfRule type="cellIs" dxfId="13417" priority="26673" operator="equal">
      <formula>1</formula>
    </cfRule>
    <cfRule type="cellIs" dxfId="13416" priority="26674" operator="equal">
      <formula>"×"</formula>
    </cfRule>
  </conditionalFormatting>
  <conditionalFormatting sqref="AE19">
    <cfRule type="cellIs" dxfId="13415" priority="26671" operator="equal">
      <formula>1</formula>
    </cfRule>
    <cfRule type="cellIs" dxfId="13414" priority="26672" operator="equal">
      <formula>"×"</formula>
    </cfRule>
  </conditionalFormatting>
  <conditionalFormatting sqref="AD19">
    <cfRule type="cellIs" dxfId="13413" priority="26669" operator="equal">
      <formula>1</formula>
    </cfRule>
    <cfRule type="cellIs" dxfId="13412" priority="26670" operator="equal">
      <formula>"×"</formula>
    </cfRule>
  </conditionalFormatting>
  <conditionalFormatting sqref="AE19">
    <cfRule type="cellIs" dxfId="13411" priority="26667" operator="equal">
      <formula>1</formula>
    </cfRule>
    <cfRule type="cellIs" dxfId="13410" priority="26668" operator="equal">
      <formula>"×"</formula>
    </cfRule>
  </conditionalFormatting>
  <conditionalFormatting sqref="AF13:AI19">
    <cfRule type="cellIs" dxfId="13409" priority="30353" operator="equal">
      <formula>1</formula>
    </cfRule>
    <cfRule type="cellIs" dxfId="13408" priority="30354" operator="equal">
      <formula>"×"</formula>
    </cfRule>
  </conditionalFormatting>
  <conditionalFormatting sqref="AD19">
    <cfRule type="cellIs" dxfId="13407" priority="26639" operator="equal">
      <formula>1</formula>
    </cfRule>
    <cfRule type="cellIs" dxfId="13406" priority="26640" operator="equal">
      <formula>"×"</formula>
    </cfRule>
  </conditionalFormatting>
  <conditionalFormatting sqref="AD19">
    <cfRule type="cellIs" dxfId="13405" priority="26637" operator="equal">
      <formula>1</formula>
    </cfRule>
    <cfRule type="cellIs" dxfId="13404" priority="26638" operator="equal">
      <formula>"×"</formula>
    </cfRule>
  </conditionalFormatting>
  <conditionalFormatting sqref="AC19:AE19">
    <cfRule type="cellIs" dxfId="13403" priority="26633" operator="equal">
      <formula>1</formula>
    </cfRule>
    <cfRule type="cellIs" dxfId="13402" priority="26634" operator="equal">
      <formula>"×"</formula>
    </cfRule>
  </conditionalFormatting>
  <conditionalFormatting sqref="AD19">
    <cfRule type="cellIs" dxfId="13401" priority="26635" operator="equal">
      <formula>1</formula>
    </cfRule>
    <cfRule type="cellIs" dxfId="13400" priority="26636" operator="equal">
      <formula>"×"</formula>
    </cfRule>
  </conditionalFormatting>
  <conditionalFormatting sqref="AD19">
    <cfRule type="cellIs" dxfId="13399" priority="26663" operator="equal">
      <formula>1</formula>
    </cfRule>
    <cfRule type="cellIs" dxfId="13398" priority="26664" operator="equal">
      <formula>"×"</formula>
    </cfRule>
  </conditionalFormatting>
  <conditionalFormatting sqref="AD19">
    <cfRule type="cellIs" dxfId="13397" priority="26661" operator="equal">
      <formula>1</formula>
    </cfRule>
    <cfRule type="cellIs" dxfId="13396" priority="26662" operator="equal">
      <formula>"×"</formula>
    </cfRule>
  </conditionalFormatting>
  <conditionalFormatting sqref="AE19">
    <cfRule type="cellIs" dxfId="13395" priority="26659" operator="equal">
      <formula>1</formula>
    </cfRule>
    <cfRule type="cellIs" dxfId="13394" priority="26660" operator="equal">
      <formula>"×"</formula>
    </cfRule>
  </conditionalFormatting>
  <conditionalFormatting sqref="AD19">
    <cfRule type="cellIs" dxfId="13393" priority="26657" operator="equal">
      <formula>1</formula>
    </cfRule>
    <cfRule type="cellIs" dxfId="13392" priority="26658" operator="equal">
      <formula>"×"</formula>
    </cfRule>
  </conditionalFormatting>
  <conditionalFormatting sqref="AE19">
    <cfRule type="cellIs" dxfId="13391" priority="26655" operator="equal">
      <formula>1</formula>
    </cfRule>
    <cfRule type="cellIs" dxfId="13390" priority="26656" operator="equal">
      <formula>"×"</formula>
    </cfRule>
  </conditionalFormatting>
  <conditionalFormatting sqref="AD19">
    <cfRule type="cellIs" dxfId="13389" priority="26653" operator="equal">
      <formula>1</formula>
    </cfRule>
    <cfRule type="cellIs" dxfId="13388" priority="26654" operator="equal">
      <formula>"×"</formula>
    </cfRule>
  </conditionalFormatting>
  <conditionalFormatting sqref="AD19">
    <cfRule type="cellIs" dxfId="13387" priority="26651" operator="equal">
      <formula>1</formula>
    </cfRule>
    <cfRule type="cellIs" dxfId="13386" priority="26652" operator="equal">
      <formula>"×"</formula>
    </cfRule>
  </conditionalFormatting>
  <conditionalFormatting sqref="AD19">
    <cfRule type="cellIs" dxfId="13385" priority="26649" operator="equal">
      <formula>1</formula>
    </cfRule>
    <cfRule type="cellIs" dxfId="13384" priority="26650" operator="equal">
      <formula>"×"</formula>
    </cfRule>
  </conditionalFormatting>
  <conditionalFormatting sqref="AC19">
    <cfRule type="cellIs" dxfId="13383" priority="26647" operator="equal">
      <formula>1</formula>
    </cfRule>
    <cfRule type="cellIs" dxfId="13382" priority="26648" operator="equal">
      <formula>"×"</formula>
    </cfRule>
  </conditionalFormatting>
  <conditionalFormatting sqref="AE19">
    <cfRule type="cellIs" dxfId="13381" priority="26645" operator="equal">
      <formula>1</formula>
    </cfRule>
    <cfRule type="cellIs" dxfId="13380" priority="26646" operator="equal">
      <formula>"×"</formula>
    </cfRule>
  </conditionalFormatting>
  <conditionalFormatting sqref="AD19">
    <cfRule type="cellIs" dxfId="13379" priority="26643" operator="equal">
      <formula>1</formula>
    </cfRule>
    <cfRule type="cellIs" dxfId="13378" priority="26644" operator="equal">
      <formula>"×"</formula>
    </cfRule>
  </conditionalFormatting>
  <conditionalFormatting sqref="AE19">
    <cfRule type="cellIs" dxfId="13377" priority="26641" operator="equal">
      <formula>1</formula>
    </cfRule>
    <cfRule type="cellIs" dxfId="13376" priority="26642" operator="equal">
      <formula>"×"</formula>
    </cfRule>
  </conditionalFormatting>
  <conditionalFormatting sqref="AE19">
    <cfRule type="cellIs" dxfId="13375" priority="26607" operator="equal">
      <formula>1</formula>
    </cfRule>
    <cfRule type="cellIs" dxfId="13374" priority="26608" operator="equal">
      <formula>"×"</formula>
    </cfRule>
  </conditionalFormatting>
  <conditionalFormatting sqref="AE19">
    <cfRule type="cellIs" dxfId="13373" priority="26605" operator="equal">
      <formula>1</formula>
    </cfRule>
    <cfRule type="cellIs" dxfId="13372" priority="26606" operator="equal">
      <formula>"×"</formula>
    </cfRule>
  </conditionalFormatting>
  <conditionalFormatting sqref="AE19">
    <cfRule type="cellIs" dxfId="13371" priority="26601" operator="equal">
      <formula>1</formula>
    </cfRule>
    <cfRule type="cellIs" dxfId="13370" priority="26602" operator="equal">
      <formula>"×"</formula>
    </cfRule>
  </conditionalFormatting>
  <conditionalFormatting sqref="AE19">
    <cfRule type="cellIs" dxfId="13369" priority="26603" operator="equal">
      <formula>1</formula>
    </cfRule>
    <cfRule type="cellIs" dxfId="13368" priority="26604" operator="equal">
      <formula>"×"</formula>
    </cfRule>
  </conditionalFormatting>
  <conditionalFormatting sqref="Z19:Z21 AB19 AD19">
    <cfRule type="cellIs" dxfId="13367" priority="26631" operator="equal">
      <formula>1</formula>
    </cfRule>
    <cfRule type="cellIs" dxfId="13366" priority="26632" operator="equal">
      <formula>"×"</formula>
    </cfRule>
  </conditionalFormatting>
  <conditionalFormatting sqref="AE19">
    <cfRule type="cellIs" dxfId="13365" priority="26629" operator="equal">
      <formula>1</formula>
    </cfRule>
    <cfRule type="cellIs" dxfId="13364" priority="26630" operator="equal">
      <formula>"×"</formula>
    </cfRule>
  </conditionalFormatting>
  <conditionalFormatting sqref="AE19">
    <cfRule type="cellIs" dxfId="13363" priority="26627" operator="equal">
      <formula>1</formula>
    </cfRule>
    <cfRule type="cellIs" dxfId="13362" priority="26628" operator="equal">
      <formula>"×"</formula>
    </cfRule>
  </conditionalFormatting>
  <conditionalFormatting sqref="AE19">
    <cfRule type="cellIs" dxfId="13361" priority="26625" operator="equal">
      <formula>1</formula>
    </cfRule>
    <cfRule type="cellIs" dxfId="13360" priority="26626" operator="equal">
      <formula>"×"</formula>
    </cfRule>
  </conditionalFormatting>
  <conditionalFormatting sqref="AE19">
    <cfRule type="cellIs" dxfId="13359" priority="26623" operator="equal">
      <formula>1</formula>
    </cfRule>
    <cfRule type="cellIs" dxfId="13358" priority="26624" operator="equal">
      <formula>"×"</formula>
    </cfRule>
  </conditionalFormatting>
  <conditionalFormatting sqref="AE19">
    <cfRule type="cellIs" dxfId="13357" priority="26621" operator="equal">
      <formula>1</formula>
    </cfRule>
    <cfRule type="cellIs" dxfId="13356" priority="26622" operator="equal">
      <formula>"×"</formula>
    </cfRule>
  </conditionalFormatting>
  <conditionalFormatting sqref="AE19">
    <cfRule type="cellIs" dxfId="13355" priority="26619" operator="equal">
      <formula>1</formula>
    </cfRule>
    <cfRule type="cellIs" dxfId="13354" priority="26620" operator="equal">
      <formula>"×"</formula>
    </cfRule>
  </conditionalFormatting>
  <conditionalFormatting sqref="AE19">
    <cfRule type="cellIs" dxfId="13353" priority="26617" operator="equal">
      <formula>1</formula>
    </cfRule>
    <cfRule type="cellIs" dxfId="13352" priority="26618" operator="equal">
      <formula>"×"</formula>
    </cfRule>
  </conditionalFormatting>
  <conditionalFormatting sqref="AE19">
    <cfRule type="cellIs" dxfId="13351" priority="26615" operator="equal">
      <formula>1</formula>
    </cfRule>
    <cfRule type="cellIs" dxfId="13350" priority="26616" operator="equal">
      <formula>"×"</formula>
    </cfRule>
  </conditionalFormatting>
  <conditionalFormatting sqref="AE19">
    <cfRule type="cellIs" dxfId="13349" priority="26613" operator="equal">
      <formula>1</formula>
    </cfRule>
    <cfRule type="cellIs" dxfId="13348" priority="26614" operator="equal">
      <formula>"×"</formula>
    </cfRule>
  </conditionalFormatting>
  <conditionalFormatting sqref="AE19">
    <cfRule type="cellIs" dxfId="13347" priority="26611" operator="equal">
      <formula>1</formula>
    </cfRule>
    <cfRule type="cellIs" dxfId="13346" priority="26612" operator="equal">
      <formula>"×"</formula>
    </cfRule>
  </conditionalFormatting>
  <conditionalFormatting sqref="AE19">
    <cfRule type="cellIs" dxfId="13345" priority="26609" operator="equal">
      <formula>1</formula>
    </cfRule>
    <cfRule type="cellIs" dxfId="13344" priority="26610" operator="equal">
      <formula>"×"</formula>
    </cfRule>
  </conditionalFormatting>
  <conditionalFormatting sqref="AE19">
    <cfRule type="cellIs" dxfId="13343" priority="26599" operator="equal">
      <formula>1</formula>
    </cfRule>
    <cfRule type="cellIs" dxfId="13342" priority="26600" operator="equal">
      <formula>"×"</formula>
    </cfRule>
  </conditionalFormatting>
  <conditionalFormatting sqref="AG19:AI19">
    <cfRule type="cellIs" dxfId="13341" priority="26545" operator="equal">
      <formula>1</formula>
    </cfRule>
    <cfRule type="cellIs" dxfId="13340" priority="26546" operator="equal">
      <formula>"×"</formula>
    </cfRule>
  </conditionalFormatting>
  <conditionalFormatting sqref="AH14:AI18 AG17:AI19">
    <cfRule type="cellIs" dxfId="13339" priority="26543" operator="equal">
      <formula>1</formula>
    </cfRule>
    <cfRule type="cellIs" dxfId="13338" priority="26544" operator="equal">
      <formula>"×"</formula>
    </cfRule>
  </conditionalFormatting>
  <conditionalFormatting sqref="AF23">
    <cfRule type="cellIs" dxfId="13337" priority="1911" operator="equal">
      <formula>1</formula>
    </cfRule>
    <cfRule type="cellIs" dxfId="13336" priority="1912" operator="equal">
      <formula>"×"</formula>
    </cfRule>
  </conditionalFormatting>
  <conditionalFormatting sqref="Z21">
    <cfRule type="cellIs" dxfId="13335" priority="26559" operator="equal">
      <formula>1</formula>
    </cfRule>
    <cfRule type="cellIs" dxfId="13334" priority="26560" operator="equal">
      <formula>"×"</formula>
    </cfRule>
  </conditionalFormatting>
  <conditionalFormatting sqref="AH22:AI22">
    <cfRule type="cellIs" dxfId="13333" priority="1901" operator="equal">
      <formula>1</formula>
    </cfRule>
    <cfRule type="cellIs" dxfId="13332" priority="1902" operator="equal">
      <formula>"×"</formula>
    </cfRule>
  </conditionalFormatting>
  <conditionalFormatting sqref="AI22">
    <cfRule type="cellIs" dxfId="13331" priority="1899" operator="equal">
      <formula>1</formula>
    </cfRule>
    <cfRule type="cellIs" dxfId="13330" priority="1900" operator="equal">
      <formula>"×"</formula>
    </cfRule>
  </conditionalFormatting>
  <conditionalFormatting sqref="AH22:AI22">
    <cfRule type="cellIs" dxfId="13329" priority="1897" operator="equal">
      <formula>1</formula>
    </cfRule>
    <cfRule type="cellIs" dxfId="13328" priority="1898" operator="equal">
      <formula>"×"</formula>
    </cfRule>
  </conditionalFormatting>
  <conditionalFormatting sqref="AF20:AI20 AH21:AI24 AF23:AG24">
    <cfRule type="cellIs" dxfId="13327" priority="1895" operator="equal">
      <formula>1</formula>
    </cfRule>
    <cfRule type="cellIs" dxfId="13326" priority="1896" operator="equal">
      <formula>"×"</formula>
    </cfRule>
  </conditionalFormatting>
  <conditionalFormatting sqref="AE14 AF12:AI12">
    <cfRule type="cellIs" dxfId="13325" priority="5459" operator="equal">
      <formula>1</formula>
    </cfRule>
    <cfRule type="cellIs" dxfId="13324" priority="5460" operator="equal">
      <formula>"×"</formula>
    </cfRule>
  </conditionalFormatting>
  <conditionalFormatting sqref="AI12">
    <cfRule type="cellIs" dxfId="13323" priority="5457" operator="equal">
      <formula>1</formula>
    </cfRule>
    <cfRule type="cellIs" dxfId="13322" priority="5458" operator="equal">
      <formula>"×"</formula>
    </cfRule>
  </conditionalFormatting>
  <conditionalFormatting sqref="AD8">
    <cfRule type="cellIs" dxfId="13321" priority="5443" operator="equal">
      <formula>1</formula>
    </cfRule>
    <cfRule type="cellIs" dxfId="13320" priority="5444" operator="equal">
      <formula>"×"</formula>
    </cfRule>
  </conditionalFormatting>
  <conditionalFormatting sqref="AC8">
    <cfRule type="cellIs" dxfId="13319" priority="5441" operator="equal">
      <formula>1</formula>
    </cfRule>
    <cfRule type="cellIs" dxfId="13318" priority="5442" operator="equal">
      <formula>"×"</formula>
    </cfRule>
  </conditionalFormatting>
  <conditionalFormatting sqref="AD8">
    <cfRule type="cellIs" dxfId="13317" priority="5451" operator="equal">
      <formula>1</formula>
    </cfRule>
    <cfRule type="cellIs" dxfId="13316" priority="5452" operator="equal">
      <formula>"×"</formula>
    </cfRule>
  </conditionalFormatting>
  <conditionalFormatting sqref="AE8">
    <cfRule type="cellIs" dxfId="13315" priority="5449" operator="equal">
      <formula>1</formula>
    </cfRule>
    <cfRule type="cellIs" dxfId="13314" priority="5450" operator="equal">
      <formula>"×"</formula>
    </cfRule>
  </conditionalFormatting>
  <conditionalFormatting sqref="AD8">
    <cfRule type="cellIs" dxfId="13313" priority="5447" operator="equal">
      <formula>1</formula>
    </cfRule>
    <cfRule type="cellIs" dxfId="13312" priority="5448" operator="equal">
      <formula>"×"</formula>
    </cfRule>
  </conditionalFormatting>
  <conditionalFormatting sqref="AD8">
    <cfRule type="cellIs" dxfId="13311" priority="5445" operator="equal">
      <formula>1</formula>
    </cfRule>
    <cfRule type="cellIs" dxfId="13310" priority="5446" operator="equal">
      <formula>"×"</formula>
    </cfRule>
  </conditionalFormatting>
  <conditionalFormatting sqref="AF8">
    <cfRule type="cellIs" dxfId="13309" priority="5439" operator="equal">
      <formula>1</formula>
    </cfRule>
    <cfRule type="cellIs" dxfId="13308" priority="5440" operator="equal">
      <formula>"×"</formula>
    </cfRule>
  </conditionalFormatting>
  <conditionalFormatting sqref="AI12">
    <cfRule type="cellIs" dxfId="13307" priority="5413" operator="equal">
      <formula>1</formula>
    </cfRule>
    <cfRule type="cellIs" dxfId="13306" priority="5414" operator="equal">
      <formula>"×"</formula>
    </cfRule>
  </conditionalFormatting>
  <conditionalFormatting sqref="AF13">
    <cfRule type="cellIs" dxfId="13305" priority="5411" operator="equal">
      <formula>1</formula>
    </cfRule>
    <cfRule type="cellIs" dxfId="13304" priority="5412" operator="equal">
      <formula>"×"</formula>
    </cfRule>
  </conditionalFormatting>
  <conditionalFormatting sqref="AG23:AI23">
    <cfRule type="cellIs" dxfId="13303" priority="1719" operator="equal">
      <formula>1</formula>
    </cfRule>
    <cfRule type="cellIs" dxfId="13302" priority="1720" operator="equal">
      <formula>"×"</formula>
    </cfRule>
  </conditionalFormatting>
  <conditionalFormatting sqref="AG23:AI23">
    <cfRule type="cellIs" dxfId="13301" priority="1721" operator="equal">
      <formula>1</formula>
    </cfRule>
    <cfRule type="cellIs" dxfId="13300" priority="1722" operator="equal">
      <formula>"×"</formula>
    </cfRule>
  </conditionalFormatting>
  <conditionalFormatting sqref="AF8">
    <cfRule type="cellIs" dxfId="13299" priority="5437" operator="equal">
      <formula>1</formula>
    </cfRule>
    <cfRule type="cellIs" dxfId="13298" priority="5438" operator="equal">
      <formula>"×"</formula>
    </cfRule>
  </conditionalFormatting>
  <conditionalFormatting sqref="AE8">
    <cfRule type="cellIs" dxfId="13297" priority="5435" operator="equal">
      <formula>1</formula>
    </cfRule>
    <cfRule type="cellIs" dxfId="13296" priority="5436" operator="equal">
      <formula>"×"</formula>
    </cfRule>
  </conditionalFormatting>
  <conditionalFormatting sqref="AD8">
    <cfRule type="cellIs" dxfId="13295" priority="5433" operator="equal">
      <formula>1</formula>
    </cfRule>
    <cfRule type="cellIs" dxfId="13294" priority="5434" operator="equal">
      <formula>"×"</formula>
    </cfRule>
  </conditionalFormatting>
  <conditionalFormatting sqref="AE8">
    <cfRule type="cellIs" dxfId="13293" priority="5431" operator="equal">
      <formula>1</formula>
    </cfRule>
    <cfRule type="cellIs" dxfId="13292" priority="5432" operator="equal">
      <formula>"×"</formula>
    </cfRule>
  </conditionalFormatting>
  <conditionalFormatting sqref="AD8">
    <cfRule type="cellIs" dxfId="13291" priority="5429" operator="equal">
      <formula>1</formula>
    </cfRule>
    <cfRule type="cellIs" dxfId="13290" priority="5430" operator="equal">
      <formula>"×"</formula>
    </cfRule>
  </conditionalFormatting>
  <conditionalFormatting sqref="AD8">
    <cfRule type="cellIs" dxfId="13289" priority="5427" operator="equal">
      <formula>1</formula>
    </cfRule>
    <cfRule type="cellIs" dxfId="13288" priority="5428" operator="equal">
      <formula>"×"</formula>
    </cfRule>
  </conditionalFormatting>
  <conditionalFormatting sqref="AD8">
    <cfRule type="cellIs" dxfId="13287" priority="5425" operator="equal">
      <formula>1</formula>
    </cfRule>
    <cfRule type="cellIs" dxfId="13286" priority="5426" operator="equal">
      <formula>"×"</formula>
    </cfRule>
  </conditionalFormatting>
  <conditionalFormatting sqref="AE14">
    <cfRule type="cellIs" dxfId="13285" priority="5423" operator="equal">
      <formula>1</formula>
    </cfRule>
    <cfRule type="cellIs" dxfId="13284" priority="5424" operator="equal">
      <formula>"×"</formula>
    </cfRule>
  </conditionalFormatting>
  <conditionalFormatting sqref="AF12:AI12">
    <cfRule type="cellIs" dxfId="13283" priority="5417" operator="equal">
      <formula>1</formula>
    </cfRule>
    <cfRule type="cellIs" dxfId="13282" priority="5418" operator="equal">
      <formula>"×"</formula>
    </cfRule>
  </conditionalFormatting>
  <conditionalFormatting sqref="AE14 AF12:AI12">
    <cfRule type="cellIs" dxfId="13281" priority="5415" operator="equal">
      <formula>1</formula>
    </cfRule>
    <cfRule type="cellIs" dxfId="13280" priority="5416" operator="equal">
      <formula>"×"</formula>
    </cfRule>
  </conditionalFormatting>
  <conditionalFormatting sqref="AF19:AI19">
    <cfRule type="cellIs" dxfId="13279" priority="29885" operator="equal">
      <formula>1</formula>
    </cfRule>
    <cfRule type="cellIs" dxfId="13278" priority="29886" operator="equal">
      <formula>"×"</formula>
    </cfRule>
  </conditionalFormatting>
  <conditionalFormatting sqref="AF18">
    <cfRule type="cellIs" dxfId="13277" priority="5045" operator="equal">
      <formula>1</formula>
    </cfRule>
    <cfRule type="cellIs" dxfId="13276" priority="5046" operator="equal">
      <formula>"×"</formula>
    </cfRule>
  </conditionalFormatting>
  <conditionalFormatting sqref="AI19">
    <cfRule type="cellIs" dxfId="13275" priority="5043" operator="equal">
      <formula>1</formula>
    </cfRule>
    <cfRule type="cellIs" dxfId="13274" priority="5044" operator="equal">
      <formula>"×"</formula>
    </cfRule>
  </conditionalFormatting>
  <conditionalFormatting sqref="AF18">
    <cfRule type="cellIs" dxfId="13273" priority="5041" operator="equal">
      <formula>1</formula>
    </cfRule>
    <cfRule type="cellIs" dxfId="13272" priority="5042" operator="equal">
      <formula>"×"</formula>
    </cfRule>
  </conditionalFormatting>
  <conditionalFormatting sqref="AF18">
    <cfRule type="cellIs" dxfId="13271" priority="5039" operator="equal">
      <formula>1</formula>
    </cfRule>
    <cfRule type="cellIs" dxfId="13270" priority="5040" operator="equal">
      <formula>"×"</formula>
    </cfRule>
  </conditionalFormatting>
  <conditionalFormatting sqref="AF18:AI18">
    <cfRule type="cellIs" dxfId="13269" priority="5037" operator="equal">
      <formula>1</formula>
    </cfRule>
    <cfRule type="cellIs" dxfId="13268" priority="5038" operator="equal">
      <formula>"×"</formula>
    </cfRule>
  </conditionalFormatting>
  <conditionalFormatting sqref="AI18">
    <cfRule type="cellIs" dxfId="13267" priority="5035" operator="equal">
      <formula>1</formula>
    </cfRule>
    <cfRule type="cellIs" dxfId="13266" priority="5036" operator="equal">
      <formula>"×"</formula>
    </cfRule>
  </conditionalFormatting>
  <conditionalFormatting sqref="AF18:AI18">
    <cfRule type="cellIs" dxfId="13265" priority="5033" operator="equal">
      <formula>1</formula>
    </cfRule>
    <cfRule type="cellIs" dxfId="13264" priority="5034" operator="equal">
      <formula>"×"</formula>
    </cfRule>
  </conditionalFormatting>
  <conditionalFormatting sqref="AI19">
    <cfRule type="cellIs" dxfId="13263" priority="5031" operator="equal">
      <formula>1</formula>
    </cfRule>
    <cfRule type="cellIs" dxfId="13262" priority="5032" operator="equal">
      <formula>"×"</formula>
    </cfRule>
  </conditionalFormatting>
  <conditionalFormatting sqref="AI19">
    <cfRule type="cellIs" dxfId="13261" priority="5029" operator="equal">
      <formula>1</formula>
    </cfRule>
    <cfRule type="cellIs" dxfId="13260" priority="5030" operator="equal">
      <formula>"×"</formula>
    </cfRule>
  </conditionalFormatting>
  <conditionalFormatting sqref="AF18">
    <cfRule type="cellIs" dxfId="13259" priority="5027" operator="equal">
      <formula>1</formula>
    </cfRule>
    <cfRule type="cellIs" dxfId="13258" priority="5028" operator="equal">
      <formula>"×"</formula>
    </cfRule>
  </conditionalFormatting>
  <conditionalFormatting sqref="AF18">
    <cfRule type="cellIs" dxfId="13257" priority="5025" operator="equal">
      <formula>1</formula>
    </cfRule>
    <cfRule type="cellIs" dxfId="13256" priority="5026" operator="equal">
      <formula>"×"</formula>
    </cfRule>
  </conditionalFormatting>
  <conditionalFormatting sqref="AF18">
    <cfRule type="cellIs" dxfId="13255" priority="5023" operator="equal">
      <formula>1</formula>
    </cfRule>
    <cfRule type="cellIs" dxfId="13254" priority="5024" operator="equal">
      <formula>"×"</formula>
    </cfRule>
  </conditionalFormatting>
  <conditionalFormatting sqref="AF18">
    <cfRule type="cellIs" dxfId="13253" priority="5021" operator="equal">
      <formula>1</formula>
    </cfRule>
    <cfRule type="cellIs" dxfId="13252" priority="5022" operator="equal">
      <formula>"×"</formula>
    </cfRule>
  </conditionalFormatting>
  <conditionalFormatting sqref="AF18">
    <cfRule type="cellIs" dxfId="13251" priority="5019" operator="equal">
      <formula>1</formula>
    </cfRule>
    <cfRule type="cellIs" dxfId="13250" priority="5020" operator="equal">
      <formula>"×"</formula>
    </cfRule>
  </conditionalFormatting>
  <conditionalFormatting sqref="AF18">
    <cfRule type="cellIs" dxfId="13249" priority="5017" operator="equal">
      <formula>1</formula>
    </cfRule>
    <cfRule type="cellIs" dxfId="13248" priority="5018" operator="equal">
      <formula>"×"</formula>
    </cfRule>
  </conditionalFormatting>
  <conditionalFormatting sqref="AF18">
    <cfRule type="cellIs" dxfId="13247" priority="5015" operator="equal">
      <formula>1</formula>
    </cfRule>
    <cfRule type="cellIs" dxfId="13246" priority="5016" operator="equal">
      <formula>"×"</formula>
    </cfRule>
  </conditionalFormatting>
  <conditionalFormatting sqref="AH17:AI17">
    <cfRule type="cellIs" dxfId="13245" priority="5013" operator="equal">
      <formula>1</formula>
    </cfRule>
    <cfRule type="cellIs" dxfId="13244" priority="5014" operator="equal">
      <formula>"×"</formula>
    </cfRule>
  </conditionalFormatting>
  <conditionalFormatting sqref="AI17">
    <cfRule type="cellIs" dxfId="13243" priority="5011" operator="equal">
      <formula>1</formula>
    </cfRule>
    <cfRule type="cellIs" dxfId="13242" priority="5012" operator="equal">
      <formula>"×"</formula>
    </cfRule>
  </conditionalFormatting>
  <conditionalFormatting sqref="AH17:AI17">
    <cfRule type="cellIs" dxfId="13241" priority="5009" operator="equal">
      <formula>1</formula>
    </cfRule>
    <cfRule type="cellIs" dxfId="13240" priority="5010" operator="equal">
      <formula>"×"</formula>
    </cfRule>
  </conditionalFormatting>
  <conditionalFormatting sqref="AH17:AI17">
    <cfRule type="cellIs" dxfId="13239" priority="5007" operator="equal">
      <formula>1</formula>
    </cfRule>
    <cfRule type="cellIs" dxfId="13238" priority="5008" operator="equal">
      <formula>"×"</formula>
    </cfRule>
  </conditionalFormatting>
  <conditionalFormatting sqref="AI17">
    <cfRule type="cellIs" dxfId="13237" priority="5005" operator="equal">
      <formula>1</formula>
    </cfRule>
    <cfRule type="cellIs" dxfId="13236" priority="5006" operator="equal">
      <formula>"×"</formula>
    </cfRule>
  </conditionalFormatting>
  <conditionalFormatting sqref="AF14:AG14">
    <cfRule type="cellIs" dxfId="13235" priority="4999" operator="equal">
      <formula>1</formula>
    </cfRule>
    <cfRule type="cellIs" dxfId="13234" priority="5000" operator="equal">
      <formula>"×"</formula>
    </cfRule>
  </conditionalFormatting>
  <conditionalFormatting sqref="AF14:AG14">
    <cfRule type="cellIs" dxfId="13233" priority="4997" operator="equal">
      <formula>1</formula>
    </cfRule>
    <cfRule type="cellIs" dxfId="13232" priority="4998" operator="equal">
      <formula>"×"</formula>
    </cfRule>
  </conditionalFormatting>
  <conditionalFormatting sqref="AF14:AG14">
    <cfRule type="cellIs" dxfId="13231" priority="4995" operator="equal">
      <formula>1</formula>
    </cfRule>
    <cfRule type="cellIs" dxfId="13230" priority="4996" operator="equal">
      <formula>"×"</formula>
    </cfRule>
  </conditionalFormatting>
  <conditionalFormatting sqref="AH17:AI17">
    <cfRule type="cellIs" dxfId="13229" priority="5003" operator="equal">
      <formula>1</formula>
    </cfRule>
    <cfRule type="cellIs" dxfId="13228" priority="5004" operator="equal">
      <formula>"×"</formula>
    </cfRule>
  </conditionalFormatting>
  <conditionalFormatting sqref="AF14:AG14">
    <cfRule type="cellIs" dxfId="13227" priority="5001" operator="equal">
      <formula>1</formula>
    </cfRule>
    <cfRule type="cellIs" dxfId="13226" priority="5002" operator="equal">
      <formula>"×"</formula>
    </cfRule>
  </conditionalFormatting>
  <conditionalFormatting sqref="AF14:AG14">
    <cfRule type="cellIs" dxfId="13225" priority="4993" operator="equal">
      <formula>1</formula>
    </cfRule>
    <cfRule type="cellIs" dxfId="13224" priority="4994" operator="equal">
      <formula>"×"</formula>
    </cfRule>
  </conditionalFormatting>
  <conditionalFormatting sqref="AF14:AG14">
    <cfRule type="cellIs" dxfId="13223" priority="4991" operator="equal">
      <formula>1</formula>
    </cfRule>
    <cfRule type="cellIs" dxfId="13222" priority="4992" operator="equal">
      <formula>"×"</formula>
    </cfRule>
  </conditionalFormatting>
  <conditionalFormatting sqref="AF14:AG14">
    <cfRule type="cellIs" dxfId="13221" priority="4989" operator="equal">
      <formula>1</formula>
    </cfRule>
    <cfRule type="cellIs" dxfId="13220" priority="4990" operator="equal">
      <formula>"×"</formula>
    </cfRule>
  </conditionalFormatting>
  <conditionalFormatting sqref="AF14:AG14">
    <cfRule type="cellIs" dxfId="13219" priority="4987" operator="equal">
      <formula>1</formula>
    </cfRule>
    <cfRule type="cellIs" dxfId="13218" priority="4988" operator="equal">
      <formula>"×"</formula>
    </cfRule>
  </conditionalFormatting>
  <conditionalFormatting sqref="AF14:AG14">
    <cfRule type="cellIs" dxfId="13217" priority="4985" operator="equal">
      <formula>1</formula>
    </cfRule>
    <cfRule type="cellIs" dxfId="13216" priority="4986" operator="equal">
      <formula>"×"</formula>
    </cfRule>
  </conditionalFormatting>
  <conditionalFormatting sqref="AF14:AG14">
    <cfRule type="cellIs" dxfId="13215" priority="4983" operator="equal">
      <formula>1</formula>
    </cfRule>
    <cfRule type="cellIs" dxfId="13214" priority="4984" operator="equal">
      <formula>"×"</formula>
    </cfRule>
  </conditionalFormatting>
  <conditionalFormatting sqref="AF14:AG14">
    <cfRule type="cellIs" dxfId="13213" priority="4981" operator="equal">
      <formula>1</formula>
    </cfRule>
    <cfRule type="cellIs" dxfId="13212" priority="4982" operator="equal">
      <formula>"×"</formula>
    </cfRule>
  </conditionalFormatting>
  <conditionalFormatting sqref="AF14:AG14">
    <cfRule type="cellIs" dxfId="13211" priority="4979" operator="equal">
      <formula>1</formula>
    </cfRule>
    <cfRule type="cellIs" dxfId="13210" priority="4980" operator="equal">
      <formula>"×"</formula>
    </cfRule>
  </conditionalFormatting>
  <conditionalFormatting sqref="AF14:AG14">
    <cfRule type="cellIs" dxfId="13209" priority="4977" operator="equal">
      <formula>1</formula>
    </cfRule>
    <cfRule type="cellIs" dxfId="13208" priority="4978" operator="equal">
      <formula>"×"</formula>
    </cfRule>
  </conditionalFormatting>
  <conditionalFormatting sqref="AF14:AG14">
    <cfRule type="cellIs" dxfId="13207" priority="4975" operator="equal">
      <formula>1</formula>
    </cfRule>
    <cfRule type="cellIs" dxfId="13206" priority="4976" operator="equal">
      <formula>"×"</formula>
    </cfRule>
  </conditionalFormatting>
  <conditionalFormatting sqref="AF14:AG14">
    <cfRule type="cellIs" dxfId="13205" priority="4971" operator="equal">
      <formula>1</formula>
    </cfRule>
    <cfRule type="cellIs" dxfId="13204" priority="4972" operator="equal">
      <formula>"×"</formula>
    </cfRule>
  </conditionalFormatting>
  <conditionalFormatting sqref="AF14:AG14">
    <cfRule type="cellIs" dxfId="13203" priority="4973" operator="equal">
      <formula>1</formula>
    </cfRule>
    <cfRule type="cellIs" dxfId="13202" priority="4974" operator="equal">
      <formula>"×"</formula>
    </cfRule>
  </conditionalFormatting>
  <conditionalFormatting sqref="AH14:AI14">
    <cfRule type="cellIs" dxfId="13201" priority="4969" operator="equal">
      <formula>1</formula>
    </cfRule>
    <cfRule type="cellIs" dxfId="13200" priority="4970" operator="equal">
      <formula>"×"</formula>
    </cfRule>
  </conditionalFormatting>
  <conditionalFormatting sqref="AH14:AI14">
    <cfRule type="cellIs" dxfId="13199" priority="4967" operator="equal">
      <formula>1</formula>
    </cfRule>
    <cfRule type="cellIs" dxfId="13198" priority="4968" operator="equal">
      <formula>"×"</formula>
    </cfRule>
  </conditionalFormatting>
  <conditionalFormatting sqref="AH14:AI14">
    <cfRule type="cellIs" dxfId="13197" priority="4965" operator="equal">
      <formula>1</formula>
    </cfRule>
    <cfRule type="cellIs" dxfId="13196" priority="4966" operator="equal">
      <formula>"×"</formula>
    </cfRule>
  </conditionalFormatting>
  <conditionalFormatting sqref="AH14:AI14">
    <cfRule type="cellIs" dxfId="13195" priority="4963" operator="equal">
      <formula>1</formula>
    </cfRule>
    <cfRule type="cellIs" dxfId="13194" priority="4964" operator="equal">
      <formula>"×"</formula>
    </cfRule>
  </conditionalFormatting>
  <conditionalFormatting sqref="AH14:AI14">
    <cfRule type="cellIs" dxfId="13193" priority="4961" operator="equal">
      <formula>1</formula>
    </cfRule>
    <cfRule type="cellIs" dxfId="13192" priority="4962" operator="equal">
      <formula>"×"</formula>
    </cfRule>
  </conditionalFormatting>
  <conditionalFormatting sqref="AH14:AI14">
    <cfRule type="cellIs" dxfId="13191" priority="4947" operator="equal">
      <formula>1</formula>
    </cfRule>
    <cfRule type="cellIs" dxfId="13190" priority="4948" operator="equal">
      <formula>"×"</formula>
    </cfRule>
  </conditionalFormatting>
  <conditionalFormatting sqref="AH14:AI14">
    <cfRule type="cellIs" dxfId="13189" priority="4945" operator="equal">
      <formula>1</formula>
    </cfRule>
    <cfRule type="cellIs" dxfId="13188" priority="4946" operator="equal">
      <formula>"×"</formula>
    </cfRule>
  </conditionalFormatting>
  <conditionalFormatting sqref="AH14:AI14">
    <cfRule type="cellIs" dxfId="13187" priority="4959" operator="equal">
      <formula>1</formula>
    </cfRule>
    <cfRule type="cellIs" dxfId="13186" priority="4960" operator="equal">
      <formula>"×"</formula>
    </cfRule>
  </conditionalFormatting>
  <conditionalFormatting sqref="AH14:AI14">
    <cfRule type="cellIs" dxfId="13185" priority="4957" operator="equal">
      <formula>1</formula>
    </cfRule>
    <cfRule type="cellIs" dxfId="13184" priority="4958" operator="equal">
      <formula>"×"</formula>
    </cfRule>
  </conditionalFormatting>
  <conditionalFormatting sqref="AH14:AI14">
    <cfRule type="cellIs" dxfId="13183" priority="4955" operator="equal">
      <formula>1</formula>
    </cfRule>
    <cfRule type="cellIs" dxfId="13182" priority="4956" operator="equal">
      <formula>"×"</formula>
    </cfRule>
  </conditionalFormatting>
  <conditionalFormatting sqref="AH14:AI14">
    <cfRule type="cellIs" dxfId="13181" priority="4953" operator="equal">
      <formula>1</formula>
    </cfRule>
    <cfRule type="cellIs" dxfId="13180" priority="4954" operator="equal">
      <formula>"×"</formula>
    </cfRule>
  </conditionalFormatting>
  <conditionalFormatting sqref="AH14:AI14">
    <cfRule type="cellIs" dxfId="13179" priority="4951" operator="equal">
      <formula>1</formula>
    </cfRule>
    <cfRule type="cellIs" dxfId="13178" priority="4952" operator="equal">
      <formula>"×"</formula>
    </cfRule>
  </conditionalFormatting>
  <conditionalFormatting sqref="AH14:AI14">
    <cfRule type="cellIs" dxfId="13177" priority="4949" operator="equal">
      <formula>1</formula>
    </cfRule>
    <cfRule type="cellIs" dxfId="13176" priority="4950" operator="equal">
      <formula>"×"</formula>
    </cfRule>
  </conditionalFormatting>
  <conditionalFormatting sqref="AH14:AI14">
    <cfRule type="cellIs" dxfId="13175" priority="4943" operator="equal">
      <formula>1</formula>
    </cfRule>
    <cfRule type="cellIs" dxfId="13174" priority="4944" operator="equal">
      <formula>"×"</formula>
    </cfRule>
  </conditionalFormatting>
  <conditionalFormatting sqref="AH15">
    <cfRule type="cellIs" dxfId="13173" priority="4919" operator="equal">
      <formula>1</formula>
    </cfRule>
    <cfRule type="cellIs" dxfId="13172" priority="4920" operator="equal">
      <formula>"×"</formula>
    </cfRule>
  </conditionalFormatting>
  <conditionalFormatting sqref="AH15">
    <cfRule type="cellIs" dxfId="13171" priority="4923" operator="equal">
      <formula>1</formula>
    </cfRule>
    <cfRule type="cellIs" dxfId="13170" priority="4924" operator="equal">
      <formula>"×"</formula>
    </cfRule>
  </conditionalFormatting>
  <conditionalFormatting sqref="AH15">
    <cfRule type="cellIs" dxfId="13169" priority="4921" operator="equal">
      <formula>1</formula>
    </cfRule>
    <cfRule type="cellIs" dxfId="13168" priority="4922" operator="equal">
      <formula>"×"</formula>
    </cfRule>
  </conditionalFormatting>
  <conditionalFormatting sqref="AH15">
    <cfRule type="cellIs" dxfId="13167" priority="4917" operator="equal">
      <formula>1</formula>
    </cfRule>
    <cfRule type="cellIs" dxfId="13166" priority="4918" operator="equal">
      <formula>"×"</formula>
    </cfRule>
  </conditionalFormatting>
  <conditionalFormatting sqref="AH14:AI14">
    <cfRule type="cellIs" dxfId="13165" priority="4941" operator="equal">
      <formula>1</formula>
    </cfRule>
    <cfRule type="cellIs" dxfId="13164" priority="4942" operator="equal">
      <formula>"×"</formula>
    </cfRule>
  </conditionalFormatting>
  <conditionalFormatting sqref="AH14:AI14">
    <cfRule type="cellIs" dxfId="13163" priority="4939" operator="equal">
      <formula>1</formula>
    </cfRule>
    <cfRule type="cellIs" dxfId="13162" priority="4940" operator="equal">
      <formula>"×"</formula>
    </cfRule>
  </conditionalFormatting>
  <conditionalFormatting sqref="AH15">
    <cfRule type="cellIs" dxfId="13161" priority="4937" operator="equal">
      <formula>1</formula>
    </cfRule>
    <cfRule type="cellIs" dxfId="13160" priority="4938" operator="equal">
      <formula>"×"</formula>
    </cfRule>
  </conditionalFormatting>
  <conditionalFormatting sqref="AH15">
    <cfRule type="cellIs" dxfId="13159" priority="4935" operator="equal">
      <formula>1</formula>
    </cfRule>
    <cfRule type="cellIs" dxfId="13158" priority="4936" operator="equal">
      <formula>"×"</formula>
    </cfRule>
  </conditionalFormatting>
  <conditionalFormatting sqref="AH15">
    <cfRule type="cellIs" dxfId="13157" priority="4933" operator="equal">
      <formula>1</formula>
    </cfRule>
    <cfRule type="cellIs" dxfId="13156" priority="4934" operator="equal">
      <formula>"×"</formula>
    </cfRule>
  </conditionalFormatting>
  <conditionalFormatting sqref="AH15">
    <cfRule type="cellIs" dxfId="13155" priority="4931" operator="equal">
      <formula>1</formula>
    </cfRule>
    <cfRule type="cellIs" dxfId="13154" priority="4932" operator="equal">
      <formula>"×"</formula>
    </cfRule>
  </conditionalFormatting>
  <conditionalFormatting sqref="AH15">
    <cfRule type="cellIs" dxfId="13153" priority="4929" operator="equal">
      <formula>1</formula>
    </cfRule>
    <cfRule type="cellIs" dxfId="13152" priority="4930" operator="equal">
      <formula>"×"</formula>
    </cfRule>
  </conditionalFormatting>
  <conditionalFormatting sqref="AH15">
    <cfRule type="cellIs" dxfId="13151" priority="4927" operator="equal">
      <formula>1</formula>
    </cfRule>
    <cfRule type="cellIs" dxfId="13150" priority="4928" operator="equal">
      <formula>"×"</formula>
    </cfRule>
  </conditionalFormatting>
  <conditionalFormatting sqref="AH15">
    <cfRule type="cellIs" dxfId="13149" priority="4925" operator="equal">
      <formula>1</formula>
    </cfRule>
    <cfRule type="cellIs" dxfId="13148" priority="4926" operator="equal">
      <formula>"×"</formula>
    </cfRule>
  </conditionalFormatting>
  <conditionalFormatting sqref="Z21">
    <cfRule type="cellIs" dxfId="13147" priority="29567" operator="equal">
      <formula>1</formula>
    </cfRule>
    <cfRule type="cellIs" dxfId="13146" priority="29568" operator="equal">
      <formula>"×"</formula>
    </cfRule>
  </conditionalFormatting>
  <conditionalFormatting sqref="AC14:AC19">
    <cfRule type="cellIs" dxfId="13145" priority="29541" operator="equal">
      <formula>1</formula>
    </cfRule>
    <cfRule type="cellIs" dxfId="13144" priority="29542" operator="equal">
      <formula>"×"</formula>
    </cfRule>
  </conditionalFormatting>
  <conditionalFormatting sqref="AD14:AD19">
    <cfRule type="cellIs" dxfId="13143" priority="29539" operator="equal">
      <formula>1</formula>
    </cfRule>
    <cfRule type="cellIs" dxfId="13142" priority="29540" operator="equal">
      <formula>"×"</formula>
    </cfRule>
  </conditionalFormatting>
  <conditionalFormatting sqref="AD14:AD19">
    <cfRule type="cellIs" dxfId="13141" priority="29537" operator="equal">
      <formula>1</formula>
    </cfRule>
    <cfRule type="cellIs" dxfId="13140" priority="29538" operator="equal">
      <formula>"×"</formula>
    </cfRule>
  </conditionalFormatting>
  <conditionalFormatting sqref="AD14:AD19">
    <cfRule type="cellIs" dxfId="13139" priority="29533" operator="equal">
      <formula>1</formula>
    </cfRule>
    <cfRule type="cellIs" dxfId="13138" priority="29534" operator="equal">
      <formula>"×"</formula>
    </cfRule>
  </conditionalFormatting>
  <conditionalFormatting sqref="AD14:AD19">
    <cfRule type="cellIs" dxfId="13137" priority="29535" operator="equal">
      <formula>1</formula>
    </cfRule>
    <cfRule type="cellIs" dxfId="13136" priority="29536" operator="equal">
      <formula>"×"</formula>
    </cfRule>
  </conditionalFormatting>
  <conditionalFormatting sqref="AC14:AD19">
    <cfRule type="cellIs" dxfId="13135" priority="29565" operator="equal">
      <formula>1</formula>
    </cfRule>
    <cfRule type="cellIs" dxfId="13134" priority="29566" operator="equal">
      <formula>"×"</formula>
    </cfRule>
  </conditionalFormatting>
  <conditionalFormatting sqref="AC14:AD19">
    <cfRule type="cellIs" dxfId="13133" priority="29563" operator="equal">
      <formula>1</formula>
    </cfRule>
    <cfRule type="cellIs" dxfId="13132" priority="29564" operator="equal">
      <formula>"×"</formula>
    </cfRule>
  </conditionalFormatting>
  <conditionalFormatting sqref="AC14:AD19">
    <cfRule type="cellIs" dxfId="13131" priority="29561" operator="equal">
      <formula>1</formula>
    </cfRule>
    <cfRule type="cellIs" dxfId="13130" priority="29562" operator="equal">
      <formula>"×"</formula>
    </cfRule>
  </conditionalFormatting>
  <conditionalFormatting sqref="AC14:AD19">
    <cfRule type="cellIs" dxfId="13129" priority="29559" operator="equal">
      <formula>1</formula>
    </cfRule>
    <cfRule type="cellIs" dxfId="13128" priority="29560" operator="equal">
      <formula>"×"</formula>
    </cfRule>
  </conditionalFormatting>
  <conditionalFormatting sqref="AC14:AD19">
    <cfRule type="cellIs" dxfId="13127" priority="29557" operator="equal">
      <formula>1</formula>
    </cfRule>
    <cfRule type="cellIs" dxfId="13126" priority="29558" operator="equal">
      <formula>"×"</formula>
    </cfRule>
  </conditionalFormatting>
  <conditionalFormatting sqref="AC14:AD19">
    <cfRule type="cellIs" dxfId="13125" priority="29555" operator="equal">
      <formula>1</formula>
    </cfRule>
    <cfRule type="cellIs" dxfId="13124" priority="29556" operator="equal">
      <formula>"×"</formula>
    </cfRule>
  </conditionalFormatting>
  <conditionalFormatting sqref="AC14:AD19">
    <cfRule type="cellIs" dxfId="13123" priority="29553" operator="equal">
      <formula>1</formula>
    </cfRule>
    <cfRule type="cellIs" dxfId="13122" priority="29554" operator="equal">
      <formula>"×"</formula>
    </cfRule>
  </conditionalFormatting>
  <conditionalFormatting sqref="AC14:AC19">
    <cfRule type="cellIs" dxfId="13121" priority="29551" operator="equal">
      <formula>1</formula>
    </cfRule>
    <cfRule type="cellIs" dxfId="13120" priority="29552" operator="equal">
      <formula>"×"</formula>
    </cfRule>
  </conditionalFormatting>
  <conditionalFormatting sqref="AD14:AD19">
    <cfRule type="cellIs" dxfId="13119" priority="29549" operator="equal">
      <formula>1</formula>
    </cfRule>
    <cfRule type="cellIs" dxfId="13118" priority="29550" operator="equal">
      <formula>"×"</formula>
    </cfRule>
  </conditionalFormatting>
  <conditionalFormatting sqref="AD14:AD19">
    <cfRule type="cellIs" dxfId="13117" priority="29547" operator="equal">
      <formula>1</formula>
    </cfRule>
    <cfRule type="cellIs" dxfId="13116" priority="29548" operator="equal">
      <formula>"×"</formula>
    </cfRule>
  </conditionalFormatting>
  <conditionalFormatting sqref="AD14:AD19">
    <cfRule type="cellIs" dxfId="13115" priority="29545" operator="equal">
      <formula>1</formula>
    </cfRule>
    <cfRule type="cellIs" dxfId="13114" priority="29546" operator="equal">
      <formula>"×"</formula>
    </cfRule>
  </conditionalFormatting>
  <conditionalFormatting sqref="AD14:AD19">
    <cfRule type="cellIs" dxfId="13113" priority="29543" operator="equal">
      <formula>1</formula>
    </cfRule>
    <cfRule type="cellIs" dxfId="13112" priority="29544" operator="equal">
      <formula>"×"</formula>
    </cfRule>
  </conditionalFormatting>
  <conditionalFormatting sqref="AC14:AC19">
    <cfRule type="cellIs" dxfId="13111" priority="29531" operator="equal">
      <formula>1</formula>
    </cfRule>
    <cfRule type="cellIs" dxfId="13110" priority="29532" operator="equal">
      <formula>"×"</formula>
    </cfRule>
  </conditionalFormatting>
  <conditionalFormatting sqref="AD14:AD19">
    <cfRule type="cellIs" dxfId="13109" priority="29529" operator="equal">
      <formula>1</formula>
    </cfRule>
    <cfRule type="cellIs" dxfId="13108" priority="29530" operator="equal">
      <formula>"×"</formula>
    </cfRule>
  </conditionalFormatting>
  <conditionalFormatting sqref="AD14:AD19">
    <cfRule type="cellIs" dxfId="13107" priority="29527" operator="equal">
      <formula>1</formula>
    </cfRule>
    <cfRule type="cellIs" dxfId="13106" priority="29528" operator="equal">
      <formula>"×"</formula>
    </cfRule>
  </conditionalFormatting>
  <conditionalFormatting sqref="AD14:AD19">
    <cfRule type="cellIs" dxfId="13105" priority="29523" operator="equal">
      <formula>1</formula>
    </cfRule>
    <cfRule type="cellIs" dxfId="13104" priority="29524" operator="equal">
      <formula>"×"</formula>
    </cfRule>
  </conditionalFormatting>
  <conditionalFormatting sqref="AD14:AD19">
    <cfRule type="cellIs" dxfId="13103" priority="29525" operator="equal">
      <formula>1</formula>
    </cfRule>
    <cfRule type="cellIs" dxfId="13102" priority="29526" operator="equal">
      <formula>"×"</formula>
    </cfRule>
  </conditionalFormatting>
  <conditionalFormatting sqref="AD14:AD19">
    <cfRule type="cellIs" dxfId="13101" priority="29521" operator="equal">
      <formula>1</formula>
    </cfRule>
    <cfRule type="cellIs" dxfId="13100" priority="29522" operator="equal">
      <formula>"×"</formula>
    </cfRule>
  </conditionalFormatting>
  <conditionalFormatting sqref="AD14:AD19">
    <cfRule type="cellIs" dxfId="13099" priority="29519" operator="equal">
      <formula>1</formula>
    </cfRule>
    <cfRule type="cellIs" dxfId="13098" priority="29520" operator="equal">
      <formula>"×"</formula>
    </cfRule>
  </conditionalFormatting>
  <conditionalFormatting sqref="AD14:AD19">
    <cfRule type="cellIs" dxfId="13097" priority="29517" operator="equal">
      <formula>1</formula>
    </cfRule>
    <cfRule type="cellIs" dxfId="13096" priority="29518" operator="equal">
      <formula>"×"</formula>
    </cfRule>
  </conditionalFormatting>
  <conditionalFormatting sqref="AC14:AD19">
    <cfRule type="cellIs" dxfId="13095" priority="29515" operator="equal">
      <formula>1</formula>
    </cfRule>
    <cfRule type="cellIs" dxfId="13094" priority="29516" operator="equal">
      <formula>"×"</formula>
    </cfRule>
  </conditionalFormatting>
  <conditionalFormatting sqref="AC14:AC19">
    <cfRule type="cellIs" dxfId="13093" priority="29513" operator="equal">
      <formula>1</formula>
    </cfRule>
    <cfRule type="cellIs" dxfId="13092" priority="29514" operator="equal">
      <formula>"×"</formula>
    </cfRule>
  </conditionalFormatting>
  <conditionalFormatting sqref="AD14:AD19">
    <cfRule type="cellIs" dxfId="13091" priority="29511" operator="equal">
      <formula>1</formula>
    </cfRule>
    <cfRule type="cellIs" dxfId="13090" priority="29512" operator="equal">
      <formula>"×"</formula>
    </cfRule>
  </conditionalFormatting>
  <conditionalFormatting sqref="AD14:AD19">
    <cfRule type="cellIs" dxfId="13089" priority="29509" operator="equal">
      <formula>1</formula>
    </cfRule>
    <cfRule type="cellIs" dxfId="13088" priority="29510" operator="equal">
      <formula>"×"</formula>
    </cfRule>
  </conditionalFormatting>
  <conditionalFormatting sqref="AD14:AD19">
    <cfRule type="cellIs" dxfId="13087" priority="29507" operator="equal">
      <formula>1</formula>
    </cfRule>
    <cfRule type="cellIs" dxfId="13086" priority="29508" operator="equal">
      <formula>"×"</formula>
    </cfRule>
  </conditionalFormatting>
  <conditionalFormatting sqref="AD14:AD19">
    <cfRule type="cellIs" dxfId="13085" priority="29505" operator="equal">
      <formula>1</formula>
    </cfRule>
    <cfRule type="cellIs" dxfId="13084" priority="29506" operator="equal">
      <formula>"×"</formula>
    </cfRule>
  </conditionalFormatting>
  <conditionalFormatting sqref="AC14:AC19">
    <cfRule type="cellIs" dxfId="13083" priority="29503" operator="equal">
      <formula>1</formula>
    </cfRule>
    <cfRule type="cellIs" dxfId="13082" priority="29504" operator="equal">
      <formula>"×"</formula>
    </cfRule>
  </conditionalFormatting>
  <conditionalFormatting sqref="AD14:AD19">
    <cfRule type="cellIs" dxfId="13081" priority="29501" operator="equal">
      <formula>1</formula>
    </cfRule>
    <cfRule type="cellIs" dxfId="13080" priority="29502" operator="equal">
      <formula>"×"</formula>
    </cfRule>
  </conditionalFormatting>
  <conditionalFormatting sqref="AD14:AD19">
    <cfRule type="cellIs" dxfId="13079" priority="29499" operator="equal">
      <formula>1</formula>
    </cfRule>
    <cfRule type="cellIs" dxfId="13078" priority="29500" operator="equal">
      <formula>"×"</formula>
    </cfRule>
  </conditionalFormatting>
  <conditionalFormatting sqref="AD14:AD19">
    <cfRule type="cellIs" dxfId="13077" priority="29497" operator="equal">
      <formula>1</formula>
    </cfRule>
    <cfRule type="cellIs" dxfId="13076" priority="29498" operator="equal">
      <formula>"×"</formula>
    </cfRule>
  </conditionalFormatting>
  <conditionalFormatting sqref="AD14:AD19">
    <cfRule type="cellIs" dxfId="13075" priority="29495" operator="equal">
      <formula>1</formula>
    </cfRule>
    <cfRule type="cellIs" dxfId="13074" priority="29496" operator="equal">
      <formula>"×"</formula>
    </cfRule>
  </conditionalFormatting>
  <conditionalFormatting sqref="AC14:AC19">
    <cfRule type="cellIs" dxfId="13073" priority="29493" operator="equal">
      <formula>1</formula>
    </cfRule>
    <cfRule type="cellIs" dxfId="13072" priority="29494" operator="equal">
      <formula>"×"</formula>
    </cfRule>
  </conditionalFormatting>
  <conditionalFormatting sqref="AD14:AD19">
    <cfRule type="cellIs" dxfId="13071" priority="29491" operator="equal">
      <formula>1</formula>
    </cfRule>
    <cfRule type="cellIs" dxfId="13070" priority="29492" operator="equal">
      <formula>"×"</formula>
    </cfRule>
  </conditionalFormatting>
  <conditionalFormatting sqref="AD14:AD19">
    <cfRule type="cellIs" dxfId="13069" priority="29489" operator="equal">
      <formula>1</formula>
    </cfRule>
    <cfRule type="cellIs" dxfId="13068" priority="29490" operator="equal">
      <formula>"×"</formula>
    </cfRule>
  </conditionalFormatting>
  <conditionalFormatting sqref="AD14:AD19">
    <cfRule type="cellIs" dxfId="13067" priority="29487" operator="equal">
      <formula>1</formula>
    </cfRule>
    <cfRule type="cellIs" dxfId="13066" priority="29488" operator="equal">
      <formula>"×"</formula>
    </cfRule>
  </conditionalFormatting>
  <conditionalFormatting sqref="AD14:AD19">
    <cfRule type="cellIs" dxfId="13065" priority="29485" operator="equal">
      <formula>1</formula>
    </cfRule>
    <cfRule type="cellIs" dxfId="13064" priority="29486" operator="equal">
      <formula>"×"</formula>
    </cfRule>
  </conditionalFormatting>
  <conditionalFormatting sqref="AC14:AC19">
    <cfRule type="cellIs" dxfId="13063" priority="29483" operator="equal">
      <formula>1</formula>
    </cfRule>
    <cfRule type="cellIs" dxfId="13062" priority="29484" operator="equal">
      <formula>"×"</formula>
    </cfRule>
  </conditionalFormatting>
  <conditionalFormatting sqref="AD14:AD19">
    <cfRule type="cellIs" dxfId="13061" priority="29481" operator="equal">
      <formula>1</formula>
    </cfRule>
    <cfRule type="cellIs" dxfId="13060" priority="29482" operator="equal">
      <formula>"×"</formula>
    </cfRule>
  </conditionalFormatting>
  <conditionalFormatting sqref="AD14:AD19">
    <cfRule type="cellIs" dxfId="13059" priority="29479" operator="equal">
      <formula>1</formula>
    </cfRule>
    <cfRule type="cellIs" dxfId="13058" priority="29480" operator="equal">
      <formula>"×"</formula>
    </cfRule>
  </conditionalFormatting>
  <conditionalFormatting sqref="AD14:AD19">
    <cfRule type="cellIs" dxfId="13057" priority="29475" operator="equal">
      <formula>1</formula>
    </cfRule>
    <cfRule type="cellIs" dxfId="13056" priority="29476" operator="equal">
      <formula>"×"</formula>
    </cfRule>
  </conditionalFormatting>
  <conditionalFormatting sqref="AD14:AD19">
    <cfRule type="cellIs" dxfId="13055" priority="29477" operator="equal">
      <formula>1</formula>
    </cfRule>
    <cfRule type="cellIs" dxfId="13054" priority="29478" operator="equal">
      <formula>"×"</formula>
    </cfRule>
  </conditionalFormatting>
  <conditionalFormatting sqref="AC14:AD19">
    <cfRule type="cellIs" dxfId="13053" priority="29473" operator="equal">
      <formula>1</formula>
    </cfRule>
    <cfRule type="cellIs" dxfId="13052" priority="29474" operator="equal">
      <formula>"×"</formula>
    </cfRule>
  </conditionalFormatting>
  <conditionalFormatting sqref="Z37:Z38 Z20:Z31 AB14:AB19 AD14:AD19 Z31:AA37">
    <cfRule type="cellIs" dxfId="13051" priority="29471" operator="equal">
      <formula>1</formula>
    </cfRule>
    <cfRule type="cellIs" dxfId="13050" priority="29472" operator="equal">
      <formula>"×"</formula>
    </cfRule>
  </conditionalFormatting>
  <conditionalFormatting sqref="AF14:AG14">
    <cfRule type="cellIs" dxfId="13049" priority="5927" operator="equal">
      <formula>1</formula>
    </cfRule>
    <cfRule type="cellIs" dxfId="13048" priority="5928" operator="equal">
      <formula>"×"</formula>
    </cfRule>
  </conditionalFormatting>
  <conditionalFormatting sqref="AH15">
    <cfRule type="cellIs" dxfId="13047" priority="5883" operator="equal">
      <formula>1</formula>
    </cfRule>
    <cfRule type="cellIs" dxfId="13046" priority="5884" operator="equal">
      <formula>"×"</formula>
    </cfRule>
  </conditionalFormatting>
  <conditionalFormatting sqref="AH14:AI14">
    <cfRule type="cellIs" dxfId="13045" priority="5925" operator="equal">
      <formula>1</formula>
    </cfRule>
    <cfRule type="cellIs" dxfId="13044" priority="5926" operator="equal">
      <formula>"×"</formula>
    </cfRule>
  </conditionalFormatting>
  <conditionalFormatting sqref="AH14:AI14">
    <cfRule type="cellIs" dxfId="13043" priority="5921" operator="equal">
      <formula>1</formula>
    </cfRule>
    <cfRule type="cellIs" dxfId="13042" priority="5922" operator="equal">
      <formula>"×"</formula>
    </cfRule>
  </conditionalFormatting>
  <conditionalFormatting sqref="AH14:AI14">
    <cfRule type="cellIs" dxfId="13041" priority="5923" operator="equal">
      <formula>1</formula>
    </cfRule>
    <cfRule type="cellIs" dxfId="13040" priority="5924" operator="equal">
      <formula>"×"</formula>
    </cfRule>
  </conditionalFormatting>
  <conditionalFormatting sqref="AH14:AI14">
    <cfRule type="cellIs" dxfId="13039" priority="5917" operator="equal">
      <formula>1</formula>
    </cfRule>
    <cfRule type="cellIs" dxfId="13038" priority="5918" operator="equal">
      <formula>"×"</formula>
    </cfRule>
  </conditionalFormatting>
  <conditionalFormatting sqref="AH14:AI14">
    <cfRule type="cellIs" dxfId="13037" priority="5903" operator="equal">
      <formula>1</formula>
    </cfRule>
    <cfRule type="cellIs" dxfId="13036" priority="5904" operator="equal">
      <formula>"×"</formula>
    </cfRule>
  </conditionalFormatting>
  <conditionalFormatting sqref="AH14:AI14">
    <cfRule type="cellIs" dxfId="13035" priority="5901" operator="equal">
      <formula>1</formula>
    </cfRule>
    <cfRule type="cellIs" dxfId="13034" priority="5902" operator="equal">
      <formula>"×"</formula>
    </cfRule>
  </conditionalFormatting>
  <conditionalFormatting sqref="AH14:AI14">
    <cfRule type="cellIs" dxfId="13033" priority="5899" operator="equal">
      <formula>1</formula>
    </cfRule>
    <cfRule type="cellIs" dxfId="13032" priority="5900" operator="equal">
      <formula>"×"</formula>
    </cfRule>
  </conditionalFormatting>
  <conditionalFormatting sqref="AH20">
    <cfRule type="cellIs" dxfId="13031" priority="2125" operator="equal">
      <formula>1</formula>
    </cfRule>
    <cfRule type="cellIs" dxfId="13030" priority="2126" operator="equal">
      <formula>"×"</formula>
    </cfRule>
  </conditionalFormatting>
  <conditionalFormatting sqref="AH14:AI14">
    <cfRule type="cellIs" dxfId="13029" priority="5895" operator="equal">
      <formula>1</formula>
    </cfRule>
    <cfRule type="cellIs" dxfId="13028" priority="5896" operator="equal">
      <formula>"×"</formula>
    </cfRule>
  </conditionalFormatting>
  <conditionalFormatting sqref="AH15">
    <cfRule type="cellIs" dxfId="13027" priority="5889" operator="equal">
      <formula>1</formula>
    </cfRule>
    <cfRule type="cellIs" dxfId="13026" priority="5890" operator="equal">
      <formula>"×"</formula>
    </cfRule>
  </conditionalFormatting>
  <conditionalFormatting sqref="AH15">
    <cfRule type="cellIs" dxfId="13025" priority="5887" operator="equal">
      <formula>1</formula>
    </cfRule>
    <cfRule type="cellIs" dxfId="13024" priority="5888" operator="equal">
      <formula>"×"</formula>
    </cfRule>
  </conditionalFormatting>
  <conditionalFormatting sqref="AH15">
    <cfRule type="cellIs" dxfId="13023" priority="5875" operator="equal">
      <formula>1</formula>
    </cfRule>
    <cfRule type="cellIs" dxfId="13022" priority="5876" operator="equal">
      <formula>"×"</formula>
    </cfRule>
  </conditionalFormatting>
  <conditionalFormatting sqref="AH15">
    <cfRule type="cellIs" dxfId="13021" priority="5873" operator="equal">
      <formula>1</formula>
    </cfRule>
    <cfRule type="cellIs" dxfId="13020" priority="5874" operator="equal">
      <formula>"×"</formula>
    </cfRule>
  </conditionalFormatting>
  <conditionalFormatting sqref="AH15">
    <cfRule type="cellIs" dxfId="13019" priority="5871" operator="equal">
      <formula>1</formula>
    </cfRule>
    <cfRule type="cellIs" dxfId="13018" priority="5872" operator="equal">
      <formula>"×"</formula>
    </cfRule>
  </conditionalFormatting>
  <conditionalFormatting sqref="AH15">
    <cfRule type="cellIs" dxfId="13017" priority="5865" operator="equal">
      <formula>1</formula>
    </cfRule>
    <cfRule type="cellIs" dxfId="13016" priority="5866" operator="equal">
      <formula>"×"</formula>
    </cfRule>
  </conditionalFormatting>
  <conditionalFormatting sqref="AH15">
    <cfRule type="cellIs" dxfId="13015" priority="5863" operator="equal">
      <formula>1</formula>
    </cfRule>
    <cfRule type="cellIs" dxfId="13014" priority="5864" operator="equal">
      <formula>"×"</formula>
    </cfRule>
  </conditionalFormatting>
  <conditionalFormatting sqref="AF20 AF23:AI25">
    <cfRule type="cellIs" dxfId="13013" priority="2167" operator="equal">
      <formula>1</formula>
    </cfRule>
    <cfRule type="cellIs" dxfId="13012" priority="2168" operator="equal">
      <formula>"×"</formula>
    </cfRule>
  </conditionalFormatting>
  <conditionalFormatting sqref="AI24">
    <cfRule type="cellIs" dxfId="13011" priority="2165" operator="equal">
      <formula>1</formula>
    </cfRule>
    <cfRule type="cellIs" dxfId="13010" priority="2166" operator="equal">
      <formula>"×"</formula>
    </cfRule>
  </conditionalFormatting>
  <conditionalFormatting sqref="AF23">
    <cfRule type="cellIs" dxfId="13009" priority="2163" operator="equal">
      <formula>1</formula>
    </cfRule>
    <cfRule type="cellIs" dxfId="13008" priority="2164" operator="equal">
      <formula>"×"</formula>
    </cfRule>
  </conditionalFormatting>
  <conditionalFormatting sqref="AF23">
    <cfRule type="cellIs" dxfId="13007" priority="2161" operator="equal">
      <formula>1</formula>
    </cfRule>
    <cfRule type="cellIs" dxfId="13006" priority="2162" operator="equal">
      <formula>"×"</formula>
    </cfRule>
  </conditionalFormatting>
  <conditionalFormatting sqref="AF23">
    <cfRule type="cellIs" dxfId="13005" priority="2159" operator="equal">
      <formula>1</formula>
    </cfRule>
    <cfRule type="cellIs" dxfId="13004" priority="2160" operator="equal">
      <formula>"×"</formula>
    </cfRule>
  </conditionalFormatting>
  <conditionalFormatting sqref="AF23">
    <cfRule type="cellIs" dxfId="13003" priority="2157" operator="equal">
      <formula>1</formula>
    </cfRule>
    <cfRule type="cellIs" dxfId="13002" priority="2158" operator="equal">
      <formula>"×"</formula>
    </cfRule>
  </conditionalFormatting>
  <conditionalFormatting sqref="AF23">
    <cfRule type="cellIs" dxfId="13001" priority="2155" operator="equal">
      <formula>1</formula>
    </cfRule>
    <cfRule type="cellIs" dxfId="13000" priority="2156" operator="equal">
      <formula>"×"</formula>
    </cfRule>
  </conditionalFormatting>
  <conditionalFormatting sqref="AF23">
    <cfRule type="cellIs" dxfId="12999" priority="2153" operator="equal">
      <formula>1</formula>
    </cfRule>
    <cfRule type="cellIs" dxfId="12998" priority="2154" operator="equal">
      <formula>"×"</formula>
    </cfRule>
  </conditionalFormatting>
  <conditionalFormatting sqref="AF23">
    <cfRule type="cellIs" dxfId="12997" priority="2151" operator="equal">
      <formula>1</formula>
    </cfRule>
    <cfRule type="cellIs" dxfId="12996" priority="2152" operator="equal">
      <formula>"×"</formula>
    </cfRule>
  </conditionalFormatting>
  <conditionalFormatting sqref="AH22:AI22">
    <cfRule type="cellIs" dxfId="12995" priority="2149" operator="equal">
      <formula>1</formula>
    </cfRule>
    <cfRule type="cellIs" dxfId="12994" priority="2150" operator="equal">
      <formula>"×"</formula>
    </cfRule>
  </conditionalFormatting>
  <conditionalFormatting sqref="AI22">
    <cfRule type="cellIs" dxfId="12993" priority="2147" operator="equal">
      <formula>1</formula>
    </cfRule>
    <cfRule type="cellIs" dxfId="12992" priority="2148" operator="equal">
      <formula>"×"</formula>
    </cfRule>
  </conditionalFormatting>
  <conditionalFormatting sqref="AH22:AI22">
    <cfRule type="cellIs" dxfId="12991" priority="2145" operator="equal">
      <formula>1</formula>
    </cfRule>
    <cfRule type="cellIs" dxfId="12990" priority="2146" operator="equal">
      <formula>"×"</formula>
    </cfRule>
  </conditionalFormatting>
  <conditionalFormatting sqref="AH22:AI22">
    <cfRule type="cellIs" dxfId="12989" priority="2143" operator="equal">
      <formula>1</formula>
    </cfRule>
    <cfRule type="cellIs" dxfId="12988" priority="2144" operator="equal">
      <formula>"×"</formula>
    </cfRule>
  </conditionalFormatting>
  <conditionalFormatting sqref="AI22">
    <cfRule type="cellIs" dxfId="12987" priority="2141" operator="equal">
      <formula>1</formula>
    </cfRule>
    <cfRule type="cellIs" dxfId="12986" priority="2142" operator="equal">
      <formula>"×"</formula>
    </cfRule>
  </conditionalFormatting>
  <conditionalFormatting sqref="AH20">
    <cfRule type="cellIs" dxfId="12985" priority="2137" operator="equal">
      <formula>1</formula>
    </cfRule>
    <cfRule type="cellIs" dxfId="12984" priority="2138" operator="equal">
      <formula>"×"</formula>
    </cfRule>
  </conditionalFormatting>
  <conditionalFormatting sqref="AH20">
    <cfRule type="cellIs" dxfId="12983" priority="2133" operator="equal">
      <formula>1</formula>
    </cfRule>
    <cfRule type="cellIs" dxfId="12982" priority="2134" operator="equal">
      <formula>"×"</formula>
    </cfRule>
  </conditionalFormatting>
  <conditionalFormatting sqref="AH20">
    <cfRule type="cellIs" dxfId="12981" priority="2135" operator="equal">
      <formula>1</formula>
    </cfRule>
    <cfRule type="cellIs" dxfId="12980" priority="2136" operator="equal">
      <formula>"×"</formula>
    </cfRule>
  </conditionalFormatting>
  <conditionalFormatting sqref="AH20">
    <cfRule type="cellIs" dxfId="12979" priority="2129" operator="equal">
      <formula>1</formula>
    </cfRule>
    <cfRule type="cellIs" dxfId="12978" priority="2130" operator="equal">
      <formula>"×"</formula>
    </cfRule>
  </conditionalFormatting>
  <conditionalFormatting sqref="AH20">
    <cfRule type="cellIs" dxfId="12977" priority="2123" operator="equal">
      <formula>1</formula>
    </cfRule>
    <cfRule type="cellIs" dxfId="12976" priority="2124" operator="equal">
      <formula>"×"</formula>
    </cfRule>
  </conditionalFormatting>
  <conditionalFormatting sqref="AH20">
    <cfRule type="cellIs" dxfId="12975" priority="2121" operator="equal">
      <formula>1</formula>
    </cfRule>
    <cfRule type="cellIs" dxfId="12974" priority="2122" operator="equal">
      <formula>"×"</formula>
    </cfRule>
  </conditionalFormatting>
  <conditionalFormatting sqref="AH20">
    <cfRule type="cellIs" dxfId="12973" priority="2119" operator="equal">
      <formula>1</formula>
    </cfRule>
    <cfRule type="cellIs" dxfId="12972" priority="2120" operator="equal">
      <formula>"×"</formula>
    </cfRule>
  </conditionalFormatting>
  <conditionalFormatting sqref="AH20">
    <cfRule type="cellIs" dxfId="12971" priority="2117" operator="equal">
      <formula>1</formula>
    </cfRule>
    <cfRule type="cellIs" dxfId="12970" priority="2118" operator="equal">
      <formula>"×"</formula>
    </cfRule>
  </conditionalFormatting>
  <conditionalFormatting sqref="AH20">
    <cfRule type="cellIs" dxfId="12969" priority="2115" operator="equal">
      <formula>1</formula>
    </cfRule>
    <cfRule type="cellIs" dxfId="12968" priority="2116" operator="equal">
      <formula>"×"</formula>
    </cfRule>
  </conditionalFormatting>
  <conditionalFormatting sqref="AH20">
    <cfRule type="cellIs" dxfId="12967" priority="2103" operator="equal">
      <formula>1</formula>
    </cfRule>
    <cfRule type="cellIs" dxfId="12966" priority="2104" operator="equal">
      <formula>"×"</formula>
    </cfRule>
  </conditionalFormatting>
  <conditionalFormatting sqref="AB20:AD20 AC21:AC25">
    <cfRule type="cellIs" dxfId="12965" priority="2101" operator="equal">
      <formula>1</formula>
    </cfRule>
    <cfRule type="cellIs" dxfId="12964" priority="2102" operator="equal">
      <formula>"×"</formula>
    </cfRule>
  </conditionalFormatting>
  <conditionalFormatting sqref="AB20:AE24">
    <cfRule type="cellIs" dxfId="12963" priority="2099" operator="equal">
      <formula>1</formula>
    </cfRule>
    <cfRule type="cellIs" dxfId="12962" priority="2100" operator="equal">
      <formula>"×"</formula>
    </cfRule>
  </conditionalFormatting>
  <conditionalFormatting sqref="AB20:AE24">
    <cfRule type="cellIs" dxfId="12961" priority="2097" operator="equal">
      <formula>1</formula>
    </cfRule>
    <cfRule type="cellIs" dxfId="12960" priority="2098" operator="equal">
      <formula>"×"</formula>
    </cfRule>
  </conditionalFormatting>
  <conditionalFormatting sqref="AF23:AI23">
    <cfRule type="cellIs" dxfId="12959" priority="2095" operator="equal">
      <formula>1</formula>
    </cfRule>
    <cfRule type="cellIs" dxfId="12958" priority="2096" operator="equal">
      <formula>"×"</formula>
    </cfRule>
  </conditionalFormatting>
  <conditionalFormatting sqref="AF23">
    <cfRule type="cellIs" dxfId="12957" priority="2079" operator="equal">
      <formula>1</formula>
    </cfRule>
    <cfRule type="cellIs" dxfId="12956" priority="2080" operator="equal">
      <formula>"×"</formula>
    </cfRule>
  </conditionalFormatting>
  <conditionalFormatting sqref="AF23">
    <cfRule type="cellIs" dxfId="12955" priority="2077" operator="equal">
      <formula>1</formula>
    </cfRule>
    <cfRule type="cellIs" dxfId="12954" priority="2078" operator="equal">
      <formula>"×"</formula>
    </cfRule>
  </conditionalFormatting>
  <conditionalFormatting sqref="AF19:AI19">
    <cfRule type="cellIs" dxfId="12953" priority="29263" operator="equal">
      <formula>1</formula>
    </cfRule>
    <cfRule type="cellIs" dxfId="12952" priority="29264" operator="equal">
      <formula>"×"</formula>
    </cfRule>
  </conditionalFormatting>
  <conditionalFormatting sqref="AF23">
    <cfRule type="cellIs" dxfId="12951" priority="2005" operator="equal">
      <formula>1</formula>
    </cfRule>
    <cfRule type="cellIs" dxfId="12950" priority="2006" operator="equal">
      <formula>"×"</formula>
    </cfRule>
  </conditionalFormatting>
  <conditionalFormatting sqref="AI23">
    <cfRule type="cellIs" dxfId="12949" priority="2001" operator="equal">
      <formula>1</formula>
    </cfRule>
    <cfRule type="cellIs" dxfId="12948" priority="2002" operator="equal">
      <formula>"×"</formula>
    </cfRule>
  </conditionalFormatting>
  <conditionalFormatting sqref="AG23:AI23">
    <cfRule type="cellIs" dxfId="12947" priority="2003" operator="equal">
      <formula>1</formula>
    </cfRule>
    <cfRule type="cellIs" dxfId="12946" priority="2004" operator="equal">
      <formula>"×"</formula>
    </cfRule>
  </conditionalFormatting>
  <conditionalFormatting sqref="AG23:AI23">
    <cfRule type="cellIs" dxfId="12945" priority="1999" operator="equal">
      <formula>1</formula>
    </cfRule>
    <cfRule type="cellIs" dxfId="12944" priority="2000" operator="equal">
      <formula>"×"</formula>
    </cfRule>
  </conditionalFormatting>
  <conditionalFormatting sqref="AG23:AI23">
    <cfRule type="cellIs" dxfId="12943" priority="1997" operator="equal">
      <formula>1</formula>
    </cfRule>
    <cfRule type="cellIs" dxfId="12942" priority="1998" operator="equal">
      <formula>"×"</formula>
    </cfRule>
  </conditionalFormatting>
  <conditionalFormatting sqref="AI23">
    <cfRule type="cellIs" dxfId="12941" priority="1995" operator="equal">
      <formula>1</formula>
    </cfRule>
    <cfRule type="cellIs" dxfId="12940" priority="1996" operator="equal">
      <formula>"×"</formula>
    </cfRule>
  </conditionalFormatting>
  <conditionalFormatting sqref="AG23:AI23">
    <cfRule type="cellIs" dxfId="12939" priority="1993" operator="equal">
      <formula>1</formula>
    </cfRule>
    <cfRule type="cellIs" dxfId="12938" priority="1994" operator="equal">
      <formula>"×"</formula>
    </cfRule>
  </conditionalFormatting>
  <conditionalFormatting sqref="AG23:AI23">
    <cfRule type="cellIs" dxfId="12937" priority="1967" operator="equal">
      <formula>1</formula>
    </cfRule>
    <cfRule type="cellIs" dxfId="12936" priority="1968" operator="equal">
      <formula>"×"</formula>
    </cfRule>
  </conditionalFormatting>
  <conditionalFormatting sqref="AF23:AI23">
    <cfRule type="cellIs" dxfId="12935" priority="1939" operator="equal">
      <formula>1</formula>
    </cfRule>
    <cfRule type="cellIs" dxfId="12934" priority="1940" operator="equal">
      <formula>"×"</formula>
    </cfRule>
  </conditionalFormatting>
  <conditionalFormatting sqref="AF23">
    <cfRule type="cellIs" dxfId="12933" priority="1937" operator="equal">
      <formula>1</formula>
    </cfRule>
    <cfRule type="cellIs" dxfId="12932" priority="1938" operator="equal">
      <formula>"×"</formula>
    </cfRule>
  </conditionalFormatting>
  <conditionalFormatting sqref="AF23:AI23">
    <cfRule type="cellIs" dxfId="12931" priority="1933" operator="equal">
      <formula>1</formula>
    </cfRule>
    <cfRule type="cellIs" dxfId="12930" priority="1934" operator="equal">
      <formula>"×"</formula>
    </cfRule>
  </conditionalFormatting>
  <conditionalFormatting sqref="AF23">
    <cfRule type="cellIs" dxfId="12929" priority="1935" operator="equal">
      <formula>1</formula>
    </cfRule>
    <cfRule type="cellIs" dxfId="12928" priority="1936" operator="equal">
      <formula>"×"</formula>
    </cfRule>
  </conditionalFormatting>
  <conditionalFormatting sqref="AI23">
    <cfRule type="cellIs" dxfId="12927" priority="1955" operator="equal">
      <formula>1</formula>
    </cfRule>
    <cfRule type="cellIs" dxfId="12926" priority="1956" operator="equal">
      <formula>"×"</formula>
    </cfRule>
  </conditionalFormatting>
  <conditionalFormatting sqref="AF23">
    <cfRule type="cellIs" dxfId="12925" priority="1945" operator="equal">
      <formula>1</formula>
    </cfRule>
    <cfRule type="cellIs" dxfId="12924" priority="1946" operator="equal">
      <formula>"×"</formula>
    </cfRule>
  </conditionalFormatting>
  <conditionalFormatting sqref="AF23">
    <cfRule type="cellIs" dxfId="12923" priority="1943" operator="equal">
      <formula>1</formula>
    </cfRule>
    <cfRule type="cellIs" dxfId="12922" priority="1944" operator="equal">
      <formula>"×"</formula>
    </cfRule>
  </conditionalFormatting>
  <conditionalFormatting sqref="AF23:AI23">
    <cfRule type="cellIs" dxfId="12921" priority="1941" operator="equal">
      <formula>1</formula>
    </cfRule>
    <cfRule type="cellIs" dxfId="12920" priority="1942" operator="equal">
      <formula>"×"</formula>
    </cfRule>
  </conditionalFormatting>
  <conditionalFormatting sqref="AF23">
    <cfRule type="cellIs" dxfId="12919" priority="1913" operator="equal">
      <formula>1</formula>
    </cfRule>
    <cfRule type="cellIs" dxfId="12918" priority="1914" operator="equal">
      <formula>"×"</formula>
    </cfRule>
  </conditionalFormatting>
  <conditionalFormatting sqref="AF23">
    <cfRule type="cellIs" dxfId="12917" priority="1909" operator="equal">
      <formula>1</formula>
    </cfRule>
    <cfRule type="cellIs" dxfId="12916" priority="1910" operator="equal">
      <formula>"×"</formula>
    </cfRule>
  </conditionalFormatting>
  <conditionalFormatting sqref="AH22:AI22">
    <cfRule type="cellIs" dxfId="12915" priority="1907" operator="equal">
      <formula>1</formula>
    </cfRule>
    <cfRule type="cellIs" dxfId="12914" priority="1908" operator="equal">
      <formula>"×"</formula>
    </cfRule>
  </conditionalFormatting>
  <conditionalFormatting sqref="AI23">
    <cfRule type="cellIs" dxfId="12913" priority="1931" operator="equal">
      <formula>1</formula>
    </cfRule>
    <cfRule type="cellIs" dxfId="12912" priority="1932" operator="equal">
      <formula>"×"</formula>
    </cfRule>
  </conditionalFormatting>
  <conditionalFormatting sqref="AF23:AI23">
    <cfRule type="cellIs" dxfId="12911" priority="1927" operator="equal">
      <formula>1</formula>
    </cfRule>
    <cfRule type="cellIs" dxfId="12910" priority="1928" operator="equal">
      <formula>"×"</formula>
    </cfRule>
  </conditionalFormatting>
  <conditionalFormatting sqref="AF23:AI23">
    <cfRule type="cellIs" dxfId="12909" priority="1925" operator="equal">
      <formula>1</formula>
    </cfRule>
    <cfRule type="cellIs" dxfId="12908" priority="1926" operator="equal">
      <formula>"×"</formula>
    </cfRule>
  </conditionalFormatting>
  <conditionalFormatting sqref="AF23">
    <cfRule type="cellIs" dxfId="12907" priority="1919" operator="equal">
      <formula>1</formula>
    </cfRule>
    <cfRule type="cellIs" dxfId="12906" priority="1920" operator="equal">
      <formula>"×"</formula>
    </cfRule>
  </conditionalFormatting>
  <conditionalFormatting sqref="AF23">
    <cfRule type="cellIs" dxfId="12905" priority="1917" operator="equal">
      <formula>1</formula>
    </cfRule>
    <cfRule type="cellIs" dxfId="12904" priority="1918" operator="equal">
      <formula>"×"</formula>
    </cfRule>
  </conditionalFormatting>
  <conditionalFormatting sqref="AF23">
    <cfRule type="cellIs" dxfId="12903" priority="1915" operator="equal">
      <formula>1</formula>
    </cfRule>
    <cfRule type="cellIs" dxfId="12902" priority="1916" operator="equal">
      <formula>"×"</formula>
    </cfRule>
  </conditionalFormatting>
  <conditionalFormatting sqref="AI22">
    <cfRule type="cellIs" dxfId="12901" priority="1905" operator="equal">
      <formula>1</formula>
    </cfRule>
    <cfRule type="cellIs" dxfId="12900" priority="1906" operator="equal">
      <formula>"×"</formula>
    </cfRule>
  </conditionalFormatting>
  <conditionalFormatting sqref="AH20">
    <cfRule type="cellIs" dxfId="12899" priority="1893" operator="equal">
      <formula>1</formula>
    </cfRule>
    <cfRule type="cellIs" dxfId="12898" priority="1894" operator="equal">
      <formula>"×"</formula>
    </cfRule>
  </conditionalFormatting>
  <conditionalFormatting sqref="AH20">
    <cfRule type="cellIs" dxfId="12897" priority="1869" operator="equal">
      <formula>1</formula>
    </cfRule>
    <cfRule type="cellIs" dxfId="12896" priority="1870" operator="equal">
      <formula>"×"</formula>
    </cfRule>
  </conditionalFormatting>
  <conditionalFormatting sqref="AH20">
    <cfRule type="cellIs" dxfId="12895" priority="1867" operator="equal">
      <formula>1</formula>
    </cfRule>
    <cfRule type="cellIs" dxfId="12894" priority="1868" operator="equal">
      <formula>"×"</formula>
    </cfRule>
  </conditionalFormatting>
  <conditionalFormatting sqref="AF20:AF23">
    <cfRule type="cellIs" dxfId="12893" priority="1839" operator="equal">
      <formula>1</formula>
    </cfRule>
    <cfRule type="cellIs" dxfId="12892" priority="1840" operator="equal">
      <formula>"×"</formula>
    </cfRule>
  </conditionalFormatting>
  <conditionalFormatting sqref="AF20:AF23">
    <cfRule type="cellIs" dxfId="12891" priority="1837" operator="equal">
      <formula>1</formula>
    </cfRule>
    <cfRule type="cellIs" dxfId="12890" priority="1838" operator="equal">
      <formula>"×"</formula>
    </cfRule>
  </conditionalFormatting>
  <conditionalFormatting sqref="AF20:AF23">
    <cfRule type="cellIs" dxfId="12889" priority="1833" operator="equal">
      <formula>1</formula>
    </cfRule>
    <cfRule type="cellIs" dxfId="12888" priority="1834" operator="equal">
      <formula>"×"</formula>
    </cfRule>
  </conditionalFormatting>
  <conditionalFormatting sqref="AF20:AF23">
    <cfRule type="cellIs" dxfId="12887" priority="1835" operator="equal">
      <formula>1</formula>
    </cfRule>
    <cfRule type="cellIs" dxfId="12886" priority="1836" operator="equal">
      <formula>"×"</formula>
    </cfRule>
  </conditionalFormatting>
  <conditionalFormatting sqref="AF20:AG23">
    <cfRule type="cellIs" dxfId="12885" priority="1855" operator="equal">
      <formula>1</formula>
    </cfRule>
    <cfRule type="cellIs" dxfId="12884" priority="1856" operator="equal">
      <formula>"×"</formula>
    </cfRule>
  </conditionalFormatting>
  <conditionalFormatting sqref="AG20:AG23">
    <cfRule type="cellIs" dxfId="12883" priority="1853" operator="equal">
      <formula>1</formula>
    </cfRule>
    <cfRule type="cellIs" dxfId="12882" priority="1854" operator="equal">
      <formula>"×"</formula>
    </cfRule>
  </conditionalFormatting>
  <conditionalFormatting sqref="AG20:AG23">
    <cfRule type="cellIs" dxfId="12881" priority="1851" operator="equal">
      <formula>1</formula>
    </cfRule>
    <cfRule type="cellIs" dxfId="12880" priority="1852" operator="equal">
      <formula>"×"</formula>
    </cfRule>
  </conditionalFormatting>
  <conditionalFormatting sqref="AF20:AF23">
    <cfRule type="cellIs" dxfId="12879" priority="1849" operator="equal">
      <formula>1</formula>
    </cfRule>
    <cfRule type="cellIs" dxfId="12878" priority="1850" operator="equal">
      <formula>"×"</formula>
    </cfRule>
  </conditionalFormatting>
  <conditionalFormatting sqref="AF20:AF23">
    <cfRule type="cellIs" dxfId="12877" priority="1847" operator="equal">
      <formula>1</formula>
    </cfRule>
    <cfRule type="cellIs" dxfId="12876" priority="1848" operator="equal">
      <formula>"×"</formula>
    </cfRule>
  </conditionalFormatting>
  <conditionalFormatting sqref="AF20:AF23">
    <cfRule type="cellIs" dxfId="12875" priority="1845" operator="equal">
      <formula>1</formula>
    </cfRule>
    <cfRule type="cellIs" dxfId="12874" priority="1846" operator="equal">
      <formula>"×"</formula>
    </cfRule>
  </conditionalFormatting>
  <conditionalFormatting sqref="AF20:AF23">
    <cfRule type="cellIs" dxfId="12873" priority="1843" operator="equal">
      <formula>1</formula>
    </cfRule>
    <cfRule type="cellIs" dxfId="12872" priority="1844" operator="equal">
      <formula>"×"</formula>
    </cfRule>
  </conditionalFormatting>
  <conditionalFormatting sqref="AF20:AF23">
    <cfRule type="cellIs" dxfId="12871" priority="1841" operator="equal">
      <formula>1</formula>
    </cfRule>
    <cfRule type="cellIs" dxfId="12870" priority="1842" operator="equal">
      <formula>"×"</formula>
    </cfRule>
  </conditionalFormatting>
  <conditionalFormatting sqref="AI23">
    <cfRule type="cellIs" dxfId="12869" priority="1711" operator="equal">
      <formula>1</formula>
    </cfRule>
    <cfRule type="cellIs" dxfId="12868" priority="1712" operator="equal">
      <formula>"×"</formula>
    </cfRule>
  </conditionalFormatting>
  <conditionalFormatting sqref="AI23">
    <cfRule type="cellIs" dxfId="12867" priority="1709" operator="equal">
      <formula>1</formula>
    </cfRule>
    <cfRule type="cellIs" dxfId="12866" priority="1710" operator="equal">
      <formula>"×"</formula>
    </cfRule>
  </conditionalFormatting>
  <conditionalFormatting sqref="AI23">
    <cfRule type="cellIs" dxfId="12865" priority="1717" operator="equal">
      <formula>1</formula>
    </cfRule>
    <cfRule type="cellIs" dxfId="12864" priority="1718" operator="equal">
      <formula>"×"</formula>
    </cfRule>
  </conditionalFormatting>
  <conditionalFormatting sqref="AG23:AI23">
    <cfRule type="cellIs" dxfId="12863" priority="1715" operator="equal">
      <formula>1</formula>
    </cfRule>
    <cfRule type="cellIs" dxfId="12862" priority="1716" operator="equal">
      <formula>"×"</formula>
    </cfRule>
  </conditionalFormatting>
  <conditionalFormatting sqref="AI23">
    <cfRule type="cellIs" dxfId="12861" priority="1713" operator="equal">
      <formula>1</formula>
    </cfRule>
    <cfRule type="cellIs" dxfId="12860" priority="1714" operator="equal">
      <formula>"×"</formula>
    </cfRule>
  </conditionalFormatting>
  <conditionalFormatting sqref="AE14">
    <cfRule type="cellIs" dxfId="12859" priority="5341" operator="equal">
      <formula>1</formula>
    </cfRule>
    <cfRule type="cellIs" dxfId="12858" priority="5342" operator="equal">
      <formula>"×"</formula>
    </cfRule>
  </conditionalFormatting>
  <conditionalFormatting sqref="AH20">
    <cfRule type="cellIs" dxfId="12857" priority="1623" operator="equal">
      <formula>1</formula>
    </cfRule>
    <cfRule type="cellIs" dxfId="12856" priority="1624" operator="equal">
      <formula>"×"</formula>
    </cfRule>
  </conditionalFormatting>
  <conditionalFormatting sqref="AF20:AG23">
    <cfRule type="cellIs" dxfId="12855" priority="1621" operator="equal">
      <formula>1</formula>
    </cfRule>
    <cfRule type="cellIs" dxfId="12854" priority="1622" operator="equal">
      <formula>"×"</formula>
    </cfRule>
  </conditionalFormatting>
  <conditionalFormatting sqref="AE14">
    <cfRule type="cellIs" dxfId="12853" priority="5337" operator="equal">
      <formula>1</formula>
    </cfRule>
    <cfRule type="cellIs" dxfId="12852" priority="5338" operator="equal">
      <formula>"×"</formula>
    </cfRule>
  </conditionalFormatting>
  <conditionalFormatting sqref="AE14">
    <cfRule type="cellIs" dxfId="12851" priority="5339" operator="equal">
      <formula>1</formula>
    </cfRule>
    <cfRule type="cellIs" dxfId="12850" priority="5340" operator="equal">
      <formula>"×"</formula>
    </cfRule>
  </conditionalFormatting>
  <conditionalFormatting sqref="AE14">
    <cfRule type="cellIs" dxfId="12849" priority="5335" operator="equal">
      <formula>1</formula>
    </cfRule>
    <cfRule type="cellIs" dxfId="12848" priority="5336" operator="equal">
      <formula>"×"</formula>
    </cfRule>
  </conditionalFormatting>
  <conditionalFormatting sqref="AE14">
    <cfRule type="cellIs" dxfId="12847" priority="5333" operator="equal">
      <formula>1</formula>
    </cfRule>
    <cfRule type="cellIs" dxfId="12846" priority="5334" operator="equal">
      <formula>"×"</formula>
    </cfRule>
  </conditionalFormatting>
  <conditionalFormatting sqref="AE14 AF12">
    <cfRule type="cellIs" dxfId="12845" priority="5331" operator="equal">
      <formula>1</formula>
    </cfRule>
    <cfRule type="cellIs" dxfId="12844" priority="5332" operator="equal">
      <formula>"×"</formula>
    </cfRule>
  </conditionalFormatting>
  <conditionalFormatting sqref="AE14 AF12">
    <cfRule type="cellIs" dxfId="12843" priority="5329" operator="equal">
      <formula>1</formula>
    </cfRule>
    <cfRule type="cellIs" dxfId="12842" priority="5330" operator="equal">
      <formula>"×"</formula>
    </cfRule>
  </conditionalFormatting>
  <conditionalFormatting sqref="AE14 AF12">
    <cfRule type="cellIs" dxfId="12841" priority="5327" operator="equal">
      <formula>1</formula>
    </cfRule>
    <cfRule type="cellIs" dxfId="12840" priority="5328" operator="equal">
      <formula>"×"</formula>
    </cfRule>
  </conditionalFormatting>
  <conditionalFormatting sqref="AE14 AF12">
    <cfRule type="cellIs" dxfId="12839" priority="5325" operator="equal">
      <formula>1</formula>
    </cfRule>
    <cfRule type="cellIs" dxfId="12838" priority="5326" operator="equal">
      <formula>"×"</formula>
    </cfRule>
  </conditionalFormatting>
  <conditionalFormatting sqref="AE14 AF12">
    <cfRule type="cellIs" dxfId="12837" priority="5323" operator="equal">
      <formula>1</formula>
    </cfRule>
    <cfRule type="cellIs" dxfId="12836" priority="5324" operator="equal">
      <formula>"×"</formula>
    </cfRule>
  </conditionalFormatting>
  <conditionalFormatting sqref="AE14 AF12">
    <cfRule type="cellIs" dxfId="12835" priority="5321" operator="equal">
      <formula>1</formula>
    </cfRule>
    <cfRule type="cellIs" dxfId="12834" priority="5322" operator="equal">
      <formula>"×"</formula>
    </cfRule>
  </conditionalFormatting>
  <conditionalFormatting sqref="AE14 AF12">
    <cfRule type="cellIs" dxfId="12833" priority="5319" operator="equal">
      <formula>1</formula>
    </cfRule>
    <cfRule type="cellIs" dxfId="12832" priority="5320" operator="equal">
      <formula>"×"</formula>
    </cfRule>
  </conditionalFormatting>
  <conditionalFormatting sqref="AH20">
    <cfRule type="cellIs" dxfId="12831" priority="1629" operator="equal">
      <formula>1</formula>
    </cfRule>
    <cfRule type="cellIs" dxfId="12830" priority="1630" operator="equal">
      <formula>"×"</formula>
    </cfRule>
  </conditionalFormatting>
  <conditionalFormatting sqref="AH20">
    <cfRule type="cellIs" dxfId="12829" priority="1627" operator="equal">
      <formula>1</formula>
    </cfRule>
    <cfRule type="cellIs" dxfId="12828" priority="1628" operator="equal">
      <formula>"×"</formula>
    </cfRule>
  </conditionalFormatting>
  <conditionalFormatting sqref="AH20">
    <cfRule type="cellIs" dxfId="12827" priority="1625" operator="equal">
      <formula>1</formula>
    </cfRule>
    <cfRule type="cellIs" dxfId="12826" priority="1626" operator="equal">
      <formula>"×"</formula>
    </cfRule>
  </conditionalFormatting>
  <conditionalFormatting sqref="AF20:AG23">
    <cfRule type="cellIs" dxfId="12825" priority="1619" operator="equal">
      <formula>1</formula>
    </cfRule>
    <cfRule type="cellIs" dxfId="12824" priority="1620" operator="equal">
      <formula>"×"</formula>
    </cfRule>
  </conditionalFormatting>
  <conditionalFormatting sqref="AG20:AG23">
    <cfRule type="cellIs" dxfId="12823" priority="1617" operator="equal">
      <formula>1</formula>
    </cfRule>
    <cfRule type="cellIs" dxfId="12822" priority="1618" operator="equal">
      <formula>"×"</formula>
    </cfRule>
  </conditionalFormatting>
  <conditionalFormatting sqref="AG20:AG23">
    <cfRule type="cellIs" dxfId="12821" priority="1615" operator="equal">
      <formula>1</formula>
    </cfRule>
    <cfRule type="cellIs" dxfId="12820" priority="1616" operator="equal">
      <formula>"×"</formula>
    </cfRule>
  </conditionalFormatting>
  <conditionalFormatting sqref="AF20:AF23">
    <cfRule type="cellIs" dxfId="12819" priority="1613" operator="equal">
      <formula>1</formula>
    </cfRule>
    <cfRule type="cellIs" dxfId="12818" priority="1614" operator="equal">
      <formula>"×"</formula>
    </cfRule>
  </conditionalFormatting>
  <conditionalFormatting sqref="AF20:AF23">
    <cfRule type="cellIs" dxfId="12817" priority="1611" operator="equal">
      <formula>1</formula>
    </cfRule>
    <cfRule type="cellIs" dxfId="12816" priority="1612" operator="equal">
      <formula>"×"</formula>
    </cfRule>
  </conditionalFormatting>
  <conditionalFormatting sqref="AF20:AF23">
    <cfRule type="cellIs" dxfId="12815" priority="1609" operator="equal">
      <formula>1</formula>
    </cfRule>
    <cfRule type="cellIs" dxfId="12814" priority="1610" operator="equal">
      <formula>"×"</formula>
    </cfRule>
  </conditionalFormatting>
  <conditionalFormatting sqref="AF20:AF23">
    <cfRule type="cellIs" dxfId="12813" priority="1607" operator="equal">
      <formula>1</formula>
    </cfRule>
    <cfRule type="cellIs" dxfId="12812" priority="1608" operator="equal">
      <formula>"×"</formula>
    </cfRule>
  </conditionalFormatting>
  <conditionalFormatting sqref="AF20:AF23">
    <cfRule type="cellIs" dxfId="12811" priority="1605" operator="equal">
      <formula>1</formula>
    </cfRule>
    <cfRule type="cellIs" dxfId="12810" priority="1606" operator="equal">
      <formula>"×"</formula>
    </cfRule>
  </conditionalFormatting>
  <conditionalFormatting sqref="AF20:AF23">
    <cfRule type="cellIs" dxfId="12809" priority="1603" operator="equal">
      <formula>1</formula>
    </cfRule>
    <cfRule type="cellIs" dxfId="12808" priority="1604" operator="equal">
      <formula>"×"</formula>
    </cfRule>
  </conditionalFormatting>
  <conditionalFormatting sqref="AF20:AF23">
    <cfRule type="cellIs" dxfId="12807" priority="1601" operator="equal">
      <formula>1</formula>
    </cfRule>
    <cfRule type="cellIs" dxfId="12806" priority="1602" operator="equal">
      <formula>"×"</formula>
    </cfRule>
  </conditionalFormatting>
  <conditionalFormatting sqref="AF20:AF23">
    <cfRule type="cellIs" dxfId="12805" priority="1599" operator="equal">
      <formula>1</formula>
    </cfRule>
    <cfRule type="cellIs" dxfId="12804" priority="1600" operator="equal">
      <formula>"×"</formula>
    </cfRule>
  </conditionalFormatting>
  <conditionalFormatting sqref="AF20:AF23">
    <cfRule type="cellIs" dxfId="12803" priority="1597" operator="equal">
      <formula>1</formula>
    </cfRule>
    <cfRule type="cellIs" dxfId="12802" priority="1598" operator="equal">
      <formula>"×"</formula>
    </cfRule>
  </conditionalFormatting>
  <conditionalFormatting sqref="AF20:AF23">
    <cfRule type="cellIs" dxfId="12801" priority="1595" operator="equal">
      <formula>1</formula>
    </cfRule>
    <cfRule type="cellIs" dxfId="12800" priority="1596" operator="equal">
      <formula>"×"</formula>
    </cfRule>
  </conditionalFormatting>
  <conditionalFormatting sqref="AF20:AF23">
    <cfRule type="cellIs" dxfId="12799" priority="1593" operator="equal">
      <formula>1</formula>
    </cfRule>
    <cfRule type="cellIs" dxfId="12798" priority="1594" operator="equal">
      <formula>"×"</formula>
    </cfRule>
  </conditionalFormatting>
  <conditionalFormatting sqref="AF20:AF23">
    <cfRule type="cellIs" dxfId="12797" priority="1591" operator="equal">
      <formula>1</formula>
    </cfRule>
    <cfRule type="cellIs" dxfId="12796" priority="1592" operator="equal">
      <formula>"×"</formula>
    </cfRule>
  </conditionalFormatting>
  <conditionalFormatting sqref="AH11:AI11">
    <cfRule type="cellIs" dxfId="12795" priority="5277" operator="equal">
      <formula>1</formula>
    </cfRule>
    <cfRule type="cellIs" dxfId="12794" priority="5278" operator="equal">
      <formula>"×"</formula>
    </cfRule>
  </conditionalFormatting>
  <conditionalFormatting sqref="AI11">
    <cfRule type="cellIs" dxfId="12793" priority="5275" operator="equal">
      <formula>1</formula>
    </cfRule>
    <cfRule type="cellIs" dxfId="12792" priority="5276" operator="equal">
      <formula>"×"</formula>
    </cfRule>
  </conditionalFormatting>
  <conditionalFormatting sqref="AH11:AI11">
    <cfRule type="cellIs" dxfId="12791" priority="5273" operator="equal">
      <formula>1</formula>
    </cfRule>
    <cfRule type="cellIs" dxfId="12790" priority="5274" operator="equal">
      <formula>"×"</formula>
    </cfRule>
  </conditionalFormatting>
  <conditionalFormatting sqref="AH11:AI11">
    <cfRule type="cellIs" dxfId="12789" priority="5271" operator="equal">
      <formula>1</formula>
    </cfRule>
    <cfRule type="cellIs" dxfId="12788" priority="5272" operator="equal">
      <formula>"×"</formula>
    </cfRule>
  </conditionalFormatting>
  <conditionalFormatting sqref="AI11">
    <cfRule type="cellIs" dxfId="12787" priority="5269" operator="equal">
      <formula>1</formula>
    </cfRule>
    <cfRule type="cellIs" dxfId="12786" priority="5270" operator="equal">
      <formula>"×"</formula>
    </cfRule>
  </conditionalFormatting>
  <conditionalFormatting sqref="AH11:AI11">
    <cfRule type="cellIs" dxfId="12785" priority="5267" operator="equal">
      <formula>1</formula>
    </cfRule>
    <cfRule type="cellIs" dxfId="12784" priority="5268" operator="equal">
      <formula>"×"</formula>
    </cfRule>
  </conditionalFormatting>
  <conditionalFormatting sqref="AE8:AG8">
    <cfRule type="cellIs" dxfId="12783" priority="5265" operator="equal">
      <formula>1</formula>
    </cfRule>
    <cfRule type="cellIs" dxfId="12782" priority="5266" operator="equal">
      <formula>"×"</formula>
    </cfRule>
  </conditionalFormatting>
  <conditionalFormatting sqref="AE8:AG8">
    <cfRule type="cellIs" dxfId="12781" priority="5263" operator="equal">
      <formula>1</formula>
    </cfRule>
    <cfRule type="cellIs" dxfId="12780" priority="5264" operator="equal">
      <formula>"×"</formula>
    </cfRule>
  </conditionalFormatting>
  <conditionalFormatting sqref="AE8:AG8">
    <cfRule type="cellIs" dxfId="12779" priority="5261" operator="equal">
      <formula>1</formula>
    </cfRule>
    <cfRule type="cellIs" dxfId="12778" priority="5262" operator="equal">
      <formula>"×"</formula>
    </cfRule>
  </conditionalFormatting>
  <conditionalFormatting sqref="AE8:AG8">
    <cfRule type="cellIs" dxfId="12777" priority="5259" operator="equal">
      <formula>1</formula>
    </cfRule>
    <cfRule type="cellIs" dxfId="12776" priority="5260" operator="equal">
      <formula>"×"</formula>
    </cfRule>
  </conditionalFormatting>
  <conditionalFormatting sqref="AE8:AG8">
    <cfRule type="cellIs" dxfId="12775" priority="5257" operator="equal">
      <formula>1</formula>
    </cfRule>
    <cfRule type="cellIs" dxfId="12774" priority="5258" operator="equal">
      <formula>"×"</formula>
    </cfRule>
  </conditionalFormatting>
  <conditionalFormatting sqref="AE8:AG8">
    <cfRule type="cellIs" dxfId="12773" priority="5253" operator="equal">
      <formula>1</formula>
    </cfRule>
    <cfRule type="cellIs" dxfId="12772" priority="5254" operator="equal">
      <formula>"×"</formula>
    </cfRule>
  </conditionalFormatting>
  <conditionalFormatting sqref="AE8:AG8">
    <cfRule type="cellIs" dxfId="12771" priority="5255" operator="equal">
      <formula>1</formula>
    </cfRule>
    <cfRule type="cellIs" dxfId="12770" priority="5256" operator="equal">
      <formula>"×"</formula>
    </cfRule>
  </conditionalFormatting>
  <conditionalFormatting sqref="AE8:AG8">
    <cfRule type="cellIs" dxfId="12769" priority="5251" operator="equal">
      <formula>1</formula>
    </cfRule>
    <cfRule type="cellIs" dxfId="12768" priority="5252" operator="equal">
      <formula>"×"</formula>
    </cfRule>
  </conditionalFormatting>
  <conditionalFormatting sqref="AE8:AG8">
    <cfRule type="cellIs" dxfId="12767" priority="5249" operator="equal">
      <formula>1</formula>
    </cfRule>
    <cfRule type="cellIs" dxfId="12766" priority="5250" operator="equal">
      <formula>"×"</formula>
    </cfRule>
  </conditionalFormatting>
  <conditionalFormatting sqref="AE8:AG8">
    <cfRule type="cellIs" dxfId="12765" priority="5247" operator="equal">
      <formula>1</formula>
    </cfRule>
    <cfRule type="cellIs" dxfId="12764" priority="5248" operator="equal">
      <formula>"×"</formula>
    </cfRule>
  </conditionalFormatting>
  <conditionalFormatting sqref="AE8:AG8">
    <cfRule type="cellIs" dxfId="12763" priority="5245" operator="equal">
      <formula>1</formula>
    </cfRule>
    <cfRule type="cellIs" dxfId="12762" priority="5246" operator="equal">
      <formula>"×"</formula>
    </cfRule>
  </conditionalFormatting>
  <conditionalFormatting sqref="AE8:AG8">
    <cfRule type="cellIs" dxfId="12761" priority="5243" operator="equal">
      <formula>1</formula>
    </cfRule>
    <cfRule type="cellIs" dxfId="12760" priority="5244" operator="equal">
      <formula>"×"</formula>
    </cfRule>
  </conditionalFormatting>
  <conditionalFormatting sqref="AE8:AG8">
    <cfRule type="cellIs" dxfId="12759" priority="5241" operator="equal">
      <formula>1</formula>
    </cfRule>
    <cfRule type="cellIs" dxfId="12758" priority="5242" operator="equal">
      <formula>"×"</formula>
    </cfRule>
  </conditionalFormatting>
  <conditionalFormatting sqref="AE8:AG8">
    <cfRule type="cellIs" dxfId="12757" priority="5239" operator="equal">
      <formula>1</formula>
    </cfRule>
    <cfRule type="cellIs" dxfId="12756" priority="5240" operator="equal">
      <formula>"×"</formula>
    </cfRule>
  </conditionalFormatting>
  <conditionalFormatting sqref="AE8:AG8">
    <cfRule type="cellIs" dxfId="12755" priority="5237" operator="equal">
      <formula>1</formula>
    </cfRule>
    <cfRule type="cellIs" dxfId="12754" priority="5238" operator="equal">
      <formula>"×"</formula>
    </cfRule>
  </conditionalFormatting>
  <conditionalFormatting sqref="AE8:AG8">
    <cfRule type="cellIs" dxfId="12753" priority="5235" operator="equal">
      <formula>1</formula>
    </cfRule>
    <cfRule type="cellIs" dxfId="12752" priority="5236" operator="equal">
      <formula>"×"</formula>
    </cfRule>
  </conditionalFormatting>
  <conditionalFormatting sqref="AH8:AI8">
    <cfRule type="cellIs" dxfId="12751" priority="5211" operator="equal">
      <formula>1</formula>
    </cfRule>
    <cfRule type="cellIs" dxfId="12750" priority="5212" operator="equal">
      <formula>"×"</formula>
    </cfRule>
  </conditionalFormatting>
  <conditionalFormatting sqref="AH8:AI8">
    <cfRule type="cellIs" dxfId="12749" priority="5209" operator="equal">
      <formula>1</formula>
    </cfRule>
    <cfRule type="cellIs" dxfId="12748" priority="5210" operator="equal">
      <formula>"×"</formula>
    </cfRule>
  </conditionalFormatting>
  <conditionalFormatting sqref="AH8:AI8">
    <cfRule type="cellIs" dxfId="12747" priority="5207" operator="equal">
      <formula>1</formula>
    </cfRule>
    <cfRule type="cellIs" dxfId="12746" priority="5208" operator="equal">
      <formula>"×"</formula>
    </cfRule>
  </conditionalFormatting>
  <conditionalFormatting sqref="AH8:AI8">
    <cfRule type="cellIs" dxfId="12745" priority="5233" operator="equal">
      <formula>1</formula>
    </cfRule>
    <cfRule type="cellIs" dxfId="12744" priority="5234" operator="equal">
      <formula>"×"</formula>
    </cfRule>
  </conditionalFormatting>
  <conditionalFormatting sqref="AH8:AI8">
    <cfRule type="cellIs" dxfId="12743" priority="5231" operator="equal">
      <formula>1</formula>
    </cfRule>
    <cfRule type="cellIs" dxfId="12742" priority="5232" operator="equal">
      <formula>"×"</formula>
    </cfRule>
  </conditionalFormatting>
  <conditionalFormatting sqref="AH8:AI8">
    <cfRule type="cellIs" dxfId="12741" priority="5229" operator="equal">
      <formula>1</formula>
    </cfRule>
    <cfRule type="cellIs" dxfId="12740" priority="5230" operator="equal">
      <formula>"×"</formula>
    </cfRule>
  </conditionalFormatting>
  <conditionalFormatting sqref="AH8:AI8">
    <cfRule type="cellIs" dxfId="12739" priority="5227" operator="equal">
      <formula>1</formula>
    </cfRule>
    <cfRule type="cellIs" dxfId="12738" priority="5228" operator="equal">
      <formula>"×"</formula>
    </cfRule>
  </conditionalFormatting>
  <conditionalFormatting sqref="AH8:AI8">
    <cfRule type="cellIs" dxfId="12737" priority="5225" operator="equal">
      <formula>1</formula>
    </cfRule>
    <cfRule type="cellIs" dxfId="12736" priority="5226" operator="equal">
      <formula>"×"</formula>
    </cfRule>
  </conditionalFormatting>
  <conditionalFormatting sqref="AH8:AI8">
    <cfRule type="cellIs" dxfId="12735" priority="5221" operator="equal">
      <formula>1</formula>
    </cfRule>
    <cfRule type="cellIs" dxfId="12734" priority="5222" operator="equal">
      <formula>"×"</formula>
    </cfRule>
  </conditionalFormatting>
  <conditionalFormatting sqref="AH8:AI8">
    <cfRule type="cellIs" dxfId="12733" priority="5219" operator="equal">
      <formula>1</formula>
    </cfRule>
    <cfRule type="cellIs" dxfId="12732" priority="5220" operator="equal">
      <formula>"×"</formula>
    </cfRule>
  </conditionalFormatting>
  <conditionalFormatting sqref="AH8:AI8">
    <cfRule type="cellIs" dxfId="12731" priority="5217" operator="equal">
      <formula>1</formula>
    </cfRule>
    <cfRule type="cellIs" dxfId="12730" priority="5218" operator="equal">
      <formula>"×"</formula>
    </cfRule>
  </conditionalFormatting>
  <conditionalFormatting sqref="AH8:AI8">
    <cfRule type="cellIs" dxfId="12729" priority="5215" operator="equal">
      <formula>1</formula>
    </cfRule>
    <cfRule type="cellIs" dxfId="12728" priority="5216" operator="equal">
      <formula>"×"</formula>
    </cfRule>
  </conditionalFormatting>
  <conditionalFormatting sqref="AH8:AI8">
    <cfRule type="cellIs" dxfId="12727" priority="5213" operator="equal">
      <formula>1</formula>
    </cfRule>
    <cfRule type="cellIs" dxfId="12726" priority="5214" operator="equal">
      <formula>"×"</formula>
    </cfRule>
  </conditionalFormatting>
  <conditionalFormatting sqref="AH8:AI8">
    <cfRule type="cellIs" dxfId="12725" priority="5205" operator="equal">
      <formula>1</formula>
    </cfRule>
    <cfRule type="cellIs" dxfId="12724" priority="5206" operator="equal">
      <formula>"×"</formula>
    </cfRule>
  </conditionalFormatting>
  <conditionalFormatting sqref="AH8:AI8">
    <cfRule type="cellIs" dxfId="12723" priority="5203" operator="equal">
      <formula>1</formula>
    </cfRule>
    <cfRule type="cellIs" dxfId="12722" priority="5204" operator="equal">
      <formula>"×"</formula>
    </cfRule>
  </conditionalFormatting>
  <conditionalFormatting sqref="AH9">
    <cfRule type="cellIs" dxfId="12721" priority="5201" operator="equal">
      <formula>1</formula>
    </cfRule>
    <cfRule type="cellIs" dxfId="12720" priority="5202" operator="equal">
      <formula>"×"</formula>
    </cfRule>
  </conditionalFormatting>
  <conditionalFormatting sqref="AE14">
    <cfRule type="cellIs" dxfId="12719" priority="5161" operator="equal">
      <formula>1</formula>
    </cfRule>
    <cfRule type="cellIs" dxfId="12718" priority="5162" operator="equal">
      <formula>"×"</formula>
    </cfRule>
  </conditionalFormatting>
  <conditionalFormatting sqref="AD14">
    <cfRule type="cellIs" dxfId="12717" priority="5109" operator="equal">
      <formula>1</formula>
    </cfRule>
    <cfRule type="cellIs" dxfId="12716" priority="5110" operator="equal">
      <formula>"×"</formula>
    </cfRule>
  </conditionalFormatting>
  <conditionalFormatting sqref="AE14">
    <cfRule type="cellIs" dxfId="12715" priority="5135" operator="equal">
      <formula>1</formula>
    </cfRule>
    <cfRule type="cellIs" dxfId="12714" priority="5136" operator="equal">
      <formula>"×"</formula>
    </cfRule>
  </conditionalFormatting>
  <conditionalFormatting sqref="AE14">
    <cfRule type="cellIs" dxfId="12713" priority="5133" operator="equal">
      <formula>1</formula>
    </cfRule>
    <cfRule type="cellIs" dxfId="12712" priority="5134" operator="equal">
      <formula>"×"</formula>
    </cfRule>
  </conditionalFormatting>
  <conditionalFormatting sqref="AE14">
    <cfRule type="cellIs" dxfId="12711" priority="5131" operator="equal">
      <formula>1</formula>
    </cfRule>
    <cfRule type="cellIs" dxfId="12710" priority="5132" operator="equal">
      <formula>"×"</formula>
    </cfRule>
  </conditionalFormatting>
  <conditionalFormatting sqref="AD14">
    <cfRule type="cellIs" dxfId="12709" priority="5117" operator="equal">
      <formula>1</formula>
    </cfRule>
    <cfRule type="cellIs" dxfId="12708" priority="5118" operator="equal">
      <formula>"×"</formula>
    </cfRule>
  </conditionalFormatting>
  <conditionalFormatting sqref="AD14">
    <cfRule type="cellIs" dxfId="12707" priority="5115" operator="equal">
      <formula>1</formula>
    </cfRule>
    <cfRule type="cellIs" dxfId="12706" priority="5116" operator="equal">
      <formula>"×"</formula>
    </cfRule>
  </conditionalFormatting>
  <conditionalFormatting sqref="AD14">
    <cfRule type="cellIs" dxfId="12705" priority="5113" operator="equal">
      <formula>1</formula>
    </cfRule>
    <cfRule type="cellIs" dxfId="12704" priority="5114" operator="equal">
      <formula>"×"</formula>
    </cfRule>
  </conditionalFormatting>
  <conditionalFormatting sqref="AD14">
    <cfRule type="cellIs" dxfId="12703" priority="5103" operator="equal">
      <formula>1</formula>
    </cfRule>
    <cfRule type="cellIs" dxfId="12702" priority="5104" operator="equal">
      <formula>"×"</formula>
    </cfRule>
  </conditionalFormatting>
  <conditionalFormatting sqref="AD14">
    <cfRule type="cellIs" dxfId="12701" priority="5101" operator="equal">
      <formula>1</formula>
    </cfRule>
    <cfRule type="cellIs" dxfId="12700" priority="5102" operator="equal">
      <formula>"×"</formula>
    </cfRule>
  </conditionalFormatting>
  <conditionalFormatting sqref="AF18">
    <cfRule type="cellIs" dxfId="12699" priority="5075" operator="equal">
      <formula>1</formula>
    </cfRule>
    <cfRule type="cellIs" dxfId="12698" priority="5076" operator="equal">
      <formula>"×"</formula>
    </cfRule>
  </conditionalFormatting>
  <conditionalFormatting sqref="AF18:AI18">
    <cfRule type="cellIs" dxfId="12697" priority="5073" operator="equal">
      <formula>1</formula>
    </cfRule>
    <cfRule type="cellIs" dxfId="12696" priority="5074" operator="equal">
      <formula>"×"</formula>
    </cfRule>
  </conditionalFormatting>
  <conditionalFormatting sqref="AF18:AI18">
    <cfRule type="cellIs" dxfId="12695" priority="5069" operator="equal">
      <formula>1</formula>
    </cfRule>
    <cfRule type="cellIs" dxfId="12694" priority="5070" operator="equal">
      <formula>"×"</formula>
    </cfRule>
  </conditionalFormatting>
  <conditionalFormatting sqref="AI18">
    <cfRule type="cellIs" dxfId="12693" priority="5071" operator="equal">
      <formula>1</formula>
    </cfRule>
    <cfRule type="cellIs" dxfId="12692" priority="5072" operator="equal">
      <formula>"×"</formula>
    </cfRule>
  </conditionalFormatting>
  <conditionalFormatting sqref="AD14">
    <cfRule type="cellIs" dxfId="12691" priority="5099" operator="equal">
      <formula>1</formula>
    </cfRule>
    <cfRule type="cellIs" dxfId="12690" priority="5100" operator="equal">
      <formula>"×"</formula>
    </cfRule>
  </conditionalFormatting>
  <conditionalFormatting sqref="AC14">
    <cfRule type="cellIs" dxfId="12689" priority="5095" operator="equal">
      <formula>1</formula>
    </cfRule>
    <cfRule type="cellIs" dxfId="12688" priority="5096" operator="equal">
      <formula>"×"</formula>
    </cfRule>
  </conditionalFormatting>
  <conditionalFormatting sqref="AD14">
    <cfRule type="cellIs" dxfId="12687" priority="5093" operator="equal">
      <formula>1</formula>
    </cfRule>
    <cfRule type="cellIs" dxfId="12686" priority="5094" operator="equal">
      <formula>"×"</formula>
    </cfRule>
  </conditionalFormatting>
  <conditionalFormatting sqref="AC14:AD14">
    <cfRule type="cellIs" dxfId="12685" priority="5085" operator="equal">
      <formula>1</formula>
    </cfRule>
    <cfRule type="cellIs" dxfId="12684" priority="5086" operator="equal">
      <formula>"×"</formula>
    </cfRule>
  </conditionalFormatting>
  <conditionalFormatting sqref="AB14">
    <cfRule type="cellIs" dxfId="12683" priority="5083" operator="equal">
      <formula>1</formula>
    </cfRule>
    <cfRule type="cellIs" dxfId="12682" priority="5084" operator="equal">
      <formula>"×"</formula>
    </cfRule>
  </conditionalFormatting>
  <conditionalFormatting sqref="AF14:AI14">
    <cfRule type="cellIs" dxfId="12681" priority="5081" operator="equal">
      <formula>1</formula>
    </cfRule>
    <cfRule type="cellIs" dxfId="12680" priority="5082" operator="equal">
      <formula>"×"</formula>
    </cfRule>
  </conditionalFormatting>
  <conditionalFormatting sqref="AI14">
    <cfRule type="cellIs" dxfId="12679" priority="5079" operator="equal">
      <formula>1</formula>
    </cfRule>
    <cfRule type="cellIs" dxfId="12678" priority="5080" operator="equal">
      <formula>"×"</formula>
    </cfRule>
  </conditionalFormatting>
  <conditionalFormatting sqref="AF18">
    <cfRule type="cellIs" dxfId="12677" priority="5077" operator="equal">
      <formula>1</formula>
    </cfRule>
    <cfRule type="cellIs" dxfId="12676" priority="5078" operator="equal">
      <formula>"×"</formula>
    </cfRule>
  </conditionalFormatting>
  <conditionalFormatting sqref="AF18:AI18">
    <cfRule type="cellIs" dxfId="12675" priority="5059" operator="equal">
      <formula>1</formula>
    </cfRule>
    <cfRule type="cellIs" dxfId="12674" priority="5060" operator="equal">
      <formula>"×"</formula>
    </cfRule>
  </conditionalFormatting>
  <conditionalFormatting sqref="AF18:AI18">
    <cfRule type="cellIs" dxfId="12673" priority="5057" operator="equal">
      <formula>1</formula>
    </cfRule>
    <cfRule type="cellIs" dxfId="12672" priority="5058" operator="equal">
      <formula>"×"</formula>
    </cfRule>
  </conditionalFormatting>
  <conditionalFormatting sqref="AF14">
    <cfRule type="cellIs" dxfId="12671" priority="5067" operator="equal">
      <formula>1</formula>
    </cfRule>
    <cfRule type="cellIs" dxfId="12670" priority="5068" operator="equal">
      <formula>"×"</formula>
    </cfRule>
  </conditionalFormatting>
  <conditionalFormatting sqref="AF14">
    <cfRule type="cellIs" dxfId="12669" priority="5065" operator="equal">
      <formula>1</formula>
    </cfRule>
    <cfRule type="cellIs" dxfId="12668" priority="5066" operator="equal">
      <formula>"×"</formula>
    </cfRule>
  </conditionalFormatting>
  <conditionalFormatting sqref="AF18:AI18">
    <cfRule type="cellIs" dxfId="12667" priority="5063" operator="equal">
      <formula>1</formula>
    </cfRule>
    <cfRule type="cellIs" dxfId="12666" priority="5064" operator="equal">
      <formula>"×"</formula>
    </cfRule>
  </conditionalFormatting>
  <conditionalFormatting sqref="AI18">
    <cfRule type="cellIs" dxfId="12665" priority="5061" operator="equal">
      <formula>1</formula>
    </cfRule>
    <cfRule type="cellIs" dxfId="12664" priority="5062" operator="equal">
      <formula>"×"</formula>
    </cfRule>
  </conditionalFormatting>
  <conditionalFormatting sqref="AI18">
    <cfRule type="cellIs" dxfId="12663" priority="5055" operator="equal">
      <formula>1</formula>
    </cfRule>
    <cfRule type="cellIs" dxfId="12662" priority="5056" operator="equal">
      <formula>"×"</formula>
    </cfRule>
  </conditionalFormatting>
  <conditionalFormatting sqref="AF19">
    <cfRule type="cellIs" dxfId="12661" priority="5053" operator="equal">
      <formula>1</formula>
    </cfRule>
    <cfRule type="cellIs" dxfId="12660" priority="5054" operator="equal">
      <formula>"×"</formula>
    </cfRule>
  </conditionalFormatting>
  <conditionalFormatting sqref="AF18">
    <cfRule type="cellIs" dxfId="12659" priority="5051" operator="equal">
      <formula>1</formula>
    </cfRule>
    <cfRule type="cellIs" dxfId="12658" priority="5052" operator="equal">
      <formula>"×"</formula>
    </cfRule>
  </conditionalFormatting>
  <conditionalFormatting sqref="AF18">
    <cfRule type="cellIs" dxfId="12657" priority="5049" operator="equal">
      <formula>1</formula>
    </cfRule>
    <cfRule type="cellIs" dxfId="12656" priority="5050" operator="equal">
      <formula>"×"</formula>
    </cfRule>
  </conditionalFormatting>
  <conditionalFormatting sqref="AH15">
    <cfRule type="cellIs" dxfId="12655" priority="4915" operator="equal">
      <formula>1</formula>
    </cfRule>
    <cfRule type="cellIs" dxfId="12654" priority="4916" operator="equal">
      <formula>"×"</formula>
    </cfRule>
  </conditionalFormatting>
  <conditionalFormatting sqref="AH15">
    <cfRule type="cellIs" dxfId="12653" priority="4913" operator="equal">
      <formula>1</formula>
    </cfRule>
    <cfRule type="cellIs" dxfId="12652" priority="4914" operator="equal">
      <formula>"×"</formula>
    </cfRule>
  </conditionalFormatting>
  <conditionalFormatting sqref="AH15">
    <cfRule type="cellIs" dxfId="12651" priority="4911" operator="equal">
      <formula>1</formula>
    </cfRule>
    <cfRule type="cellIs" dxfId="12650" priority="4912" operator="equal">
      <formula>"×"</formula>
    </cfRule>
  </conditionalFormatting>
  <conditionalFormatting sqref="AH15">
    <cfRule type="cellIs" dxfId="12649" priority="4907" operator="equal">
      <formula>1</formula>
    </cfRule>
    <cfRule type="cellIs" dxfId="12648" priority="4908" operator="equal">
      <formula>"×"</formula>
    </cfRule>
  </conditionalFormatting>
  <conditionalFormatting sqref="AH15">
    <cfRule type="cellIs" dxfId="12647" priority="4909" operator="equal">
      <formula>1</formula>
    </cfRule>
    <cfRule type="cellIs" dxfId="12646" priority="4910" operator="equal">
      <formula>"×"</formula>
    </cfRule>
  </conditionalFormatting>
  <conditionalFormatting sqref="AH15">
    <cfRule type="cellIs" dxfId="12645" priority="4905" operator="equal">
      <formula>1</formula>
    </cfRule>
    <cfRule type="cellIs" dxfId="12644" priority="4906" operator="equal">
      <formula>"×"</formula>
    </cfRule>
  </conditionalFormatting>
  <conditionalFormatting sqref="AH15">
    <cfRule type="cellIs" dxfId="12643" priority="4903" operator="equal">
      <formula>1</formula>
    </cfRule>
    <cfRule type="cellIs" dxfId="12642" priority="4904" operator="equal">
      <formula>"×"</formula>
    </cfRule>
  </conditionalFormatting>
  <conditionalFormatting sqref="AF22">
    <cfRule type="cellIs" dxfId="12641" priority="1213" operator="equal">
      <formula>1</formula>
    </cfRule>
    <cfRule type="cellIs" dxfId="12640" priority="1214" operator="equal">
      <formula>"×"</formula>
    </cfRule>
  </conditionalFormatting>
  <conditionalFormatting sqref="AF22">
    <cfRule type="cellIs" dxfId="12639" priority="1211" operator="equal">
      <formula>1</formula>
    </cfRule>
    <cfRule type="cellIs" dxfId="12638" priority="1212" operator="equal">
      <formula>"×"</formula>
    </cfRule>
  </conditionalFormatting>
  <conditionalFormatting sqref="AF22">
    <cfRule type="cellIs" dxfId="12637" priority="1209" operator="equal">
      <formula>1</formula>
    </cfRule>
    <cfRule type="cellIs" dxfId="12636" priority="1210" operator="equal">
      <formula>"×"</formula>
    </cfRule>
  </conditionalFormatting>
  <conditionalFormatting sqref="AI25">
    <cfRule type="cellIs" dxfId="12635" priority="1195" operator="equal">
      <formula>1</formula>
    </cfRule>
    <cfRule type="cellIs" dxfId="12634" priority="1196" operator="equal">
      <formula>"×"</formula>
    </cfRule>
  </conditionalFormatting>
  <conditionalFormatting sqref="AH25:AI25">
    <cfRule type="cellIs" dxfId="12633" priority="1193" operator="equal">
      <formula>1</formula>
    </cfRule>
    <cfRule type="cellIs" dxfId="12632" priority="1194" operator="equal">
      <formula>"×"</formula>
    </cfRule>
  </conditionalFormatting>
  <conditionalFormatting sqref="AF22">
    <cfRule type="cellIs" dxfId="12631" priority="1207" operator="equal">
      <formula>1</formula>
    </cfRule>
    <cfRule type="cellIs" dxfId="12630" priority="1208" operator="equal">
      <formula>"×"</formula>
    </cfRule>
  </conditionalFormatting>
  <conditionalFormatting sqref="AF22">
    <cfRule type="cellIs" dxfId="12629" priority="1205" operator="equal">
      <formula>1</formula>
    </cfRule>
    <cfRule type="cellIs" dxfId="12628" priority="1206" operator="equal">
      <formula>"×"</formula>
    </cfRule>
  </conditionalFormatting>
  <conditionalFormatting sqref="AH25:AI25">
    <cfRule type="cellIs" dxfId="12627" priority="1203" operator="equal">
      <formula>1</formula>
    </cfRule>
    <cfRule type="cellIs" dxfId="12626" priority="1204" operator="equal">
      <formula>"×"</formula>
    </cfRule>
  </conditionalFormatting>
  <conditionalFormatting sqref="AI25">
    <cfRule type="cellIs" dxfId="12625" priority="1201" operator="equal">
      <formula>1</formula>
    </cfRule>
    <cfRule type="cellIs" dxfId="12624" priority="1202" operator="equal">
      <formula>"×"</formula>
    </cfRule>
  </conditionalFormatting>
  <conditionalFormatting sqref="AH25:AI25">
    <cfRule type="cellIs" dxfId="12623" priority="1199" operator="equal">
      <formula>1</formula>
    </cfRule>
    <cfRule type="cellIs" dxfId="12622" priority="1200" operator="equal">
      <formula>"×"</formula>
    </cfRule>
  </conditionalFormatting>
  <conditionalFormatting sqref="AH25:AI25">
    <cfRule type="cellIs" dxfId="12621" priority="1197" operator="equal">
      <formula>1</formula>
    </cfRule>
    <cfRule type="cellIs" dxfId="12620" priority="1198" operator="equal">
      <formula>"×"</formula>
    </cfRule>
  </conditionalFormatting>
  <conditionalFormatting sqref="AF22:AG22">
    <cfRule type="cellIs" dxfId="12619" priority="1191" operator="equal">
      <formula>1</formula>
    </cfRule>
    <cfRule type="cellIs" dxfId="12618" priority="1192" operator="equal">
      <formula>"×"</formula>
    </cfRule>
  </conditionalFormatting>
  <conditionalFormatting sqref="AF22:AG22">
    <cfRule type="cellIs" dxfId="12617" priority="1167" operator="equal">
      <formula>1</formula>
    </cfRule>
    <cfRule type="cellIs" dxfId="12616" priority="1168" operator="equal">
      <formula>"×"</formula>
    </cfRule>
  </conditionalFormatting>
  <conditionalFormatting sqref="AF22:AG22">
    <cfRule type="cellIs" dxfId="12615" priority="1171" operator="equal">
      <formula>1</formula>
    </cfRule>
    <cfRule type="cellIs" dxfId="12614" priority="1172" operator="equal">
      <formula>"×"</formula>
    </cfRule>
  </conditionalFormatting>
  <conditionalFormatting sqref="AF22:AG22">
    <cfRule type="cellIs" dxfId="12613" priority="1169" operator="equal">
      <formula>1</formula>
    </cfRule>
    <cfRule type="cellIs" dxfId="12612" priority="1170" operator="equal">
      <formula>"×"</formula>
    </cfRule>
  </conditionalFormatting>
  <conditionalFormatting sqref="AF22:AG22">
    <cfRule type="cellIs" dxfId="12611" priority="1165" operator="equal">
      <formula>1</formula>
    </cfRule>
    <cfRule type="cellIs" dxfId="12610" priority="1166" operator="equal">
      <formula>"×"</formula>
    </cfRule>
  </conditionalFormatting>
  <conditionalFormatting sqref="AF22:AG22">
    <cfRule type="cellIs" dxfId="12609" priority="1189" operator="equal">
      <formula>1</formula>
    </cfRule>
    <cfRule type="cellIs" dxfId="12608" priority="1190" operator="equal">
      <formula>"×"</formula>
    </cfRule>
  </conditionalFormatting>
  <conditionalFormatting sqref="AF22:AG22">
    <cfRule type="cellIs" dxfId="12607" priority="1187" operator="equal">
      <formula>1</formula>
    </cfRule>
    <cfRule type="cellIs" dxfId="12606" priority="1188" operator="equal">
      <formula>"×"</formula>
    </cfRule>
  </conditionalFormatting>
  <conditionalFormatting sqref="AF22:AG22">
    <cfRule type="cellIs" dxfId="12605" priority="1185" operator="equal">
      <formula>1</formula>
    </cfRule>
    <cfRule type="cellIs" dxfId="12604" priority="1186" operator="equal">
      <formula>"×"</formula>
    </cfRule>
  </conditionalFormatting>
  <conditionalFormatting sqref="AF22:AG22">
    <cfRule type="cellIs" dxfId="12603" priority="1183" operator="equal">
      <formula>1</formula>
    </cfRule>
    <cfRule type="cellIs" dxfId="12602" priority="1184" operator="equal">
      <formula>"×"</formula>
    </cfRule>
  </conditionalFormatting>
  <conditionalFormatting sqref="AF22:AG22">
    <cfRule type="cellIs" dxfId="12601" priority="1181" operator="equal">
      <formula>1</formula>
    </cfRule>
    <cfRule type="cellIs" dxfId="12600" priority="1182" operator="equal">
      <formula>"×"</formula>
    </cfRule>
  </conditionalFormatting>
  <conditionalFormatting sqref="AF22:AG22">
    <cfRule type="cellIs" dxfId="12599" priority="1179" operator="equal">
      <formula>1</formula>
    </cfRule>
    <cfRule type="cellIs" dxfId="12598" priority="1180" operator="equal">
      <formula>"×"</formula>
    </cfRule>
  </conditionalFormatting>
  <conditionalFormatting sqref="AF22:AG22">
    <cfRule type="cellIs" dxfId="12597" priority="1177" operator="equal">
      <formula>1</formula>
    </cfRule>
    <cfRule type="cellIs" dxfId="12596" priority="1178" operator="equal">
      <formula>"×"</formula>
    </cfRule>
  </conditionalFormatting>
  <conditionalFormatting sqref="AF22:AG22">
    <cfRule type="cellIs" dxfId="12595" priority="1175" operator="equal">
      <formula>1</formula>
    </cfRule>
    <cfRule type="cellIs" dxfId="12594" priority="1176" operator="equal">
      <formula>"×"</formula>
    </cfRule>
  </conditionalFormatting>
  <conditionalFormatting sqref="AF22:AG22">
    <cfRule type="cellIs" dxfId="12593" priority="1173" operator="equal">
      <formula>1</formula>
    </cfRule>
    <cfRule type="cellIs" dxfId="12592" priority="1174" operator="equal">
      <formula>"×"</formula>
    </cfRule>
  </conditionalFormatting>
  <conditionalFormatting sqref="AE13:AE19">
    <cfRule type="cellIs" dxfId="12591" priority="28471" operator="equal">
      <formula>1</formula>
    </cfRule>
    <cfRule type="cellIs" dxfId="12590" priority="28472" operator="equal">
      <formula>"×"</formula>
    </cfRule>
  </conditionalFormatting>
  <conditionalFormatting sqref="Z26:Z31 AA31:AA37 Z31:AA33">
    <cfRule type="cellIs" dxfId="12589" priority="28473" operator="equal">
      <formula>1</formula>
    </cfRule>
    <cfRule type="cellIs" dxfId="12588" priority="28474" operator="equal">
      <formula>"×"</formula>
    </cfRule>
  </conditionalFormatting>
  <conditionalFormatting sqref="AE13:AE19">
    <cfRule type="cellIs" dxfId="12587" priority="28469" operator="equal">
      <formula>1</formula>
    </cfRule>
    <cfRule type="cellIs" dxfId="12586" priority="28470" operator="equal">
      <formula>"×"</formula>
    </cfRule>
  </conditionalFormatting>
  <conditionalFormatting sqref="AE13:AE19">
    <cfRule type="cellIs" dxfId="12585" priority="28467" operator="equal">
      <formula>1</formula>
    </cfRule>
    <cfRule type="cellIs" dxfId="12584" priority="28468" operator="equal">
      <formula>"×"</formula>
    </cfRule>
  </conditionalFormatting>
  <conditionalFormatting sqref="AE13:AE19">
    <cfRule type="cellIs" dxfId="12583" priority="28465" operator="equal">
      <formula>1</formula>
    </cfRule>
    <cfRule type="cellIs" dxfId="12582" priority="28466" operator="equal">
      <formula>"×"</formula>
    </cfRule>
  </conditionalFormatting>
  <conditionalFormatting sqref="AE13:AE19">
    <cfRule type="cellIs" dxfId="12581" priority="28463" operator="equal">
      <formula>1</formula>
    </cfRule>
    <cfRule type="cellIs" dxfId="12580" priority="28464" operator="equal">
      <formula>"×"</formula>
    </cfRule>
  </conditionalFormatting>
  <conditionalFormatting sqref="AE13:AE19">
    <cfRule type="cellIs" dxfId="12579" priority="28461" operator="equal">
      <formula>1</formula>
    </cfRule>
    <cfRule type="cellIs" dxfId="12578" priority="28462" operator="equal">
      <formula>"×"</formula>
    </cfRule>
  </conditionalFormatting>
  <conditionalFormatting sqref="AE13:AE19">
    <cfRule type="cellIs" dxfId="12577" priority="28459" operator="equal">
      <formula>1</formula>
    </cfRule>
    <cfRule type="cellIs" dxfId="12576" priority="28460" operator="equal">
      <formula>"×"</formula>
    </cfRule>
  </conditionalFormatting>
  <conditionalFormatting sqref="AE13:AE19">
    <cfRule type="cellIs" dxfId="12575" priority="28457" operator="equal">
      <formula>1</formula>
    </cfRule>
    <cfRule type="cellIs" dxfId="12574" priority="28458" operator="equal">
      <formula>"×"</formula>
    </cfRule>
  </conditionalFormatting>
  <conditionalFormatting sqref="AE13:AE19">
    <cfRule type="cellIs" dxfId="12573" priority="28455" operator="equal">
      <formula>1</formula>
    </cfRule>
    <cfRule type="cellIs" dxfId="12572" priority="28456" operator="equal">
      <formula>"×"</formula>
    </cfRule>
  </conditionalFormatting>
  <conditionalFormatting sqref="AE13:AE19">
    <cfRule type="cellIs" dxfId="12571" priority="28453" operator="equal">
      <formula>1</formula>
    </cfRule>
    <cfRule type="cellIs" dxfId="12570" priority="28454" operator="equal">
      <formula>"×"</formula>
    </cfRule>
  </conditionalFormatting>
  <conditionalFormatting sqref="AE13:AE19">
    <cfRule type="cellIs" dxfId="12569" priority="28451" operator="equal">
      <formula>1</formula>
    </cfRule>
    <cfRule type="cellIs" dxfId="12568" priority="28452" operator="equal">
      <formula>"×"</formula>
    </cfRule>
  </conditionalFormatting>
  <conditionalFormatting sqref="AE13:AE19">
    <cfRule type="cellIs" dxfId="12567" priority="28449" operator="equal">
      <formula>1</formula>
    </cfRule>
    <cfRule type="cellIs" dxfId="12566" priority="28450" operator="equal">
      <formula>"×"</formula>
    </cfRule>
  </conditionalFormatting>
  <conditionalFormatting sqref="AE13:AE19">
    <cfRule type="cellIs" dxfId="12565" priority="28447" operator="equal">
      <formula>1</formula>
    </cfRule>
    <cfRule type="cellIs" dxfId="12564" priority="28448" operator="equal">
      <formula>"×"</formula>
    </cfRule>
  </conditionalFormatting>
  <conditionalFormatting sqref="AE13:AE19">
    <cfRule type="cellIs" dxfId="12563" priority="28445" operator="equal">
      <formula>1</formula>
    </cfRule>
    <cfRule type="cellIs" dxfId="12562" priority="28446" operator="equal">
      <formula>"×"</formula>
    </cfRule>
  </conditionalFormatting>
  <conditionalFormatting sqref="AE13:AE19">
    <cfRule type="cellIs" dxfId="12561" priority="28443" operator="equal">
      <formula>1</formula>
    </cfRule>
    <cfRule type="cellIs" dxfId="12560" priority="28444" operator="equal">
      <formula>"×"</formula>
    </cfRule>
  </conditionalFormatting>
  <conditionalFormatting sqref="AE13:AE19">
    <cfRule type="cellIs" dxfId="12559" priority="28441" operator="equal">
      <formula>1</formula>
    </cfRule>
    <cfRule type="cellIs" dxfId="12558" priority="28442" operator="equal">
      <formula>"×"</formula>
    </cfRule>
  </conditionalFormatting>
  <conditionalFormatting sqref="AE13:AE19">
    <cfRule type="cellIs" dxfId="12557" priority="28439" operator="equal">
      <formula>1</formula>
    </cfRule>
    <cfRule type="cellIs" dxfId="12556" priority="28440" operator="equal">
      <formula>"×"</formula>
    </cfRule>
  </conditionalFormatting>
  <conditionalFormatting sqref="AE13:AE19">
    <cfRule type="cellIs" dxfId="12555" priority="28437" operator="equal">
      <formula>1</formula>
    </cfRule>
    <cfRule type="cellIs" dxfId="12554" priority="28438" operator="equal">
      <formula>"×"</formula>
    </cfRule>
  </conditionalFormatting>
  <conditionalFormatting sqref="AC19:AD19">
    <cfRule type="cellIs" dxfId="12553" priority="28435" operator="equal">
      <formula>1</formula>
    </cfRule>
    <cfRule type="cellIs" dxfId="12552" priority="28436" operator="equal">
      <formula>"×"</formula>
    </cfRule>
  </conditionalFormatting>
  <conditionalFormatting sqref="AF22">
    <cfRule type="cellIs" dxfId="12551" priority="1079" operator="equal">
      <formula>1</formula>
    </cfRule>
    <cfRule type="cellIs" dxfId="12550" priority="1080" operator="equal">
      <formula>"×"</formula>
    </cfRule>
  </conditionalFormatting>
  <conditionalFormatting sqref="AF22">
    <cfRule type="cellIs" dxfId="12549" priority="1077" operator="equal">
      <formula>1</formula>
    </cfRule>
    <cfRule type="cellIs" dxfId="12548" priority="1078" operator="equal">
      <formula>"×"</formula>
    </cfRule>
  </conditionalFormatting>
  <conditionalFormatting sqref="AH23">
    <cfRule type="cellIs" dxfId="12547" priority="1099" operator="equal">
      <formula>1</formula>
    </cfRule>
    <cfRule type="cellIs" dxfId="12546" priority="1100" operator="equal">
      <formula>"×"</formula>
    </cfRule>
  </conditionalFormatting>
  <conditionalFormatting sqref="AH23">
    <cfRule type="cellIs" dxfId="12545" priority="1097" operator="equal">
      <formula>1</formula>
    </cfRule>
    <cfRule type="cellIs" dxfId="12544" priority="1098" operator="equal">
      <formula>"×"</formula>
    </cfRule>
  </conditionalFormatting>
  <conditionalFormatting sqref="AI22">
    <cfRule type="cellIs" dxfId="12543" priority="1087" operator="equal">
      <formula>1</formula>
    </cfRule>
    <cfRule type="cellIs" dxfId="12542" priority="1088" operator="equal">
      <formula>"×"</formula>
    </cfRule>
  </conditionalFormatting>
  <conditionalFormatting sqref="AF22">
    <cfRule type="cellIs" dxfId="12541" priority="1085" operator="equal">
      <formula>1</formula>
    </cfRule>
    <cfRule type="cellIs" dxfId="12540" priority="1086" operator="equal">
      <formula>"×"</formula>
    </cfRule>
  </conditionalFormatting>
  <conditionalFormatting sqref="AH22:AI22">
    <cfRule type="cellIs" dxfId="12539" priority="1157" operator="equal">
      <formula>1</formula>
    </cfRule>
    <cfRule type="cellIs" dxfId="12538" priority="1158" operator="equal">
      <formula>"×"</formula>
    </cfRule>
  </conditionalFormatting>
  <conditionalFormatting sqref="AF22">
    <cfRule type="cellIs" dxfId="12537" priority="1059" operator="equal">
      <formula>1</formula>
    </cfRule>
    <cfRule type="cellIs" dxfId="12536" priority="1060" operator="equal">
      <formula>"×"</formula>
    </cfRule>
  </conditionalFormatting>
  <conditionalFormatting sqref="AH25:AI25">
    <cfRule type="cellIs" dxfId="12535" priority="1041" operator="equal">
      <formula>1</formula>
    </cfRule>
    <cfRule type="cellIs" dxfId="12534" priority="1042" operator="equal">
      <formula>"×"</formula>
    </cfRule>
  </conditionalFormatting>
  <conditionalFormatting sqref="AI25">
    <cfRule type="cellIs" dxfId="12533" priority="1039" operator="equal">
      <formula>1</formula>
    </cfRule>
    <cfRule type="cellIs" dxfId="12532" priority="1040" operator="equal">
      <formula>"×"</formula>
    </cfRule>
  </conditionalFormatting>
  <conditionalFormatting sqref="AH25:AI25">
    <cfRule type="cellIs" dxfId="12531" priority="1037" operator="equal">
      <formula>1</formula>
    </cfRule>
    <cfRule type="cellIs" dxfId="12530" priority="1038" operator="equal">
      <formula>"×"</formula>
    </cfRule>
  </conditionalFormatting>
  <conditionalFormatting sqref="AH25:AI25">
    <cfRule type="cellIs" dxfId="12529" priority="1035" operator="equal">
      <formula>1</formula>
    </cfRule>
    <cfRule type="cellIs" dxfId="12528" priority="1036" operator="equal">
      <formula>"×"</formula>
    </cfRule>
  </conditionalFormatting>
  <conditionalFormatting sqref="AA32">
    <cfRule type="cellIs" dxfId="12527" priority="4347" operator="equal">
      <formula>1</formula>
    </cfRule>
    <cfRule type="cellIs" dxfId="12526" priority="4348" operator="equal">
      <formula>"×"</formula>
    </cfRule>
  </conditionalFormatting>
  <conditionalFormatting sqref="AA32">
    <cfRule type="cellIs" dxfId="12525" priority="4345" operator="equal">
      <formula>1</formula>
    </cfRule>
    <cfRule type="cellIs" dxfId="12524" priority="4346" operator="equal">
      <formula>"×"</formula>
    </cfRule>
  </conditionalFormatting>
  <conditionalFormatting sqref="AA32">
    <cfRule type="cellIs" dxfId="12523" priority="4343" operator="equal">
      <formula>1</formula>
    </cfRule>
    <cfRule type="cellIs" dxfId="12522" priority="4344" operator="equal">
      <formula>"×"</formula>
    </cfRule>
  </conditionalFormatting>
  <conditionalFormatting sqref="AA32">
    <cfRule type="cellIs" dxfId="12521" priority="4341" operator="equal">
      <formula>1</formula>
    </cfRule>
    <cfRule type="cellIs" dxfId="12520" priority="4342" operator="equal">
      <formula>"×"</formula>
    </cfRule>
  </conditionalFormatting>
  <conditionalFormatting sqref="AA32">
    <cfRule type="cellIs" dxfId="12519" priority="4339" operator="equal">
      <formula>1</formula>
    </cfRule>
    <cfRule type="cellIs" dxfId="12518" priority="4340" operator="equal">
      <formula>"×"</formula>
    </cfRule>
  </conditionalFormatting>
  <conditionalFormatting sqref="AA32">
    <cfRule type="cellIs" dxfId="12517" priority="4337" operator="equal">
      <formula>1</formula>
    </cfRule>
    <cfRule type="cellIs" dxfId="12516" priority="4338" operator="equal">
      <formula>"×"</formula>
    </cfRule>
  </conditionalFormatting>
  <conditionalFormatting sqref="Z27">
    <cfRule type="cellIs" dxfId="12515" priority="27447" operator="equal">
      <formula>1</formula>
    </cfRule>
    <cfRule type="cellIs" dxfId="12514" priority="27448" operator="equal">
      <formula>"×"</formula>
    </cfRule>
  </conditionalFormatting>
  <conditionalFormatting sqref="Z43:AI45 Z39:Z42">
    <cfRule type="cellIs" dxfId="12513" priority="27445" operator="equal">
      <formula>1</formula>
    </cfRule>
    <cfRule type="cellIs" dxfId="12512" priority="27446" operator="equal">
      <formula>"×"</formula>
    </cfRule>
  </conditionalFormatting>
  <conditionalFormatting sqref="AE19">
    <cfRule type="cellIs" dxfId="12511" priority="27421" operator="equal">
      <formula>1</formula>
    </cfRule>
    <cfRule type="cellIs" dxfId="12510" priority="27422" operator="equal">
      <formula>"×"</formula>
    </cfRule>
  </conditionalFormatting>
  <conditionalFormatting sqref="AE19">
    <cfRule type="cellIs" dxfId="12509" priority="27419" operator="equal">
      <formula>1</formula>
    </cfRule>
    <cfRule type="cellIs" dxfId="12508" priority="27420" operator="equal">
      <formula>"×"</formula>
    </cfRule>
  </conditionalFormatting>
  <conditionalFormatting sqref="AE19">
    <cfRule type="cellIs" dxfId="12507" priority="27415" operator="equal">
      <formula>1</formula>
    </cfRule>
    <cfRule type="cellIs" dxfId="12506" priority="27416" operator="equal">
      <formula>"×"</formula>
    </cfRule>
  </conditionalFormatting>
  <conditionalFormatting sqref="AE19">
    <cfRule type="cellIs" dxfId="12505" priority="27417" operator="equal">
      <formula>1</formula>
    </cfRule>
    <cfRule type="cellIs" dxfId="12504" priority="27418" operator="equal">
      <formula>"×"</formula>
    </cfRule>
  </conditionalFormatting>
  <conditionalFormatting sqref="AE19">
    <cfRule type="cellIs" dxfId="12503" priority="27443" operator="equal">
      <formula>1</formula>
    </cfRule>
    <cfRule type="cellIs" dxfId="12502" priority="27444" operator="equal">
      <formula>"×"</formula>
    </cfRule>
  </conditionalFormatting>
  <conditionalFormatting sqref="AE19">
    <cfRule type="cellIs" dxfId="12501" priority="27441" operator="equal">
      <formula>1</formula>
    </cfRule>
    <cfRule type="cellIs" dxfId="12500" priority="27442" operator="equal">
      <formula>"×"</formula>
    </cfRule>
  </conditionalFormatting>
  <conditionalFormatting sqref="AE19">
    <cfRule type="cellIs" dxfId="12499" priority="27439" operator="equal">
      <formula>1</formula>
    </cfRule>
    <cfRule type="cellIs" dxfId="12498" priority="27440" operator="equal">
      <formula>"×"</formula>
    </cfRule>
  </conditionalFormatting>
  <conditionalFormatting sqref="AE19">
    <cfRule type="cellIs" dxfId="12497" priority="27437" operator="equal">
      <formula>1</formula>
    </cfRule>
    <cfRule type="cellIs" dxfId="12496" priority="27438" operator="equal">
      <formula>"×"</formula>
    </cfRule>
  </conditionalFormatting>
  <conditionalFormatting sqref="AE19">
    <cfRule type="cellIs" dxfId="12495" priority="27435" operator="equal">
      <formula>1</formula>
    </cfRule>
    <cfRule type="cellIs" dxfId="12494" priority="27436" operator="equal">
      <formula>"×"</formula>
    </cfRule>
  </conditionalFormatting>
  <conditionalFormatting sqref="AE19">
    <cfRule type="cellIs" dxfId="12493" priority="27433" operator="equal">
      <formula>1</formula>
    </cfRule>
    <cfRule type="cellIs" dxfId="12492" priority="27434" operator="equal">
      <formula>"×"</formula>
    </cfRule>
  </conditionalFormatting>
  <conditionalFormatting sqref="AE19">
    <cfRule type="cellIs" dxfId="12491" priority="27431" operator="equal">
      <formula>1</formula>
    </cfRule>
    <cfRule type="cellIs" dxfId="12490" priority="27432" operator="equal">
      <formula>"×"</formula>
    </cfRule>
  </conditionalFormatting>
  <conditionalFormatting sqref="AE19">
    <cfRule type="cellIs" dxfId="12489" priority="27429" operator="equal">
      <formula>1</formula>
    </cfRule>
    <cfRule type="cellIs" dxfId="12488" priority="27430" operator="equal">
      <formula>"×"</formula>
    </cfRule>
  </conditionalFormatting>
  <conditionalFormatting sqref="AE19">
    <cfRule type="cellIs" dxfId="12487" priority="27427" operator="equal">
      <formula>1</formula>
    </cfRule>
    <cfRule type="cellIs" dxfId="12486" priority="27428" operator="equal">
      <formula>"×"</formula>
    </cfRule>
  </conditionalFormatting>
  <conditionalFormatting sqref="AE19">
    <cfRule type="cellIs" dxfId="12485" priority="27425" operator="equal">
      <formula>1</formula>
    </cfRule>
    <cfRule type="cellIs" dxfId="12484" priority="27426" operator="equal">
      <formula>"×"</formula>
    </cfRule>
  </conditionalFormatting>
  <conditionalFormatting sqref="AE19">
    <cfRule type="cellIs" dxfId="12483" priority="27423" operator="equal">
      <formula>1</formula>
    </cfRule>
    <cfRule type="cellIs" dxfId="12482" priority="27424" operator="equal">
      <formula>"×"</formula>
    </cfRule>
  </conditionalFormatting>
  <conditionalFormatting sqref="AE19">
    <cfRule type="cellIs" dxfId="12481" priority="27413" operator="equal">
      <formula>1</formula>
    </cfRule>
    <cfRule type="cellIs" dxfId="12480" priority="27414" operator="equal">
      <formula>"×"</formula>
    </cfRule>
  </conditionalFormatting>
  <conditionalFormatting sqref="AE19">
    <cfRule type="cellIs" dxfId="12479" priority="27411" operator="equal">
      <formula>1</formula>
    </cfRule>
    <cfRule type="cellIs" dxfId="12478" priority="27412" operator="equal">
      <formula>"×"</formula>
    </cfRule>
  </conditionalFormatting>
  <conditionalFormatting sqref="AE19">
    <cfRule type="cellIs" dxfId="12477" priority="27407" operator="equal">
      <formula>1</formula>
    </cfRule>
    <cfRule type="cellIs" dxfId="12476" priority="27408" operator="equal">
      <formula>"×"</formula>
    </cfRule>
  </conditionalFormatting>
  <conditionalFormatting sqref="AE19">
    <cfRule type="cellIs" dxfId="12475" priority="27409" operator="equal">
      <formula>1</formula>
    </cfRule>
    <cfRule type="cellIs" dxfId="12474" priority="27410" operator="equal">
      <formula>"×"</formula>
    </cfRule>
  </conditionalFormatting>
  <conditionalFormatting sqref="AE19">
    <cfRule type="cellIs" dxfId="12473" priority="27405" operator="equal">
      <formula>1</formula>
    </cfRule>
    <cfRule type="cellIs" dxfId="12472" priority="27406" operator="equal">
      <formula>"×"</formula>
    </cfRule>
  </conditionalFormatting>
  <conditionalFormatting sqref="AE19">
    <cfRule type="cellIs" dxfId="12471" priority="27403" operator="equal">
      <formula>1</formula>
    </cfRule>
    <cfRule type="cellIs" dxfId="12470" priority="27404" operator="equal">
      <formula>"×"</formula>
    </cfRule>
  </conditionalFormatting>
  <conditionalFormatting sqref="AE19">
    <cfRule type="cellIs" dxfId="12469" priority="27401" operator="equal">
      <formula>1</formula>
    </cfRule>
    <cfRule type="cellIs" dxfId="12468" priority="27402" operator="equal">
      <formula>"×"</formula>
    </cfRule>
  </conditionalFormatting>
  <conditionalFormatting sqref="AE19">
    <cfRule type="cellIs" dxfId="12467" priority="27399" operator="equal">
      <formula>1</formula>
    </cfRule>
    <cfRule type="cellIs" dxfId="12466" priority="27400" operator="equal">
      <formula>"×"</formula>
    </cfRule>
  </conditionalFormatting>
  <conditionalFormatting sqref="AE19">
    <cfRule type="cellIs" dxfId="12465" priority="27397" operator="equal">
      <formula>1</formula>
    </cfRule>
    <cfRule type="cellIs" dxfId="12464" priority="27398" operator="equal">
      <formula>"×"</formula>
    </cfRule>
  </conditionalFormatting>
  <conditionalFormatting sqref="AE19">
    <cfRule type="cellIs" dxfId="12463" priority="27395" operator="equal">
      <formula>1</formula>
    </cfRule>
    <cfRule type="cellIs" dxfId="12462" priority="27396" operator="equal">
      <formula>"×"</formula>
    </cfRule>
  </conditionalFormatting>
  <conditionalFormatting sqref="AE19">
    <cfRule type="cellIs" dxfId="12461" priority="27393" operator="equal">
      <formula>1</formula>
    </cfRule>
    <cfRule type="cellIs" dxfId="12460" priority="27394" operator="equal">
      <formula>"×"</formula>
    </cfRule>
  </conditionalFormatting>
  <conditionalFormatting sqref="AE19">
    <cfRule type="cellIs" dxfId="12459" priority="27391" operator="equal">
      <formula>1</formula>
    </cfRule>
    <cfRule type="cellIs" dxfId="12458" priority="27392" operator="equal">
      <formula>"×"</formula>
    </cfRule>
  </conditionalFormatting>
  <conditionalFormatting sqref="AE19">
    <cfRule type="cellIs" dxfId="12457" priority="27389" operator="equal">
      <formula>1</formula>
    </cfRule>
    <cfRule type="cellIs" dxfId="12456" priority="27390" operator="equal">
      <formula>"×"</formula>
    </cfRule>
  </conditionalFormatting>
  <conditionalFormatting sqref="AE19">
    <cfRule type="cellIs" dxfId="12455" priority="27387" operator="equal">
      <formula>1</formula>
    </cfRule>
    <cfRule type="cellIs" dxfId="12454" priority="27388" operator="equal">
      <formula>"×"</formula>
    </cfRule>
  </conditionalFormatting>
  <conditionalFormatting sqref="AE19">
    <cfRule type="cellIs" dxfId="12453" priority="27385" operator="equal">
      <formula>1</formula>
    </cfRule>
    <cfRule type="cellIs" dxfId="12452" priority="27386" operator="equal">
      <formula>"×"</formula>
    </cfRule>
  </conditionalFormatting>
  <conditionalFormatting sqref="AE19">
    <cfRule type="cellIs" dxfId="12451" priority="27383" operator="equal">
      <formula>1</formula>
    </cfRule>
    <cfRule type="cellIs" dxfId="12450" priority="27384" operator="equal">
      <formula>"×"</formula>
    </cfRule>
  </conditionalFormatting>
  <conditionalFormatting sqref="AE19">
    <cfRule type="cellIs" dxfId="12449" priority="27381" operator="equal">
      <formula>1</formula>
    </cfRule>
    <cfRule type="cellIs" dxfId="12448" priority="27382" operator="equal">
      <formula>"×"</formula>
    </cfRule>
  </conditionalFormatting>
  <conditionalFormatting sqref="AE19">
    <cfRule type="cellIs" dxfId="12447" priority="27379" operator="equal">
      <formula>1</formula>
    </cfRule>
    <cfRule type="cellIs" dxfId="12446" priority="27380" operator="equal">
      <formula>"×"</formula>
    </cfRule>
  </conditionalFormatting>
  <conditionalFormatting sqref="AE19">
    <cfRule type="cellIs" dxfId="12445" priority="27377" operator="equal">
      <formula>1</formula>
    </cfRule>
    <cfRule type="cellIs" dxfId="12444" priority="27378" operator="equal">
      <formula>"×"</formula>
    </cfRule>
  </conditionalFormatting>
  <conditionalFormatting sqref="AE19">
    <cfRule type="cellIs" dxfId="12443" priority="27375" operator="equal">
      <formula>1</formula>
    </cfRule>
    <cfRule type="cellIs" dxfId="12442" priority="27376" operator="equal">
      <formula>"×"</formula>
    </cfRule>
  </conditionalFormatting>
  <conditionalFormatting sqref="AE19">
    <cfRule type="cellIs" dxfId="12441" priority="27373" operator="equal">
      <formula>1</formula>
    </cfRule>
    <cfRule type="cellIs" dxfId="12440" priority="27374" operator="equal">
      <formula>"×"</formula>
    </cfRule>
  </conditionalFormatting>
  <conditionalFormatting sqref="AE19">
    <cfRule type="cellIs" dxfId="12439" priority="27371" operator="equal">
      <formula>1</formula>
    </cfRule>
    <cfRule type="cellIs" dxfId="12438" priority="27372" operator="equal">
      <formula>"×"</formula>
    </cfRule>
  </conditionalFormatting>
  <conditionalFormatting sqref="AE19">
    <cfRule type="cellIs" dxfId="12437" priority="27367" operator="equal">
      <formula>1</formula>
    </cfRule>
    <cfRule type="cellIs" dxfId="12436" priority="27368" operator="equal">
      <formula>"×"</formula>
    </cfRule>
  </conditionalFormatting>
  <conditionalFormatting sqref="AE19">
    <cfRule type="cellIs" dxfId="12435" priority="27369" operator="equal">
      <formula>1</formula>
    </cfRule>
    <cfRule type="cellIs" dxfId="12434" priority="27370" operator="equal">
      <formula>"×"</formula>
    </cfRule>
  </conditionalFormatting>
  <conditionalFormatting sqref="AE19">
    <cfRule type="cellIs" dxfId="12433" priority="27365" operator="equal">
      <formula>1</formula>
    </cfRule>
    <cfRule type="cellIs" dxfId="12432" priority="27366" operator="equal">
      <formula>"×"</formula>
    </cfRule>
  </conditionalFormatting>
  <conditionalFormatting sqref="AE19">
    <cfRule type="cellIs" dxfId="12431" priority="27363" operator="equal">
      <formula>1</formula>
    </cfRule>
    <cfRule type="cellIs" dxfId="12430" priority="27364" operator="equal">
      <formula>"×"</formula>
    </cfRule>
  </conditionalFormatting>
  <conditionalFormatting sqref="Z37:Z38 Z31:AA37">
    <cfRule type="cellIs" dxfId="12429" priority="27339" operator="equal">
      <formula>1</formula>
    </cfRule>
    <cfRule type="cellIs" dxfId="12428" priority="27340" operator="equal">
      <formula>"×"</formula>
    </cfRule>
  </conditionalFormatting>
  <conditionalFormatting sqref="Z37:Z38 Z31:AA37">
    <cfRule type="cellIs" dxfId="12427" priority="27337" operator="equal">
      <formula>1</formula>
    </cfRule>
    <cfRule type="cellIs" dxfId="12426" priority="27338" operator="equal">
      <formula>"×"</formula>
    </cfRule>
  </conditionalFormatting>
  <conditionalFormatting sqref="Z37:Z38 Z31:AA37">
    <cfRule type="cellIs" dxfId="12425" priority="27333" operator="equal">
      <formula>1</formula>
    </cfRule>
    <cfRule type="cellIs" dxfId="12424" priority="27334" operator="equal">
      <formula>"×"</formula>
    </cfRule>
  </conditionalFormatting>
  <conditionalFormatting sqref="Z37:Z38 Z31:AA37">
    <cfRule type="cellIs" dxfId="12423" priority="27335" operator="equal">
      <formula>1</formula>
    </cfRule>
    <cfRule type="cellIs" dxfId="12422" priority="27336" operator="equal">
      <formula>"×"</formula>
    </cfRule>
  </conditionalFormatting>
  <conditionalFormatting sqref="Z37:Z38 Z31:AA37">
    <cfRule type="cellIs" dxfId="12421" priority="27361" operator="equal">
      <formula>1</formula>
    </cfRule>
    <cfRule type="cellIs" dxfId="12420" priority="27362" operator="equal">
      <formula>"×"</formula>
    </cfRule>
  </conditionalFormatting>
  <conditionalFormatting sqref="Z37:Z38 Z31:AA37">
    <cfRule type="cellIs" dxfId="12419" priority="27359" operator="equal">
      <formula>1</formula>
    </cfRule>
    <cfRule type="cellIs" dxfId="12418" priority="27360" operator="equal">
      <formula>"×"</formula>
    </cfRule>
  </conditionalFormatting>
  <conditionalFormatting sqref="Z37:Z38 Z31:AA37">
    <cfRule type="cellIs" dxfId="12417" priority="27355" operator="equal">
      <formula>1</formula>
    </cfRule>
    <cfRule type="cellIs" dxfId="12416" priority="27356" operator="equal">
      <formula>"×"</formula>
    </cfRule>
  </conditionalFormatting>
  <conditionalFormatting sqref="Z37:Z38 Z31:AA37">
    <cfRule type="cellIs" dxfId="12415" priority="27353" operator="equal">
      <formula>1</formula>
    </cfRule>
    <cfRule type="cellIs" dxfId="12414" priority="27354" operator="equal">
      <formula>"×"</formula>
    </cfRule>
  </conditionalFormatting>
  <conditionalFormatting sqref="Z37:Z38 Z31:AA37">
    <cfRule type="cellIs" dxfId="12413" priority="27351" operator="equal">
      <formula>1</formula>
    </cfRule>
    <cfRule type="cellIs" dxfId="12412" priority="27352" operator="equal">
      <formula>"×"</formula>
    </cfRule>
  </conditionalFormatting>
  <conditionalFormatting sqref="Z37:Z38 Z31:AA37">
    <cfRule type="cellIs" dxfId="12411" priority="27349" operator="equal">
      <formula>1</formula>
    </cfRule>
    <cfRule type="cellIs" dxfId="12410" priority="27350" operator="equal">
      <formula>"×"</formula>
    </cfRule>
  </conditionalFormatting>
  <conditionalFormatting sqref="Z37:Z38 Z31:AA37">
    <cfRule type="cellIs" dxfId="12409" priority="27347" operator="equal">
      <formula>1</formula>
    </cfRule>
    <cfRule type="cellIs" dxfId="12408" priority="27348" operator="equal">
      <formula>"×"</formula>
    </cfRule>
  </conditionalFormatting>
  <conditionalFormatting sqref="Z37:Z38 Z31:AA37">
    <cfRule type="cellIs" dxfId="12407" priority="27345" operator="equal">
      <formula>1</formula>
    </cfRule>
    <cfRule type="cellIs" dxfId="12406" priority="27346" operator="equal">
      <formula>"×"</formula>
    </cfRule>
  </conditionalFormatting>
  <conditionalFormatting sqref="Z37:Z38 Z31:AA37">
    <cfRule type="cellIs" dxfId="12405" priority="27343" operator="equal">
      <formula>1</formula>
    </cfRule>
    <cfRule type="cellIs" dxfId="12404" priority="27344" operator="equal">
      <formula>"×"</formula>
    </cfRule>
  </conditionalFormatting>
  <conditionalFormatting sqref="Z37:Z38 Z31:AA37">
    <cfRule type="cellIs" dxfId="12403" priority="27341" operator="equal">
      <formula>1</formula>
    </cfRule>
    <cfRule type="cellIs" dxfId="12402" priority="27342" operator="equal">
      <formula>"×"</formula>
    </cfRule>
  </conditionalFormatting>
  <conditionalFormatting sqref="Z37:Z38 Z31:AA37">
    <cfRule type="cellIs" dxfId="12401" priority="27331" operator="equal">
      <formula>1</formula>
    </cfRule>
    <cfRule type="cellIs" dxfId="12400" priority="27332" operator="equal">
      <formula>"×"</formula>
    </cfRule>
  </conditionalFormatting>
  <conditionalFormatting sqref="Z37:Z38 Z31:AA37">
    <cfRule type="cellIs" dxfId="12399" priority="27329" operator="equal">
      <formula>1</formula>
    </cfRule>
    <cfRule type="cellIs" dxfId="12398" priority="27330" operator="equal">
      <formula>"×"</formula>
    </cfRule>
  </conditionalFormatting>
  <conditionalFormatting sqref="Z37:Z38 Z31:AA37">
    <cfRule type="cellIs" dxfId="12397" priority="27325" operator="equal">
      <formula>1</formula>
    </cfRule>
    <cfRule type="cellIs" dxfId="12396" priority="27326" operator="equal">
      <formula>"×"</formula>
    </cfRule>
  </conditionalFormatting>
  <conditionalFormatting sqref="Z37:Z38 Z31:AA37">
    <cfRule type="cellIs" dxfId="12395" priority="27327" operator="equal">
      <formula>1</formula>
    </cfRule>
    <cfRule type="cellIs" dxfId="12394" priority="27328" operator="equal">
      <formula>"×"</formula>
    </cfRule>
  </conditionalFormatting>
  <conditionalFormatting sqref="Z37:Z38 Z31:AA37">
    <cfRule type="cellIs" dxfId="12393" priority="27323" operator="equal">
      <formula>1</formula>
    </cfRule>
    <cfRule type="cellIs" dxfId="12392" priority="27324" operator="equal">
      <formula>"×"</formula>
    </cfRule>
  </conditionalFormatting>
  <conditionalFormatting sqref="Z37:Z38 Z31:AA37">
    <cfRule type="cellIs" dxfId="12391" priority="27321" operator="equal">
      <formula>1</formula>
    </cfRule>
    <cfRule type="cellIs" dxfId="12390" priority="27322" operator="equal">
      <formula>"×"</formula>
    </cfRule>
  </conditionalFormatting>
  <conditionalFormatting sqref="Z37:Z38 Z31:AA37">
    <cfRule type="cellIs" dxfId="12389" priority="27319" operator="equal">
      <formula>1</formula>
    </cfRule>
    <cfRule type="cellIs" dxfId="12388" priority="27320" operator="equal">
      <formula>"×"</formula>
    </cfRule>
  </conditionalFormatting>
  <conditionalFormatting sqref="Z37:Z38 Z31:AA37">
    <cfRule type="cellIs" dxfId="12387" priority="27317" operator="equal">
      <formula>1</formula>
    </cfRule>
    <cfRule type="cellIs" dxfId="12386" priority="27318" operator="equal">
      <formula>"×"</formula>
    </cfRule>
  </conditionalFormatting>
  <conditionalFormatting sqref="Z37:Z38 Z31:AA37">
    <cfRule type="cellIs" dxfId="12385" priority="27315" operator="equal">
      <formula>1</formula>
    </cfRule>
    <cfRule type="cellIs" dxfId="12384" priority="27316" operator="equal">
      <formula>"×"</formula>
    </cfRule>
  </conditionalFormatting>
  <conditionalFormatting sqref="Z37:Z38 Z31:AA37">
    <cfRule type="cellIs" dxfId="12383" priority="27313" operator="equal">
      <formula>1</formula>
    </cfRule>
    <cfRule type="cellIs" dxfId="12382" priority="27314" operator="equal">
      <formula>"×"</formula>
    </cfRule>
  </conditionalFormatting>
  <conditionalFormatting sqref="Z37:Z38 Z31:AA37">
    <cfRule type="cellIs" dxfId="12381" priority="27311" operator="equal">
      <formula>1</formula>
    </cfRule>
    <cfRule type="cellIs" dxfId="12380" priority="27312" operator="equal">
      <formula>"×"</formula>
    </cfRule>
  </conditionalFormatting>
  <conditionalFormatting sqref="Z37:Z38 Z31:AA37">
    <cfRule type="cellIs" dxfId="12379" priority="27309" operator="equal">
      <formula>1</formula>
    </cfRule>
    <cfRule type="cellIs" dxfId="12378" priority="27310" operator="equal">
      <formula>"×"</formula>
    </cfRule>
  </conditionalFormatting>
  <conditionalFormatting sqref="Z37:Z38 Z31:AA37">
    <cfRule type="cellIs" dxfId="12377" priority="27307" operator="equal">
      <formula>1</formula>
    </cfRule>
    <cfRule type="cellIs" dxfId="12376" priority="27308" operator="equal">
      <formula>"×"</formula>
    </cfRule>
  </conditionalFormatting>
  <conditionalFormatting sqref="Z37:Z38 Z31:AA37">
    <cfRule type="cellIs" dxfId="12375" priority="27305" operator="equal">
      <formula>1</formula>
    </cfRule>
    <cfRule type="cellIs" dxfId="12374" priority="27306" operator="equal">
      <formula>"×"</formula>
    </cfRule>
  </conditionalFormatting>
  <conditionalFormatting sqref="Z37:Z38 Z31:AA37">
    <cfRule type="cellIs" dxfId="12373" priority="27303" operator="equal">
      <formula>1</formula>
    </cfRule>
    <cfRule type="cellIs" dxfId="12372" priority="27304" operator="equal">
      <formula>"×"</formula>
    </cfRule>
  </conditionalFormatting>
  <conditionalFormatting sqref="Z37:Z38 Z31:AA37">
    <cfRule type="cellIs" dxfId="12371" priority="27301" operator="equal">
      <formula>1</formula>
    </cfRule>
    <cfRule type="cellIs" dxfId="12370" priority="27302" operator="equal">
      <formula>"×"</formula>
    </cfRule>
  </conditionalFormatting>
  <conditionalFormatting sqref="Z37:Z38 Z31:AA37">
    <cfRule type="cellIs" dxfId="12369" priority="27299" operator="equal">
      <formula>1</formula>
    </cfRule>
    <cfRule type="cellIs" dxfId="12368" priority="27300" operator="equal">
      <formula>"×"</formula>
    </cfRule>
  </conditionalFormatting>
  <conditionalFormatting sqref="Z37:Z38 Z31:AA37">
    <cfRule type="cellIs" dxfId="12367" priority="27297" operator="equal">
      <formula>1</formula>
    </cfRule>
    <cfRule type="cellIs" dxfId="12366" priority="27298" operator="equal">
      <formula>"×"</formula>
    </cfRule>
  </conditionalFormatting>
  <conditionalFormatting sqref="Z37:Z38 Z31:AA37">
    <cfRule type="cellIs" dxfId="12365" priority="27295" operator="equal">
      <formula>1</formula>
    </cfRule>
    <cfRule type="cellIs" dxfId="12364" priority="27296" operator="equal">
      <formula>"×"</formula>
    </cfRule>
  </conditionalFormatting>
  <conditionalFormatting sqref="Z37:Z38 Z31:AA37">
    <cfRule type="cellIs" dxfId="12363" priority="27293" operator="equal">
      <formula>1</formula>
    </cfRule>
    <cfRule type="cellIs" dxfId="12362" priority="27294" operator="equal">
      <formula>"×"</formula>
    </cfRule>
  </conditionalFormatting>
  <conditionalFormatting sqref="Z37:Z38 Z31:AA37">
    <cfRule type="cellIs" dxfId="12361" priority="27291" operator="equal">
      <formula>1</formula>
    </cfRule>
    <cfRule type="cellIs" dxfId="12360" priority="27292" operator="equal">
      <formula>"×"</formula>
    </cfRule>
  </conditionalFormatting>
  <conditionalFormatting sqref="Z37:Z38 Z31:AA37">
    <cfRule type="cellIs" dxfId="12359" priority="27289" operator="equal">
      <formula>1</formula>
    </cfRule>
    <cfRule type="cellIs" dxfId="12358" priority="27290" operator="equal">
      <formula>"×"</formula>
    </cfRule>
  </conditionalFormatting>
  <conditionalFormatting sqref="Z37:Z38 Z31:AA37">
    <cfRule type="cellIs" dxfId="12357" priority="27285" operator="equal">
      <formula>1</formula>
    </cfRule>
    <cfRule type="cellIs" dxfId="12356" priority="27286" operator="equal">
      <formula>"×"</formula>
    </cfRule>
  </conditionalFormatting>
  <conditionalFormatting sqref="Z37:Z38 Z31:AA37">
    <cfRule type="cellIs" dxfId="12355" priority="27287" operator="equal">
      <formula>1</formula>
    </cfRule>
    <cfRule type="cellIs" dxfId="12354" priority="27288" operator="equal">
      <formula>"×"</formula>
    </cfRule>
  </conditionalFormatting>
  <conditionalFormatting sqref="Z37:Z38 Z31:AA37">
    <cfRule type="cellIs" dxfId="12353" priority="27283" operator="equal">
      <formula>1</formula>
    </cfRule>
    <cfRule type="cellIs" dxfId="12352" priority="27284" operator="equal">
      <formula>"×"</formula>
    </cfRule>
  </conditionalFormatting>
  <conditionalFormatting sqref="Z37:Z38 Z31:AA37">
    <cfRule type="cellIs" dxfId="12351" priority="27281" operator="equal">
      <formula>1</formula>
    </cfRule>
    <cfRule type="cellIs" dxfId="12350" priority="27282" operator="equal">
      <formula>"×"</formula>
    </cfRule>
  </conditionalFormatting>
  <conditionalFormatting sqref="AF12:AI12">
    <cfRule type="cellIs" dxfId="12349" priority="6205" operator="equal">
      <formula>1</formula>
    </cfRule>
    <cfRule type="cellIs" dxfId="12348" priority="6206" operator="equal">
      <formula>"×"</formula>
    </cfRule>
  </conditionalFormatting>
  <conditionalFormatting sqref="AF8">
    <cfRule type="cellIs" dxfId="12347" priority="6201" operator="equal">
      <formula>1</formula>
    </cfRule>
    <cfRule type="cellIs" dxfId="12346" priority="6202" operator="equal">
      <formula>"×"</formula>
    </cfRule>
  </conditionalFormatting>
  <conditionalFormatting sqref="AF8">
    <cfRule type="cellIs" dxfId="12345" priority="6203" operator="equal">
      <formula>1</formula>
    </cfRule>
    <cfRule type="cellIs" dxfId="12344" priority="6204" operator="equal">
      <formula>"×"</formula>
    </cfRule>
  </conditionalFormatting>
  <conditionalFormatting sqref="AF12:AI12">
    <cfRule type="cellIs" dxfId="12343" priority="6199" operator="equal">
      <formula>1</formula>
    </cfRule>
    <cfRule type="cellIs" dxfId="12342" priority="6200" operator="equal">
      <formula>"×"</formula>
    </cfRule>
  </conditionalFormatting>
  <conditionalFormatting sqref="AI12">
    <cfRule type="cellIs" dxfId="12341" priority="6197" operator="equal">
      <formula>1</formula>
    </cfRule>
    <cfRule type="cellIs" dxfId="12340" priority="6198" operator="equal">
      <formula>"×"</formula>
    </cfRule>
  </conditionalFormatting>
  <conditionalFormatting sqref="AF12:AI12">
    <cfRule type="cellIs" dxfId="12339" priority="6195" operator="equal">
      <formula>1</formula>
    </cfRule>
    <cfRule type="cellIs" dxfId="12338" priority="6196" operator="equal">
      <formula>"×"</formula>
    </cfRule>
  </conditionalFormatting>
  <conditionalFormatting sqref="AC15">
    <cfRule type="cellIs" dxfId="12337" priority="27181" operator="equal">
      <formula>1</formula>
    </cfRule>
    <cfRule type="cellIs" dxfId="12336" priority="27182" operator="equal">
      <formula>"×"</formula>
    </cfRule>
  </conditionalFormatting>
  <conditionalFormatting sqref="AF15">
    <cfRule type="cellIs" dxfId="12335" priority="27179" operator="equal">
      <formula>1</formula>
    </cfRule>
    <cfRule type="cellIs" dxfId="12334" priority="27180" operator="equal">
      <formula>"×"</formula>
    </cfRule>
  </conditionalFormatting>
  <conditionalFormatting sqref="AF15">
    <cfRule type="cellIs" dxfId="12333" priority="27177" operator="equal">
      <formula>1</formula>
    </cfRule>
    <cfRule type="cellIs" dxfId="12332" priority="27178" operator="equal">
      <formula>"×"</formula>
    </cfRule>
  </conditionalFormatting>
  <conditionalFormatting sqref="AE15">
    <cfRule type="cellIs" dxfId="12331" priority="27175" operator="equal">
      <formula>1</formula>
    </cfRule>
    <cfRule type="cellIs" dxfId="12330" priority="27176" operator="equal">
      <formula>"×"</formula>
    </cfRule>
  </conditionalFormatting>
  <conditionalFormatting sqref="AD15">
    <cfRule type="cellIs" dxfId="12329" priority="27173" operator="equal">
      <formula>1</formula>
    </cfRule>
    <cfRule type="cellIs" dxfId="12328" priority="27174" operator="equal">
      <formula>"×"</formula>
    </cfRule>
  </conditionalFormatting>
  <conditionalFormatting sqref="AE15">
    <cfRule type="cellIs" dxfId="12327" priority="27171" operator="equal">
      <formula>1</formula>
    </cfRule>
    <cfRule type="cellIs" dxfId="12326" priority="27172" operator="equal">
      <formula>"×"</formula>
    </cfRule>
  </conditionalFormatting>
  <conditionalFormatting sqref="AD15">
    <cfRule type="cellIs" dxfId="12325" priority="27169" operator="equal">
      <formula>1</formula>
    </cfRule>
    <cfRule type="cellIs" dxfId="12324" priority="27170" operator="equal">
      <formula>"×"</formula>
    </cfRule>
  </conditionalFormatting>
  <conditionalFormatting sqref="AD15">
    <cfRule type="cellIs" dxfId="12323" priority="27165" operator="equal">
      <formula>1</formula>
    </cfRule>
    <cfRule type="cellIs" dxfId="12322" priority="27166" operator="equal">
      <formula>"×"</formula>
    </cfRule>
  </conditionalFormatting>
  <conditionalFormatting sqref="AD15">
    <cfRule type="cellIs" dxfId="12321" priority="27167" operator="equal">
      <formula>1</formula>
    </cfRule>
    <cfRule type="cellIs" dxfId="12320" priority="27168" operator="equal">
      <formula>"×"</formula>
    </cfRule>
  </conditionalFormatting>
  <conditionalFormatting sqref="AC15">
    <cfRule type="cellIs" dxfId="12319" priority="27275" operator="equal">
      <formula>1</formula>
    </cfRule>
    <cfRule type="cellIs" dxfId="12318" priority="27276" operator="equal">
      <formula>"×"</formula>
    </cfRule>
  </conditionalFormatting>
  <conditionalFormatting sqref="AF14:AI14">
    <cfRule type="cellIs" dxfId="12317" priority="27273" operator="equal">
      <formula>1</formula>
    </cfRule>
    <cfRule type="cellIs" dxfId="12316" priority="27274" operator="equal">
      <formula>"×"</formula>
    </cfRule>
  </conditionalFormatting>
  <conditionalFormatting sqref="AI14">
    <cfRule type="cellIs" dxfId="12315" priority="27271" operator="equal">
      <formula>1</formula>
    </cfRule>
    <cfRule type="cellIs" dxfId="12314" priority="27272" operator="equal">
      <formula>"×"</formula>
    </cfRule>
  </conditionalFormatting>
  <conditionalFormatting sqref="AI15">
    <cfRule type="cellIs" dxfId="12313" priority="27267" operator="equal">
      <formula>1</formula>
    </cfRule>
    <cfRule type="cellIs" dxfId="12312" priority="27268" operator="equal">
      <formula>"×"</formula>
    </cfRule>
  </conditionalFormatting>
  <conditionalFormatting sqref="AF14:AI16">
    <cfRule type="cellIs" dxfId="12311" priority="27269" operator="equal">
      <formula>1</formula>
    </cfRule>
    <cfRule type="cellIs" dxfId="12310" priority="27270" operator="equal">
      <formula>"×"</formula>
    </cfRule>
  </conditionalFormatting>
  <conditionalFormatting sqref="AD15">
    <cfRule type="cellIs" dxfId="12309" priority="27265" operator="equal">
      <formula>1</formula>
    </cfRule>
    <cfRule type="cellIs" dxfId="12308" priority="27266" operator="equal">
      <formula>"×"</formula>
    </cfRule>
  </conditionalFormatting>
  <conditionalFormatting sqref="AD15">
    <cfRule type="cellIs" dxfId="12307" priority="27261" operator="equal">
      <formula>1</formula>
    </cfRule>
    <cfRule type="cellIs" dxfId="12306" priority="27262" operator="equal">
      <formula>"×"</formula>
    </cfRule>
  </conditionalFormatting>
  <conditionalFormatting sqref="AD15">
    <cfRule type="cellIs" dxfId="12305" priority="27259" operator="equal">
      <formula>1</formula>
    </cfRule>
    <cfRule type="cellIs" dxfId="12304" priority="27260" operator="equal">
      <formula>"×"</formula>
    </cfRule>
  </conditionalFormatting>
  <conditionalFormatting sqref="AI13:AI18">
    <cfRule type="cellIs" dxfId="12303" priority="27255" operator="equal">
      <formula>1</formula>
    </cfRule>
    <cfRule type="cellIs" dxfId="12302" priority="27256" operator="equal">
      <formula>"×"</formula>
    </cfRule>
  </conditionalFormatting>
  <conditionalFormatting sqref="AG13:AI16 AH14:AI18">
    <cfRule type="cellIs" dxfId="12301" priority="27253" operator="equal">
      <formula>1</formula>
    </cfRule>
    <cfRule type="cellIs" dxfId="12300" priority="27254" operator="equal">
      <formula>"×"</formula>
    </cfRule>
  </conditionalFormatting>
  <conditionalFormatting sqref="AH14:AI18 AG17:AI19 AH8:AI12 AG11:AI15">
    <cfRule type="cellIs" dxfId="12299" priority="27251" operator="equal">
      <formula>1</formula>
    </cfRule>
    <cfRule type="cellIs" dxfId="12298" priority="27252" operator="equal">
      <formula>"×"</formula>
    </cfRule>
  </conditionalFormatting>
  <conditionalFormatting sqref="AI8:AI19">
    <cfRule type="cellIs" dxfId="12297" priority="27249" operator="equal">
      <formula>1</formula>
    </cfRule>
    <cfRule type="cellIs" dxfId="12296" priority="27250" operator="equal">
      <formula>"×"</formula>
    </cfRule>
  </conditionalFormatting>
  <conditionalFormatting sqref="AH14:AI18 AG17:AI19 AH8:AI12 AG11:AI15">
    <cfRule type="cellIs" dxfId="12295" priority="27247" operator="equal">
      <formula>1</formula>
    </cfRule>
    <cfRule type="cellIs" dxfId="12294" priority="27248" operator="equal">
      <formula>"×"</formula>
    </cfRule>
  </conditionalFormatting>
  <conditionalFormatting sqref="AF19">
    <cfRule type="cellIs" dxfId="12293" priority="27245" operator="equal">
      <formula>1</formula>
    </cfRule>
    <cfRule type="cellIs" dxfId="12292" priority="27246" operator="equal">
      <formula>"×"</formula>
    </cfRule>
  </conditionalFormatting>
  <conditionalFormatting sqref="AF19">
    <cfRule type="cellIs" dxfId="12291" priority="27243" operator="equal">
      <formula>1</formula>
    </cfRule>
    <cfRule type="cellIs" dxfId="12290" priority="27244" operator="equal">
      <formula>"×"</formula>
    </cfRule>
  </conditionalFormatting>
  <conditionalFormatting sqref="AI14">
    <cfRule type="cellIs" dxfId="12289" priority="27241" operator="equal">
      <formula>1</formula>
    </cfRule>
    <cfRule type="cellIs" dxfId="12288" priority="27242" operator="equal">
      <formula>"×"</formula>
    </cfRule>
  </conditionalFormatting>
  <conditionalFormatting sqref="AD8">
    <cfRule type="cellIs" dxfId="12287" priority="6251" operator="equal">
      <formula>1</formula>
    </cfRule>
    <cfRule type="cellIs" dxfId="12286" priority="6252" operator="equal">
      <formula>"×"</formula>
    </cfRule>
  </conditionalFormatting>
  <conditionalFormatting sqref="AD8">
    <cfRule type="cellIs" dxfId="12285" priority="6249" operator="equal">
      <formula>1</formula>
    </cfRule>
    <cfRule type="cellIs" dxfId="12284" priority="6250" operator="equal">
      <formula>"×"</formula>
    </cfRule>
  </conditionalFormatting>
  <conditionalFormatting sqref="AD8">
    <cfRule type="cellIs" dxfId="12283" priority="6247" operator="equal">
      <formula>1</formula>
    </cfRule>
    <cfRule type="cellIs" dxfId="12282" priority="6248" operator="equal">
      <formula>"×"</formula>
    </cfRule>
  </conditionalFormatting>
  <conditionalFormatting sqref="AE15">
    <cfRule type="cellIs" dxfId="12281" priority="27233" operator="equal">
      <formula>1</formula>
    </cfRule>
    <cfRule type="cellIs" dxfId="12280" priority="27234" operator="equal">
      <formula>"×"</formula>
    </cfRule>
  </conditionalFormatting>
  <conditionalFormatting sqref="AE15">
    <cfRule type="cellIs" dxfId="12279" priority="27229" operator="equal">
      <formula>1</formula>
    </cfRule>
    <cfRule type="cellIs" dxfId="12278" priority="27230" operator="equal">
      <formula>"×"</formula>
    </cfRule>
  </conditionalFormatting>
  <conditionalFormatting sqref="AD15">
    <cfRule type="cellIs" dxfId="12277" priority="27231" operator="equal">
      <formula>1</formula>
    </cfRule>
    <cfRule type="cellIs" dxfId="12276" priority="27232" operator="equal">
      <formula>"×"</formula>
    </cfRule>
  </conditionalFormatting>
  <conditionalFormatting sqref="AD15">
    <cfRule type="cellIs" dxfId="12275" priority="27227" operator="equal">
      <formula>1</formula>
    </cfRule>
    <cfRule type="cellIs" dxfId="12274" priority="27228" operator="equal">
      <formula>"×"</formula>
    </cfRule>
  </conditionalFormatting>
  <conditionalFormatting sqref="AD15">
    <cfRule type="cellIs" dxfId="12273" priority="27225" operator="equal">
      <formula>1</formula>
    </cfRule>
    <cfRule type="cellIs" dxfId="12272" priority="27226" operator="equal">
      <formula>"×"</formula>
    </cfRule>
  </conditionalFormatting>
  <conditionalFormatting sqref="AD15">
    <cfRule type="cellIs" dxfId="12271" priority="27223" operator="equal">
      <formula>1</formula>
    </cfRule>
    <cfRule type="cellIs" dxfId="12270" priority="27224" operator="equal">
      <formula>"×"</formula>
    </cfRule>
  </conditionalFormatting>
  <conditionalFormatting sqref="AF19:AI19">
    <cfRule type="cellIs" dxfId="12269" priority="27219" operator="equal">
      <formula>1</formula>
    </cfRule>
    <cfRule type="cellIs" dxfId="12268" priority="27220" operator="equal">
      <formula>"×"</formula>
    </cfRule>
  </conditionalFormatting>
  <conditionalFormatting sqref="AI19">
    <cfRule type="cellIs" dxfId="12267" priority="27217" operator="equal">
      <formula>1</formula>
    </cfRule>
    <cfRule type="cellIs" dxfId="12266" priority="27218" operator="equal">
      <formula>"×"</formula>
    </cfRule>
  </conditionalFormatting>
  <conditionalFormatting sqref="AF19:AI19">
    <cfRule type="cellIs" dxfId="12265" priority="27215" operator="equal">
      <formula>1</formula>
    </cfRule>
    <cfRule type="cellIs" dxfId="12264" priority="27216" operator="equal">
      <formula>"×"</formula>
    </cfRule>
  </conditionalFormatting>
  <conditionalFormatting sqref="AI14">
    <cfRule type="cellIs" dxfId="12263" priority="27213" operator="equal">
      <formula>1</formula>
    </cfRule>
    <cfRule type="cellIs" dxfId="12262" priority="27214" operator="equal">
      <formula>"×"</formula>
    </cfRule>
  </conditionalFormatting>
  <conditionalFormatting sqref="AE15">
    <cfRule type="cellIs" dxfId="12261" priority="27205" operator="equal">
      <formula>1</formula>
    </cfRule>
    <cfRule type="cellIs" dxfId="12260" priority="27206" operator="equal">
      <formula>"×"</formula>
    </cfRule>
  </conditionalFormatting>
  <conditionalFormatting sqref="AE15">
    <cfRule type="cellIs" dxfId="12259" priority="27201" operator="equal">
      <formula>1</formula>
    </cfRule>
    <cfRule type="cellIs" dxfId="12258" priority="27202" operator="equal">
      <formula>"×"</formula>
    </cfRule>
  </conditionalFormatting>
  <conditionalFormatting sqref="AD15">
    <cfRule type="cellIs" dxfId="12257" priority="27203" operator="equal">
      <formula>1</formula>
    </cfRule>
    <cfRule type="cellIs" dxfId="12256" priority="27204" operator="equal">
      <formula>"×"</formula>
    </cfRule>
  </conditionalFormatting>
  <conditionalFormatting sqref="AD15">
    <cfRule type="cellIs" dxfId="12255" priority="27199" operator="equal">
      <formula>1</formula>
    </cfRule>
    <cfRule type="cellIs" dxfId="12254" priority="27200" operator="equal">
      <formula>"×"</formula>
    </cfRule>
  </conditionalFormatting>
  <conditionalFormatting sqref="AD15">
    <cfRule type="cellIs" dxfId="12253" priority="27197" operator="equal">
      <formula>1</formula>
    </cfRule>
    <cfRule type="cellIs" dxfId="12252" priority="27198" operator="equal">
      <formula>"×"</formula>
    </cfRule>
  </conditionalFormatting>
  <conditionalFormatting sqref="AD15">
    <cfRule type="cellIs" dxfId="12251" priority="27195" operator="equal">
      <formula>1</formula>
    </cfRule>
    <cfRule type="cellIs" dxfId="12250" priority="27196" operator="equal">
      <formula>"×"</formula>
    </cfRule>
  </conditionalFormatting>
  <conditionalFormatting sqref="AF19:AI19">
    <cfRule type="cellIs" dxfId="12249" priority="27161" operator="equal">
      <formula>1</formula>
    </cfRule>
    <cfRule type="cellIs" dxfId="12248" priority="27162" operator="equal">
      <formula>"×"</formula>
    </cfRule>
  </conditionalFormatting>
  <conditionalFormatting sqref="AI19">
    <cfRule type="cellIs" dxfId="12247" priority="27159" operator="equal">
      <formula>1</formula>
    </cfRule>
    <cfRule type="cellIs" dxfId="12246" priority="27160" operator="equal">
      <formula>"×"</formula>
    </cfRule>
  </conditionalFormatting>
  <conditionalFormatting sqref="AF19:AI19">
    <cfRule type="cellIs" dxfId="12245" priority="27157" operator="equal">
      <formula>1</formula>
    </cfRule>
    <cfRule type="cellIs" dxfId="12244" priority="27158" operator="equal">
      <formula>"×"</formula>
    </cfRule>
  </conditionalFormatting>
  <conditionalFormatting sqref="AF19:AI19">
    <cfRule type="cellIs" dxfId="12243" priority="27155" operator="equal">
      <formula>1</formula>
    </cfRule>
    <cfRule type="cellIs" dxfId="12242" priority="27156" operator="equal">
      <formula>"×"</formula>
    </cfRule>
  </conditionalFormatting>
  <conditionalFormatting sqref="AI19">
    <cfRule type="cellIs" dxfId="12241" priority="27153" operator="equal">
      <formula>1</formula>
    </cfRule>
    <cfRule type="cellIs" dxfId="12240" priority="27154" operator="equal">
      <formula>"×"</formula>
    </cfRule>
  </conditionalFormatting>
  <conditionalFormatting sqref="AG19:AI19">
    <cfRule type="cellIs" dxfId="12239" priority="27149" operator="equal">
      <formula>1</formula>
    </cfRule>
    <cfRule type="cellIs" dxfId="12238" priority="27150" operator="equal">
      <formula>"×"</formula>
    </cfRule>
  </conditionalFormatting>
  <conditionalFormatting sqref="AI19">
    <cfRule type="cellIs" dxfId="12237" priority="27147" operator="equal">
      <formula>1</formula>
    </cfRule>
    <cfRule type="cellIs" dxfId="12236" priority="27148" operator="equal">
      <formula>"×"</formula>
    </cfRule>
  </conditionalFormatting>
  <conditionalFormatting sqref="AG19:AI19">
    <cfRule type="cellIs" dxfId="12235" priority="27145" operator="equal">
      <formula>1</formula>
    </cfRule>
    <cfRule type="cellIs" dxfId="12234" priority="27146" operator="equal">
      <formula>"×"</formula>
    </cfRule>
  </conditionalFormatting>
  <conditionalFormatting sqref="AG19:AI19">
    <cfRule type="cellIs" dxfId="12233" priority="27143" operator="equal">
      <formula>1</formula>
    </cfRule>
    <cfRule type="cellIs" dxfId="12232" priority="27144" operator="equal">
      <formula>"×"</formula>
    </cfRule>
  </conditionalFormatting>
  <conditionalFormatting sqref="AI19">
    <cfRule type="cellIs" dxfId="12231" priority="27141" operator="equal">
      <formula>1</formula>
    </cfRule>
    <cfRule type="cellIs" dxfId="12230" priority="27142" operator="equal">
      <formula>"×"</formula>
    </cfRule>
  </conditionalFormatting>
  <conditionalFormatting sqref="AG19:AI19">
    <cfRule type="cellIs" dxfId="12229" priority="27139" operator="equal">
      <formula>1</formula>
    </cfRule>
    <cfRule type="cellIs" dxfId="12228" priority="27140" operator="equal">
      <formula>"×"</formula>
    </cfRule>
  </conditionalFormatting>
  <conditionalFormatting sqref="AG19:AI19">
    <cfRule type="cellIs" dxfId="12227" priority="27137" operator="equal">
      <formula>1</formula>
    </cfRule>
    <cfRule type="cellIs" dxfId="12226" priority="27138" operator="equal">
      <formula>"×"</formula>
    </cfRule>
  </conditionalFormatting>
  <conditionalFormatting sqref="AG19:AI19">
    <cfRule type="cellIs" dxfId="12225" priority="27133" operator="equal">
      <formula>1</formula>
    </cfRule>
    <cfRule type="cellIs" dxfId="12224" priority="27134" operator="equal">
      <formula>"×"</formula>
    </cfRule>
  </conditionalFormatting>
  <conditionalFormatting sqref="AI19">
    <cfRule type="cellIs" dxfId="12223" priority="27135" operator="equal">
      <formula>1</formula>
    </cfRule>
    <cfRule type="cellIs" dxfId="12222" priority="27136" operator="equal">
      <formula>"×"</formula>
    </cfRule>
  </conditionalFormatting>
  <conditionalFormatting sqref="AG19:AI19">
    <cfRule type="cellIs" dxfId="12221" priority="27131" operator="equal">
      <formula>1</formula>
    </cfRule>
    <cfRule type="cellIs" dxfId="12220" priority="27132" operator="equal">
      <formula>"×"</formula>
    </cfRule>
  </conditionalFormatting>
  <conditionalFormatting sqref="AI19">
    <cfRule type="cellIs" dxfId="12219" priority="27129" operator="equal">
      <formula>1</formula>
    </cfRule>
    <cfRule type="cellIs" dxfId="12218" priority="27130" operator="equal">
      <formula>"×"</formula>
    </cfRule>
  </conditionalFormatting>
  <conditionalFormatting sqref="AG19:AI19">
    <cfRule type="cellIs" dxfId="12217" priority="27127" operator="equal">
      <formula>1</formula>
    </cfRule>
    <cfRule type="cellIs" dxfId="12216" priority="27128" operator="equal">
      <formula>"×"</formula>
    </cfRule>
  </conditionalFormatting>
  <conditionalFormatting sqref="AI19">
    <cfRule type="cellIs" dxfId="12215" priority="27125" operator="equal">
      <formula>1</formula>
    </cfRule>
    <cfRule type="cellIs" dxfId="12214" priority="27126" operator="equal">
      <formula>"×"</formula>
    </cfRule>
  </conditionalFormatting>
  <conditionalFormatting sqref="AI19">
    <cfRule type="cellIs" dxfId="12213" priority="27123" operator="equal">
      <formula>1</formula>
    </cfRule>
    <cfRule type="cellIs" dxfId="12212" priority="27124" operator="equal">
      <formula>"×"</formula>
    </cfRule>
  </conditionalFormatting>
  <conditionalFormatting sqref="AI19">
    <cfRule type="cellIs" dxfId="12211" priority="27121" operator="equal">
      <formula>1</formula>
    </cfRule>
    <cfRule type="cellIs" dxfId="12210" priority="27122" operator="equal">
      <formula>"×"</formula>
    </cfRule>
  </conditionalFormatting>
  <conditionalFormatting sqref="AI19">
    <cfRule type="cellIs" dxfId="12209" priority="27119" operator="equal">
      <formula>1</formula>
    </cfRule>
    <cfRule type="cellIs" dxfId="12208" priority="27120" operator="equal">
      <formula>"×"</formula>
    </cfRule>
  </conditionalFormatting>
  <conditionalFormatting sqref="AI19">
    <cfRule type="cellIs" dxfId="12207" priority="27117" operator="equal">
      <formula>1</formula>
    </cfRule>
    <cfRule type="cellIs" dxfId="12206" priority="27118" operator="equal">
      <formula>"×"</formula>
    </cfRule>
  </conditionalFormatting>
  <conditionalFormatting sqref="AI19">
    <cfRule type="cellIs" dxfId="12205" priority="27115" operator="equal">
      <formula>1</formula>
    </cfRule>
    <cfRule type="cellIs" dxfId="12204" priority="27116" operator="equal">
      <formula>"×"</formula>
    </cfRule>
  </conditionalFormatting>
  <conditionalFormatting sqref="AF19">
    <cfRule type="cellIs" dxfId="12203" priority="27075" operator="equal">
      <formula>1</formula>
    </cfRule>
    <cfRule type="cellIs" dxfId="12202" priority="27076" operator="equal">
      <formula>"×"</formula>
    </cfRule>
  </conditionalFormatting>
  <conditionalFormatting sqref="AF19">
    <cfRule type="cellIs" dxfId="12201" priority="27073" operator="equal">
      <formula>1</formula>
    </cfRule>
    <cfRule type="cellIs" dxfId="12200" priority="27074" operator="equal">
      <formula>"×"</formula>
    </cfRule>
  </conditionalFormatting>
  <conditionalFormatting sqref="AF19:AI19">
    <cfRule type="cellIs" dxfId="12199" priority="27059" operator="equal">
      <formula>1</formula>
    </cfRule>
    <cfRule type="cellIs" dxfId="12198" priority="27060" operator="equal">
      <formula>"×"</formula>
    </cfRule>
  </conditionalFormatting>
  <conditionalFormatting sqref="AI19">
    <cfRule type="cellIs" dxfId="12197" priority="27057" operator="equal">
      <formula>1</formula>
    </cfRule>
    <cfRule type="cellIs" dxfId="12196" priority="27058" operator="equal">
      <formula>"×"</formula>
    </cfRule>
  </conditionalFormatting>
  <conditionalFormatting sqref="AF19:AI19">
    <cfRule type="cellIs" dxfId="12195" priority="27055" operator="equal">
      <formula>1</formula>
    </cfRule>
    <cfRule type="cellIs" dxfId="12194" priority="27056" operator="equal">
      <formula>"×"</formula>
    </cfRule>
  </conditionalFormatting>
  <conditionalFormatting sqref="AF19">
    <cfRule type="cellIs" dxfId="12193" priority="27071" operator="equal">
      <formula>1</formula>
    </cfRule>
    <cfRule type="cellIs" dxfId="12192" priority="27072" operator="equal">
      <formula>"×"</formula>
    </cfRule>
  </conditionalFormatting>
  <conditionalFormatting sqref="AF19">
    <cfRule type="cellIs" dxfId="12191" priority="27069" operator="equal">
      <formula>1</formula>
    </cfRule>
    <cfRule type="cellIs" dxfId="12190" priority="27070" operator="equal">
      <formula>"×"</formula>
    </cfRule>
  </conditionalFormatting>
  <conditionalFormatting sqref="AF19">
    <cfRule type="cellIs" dxfId="12189" priority="27065" operator="equal">
      <formula>1</formula>
    </cfRule>
    <cfRule type="cellIs" dxfId="12188" priority="27066" operator="equal">
      <formula>"×"</formula>
    </cfRule>
  </conditionalFormatting>
  <conditionalFormatting sqref="AF19">
    <cfRule type="cellIs" dxfId="12187" priority="27063" operator="equal">
      <formula>1</formula>
    </cfRule>
    <cfRule type="cellIs" dxfId="12186" priority="27064" operator="equal">
      <formula>"×"</formula>
    </cfRule>
  </conditionalFormatting>
  <conditionalFormatting sqref="AF19">
    <cfRule type="cellIs" dxfId="12185" priority="27035" operator="equal">
      <formula>1</formula>
    </cfRule>
    <cfRule type="cellIs" dxfId="12184" priority="27036" operator="equal">
      <formula>"×"</formula>
    </cfRule>
  </conditionalFormatting>
  <conditionalFormatting sqref="AF19">
    <cfRule type="cellIs" dxfId="12183" priority="27031" operator="equal">
      <formula>1</formula>
    </cfRule>
    <cfRule type="cellIs" dxfId="12182" priority="27032" operator="equal">
      <formula>"×"</formula>
    </cfRule>
  </conditionalFormatting>
  <conditionalFormatting sqref="AF19">
    <cfRule type="cellIs" dxfId="12181" priority="27033" operator="equal">
      <formula>1</formula>
    </cfRule>
    <cfRule type="cellIs" dxfId="12180" priority="27034" operator="equal">
      <formula>"×"</formula>
    </cfRule>
  </conditionalFormatting>
  <conditionalFormatting sqref="AF19">
    <cfRule type="cellIs" dxfId="12179" priority="27029" operator="equal">
      <formula>1</formula>
    </cfRule>
    <cfRule type="cellIs" dxfId="12178" priority="27030" operator="equal">
      <formula>"×"</formula>
    </cfRule>
  </conditionalFormatting>
  <conditionalFormatting sqref="AF19">
    <cfRule type="cellIs" dxfId="12177" priority="27027" operator="equal">
      <formula>1</formula>
    </cfRule>
    <cfRule type="cellIs" dxfId="12176" priority="27028" operator="equal">
      <formula>"×"</formula>
    </cfRule>
  </conditionalFormatting>
  <conditionalFormatting sqref="AF19">
    <cfRule type="cellIs" dxfId="12175" priority="27025" operator="equal">
      <formula>1</formula>
    </cfRule>
    <cfRule type="cellIs" dxfId="12174" priority="27026" operator="equal">
      <formula>"×"</formula>
    </cfRule>
  </conditionalFormatting>
  <conditionalFormatting sqref="AF19">
    <cfRule type="cellIs" dxfId="12173" priority="27023" operator="equal">
      <formula>1</formula>
    </cfRule>
    <cfRule type="cellIs" dxfId="12172" priority="27024" operator="equal">
      <formula>"×"</formula>
    </cfRule>
  </conditionalFormatting>
  <conditionalFormatting sqref="AI18">
    <cfRule type="cellIs" dxfId="12171" priority="26979" operator="equal">
      <formula>1</formula>
    </cfRule>
    <cfRule type="cellIs" dxfId="12170" priority="26980" operator="equal">
      <formula>"×"</formula>
    </cfRule>
  </conditionalFormatting>
  <conditionalFormatting sqref="AH18:AI18">
    <cfRule type="cellIs" dxfId="12169" priority="26981" operator="equal">
      <formula>1</formula>
    </cfRule>
    <cfRule type="cellIs" dxfId="12168" priority="26982" operator="equal">
      <formula>"×"</formula>
    </cfRule>
  </conditionalFormatting>
  <conditionalFormatting sqref="AH18:AI18">
    <cfRule type="cellIs" dxfId="12167" priority="26977" operator="equal">
      <formula>1</formula>
    </cfRule>
    <cfRule type="cellIs" dxfId="12166" priority="26978" operator="equal">
      <formula>"×"</formula>
    </cfRule>
  </conditionalFormatting>
  <conditionalFormatting sqref="AH18:AI18">
    <cfRule type="cellIs" dxfId="12165" priority="26975" operator="equal">
      <formula>1</formula>
    </cfRule>
    <cfRule type="cellIs" dxfId="12164" priority="26976" operator="equal">
      <formula>"×"</formula>
    </cfRule>
  </conditionalFormatting>
  <conditionalFormatting sqref="AI18">
    <cfRule type="cellIs" dxfId="12163" priority="26973" operator="equal">
      <formula>1</formula>
    </cfRule>
    <cfRule type="cellIs" dxfId="12162" priority="26974" operator="equal">
      <formula>"×"</formula>
    </cfRule>
  </conditionalFormatting>
  <conditionalFormatting sqref="AH18:AI18">
    <cfRule type="cellIs" dxfId="12161" priority="26971" operator="equal">
      <formula>1</formula>
    </cfRule>
    <cfRule type="cellIs" dxfId="12160" priority="26972" operator="equal">
      <formula>"×"</formula>
    </cfRule>
  </conditionalFormatting>
  <conditionalFormatting sqref="Z14">
    <cfRule type="cellIs" dxfId="12159" priority="26969" operator="equal">
      <formula>1</formula>
    </cfRule>
    <cfRule type="cellIs" dxfId="12158" priority="26970" operator="equal">
      <formula>"×"</formula>
    </cfRule>
  </conditionalFormatting>
  <conditionalFormatting sqref="AE15:AG15">
    <cfRule type="cellIs" dxfId="12157" priority="26943" operator="equal">
      <formula>1</formula>
    </cfRule>
    <cfRule type="cellIs" dxfId="12156" priority="26944" operator="equal">
      <formula>"×"</formula>
    </cfRule>
  </conditionalFormatting>
  <conditionalFormatting sqref="AE15:AG15">
    <cfRule type="cellIs" dxfId="12155" priority="26941" operator="equal">
      <formula>1</formula>
    </cfRule>
    <cfRule type="cellIs" dxfId="12154" priority="26942" operator="equal">
      <formula>"×"</formula>
    </cfRule>
  </conditionalFormatting>
  <conditionalFormatting sqref="AE15:AG15">
    <cfRule type="cellIs" dxfId="12153" priority="26937" operator="equal">
      <formula>1</formula>
    </cfRule>
    <cfRule type="cellIs" dxfId="12152" priority="26938" operator="equal">
      <formula>"×"</formula>
    </cfRule>
  </conditionalFormatting>
  <conditionalFormatting sqref="AE15:AG15">
    <cfRule type="cellIs" dxfId="12151" priority="26939" operator="equal">
      <formula>1</formula>
    </cfRule>
    <cfRule type="cellIs" dxfId="12150" priority="26940" operator="equal">
      <formula>"×"</formula>
    </cfRule>
  </conditionalFormatting>
  <conditionalFormatting sqref="AE15:AG15">
    <cfRule type="cellIs" dxfId="12149" priority="26967" operator="equal">
      <formula>1</formula>
    </cfRule>
    <cfRule type="cellIs" dxfId="12148" priority="26968" operator="equal">
      <formula>"×"</formula>
    </cfRule>
  </conditionalFormatting>
  <conditionalFormatting sqref="AE15:AG15">
    <cfRule type="cellIs" dxfId="12147" priority="26965" operator="equal">
      <formula>1</formula>
    </cfRule>
    <cfRule type="cellIs" dxfId="12146" priority="26966" operator="equal">
      <formula>"×"</formula>
    </cfRule>
  </conditionalFormatting>
  <conditionalFormatting sqref="AE15:AG15">
    <cfRule type="cellIs" dxfId="12145" priority="26963" operator="equal">
      <formula>1</formula>
    </cfRule>
    <cfRule type="cellIs" dxfId="12144" priority="26964" operator="equal">
      <formula>"×"</formula>
    </cfRule>
  </conditionalFormatting>
  <conditionalFormatting sqref="AE15:AG15">
    <cfRule type="cellIs" dxfId="12143" priority="26961" operator="equal">
      <formula>1</formula>
    </cfRule>
    <cfRule type="cellIs" dxfId="12142" priority="26962" operator="equal">
      <formula>"×"</formula>
    </cfRule>
  </conditionalFormatting>
  <conditionalFormatting sqref="AE15:AG15">
    <cfRule type="cellIs" dxfId="12141" priority="26959" operator="equal">
      <formula>1</formula>
    </cfRule>
    <cfRule type="cellIs" dxfId="12140" priority="26960" operator="equal">
      <formula>"×"</formula>
    </cfRule>
  </conditionalFormatting>
  <conditionalFormatting sqref="AE15:AG15">
    <cfRule type="cellIs" dxfId="12139" priority="26957" operator="equal">
      <formula>1</formula>
    </cfRule>
    <cfRule type="cellIs" dxfId="12138" priority="26958" operator="equal">
      <formula>"×"</formula>
    </cfRule>
  </conditionalFormatting>
  <conditionalFormatting sqref="AE15:AG15">
    <cfRule type="cellIs" dxfId="12137" priority="26955" operator="equal">
      <formula>1</formula>
    </cfRule>
    <cfRule type="cellIs" dxfId="12136" priority="26956" operator="equal">
      <formula>"×"</formula>
    </cfRule>
  </conditionalFormatting>
  <conditionalFormatting sqref="AE15:AG15">
    <cfRule type="cellIs" dxfId="12135" priority="26953" operator="equal">
      <formula>1</formula>
    </cfRule>
    <cfRule type="cellIs" dxfId="12134" priority="26954" operator="equal">
      <formula>"×"</formula>
    </cfRule>
  </conditionalFormatting>
  <conditionalFormatting sqref="AE15:AG15">
    <cfRule type="cellIs" dxfId="12133" priority="26951" operator="equal">
      <formula>1</formula>
    </cfRule>
    <cfRule type="cellIs" dxfId="12132" priority="26952" operator="equal">
      <formula>"×"</formula>
    </cfRule>
  </conditionalFormatting>
  <conditionalFormatting sqref="AE15:AG15">
    <cfRule type="cellIs" dxfId="12131" priority="26949" operator="equal">
      <formula>1</formula>
    </cfRule>
    <cfRule type="cellIs" dxfId="12130" priority="26950" operator="equal">
      <formula>"×"</formula>
    </cfRule>
  </conditionalFormatting>
  <conditionalFormatting sqref="AE15:AG15">
    <cfRule type="cellIs" dxfId="12129" priority="26947" operator="equal">
      <formula>1</formula>
    </cfRule>
    <cfRule type="cellIs" dxfId="12128" priority="26948" operator="equal">
      <formula>"×"</formula>
    </cfRule>
  </conditionalFormatting>
  <conditionalFormatting sqref="AE15:AG15">
    <cfRule type="cellIs" dxfId="12127" priority="26945" operator="equal">
      <formula>1</formula>
    </cfRule>
    <cfRule type="cellIs" dxfId="12126" priority="26946" operator="equal">
      <formula>"×"</formula>
    </cfRule>
  </conditionalFormatting>
  <conditionalFormatting sqref="AH15:AI15">
    <cfRule type="cellIs" dxfId="12125" priority="26911" operator="equal">
      <formula>1</formula>
    </cfRule>
    <cfRule type="cellIs" dxfId="12124" priority="26912" operator="equal">
      <formula>"×"</formula>
    </cfRule>
  </conditionalFormatting>
  <conditionalFormatting sqref="AH15:AI15">
    <cfRule type="cellIs" dxfId="12123" priority="26909" operator="equal">
      <formula>1</formula>
    </cfRule>
    <cfRule type="cellIs" dxfId="12122" priority="26910" operator="equal">
      <formula>"×"</formula>
    </cfRule>
  </conditionalFormatting>
  <conditionalFormatting sqref="AH15:AI15">
    <cfRule type="cellIs" dxfId="12121" priority="26905" operator="equal">
      <formula>1</formula>
    </cfRule>
    <cfRule type="cellIs" dxfId="12120" priority="26906" operator="equal">
      <formula>"×"</formula>
    </cfRule>
  </conditionalFormatting>
  <conditionalFormatting sqref="AH15:AI15">
    <cfRule type="cellIs" dxfId="12119" priority="26907" operator="equal">
      <formula>1</formula>
    </cfRule>
    <cfRule type="cellIs" dxfId="12118" priority="26908" operator="equal">
      <formula>"×"</formula>
    </cfRule>
  </conditionalFormatting>
  <conditionalFormatting sqref="AH15:AI15">
    <cfRule type="cellIs" dxfId="12117" priority="26935" operator="equal">
      <formula>1</formula>
    </cfRule>
    <cfRule type="cellIs" dxfId="12116" priority="26936" operator="equal">
      <formula>"×"</formula>
    </cfRule>
  </conditionalFormatting>
  <conditionalFormatting sqref="AH15:AI15">
    <cfRule type="cellIs" dxfId="12115" priority="26933" operator="equal">
      <formula>1</formula>
    </cfRule>
    <cfRule type="cellIs" dxfId="12114" priority="26934" operator="equal">
      <formula>"×"</formula>
    </cfRule>
  </conditionalFormatting>
  <conditionalFormatting sqref="AH15:AI15">
    <cfRule type="cellIs" dxfId="12113" priority="26931" operator="equal">
      <formula>1</formula>
    </cfRule>
    <cfRule type="cellIs" dxfId="12112" priority="26932" operator="equal">
      <formula>"×"</formula>
    </cfRule>
  </conditionalFormatting>
  <conditionalFormatting sqref="AH15:AI15">
    <cfRule type="cellIs" dxfId="12111" priority="26929" operator="equal">
      <formula>1</formula>
    </cfRule>
    <cfRule type="cellIs" dxfId="12110" priority="26930" operator="equal">
      <formula>"×"</formula>
    </cfRule>
  </conditionalFormatting>
  <conditionalFormatting sqref="AH15:AI15">
    <cfRule type="cellIs" dxfId="12109" priority="26927" operator="equal">
      <formula>1</formula>
    </cfRule>
    <cfRule type="cellIs" dxfId="12108" priority="26928" operator="equal">
      <formula>"×"</formula>
    </cfRule>
  </conditionalFormatting>
  <conditionalFormatting sqref="AH15:AI15">
    <cfRule type="cellIs" dxfId="12107" priority="26925" operator="equal">
      <formula>1</formula>
    </cfRule>
    <cfRule type="cellIs" dxfId="12106" priority="26926" operator="equal">
      <formula>"×"</formula>
    </cfRule>
  </conditionalFormatting>
  <conditionalFormatting sqref="AH15:AI15">
    <cfRule type="cellIs" dxfId="12105" priority="26923" operator="equal">
      <formula>1</formula>
    </cfRule>
    <cfRule type="cellIs" dxfId="12104" priority="26924" operator="equal">
      <formula>"×"</formula>
    </cfRule>
  </conditionalFormatting>
  <conditionalFormatting sqref="AH15:AI15">
    <cfRule type="cellIs" dxfId="12103" priority="26921" operator="equal">
      <formula>1</formula>
    </cfRule>
    <cfRule type="cellIs" dxfId="12102" priority="26922" operator="equal">
      <formula>"×"</formula>
    </cfRule>
  </conditionalFormatting>
  <conditionalFormatting sqref="AH15:AI15">
    <cfRule type="cellIs" dxfId="12101" priority="26919" operator="equal">
      <formula>1</formula>
    </cfRule>
    <cfRule type="cellIs" dxfId="12100" priority="26920" operator="equal">
      <formula>"×"</formula>
    </cfRule>
  </conditionalFormatting>
  <conditionalFormatting sqref="AH15:AI15">
    <cfRule type="cellIs" dxfId="12099" priority="26917" operator="equal">
      <formula>1</formula>
    </cfRule>
    <cfRule type="cellIs" dxfId="12098" priority="26918" operator="equal">
      <formula>"×"</formula>
    </cfRule>
  </conditionalFormatting>
  <conditionalFormatting sqref="AH15:AI15">
    <cfRule type="cellIs" dxfId="12097" priority="26915" operator="equal">
      <formula>1</formula>
    </cfRule>
    <cfRule type="cellIs" dxfId="12096" priority="26916" operator="equal">
      <formula>"×"</formula>
    </cfRule>
  </conditionalFormatting>
  <conditionalFormatting sqref="AH15:AI15">
    <cfRule type="cellIs" dxfId="12095" priority="26913" operator="equal">
      <formula>1</formula>
    </cfRule>
    <cfRule type="cellIs" dxfId="12094" priority="26914" operator="equal">
      <formula>"×"</formula>
    </cfRule>
  </conditionalFormatting>
  <conditionalFormatting sqref="AH16">
    <cfRule type="cellIs" dxfId="12093" priority="26903" operator="equal">
      <formula>1</formula>
    </cfRule>
    <cfRule type="cellIs" dxfId="12092" priority="26904" operator="equal">
      <formula>"×"</formula>
    </cfRule>
  </conditionalFormatting>
  <conditionalFormatting sqref="AH16">
    <cfRule type="cellIs" dxfId="12091" priority="26901" operator="equal">
      <formula>1</formula>
    </cfRule>
    <cfRule type="cellIs" dxfId="12090" priority="26902" operator="equal">
      <formula>"×"</formula>
    </cfRule>
  </conditionalFormatting>
  <conditionalFormatting sqref="AH16">
    <cfRule type="cellIs" dxfId="12089" priority="26875" operator="equal">
      <formula>1</formula>
    </cfRule>
    <cfRule type="cellIs" dxfId="12088" priority="26876" operator="equal">
      <formula>"×"</formula>
    </cfRule>
  </conditionalFormatting>
  <conditionalFormatting sqref="AH16">
    <cfRule type="cellIs" dxfId="12087" priority="26873" operator="equal">
      <formula>1</formula>
    </cfRule>
    <cfRule type="cellIs" dxfId="12086" priority="26874" operator="equal">
      <formula>"×"</formula>
    </cfRule>
  </conditionalFormatting>
  <conditionalFormatting sqref="AH16">
    <cfRule type="cellIs" dxfId="12085" priority="26869" operator="equal">
      <formula>1</formula>
    </cfRule>
    <cfRule type="cellIs" dxfId="12084" priority="26870" operator="equal">
      <formula>"×"</formula>
    </cfRule>
  </conditionalFormatting>
  <conditionalFormatting sqref="AH16">
    <cfRule type="cellIs" dxfId="12083" priority="26871" operator="equal">
      <formula>1</formula>
    </cfRule>
    <cfRule type="cellIs" dxfId="12082" priority="26872" operator="equal">
      <formula>"×"</formula>
    </cfRule>
  </conditionalFormatting>
  <conditionalFormatting sqref="AH16">
    <cfRule type="cellIs" dxfId="12081" priority="26899" operator="equal">
      <formula>1</formula>
    </cfRule>
    <cfRule type="cellIs" dxfId="12080" priority="26900" operator="equal">
      <formula>"×"</formula>
    </cfRule>
  </conditionalFormatting>
  <conditionalFormatting sqref="AH16">
    <cfRule type="cellIs" dxfId="12079" priority="26897" operator="equal">
      <formula>1</formula>
    </cfRule>
    <cfRule type="cellIs" dxfId="12078" priority="26898" operator="equal">
      <formula>"×"</formula>
    </cfRule>
  </conditionalFormatting>
  <conditionalFormatting sqref="AH16">
    <cfRule type="cellIs" dxfId="12077" priority="26895" operator="equal">
      <formula>1</formula>
    </cfRule>
    <cfRule type="cellIs" dxfId="12076" priority="26896" operator="equal">
      <formula>"×"</formula>
    </cfRule>
  </conditionalFormatting>
  <conditionalFormatting sqref="AH16">
    <cfRule type="cellIs" dxfId="12075" priority="26893" operator="equal">
      <formula>1</formula>
    </cfRule>
    <cfRule type="cellIs" dxfId="12074" priority="26894" operator="equal">
      <formula>"×"</formula>
    </cfRule>
  </conditionalFormatting>
  <conditionalFormatting sqref="AH16">
    <cfRule type="cellIs" dxfId="12073" priority="26891" operator="equal">
      <formula>1</formula>
    </cfRule>
    <cfRule type="cellIs" dxfId="12072" priority="26892" operator="equal">
      <formula>"×"</formula>
    </cfRule>
  </conditionalFormatting>
  <conditionalFormatting sqref="AH16">
    <cfRule type="cellIs" dxfId="12071" priority="26889" operator="equal">
      <formula>1</formula>
    </cfRule>
    <cfRule type="cellIs" dxfId="12070" priority="26890" operator="equal">
      <formula>"×"</formula>
    </cfRule>
  </conditionalFormatting>
  <conditionalFormatting sqref="AH16">
    <cfRule type="cellIs" dxfId="12069" priority="26887" operator="equal">
      <formula>1</formula>
    </cfRule>
    <cfRule type="cellIs" dxfId="12068" priority="26888" operator="equal">
      <formula>"×"</formula>
    </cfRule>
  </conditionalFormatting>
  <conditionalFormatting sqref="AH16">
    <cfRule type="cellIs" dxfId="12067" priority="26885" operator="equal">
      <formula>1</formula>
    </cfRule>
    <cfRule type="cellIs" dxfId="12066" priority="26886" operator="equal">
      <formula>"×"</formula>
    </cfRule>
  </conditionalFormatting>
  <conditionalFormatting sqref="AH16">
    <cfRule type="cellIs" dxfId="12065" priority="26883" operator="equal">
      <formula>1</formula>
    </cfRule>
    <cfRule type="cellIs" dxfId="12064" priority="26884" operator="equal">
      <formula>"×"</formula>
    </cfRule>
  </conditionalFormatting>
  <conditionalFormatting sqref="AH16">
    <cfRule type="cellIs" dxfId="12063" priority="26881" operator="equal">
      <formula>1</formula>
    </cfRule>
    <cfRule type="cellIs" dxfId="12062" priority="26882" operator="equal">
      <formula>"×"</formula>
    </cfRule>
  </conditionalFormatting>
  <conditionalFormatting sqref="AH16">
    <cfRule type="cellIs" dxfId="12061" priority="26879" operator="equal">
      <formula>1</formula>
    </cfRule>
    <cfRule type="cellIs" dxfId="12060" priority="26880" operator="equal">
      <formula>"×"</formula>
    </cfRule>
  </conditionalFormatting>
  <conditionalFormatting sqref="AH16">
    <cfRule type="cellIs" dxfId="12059" priority="26877" operator="equal">
      <formula>1</formula>
    </cfRule>
    <cfRule type="cellIs" dxfId="12058" priority="26878" operator="equal">
      <formula>"×"</formula>
    </cfRule>
  </conditionalFormatting>
  <conditionalFormatting sqref="AC14:AC19">
    <cfRule type="cellIs" dxfId="12057" priority="26823" operator="equal">
      <formula>1</formula>
    </cfRule>
    <cfRule type="cellIs" dxfId="12056" priority="26824" operator="equal">
      <formula>"×"</formula>
    </cfRule>
  </conditionalFormatting>
  <conditionalFormatting sqref="AF14:AF19">
    <cfRule type="cellIs" dxfId="12055" priority="26821" operator="equal">
      <formula>1</formula>
    </cfRule>
    <cfRule type="cellIs" dxfId="12054" priority="26822" operator="equal">
      <formula>"×"</formula>
    </cfRule>
  </conditionalFormatting>
  <conditionalFormatting sqref="AD14:AD19">
    <cfRule type="cellIs" dxfId="12053" priority="26807" operator="equal">
      <formula>1</formula>
    </cfRule>
    <cfRule type="cellIs" dxfId="12052" priority="26808" operator="equal">
      <formula>"×"</formula>
    </cfRule>
  </conditionalFormatting>
  <conditionalFormatting sqref="AD14:AD19">
    <cfRule type="cellIs" dxfId="12051" priority="26809" operator="equal">
      <formula>1</formula>
    </cfRule>
    <cfRule type="cellIs" dxfId="12050" priority="26810" operator="equal">
      <formula>"×"</formula>
    </cfRule>
  </conditionalFormatting>
  <conditionalFormatting sqref="AF14:AG19">
    <cfRule type="cellIs" dxfId="12049" priority="26863" operator="equal">
      <formula>1</formula>
    </cfRule>
    <cfRule type="cellIs" dxfId="12048" priority="26864" operator="equal">
      <formula>"×"</formula>
    </cfRule>
  </conditionalFormatting>
  <conditionalFormatting sqref="AE14:AG19">
    <cfRule type="cellIs" dxfId="12047" priority="26859" operator="equal">
      <formula>1</formula>
    </cfRule>
    <cfRule type="cellIs" dxfId="12046" priority="26860" operator="equal">
      <formula>"×"</formula>
    </cfRule>
  </conditionalFormatting>
  <conditionalFormatting sqref="AD14:AD19">
    <cfRule type="cellIs" dxfId="12045" priority="26861" operator="equal">
      <formula>1</formula>
    </cfRule>
    <cfRule type="cellIs" dxfId="12044" priority="26862" operator="equal">
      <formula>"×"</formula>
    </cfRule>
  </conditionalFormatting>
  <conditionalFormatting sqref="AD14:AD19">
    <cfRule type="cellIs" dxfId="12043" priority="26857" operator="equal">
      <formula>1</formula>
    </cfRule>
    <cfRule type="cellIs" dxfId="12042" priority="26858" operator="equal">
      <formula>"×"</formula>
    </cfRule>
  </conditionalFormatting>
  <conditionalFormatting sqref="AD14:AD19">
    <cfRule type="cellIs" dxfId="12041" priority="26855" operator="equal">
      <formula>1</formula>
    </cfRule>
    <cfRule type="cellIs" dxfId="12040" priority="26856" operator="equal">
      <formula>"×"</formula>
    </cfRule>
  </conditionalFormatting>
  <conditionalFormatting sqref="AD14:AD19">
    <cfRule type="cellIs" dxfId="12039" priority="26853" operator="equal">
      <formula>1</formula>
    </cfRule>
    <cfRule type="cellIs" dxfId="12038" priority="26854" operator="equal">
      <formula>"×"</formula>
    </cfRule>
  </conditionalFormatting>
  <conditionalFormatting sqref="AG14:AG19">
    <cfRule type="cellIs" dxfId="12037" priority="26851" operator="equal">
      <formula>1</formula>
    </cfRule>
    <cfRule type="cellIs" dxfId="12036" priority="26852" operator="equal">
      <formula>"×"</formula>
    </cfRule>
  </conditionalFormatting>
  <conditionalFormatting sqref="AE14:AE19">
    <cfRule type="cellIs" dxfId="12035" priority="26843" operator="equal">
      <formula>1</formula>
    </cfRule>
    <cfRule type="cellIs" dxfId="12034" priority="26844" operator="equal">
      <formula>"×"</formula>
    </cfRule>
  </conditionalFormatting>
  <conditionalFormatting sqref="AD14:AD19">
    <cfRule type="cellIs" dxfId="12033" priority="26845" operator="equal">
      <formula>1</formula>
    </cfRule>
    <cfRule type="cellIs" dxfId="12032" priority="26846" operator="equal">
      <formula>"×"</formula>
    </cfRule>
  </conditionalFormatting>
  <conditionalFormatting sqref="AD14:AD19">
    <cfRule type="cellIs" dxfId="12031" priority="26841" operator="equal">
      <formula>1</formula>
    </cfRule>
    <cfRule type="cellIs" dxfId="12030" priority="26842" operator="equal">
      <formula>"×"</formula>
    </cfRule>
  </conditionalFormatting>
  <conditionalFormatting sqref="AE14:AE19">
    <cfRule type="cellIs" dxfId="12029" priority="26831" operator="equal">
      <formula>1</formula>
    </cfRule>
    <cfRule type="cellIs" dxfId="12028" priority="26832" operator="equal">
      <formula>"×"</formula>
    </cfRule>
  </conditionalFormatting>
  <conditionalFormatting sqref="AD14:AD19">
    <cfRule type="cellIs" dxfId="12027" priority="26833" operator="equal">
      <formula>1</formula>
    </cfRule>
    <cfRule type="cellIs" dxfId="12026" priority="26834" operator="equal">
      <formula>"×"</formula>
    </cfRule>
  </conditionalFormatting>
  <conditionalFormatting sqref="AD14:AD19">
    <cfRule type="cellIs" dxfId="12025" priority="26825" operator="equal">
      <formula>1</formula>
    </cfRule>
    <cfRule type="cellIs" dxfId="12024" priority="26826" operator="equal">
      <formula>"×"</formula>
    </cfRule>
  </conditionalFormatting>
  <conditionalFormatting sqref="AF14:AF19">
    <cfRule type="cellIs" dxfId="12023" priority="26805" operator="equal">
      <formula>1</formula>
    </cfRule>
    <cfRule type="cellIs" dxfId="12022" priority="26806" operator="equal">
      <formula>"×"</formula>
    </cfRule>
  </conditionalFormatting>
  <conditionalFormatting sqref="AF14:AF19">
    <cfRule type="cellIs" dxfId="12021" priority="26803" operator="equal">
      <formula>1</formula>
    </cfRule>
    <cfRule type="cellIs" dxfId="12020" priority="26804" operator="equal">
      <formula>"×"</formula>
    </cfRule>
  </conditionalFormatting>
  <conditionalFormatting sqref="AF14:AF19">
    <cfRule type="cellIs" dxfId="12019" priority="26801" operator="equal">
      <formula>1</formula>
    </cfRule>
    <cfRule type="cellIs" dxfId="12018" priority="26802" operator="equal">
      <formula>"×"</formula>
    </cfRule>
  </conditionalFormatting>
  <conditionalFormatting sqref="AF14:AF19">
    <cfRule type="cellIs" dxfId="12017" priority="26799" operator="equal">
      <formula>1</formula>
    </cfRule>
    <cfRule type="cellIs" dxfId="12016" priority="26800" operator="equal">
      <formula>"×"</formula>
    </cfRule>
  </conditionalFormatting>
  <conditionalFormatting sqref="AF14:AF19">
    <cfRule type="cellIs" dxfId="12015" priority="26797" operator="equal">
      <formula>1</formula>
    </cfRule>
    <cfRule type="cellIs" dxfId="12014" priority="26798" operator="equal">
      <formula>"×"</formula>
    </cfRule>
  </conditionalFormatting>
  <conditionalFormatting sqref="AF14:AF19">
    <cfRule type="cellIs" dxfId="12013" priority="26795" operator="equal">
      <formula>1</formula>
    </cfRule>
    <cfRule type="cellIs" dxfId="12012" priority="26796" operator="equal">
      <formula>"×"</formula>
    </cfRule>
  </conditionalFormatting>
  <conditionalFormatting sqref="AF14:AF19">
    <cfRule type="cellIs" dxfId="12011" priority="26793" operator="equal">
      <formula>1</formula>
    </cfRule>
    <cfRule type="cellIs" dxfId="12010" priority="26794" operator="equal">
      <formula>"×"</formula>
    </cfRule>
  </conditionalFormatting>
  <conditionalFormatting sqref="AF14:AF19">
    <cfRule type="cellIs" dxfId="12009" priority="26791" operator="equal">
      <formula>1</formula>
    </cfRule>
    <cfRule type="cellIs" dxfId="12008" priority="26792" operator="equal">
      <formula>"×"</formula>
    </cfRule>
  </conditionalFormatting>
  <conditionalFormatting sqref="AF14:AF19">
    <cfRule type="cellIs" dxfId="12007" priority="26789" operator="equal">
      <formula>1</formula>
    </cfRule>
    <cfRule type="cellIs" dxfId="12006" priority="26790" operator="equal">
      <formula>"×"</formula>
    </cfRule>
  </conditionalFormatting>
  <conditionalFormatting sqref="AF14:AF19">
    <cfRule type="cellIs" dxfId="12005" priority="26787" operator="equal">
      <formula>1</formula>
    </cfRule>
    <cfRule type="cellIs" dxfId="12004" priority="26788" operator="equal">
      <formula>"×"</formula>
    </cfRule>
  </conditionalFormatting>
  <conditionalFormatting sqref="AF14:AF19">
    <cfRule type="cellIs" dxfId="12003" priority="26785" operator="equal">
      <formula>1</formula>
    </cfRule>
    <cfRule type="cellIs" dxfId="12002" priority="26786" operator="equal">
      <formula>"×"</formula>
    </cfRule>
  </conditionalFormatting>
  <conditionalFormatting sqref="AF14:AF19">
    <cfRule type="cellIs" dxfId="12001" priority="26783" operator="equal">
      <formula>1</formula>
    </cfRule>
    <cfRule type="cellIs" dxfId="12000" priority="26784" operator="equal">
      <formula>"×"</formula>
    </cfRule>
  </conditionalFormatting>
  <conditionalFormatting sqref="AF14:AF19">
    <cfRule type="cellIs" dxfId="11999" priority="26781" operator="equal">
      <formula>1</formula>
    </cfRule>
    <cfRule type="cellIs" dxfId="11998" priority="26782" operator="equal">
      <formula>"×"</formula>
    </cfRule>
  </conditionalFormatting>
  <conditionalFormatting sqref="AF14:AF19">
    <cfRule type="cellIs" dxfId="11997" priority="26779" operator="equal">
      <formula>1</formula>
    </cfRule>
    <cfRule type="cellIs" dxfId="11996" priority="26780" operator="equal">
      <formula>"×"</formula>
    </cfRule>
  </conditionalFormatting>
  <conditionalFormatting sqref="AF14:AF19">
    <cfRule type="cellIs" dxfId="11995" priority="26777" operator="equal">
      <formula>1</formula>
    </cfRule>
    <cfRule type="cellIs" dxfId="11994" priority="26778" operator="equal">
      <formula>"×"</formula>
    </cfRule>
  </conditionalFormatting>
  <conditionalFormatting sqref="AF14:AF19">
    <cfRule type="cellIs" dxfId="11993" priority="26775" operator="equal">
      <formula>1</formula>
    </cfRule>
    <cfRule type="cellIs" dxfId="11992" priority="26776" operator="equal">
      <formula>"×"</formula>
    </cfRule>
  </conditionalFormatting>
  <conditionalFormatting sqref="AF14:AF19">
    <cfRule type="cellIs" dxfId="11991" priority="26773" operator="equal">
      <formula>1</formula>
    </cfRule>
    <cfRule type="cellIs" dxfId="11990" priority="26774" operator="equal">
      <formula>"×"</formula>
    </cfRule>
  </conditionalFormatting>
  <conditionalFormatting sqref="AF14:AF19">
    <cfRule type="cellIs" dxfId="11989" priority="26771" operator="equal">
      <formula>1</formula>
    </cfRule>
    <cfRule type="cellIs" dxfId="11988" priority="26772" operator="equal">
      <formula>"×"</formula>
    </cfRule>
  </conditionalFormatting>
  <conditionalFormatting sqref="AF14:AF19">
    <cfRule type="cellIs" dxfId="11987" priority="26769" operator="equal">
      <formula>1</formula>
    </cfRule>
    <cfRule type="cellIs" dxfId="11986" priority="26770" operator="equal">
      <formula>"×"</formula>
    </cfRule>
  </conditionalFormatting>
  <conditionalFormatting sqref="AF14:AF19">
    <cfRule type="cellIs" dxfId="11985" priority="26767" operator="equal">
      <formula>1</formula>
    </cfRule>
    <cfRule type="cellIs" dxfId="11984" priority="26768" operator="equal">
      <formula>"×"</formula>
    </cfRule>
  </conditionalFormatting>
  <conditionalFormatting sqref="AC14:AG19">
    <cfRule type="cellIs" dxfId="11983" priority="26765" operator="equal">
      <formula>1</formula>
    </cfRule>
    <cfRule type="cellIs" dxfId="11982" priority="26766" operator="equal">
      <formula>"×"</formula>
    </cfRule>
  </conditionalFormatting>
  <conditionalFormatting sqref="Z14:Z19 AB14:AB19 AD14:AD19">
    <cfRule type="cellIs" dxfId="11981" priority="26763" operator="equal">
      <formula>1</formula>
    </cfRule>
    <cfRule type="cellIs" dxfId="11980" priority="26764" operator="equal">
      <formula>"×"</formula>
    </cfRule>
  </conditionalFormatting>
  <conditionalFormatting sqref="AE14:AG19">
    <cfRule type="cellIs" dxfId="11979" priority="26731" operator="equal">
      <formula>1</formula>
    </cfRule>
    <cfRule type="cellIs" dxfId="11978" priority="26732" operator="equal">
      <formula>"×"</formula>
    </cfRule>
  </conditionalFormatting>
  <conditionalFormatting sqref="AE14:AG19">
    <cfRule type="cellIs" dxfId="11977" priority="26733" operator="equal">
      <formula>1</formula>
    </cfRule>
    <cfRule type="cellIs" dxfId="11976" priority="26734" operator="equal">
      <formula>"×"</formula>
    </cfRule>
  </conditionalFormatting>
  <conditionalFormatting sqref="AE14:AG19">
    <cfRule type="cellIs" dxfId="11975" priority="26761" operator="equal">
      <formula>1</formula>
    </cfRule>
    <cfRule type="cellIs" dxfId="11974" priority="26762" operator="equal">
      <formula>"×"</formula>
    </cfRule>
  </conditionalFormatting>
  <conditionalFormatting sqref="AE14:AG19">
    <cfRule type="cellIs" dxfId="11973" priority="26759" operator="equal">
      <formula>1</formula>
    </cfRule>
    <cfRule type="cellIs" dxfId="11972" priority="26760" operator="equal">
      <formula>"×"</formula>
    </cfRule>
  </conditionalFormatting>
  <conditionalFormatting sqref="AE14:AG19">
    <cfRule type="cellIs" dxfId="11971" priority="26757" operator="equal">
      <formula>1</formula>
    </cfRule>
    <cfRule type="cellIs" dxfId="11970" priority="26758" operator="equal">
      <formula>"×"</formula>
    </cfRule>
  </conditionalFormatting>
  <conditionalFormatting sqref="AE14:AG19">
    <cfRule type="cellIs" dxfId="11969" priority="26755" operator="equal">
      <formula>1</formula>
    </cfRule>
    <cfRule type="cellIs" dxfId="11968" priority="26756" operator="equal">
      <formula>"×"</formula>
    </cfRule>
  </conditionalFormatting>
  <conditionalFormatting sqref="AE14:AG19">
    <cfRule type="cellIs" dxfId="11967" priority="26753" operator="equal">
      <formula>1</formula>
    </cfRule>
    <cfRule type="cellIs" dxfId="11966" priority="26754" operator="equal">
      <formula>"×"</formula>
    </cfRule>
  </conditionalFormatting>
  <conditionalFormatting sqref="AE14:AG19">
    <cfRule type="cellIs" dxfId="11965" priority="26751" operator="equal">
      <formula>1</formula>
    </cfRule>
    <cfRule type="cellIs" dxfId="11964" priority="26752" operator="equal">
      <formula>"×"</formula>
    </cfRule>
  </conditionalFormatting>
  <conditionalFormatting sqref="AE14:AG19">
    <cfRule type="cellIs" dxfId="11963" priority="26749" operator="equal">
      <formula>1</formula>
    </cfRule>
    <cfRule type="cellIs" dxfId="11962" priority="26750" operator="equal">
      <formula>"×"</formula>
    </cfRule>
  </conditionalFormatting>
  <conditionalFormatting sqref="AE14:AG19">
    <cfRule type="cellIs" dxfId="11961" priority="26747" operator="equal">
      <formula>1</formula>
    </cfRule>
    <cfRule type="cellIs" dxfId="11960" priority="26748" operator="equal">
      <formula>"×"</formula>
    </cfRule>
  </conditionalFormatting>
  <conditionalFormatting sqref="AE14:AG19">
    <cfRule type="cellIs" dxfId="11959" priority="26741" operator="equal">
      <formula>1</formula>
    </cfRule>
    <cfRule type="cellIs" dxfId="11958" priority="26742" operator="equal">
      <formula>"×"</formula>
    </cfRule>
  </conditionalFormatting>
  <conditionalFormatting sqref="AE14:AG19">
    <cfRule type="cellIs" dxfId="11957" priority="26739" operator="equal">
      <formula>1</formula>
    </cfRule>
    <cfRule type="cellIs" dxfId="11956" priority="26740" operator="equal">
      <formula>"×"</formula>
    </cfRule>
  </conditionalFormatting>
  <conditionalFormatting sqref="AD19">
    <cfRule type="cellIs" dxfId="11955" priority="26665" operator="equal">
      <formula>1</formula>
    </cfRule>
    <cfRule type="cellIs" dxfId="11954" priority="26666" operator="equal">
      <formula>"×"</formula>
    </cfRule>
  </conditionalFormatting>
  <conditionalFormatting sqref="AI19">
    <cfRule type="cellIs" dxfId="11953" priority="26547" operator="equal">
      <formula>1</formula>
    </cfRule>
    <cfRule type="cellIs" dxfId="11952" priority="26548" operator="equal">
      <formula>"×"</formula>
    </cfRule>
  </conditionalFormatting>
  <conditionalFormatting sqref="AG19:AI19">
    <cfRule type="cellIs" dxfId="11951" priority="26549" operator="equal">
      <formula>1</formula>
    </cfRule>
    <cfRule type="cellIs" dxfId="11950" priority="26550" operator="equal">
      <formula>"×"</formula>
    </cfRule>
  </conditionalFormatting>
  <conditionalFormatting sqref="AI14:AI19">
    <cfRule type="cellIs" dxfId="11949" priority="26541" operator="equal">
      <formula>1</formula>
    </cfRule>
    <cfRule type="cellIs" dxfId="11948" priority="26542" operator="equal">
      <formula>"×"</formula>
    </cfRule>
  </conditionalFormatting>
  <conditionalFormatting sqref="AH14:AI18 AG17:AI19">
    <cfRule type="cellIs" dxfId="11947" priority="26539" operator="equal">
      <formula>1</formula>
    </cfRule>
    <cfRule type="cellIs" dxfId="11946" priority="26540" operator="equal">
      <formula>"×"</formula>
    </cfRule>
  </conditionalFormatting>
  <conditionalFormatting sqref="Z25">
    <cfRule type="cellIs" dxfId="11945" priority="22829" operator="equal">
      <formula>1</formula>
    </cfRule>
    <cfRule type="cellIs" dxfId="11944" priority="22830" operator="equal">
      <formula>"×"</formula>
    </cfRule>
  </conditionalFormatting>
  <conditionalFormatting sqref="Z37:Z38">
    <cfRule type="cellIs" dxfId="11943" priority="22827" operator="equal">
      <formula>1</formula>
    </cfRule>
    <cfRule type="cellIs" dxfId="11942" priority="22828" operator="equal">
      <formula>"×"</formula>
    </cfRule>
  </conditionalFormatting>
  <conditionalFormatting sqref="AG17:AI19">
    <cfRule type="cellIs" dxfId="11941" priority="22739" operator="equal">
      <formula>1</formula>
    </cfRule>
    <cfRule type="cellIs" dxfId="11940" priority="22740" operator="equal">
      <formula>"×"</formula>
    </cfRule>
  </conditionalFormatting>
  <conditionalFormatting sqref="AI17:AI19">
    <cfRule type="cellIs" dxfId="11939" priority="22737" operator="equal">
      <formula>1</formula>
    </cfRule>
    <cfRule type="cellIs" dxfId="11938" priority="22738" operator="equal">
      <formula>"×"</formula>
    </cfRule>
  </conditionalFormatting>
  <conditionalFormatting sqref="AG17:AI19">
    <cfRule type="cellIs" dxfId="11937" priority="22735" operator="equal">
      <formula>1</formula>
    </cfRule>
    <cfRule type="cellIs" dxfId="11936" priority="22736" operator="equal">
      <formula>"×"</formula>
    </cfRule>
  </conditionalFormatting>
  <conditionalFormatting sqref="AE13">
    <cfRule type="cellIs" dxfId="11935" priority="22761" operator="equal">
      <formula>1</formula>
    </cfRule>
    <cfRule type="cellIs" dxfId="11934" priority="22762" operator="equal">
      <formula>"×"</formula>
    </cfRule>
  </conditionalFormatting>
  <conditionalFormatting sqref="AD13">
    <cfRule type="cellIs" dxfId="11933" priority="22759" operator="equal">
      <formula>1</formula>
    </cfRule>
    <cfRule type="cellIs" dxfId="11932" priority="22760" operator="equal">
      <formula>"×"</formula>
    </cfRule>
  </conditionalFormatting>
  <conditionalFormatting sqref="AE19">
    <cfRule type="cellIs" dxfId="11931" priority="22753" operator="equal">
      <formula>1</formula>
    </cfRule>
    <cfRule type="cellIs" dxfId="11930" priority="22754" operator="equal">
      <formula>"×"</formula>
    </cfRule>
  </conditionalFormatting>
  <conditionalFormatting sqref="AE19 AF17:AI17">
    <cfRule type="cellIs" dxfId="11929" priority="22751" operator="equal">
      <formula>1</formula>
    </cfRule>
    <cfRule type="cellIs" dxfId="11928" priority="22752" operator="equal">
      <formula>"×"</formula>
    </cfRule>
  </conditionalFormatting>
  <conditionalFormatting sqref="AI17">
    <cfRule type="cellIs" dxfId="11927" priority="22743" operator="equal">
      <formula>1</formula>
    </cfRule>
    <cfRule type="cellIs" dxfId="11926" priority="22744" operator="equal">
      <formula>"×"</formula>
    </cfRule>
  </conditionalFormatting>
  <conditionalFormatting sqref="AF18">
    <cfRule type="cellIs" dxfId="11925" priority="22741" operator="equal">
      <formula>1</formula>
    </cfRule>
    <cfRule type="cellIs" dxfId="11924" priority="22742" operator="equal">
      <formula>"×"</formula>
    </cfRule>
  </conditionalFormatting>
  <conditionalFormatting sqref="AG17:AI19">
    <cfRule type="cellIs" dxfId="11923" priority="22723" operator="equal">
      <formula>1</formula>
    </cfRule>
    <cfRule type="cellIs" dxfId="11922" priority="22724" operator="equal">
      <formula>"×"</formula>
    </cfRule>
  </conditionalFormatting>
  <conditionalFormatting sqref="AI17:AI19">
    <cfRule type="cellIs" dxfId="11921" priority="22719" operator="equal">
      <formula>1</formula>
    </cfRule>
    <cfRule type="cellIs" dxfId="11920" priority="22720" operator="equal">
      <formula>"×"</formula>
    </cfRule>
  </conditionalFormatting>
  <conditionalFormatting sqref="AG17:AI19">
    <cfRule type="cellIs" dxfId="11919" priority="22721" operator="equal">
      <formula>1</formula>
    </cfRule>
    <cfRule type="cellIs" dxfId="11918" priority="22722" operator="equal">
      <formula>"×"</formula>
    </cfRule>
  </conditionalFormatting>
  <conditionalFormatting sqref="AG17:AI19">
    <cfRule type="cellIs" dxfId="11917" priority="22717" operator="equal">
      <formula>1</formula>
    </cfRule>
    <cfRule type="cellIs" dxfId="11916" priority="22718" operator="equal">
      <formula>"×"</formula>
    </cfRule>
  </conditionalFormatting>
  <conditionalFormatting sqref="AI17:AI19">
    <cfRule type="cellIs" dxfId="11915" priority="22715" operator="equal">
      <formula>1</formula>
    </cfRule>
    <cfRule type="cellIs" dxfId="11914" priority="22716" operator="equal">
      <formula>"×"</formula>
    </cfRule>
  </conditionalFormatting>
  <conditionalFormatting sqref="AI17:AI19">
    <cfRule type="cellIs" dxfId="11913" priority="22713" operator="equal">
      <formula>1</formula>
    </cfRule>
    <cfRule type="cellIs" dxfId="11912" priority="22714" operator="equal">
      <formula>"×"</formula>
    </cfRule>
  </conditionalFormatting>
  <conditionalFormatting sqref="AI17:AI19">
    <cfRule type="cellIs" dxfId="11911" priority="22711" operator="equal">
      <formula>1</formula>
    </cfRule>
    <cfRule type="cellIs" dxfId="11910" priority="22712" operator="equal">
      <formula>"×"</formula>
    </cfRule>
  </conditionalFormatting>
  <conditionalFormatting sqref="AI17:AI19">
    <cfRule type="cellIs" dxfId="11909" priority="22709" operator="equal">
      <formula>1</formula>
    </cfRule>
    <cfRule type="cellIs" dxfId="11908" priority="22710" operator="equal">
      <formula>"×"</formula>
    </cfRule>
  </conditionalFormatting>
  <conditionalFormatting sqref="AI17:AI19">
    <cfRule type="cellIs" dxfId="11907" priority="22707" operator="equal">
      <formula>1</formula>
    </cfRule>
    <cfRule type="cellIs" dxfId="11906" priority="22708" operator="equal">
      <formula>"×"</formula>
    </cfRule>
  </conditionalFormatting>
  <conditionalFormatting sqref="AI17:AI19">
    <cfRule type="cellIs" dxfId="11905" priority="22705" operator="equal">
      <formula>1</formula>
    </cfRule>
    <cfRule type="cellIs" dxfId="11904" priority="22706" operator="equal">
      <formula>"×"</formula>
    </cfRule>
  </conditionalFormatting>
  <conditionalFormatting sqref="AF13:AI19">
    <cfRule type="cellIs" dxfId="11903" priority="26385" operator="equal">
      <formula>1</formula>
    </cfRule>
    <cfRule type="cellIs" dxfId="11902" priority="26386" operator="equal">
      <formula>"×"</formula>
    </cfRule>
  </conditionalFormatting>
  <conditionalFormatting sqref="AF17">
    <cfRule type="cellIs" dxfId="11901" priority="22665" operator="equal">
      <formula>1</formula>
    </cfRule>
    <cfRule type="cellIs" dxfId="11900" priority="22666" operator="equal">
      <formula>"×"</formula>
    </cfRule>
  </conditionalFormatting>
  <conditionalFormatting sqref="AE19">
    <cfRule type="cellIs" dxfId="11899" priority="22639" operator="equal">
      <formula>1</formula>
    </cfRule>
    <cfRule type="cellIs" dxfId="11898" priority="22640" operator="equal">
      <formula>"×"</formula>
    </cfRule>
  </conditionalFormatting>
  <conditionalFormatting sqref="AE19">
    <cfRule type="cellIs" dxfId="11897" priority="22637" operator="equal">
      <formula>1</formula>
    </cfRule>
    <cfRule type="cellIs" dxfId="11896" priority="22638" operator="equal">
      <formula>"×"</formula>
    </cfRule>
  </conditionalFormatting>
  <conditionalFormatting sqref="AE19">
    <cfRule type="cellIs" dxfId="11895" priority="22633" operator="equal">
      <formula>1</formula>
    </cfRule>
    <cfRule type="cellIs" dxfId="11894" priority="22634" operator="equal">
      <formula>"×"</formula>
    </cfRule>
  </conditionalFormatting>
  <conditionalFormatting sqref="AE19">
    <cfRule type="cellIs" dxfId="11893" priority="22635" operator="equal">
      <formula>1</formula>
    </cfRule>
    <cfRule type="cellIs" dxfId="11892" priority="22636" operator="equal">
      <formula>"×"</formula>
    </cfRule>
  </conditionalFormatting>
  <conditionalFormatting sqref="AF17">
    <cfRule type="cellIs" dxfId="11891" priority="22663" operator="equal">
      <formula>1</formula>
    </cfRule>
    <cfRule type="cellIs" dxfId="11890" priority="22664" operator="equal">
      <formula>"×"</formula>
    </cfRule>
  </conditionalFormatting>
  <conditionalFormatting sqref="AF17">
    <cfRule type="cellIs" dxfId="11889" priority="22661" operator="equal">
      <formula>1</formula>
    </cfRule>
    <cfRule type="cellIs" dxfId="11888" priority="22662" operator="equal">
      <formula>"×"</formula>
    </cfRule>
  </conditionalFormatting>
  <conditionalFormatting sqref="AF17">
    <cfRule type="cellIs" dxfId="11887" priority="22659" operator="equal">
      <formula>1</formula>
    </cfRule>
    <cfRule type="cellIs" dxfId="11886" priority="22660" operator="equal">
      <formula>"×"</formula>
    </cfRule>
  </conditionalFormatting>
  <conditionalFormatting sqref="AI18">
    <cfRule type="cellIs" dxfId="11885" priority="22657" operator="equal">
      <formula>1</formula>
    </cfRule>
    <cfRule type="cellIs" dxfId="11884" priority="22658" operator="equal">
      <formula>"×"</formula>
    </cfRule>
  </conditionalFormatting>
  <conditionalFormatting sqref="AF17">
    <cfRule type="cellIs" dxfId="11883" priority="22655" operator="equal">
      <formula>1</formula>
    </cfRule>
    <cfRule type="cellIs" dxfId="11882" priority="22656" operator="equal">
      <formula>"×"</formula>
    </cfRule>
  </conditionalFormatting>
  <conditionalFormatting sqref="AF17">
    <cfRule type="cellIs" dxfId="11881" priority="22653" operator="equal">
      <formula>1</formula>
    </cfRule>
    <cfRule type="cellIs" dxfId="11880" priority="22654" operator="equal">
      <formula>"×"</formula>
    </cfRule>
  </conditionalFormatting>
  <conditionalFormatting sqref="AE19">
    <cfRule type="cellIs" dxfId="11879" priority="22651" operator="equal">
      <formula>1</formula>
    </cfRule>
    <cfRule type="cellIs" dxfId="11878" priority="22652" operator="equal">
      <formula>"×"</formula>
    </cfRule>
  </conditionalFormatting>
  <conditionalFormatting sqref="AE19 AF17:AI17">
    <cfRule type="cellIs" dxfId="11877" priority="22649" operator="equal">
      <formula>1</formula>
    </cfRule>
    <cfRule type="cellIs" dxfId="11876" priority="22650" operator="equal">
      <formula>"×"</formula>
    </cfRule>
  </conditionalFormatting>
  <conditionalFormatting sqref="AI17">
    <cfRule type="cellIs" dxfId="11875" priority="22647" operator="equal">
      <formula>1</formula>
    </cfRule>
    <cfRule type="cellIs" dxfId="11874" priority="22648" operator="equal">
      <formula>"×"</formula>
    </cfRule>
  </conditionalFormatting>
  <conditionalFormatting sqref="AE19 AF17:AI17">
    <cfRule type="cellIs" dxfId="11873" priority="22645" operator="equal">
      <formula>1</formula>
    </cfRule>
    <cfRule type="cellIs" dxfId="11872" priority="22646" operator="equal">
      <formula>"×"</formula>
    </cfRule>
  </conditionalFormatting>
  <conditionalFormatting sqref="AI18">
    <cfRule type="cellIs" dxfId="11871" priority="22643" operator="equal">
      <formula>1</formula>
    </cfRule>
    <cfRule type="cellIs" dxfId="11870" priority="22644" operator="equal">
      <formula>"×"</formula>
    </cfRule>
  </conditionalFormatting>
  <conditionalFormatting sqref="AI18">
    <cfRule type="cellIs" dxfId="11869" priority="22641" operator="equal">
      <formula>1</formula>
    </cfRule>
    <cfRule type="cellIs" dxfId="11868" priority="22642" operator="equal">
      <formula>"×"</formula>
    </cfRule>
  </conditionalFormatting>
  <conditionalFormatting sqref="AE19">
    <cfRule type="cellIs" dxfId="11867" priority="22631" operator="equal">
      <formula>1</formula>
    </cfRule>
    <cfRule type="cellIs" dxfId="11866" priority="22632" operator="equal">
      <formula>"×"</formula>
    </cfRule>
  </conditionalFormatting>
  <conditionalFormatting sqref="AE19">
    <cfRule type="cellIs" dxfId="11865" priority="22629" operator="equal">
      <formula>1</formula>
    </cfRule>
    <cfRule type="cellIs" dxfId="11864" priority="22630" operator="equal">
      <formula>"×"</formula>
    </cfRule>
  </conditionalFormatting>
  <conditionalFormatting sqref="AE19">
    <cfRule type="cellIs" dxfId="11863" priority="22627" operator="equal">
      <formula>1</formula>
    </cfRule>
    <cfRule type="cellIs" dxfId="11862" priority="22628" operator="equal">
      <formula>"×"</formula>
    </cfRule>
  </conditionalFormatting>
  <conditionalFormatting sqref="AE19 AF17">
    <cfRule type="cellIs" dxfId="11861" priority="22625" operator="equal">
      <formula>1</formula>
    </cfRule>
    <cfRule type="cellIs" dxfId="11860" priority="22626" operator="equal">
      <formula>"×"</formula>
    </cfRule>
  </conditionalFormatting>
  <conditionalFormatting sqref="AE19 AF17">
    <cfRule type="cellIs" dxfId="11859" priority="22623" operator="equal">
      <formula>1</formula>
    </cfRule>
    <cfRule type="cellIs" dxfId="11858" priority="22624" operator="equal">
      <formula>"×"</formula>
    </cfRule>
  </conditionalFormatting>
  <conditionalFormatting sqref="AE19 AF17">
    <cfRule type="cellIs" dxfId="11857" priority="22621" operator="equal">
      <formula>1</formula>
    </cfRule>
    <cfRule type="cellIs" dxfId="11856" priority="22622" operator="equal">
      <formula>"×"</formula>
    </cfRule>
  </conditionalFormatting>
  <conditionalFormatting sqref="AE19 AF17">
    <cfRule type="cellIs" dxfId="11855" priority="22619" operator="equal">
      <formula>1</formula>
    </cfRule>
    <cfRule type="cellIs" dxfId="11854" priority="22620" operator="equal">
      <formula>"×"</formula>
    </cfRule>
  </conditionalFormatting>
  <conditionalFormatting sqref="AE19 AF17">
    <cfRule type="cellIs" dxfId="11853" priority="22617" operator="equal">
      <formula>1</formula>
    </cfRule>
    <cfRule type="cellIs" dxfId="11852" priority="22618" operator="equal">
      <formula>"×"</formula>
    </cfRule>
  </conditionalFormatting>
  <conditionalFormatting sqref="AE19 AF17">
    <cfRule type="cellIs" dxfId="11851" priority="22615" operator="equal">
      <formula>1</formula>
    </cfRule>
    <cfRule type="cellIs" dxfId="11850" priority="22616" operator="equal">
      <formula>"×"</formula>
    </cfRule>
  </conditionalFormatting>
  <conditionalFormatting sqref="AE19 AF17">
    <cfRule type="cellIs" dxfId="11849" priority="22613" operator="equal">
      <formula>1</formula>
    </cfRule>
    <cfRule type="cellIs" dxfId="11848" priority="22614" operator="equal">
      <formula>"×"</formula>
    </cfRule>
  </conditionalFormatting>
  <conditionalFormatting sqref="AH16:AI16">
    <cfRule type="cellIs" dxfId="11847" priority="22571" operator="equal">
      <formula>1</formula>
    </cfRule>
    <cfRule type="cellIs" dxfId="11846" priority="22572" operator="equal">
      <formula>"×"</formula>
    </cfRule>
  </conditionalFormatting>
  <conditionalFormatting sqref="AI16">
    <cfRule type="cellIs" dxfId="11845" priority="22569" operator="equal">
      <formula>1</formula>
    </cfRule>
    <cfRule type="cellIs" dxfId="11844" priority="22570" operator="equal">
      <formula>"×"</formula>
    </cfRule>
  </conditionalFormatting>
  <conditionalFormatting sqref="AH16:AI16">
    <cfRule type="cellIs" dxfId="11843" priority="22567" operator="equal">
      <formula>1</formula>
    </cfRule>
    <cfRule type="cellIs" dxfId="11842" priority="22568" operator="equal">
      <formula>"×"</formula>
    </cfRule>
  </conditionalFormatting>
  <conditionalFormatting sqref="AH16:AI16">
    <cfRule type="cellIs" dxfId="11841" priority="22565" operator="equal">
      <formula>1</formula>
    </cfRule>
    <cfRule type="cellIs" dxfId="11840" priority="22566" operator="equal">
      <formula>"×"</formula>
    </cfRule>
  </conditionalFormatting>
  <conditionalFormatting sqref="AI16">
    <cfRule type="cellIs" dxfId="11839" priority="22563" operator="equal">
      <formula>1</formula>
    </cfRule>
    <cfRule type="cellIs" dxfId="11838" priority="22564" operator="equal">
      <formula>"×"</formula>
    </cfRule>
  </conditionalFormatting>
  <conditionalFormatting sqref="AH16:AI16">
    <cfRule type="cellIs" dxfId="11837" priority="22561" operator="equal">
      <formula>1</formula>
    </cfRule>
    <cfRule type="cellIs" dxfId="11836" priority="22562" operator="equal">
      <formula>"×"</formula>
    </cfRule>
  </conditionalFormatting>
  <conditionalFormatting sqref="AE13:AG13">
    <cfRule type="cellIs" dxfId="11835" priority="22559" operator="equal">
      <formula>1</formula>
    </cfRule>
    <cfRule type="cellIs" dxfId="11834" priority="22560" operator="equal">
      <formula>"×"</formula>
    </cfRule>
  </conditionalFormatting>
  <conditionalFormatting sqref="AE13:AG13">
    <cfRule type="cellIs" dxfId="11833" priority="22557" operator="equal">
      <formula>1</formula>
    </cfRule>
    <cfRule type="cellIs" dxfId="11832" priority="22558" operator="equal">
      <formula>"×"</formula>
    </cfRule>
  </conditionalFormatting>
  <conditionalFormatting sqref="AE13:AG13">
    <cfRule type="cellIs" dxfId="11831" priority="22555" operator="equal">
      <formula>1</formula>
    </cfRule>
    <cfRule type="cellIs" dxfId="11830" priority="22556" operator="equal">
      <formula>"×"</formula>
    </cfRule>
  </conditionalFormatting>
  <conditionalFormatting sqref="AE13:AG13">
    <cfRule type="cellIs" dxfId="11829" priority="22553" operator="equal">
      <formula>1</formula>
    </cfRule>
    <cfRule type="cellIs" dxfId="11828" priority="22554" operator="equal">
      <formula>"×"</formula>
    </cfRule>
  </conditionalFormatting>
  <conditionalFormatting sqref="AE13:AG13">
    <cfRule type="cellIs" dxfId="11827" priority="22551" operator="equal">
      <formula>1</formula>
    </cfRule>
    <cfRule type="cellIs" dxfId="11826" priority="22552" operator="equal">
      <formula>"×"</formula>
    </cfRule>
  </conditionalFormatting>
  <conditionalFormatting sqref="AE13:AG13">
    <cfRule type="cellIs" dxfId="11825" priority="22549" operator="equal">
      <formula>1</formula>
    </cfRule>
    <cfRule type="cellIs" dxfId="11824" priority="22550" operator="equal">
      <formula>"×"</formula>
    </cfRule>
  </conditionalFormatting>
  <conditionalFormatting sqref="AE13:AG13">
    <cfRule type="cellIs" dxfId="11823" priority="22547" operator="equal">
      <formula>1</formula>
    </cfRule>
    <cfRule type="cellIs" dxfId="11822" priority="22548" operator="equal">
      <formula>"×"</formula>
    </cfRule>
  </conditionalFormatting>
  <conditionalFormatting sqref="AE13:AG13">
    <cfRule type="cellIs" dxfId="11821" priority="22545" operator="equal">
      <formula>1</formula>
    </cfRule>
    <cfRule type="cellIs" dxfId="11820" priority="22546" operator="equal">
      <formula>"×"</formula>
    </cfRule>
  </conditionalFormatting>
  <conditionalFormatting sqref="AE13:AG13">
    <cfRule type="cellIs" dxfId="11819" priority="22543" operator="equal">
      <formula>1</formula>
    </cfRule>
    <cfRule type="cellIs" dxfId="11818" priority="22544" operator="equal">
      <formula>"×"</formula>
    </cfRule>
  </conditionalFormatting>
  <conditionalFormatting sqref="AH13:AI13">
    <cfRule type="cellIs" dxfId="11817" priority="22517" operator="equal">
      <formula>1</formula>
    </cfRule>
    <cfRule type="cellIs" dxfId="11816" priority="22518" operator="equal">
      <formula>"×"</formula>
    </cfRule>
  </conditionalFormatting>
  <conditionalFormatting sqref="AH13:AI13">
    <cfRule type="cellIs" dxfId="11815" priority="22515" operator="equal">
      <formula>1</formula>
    </cfRule>
    <cfRule type="cellIs" dxfId="11814" priority="22516" operator="equal">
      <formula>"×"</formula>
    </cfRule>
  </conditionalFormatting>
  <conditionalFormatting sqref="AH13:AI13">
    <cfRule type="cellIs" dxfId="11813" priority="22511" operator="equal">
      <formula>1</formula>
    </cfRule>
    <cfRule type="cellIs" dxfId="11812" priority="22512" operator="equal">
      <formula>"×"</formula>
    </cfRule>
  </conditionalFormatting>
  <conditionalFormatting sqref="AH13:AI13">
    <cfRule type="cellIs" dxfId="11811" priority="22513" operator="equal">
      <formula>1</formula>
    </cfRule>
    <cfRule type="cellIs" dxfId="11810" priority="22514" operator="equal">
      <formula>"×"</formula>
    </cfRule>
  </conditionalFormatting>
  <conditionalFormatting sqref="AE13:AG13">
    <cfRule type="cellIs" dxfId="11809" priority="22541" operator="equal">
      <formula>1</formula>
    </cfRule>
    <cfRule type="cellIs" dxfId="11808" priority="22542" operator="equal">
      <formula>"×"</formula>
    </cfRule>
  </conditionalFormatting>
  <conditionalFormatting sqref="AE13:AG13">
    <cfRule type="cellIs" dxfId="11807" priority="22539" operator="equal">
      <formula>1</formula>
    </cfRule>
    <cfRule type="cellIs" dxfId="11806" priority="22540" operator="equal">
      <formula>"×"</formula>
    </cfRule>
  </conditionalFormatting>
  <conditionalFormatting sqref="AE13:AG13">
    <cfRule type="cellIs" dxfId="11805" priority="22537" operator="equal">
      <formula>1</formula>
    </cfRule>
    <cfRule type="cellIs" dxfId="11804" priority="22538" operator="equal">
      <formula>"×"</formula>
    </cfRule>
  </conditionalFormatting>
  <conditionalFormatting sqref="AE13:AG13">
    <cfRule type="cellIs" dxfId="11803" priority="22535" operator="equal">
      <formula>1</formula>
    </cfRule>
    <cfRule type="cellIs" dxfId="11802" priority="22536" operator="equal">
      <formula>"×"</formula>
    </cfRule>
  </conditionalFormatting>
  <conditionalFormatting sqref="AE13:AG13">
    <cfRule type="cellIs" dxfId="11801" priority="22533" operator="equal">
      <formula>1</formula>
    </cfRule>
    <cfRule type="cellIs" dxfId="11800" priority="22534" operator="equal">
      <formula>"×"</formula>
    </cfRule>
  </conditionalFormatting>
  <conditionalFormatting sqref="AE13:AG13">
    <cfRule type="cellIs" dxfId="11799" priority="22531" operator="equal">
      <formula>1</formula>
    </cfRule>
    <cfRule type="cellIs" dxfId="11798" priority="22532" operator="equal">
      <formula>"×"</formula>
    </cfRule>
  </conditionalFormatting>
  <conditionalFormatting sqref="AE13:AG13">
    <cfRule type="cellIs" dxfId="11797" priority="22529" operator="equal">
      <formula>1</formula>
    </cfRule>
    <cfRule type="cellIs" dxfId="11796" priority="22530" operator="equal">
      <formula>"×"</formula>
    </cfRule>
  </conditionalFormatting>
  <conditionalFormatting sqref="AH13:AI13">
    <cfRule type="cellIs" dxfId="11795" priority="22527" operator="equal">
      <formula>1</formula>
    </cfRule>
    <cfRule type="cellIs" dxfId="11794" priority="22528" operator="equal">
      <formula>"×"</formula>
    </cfRule>
  </conditionalFormatting>
  <conditionalFormatting sqref="AH13:AI13">
    <cfRule type="cellIs" dxfId="11793" priority="22525" operator="equal">
      <formula>1</formula>
    </cfRule>
    <cfRule type="cellIs" dxfId="11792" priority="22526" operator="equal">
      <formula>"×"</formula>
    </cfRule>
  </conditionalFormatting>
  <conditionalFormatting sqref="AH13:AI13">
    <cfRule type="cellIs" dxfId="11791" priority="22523" operator="equal">
      <formula>1</formula>
    </cfRule>
    <cfRule type="cellIs" dxfId="11790" priority="22524" operator="equal">
      <formula>"×"</formula>
    </cfRule>
  </conditionalFormatting>
  <conditionalFormatting sqref="AH13:AI13">
    <cfRule type="cellIs" dxfId="11789" priority="22521" operator="equal">
      <formula>1</formula>
    </cfRule>
    <cfRule type="cellIs" dxfId="11788" priority="22522" operator="equal">
      <formula>"×"</formula>
    </cfRule>
  </conditionalFormatting>
  <conditionalFormatting sqref="AH13:AI13">
    <cfRule type="cellIs" dxfId="11787" priority="22519" operator="equal">
      <formula>1</formula>
    </cfRule>
    <cfRule type="cellIs" dxfId="11786" priority="22520" operator="equal">
      <formula>"×"</formula>
    </cfRule>
  </conditionalFormatting>
  <conditionalFormatting sqref="AE14:AE19">
    <cfRule type="cellIs" dxfId="11785" priority="26197" operator="equal">
      <formula>1</formula>
    </cfRule>
    <cfRule type="cellIs" dxfId="11784" priority="26198" operator="equal">
      <formula>"×"</formula>
    </cfRule>
  </conditionalFormatting>
  <conditionalFormatting sqref="AE14:AE19">
    <cfRule type="cellIs" dxfId="11783" priority="26195" operator="equal">
      <formula>1</formula>
    </cfRule>
    <cfRule type="cellIs" dxfId="11782" priority="26196" operator="equal">
      <formula>"×"</formula>
    </cfRule>
  </conditionalFormatting>
  <conditionalFormatting sqref="AE14:AE19">
    <cfRule type="cellIs" dxfId="11781" priority="26193" operator="equal">
      <formula>1</formula>
    </cfRule>
    <cfRule type="cellIs" dxfId="11780" priority="26194" operator="equal">
      <formula>"×"</formula>
    </cfRule>
  </conditionalFormatting>
  <conditionalFormatting sqref="AE14:AE19">
    <cfRule type="cellIs" dxfId="11779" priority="26191" operator="equal">
      <formula>1</formula>
    </cfRule>
    <cfRule type="cellIs" dxfId="11778" priority="26192" operator="equal">
      <formula>"×"</formula>
    </cfRule>
  </conditionalFormatting>
  <conditionalFormatting sqref="AE14:AE19">
    <cfRule type="cellIs" dxfId="11777" priority="26189" operator="equal">
      <formula>1</formula>
    </cfRule>
    <cfRule type="cellIs" dxfId="11776" priority="26190" operator="equal">
      <formula>"×"</formula>
    </cfRule>
  </conditionalFormatting>
  <conditionalFormatting sqref="AE14:AE19">
    <cfRule type="cellIs" dxfId="11775" priority="26187" operator="equal">
      <formula>1</formula>
    </cfRule>
    <cfRule type="cellIs" dxfId="11774" priority="26188" operator="equal">
      <formula>"×"</formula>
    </cfRule>
  </conditionalFormatting>
  <conditionalFormatting sqref="AE14:AE19">
    <cfRule type="cellIs" dxfId="11773" priority="26185" operator="equal">
      <formula>1</formula>
    </cfRule>
    <cfRule type="cellIs" dxfId="11772" priority="26186" operator="equal">
      <formula>"×"</formula>
    </cfRule>
  </conditionalFormatting>
  <conditionalFormatting sqref="AE14:AE19">
    <cfRule type="cellIs" dxfId="11771" priority="26183" operator="equal">
      <formula>1</formula>
    </cfRule>
    <cfRule type="cellIs" dxfId="11770" priority="26184" operator="equal">
      <formula>"×"</formula>
    </cfRule>
  </conditionalFormatting>
  <conditionalFormatting sqref="AE14:AE19">
    <cfRule type="cellIs" dxfId="11769" priority="26181" operator="equal">
      <formula>1</formula>
    </cfRule>
    <cfRule type="cellIs" dxfId="11768" priority="26182" operator="equal">
      <formula>"×"</formula>
    </cfRule>
  </conditionalFormatting>
  <conditionalFormatting sqref="AE14:AE19">
    <cfRule type="cellIs" dxfId="11767" priority="26179" operator="equal">
      <formula>1</formula>
    </cfRule>
    <cfRule type="cellIs" dxfId="11766" priority="26180" operator="equal">
      <formula>"×"</formula>
    </cfRule>
  </conditionalFormatting>
  <conditionalFormatting sqref="AE14:AE19">
    <cfRule type="cellIs" dxfId="11765" priority="26177" operator="equal">
      <formula>1</formula>
    </cfRule>
    <cfRule type="cellIs" dxfId="11764" priority="26178" operator="equal">
      <formula>"×"</formula>
    </cfRule>
  </conditionalFormatting>
  <conditionalFormatting sqref="AE14:AE19">
    <cfRule type="cellIs" dxfId="11763" priority="26175" operator="equal">
      <formula>1</formula>
    </cfRule>
    <cfRule type="cellIs" dxfId="11762" priority="26176" operator="equal">
      <formula>"×"</formula>
    </cfRule>
  </conditionalFormatting>
  <conditionalFormatting sqref="AE14:AE19">
    <cfRule type="cellIs" dxfId="11761" priority="26173" operator="equal">
      <formula>1</formula>
    </cfRule>
    <cfRule type="cellIs" dxfId="11760" priority="26174" operator="equal">
      <formula>"×"</formula>
    </cfRule>
  </conditionalFormatting>
  <conditionalFormatting sqref="AE14:AE19">
    <cfRule type="cellIs" dxfId="11759" priority="26171" operator="equal">
      <formula>1</formula>
    </cfRule>
    <cfRule type="cellIs" dxfId="11758" priority="26172" operator="equal">
      <formula>"×"</formula>
    </cfRule>
  </conditionalFormatting>
  <conditionalFormatting sqref="AE14:AE19">
    <cfRule type="cellIs" dxfId="11757" priority="26169" operator="equal">
      <formula>1</formula>
    </cfRule>
    <cfRule type="cellIs" dxfId="11756" priority="26170" operator="equal">
      <formula>"×"</formula>
    </cfRule>
  </conditionalFormatting>
  <conditionalFormatting sqref="AE14:AE19">
    <cfRule type="cellIs" dxfId="11755" priority="26167" operator="equal">
      <formula>1</formula>
    </cfRule>
    <cfRule type="cellIs" dxfId="11754" priority="26168" operator="equal">
      <formula>"×"</formula>
    </cfRule>
  </conditionalFormatting>
  <conditionalFormatting sqref="AE14:AE19">
    <cfRule type="cellIs" dxfId="11753" priority="26165" operator="equal">
      <formula>1</formula>
    </cfRule>
    <cfRule type="cellIs" dxfId="11752" priority="26166" operator="equal">
      <formula>"×"</formula>
    </cfRule>
  </conditionalFormatting>
  <conditionalFormatting sqref="AE14:AE19">
    <cfRule type="cellIs" dxfId="11751" priority="26163" operator="equal">
      <formula>1</formula>
    </cfRule>
    <cfRule type="cellIs" dxfId="11750" priority="26164" operator="equal">
      <formula>"×"</formula>
    </cfRule>
  </conditionalFormatting>
  <conditionalFormatting sqref="AE14:AE19">
    <cfRule type="cellIs" dxfId="11749" priority="26161" operator="equal">
      <formula>1</formula>
    </cfRule>
    <cfRule type="cellIs" dxfId="11748" priority="26162" operator="equal">
      <formula>"×"</formula>
    </cfRule>
  </conditionalFormatting>
  <conditionalFormatting sqref="AE14:AE19">
    <cfRule type="cellIs" dxfId="11747" priority="26159" operator="equal">
      <formula>1</formula>
    </cfRule>
    <cfRule type="cellIs" dxfId="11746" priority="26160" operator="equal">
      <formula>"×"</formula>
    </cfRule>
  </conditionalFormatting>
  <conditionalFormatting sqref="AE14:AE19">
    <cfRule type="cellIs" dxfId="11745" priority="26157" operator="equal">
      <formula>1</formula>
    </cfRule>
    <cfRule type="cellIs" dxfId="11744" priority="26158" operator="equal">
      <formula>"×"</formula>
    </cfRule>
  </conditionalFormatting>
  <conditionalFormatting sqref="AE14:AE19">
    <cfRule type="cellIs" dxfId="11743" priority="26151" operator="equal">
      <formula>1</formula>
    </cfRule>
    <cfRule type="cellIs" dxfId="11742" priority="26152" operator="equal">
      <formula>"×"</formula>
    </cfRule>
  </conditionalFormatting>
  <conditionalFormatting sqref="AE14:AE19">
    <cfRule type="cellIs" dxfId="11741" priority="26149" operator="equal">
      <formula>1</formula>
    </cfRule>
    <cfRule type="cellIs" dxfId="11740" priority="26150" operator="equal">
      <formula>"×"</formula>
    </cfRule>
  </conditionalFormatting>
  <conditionalFormatting sqref="AE14:AE19">
    <cfRule type="cellIs" dxfId="11739" priority="26147" operator="equal">
      <formula>1</formula>
    </cfRule>
    <cfRule type="cellIs" dxfId="11738" priority="26148" operator="equal">
      <formula>"×"</formula>
    </cfRule>
  </conditionalFormatting>
  <conditionalFormatting sqref="AE14:AE19">
    <cfRule type="cellIs" dxfId="11737" priority="26155" operator="equal">
      <formula>1</formula>
    </cfRule>
    <cfRule type="cellIs" dxfId="11736" priority="26156" operator="equal">
      <formula>"×"</formula>
    </cfRule>
  </conditionalFormatting>
  <conditionalFormatting sqref="AE14:AE19">
    <cfRule type="cellIs" dxfId="11735" priority="26153" operator="equal">
      <formula>1</formula>
    </cfRule>
    <cfRule type="cellIs" dxfId="11734" priority="26154" operator="equal">
      <formula>"×"</formula>
    </cfRule>
  </conditionalFormatting>
  <conditionalFormatting sqref="AE14:AE19">
    <cfRule type="cellIs" dxfId="11733" priority="26145" operator="equal">
      <formula>1</formula>
    </cfRule>
    <cfRule type="cellIs" dxfId="11732" priority="26146" operator="equal">
      <formula>"×"</formula>
    </cfRule>
  </conditionalFormatting>
  <conditionalFormatting sqref="AE14:AE19">
    <cfRule type="cellIs" dxfId="11731" priority="26143" operator="equal">
      <formula>1</formula>
    </cfRule>
    <cfRule type="cellIs" dxfId="11730" priority="26144" operator="equal">
      <formula>"×"</formula>
    </cfRule>
  </conditionalFormatting>
  <conditionalFormatting sqref="AE14:AE19">
    <cfRule type="cellIs" dxfId="11729" priority="26141" operator="equal">
      <formula>1</formula>
    </cfRule>
    <cfRule type="cellIs" dxfId="11728" priority="26142" operator="equal">
      <formula>"×"</formula>
    </cfRule>
  </conditionalFormatting>
  <conditionalFormatting sqref="AE14:AE19">
    <cfRule type="cellIs" dxfId="11727" priority="26139" operator="equal">
      <formula>1</formula>
    </cfRule>
    <cfRule type="cellIs" dxfId="11726" priority="26140" operator="equal">
      <formula>"×"</formula>
    </cfRule>
  </conditionalFormatting>
  <conditionalFormatting sqref="AE14:AE19">
    <cfRule type="cellIs" dxfId="11725" priority="26137" operator="equal">
      <formula>1</formula>
    </cfRule>
    <cfRule type="cellIs" dxfId="11724" priority="26138" operator="equal">
      <formula>"×"</formula>
    </cfRule>
  </conditionalFormatting>
  <conditionalFormatting sqref="AE14:AE19">
    <cfRule type="cellIs" dxfId="11723" priority="26135" operator="equal">
      <formula>1</formula>
    </cfRule>
    <cfRule type="cellIs" dxfId="11722" priority="26136" operator="equal">
      <formula>"×"</formula>
    </cfRule>
  </conditionalFormatting>
  <conditionalFormatting sqref="AE14:AE19">
    <cfRule type="cellIs" dxfId="11721" priority="26133" operator="equal">
      <formula>1</formula>
    </cfRule>
    <cfRule type="cellIs" dxfId="11720" priority="26134" operator="equal">
      <formula>"×"</formula>
    </cfRule>
  </conditionalFormatting>
  <conditionalFormatting sqref="AE14:AE19">
    <cfRule type="cellIs" dxfId="11719" priority="26131" operator="equal">
      <formula>1</formula>
    </cfRule>
    <cfRule type="cellIs" dxfId="11718" priority="26132" operator="equal">
      <formula>"×"</formula>
    </cfRule>
  </conditionalFormatting>
  <conditionalFormatting sqref="AE14:AE19">
    <cfRule type="cellIs" dxfId="11717" priority="26129" operator="equal">
      <formula>1</formula>
    </cfRule>
    <cfRule type="cellIs" dxfId="11716" priority="26130" operator="equal">
      <formula>"×"</formula>
    </cfRule>
  </conditionalFormatting>
  <conditionalFormatting sqref="AE14:AE19">
    <cfRule type="cellIs" dxfId="11715" priority="26127" operator="equal">
      <formula>1</formula>
    </cfRule>
    <cfRule type="cellIs" dxfId="11714" priority="26128" operator="equal">
      <formula>"×"</formula>
    </cfRule>
  </conditionalFormatting>
  <conditionalFormatting sqref="AE14:AE19">
    <cfRule type="cellIs" dxfId="11713" priority="26123" operator="equal">
      <formula>1</formula>
    </cfRule>
    <cfRule type="cellIs" dxfId="11712" priority="26124" operator="equal">
      <formula>"×"</formula>
    </cfRule>
  </conditionalFormatting>
  <conditionalFormatting sqref="AE14:AE19">
    <cfRule type="cellIs" dxfId="11711" priority="26125" operator="equal">
      <formula>1</formula>
    </cfRule>
    <cfRule type="cellIs" dxfId="11710" priority="26126" operator="equal">
      <formula>"×"</formula>
    </cfRule>
  </conditionalFormatting>
  <conditionalFormatting sqref="AE14:AE19">
    <cfRule type="cellIs" dxfId="11709" priority="26121" operator="equal">
      <formula>1</formula>
    </cfRule>
    <cfRule type="cellIs" dxfId="11708" priority="26122" operator="equal">
      <formula>"×"</formula>
    </cfRule>
  </conditionalFormatting>
  <conditionalFormatting sqref="AE14:AE19">
    <cfRule type="cellIs" dxfId="11707" priority="26119" operator="equal">
      <formula>1</formula>
    </cfRule>
    <cfRule type="cellIs" dxfId="11706" priority="26120" operator="equal">
      <formula>"×"</formula>
    </cfRule>
  </conditionalFormatting>
  <conditionalFormatting sqref="AE14:AE19">
    <cfRule type="cellIs" dxfId="11705" priority="26117" operator="equal">
      <formula>1</formula>
    </cfRule>
    <cfRule type="cellIs" dxfId="11704" priority="26118" operator="equal">
      <formula>"×"</formula>
    </cfRule>
  </conditionalFormatting>
  <conditionalFormatting sqref="AE14:AE19">
    <cfRule type="cellIs" dxfId="11703" priority="26115" operator="equal">
      <formula>1</formula>
    </cfRule>
    <cfRule type="cellIs" dxfId="11702" priority="26116" operator="equal">
      <formula>"×"</formula>
    </cfRule>
  </conditionalFormatting>
  <conditionalFormatting sqref="AE14:AE19">
    <cfRule type="cellIs" dxfId="11701" priority="26113" operator="equal">
      <formula>1</formula>
    </cfRule>
    <cfRule type="cellIs" dxfId="11700" priority="26114" operator="equal">
      <formula>"×"</formula>
    </cfRule>
  </conditionalFormatting>
  <conditionalFormatting sqref="AE14:AE19">
    <cfRule type="cellIs" dxfId="11699" priority="26099" operator="equal">
      <formula>1</formula>
    </cfRule>
    <cfRule type="cellIs" dxfId="11698" priority="26100" operator="equal">
      <formula>"×"</formula>
    </cfRule>
  </conditionalFormatting>
  <conditionalFormatting sqref="AE14:AE19">
    <cfRule type="cellIs" dxfId="11697" priority="26097" operator="equal">
      <formula>1</formula>
    </cfRule>
    <cfRule type="cellIs" dxfId="11696" priority="26098" operator="equal">
      <formula>"×"</formula>
    </cfRule>
  </conditionalFormatting>
  <conditionalFormatting sqref="AE14:AE19">
    <cfRule type="cellIs" dxfId="11695" priority="26111" operator="equal">
      <formula>1</formula>
    </cfRule>
    <cfRule type="cellIs" dxfId="11694" priority="26112" operator="equal">
      <formula>"×"</formula>
    </cfRule>
  </conditionalFormatting>
  <conditionalFormatting sqref="AE14:AE19">
    <cfRule type="cellIs" dxfId="11693" priority="26109" operator="equal">
      <formula>1</formula>
    </cfRule>
    <cfRule type="cellIs" dxfId="11692" priority="26110" operator="equal">
      <formula>"×"</formula>
    </cfRule>
  </conditionalFormatting>
  <conditionalFormatting sqref="AE14:AE19">
    <cfRule type="cellIs" dxfId="11691" priority="26107" operator="equal">
      <formula>1</formula>
    </cfRule>
    <cfRule type="cellIs" dxfId="11690" priority="26108" operator="equal">
      <formula>"×"</formula>
    </cfRule>
  </conditionalFormatting>
  <conditionalFormatting sqref="AE14:AE19">
    <cfRule type="cellIs" dxfId="11689" priority="26105" operator="equal">
      <formula>1</formula>
    </cfRule>
    <cfRule type="cellIs" dxfId="11688" priority="26106" operator="equal">
      <formula>"×"</formula>
    </cfRule>
  </conditionalFormatting>
  <conditionalFormatting sqref="AE14:AE19">
    <cfRule type="cellIs" dxfId="11687" priority="26103" operator="equal">
      <formula>1</formula>
    </cfRule>
    <cfRule type="cellIs" dxfId="11686" priority="26104" operator="equal">
      <formula>"×"</formula>
    </cfRule>
  </conditionalFormatting>
  <conditionalFormatting sqref="AE14:AE19">
    <cfRule type="cellIs" dxfId="11685" priority="26101" operator="equal">
      <formula>1</formula>
    </cfRule>
    <cfRule type="cellIs" dxfId="11684" priority="26102" operator="equal">
      <formula>"×"</formula>
    </cfRule>
  </conditionalFormatting>
  <conditionalFormatting sqref="AE14:AE19">
    <cfRule type="cellIs" dxfId="11683" priority="26095" operator="equal">
      <formula>1</formula>
    </cfRule>
    <cfRule type="cellIs" dxfId="11682" priority="26096" operator="equal">
      <formula>"×"</formula>
    </cfRule>
  </conditionalFormatting>
  <conditionalFormatting sqref="AE14:AE19">
    <cfRule type="cellIs" dxfId="11681" priority="26071" operator="equal">
      <formula>1</formula>
    </cfRule>
    <cfRule type="cellIs" dxfId="11680" priority="26072" operator="equal">
      <formula>"×"</formula>
    </cfRule>
  </conditionalFormatting>
  <conditionalFormatting sqref="AE14:AE19">
    <cfRule type="cellIs" dxfId="11679" priority="26075" operator="equal">
      <formula>1</formula>
    </cfRule>
    <cfRule type="cellIs" dxfId="11678" priority="26076" operator="equal">
      <formula>"×"</formula>
    </cfRule>
  </conditionalFormatting>
  <conditionalFormatting sqref="AE14:AE19">
    <cfRule type="cellIs" dxfId="11677" priority="26073" operator="equal">
      <formula>1</formula>
    </cfRule>
    <cfRule type="cellIs" dxfId="11676" priority="26074" operator="equal">
      <formula>"×"</formula>
    </cfRule>
  </conditionalFormatting>
  <conditionalFormatting sqref="AE14:AE19">
    <cfRule type="cellIs" dxfId="11675" priority="26069" operator="equal">
      <formula>1</formula>
    </cfRule>
    <cfRule type="cellIs" dxfId="11674" priority="26070" operator="equal">
      <formula>"×"</formula>
    </cfRule>
  </conditionalFormatting>
  <conditionalFormatting sqref="AE14:AE19">
    <cfRule type="cellIs" dxfId="11673" priority="26093" operator="equal">
      <formula>1</formula>
    </cfRule>
    <cfRule type="cellIs" dxfId="11672" priority="26094" operator="equal">
      <formula>"×"</formula>
    </cfRule>
  </conditionalFormatting>
  <conditionalFormatting sqref="AE14:AE19">
    <cfRule type="cellIs" dxfId="11671" priority="26091" operator="equal">
      <formula>1</formula>
    </cfRule>
    <cfRule type="cellIs" dxfId="11670" priority="26092" operator="equal">
      <formula>"×"</formula>
    </cfRule>
  </conditionalFormatting>
  <conditionalFormatting sqref="AE14:AE19">
    <cfRule type="cellIs" dxfId="11669" priority="26089" operator="equal">
      <formula>1</formula>
    </cfRule>
    <cfRule type="cellIs" dxfId="11668" priority="26090" operator="equal">
      <formula>"×"</formula>
    </cfRule>
  </conditionalFormatting>
  <conditionalFormatting sqref="AE14:AE19">
    <cfRule type="cellIs" dxfId="11667" priority="26087" operator="equal">
      <formula>1</formula>
    </cfRule>
    <cfRule type="cellIs" dxfId="11666" priority="26088" operator="equal">
      <formula>"×"</formula>
    </cfRule>
  </conditionalFormatting>
  <conditionalFormatting sqref="AE14:AE19">
    <cfRule type="cellIs" dxfId="11665" priority="26085" operator="equal">
      <formula>1</formula>
    </cfRule>
    <cfRule type="cellIs" dxfId="11664" priority="26086" operator="equal">
      <formula>"×"</formula>
    </cfRule>
  </conditionalFormatting>
  <conditionalFormatting sqref="AE14:AE19">
    <cfRule type="cellIs" dxfId="11663" priority="26083" operator="equal">
      <formula>1</formula>
    </cfRule>
    <cfRule type="cellIs" dxfId="11662" priority="26084" operator="equal">
      <formula>"×"</formula>
    </cfRule>
  </conditionalFormatting>
  <conditionalFormatting sqref="AE14:AE19">
    <cfRule type="cellIs" dxfId="11661" priority="26081" operator="equal">
      <formula>1</formula>
    </cfRule>
    <cfRule type="cellIs" dxfId="11660" priority="26082" operator="equal">
      <formula>"×"</formula>
    </cfRule>
  </conditionalFormatting>
  <conditionalFormatting sqref="AE14:AE19">
    <cfRule type="cellIs" dxfId="11659" priority="26079" operator="equal">
      <formula>1</formula>
    </cfRule>
    <cfRule type="cellIs" dxfId="11658" priority="26080" operator="equal">
      <formula>"×"</formula>
    </cfRule>
  </conditionalFormatting>
  <conditionalFormatting sqref="AE14:AE19">
    <cfRule type="cellIs" dxfId="11657" priority="26077" operator="equal">
      <formula>1</formula>
    </cfRule>
    <cfRule type="cellIs" dxfId="11656" priority="26078" operator="equal">
      <formula>"×"</formula>
    </cfRule>
  </conditionalFormatting>
  <conditionalFormatting sqref="AC14:AC19">
    <cfRule type="cellIs" dxfId="11655" priority="26041" operator="equal">
      <formula>1</formula>
    </cfRule>
    <cfRule type="cellIs" dxfId="11654" priority="26042" operator="equal">
      <formula>"×"</formula>
    </cfRule>
  </conditionalFormatting>
  <conditionalFormatting sqref="AD14:AD19">
    <cfRule type="cellIs" dxfId="11653" priority="26039" operator="equal">
      <formula>1</formula>
    </cfRule>
    <cfRule type="cellIs" dxfId="11652" priority="26040" operator="equal">
      <formula>"×"</formula>
    </cfRule>
  </conditionalFormatting>
  <conditionalFormatting sqref="AD14:AD19">
    <cfRule type="cellIs" dxfId="11651" priority="26037" operator="equal">
      <formula>1</formula>
    </cfRule>
    <cfRule type="cellIs" dxfId="11650" priority="26038" operator="equal">
      <formula>"×"</formula>
    </cfRule>
  </conditionalFormatting>
  <conditionalFormatting sqref="AD14:AD19">
    <cfRule type="cellIs" dxfId="11649" priority="26033" operator="equal">
      <formula>1</formula>
    </cfRule>
    <cfRule type="cellIs" dxfId="11648" priority="26034" operator="equal">
      <formula>"×"</formula>
    </cfRule>
  </conditionalFormatting>
  <conditionalFormatting sqref="AD14:AD19">
    <cfRule type="cellIs" dxfId="11647" priority="26035" operator="equal">
      <formula>1</formula>
    </cfRule>
    <cfRule type="cellIs" dxfId="11646" priority="26036" operator="equal">
      <formula>"×"</formula>
    </cfRule>
  </conditionalFormatting>
  <conditionalFormatting sqref="AC14:AC19">
    <cfRule type="cellIs" dxfId="11645" priority="26067" operator="equal">
      <formula>1</formula>
    </cfRule>
    <cfRule type="cellIs" dxfId="11644" priority="26068" operator="equal">
      <formula>"×"</formula>
    </cfRule>
  </conditionalFormatting>
  <conditionalFormatting sqref="AD14:AD19">
    <cfRule type="cellIs" dxfId="11643" priority="26065" operator="equal">
      <formula>1</formula>
    </cfRule>
    <cfRule type="cellIs" dxfId="11642" priority="26066" operator="equal">
      <formula>"×"</formula>
    </cfRule>
  </conditionalFormatting>
  <conditionalFormatting sqref="AD14:AD19">
    <cfRule type="cellIs" dxfId="11641" priority="26063" operator="equal">
      <formula>1</formula>
    </cfRule>
    <cfRule type="cellIs" dxfId="11640" priority="26064" operator="equal">
      <formula>"×"</formula>
    </cfRule>
  </conditionalFormatting>
  <conditionalFormatting sqref="AD14:AD19">
    <cfRule type="cellIs" dxfId="11639" priority="26061" operator="equal">
      <formula>1</formula>
    </cfRule>
    <cfRule type="cellIs" dxfId="11638" priority="26062" operator="equal">
      <formula>"×"</formula>
    </cfRule>
  </conditionalFormatting>
  <conditionalFormatting sqref="AD14:AD19">
    <cfRule type="cellIs" dxfId="11637" priority="26059" operator="equal">
      <formula>1</formula>
    </cfRule>
    <cfRule type="cellIs" dxfId="11636" priority="26060" operator="equal">
      <formula>"×"</formula>
    </cfRule>
  </conditionalFormatting>
  <conditionalFormatting sqref="AD14:AD19">
    <cfRule type="cellIs" dxfId="11635" priority="26057" operator="equal">
      <formula>1</formula>
    </cfRule>
    <cfRule type="cellIs" dxfId="11634" priority="26058" operator="equal">
      <formula>"×"</formula>
    </cfRule>
  </conditionalFormatting>
  <conditionalFormatting sqref="AD14:AD19">
    <cfRule type="cellIs" dxfId="11633" priority="26055" operator="equal">
      <formula>1</formula>
    </cfRule>
    <cfRule type="cellIs" dxfId="11632" priority="26056" operator="equal">
      <formula>"×"</formula>
    </cfRule>
  </conditionalFormatting>
  <conditionalFormatting sqref="AD14:AD19">
    <cfRule type="cellIs" dxfId="11631" priority="26053" operator="equal">
      <formula>1</formula>
    </cfRule>
    <cfRule type="cellIs" dxfId="11630" priority="26054" operator="equal">
      <formula>"×"</formula>
    </cfRule>
  </conditionalFormatting>
  <conditionalFormatting sqref="AD14:AD19">
    <cfRule type="cellIs" dxfId="11629" priority="26051" operator="equal">
      <formula>1</formula>
    </cfRule>
    <cfRule type="cellIs" dxfId="11628" priority="26052" operator="equal">
      <formula>"×"</formula>
    </cfRule>
  </conditionalFormatting>
  <conditionalFormatting sqref="AD14:AD19">
    <cfRule type="cellIs" dxfId="11627" priority="26049" operator="equal">
      <formula>1</formula>
    </cfRule>
    <cfRule type="cellIs" dxfId="11626" priority="26050" operator="equal">
      <formula>"×"</formula>
    </cfRule>
  </conditionalFormatting>
  <conditionalFormatting sqref="AD14:AD19">
    <cfRule type="cellIs" dxfId="11625" priority="26047" operator="equal">
      <formula>1</formula>
    </cfRule>
    <cfRule type="cellIs" dxfId="11624" priority="26048" operator="equal">
      <formula>"×"</formula>
    </cfRule>
  </conditionalFormatting>
  <conditionalFormatting sqref="AD14:AD19">
    <cfRule type="cellIs" dxfId="11623" priority="26045" operator="equal">
      <formula>1</formula>
    </cfRule>
    <cfRule type="cellIs" dxfId="11622" priority="26046" operator="equal">
      <formula>"×"</formula>
    </cfRule>
  </conditionalFormatting>
  <conditionalFormatting sqref="AD14:AD19">
    <cfRule type="cellIs" dxfId="11621" priority="26043" operator="equal">
      <formula>1</formula>
    </cfRule>
    <cfRule type="cellIs" dxfId="11620" priority="26044" operator="equal">
      <formula>"×"</formula>
    </cfRule>
  </conditionalFormatting>
  <conditionalFormatting sqref="AC14:AD19">
    <cfRule type="cellIs" dxfId="11619" priority="26031" operator="equal">
      <formula>1</formula>
    </cfRule>
    <cfRule type="cellIs" dxfId="11618" priority="26032" operator="equal">
      <formula>"×"</formula>
    </cfRule>
  </conditionalFormatting>
  <conditionalFormatting sqref="Z20:Z27 AB14:AB19 AD14:AD19">
    <cfRule type="cellIs" dxfId="11617" priority="26029" operator="equal">
      <formula>1</formula>
    </cfRule>
    <cfRule type="cellIs" dxfId="11616" priority="26030" operator="equal">
      <formula>"×"</formula>
    </cfRule>
  </conditionalFormatting>
  <conditionalFormatting sqref="AF19:AI19">
    <cfRule type="cellIs" dxfId="11615" priority="25855" operator="equal">
      <formula>1</formula>
    </cfRule>
    <cfRule type="cellIs" dxfId="11614" priority="25856" operator="equal">
      <formula>"×"</formula>
    </cfRule>
  </conditionalFormatting>
  <conditionalFormatting sqref="AF14:AI14">
    <cfRule type="cellIs" dxfId="11613" priority="8243" operator="equal">
      <formula>1</formula>
    </cfRule>
    <cfRule type="cellIs" dxfId="11612" priority="8244" operator="equal">
      <formula>"×"</formula>
    </cfRule>
  </conditionalFormatting>
  <conditionalFormatting sqref="AF14">
    <cfRule type="cellIs" dxfId="11611" priority="8223" operator="equal">
      <formula>1</formula>
    </cfRule>
    <cfRule type="cellIs" dxfId="11610" priority="8224" operator="equal">
      <formula>"×"</formula>
    </cfRule>
  </conditionalFormatting>
  <conditionalFormatting sqref="AF14">
    <cfRule type="cellIs" dxfId="11609" priority="8221" operator="equal">
      <formula>1</formula>
    </cfRule>
    <cfRule type="cellIs" dxfId="11608" priority="8222" operator="equal">
      <formula>"×"</formula>
    </cfRule>
  </conditionalFormatting>
  <conditionalFormatting sqref="AF14">
    <cfRule type="cellIs" dxfId="11607" priority="8219" operator="equal">
      <formula>1</formula>
    </cfRule>
    <cfRule type="cellIs" dxfId="11606" priority="8220" operator="equal">
      <formula>"×"</formula>
    </cfRule>
  </conditionalFormatting>
  <conditionalFormatting sqref="AI15">
    <cfRule type="cellIs" dxfId="11605" priority="8217" operator="equal">
      <formula>1</formula>
    </cfRule>
    <cfRule type="cellIs" dxfId="11604" priority="8218" operator="equal">
      <formula>"×"</formula>
    </cfRule>
  </conditionalFormatting>
  <conditionalFormatting sqref="AF14">
    <cfRule type="cellIs" dxfId="11603" priority="8215" operator="equal">
      <formula>1</formula>
    </cfRule>
    <cfRule type="cellIs" dxfId="11602" priority="8216" operator="equal">
      <formula>"×"</formula>
    </cfRule>
  </conditionalFormatting>
  <conditionalFormatting sqref="AI14">
    <cfRule type="cellIs" dxfId="11601" priority="8209" operator="equal">
      <formula>1</formula>
    </cfRule>
    <cfRule type="cellIs" dxfId="11600" priority="8210" operator="equal">
      <formula>"×"</formula>
    </cfRule>
  </conditionalFormatting>
  <conditionalFormatting sqref="AF14:AI14">
    <cfRule type="cellIs" dxfId="11599" priority="8207" operator="equal">
      <formula>1</formula>
    </cfRule>
    <cfRule type="cellIs" dxfId="11598" priority="8208" operator="equal">
      <formula>"×"</formula>
    </cfRule>
  </conditionalFormatting>
  <conditionalFormatting sqref="AI15">
    <cfRule type="cellIs" dxfId="11597" priority="8205" operator="equal">
      <formula>1</formula>
    </cfRule>
    <cfRule type="cellIs" dxfId="11596" priority="8206" operator="equal">
      <formula>"×"</formula>
    </cfRule>
  </conditionalFormatting>
  <conditionalFormatting sqref="AI15">
    <cfRule type="cellIs" dxfId="11595" priority="8203" operator="equal">
      <formula>1</formula>
    </cfRule>
    <cfRule type="cellIs" dxfId="11594" priority="8204" operator="equal">
      <formula>"×"</formula>
    </cfRule>
  </conditionalFormatting>
  <conditionalFormatting sqref="AF14">
    <cfRule type="cellIs" dxfId="11593" priority="8201" operator="equal">
      <formula>1</formula>
    </cfRule>
    <cfRule type="cellIs" dxfId="11592" priority="8202" operator="equal">
      <formula>"×"</formula>
    </cfRule>
  </conditionalFormatting>
  <conditionalFormatting sqref="AF14">
    <cfRule type="cellIs" dxfId="11591" priority="8199" operator="equal">
      <formula>1</formula>
    </cfRule>
    <cfRule type="cellIs" dxfId="11590" priority="8200" operator="equal">
      <formula>"×"</formula>
    </cfRule>
  </conditionalFormatting>
  <conditionalFormatting sqref="AI13">
    <cfRule type="cellIs" dxfId="11589" priority="8185" operator="equal">
      <formula>1</formula>
    </cfRule>
    <cfRule type="cellIs" dxfId="11588" priority="8186" operator="equal">
      <formula>"×"</formula>
    </cfRule>
  </conditionalFormatting>
  <conditionalFormatting sqref="AH13:AI13">
    <cfRule type="cellIs" dxfId="11587" priority="8183" operator="equal">
      <formula>1</formula>
    </cfRule>
    <cfRule type="cellIs" dxfId="11586" priority="8184" operator="equal">
      <formula>"×"</formula>
    </cfRule>
  </conditionalFormatting>
  <conditionalFormatting sqref="AH13:AI13">
    <cfRule type="cellIs" dxfId="11585" priority="8181" operator="equal">
      <formula>1</formula>
    </cfRule>
    <cfRule type="cellIs" dxfId="11584" priority="8182" operator="equal">
      <formula>"×"</formula>
    </cfRule>
  </conditionalFormatting>
  <conditionalFormatting sqref="AI13">
    <cfRule type="cellIs" dxfId="11583" priority="8179" operator="equal">
      <formula>1</formula>
    </cfRule>
    <cfRule type="cellIs" dxfId="11582" priority="8180" operator="equal">
      <formula>"×"</formula>
    </cfRule>
  </conditionalFormatting>
  <conditionalFormatting sqref="AH13:AI13">
    <cfRule type="cellIs" dxfId="11581" priority="8177" operator="equal">
      <formula>1</formula>
    </cfRule>
    <cfRule type="cellIs" dxfId="11580" priority="8178" operator="equal">
      <formula>"×"</formula>
    </cfRule>
  </conditionalFormatting>
  <conditionalFormatting sqref="AF10:AG10">
    <cfRule type="cellIs" dxfId="11579" priority="8175" operator="equal">
      <formula>1</formula>
    </cfRule>
    <cfRule type="cellIs" dxfId="11578" priority="8176" operator="equal">
      <formula>"×"</formula>
    </cfRule>
  </conditionalFormatting>
  <conditionalFormatting sqref="AF10:AG10">
    <cfRule type="cellIs" dxfId="11577" priority="8159" operator="equal">
      <formula>1</formula>
    </cfRule>
    <cfRule type="cellIs" dxfId="11576" priority="8160" operator="equal">
      <formula>"×"</formula>
    </cfRule>
  </conditionalFormatting>
  <conditionalFormatting sqref="AF10:AG10">
    <cfRule type="cellIs" dxfId="11575" priority="8155" operator="equal">
      <formula>1</formula>
    </cfRule>
    <cfRule type="cellIs" dxfId="11574" priority="8156" operator="equal">
      <formula>"×"</formula>
    </cfRule>
  </conditionalFormatting>
  <conditionalFormatting sqref="AF10:AG10">
    <cfRule type="cellIs" dxfId="11573" priority="8157" operator="equal">
      <formula>1</formula>
    </cfRule>
    <cfRule type="cellIs" dxfId="11572" priority="8158" operator="equal">
      <formula>"×"</formula>
    </cfRule>
  </conditionalFormatting>
  <conditionalFormatting sqref="AF10:AG10">
    <cfRule type="cellIs" dxfId="11571" priority="8153" operator="equal">
      <formula>1</formula>
    </cfRule>
    <cfRule type="cellIs" dxfId="11570" priority="8154" operator="equal">
      <formula>"×"</formula>
    </cfRule>
  </conditionalFormatting>
  <conditionalFormatting sqref="AF10:AG10">
    <cfRule type="cellIs" dxfId="11569" priority="8151" operator="equal">
      <formula>1</formula>
    </cfRule>
    <cfRule type="cellIs" dxfId="11568" priority="8152" operator="equal">
      <formula>"×"</formula>
    </cfRule>
  </conditionalFormatting>
  <conditionalFormatting sqref="AF10:AG10">
    <cfRule type="cellIs" dxfId="11567" priority="8149" operator="equal">
      <formula>1</formula>
    </cfRule>
    <cfRule type="cellIs" dxfId="11566" priority="8150" operator="equal">
      <formula>"×"</formula>
    </cfRule>
  </conditionalFormatting>
  <conditionalFormatting sqref="AF10:AG10">
    <cfRule type="cellIs" dxfId="11565" priority="8147" operator="equal">
      <formula>1</formula>
    </cfRule>
    <cfRule type="cellIs" dxfId="11564" priority="8148" operator="equal">
      <formula>"×"</formula>
    </cfRule>
  </conditionalFormatting>
  <conditionalFormatting sqref="AF10:AG10">
    <cfRule type="cellIs" dxfId="11563" priority="8145" operator="equal">
      <formula>1</formula>
    </cfRule>
    <cfRule type="cellIs" dxfId="11562" priority="8146" operator="equal">
      <formula>"×"</formula>
    </cfRule>
  </conditionalFormatting>
  <conditionalFormatting sqref="AH10:AI10">
    <cfRule type="cellIs" dxfId="11561" priority="8143" operator="equal">
      <formula>1</formula>
    </cfRule>
    <cfRule type="cellIs" dxfId="11560" priority="8144" operator="equal">
      <formula>"×"</formula>
    </cfRule>
  </conditionalFormatting>
  <conditionalFormatting sqref="AH10:AI10">
    <cfRule type="cellIs" dxfId="11559" priority="8141" operator="equal">
      <formula>1</formula>
    </cfRule>
    <cfRule type="cellIs" dxfId="11558" priority="8142" operator="equal">
      <formula>"×"</formula>
    </cfRule>
  </conditionalFormatting>
  <conditionalFormatting sqref="AH10:AI10">
    <cfRule type="cellIs" dxfId="11557" priority="8139" operator="equal">
      <formula>1</formula>
    </cfRule>
    <cfRule type="cellIs" dxfId="11556" priority="8140" operator="equal">
      <formula>"×"</formula>
    </cfRule>
  </conditionalFormatting>
  <conditionalFormatting sqref="AH10:AI10">
    <cfRule type="cellIs" dxfId="11555" priority="8137" operator="equal">
      <formula>1</formula>
    </cfRule>
    <cfRule type="cellIs" dxfId="11554" priority="8138" operator="equal">
      <formula>"×"</formula>
    </cfRule>
  </conditionalFormatting>
  <conditionalFormatting sqref="AH10:AI10">
    <cfRule type="cellIs" dxfId="11553" priority="8113" operator="equal">
      <formula>1</formula>
    </cfRule>
    <cfRule type="cellIs" dxfId="11552" priority="8114" operator="equal">
      <formula>"×"</formula>
    </cfRule>
  </conditionalFormatting>
  <conditionalFormatting sqref="AH11">
    <cfRule type="cellIs" dxfId="11551" priority="8111" operator="equal">
      <formula>1</formula>
    </cfRule>
    <cfRule type="cellIs" dxfId="11550" priority="8112" operator="equal">
      <formula>"×"</formula>
    </cfRule>
  </conditionalFormatting>
  <conditionalFormatting sqref="AH11">
    <cfRule type="cellIs" dxfId="11549" priority="8109" operator="equal">
      <formula>1</formula>
    </cfRule>
    <cfRule type="cellIs" dxfId="11548" priority="8110" operator="equal">
      <formula>"×"</formula>
    </cfRule>
  </conditionalFormatting>
  <conditionalFormatting sqref="AH10:AI10">
    <cfRule type="cellIs" dxfId="11547" priority="8135" operator="equal">
      <formula>1</formula>
    </cfRule>
    <cfRule type="cellIs" dxfId="11546" priority="8136" operator="equal">
      <formula>"×"</formula>
    </cfRule>
  </conditionalFormatting>
  <conditionalFormatting sqref="AH10:AI10">
    <cfRule type="cellIs" dxfId="11545" priority="8133" operator="equal">
      <formula>1</formula>
    </cfRule>
    <cfRule type="cellIs" dxfId="11544" priority="8134" operator="equal">
      <formula>"×"</formula>
    </cfRule>
  </conditionalFormatting>
  <conditionalFormatting sqref="AH10:AI10">
    <cfRule type="cellIs" dxfId="11543" priority="8127" operator="equal">
      <formula>1</formula>
    </cfRule>
    <cfRule type="cellIs" dxfId="11542" priority="8128" operator="equal">
      <formula>"×"</formula>
    </cfRule>
  </conditionalFormatting>
  <conditionalFormatting sqref="AH10:AI10">
    <cfRule type="cellIs" dxfId="11541" priority="8125" operator="equal">
      <formula>1</formula>
    </cfRule>
    <cfRule type="cellIs" dxfId="11540" priority="8126" operator="equal">
      <formula>"×"</formula>
    </cfRule>
  </conditionalFormatting>
  <conditionalFormatting sqref="AH10:AI10">
    <cfRule type="cellIs" dxfId="11539" priority="8121" operator="equal">
      <formula>1</formula>
    </cfRule>
    <cfRule type="cellIs" dxfId="11538" priority="8122" operator="equal">
      <formula>"×"</formula>
    </cfRule>
  </conditionalFormatting>
  <conditionalFormatting sqref="AH10:AI10">
    <cfRule type="cellIs" dxfId="11537" priority="8117" operator="equal">
      <formula>1</formula>
    </cfRule>
    <cfRule type="cellIs" dxfId="11536" priority="8118" operator="equal">
      <formula>"×"</formula>
    </cfRule>
  </conditionalFormatting>
  <conditionalFormatting sqref="AH10:AI10">
    <cfRule type="cellIs" dxfId="11535" priority="8115" operator="equal">
      <formula>1</formula>
    </cfRule>
    <cfRule type="cellIs" dxfId="11534" priority="8116" operator="equal">
      <formula>"×"</formula>
    </cfRule>
  </conditionalFormatting>
  <conditionalFormatting sqref="AH11">
    <cfRule type="cellIs" dxfId="11533" priority="8105" operator="equal">
      <formula>1</formula>
    </cfRule>
    <cfRule type="cellIs" dxfId="11532" priority="8106" operator="equal">
      <formula>"×"</formula>
    </cfRule>
  </conditionalFormatting>
  <conditionalFormatting sqref="AH11">
    <cfRule type="cellIs" dxfId="11531" priority="8099" operator="equal">
      <formula>1</formula>
    </cfRule>
    <cfRule type="cellIs" dxfId="11530" priority="8100" operator="equal">
      <formula>"×"</formula>
    </cfRule>
  </conditionalFormatting>
  <conditionalFormatting sqref="AH11">
    <cfRule type="cellIs" dxfId="11529" priority="8097" operator="equal">
      <formula>1</formula>
    </cfRule>
    <cfRule type="cellIs" dxfId="11528" priority="8098" operator="equal">
      <formula>"×"</formula>
    </cfRule>
  </conditionalFormatting>
  <conditionalFormatting sqref="AH11">
    <cfRule type="cellIs" dxfId="11527" priority="8093" operator="equal">
      <formula>1</formula>
    </cfRule>
    <cfRule type="cellIs" dxfId="11526" priority="8094" operator="equal">
      <formula>"×"</formula>
    </cfRule>
  </conditionalFormatting>
  <conditionalFormatting sqref="AH11">
    <cfRule type="cellIs" dxfId="11525" priority="8095" operator="equal">
      <formula>1</formula>
    </cfRule>
    <cfRule type="cellIs" dxfId="11524" priority="8096" operator="equal">
      <formula>"×"</formula>
    </cfRule>
  </conditionalFormatting>
  <conditionalFormatting sqref="AH11">
    <cfRule type="cellIs" dxfId="11523" priority="8091" operator="equal">
      <formula>1</formula>
    </cfRule>
    <cfRule type="cellIs" dxfId="11522" priority="8092" operator="equal">
      <formula>"×"</formula>
    </cfRule>
  </conditionalFormatting>
  <conditionalFormatting sqref="AH11">
    <cfRule type="cellIs" dxfId="11521" priority="8089" operator="equal">
      <formula>1</formula>
    </cfRule>
    <cfRule type="cellIs" dxfId="11520" priority="8090" operator="equal">
      <formula>"×"</formula>
    </cfRule>
  </conditionalFormatting>
  <conditionalFormatting sqref="AH11">
    <cfRule type="cellIs" dxfId="11519" priority="8087" operator="equal">
      <formula>1</formula>
    </cfRule>
    <cfRule type="cellIs" dxfId="11518" priority="8088" operator="equal">
      <formula>"×"</formula>
    </cfRule>
  </conditionalFormatting>
  <conditionalFormatting sqref="AH11">
    <cfRule type="cellIs" dxfId="11517" priority="8085" operator="equal">
      <formula>1</formula>
    </cfRule>
    <cfRule type="cellIs" dxfId="11516" priority="8086" operator="equal">
      <formula>"×"</formula>
    </cfRule>
  </conditionalFormatting>
  <conditionalFormatting sqref="Z27">
    <cfRule type="cellIs" dxfId="11515" priority="25307" operator="equal">
      <formula>1</formula>
    </cfRule>
    <cfRule type="cellIs" dxfId="11514" priority="25308" operator="equal">
      <formula>"×"</formula>
    </cfRule>
  </conditionalFormatting>
  <conditionalFormatting sqref="Z37:Z38 Z32:AA37">
    <cfRule type="cellIs" dxfId="11513" priority="25299" operator="equal">
      <formula>1</formula>
    </cfRule>
    <cfRule type="cellIs" dxfId="11512" priority="25300" operator="equal">
      <formula>"×"</formula>
    </cfRule>
  </conditionalFormatting>
  <conditionalFormatting sqref="AE19">
    <cfRule type="cellIs" dxfId="11511" priority="25297" operator="equal">
      <formula>1</formula>
    </cfRule>
    <cfRule type="cellIs" dxfId="11510" priority="25298" operator="equal">
      <formula>"×"</formula>
    </cfRule>
  </conditionalFormatting>
  <conditionalFormatting sqref="AE19">
    <cfRule type="cellIs" dxfId="11509" priority="25295" operator="equal">
      <formula>1</formula>
    </cfRule>
    <cfRule type="cellIs" dxfId="11508" priority="25296" operator="equal">
      <formula>"×"</formula>
    </cfRule>
  </conditionalFormatting>
  <conditionalFormatting sqref="AE19">
    <cfRule type="cellIs" dxfId="11507" priority="25293" operator="equal">
      <formula>1</formula>
    </cfRule>
    <cfRule type="cellIs" dxfId="11506" priority="25294" operator="equal">
      <formula>"×"</formula>
    </cfRule>
  </conditionalFormatting>
  <conditionalFormatting sqref="AE19">
    <cfRule type="cellIs" dxfId="11505" priority="25291" operator="equal">
      <formula>1</formula>
    </cfRule>
    <cfRule type="cellIs" dxfId="11504" priority="25292" operator="equal">
      <formula>"×"</formula>
    </cfRule>
  </conditionalFormatting>
  <conditionalFormatting sqref="AE19">
    <cfRule type="cellIs" dxfId="11503" priority="25289" operator="equal">
      <formula>1</formula>
    </cfRule>
    <cfRule type="cellIs" dxfId="11502" priority="25290" operator="equal">
      <formula>"×"</formula>
    </cfRule>
  </conditionalFormatting>
  <conditionalFormatting sqref="AE19">
    <cfRule type="cellIs" dxfId="11501" priority="25287" operator="equal">
      <formula>1</formula>
    </cfRule>
    <cfRule type="cellIs" dxfId="11500" priority="25288" operator="equal">
      <formula>"×"</formula>
    </cfRule>
  </conditionalFormatting>
  <conditionalFormatting sqref="AE19">
    <cfRule type="cellIs" dxfId="11499" priority="25285" operator="equal">
      <formula>1</formula>
    </cfRule>
    <cfRule type="cellIs" dxfId="11498" priority="25286" operator="equal">
      <formula>"×"</formula>
    </cfRule>
  </conditionalFormatting>
  <conditionalFormatting sqref="AE19">
    <cfRule type="cellIs" dxfId="11497" priority="25283" operator="equal">
      <formula>1</formula>
    </cfRule>
    <cfRule type="cellIs" dxfId="11496" priority="25284" operator="equal">
      <formula>"×"</formula>
    </cfRule>
  </conditionalFormatting>
  <conditionalFormatting sqref="AE19">
    <cfRule type="cellIs" dxfId="11495" priority="25281" operator="equal">
      <formula>1</formula>
    </cfRule>
    <cfRule type="cellIs" dxfId="11494" priority="25282" operator="equal">
      <formula>"×"</formula>
    </cfRule>
  </conditionalFormatting>
  <conditionalFormatting sqref="AE19">
    <cfRule type="cellIs" dxfId="11493" priority="25279" operator="equal">
      <formula>1</formula>
    </cfRule>
    <cfRule type="cellIs" dxfId="11492" priority="25280" operator="equal">
      <formula>"×"</formula>
    </cfRule>
  </conditionalFormatting>
  <conditionalFormatting sqref="AE19">
    <cfRule type="cellIs" dxfId="11491" priority="25277" operator="equal">
      <formula>1</formula>
    </cfRule>
    <cfRule type="cellIs" dxfId="11490" priority="25278" operator="equal">
      <formula>"×"</formula>
    </cfRule>
  </conditionalFormatting>
  <conditionalFormatting sqref="AE19">
    <cfRule type="cellIs" dxfId="11489" priority="25275" operator="equal">
      <formula>1</formula>
    </cfRule>
    <cfRule type="cellIs" dxfId="11488" priority="25276" operator="equal">
      <formula>"×"</formula>
    </cfRule>
  </conditionalFormatting>
  <conditionalFormatting sqref="AE19">
    <cfRule type="cellIs" dxfId="11487" priority="25273" operator="equal">
      <formula>1</formula>
    </cfRule>
    <cfRule type="cellIs" dxfId="11486" priority="25274" operator="equal">
      <formula>"×"</formula>
    </cfRule>
  </conditionalFormatting>
  <conditionalFormatting sqref="AE19">
    <cfRule type="cellIs" dxfId="11485" priority="25271" operator="equal">
      <formula>1</formula>
    </cfRule>
    <cfRule type="cellIs" dxfId="11484" priority="25272" operator="equal">
      <formula>"×"</formula>
    </cfRule>
  </conditionalFormatting>
  <conditionalFormatting sqref="AE19">
    <cfRule type="cellIs" dxfId="11483" priority="25269" operator="equal">
      <formula>1</formula>
    </cfRule>
    <cfRule type="cellIs" dxfId="11482" priority="25270" operator="equal">
      <formula>"×"</formula>
    </cfRule>
  </conditionalFormatting>
  <conditionalFormatting sqref="AE19">
    <cfRule type="cellIs" dxfId="11481" priority="25267" operator="equal">
      <formula>1</formula>
    </cfRule>
    <cfRule type="cellIs" dxfId="11480" priority="25268" operator="equal">
      <formula>"×"</formula>
    </cfRule>
  </conditionalFormatting>
  <conditionalFormatting sqref="AE19">
    <cfRule type="cellIs" dxfId="11479" priority="25265" operator="equal">
      <formula>1</formula>
    </cfRule>
    <cfRule type="cellIs" dxfId="11478" priority="25266" operator="equal">
      <formula>"×"</formula>
    </cfRule>
  </conditionalFormatting>
  <conditionalFormatting sqref="AE19">
    <cfRule type="cellIs" dxfId="11477" priority="25263" operator="equal">
      <formula>1</formula>
    </cfRule>
    <cfRule type="cellIs" dxfId="11476" priority="25264" operator="equal">
      <formula>"×"</formula>
    </cfRule>
  </conditionalFormatting>
  <conditionalFormatting sqref="AB16">
    <cfRule type="cellIs" dxfId="11475" priority="7715" operator="equal">
      <formula>1</formula>
    </cfRule>
    <cfRule type="cellIs" dxfId="11474" priority="7716" operator="equal">
      <formula>"×"</formula>
    </cfRule>
  </conditionalFormatting>
  <conditionalFormatting sqref="Z33:AA33">
    <cfRule type="cellIs" dxfId="11473" priority="24903" operator="equal">
      <formula>1</formula>
    </cfRule>
    <cfRule type="cellIs" dxfId="11472" priority="24904" operator="equal">
      <formula>"×"</formula>
    </cfRule>
  </conditionalFormatting>
  <conditionalFormatting sqref="AF19">
    <cfRule type="cellIs" dxfId="11471" priority="15603" operator="equal">
      <formula>1</formula>
    </cfRule>
    <cfRule type="cellIs" dxfId="11470" priority="15604" operator="equal">
      <formula>"×"</formula>
    </cfRule>
  </conditionalFormatting>
  <conditionalFormatting sqref="AF19">
    <cfRule type="cellIs" dxfId="11469" priority="15601" operator="equal">
      <formula>1</formula>
    </cfRule>
    <cfRule type="cellIs" dxfId="11468" priority="15602" operator="equal">
      <formula>"×"</formula>
    </cfRule>
  </conditionalFormatting>
  <conditionalFormatting sqref="AB7:AE15">
    <cfRule type="cellIs" dxfId="11467" priority="24807" operator="equal">
      <formula>1</formula>
    </cfRule>
    <cfRule type="cellIs" dxfId="11466" priority="24808" operator="equal">
      <formula>"×"</formula>
    </cfRule>
  </conditionalFormatting>
  <conditionalFormatting sqref="AB7:AE15">
    <cfRule type="cellIs" dxfId="11465" priority="24805" operator="equal">
      <formula>1</formula>
    </cfRule>
    <cfRule type="cellIs" dxfId="11464" priority="24806" operator="equal">
      <formula>"×"</formula>
    </cfRule>
  </conditionalFormatting>
  <conditionalFormatting sqref="AF7:AI8 AF11:AI13">
    <cfRule type="cellIs" dxfId="11463" priority="24803" operator="equal">
      <formula>1</formula>
    </cfRule>
    <cfRule type="cellIs" dxfId="11462" priority="24804" operator="equal">
      <formula>"×"</formula>
    </cfRule>
  </conditionalFormatting>
  <conditionalFormatting sqref="AF7:AF8 AF11:AF13">
    <cfRule type="cellIs" dxfId="11461" priority="24801" operator="equal">
      <formula>1</formula>
    </cfRule>
    <cfRule type="cellIs" dxfId="11460" priority="24802" operator="equal">
      <formula>"×"</formula>
    </cfRule>
  </conditionalFormatting>
  <conditionalFormatting sqref="AF7:AF8 AF11:AF13">
    <cfRule type="cellIs" dxfId="11459" priority="24799" operator="equal">
      <formula>1</formula>
    </cfRule>
    <cfRule type="cellIs" dxfId="11458" priority="24800" operator="equal">
      <formula>"×"</formula>
    </cfRule>
  </conditionalFormatting>
  <conditionalFormatting sqref="AF7:AF8 AF11:AF13">
    <cfRule type="cellIs" dxfId="11457" priority="24797" operator="equal">
      <formula>1</formula>
    </cfRule>
    <cfRule type="cellIs" dxfId="11456" priority="24798" operator="equal">
      <formula>"×"</formula>
    </cfRule>
  </conditionalFormatting>
  <conditionalFormatting sqref="AF7:AF8 AF11:AF13">
    <cfRule type="cellIs" dxfId="11455" priority="24795" operator="equal">
      <formula>1</formula>
    </cfRule>
    <cfRule type="cellIs" dxfId="11454" priority="24796" operator="equal">
      <formula>"×"</formula>
    </cfRule>
  </conditionalFormatting>
  <conditionalFormatting sqref="AF7:AF8 AF11:AF13">
    <cfRule type="cellIs" dxfId="11453" priority="24793" operator="equal">
      <formula>1</formula>
    </cfRule>
    <cfRule type="cellIs" dxfId="11452" priority="24794" operator="equal">
      <formula>"×"</formula>
    </cfRule>
  </conditionalFormatting>
  <conditionalFormatting sqref="AF7:AF8 AF11:AF13">
    <cfRule type="cellIs" dxfId="11451" priority="24791" operator="equal">
      <formula>1</formula>
    </cfRule>
    <cfRule type="cellIs" dxfId="11450" priority="24792" operator="equal">
      <formula>"×"</formula>
    </cfRule>
  </conditionalFormatting>
  <conditionalFormatting sqref="AF7:AF8 AF11:AF13">
    <cfRule type="cellIs" dxfId="11449" priority="24789" operator="equal">
      <formula>1</formula>
    </cfRule>
    <cfRule type="cellIs" dxfId="11448" priority="24790" operator="equal">
      <formula>"×"</formula>
    </cfRule>
  </conditionalFormatting>
  <conditionalFormatting sqref="AF7:AF8 AF11:AF13">
    <cfRule type="cellIs" dxfId="11447" priority="24787" operator="equal">
      <formula>1</formula>
    </cfRule>
    <cfRule type="cellIs" dxfId="11446" priority="24788" operator="equal">
      <formula>"×"</formula>
    </cfRule>
  </conditionalFormatting>
  <conditionalFormatting sqref="AF7:AF8 AF11:AF13">
    <cfRule type="cellIs" dxfId="11445" priority="24785" operator="equal">
      <formula>1</formula>
    </cfRule>
    <cfRule type="cellIs" dxfId="11444" priority="24786" operator="equal">
      <formula>"×"</formula>
    </cfRule>
  </conditionalFormatting>
  <conditionalFormatting sqref="AF7:AF8 AF11:AF13">
    <cfRule type="cellIs" dxfId="11443" priority="24783" operator="equal">
      <formula>1</formula>
    </cfRule>
    <cfRule type="cellIs" dxfId="11442" priority="24784" operator="equal">
      <formula>"×"</formula>
    </cfRule>
  </conditionalFormatting>
  <conditionalFormatting sqref="AF7:AF8 AF11:AF13">
    <cfRule type="cellIs" dxfId="11441" priority="24781" operator="equal">
      <formula>1</formula>
    </cfRule>
    <cfRule type="cellIs" dxfId="11440" priority="24782" operator="equal">
      <formula>"×"</formula>
    </cfRule>
  </conditionalFormatting>
  <conditionalFormatting sqref="AF7:AF8 AF11:AF13">
    <cfRule type="cellIs" dxfId="11439" priority="24779" operator="equal">
      <formula>1</formula>
    </cfRule>
    <cfRule type="cellIs" dxfId="11438" priority="24780" operator="equal">
      <formula>"×"</formula>
    </cfRule>
  </conditionalFormatting>
  <conditionalFormatting sqref="AF7:AF8 AF11:AF13">
    <cfRule type="cellIs" dxfId="11437" priority="24777" operator="equal">
      <formula>1</formula>
    </cfRule>
    <cfRule type="cellIs" dxfId="11436" priority="24778" operator="equal">
      <formula>"×"</formula>
    </cfRule>
  </conditionalFormatting>
  <conditionalFormatting sqref="AF7:AF8 AF11:AF13">
    <cfRule type="cellIs" dxfId="11435" priority="24775" operator="equal">
      <formula>1</formula>
    </cfRule>
    <cfRule type="cellIs" dxfId="11434" priority="24776" operator="equal">
      <formula>"×"</formula>
    </cfRule>
  </conditionalFormatting>
  <conditionalFormatting sqref="AF7:AF8 AF11:AF13">
    <cfRule type="cellIs" dxfId="11433" priority="24773" operator="equal">
      <formula>1</formula>
    </cfRule>
    <cfRule type="cellIs" dxfId="11432" priority="24774" operator="equal">
      <formula>"×"</formula>
    </cfRule>
  </conditionalFormatting>
  <conditionalFormatting sqref="AF7:AF8 AF11:AI13">
    <cfRule type="cellIs" dxfId="11431" priority="24771" operator="equal">
      <formula>1</formula>
    </cfRule>
    <cfRule type="cellIs" dxfId="11430" priority="24772" operator="equal">
      <formula>"×"</formula>
    </cfRule>
  </conditionalFormatting>
  <conditionalFormatting sqref="AF7:AF8 AF11:AI13">
    <cfRule type="cellIs" dxfId="11429" priority="24769" operator="equal">
      <formula>1</formula>
    </cfRule>
    <cfRule type="cellIs" dxfId="11428" priority="24770" operator="equal">
      <formula>"×"</formula>
    </cfRule>
  </conditionalFormatting>
  <conditionalFormatting sqref="AF7:AF8 AF11:AI13">
    <cfRule type="cellIs" dxfId="11427" priority="24767" operator="equal">
      <formula>1</formula>
    </cfRule>
    <cfRule type="cellIs" dxfId="11426" priority="24768" operator="equal">
      <formula>"×"</formula>
    </cfRule>
  </conditionalFormatting>
  <conditionalFormatting sqref="AF7:AF8 AF11:AI13">
    <cfRule type="cellIs" dxfId="11425" priority="24765" operator="equal">
      <formula>1</formula>
    </cfRule>
    <cfRule type="cellIs" dxfId="11424" priority="24766" operator="equal">
      <formula>"×"</formula>
    </cfRule>
  </conditionalFormatting>
  <conditionalFormatting sqref="AF7:AF8 AF11:AI13">
    <cfRule type="cellIs" dxfId="11423" priority="24763" operator="equal">
      <formula>1</formula>
    </cfRule>
    <cfRule type="cellIs" dxfId="11422" priority="24764" operator="equal">
      <formula>"×"</formula>
    </cfRule>
  </conditionalFormatting>
  <conditionalFormatting sqref="AF7:AI8 AH8:AI11 AF11:AI13">
    <cfRule type="cellIs" dxfId="11421" priority="24761" operator="equal">
      <formula>1</formula>
    </cfRule>
    <cfRule type="cellIs" dxfId="11420" priority="24762" operator="equal">
      <formula>"×"</formula>
    </cfRule>
  </conditionalFormatting>
  <conditionalFormatting sqref="AG11:AH13">
    <cfRule type="cellIs" dxfId="11419" priority="24759" operator="equal">
      <formula>1</formula>
    </cfRule>
    <cfRule type="cellIs" dxfId="11418" priority="24760" operator="equal">
      <formula>"×"</formula>
    </cfRule>
  </conditionalFormatting>
  <conditionalFormatting sqref="AF7">
    <cfRule type="cellIs" dxfId="11417" priority="24729" operator="equal">
      <formula>1</formula>
    </cfRule>
    <cfRule type="cellIs" dxfId="11416" priority="24730" operator="equal">
      <formula>"×"</formula>
    </cfRule>
  </conditionalFormatting>
  <conditionalFormatting sqref="AF7">
    <cfRule type="cellIs" dxfId="11415" priority="24727" operator="equal">
      <formula>1</formula>
    </cfRule>
    <cfRule type="cellIs" dxfId="11414" priority="24728" operator="equal">
      <formula>"×"</formula>
    </cfRule>
  </conditionalFormatting>
  <conditionalFormatting sqref="AI7">
    <cfRule type="cellIs" dxfId="11413" priority="24755" operator="equal">
      <formula>1</formula>
    </cfRule>
    <cfRule type="cellIs" dxfId="11412" priority="24756" operator="equal">
      <formula>"×"</formula>
    </cfRule>
  </conditionalFormatting>
  <conditionalFormatting sqref="AF7:AI7">
    <cfRule type="cellIs" dxfId="11411" priority="24757" operator="equal">
      <formula>1</formula>
    </cfRule>
    <cfRule type="cellIs" dxfId="11410" priority="24758" operator="equal">
      <formula>"×"</formula>
    </cfRule>
  </conditionalFormatting>
  <conditionalFormatting sqref="AF7:AI8 AF11:AI13">
    <cfRule type="cellIs" dxfId="11409" priority="24753" operator="equal">
      <formula>1</formula>
    </cfRule>
    <cfRule type="cellIs" dxfId="11408" priority="24754" operator="equal">
      <formula>"×"</formula>
    </cfRule>
  </conditionalFormatting>
  <conditionalFormatting sqref="AG7:AI8 AH8:AI10">
    <cfRule type="cellIs" dxfId="11407" priority="24751" operator="equal">
      <formula>1</formula>
    </cfRule>
    <cfRule type="cellIs" dxfId="11406" priority="24752" operator="equal">
      <formula>"×"</formula>
    </cfRule>
  </conditionalFormatting>
  <conditionalFormatting sqref="AI7:AI10">
    <cfRule type="cellIs" dxfId="11405" priority="24749" operator="equal">
      <formula>1</formula>
    </cfRule>
    <cfRule type="cellIs" dxfId="11404" priority="24750" operator="equal">
      <formula>"×"</formula>
    </cfRule>
  </conditionalFormatting>
  <conditionalFormatting sqref="AG7:AI8 AH8:AI10">
    <cfRule type="cellIs" dxfId="11403" priority="24747" operator="equal">
      <formula>1</formula>
    </cfRule>
    <cfRule type="cellIs" dxfId="11402" priority="24748" operator="equal">
      <formula>"×"</formula>
    </cfRule>
  </conditionalFormatting>
  <conditionalFormatting sqref="AH8:AI10 AG11:AI13">
    <cfRule type="cellIs" dxfId="11401" priority="24745" operator="equal">
      <formula>1</formula>
    </cfRule>
    <cfRule type="cellIs" dxfId="11400" priority="24746" operator="equal">
      <formula>"×"</formula>
    </cfRule>
  </conditionalFormatting>
  <conditionalFormatting sqref="AI8:AI13">
    <cfRule type="cellIs" dxfId="11399" priority="24743" operator="equal">
      <formula>1</formula>
    </cfRule>
    <cfRule type="cellIs" dxfId="11398" priority="24744" operator="equal">
      <formula>"×"</formula>
    </cfRule>
  </conditionalFormatting>
  <conditionalFormatting sqref="AH8:AI10 AG11:AI13">
    <cfRule type="cellIs" dxfId="11397" priority="24741" operator="equal">
      <formula>1</formula>
    </cfRule>
    <cfRule type="cellIs" dxfId="11396" priority="24742" operator="equal">
      <formula>"×"</formula>
    </cfRule>
  </conditionalFormatting>
  <conditionalFormatting sqref="AF11">
    <cfRule type="cellIs" dxfId="11395" priority="24739" operator="equal">
      <formula>1</formula>
    </cfRule>
    <cfRule type="cellIs" dxfId="11394" priority="24740" operator="equal">
      <formula>"×"</formula>
    </cfRule>
  </conditionalFormatting>
  <conditionalFormatting sqref="AF11">
    <cfRule type="cellIs" dxfId="11393" priority="24737" operator="equal">
      <formula>1</formula>
    </cfRule>
    <cfRule type="cellIs" dxfId="11392" priority="24738" operator="equal">
      <formula>"×"</formula>
    </cfRule>
  </conditionalFormatting>
  <conditionalFormatting sqref="AF11:AI11">
    <cfRule type="cellIs" dxfId="11391" priority="24735" operator="equal">
      <formula>1</formula>
    </cfRule>
    <cfRule type="cellIs" dxfId="11390" priority="24736" operator="equal">
      <formula>"×"</formula>
    </cfRule>
  </conditionalFormatting>
  <conditionalFormatting sqref="AI11">
    <cfRule type="cellIs" dxfId="11389" priority="24733" operator="equal">
      <formula>1</formula>
    </cfRule>
    <cfRule type="cellIs" dxfId="11388" priority="24734" operator="equal">
      <formula>"×"</formula>
    </cfRule>
  </conditionalFormatting>
  <conditionalFormatting sqref="AF11:AI11">
    <cfRule type="cellIs" dxfId="11387" priority="24731" operator="equal">
      <formula>1</formula>
    </cfRule>
    <cfRule type="cellIs" dxfId="11386" priority="24732" operator="equal">
      <formula>"×"</formula>
    </cfRule>
  </conditionalFormatting>
  <conditionalFormatting sqref="AF11:AI11">
    <cfRule type="cellIs" dxfId="11385" priority="24725" operator="equal">
      <formula>1</formula>
    </cfRule>
    <cfRule type="cellIs" dxfId="11384" priority="24726" operator="equal">
      <formula>"×"</formula>
    </cfRule>
  </conditionalFormatting>
  <conditionalFormatting sqref="AI11">
    <cfRule type="cellIs" dxfId="11383" priority="24723" operator="equal">
      <formula>1</formula>
    </cfRule>
    <cfRule type="cellIs" dxfId="11382" priority="24724" operator="equal">
      <formula>"×"</formula>
    </cfRule>
  </conditionalFormatting>
  <conditionalFormatting sqref="AF11:AI11">
    <cfRule type="cellIs" dxfId="11381" priority="24721" operator="equal">
      <formula>1</formula>
    </cfRule>
    <cfRule type="cellIs" dxfId="11380" priority="24722" operator="equal">
      <formula>"×"</formula>
    </cfRule>
  </conditionalFormatting>
  <conditionalFormatting sqref="AF11:AI11">
    <cfRule type="cellIs" dxfId="11379" priority="24719" operator="equal">
      <formula>1</formula>
    </cfRule>
    <cfRule type="cellIs" dxfId="11378" priority="24720" operator="equal">
      <formula>"×"</formula>
    </cfRule>
  </conditionalFormatting>
  <conditionalFormatting sqref="AI11">
    <cfRule type="cellIs" dxfId="11377" priority="24717" operator="equal">
      <formula>1</formula>
    </cfRule>
    <cfRule type="cellIs" dxfId="11376" priority="24718" operator="equal">
      <formula>"×"</formula>
    </cfRule>
  </conditionalFormatting>
  <conditionalFormatting sqref="AF12">
    <cfRule type="cellIs" dxfId="11375" priority="24715" operator="equal">
      <formula>1</formula>
    </cfRule>
    <cfRule type="cellIs" dxfId="11374" priority="24716" operator="equal">
      <formula>"×"</formula>
    </cfRule>
  </conditionalFormatting>
  <conditionalFormatting sqref="AF7:AF8 AF11:AF13">
    <cfRule type="cellIs" dxfId="11373" priority="24713" operator="equal">
      <formula>1</formula>
    </cfRule>
    <cfRule type="cellIs" dxfId="11372" priority="24714" operator="equal">
      <formula>"×"</formula>
    </cfRule>
  </conditionalFormatting>
  <conditionalFormatting sqref="AF7:AF8 AF11:AF13">
    <cfRule type="cellIs" dxfId="11371" priority="24711" operator="equal">
      <formula>1</formula>
    </cfRule>
    <cfRule type="cellIs" dxfId="11370" priority="24712" operator="equal">
      <formula>"×"</formula>
    </cfRule>
  </conditionalFormatting>
  <conditionalFormatting sqref="AF7:AF8 AF11:AF13">
    <cfRule type="cellIs" dxfId="11369" priority="24709" operator="equal">
      <formula>1</formula>
    </cfRule>
    <cfRule type="cellIs" dxfId="11368" priority="24710" operator="equal">
      <formula>"×"</formula>
    </cfRule>
  </conditionalFormatting>
  <conditionalFormatting sqref="AF7:AF8 AF11:AF13">
    <cfRule type="cellIs" dxfId="11367" priority="24707" operator="equal">
      <formula>1</formula>
    </cfRule>
    <cfRule type="cellIs" dxfId="11366" priority="24708" operator="equal">
      <formula>"×"</formula>
    </cfRule>
  </conditionalFormatting>
  <conditionalFormatting sqref="AF7:AF8 AF11:AF13">
    <cfRule type="cellIs" dxfId="11365" priority="24705" operator="equal">
      <formula>1</formula>
    </cfRule>
    <cfRule type="cellIs" dxfId="11364" priority="24706" operator="equal">
      <formula>"×"</formula>
    </cfRule>
  </conditionalFormatting>
  <conditionalFormatting sqref="AF7:AF8 AF11:AF13">
    <cfRule type="cellIs" dxfId="11363" priority="24703" operator="equal">
      <formula>1</formula>
    </cfRule>
    <cfRule type="cellIs" dxfId="11362" priority="24704" operator="equal">
      <formula>"×"</formula>
    </cfRule>
  </conditionalFormatting>
  <conditionalFormatting sqref="AG11:AI13">
    <cfRule type="cellIs" dxfId="11361" priority="24701" operator="equal">
      <formula>1</formula>
    </cfRule>
    <cfRule type="cellIs" dxfId="11360" priority="24702" operator="equal">
      <formula>"×"</formula>
    </cfRule>
  </conditionalFormatting>
  <conditionalFormatting sqref="AI11:AI13">
    <cfRule type="cellIs" dxfId="11359" priority="24699" operator="equal">
      <formula>1</formula>
    </cfRule>
    <cfRule type="cellIs" dxfId="11358" priority="24700" operator="equal">
      <formula>"×"</formula>
    </cfRule>
  </conditionalFormatting>
  <conditionalFormatting sqref="AG11:AI13">
    <cfRule type="cellIs" dxfId="11357" priority="24697" operator="equal">
      <formula>1</formula>
    </cfRule>
    <cfRule type="cellIs" dxfId="11356" priority="24698" operator="equal">
      <formula>"×"</formula>
    </cfRule>
  </conditionalFormatting>
  <conditionalFormatting sqref="AG11:AI13">
    <cfRule type="cellIs" dxfId="11355" priority="24695" operator="equal">
      <formula>1</formula>
    </cfRule>
    <cfRule type="cellIs" dxfId="11354" priority="24696" operator="equal">
      <formula>"×"</formula>
    </cfRule>
  </conditionalFormatting>
  <conditionalFormatting sqref="AI11:AI13">
    <cfRule type="cellIs" dxfId="11353" priority="24693" operator="equal">
      <formula>1</formula>
    </cfRule>
    <cfRule type="cellIs" dxfId="11352" priority="24694" operator="equal">
      <formula>"×"</formula>
    </cfRule>
  </conditionalFormatting>
  <conditionalFormatting sqref="AG11:AI13">
    <cfRule type="cellIs" dxfId="11351" priority="24691" operator="equal">
      <formula>1</formula>
    </cfRule>
    <cfRule type="cellIs" dxfId="11350" priority="24692" operator="equal">
      <formula>"×"</formula>
    </cfRule>
  </conditionalFormatting>
  <conditionalFormatting sqref="AF7:AF8 AF11:AF13">
    <cfRule type="cellIs" dxfId="11349" priority="24689" operator="equal">
      <formula>1</formula>
    </cfRule>
    <cfRule type="cellIs" dxfId="11348" priority="24690" operator="equal">
      <formula>"×"</formula>
    </cfRule>
  </conditionalFormatting>
  <conditionalFormatting sqref="AF7:AF8 AF11:AF13">
    <cfRule type="cellIs" dxfId="11347" priority="24687" operator="equal">
      <formula>1</formula>
    </cfRule>
    <cfRule type="cellIs" dxfId="11346" priority="24688" operator="equal">
      <formula>"×"</formula>
    </cfRule>
  </conditionalFormatting>
  <conditionalFormatting sqref="AF7:AF8 AF11:AF13">
    <cfRule type="cellIs" dxfId="11345" priority="24685" operator="equal">
      <formula>1</formula>
    </cfRule>
    <cfRule type="cellIs" dxfId="11344" priority="24686" operator="equal">
      <formula>"×"</formula>
    </cfRule>
  </conditionalFormatting>
  <conditionalFormatting sqref="AF7:AF8 AF11:AF13">
    <cfRule type="cellIs" dxfId="11343" priority="24683" operator="equal">
      <formula>1</formula>
    </cfRule>
    <cfRule type="cellIs" dxfId="11342" priority="24684" operator="equal">
      <formula>"×"</formula>
    </cfRule>
  </conditionalFormatting>
  <conditionalFormatting sqref="AF7:AF8 AF11:AF13">
    <cfRule type="cellIs" dxfId="11341" priority="24681" operator="equal">
      <formula>1</formula>
    </cfRule>
    <cfRule type="cellIs" dxfId="11340" priority="24682" operator="equal">
      <formula>"×"</formula>
    </cfRule>
  </conditionalFormatting>
  <conditionalFormatting sqref="AF7:AF8 AF11:AF13">
    <cfRule type="cellIs" dxfId="11339" priority="24679" operator="equal">
      <formula>1</formula>
    </cfRule>
    <cfRule type="cellIs" dxfId="11338" priority="24680" operator="equal">
      <formula>"×"</formula>
    </cfRule>
  </conditionalFormatting>
  <conditionalFormatting sqref="AF7:AF8 AF11:AF13">
    <cfRule type="cellIs" dxfId="11337" priority="24677" operator="equal">
      <formula>1</formula>
    </cfRule>
    <cfRule type="cellIs" dxfId="11336" priority="24678" operator="equal">
      <formula>"×"</formula>
    </cfRule>
  </conditionalFormatting>
  <conditionalFormatting sqref="AG11:AI13">
    <cfRule type="cellIs" dxfId="11335" priority="24675" operator="equal">
      <formula>1</formula>
    </cfRule>
    <cfRule type="cellIs" dxfId="11334" priority="24676" operator="equal">
      <formula>"×"</formula>
    </cfRule>
  </conditionalFormatting>
  <conditionalFormatting sqref="AG11:AI13">
    <cfRule type="cellIs" dxfId="11333" priority="24671" operator="equal">
      <formula>1</formula>
    </cfRule>
    <cfRule type="cellIs" dxfId="11332" priority="24672" operator="equal">
      <formula>"×"</formula>
    </cfRule>
  </conditionalFormatting>
  <conditionalFormatting sqref="AI11:AI13">
    <cfRule type="cellIs" dxfId="11331" priority="24673" operator="equal">
      <formula>1</formula>
    </cfRule>
    <cfRule type="cellIs" dxfId="11330" priority="24674" operator="equal">
      <formula>"×"</formula>
    </cfRule>
  </conditionalFormatting>
  <conditionalFormatting sqref="AG11:AI13">
    <cfRule type="cellIs" dxfId="11329" priority="24669" operator="equal">
      <formula>1</formula>
    </cfRule>
    <cfRule type="cellIs" dxfId="11328" priority="24670" operator="equal">
      <formula>"×"</formula>
    </cfRule>
  </conditionalFormatting>
  <conditionalFormatting sqref="AI11:AI13">
    <cfRule type="cellIs" dxfId="11327" priority="24667" operator="equal">
      <formula>1</formula>
    </cfRule>
    <cfRule type="cellIs" dxfId="11326" priority="24668" operator="equal">
      <formula>"×"</formula>
    </cfRule>
  </conditionalFormatting>
  <conditionalFormatting sqref="AG11:AI13">
    <cfRule type="cellIs" dxfId="11325" priority="24665" operator="equal">
      <formula>1</formula>
    </cfRule>
    <cfRule type="cellIs" dxfId="11324" priority="24666" operator="equal">
      <formula>"×"</formula>
    </cfRule>
  </conditionalFormatting>
  <conditionalFormatting sqref="AI11:AI13">
    <cfRule type="cellIs" dxfId="11323" priority="24663" operator="equal">
      <formula>1</formula>
    </cfRule>
    <cfRule type="cellIs" dxfId="11322" priority="24664" operator="equal">
      <formula>"×"</formula>
    </cfRule>
  </conditionalFormatting>
  <conditionalFormatting sqref="AI11:AI13">
    <cfRule type="cellIs" dxfId="11321" priority="24661" operator="equal">
      <formula>1</formula>
    </cfRule>
    <cfRule type="cellIs" dxfId="11320" priority="24662" operator="equal">
      <formula>"×"</formula>
    </cfRule>
  </conditionalFormatting>
  <conditionalFormatting sqref="AI11:AI13">
    <cfRule type="cellIs" dxfId="11319" priority="24659" operator="equal">
      <formula>1</formula>
    </cfRule>
    <cfRule type="cellIs" dxfId="11318" priority="24660" operator="equal">
      <formula>"×"</formula>
    </cfRule>
  </conditionalFormatting>
  <conditionalFormatting sqref="AI11:AI13">
    <cfRule type="cellIs" dxfId="11317" priority="24657" operator="equal">
      <formula>1</formula>
    </cfRule>
    <cfRule type="cellIs" dxfId="11316" priority="24658" operator="equal">
      <formula>"×"</formula>
    </cfRule>
  </conditionalFormatting>
  <conditionalFormatting sqref="AI11:AI13">
    <cfRule type="cellIs" dxfId="11315" priority="24655" operator="equal">
      <formula>1</formula>
    </cfRule>
    <cfRule type="cellIs" dxfId="11314" priority="24656" operator="equal">
      <formula>"×"</formula>
    </cfRule>
  </conditionalFormatting>
  <conditionalFormatting sqref="AI11:AI13">
    <cfRule type="cellIs" dxfId="11313" priority="24653" operator="equal">
      <formula>1</formula>
    </cfRule>
    <cfRule type="cellIs" dxfId="11312" priority="24654" operator="equal">
      <formula>"×"</formula>
    </cfRule>
  </conditionalFormatting>
  <conditionalFormatting sqref="AF11:AI11">
    <cfRule type="cellIs" dxfId="11311" priority="24629" operator="equal">
      <formula>1</formula>
    </cfRule>
    <cfRule type="cellIs" dxfId="11310" priority="24630" operator="equal">
      <formula>"×"</formula>
    </cfRule>
  </conditionalFormatting>
  <conditionalFormatting sqref="AI11">
    <cfRule type="cellIs" dxfId="11309" priority="24627" operator="equal">
      <formula>1</formula>
    </cfRule>
    <cfRule type="cellIs" dxfId="11308" priority="24628" operator="equal">
      <formula>"×"</formula>
    </cfRule>
  </conditionalFormatting>
  <conditionalFormatting sqref="AF11:AI11">
    <cfRule type="cellIs" dxfId="11307" priority="24625" operator="equal">
      <formula>1</formula>
    </cfRule>
    <cfRule type="cellIs" dxfId="11306" priority="24626" operator="equal">
      <formula>"×"</formula>
    </cfRule>
  </conditionalFormatting>
  <conditionalFormatting sqref="AF11">
    <cfRule type="cellIs" dxfId="11305" priority="24651" operator="equal">
      <formula>1</formula>
    </cfRule>
    <cfRule type="cellIs" dxfId="11304" priority="24652" operator="equal">
      <formula>"×"</formula>
    </cfRule>
  </conditionalFormatting>
  <conditionalFormatting sqref="AF11">
    <cfRule type="cellIs" dxfId="11303" priority="24649" operator="equal">
      <formula>1</formula>
    </cfRule>
    <cfRule type="cellIs" dxfId="11302" priority="24650" operator="equal">
      <formula>"×"</formula>
    </cfRule>
  </conditionalFormatting>
  <conditionalFormatting sqref="AF7:AF8 AF11:AF13">
    <cfRule type="cellIs" dxfId="11301" priority="24647" operator="equal">
      <formula>1</formula>
    </cfRule>
    <cfRule type="cellIs" dxfId="11300" priority="24648" operator="equal">
      <formula>"×"</formula>
    </cfRule>
  </conditionalFormatting>
  <conditionalFormatting sqref="AF7:AF8 AF11:AF13">
    <cfRule type="cellIs" dxfId="11299" priority="24645" operator="equal">
      <formula>1</formula>
    </cfRule>
    <cfRule type="cellIs" dxfId="11298" priority="24646" operator="equal">
      <formula>"×"</formula>
    </cfRule>
  </conditionalFormatting>
  <conditionalFormatting sqref="AF11">
    <cfRule type="cellIs" dxfId="11297" priority="24643" operator="equal">
      <formula>1</formula>
    </cfRule>
    <cfRule type="cellIs" dxfId="11296" priority="24644" operator="equal">
      <formula>"×"</formula>
    </cfRule>
  </conditionalFormatting>
  <conditionalFormatting sqref="AF11">
    <cfRule type="cellIs" dxfId="11295" priority="24641" operator="equal">
      <formula>1</formula>
    </cfRule>
    <cfRule type="cellIs" dxfId="11294" priority="24642" operator="equal">
      <formula>"×"</formula>
    </cfRule>
  </conditionalFormatting>
  <conditionalFormatting sqref="AF7:AF8 AF11:AI13">
    <cfRule type="cellIs" dxfId="11293" priority="24639" operator="equal">
      <formula>1</formula>
    </cfRule>
    <cfRule type="cellIs" dxfId="11292" priority="24640" operator="equal">
      <formula>"×"</formula>
    </cfRule>
  </conditionalFormatting>
  <conditionalFormatting sqref="AI12">
    <cfRule type="cellIs" dxfId="11291" priority="24637" operator="equal">
      <formula>1</formula>
    </cfRule>
    <cfRule type="cellIs" dxfId="11290" priority="24638" operator="equal">
      <formula>"×"</formula>
    </cfRule>
  </conditionalFormatting>
  <conditionalFormatting sqref="AF7:AF8 AF11:AI13">
    <cfRule type="cellIs" dxfId="11289" priority="24635" operator="equal">
      <formula>1</formula>
    </cfRule>
    <cfRule type="cellIs" dxfId="11288" priority="24636" operator="equal">
      <formula>"×"</formula>
    </cfRule>
  </conditionalFormatting>
  <conditionalFormatting sqref="AF11">
    <cfRule type="cellIs" dxfId="11287" priority="24633" operator="equal">
      <formula>1</formula>
    </cfRule>
    <cfRule type="cellIs" dxfId="11286" priority="24634" operator="equal">
      <formula>"×"</formula>
    </cfRule>
  </conditionalFormatting>
  <conditionalFormatting sqref="AF11">
    <cfRule type="cellIs" dxfId="11285" priority="24631" operator="equal">
      <formula>1</formula>
    </cfRule>
    <cfRule type="cellIs" dxfId="11284" priority="24632" operator="equal">
      <formula>"×"</formula>
    </cfRule>
  </conditionalFormatting>
  <conditionalFormatting sqref="AF7:AF8 AF11:AI13">
    <cfRule type="cellIs" dxfId="11283" priority="24623" operator="equal">
      <formula>1</formula>
    </cfRule>
    <cfRule type="cellIs" dxfId="11282" priority="24624" operator="equal">
      <formula>"×"</formula>
    </cfRule>
  </conditionalFormatting>
  <conditionalFormatting sqref="AI12">
    <cfRule type="cellIs" dxfId="11281" priority="24621" operator="equal">
      <formula>1</formula>
    </cfRule>
    <cfRule type="cellIs" dxfId="11280" priority="24622" operator="equal">
      <formula>"×"</formula>
    </cfRule>
  </conditionalFormatting>
  <conditionalFormatting sqref="AF7:AF8 AF11:AI13">
    <cfRule type="cellIs" dxfId="11279" priority="24619" operator="equal">
      <formula>1</formula>
    </cfRule>
    <cfRule type="cellIs" dxfId="11278" priority="24620" operator="equal">
      <formula>"×"</formula>
    </cfRule>
  </conditionalFormatting>
  <conditionalFormatting sqref="AF7:AF8 AF11:AI13">
    <cfRule type="cellIs" dxfId="11277" priority="24617" operator="equal">
      <formula>1</formula>
    </cfRule>
    <cfRule type="cellIs" dxfId="11276" priority="24618" operator="equal">
      <formula>"×"</formula>
    </cfRule>
  </conditionalFormatting>
  <conditionalFormatting sqref="AI12">
    <cfRule type="cellIs" dxfId="11275" priority="24615" operator="equal">
      <formula>1</formula>
    </cfRule>
    <cfRule type="cellIs" dxfId="11274" priority="24616" operator="equal">
      <formula>"×"</formula>
    </cfRule>
  </conditionalFormatting>
  <conditionalFormatting sqref="AF11">
    <cfRule type="cellIs" dxfId="11273" priority="24613" operator="equal">
      <formula>1</formula>
    </cfRule>
    <cfRule type="cellIs" dxfId="11272" priority="24614" operator="equal">
      <formula>"×"</formula>
    </cfRule>
  </conditionalFormatting>
  <conditionalFormatting sqref="AF11">
    <cfRule type="cellIs" dxfId="11271" priority="24609" operator="equal">
      <formula>1</formula>
    </cfRule>
    <cfRule type="cellIs" dxfId="11270" priority="24610" operator="equal">
      <formula>"×"</formula>
    </cfRule>
  </conditionalFormatting>
  <conditionalFormatting sqref="AF11">
    <cfRule type="cellIs" dxfId="11269" priority="24611" operator="equal">
      <formula>1</formula>
    </cfRule>
    <cfRule type="cellIs" dxfId="11268" priority="24612" operator="equal">
      <formula>"×"</formula>
    </cfRule>
  </conditionalFormatting>
  <conditionalFormatting sqref="AF11">
    <cfRule type="cellIs" dxfId="11267" priority="24607" operator="equal">
      <formula>1</formula>
    </cfRule>
    <cfRule type="cellIs" dxfId="11266" priority="24608" operator="equal">
      <formula>"×"</formula>
    </cfRule>
  </conditionalFormatting>
  <conditionalFormatting sqref="AF11">
    <cfRule type="cellIs" dxfId="11265" priority="24605" operator="equal">
      <formula>1</formula>
    </cfRule>
    <cfRule type="cellIs" dxfId="11264" priority="24606" operator="equal">
      <formula>"×"</formula>
    </cfRule>
  </conditionalFormatting>
  <conditionalFormatting sqref="AF11">
    <cfRule type="cellIs" dxfId="11263" priority="24603" operator="equal">
      <formula>1</formula>
    </cfRule>
    <cfRule type="cellIs" dxfId="11262" priority="24604" operator="equal">
      <formula>"×"</formula>
    </cfRule>
  </conditionalFormatting>
  <conditionalFormatting sqref="AF11">
    <cfRule type="cellIs" dxfId="11261" priority="24601" operator="equal">
      <formula>1</formula>
    </cfRule>
    <cfRule type="cellIs" dxfId="11260" priority="24602" operator="equal">
      <formula>"×"</formula>
    </cfRule>
  </conditionalFormatting>
  <conditionalFormatting sqref="AH10:AI10">
    <cfRule type="cellIs" dxfId="11259" priority="24599" operator="equal">
      <formula>1</formula>
    </cfRule>
    <cfRule type="cellIs" dxfId="11258" priority="24600" operator="equal">
      <formula>"×"</formula>
    </cfRule>
  </conditionalFormatting>
  <conditionalFormatting sqref="AI10">
    <cfRule type="cellIs" dxfId="11257" priority="24597" operator="equal">
      <formula>1</formula>
    </cfRule>
    <cfRule type="cellIs" dxfId="11256" priority="24598" operator="equal">
      <formula>"×"</formula>
    </cfRule>
  </conditionalFormatting>
  <conditionalFormatting sqref="AH10:AI10">
    <cfRule type="cellIs" dxfId="11255" priority="24595" operator="equal">
      <formula>1</formula>
    </cfRule>
    <cfRule type="cellIs" dxfId="11254" priority="24596" operator="equal">
      <formula>"×"</formula>
    </cfRule>
  </conditionalFormatting>
  <conditionalFormatting sqref="AH10:AI10">
    <cfRule type="cellIs" dxfId="11253" priority="24593" operator="equal">
      <formula>1</formula>
    </cfRule>
    <cfRule type="cellIs" dxfId="11252" priority="24594" operator="equal">
      <formula>"×"</formula>
    </cfRule>
  </conditionalFormatting>
  <conditionalFormatting sqref="AI10">
    <cfRule type="cellIs" dxfId="11251" priority="24591" operator="equal">
      <formula>1</formula>
    </cfRule>
    <cfRule type="cellIs" dxfId="11250" priority="24592" operator="equal">
      <formula>"×"</formula>
    </cfRule>
  </conditionalFormatting>
  <conditionalFormatting sqref="AH10:AI10">
    <cfRule type="cellIs" dxfId="11249" priority="24589" operator="equal">
      <formula>1</formula>
    </cfRule>
    <cfRule type="cellIs" dxfId="11248" priority="24590" operator="equal">
      <formula>"×"</formula>
    </cfRule>
  </conditionalFormatting>
  <conditionalFormatting sqref="AF7:AI8 AH8:AI11 AF11:AI13">
    <cfRule type="cellIs" dxfId="11247" priority="24587" operator="equal">
      <formula>1</formula>
    </cfRule>
    <cfRule type="cellIs" dxfId="11246" priority="24588" operator="equal">
      <formula>"×"</formula>
    </cfRule>
  </conditionalFormatting>
  <conditionalFormatting sqref="AF7:AG7">
    <cfRule type="cellIs" dxfId="11245" priority="24561" operator="equal">
      <formula>1</formula>
    </cfRule>
    <cfRule type="cellIs" dxfId="11244" priority="24562" operator="equal">
      <formula>"×"</formula>
    </cfRule>
  </conditionalFormatting>
  <conditionalFormatting sqref="AF7:AG7">
    <cfRule type="cellIs" dxfId="11243" priority="24559" operator="equal">
      <formula>1</formula>
    </cfRule>
    <cfRule type="cellIs" dxfId="11242" priority="24560" operator="equal">
      <formula>"×"</formula>
    </cfRule>
  </conditionalFormatting>
  <conditionalFormatting sqref="AF7:AG7">
    <cfRule type="cellIs" dxfId="11241" priority="24555" operator="equal">
      <formula>1</formula>
    </cfRule>
    <cfRule type="cellIs" dxfId="11240" priority="24556" operator="equal">
      <formula>"×"</formula>
    </cfRule>
  </conditionalFormatting>
  <conditionalFormatting sqref="AF7:AG7">
    <cfRule type="cellIs" dxfId="11239" priority="24557" operator="equal">
      <formula>1</formula>
    </cfRule>
    <cfRule type="cellIs" dxfId="11238" priority="24558" operator="equal">
      <formula>"×"</formula>
    </cfRule>
  </conditionalFormatting>
  <conditionalFormatting sqref="AF7:AG7">
    <cfRule type="cellIs" dxfId="11237" priority="24585" operator="equal">
      <formula>1</formula>
    </cfRule>
    <cfRule type="cellIs" dxfId="11236" priority="24586" operator="equal">
      <formula>"×"</formula>
    </cfRule>
  </conditionalFormatting>
  <conditionalFormatting sqref="AF7:AG7">
    <cfRule type="cellIs" dxfId="11235" priority="24583" operator="equal">
      <formula>1</formula>
    </cfRule>
    <cfRule type="cellIs" dxfId="11234" priority="24584" operator="equal">
      <formula>"×"</formula>
    </cfRule>
  </conditionalFormatting>
  <conditionalFormatting sqref="AF7:AG7">
    <cfRule type="cellIs" dxfId="11233" priority="24581" operator="equal">
      <formula>1</formula>
    </cfRule>
    <cfRule type="cellIs" dxfId="11232" priority="24582" operator="equal">
      <formula>"×"</formula>
    </cfRule>
  </conditionalFormatting>
  <conditionalFormatting sqref="AF7:AG7">
    <cfRule type="cellIs" dxfId="11231" priority="24579" operator="equal">
      <formula>1</formula>
    </cfRule>
    <cfRule type="cellIs" dxfId="11230" priority="24580" operator="equal">
      <formula>"×"</formula>
    </cfRule>
  </conditionalFormatting>
  <conditionalFormatting sqref="AF7:AG7">
    <cfRule type="cellIs" dxfId="11229" priority="24577" operator="equal">
      <formula>1</formula>
    </cfRule>
    <cfRule type="cellIs" dxfId="11228" priority="24578" operator="equal">
      <formula>"×"</formula>
    </cfRule>
  </conditionalFormatting>
  <conditionalFormatting sqref="AF7:AG7">
    <cfRule type="cellIs" dxfId="11227" priority="24575" operator="equal">
      <formula>1</formula>
    </cfRule>
    <cfRule type="cellIs" dxfId="11226" priority="24576" operator="equal">
      <formula>"×"</formula>
    </cfRule>
  </conditionalFormatting>
  <conditionalFormatting sqref="AF7:AG7">
    <cfRule type="cellIs" dxfId="11225" priority="24573" operator="equal">
      <formula>1</formula>
    </cfRule>
    <cfRule type="cellIs" dxfId="11224" priority="24574" operator="equal">
      <formula>"×"</formula>
    </cfRule>
  </conditionalFormatting>
  <conditionalFormatting sqref="AF7:AG7">
    <cfRule type="cellIs" dxfId="11223" priority="24571" operator="equal">
      <formula>1</formula>
    </cfRule>
    <cfRule type="cellIs" dxfId="11222" priority="24572" operator="equal">
      <formula>"×"</formula>
    </cfRule>
  </conditionalFormatting>
  <conditionalFormatting sqref="AF7:AG7">
    <cfRule type="cellIs" dxfId="11221" priority="24569" operator="equal">
      <formula>1</formula>
    </cfRule>
    <cfRule type="cellIs" dxfId="11220" priority="24570" operator="equal">
      <formula>"×"</formula>
    </cfRule>
  </conditionalFormatting>
  <conditionalFormatting sqref="AF7:AG7">
    <cfRule type="cellIs" dxfId="11219" priority="24567" operator="equal">
      <formula>1</formula>
    </cfRule>
    <cfRule type="cellIs" dxfId="11218" priority="24568" operator="equal">
      <formula>"×"</formula>
    </cfRule>
  </conditionalFormatting>
  <conditionalFormatting sqref="AF7:AG7">
    <cfRule type="cellIs" dxfId="11217" priority="24565" operator="equal">
      <formula>1</formula>
    </cfRule>
    <cfRule type="cellIs" dxfId="11216" priority="24566" operator="equal">
      <formula>"×"</formula>
    </cfRule>
  </conditionalFormatting>
  <conditionalFormatting sqref="AF7:AG7">
    <cfRule type="cellIs" dxfId="11215" priority="24563" operator="equal">
      <formula>1</formula>
    </cfRule>
    <cfRule type="cellIs" dxfId="11214" priority="24564" operator="equal">
      <formula>"×"</formula>
    </cfRule>
  </conditionalFormatting>
  <conditionalFormatting sqref="AH7:AI7">
    <cfRule type="cellIs" dxfId="11213" priority="24529" operator="equal">
      <formula>1</formula>
    </cfRule>
    <cfRule type="cellIs" dxfId="11212" priority="24530" operator="equal">
      <formula>"×"</formula>
    </cfRule>
  </conditionalFormatting>
  <conditionalFormatting sqref="AH7:AI7">
    <cfRule type="cellIs" dxfId="11211" priority="24527" operator="equal">
      <formula>1</formula>
    </cfRule>
    <cfRule type="cellIs" dxfId="11210" priority="24528" operator="equal">
      <formula>"×"</formula>
    </cfRule>
  </conditionalFormatting>
  <conditionalFormatting sqref="AH7:AI7">
    <cfRule type="cellIs" dxfId="11209" priority="24523" operator="equal">
      <formula>1</formula>
    </cfRule>
    <cfRule type="cellIs" dxfId="11208" priority="24524" operator="equal">
      <formula>"×"</formula>
    </cfRule>
  </conditionalFormatting>
  <conditionalFormatting sqref="AH7:AI7">
    <cfRule type="cellIs" dxfId="11207" priority="24525" operator="equal">
      <formula>1</formula>
    </cfRule>
    <cfRule type="cellIs" dxfId="11206" priority="24526" operator="equal">
      <formula>"×"</formula>
    </cfRule>
  </conditionalFormatting>
  <conditionalFormatting sqref="AH7:AI7">
    <cfRule type="cellIs" dxfId="11205" priority="24553" operator="equal">
      <formula>1</formula>
    </cfRule>
    <cfRule type="cellIs" dxfId="11204" priority="24554" operator="equal">
      <formula>"×"</formula>
    </cfRule>
  </conditionalFormatting>
  <conditionalFormatting sqref="AH7:AI7">
    <cfRule type="cellIs" dxfId="11203" priority="24551" operator="equal">
      <formula>1</formula>
    </cfRule>
    <cfRule type="cellIs" dxfId="11202" priority="24552" operator="equal">
      <formula>"×"</formula>
    </cfRule>
  </conditionalFormatting>
  <conditionalFormatting sqref="AH7:AI7">
    <cfRule type="cellIs" dxfId="11201" priority="24549" operator="equal">
      <formula>1</formula>
    </cfRule>
    <cfRule type="cellIs" dxfId="11200" priority="24550" operator="equal">
      <formula>"×"</formula>
    </cfRule>
  </conditionalFormatting>
  <conditionalFormatting sqref="AH7:AI7">
    <cfRule type="cellIs" dxfId="11199" priority="24547" operator="equal">
      <formula>1</formula>
    </cfRule>
    <cfRule type="cellIs" dxfId="11198" priority="24548" operator="equal">
      <formula>"×"</formula>
    </cfRule>
  </conditionalFormatting>
  <conditionalFormatting sqref="AH7:AI7">
    <cfRule type="cellIs" dxfId="11197" priority="24545" operator="equal">
      <formula>1</formula>
    </cfRule>
    <cfRule type="cellIs" dxfId="11196" priority="24546" operator="equal">
      <formula>"×"</formula>
    </cfRule>
  </conditionalFormatting>
  <conditionalFormatting sqref="AH7:AI7">
    <cfRule type="cellIs" dxfId="11195" priority="24543" operator="equal">
      <formula>1</formula>
    </cfRule>
    <cfRule type="cellIs" dxfId="11194" priority="24544" operator="equal">
      <formula>"×"</formula>
    </cfRule>
  </conditionalFormatting>
  <conditionalFormatting sqref="AH7:AI7">
    <cfRule type="cellIs" dxfId="11193" priority="24541" operator="equal">
      <formula>1</formula>
    </cfRule>
    <cfRule type="cellIs" dxfId="11192" priority="24542" operator="equal">
      <formula>"×"</formula>
    </cfRule>
  </conditionalFormatting>
  <conditionalFormatting sqref="AH7:AI7">
    <cfRule type="cellIs" dxfId="11191" priority="24539" operator="equal">
      <formula>1</formula>
    </cfRule>
    <cfRule type="cellIs" dxfId="11190" priority="24540" operator="equal">
      <formula>"×"</formula>
    </cfRule>
  </conditionalFormatting>
  <conditionalFormatting sqref="AH7:AI7">
    <cfRule type="cellIs" dxfId="11189" priority="24537" operator="equal">
      <formula>1</formula>
    </cfRule>
    <cfRule type="cellIs" dxfId="11188" priority="24538" operator="equal">
      <formula>"×"</formula>
    </cfRule>
  </conditionalFormatting>
  <conditionalFormatting sqref="AH7:AI7">
    <cfRule type="cellIs" dxfId="11187" priority="24535" operator="equal">
      <formula>1</formula>
    </cfRule>
    <cfRule type="cellIs" dxfId="11186" priority="24536" operator="equal">
      <formula>"×"</formula>
    </cfRule>
  </conditionalFormatting>
  <conditionalFormatting sqref="AH7:AI7">
    <cfRule type="cellIs" dxfId="11185" priority="24533" operator="equal">
      <formula>1</formula>
    </cfRule>
    <cfRule type="cellIs" dxfId="11184" priority="24534" operator="equal">
      <formula>"×"</formula>
    </cfRule>
  </conditionalFormatting>
  <conditionalFormatting sqref="AH7:AI7">
    <cfRule type="cellIs" dxfId="11183" priority="24531" operator="equal">
      <formula>1</formula>
    </cfRule>
    <cfRule type="cellIs" dxfId="11182" priority="24532" operator="equal">
      <formula>"×"</formula>
    </cfRule>
  </conditionalFormatting>
  <conditionalFormatting sqref="AH8">
    <cfRule type="cellIs" dxfId="11181" priority="24521" operator="equal">
      <formula>1</formula>
    </cfRule>
    <cfRule type="cellIs" dxfId="11180" priority="24522" operator="equal">
      <formula>"×"</formula>
    </cfRule>
  </conditionalFormatting>
  <conditionalFormatting sqref="AH8">
    <cfRule type="cellIs" dxfId="11179" priority="24519" operator="equal">
      <formula>1</formula>
    </cfRule>
    <cfRule type="cellIs" dxfId="11178" priority="24520" operator="equal">
      <formula>"×"</formula>
    </cfRule>
  </conditionalFormatting>
  <conditionalFormatting sqref="AH8">
    <cfRule type="cellIs" dxfId="11177" priority="24493" operator="equal">
      <formula>1</formula>
    </cfRule>
    <cfRule type="cellIs" dxfId="11176" priority="24494" operator="equal">
      <formula>"×"</formula>
    </cfRule>
  </conditionalFormatting>
  <conditionalFormatting sqref="AH8">
    <cfRule type="cellIs" dxfId="11175" priority="24491" operator="equal">
      <formula>1</formula>
    </cfRule>
    <cfRule type="cellIs" dxfId="11174" priority="24492" operator="equal">
      <formula>"×"</formula>
    </cfRule>
  </conditionalFormatting>
  <conditionalFormatting sqref="AH8">
    <cfRule type="cellIs" dxfId="11173" priority="24487" operator="equal">
      <formula>1</formula>
    </cfRule>
    <cfRule type="cellIs" dxfId="11172" priority="24488" operator="equal">
      <formula>"×"</formula>
    </cfRule>
  </conditionalFormatting>
  <conditionalFormatting sqref="AH8">
    <cfRule type="cellIs" dxfId="11171" priority="24489" operator="equal">
      <formula>1</formula>
    </cfRule>
    <cfRule type="cellIs" dxfId="11170" priority="24490" operator="equal">
      <formula>"×"</formula>
    </cfRule>
  </conditionalFormatting>
  <conditionalFormatting sqref="AH8">
    <cfRule type="cellIs" dxfId="11169" priority="24517" operator="equal">
      <formula>1</formula>
    </cfRule>
    <cfRule type="cellIs" dxfId="11168" priority="24518" operator="equal">
      <formula>"×"</formula>
    </cfRule>
  </conditionalFormatting>
  <conditionalFormatting sqref="AH8">
    <cfRule type="cellIs" dxfId="11167" priority="24515" operator="equal">
      <formula>1</formula>
    </cfRule>
    <cfRule type="cellIs" dxfId="11166" priority="24516" operator="equal">
      <formula>"×"</formula>
    </cfRule>
  </conditionalFormatting>
  <conditionalFormatting sqref="AH8">
    <cfRule type="cellIs" dxfId="11165" priority="24513" operator="equal">
      <formula>1</formula>
    </cfRule>
    <cfRule type="cellIs" dxfId="11164" priority="24514" operator="equal">
      <formula>"×"</formula>
    </cfRule>
  </conditionalFormatting>
  <conditionalFormatting sqref="AH8">
    <cfRule type="cellIs" dxfId="11163" priority="24511" operator="equal">
      <formula>1</formula>
    </cfRule>
    <cfRule type="cellIs" dxfId="11162" priority="24512" operator="equal">
      <formula>"×"</formula>
    </cfRule>
  </conditionalFormatting>
  <conditionalFormatting sqref="AH8">
    <cfRule type="cellIs" dxfId="11161" priority="24509" operator="equal">
      <formula>1</formula>
    </cfRule>
    <cfRule type="cellIs" dxfId="11160" priority="24510" operator="equal">
      <formula>"×"</formula>
    </cfRule>
  </conditionalFormatting>
  <conditionalFormatting sqref="AH8">
    <cfRule type="cellIs" dxfId="11159" priority="24507" operator="equal">
      <formula>1</formula>
    </cfRule>
    <cfRule type="cellIs" dxfId="11158" priority="24508" operator="equal">
      <formula>"×"</formula>
    </cfRule>
  </conditionalFormatting>
  <conditionalFormatting sqref="AH8">
    <cfRule type="cellIs" dxfId="11157" priority="24505" operator="equal">
      <formula>1</formula>
    </cfRule>
    <cfRule type="cellIs" dxfId="11156" priority="24506" operator="equal">
      <formula>"×"</formula>
    </cfRule>
  </conditionalFormatting>
  <conditionalFormatting sqref="AH8">
    <cfRule type="cellIs" dxfId="11155" priority="24503" operator="equal">
      <formula>1</formula>
    </cfRule>
    <cfRule type="cellIs" dxfId="11154" priority="24504" operator="equal">
      <formula>"×"</formula>
    </cfRule>
  </conditionalFormatting>
  <conditionalFormatting sqref="AH8">
    <cfRule type="cellIs" dxfId="11153" priority="24501" operator="equal">
      <formula>1</formula>
    </cfRule>
    <cfRule type="cellIs" dxfId="11152" priority="24502" operator="equal">
      <formula>"×"</formula>
    </cfRule>
  </conditionalFormatting>
  <conditionalFormatting sqref="AH8">
    <cfRule type="cellIs" dxfId="11151" priority="24499" operator="equal">
      <formula>1</formula>
    </cfRule>
    <cfRule type="cellIs" dxfId="11150" priority="24500" operator="equal">
      <formula>"×"</formula>
    </cfRule>
  </conditionalFormatting>
  <conditionalFormatting sqref="AH8">
    <cfRule type="cellIs" dxfId="11149" priority="24497" operator="equal">
      <formula>1</formula>
    </cfRule>
    <cfRule type="cellIs" dxfId="11148" priority="24498" operator="equal">
      <formula>"×"</formula>
    </cfRule>
  </conditionalFormatting>
  <conditionalFormatting sqref="AH8">
    <cfRule type="cellIs" dxfId="11147" priority="24495" operator="equal">
      <formula>1</formula>
    </cfRule>
    <cfRule type="cellIs" dxfId="11146" priority="24496" operator="equal">
      <formula>"×"</formula>
    </cfRule>
  </conditionalFormatting>
  <conditionalFormatting sqref="AF8:AF11">
    <cfRule type="cellIs" dxfId="11145" priority="24477" operator="equal">
      <formula>1</formula>
    </cfRule>
    <cfRule type="cellIs" dxfId="11144" priority="24478" operator="equal">
      <formula>"×"</formula>
    </cfRule>
  </conditionalFormatting>
  <conditionalFormatting sqref="AF8:AF11">
    <cfRule type="cellIs" dxfId="11143" priority="24475" operator="equal">
      <formula>1</formula>
    </cfRule>
    <cfRule type="cellIs" dxfId="11142" priority="24476" operator="equal">
      <formula>"×"</formula>
    </cfRule>
  </conditionalFormatting>
  <conditionalFormatting sqref="AF8:AG11">
    <cfRule type="cellIs" dxfId="11141" priority="24485" operator="equal">
      <formula>1</formula>
    </cfRule>
    <cfRule type="cellIs" dxfId="11140" priority="24486" operator="equal">
      <formula>"×"</formula>
    </cfRule>
  </conditionalFormatting>
  <conditionalFormatting sqref="AF8:AG11">
    <cfRule type="cellIs" dxfId="11139" priority="24483" operator="equal">
      <formula>1</formula>
    </cfRule>
    <cfRule type="cellIs" dxfId="11138" priority="24484" operator="equal">
      <formula>"×"</formula>
    </cfRule>
  </conditionalFormatting>
  <conditionalFormatting sqref="AG8:AG11">
    <cfRule type="cellIs" dxfId="11137" priority="24481" operator="equal">
      <formula>1</formula>
    </cfRule>
    <cfRule type="cellIs" dxfId="11136" priority="24482" operator="equal">
      <formula>"×"</formula>
    </cfRule>
  </conditionalFormatting>
  <conditionalFormatting sqref="AG8:AG11">
    <cfRule type="cellIs" dxfId="11135" priority="24479" operator="equal">
      <formula>1</formula>
    </cfRule>
    <cfRule type="cellIs" dxfId="11134" priority="24480" operator="equal">
      <formula>"×"</formula>
    </cfRule>
  </conditionalFormatting>
  <conditionalFormatting sqref="AF8:AF11">
    <cfRule type="cellIs" dxfId="11133" priority="24473" operator="equal">
      <formula>1</formula>
    </cfRule>
    <cfRule type="cellIs" dxfId="11132" priority="24474" operator="equal">
      <formula>"×"</formula>
    </cfRule>
  </conditionalFormatting>
  <conditionalFormatting sqref="AF8:AF11">
    <cfRule type="cellIs" dxfId="11131" priority="24471" operator="equal">
      <formula>1</formula>
    </cfRule>
    <cfRule type="cellIs" dxfId="11130" priority="24472" operator="equal">
      <formula>"×"</formula>
    </cfRule>
  </conditionalFormatting>
  <conditionalFormatting sqref="AF8:AF11">
    <cfRule type="cellIs" dxfId="11129" priority="24469" operator="equal">
      <formula>1</formula>
    </cfRule>
    <cfRule type="cellIs" dxfId="11128" priority="24470" operator="equal">
      <formula>"×"</formula>
    </cfRule>
  </conditionalFormatting>
  <conditionalFormatting sqref="AF8:AF11">
    <cfRule type="cellIs" dxfId="11127" priority="24467" operator="equal">
      <formula>1</formula>
    </cfRule>
    <cfRule type="cellIs" dxfId="11126" priority="24468" operator="equal">
      <formula>"×"</formula>
    </cfRule>
  </conditionalFormatting>
  <conditionalFormatting sqref="AF8:AF11">
    <cfRule type="cellIs" dxfId="11125" priority="24465" operator="equal">
      <formula>1</formula>
    </cfRule>
    <cfRule type="cellIs" dxfId="11124" priority="24466" operator="equal">
      <formula>"×"</formula>
    </cfRule>
  </conditionalFormatting>
  <conditionalFormatting sqref="AF8:AF11">
    <cfRule type="cellIs" dxfId="11123" priority="24463" operator="equal">
      <formula>1</formula>
    </cfRule>
    <cfRule type="cellIs" dxfId="11122" priority="24464" operator="equal">
      <formula>"×"</formula>
    </cfRule>
  </conditionalFormatting>
  <conditionalFormatting sqref="AF8:AF11">
    <cfRule type="cellIs" dxfId="11121" priority="24461" operator="equal">
      <formula>1</formula>
    </cfRule>
    <cfRule type="cellIs" dxfId="11120" priority="24462" operator="equal">
      <formula>"×"</formula>
    </cfRule>
  </conditionalFormatting>
  <conditionalFormatting sqref="AF8:AF11">
    <cfRule type="cellIs" dxfId="11119" priority="24459" operator="equal">
      <formula>1</formula>
    </cfRule>
    <cfRule type="cellIs" dxfId="11118" priority="24460" operator="equal">
      <formula>"×"</formula>
    </cfRule>
  </conditionalFormatting>
  <conditionalFormatting sqref="AF8:AF11">
    <cfRule type="cellIs" dxfId="11117" priority="24457" operator="equal">
      <formula>1</formula>
    </cfRule>
    <cfRule type="cellIs" dxfId="11116" priority="24458" operator="equal">
      <formula>"×"</formula>
    </cfRule>
  </conditionalFormatting>
  <conditionalFormatting sqref="AF8:AF11">
    <cfRule type="cellIs" dxfId="11115" priority="24455" operator="equal">
      <formula>1</formula>
    </cfRule>
    <cfRule type="cellIs" dxfId="11114" priority="24456" operator="equal">
      <formula>"×"</formula>
    </cfRule>
  </conditionalFormatting>
  <conditionalFormatting sqref="AF8:AF11">
    <cfRule type="cellIs" dxfId="11113" priority="24453" operator="equal">
      <formula>1</formula>
    </cfRule>
    <cfRule type="cellIs" dxfId="11112" priority="24454" operator="equal">
      <formula>"×"</formula>
    </cfRule>
  </conditionalFormatting>
  <conditionalFormatting sqref="AF8:AF11">
    <cfRule type="cellIs" dxfId="11111" priority="24451" operator="equal">
      <formula>1</formula>
    </cfRule>
    <cfRule type="cellIs" dxfId="11110" priority="24452" operator="equal">
      <formula>"×"</formula>
    </cfRule>
  </conditionalFormatting>
  <conditionalFormatting sqref="AF8:AF11">
    <cfRule type="cellIs" dxfId="11109" priority="24449" operator="equal">
      <formula>1</formula>
    </cfRule>
    <cfRule type="cellIs" dxfId="11108" priority="24450" operator="equal">
      <formula>"×"</formula>
    </cfRule>
  </conditionalFormatting>
  <conditionalFormatting sqref="AF8:AF11">
    <cfRule type="cellIs" dxfId="11107" priority="24447" operator="equal">
      <formula>1</formula>
    </cfRule>
    <cfRule type="cellIs" dxfId="11106" priority="24448" operator="equal">
      <formula>"×"</formula>
    </cfRule>
  </conditionalFormatting>
  <conditionalFormatting sqref="AF8:AF11">
    <cfRule type="cellIs" dxfId="11105" priority="24445" operator="equal">
      <formula>1</formula>
    </cfRule>
    <cfRule type="cellIs" dxfId="11104" priority="24446" operator="equal">
      <formula>"×"</formula>
    </cfRule>
  </conditionalFormatting>
  <conditionalFormatting sqref="AF8:AF11">
    <cfRule type="cellIs" dxfId="11103" priority="24443" operator="equal">
      <formula>1</formula>
    </cfRule>
    <cfRule type="cellIs" dxfId="11102" priority="24444" operator="equal">
      <formula>"×"</formula>
    </cfRule>
  </conditionalFormatting>
  <conditionalFormatting sqref="AF8:AF11">
    <cfRule type="cellIs" dxfId="11101" priority="24441" operator="equal">
      <formula>1</formula>
    </cfRule>
    <cfRule type="cellIs" dxfId="11100" priority="24442" operator="equal">
      <formula>"×"</formula>
    </cfRule>
  </conditionalFormatting>
  <conditionalFormatting sqref="AF8:AF11">
    <cfRule type="cellIs" dxfId="11099" priority="24439" operator="equal">
      <formula>1</formula>
    </cfRule>
    <cfRule type="cellIs" dxfId="11098" priority="24440" operator="equal">
      <formula>"×"</formula>
    </cfRule>
  </conditionalFormatting>
  <conditionalFormatting sqref="AF8:AF11">
    <cfRule type="cellIs" dxfId="11097" priority="24437" operator="equal">
      <formula>1</formula>
    </cfRule>
    <cfRule type="cellIs" dxfId="11096" priority="24438" operator="equal">
      <formula>"×"</formula>
    </cfRule>
  </conditionalFormatting>
  <conditionalFormatting sqref="AF8:AF11">
    <cfRule type="cellIs" dxfId="11095" priority="24435" operator="equal">
      <formula>1</formula>
    </cfRule>
    <cfRule type="cellIs" dxfId="11094" priority="24436" operator="equal">
      <formula>"×"</formula>
    </cfRule>
  </conditionalFormatting>
  <conditionalFormatting sqref="AF8:AG11">
    <cfRule type="cellIs" dxfId="11093" priority="24433" operator="equal">
      <formula>1</formula>
    </cfRule>
    <cfRule type="cellIs" dxfId="11092" priority="24434" operator="equal">
      <formula>"×"</formula>
    </cfRule>
  </conditionalFormatting>
  <conditionalFormatting sqref="AF8:AG11">
    <cfRule type="cellIs" dxfId="11091" priority="24407" operator="equal">
      <formula>1</formula>
    </cfRule>
    <cfRule type="cellIs" dxfId="11090" priority="24408" operator="equal">
      <formula>"×"</formula>
    </cfRule>
  </conditionalFormatting>
  <conditionalFormatting sqref="AF8:AG11">
    <cfRule type="cellIs" dxfId="11089" priority="24405" operator="equal">
      <formula>1</formula>
    </cfRule>
    <cfRule type="cellIs" dxfId="11088" priority="24406" operator="equal">
      <formula>"×"</formula>
    </cfRule>
  </conditionalFormatting>
  <conditionalFormatting sqref="AF8:AG11">
    <cfRule type="cellIs" dxfId="11087" priority="24401" operator="equal">
      <formula>1</formula>
    </cfRule>
    <cfRule type="cellIs" dxfId="11086" priority="24402" operator="equal">
      <formula>"×"</formula>
    </cfRule>
  </conditionalFormatting>
  <conditionalFormatting sqref="AF8:AG11">
    <cfRule type="cellIs" dxfId="11085" priority="24403" operator="equal">
      <formula>1</formula>
    </cfRule>
    <cfRule type="cellIs" dxfId="11084" priority="24404" operator="equal">
      <formula>"×"</formula>
    </cfRule>
  </conditionalFormatting>
  <conditionalFormatting sqref="AF8:AG11">
    <cfRule type="cellIs" dxfId="11083" priority="24431" operator="equal">
      <formula>1</formula>
    </cfRule>
    <cfRule type="cellIs" dxfId="11082" priority="24432" operator="equal">
      <formula>"×"</formula>
    </cfRule>
  </conditionalFormatting>
  <conditionalFormatting sqref="AF8:AG11">
    <cfRule type="cellIs" dxfId="11081" priority="24429" operator="equal">
      <formula>1</formula>
    </cfRule>
    <cfRule type="cellIs" dxfId="11080" priority="24430" operator="equal">
      <formula>"×"</formula>
    </cfRule>
  </conditionalFormatting>
  <conditionalFormatting sqref="AF8:AG11">
    <cfRule type="cellIs" dxfId="11079" priority="24427" operator="equal">
      <formula>1</formula>
    </cfRule>
    <cfRule type="cellIs" dxfId="11078" priority="24428" operator="equal">
      <formula>"×"</formula>
    </cfRule>
  </conditionalFormatting>
  <conditionalFormatting sqref="AF8:AG11">
    <cfRule type="cellIs" dxfId="11077" priority="24425" operator="equal">
      <formula>1</formula>
    </cfRule>
    <cfRule type="cellIs" dxfId="11076" priority="24426" operator="equal">
      <formula>"×"</formula>
    </cfRule>
  </conditionalFormatting>
  <conditionalFormatting sqref="AF8:AG11">
    <cfRule type="cellIs" dxfId="11075" priority="24423" operator="equal">
      <formula>1</formula>
    </cfRule>
    <cfRule type="cellIs" dxfId="11074" priority="24424" operator="equal">
      <formula>"×"</formula>
    </cfRule>
  </conditionalFormatting>
  <conditionalFormatting sqref="AF8:AG11">
    <cfRule type="cellIs" dxfId="11073" priority="24421" operator="equal">
      <formula>1</formula>
    </cfRule>
    <cfRule type="cellIs" dxfId="11072" priority="24422" operator="equal">
      <formula>"×"</formula>
    </cfRule>
  </conditionalFormatting>
  <conditionalFormatting sqref="AF8:AG11">
    <cfRule type="cellIs" dxfId="11071" priority="24419" operator="equal">
      <formula>1</formula>
    </cfRule>
    <cfRule type="cellIs" dxfId="11070" priority="24420" operator="equal">
      <formula>"×"</formula>
    </cfRule>
  </conditionalFormatting>
  <conditionalFormatting sqref="AF8:AG11">
    <cfRule type="cellIs" dxfId="11069" priority="24417" operator="equal">
      <formula>1</formula>
    </cfRule>
    <cfRule type="cellIs" dxfId="11068" priority="24418" operator="equal">
      <formula>"×"</formula>
    </cfRule>
  </conditionalFormatting>
  <conditionalFormatting sqref="AF8:AG11">
    <cfRule type="cellIs" dxfId="11067" priority="24415" operator="equal">
      <formula>1</formula>
    </cfRule>
    <cfRule type="cellIs" dxfId="11066" priority="24416" operator="equal">
      <formula>"×"</formula>
    </cfRule>
  </conditionalFormatting>
  <conditionalFormatting sqref="AF8:AG11">
    <cfRule type="cellIs" dxfId="11065" priority="24413" operator="equal">
      <formula>1</formula>
    </cfRule>
    <cfRule type="cellIs" dxfId="11064" priority="24414" operator="equal">
      <formula>"×"</formula>
    </cfRule>
  </conditionalFormatting>
  <conditionalFormatting sqref="AF8:AG11">
    <cfRule type="cellIs" dxfId="11063" priority="24411" operator="equal">
      <formula>1</formula>
    </cfRule>
    <cfRule type="cellIs" dxfId="11062" priority="24412" operator="equal">
      <formula>"×"</formula>
    </cfRule>
  </conditionalFormatting>
  <conditionalFormatting sqref="AF8:AG11">
    <cfRule type="cellIs" dxfId="11061" priority="24409" operator="equal">
      <formula>1</formula>
    </cfRule>
    <cfRule type="cellIs" dxfId="11060" priority="24410" operator="equal">
      <formula>"×"</formula>
    </cfRule>
  </conditionalFormatting>
  <conditionalFormatting sqref="AG11:AH13">
    <cfRule type="cellIs" dxfId="11059" priority="24399" operator="equal">
      <formula>1</formula>
    </cfRule>
    <cfRule type="cellIs" dxfId="11058" priority="24400" operator="equal">
      <formula>"×"</formula>
    </cfRule>
  </conditionalFormatting>
  <conditionalFormatting sqref="AF7">
    <cfRule type="cellIs" dxfId="11057" priority="24371" operator="equal">
      <formula>1</formula>
    </cfRule>
    <cfRule type="cellIs" dxfId="11056" priority="24372" operator="equal">
      <formula>"×"</formula>
    </cfRule>
  </conditionalFormatting>
  <conditionalFormatting sqref="AF7">
    <cfRule type="cellIs" dxfId="11055" priority="24369" operator="equal">
      <formula>1</formula>
    </cfRule>
    <cfRule type="cellIs" dxfId="11054" priority="24370" operator="equal">
      <formula>"×"</formula>
    </cfRule>
  </conditionalFormatting>
  <conditionalFormatting sqref="AI7">
    <cfRule type="cellIs" dxfId="11053" priority="24395" operator="equal">
      <formula>1</formula>
    </cfRule>
    <cfRule type="cellIs" dxfId="11052" priority="24396" operator="equal">
      <formula>"×"</formula>
    </cfRule>
  </conditionalFormatting>
  <conditionalFormatting sqref="AF7:AI7">
    <cfRule type="cellIs" dxfId="11051" priority="24397" operator="equal">
      <formula>1</formula>
    </cfRule>
    <cfRule type="cellIs" dxfId="11050" priority="24398" operator="equal">
      <formula>"×"</formula>
    </cfRule>
  </conditionalFormatting>
  <conditionalFormatting sqref="AG7:AI8 AH8:AI10">
    <cfRule type="cellIs" dxfId="11049" priority="24393" operator="equal">
      <formula>1</formula>
    </cfRule>
    <cfRule type="cellIs" dxfId="11048" priority="24394" operator="equal">
      <formula>"×"</formula>
    </cfRule>
  </conditionalFormatting>
  <conditionalFormatting sqref="AI7:AI10">
    <cfRule type="cellIs" dxfId="11047" priority="24391" operator="equal">
      <formula>1</formula>
    </cfRule>
    <cfRule type="cellIs" dxfId="11046" priority="24392" operator="equal">
      <formula>"×"</formula>
    </cfRule>
  </conditionalFormatting>
  <conditionalFormatting sqref="AG7:AI8 AH8:AI10">
    <cfRule type="cellIs" dxfId="11045" priority="24389" operator="equal">
      <formula>1</formula>
    </cfRule>
    <cfRule type="cellIs" dxfId="11044" priority="24390" operator="equal">
      <formula>"×"</formula>
    </cfRule>
  </conditionalFormatting>
  <conditionalFormatting sqref="AH8:AI10 AG11:AI13">
    <cfRule type="cellIs" dxfId="11043" priority="24387" operator="equal">
      <formula>1</formula>
    </cfRule>
    <cfRule type="cellIs" dxfId="11042" priority="24388" operator="equal">
      <formula>"×"</formula>
    </cfRule>
  </conditionalFormatting>
  <conditionalFormatting sqref="AI8:AI13">
    <cfRule type="cellIs" dxfId="11041" priority="24385" operator="equal">
      <formula>1</formula>
    </cfRule>
    <cfRule type="cellIs" dxfId="11040" priority="24386" operator="equal">
      <formula>"×"</formula>
    </cfRule>
  </conditionalFormatting>
  <conditionalFormatting sqref="AH8:AI10 AG11:AI13">
    <cfRule type="cellIs" dxfId="11039" priority="24383" operator="equal">
      <formula>1</formula>
    </cfRule>
    <cfRule type="cellIs" dxfId="11038" priority="24384" operator="equal">
      <formula>"×"</formula>
    </cfRule>
  </conditionalFormatting>
  <conditionalFormatting sqref="AF11">
    <cfRule type="cellIs" dxfId="11037" priority="24381" operator="equal">
      <formula>1</formula>
    </cfRule>
    <cfRule type="cellIs" dxfId="11036" priority="24382" operator="equal">
      <formula>"×"</formula>
    </cfRule>
  </conditionalFormatting>
  <conditionalFormatting sqref="AF11">
    <cfRule type="cellIs" dxfId="11035" priority="24379" operator="equal">
      <formula>1</formula>
    </cfRule>
    <cfRule type="cellIs" dxfId="11034" priority="24380" operator="equal">
      <formula>"×"</formula>
    </cfRule>
  </conditionalFormatting>
  <conditionalFormatting sqref="AF11:AI11">
    <cfRule type="cellIs" dxfId="11033" priority="24377" operator="equal">
      <formula>1</formula>
    </cfRule>
    <cfRule type="cellIs" dxfId="11032" priority="24378" operator="equal">
      <formula>"×"</formula>
    </cfRule>
  </conditionalFormatting>
  <conditionalFormatting sqref="AI11">
    <cfRule type="cellIs" dxfId="11031" priority="24375" operator="equal">
      <formula>1</formula>
    </cfRule>
    <cfRule type="cellIs" dxfId="11030" priority="24376" operator="equal">
      <formula>"×"</formula>
    </cfRule>
  </conditionalFormatting>
  <conditionalFormatting sqref="AF11:AI11">
    <cfRule type="cellIs" dxfId="11029" priority="24373" operator="equal">
      <formula>1</formula>
    </cfRule>
    <cfRule type="cellIs" dxfId="11028" priority="24374" operator="equal">
      <formula>"×"</formula>
    </cfRule>
  </conditionalFormatting>
  <conditionalFormatting sqref="AF11:AI11">
    <cfRule type="cellIs" dxfId="11027" priority="24367" operator="equal">
      <formula>1</formula>
    </cfRule>
    <cfRule type="cellIs" dxfId="11026" priority="24368" operator="equal">
      <formula>"×"</formula>
    </cfRule>
  </conditionalFormatting>
  <conditionalFormatting sqref="AI11">
    <cfRule type="cellIs" dxfId="11025" priority="24365" operator="equal">
      <formula>1</formula>
    </cfRule>
    <cfRule type="cellIs" dxfId="11024" priority="24366" operator="equal">
      <formula>"×"</formula>
    </cfRule>
  </conditionalFormatting>
  <conditionalFormatting sqref="AF11:AI11">
    <cfRule type="cellIs" dxfId="11023" priority="24363" operator="equal">
      <formula>1</formula>
    </cfRule>
    <cfRule type="cellIs" dxfId="11022" priority="24364" operator="equal">
      <formula>"×"</formula>
    </cfRule>
  </conditionalFormatting>
  <conditionalFormatting sqref="AF11:AI11">
    <cfRule type="cellIs" dxfId="11021" priority="24361" operator="equal">
      <formula>1</formula>
    </cfRule>
    <cfRule type="cellIs" dxfId="11020" priority="24362" operator="equal">
      <formula>"×"</formula>
    </cfRule>
  </conditionalFormatting>
  <conditionalFormatting sqref="AI11">
    <cfRule type="cellIs" dxfId="11019" priority="24359" operator="equal">
      <formula>1</formula>
    </cfRule>
    <cfRule type="cellIs" dxfId="11018" priority="24360" operator="equal">
      <formula>"×"</formula>
    </cfRule>
  </conditionalFormatting>
  <conditionalFormatting sqref="AF12">
    <cfRule type="cellIs" dxfId="11017" priority="24357" operator="equal">
      <formula>1</formula>
    </cfRule>
    <cfRule type="cellIs" dxfId="11016" priority="24358" operator="equal">
      <formula>"×"</formula>
    </cfRule>
  </conditionalFormatting>
  <conditionalFormatting sqref="AG11:AI13">
    <cfRule type="cellIs" dxfId="11015" priority="24355" operator="equal">
      <formula>1</formula>
    </cfRule>
    <cfRule type="cellIs" dxfId="11014" priority="24356" operator="equal">
      <formula>"×"</formula>
    </cfRule>
  </conditionalFormatting>
  <conditionalFormatting sqref="AI11:AI13">
    <cfRule type="cellIs" dxfId="11013" priority="24353" operator="equal">
      <formula>1</formula>
    </cfRule>
    <cfRule type="cellIs" dxfId="11012" priority="24354" operator="equal">
      <formula>"×"</formula>
    </cfRule>
  </conditionalFormatting>
  <conditionalFormatting sqref="AG11:AI13">
    <cfRule type="cellIs" dxfId="11011" priority="24351" operator="equal">
      <formula>1</formula>
    </cfRule>
    <cfRule type="cellIs" dxfId="11010" priority="24352" operator="equal">
      <formula>"×"</formula>
    </cfRule>
  </conditionalFormatting>
  <conditionalFormatting sqref="AG11:AI13">
    <cfRule type="cellIs" dxfId="11009" priority="24349" operator="equal">
      <formula>1</formula>
    </cfRule>
    <cfRule type="cellIs" dxfId="11008" priority="24350" operator="equal">
      <formula>"×"</formula>
    </cfRule>
  </conditionalFormatting>
  <conditionalFormatting sqref="AI11:AI13">
    <cfRule type="cellIs" dxfId="11007" priority="24347" operator="equal">
      <formula>1</formula>
    </cfRule>
    <cfRule type="cellIs" dxfId="11006" priority="24348" operator="equal">
      <formula>"×"</formula>
    </cfRule>
  </conditionalFormatting>
  <conditionalFormatting sqref="AG11:AI13">
    <cfRule type="cellIs" dxfId="11005" priority="24345" operator="equal">
      <formula>1</formula>
    </cfRule>
    <cfRule type="cellIs" dxfId="11004" priority="24346" operator="equal">
      <formula>"×"</formula>
    </cfRule>
  </conditionalFormatting>
  <conditionalFormatting sqref="AG11:AI13">
    <cfRule type="cellIs" dxfId="11003" priority="24343" operator="equal">
      <formula>1</formula>
    </cfRule>
    <cfRule type="cellIs" dxfId="11002" priority="24344" operator="equal">
      <formula>"×"</formula>
    </cfRule>
  </conditionalFormatting>
  <conditionalFormatting sqref="AG11:AI13">
    <cfRule type="cellIs" dxfId="11001" priority="24339" operator="equal">
      <formula>1</formula>
    </cfRule>
    <cfRule type="cellIs" dxfId="11000" priority="24340" operator="equal">
      <formula>"×"</formula>
    </cfRule>
  </conditionalFormatting>
  <conditionalFormatting sqref="AI11:AI13">
    <cfRule type="cellIs" dxfId="10999" priority="24341" operator="equal">
      <formula>1</formula>
    </cfRule>
    <cfRule type="cellIs" dxfId="10998" priority="24342" operator="equal">
      <formula>"×"</formula>
    </cfRule>
  </conditionalFormatting>
  <conditionalFormatting sqref="AG11:AI13">
    <cfRule type="cellIs" dxfId="10997" priority="24337" operator="equal">
      <formula>1</formula>
    </cfRule>
    <cfRule type="cellIs" dxfId="10996" priority="24338" operator="equal">
      <formula>"×"</formula>
    </cfRule>
  </conditionalFormatting>
  <conditionalFormatting sqref="AI11:AI13">
    <cfRule type="cellIs" dxfId="10995" priority="24335" operator="equal">
      <formula>1</formula>
    </cfRule>
    <cfRule type="cellIs" dxfId="10994" priority="24336" operator="equal">
      <formula>"×"</formula>
    </cfRule>
  </conditionalFormatting>
  <conditionalFormatting sqref="AG11:AI13">
    <cfRule type="cellIs" dxfId="10993" priority="24333" operator="equal">
      <formula>1</formula>
    </cfRule>
    <cfRule type="cellIs" dxfId="10992" priority="24334" operator="equal">
      <formula>"×"</formula>
    </cfRule>
  </conditionalFormatting>
  <conditionalFormatting sqref="AI11:AI13">
    <cfRule type="cellIs" dxfId="10991" priority="24331" operator="equal">
      <formula>1</formula>
    </cfRule>
    <cfRule type="cellIs" dxfId="10990" priority="24332" operator="equal">
      <formula>"×"</formula>
    </cfRule>
  </conditionalFormatting>
  <conditionalFormatting sqref="AI11:AI13">
    <cfRule type="cellIs" dxfId="10989" priority="24329" operator="equal">
      <formula>1</formula>
    </cfRule>
    <cfRule type="cellIs" dxfId="10988" priority="24330" operator="equal">
      <formula>"×"</formula>
    </cfRule>
  </conditionalFormatting>
  <conditionalFormatting sqref="AI11:AI13">
    <cfRule type="cellIs" dxfId="10987" priority="24327" operator="equal">
      <formula>1</formula>
    </cfRule>
    <cfRule type="cellIs" dxfId="10986" priority="24328" operator="equal">
      <formula>"×"</formula>
    </cfRule>
  </conditionalFormatting>
  <conditionalFormatting sqref="AI11:AI13">
    <cfRule type="cellIs" dxfId="10985" priority="24325" operator="equal">
      <formula>1</formula>
    </cfRule>
    <cfRule type="cellIs" dxfId="10984" priority="24326" operator="equal">
      <formula>"×"</formula>
    </cfRule>
  </conditionalFormatting>
  <conditionalFormatting sqref="AI11:AI13">
    <cfRule type="cellIs" dxfId="10983" priority="24323" operator="equal">
      <formula>1</formula>
    </cfRule>
    <cfRule type="cellIs" dxfId="10982" priority="24324" operator="equal">
      <formula>"×"</formula>
    </cfRule>
  </conditionalFormatting>
  <conditionalFormatting sqref="AI11:AI13">
    <cfRule type="cellIs" dxfId="10981" priority="24321" operator="equal">
      <formula>1</formula>
    </cfRule>
    <cfRule type="cellIs" dxfId="10980" priority="24322" operator="equal">
      <formula>"×"</formula>
    </cfRule>
  </conditionalFormatting>
  <conditionalFormatting sqref="AF11:AI11">
    <cfRule type="cellIs" dxfId="10979" priority="24305" operator="equal">
      <formula>1</formula>
    </cfRule>
    <cfRule type="cellIs" dxfId="10978" priority="24306" operator="equal">
      <formula>"×"</formula>
    </cfRule>
  </conditionalFormatting>
  <conditionalFormatting sqref="AI11">
    <cfRule type="cellIs" dxfId="10977" priority="24303" operator="equal">
      <formula>1</formula>
    </cfRule>
    <cfRule type="cellIs" dxfId="10976" priority="24304" operator="equal">
      <formula>"×"</formula>
    </cfRule>
  </conditionalFormatting>
  <conditionalFormatting sqref="AF11:AI11">
    <cfRule type="cellIs" dxfId="10975" priority="24301" operator="equal">
      <formula>1</formula>
    </cfRule>
    <cfRule type="cellIs" dxfId="10974" priority="24302" operator="equal">
      <formula>"×"</formula>
    </cfRule>
  </conditionalFormatting>
  <conditionalFormatting sqref="AF11">
    <cfRule type="cellIs" dxfId="10973" priority="24319" operator="equal">
      <formula>1</formula>
    </cfRule>
    <cfRule type="cellIs" dxfId="10972" priority="24320" operator="equal">
      <formula>"×"</formula>
    </cfRule>
  </conditionalFormatting>
  <conditionalFormatting sqref="AF11">
    <cfRule type="cellIs" dxfId="10971" priority="24317" operator="equal">
      <formula>1</formula>
    </cfRule>
    <cfRule type="cellIs" dxfId="10970" priority="24318" operator="equal">
      <formula>"×"</formula>
    </cfRule>
  </conditionalFormatting>
  <conditionalFormatting sqref="AF11">
    <cfRule type="cellIs" dxfId="10969" priority="24315" operator="equal">
      <formula>1</formula>
    </cfRule>
    <cfRule type="cellIs" dxfId="10968" priority="24316" operator="equal">
      <formula>"×"</formula>
    </cfRule>
  </conditionalFormatting>
  <conditionalFormatting sqref="AF11">
    <cfRule type="cellIs" dxfId="10967" priority="24313" operator="equal">
      <formula>1</formula>
    </cfRule>
    <cfRule type="cellIs" dxfId="10966" priority="24314" operator="equal">
      <formula>"×"</formula>
    </cfRule>
  </conditionalFormatting>
  <conditionalFormatting sqref="AI12">
    <cfRule type="cellIs" dxfId="10965" priority="24311" operator="equal">
      <formula>1</formula>
    </cfRule>
    <cfRule type="cellIs" dxfId="10964" priority="24312" operator="equal">
      <formula>"×"</formula>
    </cfRule>
  </conditionalFormatting>
  <conditionalFormatting sqref="AF11">
    <cfRule type="cellIs" dxfId="10963" priority="24309" operator="equal">
      <formula>1</formula>
    </cfRule>
    <cfRule type="cellIs" dxfId="10962" priority="24310" operator="equal">
      <formula>"×"</formula>
    </cfRule>
  </conditionalFormatting>
  <conditionalFormatting sqref="AF11">
    <cfRule type="cellIs" dxfId="10961" priority="24307" operator="equal">
      <formula>1</formula>
    </cfRule>
    <cfRule type="cellIs" dxfId="10960" priority="24308" operator="equal">
      <formula>"×"</formula>
    </cfRule>
  </conditionalFormatting>
  <conditionalFormatting sqref="AI12">
    <cfRule type="cellIs" dxfId="10959" priority="24299" operator="equal">
      <formula>1</formula>
    </cfRule>
    <cfRule type="cellIs" dxfId="10958" priority="24300" operator="equal">
      <formula>"×"</formula>
    </cfRule>
  </conditionalFormatting>
  <conditionalFormatting sqref="AI12">
    <cfRule type="cellIs" dxfId="10957" priority="24297" operator="equal">
      <formula>1</formula>
    </cfRule>
    <cfRule type="cellIs" dxfId="10956" priority="24298" operator="equal">
      <formula>"×"</formula>
    </cfRule>
  </conditionalFormatting>
  <conditionalFormatting sqref="AF11">
    <cfRule type="cellIs" dxfId="10955" priority="24295" operator="equal">
      <formula>1</formula>
    </cfRule>
    <cfRule type="cellIs" dxfId="10954" priority="24296" operator="equal">
      <formula>"×"</formula>
    </cfRule>
  </conditionalFormatting>
  <conditionalFormatting sqref="AF11">
    <cfRule type="cellIs" dxfId="10953" priority="24291" operator="equal">
      <formula>1</formula>
    </cfRule>
    <cfRule type="cellIs" dxfId="10952" priority="24292" operator="equal">
      <formula>"×"</formula>
    </cfRule>
  </conditionalFormatting>
  <conditionalFormatting sqref="AF11">
    <cfRule type="cellIs" dxfId="10951" priority="24293" operator="equal">
      <formula>1</formula>
    </cfRule>
    <cfRule type="cellIs" dxfId="10950" priority="24294" operator="equal">
      <formula>"×"</formula>
    </cfRule>
  </conditionalFormatting>
  <conditionalFormatting sqref="AF11">
    <cfRule type="cellIs" dxfId="10949" priority="24289" operator="equal">
      <formula>1</formula>
    </cfRule>
    <cfRule type="cellIs" dxfId="10948" priority="24290" operator="equal">
      <formula>"×"</formula>
    </cfRule>
  </conditionalFormatting>
  <conditionalFormatting sqref="AF11">
    <cfRule type="cellIs" dxfId="10947" priority="24287" operator="equal">
      <formula>1</formula>
    </cfRule>
    <cfRule type="cellIs" dxfId="10946" priority="24288" operator="equal">
      <formula>"×"</formula>
    </cfRule>
  </conditionalFormatting>
  <conditionalFormatting sqref="AF11">
    <cfRule type="cellIs" dxfId="10945" priority="24285" operator="equal">
      <formula>1</formula>
    </cfRule>
    <cfRule type="cellIs" dxfId="10944" priority="24286" operator="equal">
      <formula>"×"</formula>
    </cfRule>
  </conditionalFormatting>
  <conditionalFormatting sqref="AF11">
    <cfRule type="cellIs" dxfId="10943" priority="24283" operator="equal">
      <formula>1</formula>
    </cfRule>
    <cfRule type="cellIs" dxfId="10942" priority="24284" operator="equal">
      <formula>"×"</formula>
    </cfRule>
  </conditionalFormatting>
  <conditionalFormatting sqref="AH10:AI10">
    <cfRule type="cellIs" dxfId="10941" priority="24281" operator="equal">
      <formula>1</formula>
    </cfRule>
    <cfRule type="cellIs" dxfId="10940" priority="24282" operator="equal">
      <formula>"×"</formula>
    </cfRule>
  </conditionalFormatting>
  <conditionalFormatting sqref="AI10">
    <cfRule type="cellIs" dxfId="10939" priority="24279" operator="equal">
      <formula>1</formula>
    </cfRule>
    <cfRule type="cellIs" dxfId="10938" priority="24280" operator="equal">
      <formula>"×"</formula>
    </cfRule>
  </conditionalFormatting>
  <conditionalFormatting sqref="AH10:AI10">
    <cfRule type="cellIs" dxfId="10937" priority="24277" operator="equal">
      <formula>1</formula>
    </cfRule>
    <cfRule type="cellIs" dxfId="10936" priority="24278" operator="equal">
      <formula>"×"</formula>
    </cfRule>
  </conditionalFormatting>
  <conditionalFormatting sqref="AH10:AI10">
    <cfRule type="cellIs" dxfId="10935" priority="24275" operator="equal">
      <formula>1</formula>
    </cfRule>
    <cfRule type="cellIs" dxfId="10934" priority="24276" operator="equal">
      <formula>"×"</formula>
    </cfRule>
  </conditionalFormatting>
  <conditionalFormatting sqref="AI10">
    <cfRule type="cellIs" dxfId="10933" priority="24273" operator="equal">
      <formula>1</formula>
    </cfRule>
    <cfRule type="cellIs" dxfId="10932" priority="24274" operator="equal">
      <formula>"×"</formula>
    </cfRule>
  </conditionalFormatting>
  <conditionalFormatting sqref="AH10:AI10">
    <cfRule type="cellIs" dxfId="10931" priority="24271" operator="equal">
      <formula>1</formula>
    </cfRule>
    <cfRule type="cellIs" dxfId="10930" priority="24272" operator="equal">
      <formula>"×"</formula>
    </cfRule>
  </conditionalFormatting>
  <conditionalFormatting sqref="AF7:AG7">
    <cfRule type="cellIs" dxfId="10929" priority="24245" operator="equal">
      <formula>1</formula>
    </cfRule>
    <cfRule type="cellIs" dxfId="10928" priority="24246" operator="equal">
      <formula>"×"</formula>
    </cfRule>
  </conditionalFormatting>
  <conditionalFormatting sqref="AF7:AG7">
    <cfRule type="cellIs" dxfId="10927" priority="24243" operator="equal">
      <formula>1</formula>
    </cfRule>
    <cfRule type="cellIs" dxfId="10926" priority="24244" operator="equal">
      <formula>"×"</formula>
    </cfRule>
  </conditionalFormatting>
  <conditionalFormatting sqref="AF7:AG7">
    <cfRule type="cellIs" dxfId="10925" priority="24239" operator="equal">
      <formula>1</formula>
    </cfRule>
    <cfRule type="cellIs" dxfId="10924" priority="24240" operator="equal">
      <formula>"×"</formula>
    </cfRule>
  </conditionalFormatting>
  <conditionalFormatting sqref="AF7:AG7">
    <cfRule type="cellIs" dxfId="10923" priority="24241" operator="equal">
      <formula>1</formula>
    </cfRule>
    <cfRule type="cellIs" dxfId="10922" priority="24242" operator="equal">
      <formula>"×"</formula>
    </cfRule>
  </conditionalFormatting>
  <conditionalFormatting sqref="AF7:AG7">
    <cfRule type="cellIs" dxfId="10921" priority="24269" operator="equal">
      <formula>1</formula>
    </cfRule>
    <cfRule type="cellIs" dxfId="10920" priority="24270" operator="equal">
      <formula>"×"</formula>
    </cfRule>
  </conditionalFormatting>
  <conditionalFormatting sqref="AF7:AG7">
    <cfRule type="cellIs" dxfId="10919" priority="24267" operator="equal">
      <formula>1</formula>
    </cfRule>
    <cfRule type="cellIs" dxfId="10918" priority="24268" operator="equal">
      <formula>"×"</formula>
    </cfRule>
  </conditionalFormatting>
  <conditionalFormatting sqref="AF7:AG7">
    <cfRule type="cellIs" dxfId="10917" priority="24265" operator="equal">
      <formula>1</formula>
    </cfRule>
    <cfRule type="cellIs" dxfId="10916" priority="24266" operator="equal">
      <formula>"×"</formula>
    </cfRule>
  </conditionalFormatting>
  <conditionalFormatting sqref="AF7:AG7">
    <cfRule type="cellIs" dxfId="10915" priority="24263" operator="equal">
      <formula>1</formula>
    </cfRule>
    <cfRule type="cellIs" dxfId="10914" priority="24264" operator="equal">
      <formula>"×"</formula>
    </cfRule>
  </conditionalFormatting>
  <conditionalFormatting sqref="AF7:AG7">
    <cfRule type="cellIs" dxfId="10913" priority="24261" operator="equal">
      <formula>1</formula>
    </cfRule>
    <cfRule type="cellIs" dxfId="10912" priority="24262" operator="equal">
      <formula>"×"</formula>
    </cfRule>
  </conditionalFormatting>
  <conditionalFormatting sqref="AF7:AG7">
    <cfRule type="cellIs" dxfId="10911" priority="24259" operator="equal">
      <formula>1</formula>
    </cfRule>
    <cfRule type="cellIs" dxfId="10910" priority="24260" operator="equal">
      <formula>"×"</formula>
    </cfRule>
  </conditionalFormatting>
  <conditionalFormatting sqref="AF7:AG7">
    <cfRule type="cellIs" dxfId="10909" priority="24257" operator="equal">
      <formula>1</formula>
    </cfRule>
    <cfRule type="cellIs" dxfId="10908" priority="24258" operator="equal">
      <formula>"×"</formula>
    </cfRule>
  </conditionalFormatting>
  <conditionalFormatting sqref="AF7:AG7">
    <cfRule type="cellIs" dxfId="10907" priority="24255" operator="equal">
      <formula>1</formula>
    </cfRule>
    <cfRule type="cellIs" dxfId="10906" priority="24256" operator="equal">
      <formula>"×"</formula>
    </cfRule>
  </conditionalFormatting>
  <conditionalFormatting sqref="AF7:AG7">
    <cfRule type="cellIs" dxfId="10905" priority="24253" operator="equal">
      <formula>1</formula>
    </cfRule>
    <cfRule type="cellIs" dxfId="10904" priority="24254" operator="equal">
      <formula>"×"</formula>
    </cfRule>
  </conditionalFormatting>
  <conditionalFormatting sqref="AF7:AG7">
    <cfRule type="cellIs" dxfId="10903" priority="24251" operator="equal">
      <formula>1</formula>
    </cfRule>
    <cfRule type="cellIs" dxfId="10902" priority="24252" operator="equal">
      <formula>"×"</formula>
    </cfRule>
  </conditionalFormatting>
  <conditionalFormatting sqref="AF7:AG7">
    <cfRule type="cellIs" dxfId="10901" priority="24249" operator="equal">
      <formula>1</formula>
    </cfRule>
    <cfRule type="cellIs" dxfId="10900" priority="24250" operator="equal">
      <formula>"×"</formula>
    </cfRule>
  </conditionalFormatting>
  <conditionalFormatting sqref="AF7:AG7">
    <cfRule type="cellIs" dxfId="10899" priority="24247" operator="equal">
      <formula>1</formula>
    </cfRule>
    <cfRule type="cellIs" dxfId="10898" priority="24248" operator="equal">
      <formula>"×"</formula>
    </cfRule>
  </conditionalFormatting>
  <conditionalFormatting sqref="AH7:AI7">
    <cfRule type="cellIs" dxfId="10897" priority="24213" operator="equal">
      <formula>1</formula>
    </cfRule>
    <cfRule type="cellIs" dxfId="10896" priority="24214" operator="equal">
      <formula>"×"</formula>
    </cfRule>
  </conditionalFormatting>
  <conditionalFormatting sqref="AH7:AI7">
    <cfRule type="cellIs" dxfId="10895" priority="24211" operator="equal">
      <formula>1</formula>
    </cfRule>
    <cfRule type="cellIs" dxfId="10894" priority="24212" operator="equal">
      <formula>"×"</formula>
    </cfRule>
  </conditionalFormatting>
  <conditionalFormatting sqref="AH7:AI7">
    <cfRule type="cellIs" dxfId="10893" priority="24207" operator="equal">
      <formula>1</formula>
    </cfRule>
    <cfRule type="cellIs" dxfId="10892" priority="24208" operator="equal">
      <formula>"×"</formula>
    </cfRule>
  </conditionalFormatting>
  <conditionalFormatting sqref="AH7:AI7">
    <cfRule type="cellIs" dxfId="10891" priority="24209" operator="equal">
      <formula>1</formula>
    </cfRule>
    <cfRule type="cellIs" dxfId="10890" priority="24210" operator="equal">
      <formula>"×"</formula>
    </cfRule>
  </conditionalFormatting>
  <conditionalFormatting sqref="AH7:AI7">
    <cfRule type="cellIs" dxfId="10889" priority="24237" operator="equal">
      <formula>1</formula>
    </cfRule>
    <cfRule type="cellIs" dxfId="10888" priority="24238" operator="equal">
      <formula>"×"</formula>
    </cfRule>
  </conditionalFormatting>
  <conditionalFormatting sqref="AH7:AI7">
    <cfRule type="cellIs" dxfId="10887" priority="24235" operator="equal">
      <formula>1</formula>
    </cfRule>
    <cfRule type="cellIs" dxfId="10886" priority="24236" operator="equal">
      <formula>"×"</formula>
    </cfRule>
  </conditionalFormatting>
  <conditionalFormatting sqref="AH7:AI7">
    <cfRule type="cellIs" dxfId="10885" priority="24233" operator="equal">
      <formula>1</formula>
    </cfRule>
    <cfRule type="cellIs" dxfId="10884" priority="24234" operator="equal">
      <formula>"×"</formula>
    </cfRule>
  </conditionalFormatting>
  <conditionalFormatting sqref="AH7:AI7">
    <cfRule type="cellIs" dxfId="10883" priority="24231" operator="equal">
      <formula>1</formula>
    </cfRule>
    <cfRule type="cellIs" dxfId="10882" priority="24232" operator="equal">
      <formula>"×"</formula>
    </cfRule>
  </conditionalFormatting>
  <conditionalFormatting sqref="AH7:AI7">
    <cfRule type="cellIs" dxfId="10881" priority="24229" operator="equal">
      <formula>1</formula>
    </cfRule>
    <cfRule type="cellIs" dxfId="10880" priority="24230" operator="equal">
      <formula>"×"</formula>
    </cfRule>
  </conditionalFormatting>
  <conditionalFormatting sqref="AH7:AI7">
    <cfRule type="cellIs" dxfId="10879" priority="24227" operator="equal">
      <formula>1</formula>
    </cfRule>
    <cfRule type="cellIs" dxfId="10878" priority="24228" operator="equal">
      <formula>"×"</formula>
    </cfRule>
  </conditionalFormatting>
  <conditionalFormatting sqref="AH7:AI7">
    <cfRule type="cellIs" dxfId="10877" priority="24225" operator="equal">
      <formula>1</formula>
    </cfRule>
    <cfRule type="cellIs" dxfId="10876" priority="24226" operator="equal">
      <formula>"×"</formula>
    </cfRule>
  </conditionalFormatting>
  <conditionalFormatting sqref="AH7:AI7">
    <cfRule type="cellIs" dxfId="10875" priority="24223" operator="equal">
      <formula>1</formula>
    </cfRule>
    <cfRule type="cellIs" dxfId="10874" priority="24224" operator="equal">
      <formula>"×"</formula>
    </cfRule>
  </conditionalFormatting>
  <conditionalFormatting sqref="AH7:AI7">
    <cfRule type="cellIs" dxfId="10873" priority="24221" operator="equal">
      <formula>1</formula>
    </cfRule>
    <cfRule type="cellIs" dxfId="10872" priority="24222" operator="equal">
      <formula>"×"</formula>
    </cfRule>
  </conditionalFormatting>
  <conditionalFormatting sqref="AH7:AI7">
    <cfRule type="cellIs" dxfId="10871" priority="24219" operator="equal">
      <formula>1</formula>
    </cfRule>
    <cfRule type="cellIs" dxfId="10870" priority="24220" operator="equal">
      <formula>"×"</formula>
    </cfRule>
  </conditionalFormatting>
  <conditionalFormatting sqref="AH7:AI7">
    <cfRule type="cellIs" dxfId="10869" priority="24217" operator="equal">
      <formula>1</formula>
    </cfRule>
    <cfRule type="cellIs" dxfId="10868" priority="24218" operator="equal">
      <formula>"×"</formula>
    </cfRule>
  </conditionalFormatting>
  <conditionalFormatting sqref="AH7:AI7">
    <cfRule type="cellIs" dxfId="10867" priority="24215" operator="equal">
      <formula>1</formula>
    </cfRule>
    <cfRule type="cellIs" dxfId="10866" priority="24216" operator="equal">
      <formula>"×"</formula>
    </cfRule>
  </conditionalFormatting>
  <conditionalFormatting sqref="AH8">
    <cfRule type="cellIs" dxfId="10865" priority="24205" operator="equal">
      <formula>1</formula>
    </cfRule>
    <cfRule type="cellIs" dxfId="10864" priority="24206" operator="equal">
      <formula>"×"</formula>
    </cfRule>
  </conditionalFormatting>
  <conditionalFormatting sqref="AH8">
    <cfRule type="cellIs" dxfId="10863" priority="24203" operator="equal">
      <formula>1</formula>
    </cfRule>
    <cfRule type="cellIs" dxfId="10862" priority="24204" operator="equal">
      <formula>"×"</formula>
    </cfRule>
  </conditionalFormatting>
  <conditionalFormatting sqref="AH8">
    <cfRule type="cellIs" dxfId="10861" priority="24177" operator="equal">
      <formula>1</formula>
    </cfRule>
    <cfRule type="cellIs" dxfId="10860" priority="24178" operator="equal">
      <formula>"×"</formula>
    </cfRule>
  </conditionalFormatting>
  <conditionalFormatting sqref="AH8">
    <cfRule type="cellIs" dxfId="10859" priority="24175" operator="equal">
      <formula>1</formula>
    </cfRule>
    <cfRule type="cellIs" dxfId="10858" priority="24176" operator="equal">
      <formula>"×"</formula>
    </cfRule>
  </conditionalFormatting>
  <conditionalFormatting sqref="AH8">
    <cfRule type="cellIs" dxfId="10857" priority="24171" operator="equal">
      <formula>1</formula>
    </cfRule>
    <cfRule type="cellIs" dxfId="10856" priority="24172" operator="equal">
      <formula>"×"</formula>
    </cfRule>
  </conditionalFormatting>
  <conditionalFormatting sqref="AH8">
    <cfRule type="cellIs" dxfId="10855" priority="24173" operator="equal">
      <formula>1</formula>
    </cfRule>
    <cfRule type="cellIs" dxfId="10854" priority="24174" operator="equal">
      <formula>"×"</formula>
    </cfRule>
  </conditionalFormatting>
  <conditionalFormatting sqref="AH8">
    <cfRule type="cellIs" dxfId="10853" priority="24201" operator="equal">
      <formula>1</formula>
    </cfRule>
    <cfRule type="cellIs" dxfId="10852" priority="24202" operator="equal">
      <formula>"×"</formula>
    </cfRule>
  </conditionalFormatting>
  <conditionalFormatting sqref="AH8">
    <cfRule type="cellIs" dxfId="10851" priority="24199" operator="equal">
      <formula>1</formula>
    </cfRule>
    <cfRule type="cellIs" dxfId="10850" priority="24200" operator="equal">
      <formula>"×"</formula>
    </cfRule>
  </conditionalFormatting>
  <conditionalFormatting sqref="AH8">
    <cfRule type="cellIs" dxfId="10849" priority="24197" operator="equal">
      <formula>1</formula>
    </cfRule>
    <cfRule type="cellIs" dxfId="10848" priority="24198" operator="equal">
      <formula>"×"</formula>
    </cfRule>
  </conditionalFormatting>
  <conditionalFormatting sqref="AH8">
    <cfRule type="cellIs" dxfId="10847" priority="24195" operator="equal">
      <formula>1</formula>
    </cfRule>
    <cfRule type="cellIs" dxfId="10846" priority="24196" operator="equal">
      <formula>"×"</formula>
    </cfRule>
  </conditionalFormatting>
  <conditionalFormatting sqref="AH8">
    <cfRule type="cellIs" dxfId="10845" priority="24193" operator="equal">
      <formula>1</formula>
    </cfRule>
    <cfRule type="cellIs" dxfId="10844" priority="24194" operator="equal">
      <formula>"×"</formula>
    </cfRule>
  </conditionalFormatting>
  <conditionalFormatting sqref="AH8">
    <cfRule type="cellIs" dxfId="10843" priority="24191" operator="equal">
      <formula>1</formula>
    </cfRule>
    <cfRule type="cellIs" dxfId="10842" priority="24192" operator="equal">
      <formula>"×"</formula>
    </cfRule>
  </conditionalFormatting>
  <conditionalFormatting sqref="AH8">
    <cfRule type="cellIs" dxfId="10841" priority="24189" operator="equal">
      <formula>1</formula>
    </cfRule>
    <cfRule type="cellIs" dxfId="10840" priority="24190" operator="equal">
      <formula>"×"</formula>
    </cfRule>
  </conditionalFormatting>
  <conditionalFormatting sqref="AH8">
    <cfRule type="cellIs" dxfId="10839" priority="24187" operator="equal">
      <formula>1</formula>
    </cfRule>
    <cfRule type="cellIs" dxfId="10838" priority="24188" operator="equal">
      <formula>"×"</formula>
    </cfRule>
  </conditionalFormatting>
  <conditionalFormatting sqref="AH8">
    <cfRule type="cellIs" dxfId="10837" priority="24185" operator="equal">
      <formula>1</formula>
    </cfRule>
    <cfRule type="cellIs" dxfId="10836" priority="24186" operator="equal">
      <formula>"×"</formula>
    </cfRule>
  </conditionalFormatting>
  <conditionalFormatting sqref="AH8">
    <cfRule type="cellIs" dxfId="10835" priority="24183" operator="equal">
      <formula>1</formula>
    </cfRule>
    <cfRule type="cellIs" dxfId="10834" priority="24184" operator="equal">
      <formula>"×"</formula>
    </cfRule>
  </conditionalFormatting>
  <conditionalFormatting sqref="AH8">
    <cfRule type="cellIs" dxfId="10833" priority="24181" operator="equal">
      <formula>1</formula>
    </cfRule>
    <cfRule type="cellIs" dxfId="10832" priority="24182" operator="equal">
      <formula>"×"</formula>
    </cfRule>
  </conditionalFormatting>
  <conditionalFormatting sqref="AH8">
    <cfRule type="cellIs" dxfId="10831" priority="24179" operator="equal">
      <formula>1</formula>
    </cfRule>
    <cfRule type="cellIs" dxfId="10830" priority="24180" operator="equal">
      <formula>"×"</formula>
    </cfRule>
  </conditionalFormatting>
  <conditionalFormatting sqref="AF8:AF11">
    <cfRule type="cellIs" dxfId="10829" priority="24161" operator="equal">
      <formula>1</formula>
    </cfRule>
    <cfRule type="cellIs" dxfId="10828" priority="24162" operator="equal">
      <formula>"×"</formula>
    </cfRule>
  </conditionalFormatting>
  <conditionalFormatting sqref="AF8:AF11">
    <cfRule type="cellIs" dxfId="10827" priority="24159" operator="equal">
      <formula>1</formula>
    </cfRule>
    <cfRule type="cellIs" dxfId="10826" priority="24160" operator="equal">
      <formula>"×"</formula>
    </cfRule>
  </conditionalFormatting>
  <conditionalFormatting sqref="AF8:AG11">
    <cfRule type="cellIs" dxfId="10825" priority="24169" operator="equal">
      <formula>1</formula>
    </cfRule>
    <cfRule type="cellIs" dxfId="10824" priority="24170" operator="equal">
      <formula>"×"</formula>
    </cfRule>
  </conditionalFormatting>
  <conditionalFormatting sqref="AF8:AG11">
    <cfRule type="cellIs" dxfId="10823" priority="24167" operator="equal">
      <formula>1</formula>
    </cfRule>
    <cfRule type="cellIs" dxfId="10822" priority="24168" operator="equal">
      <formula>"×"</formula>
    </cfRule>
  </conditionalFormatting>
  <conditionalFormatting sqref="AG8:AG11">
    <cfRule type="cellIs" dxfId="10821" priority="24165" operator="equal">
      <formula>1</formula>
    </cfRule>
    <cfRule type="cellIs" dxfId="10820" priority="24166" operator="equal">
      <formula>"×"</formula>
    </cfRule>
  </conditionalFormatting>
  <conditionalFormatting sqref="AG8:AG11">
    <cfRule type="cellIs" dxfId="10819" priority="24163" operator="equal">
      <formula>1</formula>
    </cfRule>
    <cfRule type="cellIs" dxfId="10818" priority="24164" operator="equal">
      <formula>"×"</formula>
    </cfRule>
  </conditionalFormatting>
  <conditionalFormatting sqref="AF8:AF11">
    <cfRule type="cellIs" dxfId="10817" priority="24157" operator="equal">
      <formula>1</formula>
    </cfRule>
    <cfRule type="cellIs" dxfId="10816" priority="24158" operator="equal">
      <formula>"×"</formula>
    </cfRule>
  </conditionalFormatting>
  <conditionalFormatting sqref="AF8:AF11">
    <cfRule type="cellIs" dxfId="10815" priority="24155" operator="equal">
      <formula>1</formula>
    </cfRule>
    <cfRule type="cellIs" dxfId="10814" priority="24156" operator="equal">
      <formula>"×"</formula>
    </cfRule>
  </conditionalFormatting>
  <conditionalFormatting sqref="AF8:AF11">
    <cfRule type="cellIs" dxfId="10813" priority="24153" operator="equal">
      <formula>1</formula>
    </cfRule>
    <cfRule type="cellIs" dxfId="10812" priority="24154" operator="equal">
      <formula>"×"</formula>
    </cfRule>
  </conditionalFormatting>
  <conditionalFormatting sqref="AF8:AF11">
    <cfRule type="cellIs" dxfId="10811" priority="24151" operator="equal">
      <formula>1</formula>
    </cfRule>
    <cfRule type="cellIs" dxfId="10810" priority="24152" operator="equal">
      <formula>"×"</formula>
    </cfRule>
  </conditionalFormatting>
  <conditionalFormatting sqref="AF8:AF11">
    <cfRule type="cellIs" dxfId="10809" priority="24149" operator="equal">
      <formula>1</formula>
    </cfRule>
    <cfRule type="cellIs" dxfId="10808" priority="24150" operator="equal">
      <formula>"×"</formula>
    </cfRule>
  </conditionalFormatting>
  <conditionalFormatting sqref="AF8:AF11">
    <cfRule type="cellIs" dxfId="10807" priority="24147" operator="equal">
      <formula>1</formula>
    </cfRule>
    <cfRule type="cellIs" dxfId="10806" priority="24148" operator="equal">
      <formula>"×"</formula>
    </cfRule>
  </conditionalFormatting>
  <conditionalFormatting sqref="AF8:AF11">
    <cfRule type="cellIs" dxfId="10805" priority="24145" operator="equal">
      <formula>1</formula>
    </cfRule>
    <cfRule type="cellIs" dxfId="10804" priority="24146" operator="equal">
      <formula>"×"</formula>
    </cfRule>
  </conditionalFormatting>
  <conditionalFormatting sqref="AF8:AF11">
    <cfRule type="cellIs" dxfId="10803" priority="24143" operator="equal">
      <formula>1</formula>
    </cfRule>
    <cfRule type="cellIs" dxfId="10802" priority="24144" operator="equal">
      <formula>"×"</formula>
    </cfRule>
  </conditionalFormatting>
  <conditionalFormatting sqref="AF8:AF11">
    <cfRule type="cellIs" dxfId="10801" priority="24141" operator="equal">
      <formula>1</formula>
    </cfRule>
    <cfRule type="cellIs" dxfId="10800" priority="24142" operator="equal">
      <formula>"×"</formula>
    </cfRule>
  </conditionalFormatting>
  <conditionalFormatting sqref="AF8:AF11">
    <cfRule type="cellIs" dxfId="10799" priority="24139" operator="equal">
      <formula>1</formula>
    </cfRule>
    <cfRule type="cellIs" dxfId="10798" priority="24140" operator="equal">
      <formula>"×"</formula>
    </cfRule>
  </conditionalFormatting>
  <conditionalFormatting sqref="AF8:AF11">
    <cfRule type="cellIs" dxfId="10797" priority="24137" operator="equal">
      <formula>1</formula>
    </cfRule>
    <cfRule type="cellIs" dxfId="10796" priority="24138" operator="equal">
      <formula>"×"</formula>
    </cfRule>
  </conditionalFormatting>
  <conditionalFormatting sqref="AF8:AF11">
    <cfRule type="cellIs" dxfId="10795" priority="24135" operator="equal">
      <formula>1</formula>
    </cfRule>
    <cfRule type="cellIs" dxfId="10794" priority="24136" operator="equal">
      <formula>"×"</formula>
    </cfRule>
  </conditionalFormatting>
  <conditionalFormatting sqref="AF8:AF11">
    <cfRule type="cellIs" dxfId="10793" priority="24133" operator="equal">
      <formula>1</formula>
    </cfRule>
    <cfRule type="cellIs" dxfId="10792" priority="24134" operator="equal">
      <formula>"×"</formula>
    </cfRule>
  </conditionalFormatting>
  <conditionalFormatting sqref="AF8:AF11">
    <cfRule type="cellIs" dxfId="10791" priority="24131" operator="equal">
      <formula>1</formula>
    </cfRule>
    <cfRule type="cellIs" dxfId="10790" priority="24132" operator="equal">
      <formula>"×"</formula>
    </cfRule>
  </conditionalFormatting>
  <conditionalFormatting sqref="AF8:AF11">
    <cfRule type="cellIs" dxfId="10789" priority="24129" operator="equal">
      <formula>1</formula>
    </cfRule>
    <cfRule type="cellIs" dxfId="10788" priority="24130" operator="equal">
      <formula>"×"</formula>
    </cfRule>
  </conditionalFormatting>
  <conditionalFormatting sqref="AF8:AF11">
    <cfRule type="cellIs" dxfId="10787" priority="24127" operator="equal">
      <formula>1</formula>
    </cfRule>
    <cfRule type="cellIs" dxfId="10786" priority="24128" operator="equal">
      <formula>"×"</formula>
    </cfRule>
  </conditionalFormatting>
  <conditionalFormatting sqref="AF8:AF11">
    <cfRule type="cellIs" dxfId="10785" priority="24125" operator="equal">
      <formula>1</formula>
    </cfRule>
    <cfRule type="cellIs" dxfId="10784" priority="24126" operator="equal">
      <formula>"×"</formula>
    </cfRule>
  </conditionalFormatting>
  <conditionalFormatting sqref="AF8:AF11">
    <cfRule type="cellIs" dxfId="10783" priority="24123" operator="equal">
      <formula>1</formula>
    </cfRule>
    <cfRule type="cellIs" dxfId="10782" priority="24124" operator="equal">
      <formula>"×"</formula>
    </cfRule>
  </conditionalFormatting>
  <conditionalFormatting sqref="AF8:AF11">
    <cfRule type="cellIs" dxfId="10781" priority="24121" operator="equal">
      <formula>1</formula>
    </cfRule>
    <cfRule type="cellIs" dxfId="10780" priority="24122" operator="equal">
      <formula>"×"</formula>
    </cfRule>
  </conditionalFormatting>
  <conditionalFormatting sqref="AF8:AF11">
    <cfRule type="cellIs" dxfId="10779" priority="24119" operator="equal">
      <formula>1</formula>
    </cfRule>
    <cfRule type="cellIs" dxfId="10778" priority="24120" operator="equal">
      <formula>"×"</formula>
    </cfRule>
  </conditionalFormatting>
  <conditionalFormatting sqref="AF8:AG11">
    <cfRule type="cellIs" dxfId="10777" priority="24117" operator="equal">
      <formula>1</formula>
    </cfRule>
    <cfRule type="cellIs" dxfId="10776" priority="24118" operator="equal">
      <formula>"×"</formula>
    </cfRule>
  </conditionalFormatting>
  <conditionalFormatting sqref="AF8:AG11">
    <cfRule type="cellIs" dxfId="10775" priority="24091" operator="equal">
      <formula>1</formula>
    </cfRule>
    <cfRule type="cellIs" dxfId="10774" priority="24092" operator="equal">
      <formula>"×"</formula>
    </cfRule>
  </conditionalFormatting>
  <conditionalFormatting sqref="AF8:AG11">
    <cfRule type="cellIs" dxfId="10773" priority="24089" operator="equal">
      <formula>1</formula>
    </cfRule>
    <cfRule type="cellIs" dxfId="10772" priority="24090" operator="equal">
      <formula>"×"</formula>
    </cfRule>
  </conditionalFormatting>
  <conditionalFormatting sqref="AF8:AG11">
    <cfRule type="cellIs" dxfId="10771" priority="24085" operator="equal">
      <formula>1</formula>
    </cfRule>
    <cfRule type="cellIs" dxfId="10770" priority="24086" operator="equal">
      <formula>"×"</formula>
    </cfRule>
  </conditionalFormatting>
  <conditionalFormatting sqref="AF8:AG11">
    <cfRule type="cellIs" dxfId="10769" priority="24087" operator="equal">
      <formula>1</formula>
    </cfRule>
    <cfRule type="cellIs" dxfId="10768" priority="24088" operator="equal">
      <formula>"×"</formula>
    </cfRule>
  </conditionalFormatting>
  <conditionalFormatting sqref="AF8:AG11">
    <cfRule type="cellIs" dxfId="10767" priority="24115" operator="equal">
      <formula>1</formula>
    </cfRule>
    <cfRule type="cellIs" dxfId="10766" priority="24116" operator="equal">
      <formula>"×"</formula>
    </cfRule>
  </conditionalFormatting>
  <conditionalFormatting sqref="AF8:AG11">
    <cfRule type="cellIs" dxfId="10765" priority="24113" operator="equal">
      <formula>1</formula>
    </cfRule>
    <cfRule type="cellIs" dxfId="10764" priority="24114" operator="equal">
      <formula>"×"</formula>
    </cfRule>
  </conditionalFormatting>
  <conditionalFormatting sqref="AF8:AG11">
    <cfRule type="cellIs" dxfId="10763" priority="24111" operator="equal">
      <formula>1</formula>
    </cfRule>
    <cfRule type="cellIs" dxfId="10762" priority="24112" operator="equal">
      <formula>"×"</formula>
    </cfRule>
  </conditionalFormatting>
  <conditionalFormatting sqref="AF8:AG11">
    <cfRule type="cellIs" dxfId="10761" priority="24109" operator="equal">
      <formula>1</formula>
    </cfRule>
    <cfRule type="cellIs" dxfId="10760" priority="24110" operator="equal">
      <formula>"×"</formula>
    </cfRule>
  </conditionalFormatting>
  <conditionalFormatting sqref="AF8:AG11">
    <cfRule type="cellIs" dxfId="10759" priority="24107" operator="equal">
      <formula>1</formula>
    </cfRule>
    <cfRule type="cellIs" dxfId="10758" priority="24108" operator="equal">
      <formula>"×"</formula>
    </cfRule>
  </conditionalFormatting>
  <conditionalFormatting sqref="AF8:AG11">
    <cfRule type="cellIs" dxfId="10757" priority="24105" operator="equal">
      <formula>1</formula>
    </cfRule>
    <cfRule type="cellIs" dxfId="10756" priority="24106" operator="equal">
      <formula>"×"</formula>
    </cfRule>
  </conditionalFormatting>
  <conditionalFormatting sqref="AF8:AG11">
    <cfRule type="cellIs" dxfId="10755" priority="24103" operator="equal">
      <formula>1</formula>
    </cfRule>
    <cfRule type="cellIs" dxfId="10754" priority="24104" operator="equal">
      <formula>"×"</formula>
    </cfRule>
  </conditionalFormatting>
  <conditionalFormatting sqref="AF8:AG11">
    <cfRule type="cellIs" dxfId="10753" priority="24101" operator="equal">
      <formula>1</formula>
    </cfRule>
    <cfRule type="cellIs" dxfId="10752" priority="24102" operator="equal">
      <formula>"×"</formula>
    </cfRule>
  </conditionalFormatting>
  <conditionalFormatting sqref="AF8:AG11">
    <cfRule type="cellIs" dxfId="10751" priority="24099" operator="equal">
      <formula>1</formula>
    </cfRule>
    <cfRule type="cellIs" dxfId="10750" priority="24100" operator="equal">
      <formula>"×"</formula>
    </cfRule>
  </conditionalFormatting>
  <conditionalFormatting sqref="AF8:AG11">
    <cfRule type="cellIs" dxfId="10749" priority="24097" operator="equal">
      <formula>1</formula>
    </cfRule>
    <cfRule type="cellIs" dxfId="10748" priority="24098" operator="equal">
      <formula>"×"</formula>
    </cfRule>
  </conditionalFormatting>
  <conditionalFormatting sqref="AF8:AG11">
    <cfRule type="cellIs" dxfId="10747" priority="24095" operator="equal">
      <formula>1</formula>
    </cfRule>
    <cfRule type="cellIs" dxfId="10746" priority="24096" operator="equal">
      <formula>"×"</formula>
    </cfRule>
  </conditionalFormatting>
  <conditionalFormatting sqref="AF8:AG11">
    <cfRule type="cellIs" dxfId="10745" priority="24093" operator="equal">
      <formula>1</formula>
    </cfRule>
    <cfRule type="cellIs" dxfId="10744" priority="24094" operator="equal">
      <formula>"×"</formula>
    </cfRule>
  </conditionalFormatting>
  <conditionalFormatting sqref="AE13">
    <cfRule type="cellIs" dxfId="10743" priority="24079" operator="equal">
      <formula>1</formula>
    </cfRule>
    <cfRule type="cellIs" dxfId="10742" priority="24080" operator="equal">
      <formula>"×"</formula>
    </cfRule>
  </conditionalFormatting>
  <conditionalFormatting sqref="AE19 AE7 AE13">
    <cfRule type="cellIs" dxfId="10741" priority="24081" operator="equal">
      <formula>1</formula>
    </cfRule>
    <cfRule type="cellIs" dxfId="10740" priority="24082" operator="equal">
      <formula>"×"</formula>
    </cfRule>
  </conditionalFormatting>
  <conditionalFormatting sqref="AC19">
    <cfRule type="cellIs" dxfId="10739" priority="24057" operator="equal">
      <formula>1</formula>
    </cfRule>
    <cfRule type="cellIs" dxfId="10738" priority="24058" operator="equal">
      <formula>"×"</formula>
    </cfRule>
  </conditionalFormatting>
  <conditionalFormatting sqref="AD19">
    <cfRule type="cellIs" dxfId="10737" priority="24055" operator="equal">
      <formula>1</formula>
    </cfRule>
    <cfRule type="cellIs" dxfId="10736" priority="24056" operator="equal">
      <formula>"×"</formula>
    </cfRule>
  </conditionalFormatting>
  <conditionalFormatting sqref="AD19">
    <cfRule type="cellIs" dxfId="10735" priority="24053" operator="equal">
      <formula>1</formula>
    </cfRule>
    <cfRule type="cellIs" dxfId="10734" priority="24054" operator="equal">
      <formula>"×"</formula>
    </cfRule>
  </conditionalFormatting>
  <conditionalFormatting sqref="AD19">
    <cfRule type="cellIs" dxfId="10733" priority="24049" operator="equal">
      <formula>1</formula>
    </cfRule>
    <cfRule type="cellIs" dxfId="10732" priority="24050" operator="equal">
      <formula>"×"</formula>
    </cfRule>
  </conditionalFormatting>
  <conditionalFormatting sqref="AD19">
    <cfRule type="cellIs" dxfId="10731" priority="24051" operator="equal">
      <formula>1</formula>
    </cfRule>
    <cfRule type="cellIs" dxfId="10730" priority="24052" operator="equal">
      <formula>"×"</formula>
    </cfRule>
  </conditionalFormatting>
  <conditionalFormatting sqref="AE13">
    <cfRule type="cellIs" dxfId="10729" priority="24077" operator="equal">
      <formula>1</formula>
    </cfRule>
    <cfRule type="cellIs" dxfId="10728" priority="24078" operator="equal">
      <formula>"×"</formula>
    </cfRule>
  </conditionalFormatting>
  <conditionalFormatting sqref="AE13">
    <cfRule type="cellIs" dxfId="10727" priority="24075" operator="equal">
      <formula>1</formula>
    </cfRule>
    <cfRule type="cellIs" dxfId="10726" priority="24076" operator="equal">
      <formula>"×"</formula>
    </cfRule>
  </conditionalFormatting>
  <conditionalFormatting sqref="AE13">
    <cfRule type="cellIs" dxfId="10725" priority="24073" operator="equal">
      <formula>1</formula>
    </cfRule>
    <cfRule type="cellIs" dxfId="10724" priority="24074" operator="equal">
      <formula>"×"</formula>
    </cfRule>
  </conditionalFormatting>
  <conditionalFormatting sqref="AE13">
    <cfRule type="cellIs" dxfId="10723" priority="24071" operator="equal">
      <formula>1</formula>
    </cfRule>
    <cfRule type="cellIs" dxfId="10722" priority="24072" operator="equal">
      <formula>"×"</formula>
    </cfRule>
  </conditionalFormatting>
  <conditionalFormatting sqref="AE13">
    <cfRule type="cellIs" dxfId="10721" priority="24069" operator="equal">
      <formula>1</formula>
    </cfRule>
    <cfRule type="cellIs" dxfId="10720" priority="24070" operator="equal">
      <formula>"×"</formula>
    </cfRule>
  </conditionalFormatting>
  <conditionalFormatting sqref="AC19">
    <cfRule type="cellIs" dxfId="10719" priority="24067" operator="equal">
      <formula>1</formula>
    </cfRule>
    <cfRule type="cellIs" dxfId="10718" priority="24068" operator="equal">
      <formula>"×"</formula>
    </cfRule>
  </conditionalFormatting>
  <conditionalFormatting sqref="AD19">
    <cfRule type="cellIs" dxfId="10717" priority="24065" operator="equal">
      <formula>1</formula>
    </cfRule>
    <cfRule type="cellIs" dxfId="10716" priority="24066" operator="equal">
      <formula>"×"</formula>
    </cfRule>
  </conditionalFormatting>
  <conditionalFormatting sqref="AD19">
    <cfRule type="cellIs" dxfId="10715" priority="24063" operator="equal">
      <formula>1</formula>
    </cfRule>
    <cfRule type="cellIs" dxfId="10714" priority="24064" operator="equal">
      <formula>"×"</formula>
    </cfRule>
  </conditionalFormatting>
  <conditionalFormatting sqref="AD19">
    <cfRule type="cellIs" dxfId="10713" priority="24061" operator="equal">
      <formula>1</formula>
    </cfRule>
    <cfRule type="cellIs" dxfId="10712" priority="24062" operator="equal">
      <formula>"×"</formula>
    </cfRule>
  </conditionalFormatting>
  <conditionalFormatting sqref="AD19">
    <cfRule type="cellIs" dxfId="10711" priority="24059" operator="equal">
      <formula>1</formula>
    </cfRule>
    <cfRule type="cellIs" dxfId="10710" priority="24060" operator="equal">
      <formula>"×"</formula>
    </cfRule>
  </conditionalFormatting>
  <conditionalFormatting sqref="AC19">
    <cfRule type="cellIs" dxfId="10709" priority="24047" operator="equal">
      <formula>1</formula>
    </cfRule>
    <cfRule type="cellIs" dxfId="10708" priority="24048" operator="equal">
      <formula>"×"</formula>
    </cfRule>
  </conditionalFormatting>
  <conditionalFormatting sqref="AD19">
    <cfRule type="cellIs" dxfId="10707" priority="24045" operator="equal">
      <formula>1</formula>
    </cfRule>
    <cfRule type="cellIs" dxfId="10706" priority="24046" operator="equal">
      <formula>"×"</formula>
    </cfRule>
  </conditionalFormatting>
  <conditionalFormatting sqref="AD19">
    <cfRule type="cellIs" dxfId="10705" priority="24043" operator="equal">
      <formula>1</formula>
    </cfRule>
    <cfRule type="cellIs" dxfId="10704" priority="24044" operator="equal">
      <formula>"×"</formula>
    </cfRule>
  </conditionalFormatting>
  <conditionalFormatting sqref="AD19">
    <cfRule type="cellIs" dxfId="10703" priority="24039" operator="equal">
      <formula>1</formula>
    </cfRule>
    <cfRule type="cellIs" dxfId="10702" priority="24040" operator="equal">
      <formula>"×"</formula>
    </cfRule>
  </conditionalFormatting>
  <conditionalFormatting sqref="AD19">
    <cfRule type="cellIs" dxfId="10701" priority="24041" operator="equal">
      <formula>1</formula>
    </cfRule>
    <cfRule type="cellIs" dxfId="10700" priority="24042" operator="equal">
      <formula>"×"</formula>
    </cfRule>
  </conditionalFormatting>
  <conditionalFormatting sqref="AD19">
    <cfRule type="cellIs" dxfId="10699" priority="24037" operator="equal">
      <formula>1</formula>
    </cfRule>
    <cfRule type="cellIs" dxfId="10698" priority="24038" operator="equal">
      <formula>"×"</formula>
    </cfRule>
  </conditionalFormatting>
  <conditionalFormatting sqref="AD19">
    <cfRule type="cellIs" dxfId="10697" priority="24035" operator="equal">
      <formula>1</formula>
    </cfRule>
    <cfRule type="cellIs" dxfId="10696" priority="24036" operator="equal">
      <formula>"×"</formula>
    </cfRule>
  </conditionalFormatting>
  <conditionalFormatting sqref="AD19">
    <cfRule type="cellIs" dxfId="10695" priority="24033" operator="equal">
      <formula>1</formula>
    </cfRule>
    <cfRule type="cellIs" dxfId="10694" priority="24034" operator="equal">
      <formula>"×"</formula>
    </cfRule>
  </conditionalFormatting>
  <conditionalFormatting sqref="AC19:AD19">
    <cfRule type="cellIs" dxfId="10693" priority="24031" operator="equal">
      <formula>1</formula>
    </cfRule>
    <cfRule type="cellIs" dxfId="10692" priority="24032" operator="equal">
      <formula>"×"</formula>
    </cfRule>
  </conditionalFormatting>
  <conditionalFormatting sqref="AE13">
    <cfRule type="cellIs" dxfId="10691" priority="24029" operator="equal">
      <formula>1</formula>
    </cfRule>
    <cfRule type="cellIs" dxfId="10690" priority="24030" operator="equal">
      <formula>"×"</formula>
    </cfRule>
  </conditionalFormatting>
  <conditionalFormatting sqref="AE13">
    <cfRule type="cellIs" dxfId="10689" priority="24027" operator="equal">
      <formula>1</formula>
    </cfRule>
    <cfRule type="cellIs" dxfId="10688" priority="24028" operator="equal">
      <formula>"×"</formula>
    </cfRule>
  </conditionalFormatting>
  <conditionalFormatting sqref="AE13">
    <cfRule type="cellIs" dxfId="10687" priority="24025" operator="equal">
      <formula>1</formula>
    </cfRule>
    <cfRule type="cellIs" dxfId="10686" priority="24026" operator="equal">
      <formula>"×"</formula>
    </cfRule>
  </conditionalFormatting>
  <conditionalFormatting sqref="AE13">
    <cfRule type="cellIs" dxfId="10685" priority="24023" operator="equal">
      <formula>1</formula>
    </cfRule>
    <cfRule type="cellIs" dxfId="10684" priority="24024" operator="equal">
      <formula>"×"</formula>
    </cfRule>
  </conditionalFormatting>
  <conditionalFormatting sqref="AE13">
    <cfRule type="cellIs" dxfId="10683" priority="24021" operator="equal">
      <formula>1</formula>
    </cfRule>
    <cfRule type="cellIs" dxfId="10682" priority="24022" operator="equal">
      <formula>"×"</formula>
    </cfRule>
  </conditionalFormatting>
  <conditionalFormatting sqref="AE13">
    <cfRule type="cellIs" dxfId="10681" priority="24019" operator="equal">
      <formula>1</formula>
    </cfRule>
    <cfRule type="cellIs" dxfId="10680" priority="24020" operator="equal">
      <formula>"×"</formula>
    </cfRule>
  </conditionalFormatting>
  <conditionalFormatting sqref="AE13">
    <cfRule type="cellIs" dxfId="10679" priority="24017" operator="equal">
      <formula>1</formula>
    </cfRule>
    <cfRule type="cellIs" dxfId="10678" priority="24018" operator="equal">
      <formula>"×"</formula>
    </cfRule>
  </conditionalFormatting>
  <conditionalFormatting sqref="AE13">
    <cfRule type="cellIs" dxfId="10677" priority="24015" operator="equal">
      <formula>1</formula>
    </cfRule>
    <cfRule type="cellIs" dxfId="10676" priority="24016" operator="equal">
      <formula>"×"</formula>
    </cfRule>
  </conditionalFormatting>
  <conditionalFormatting sqref="AE13">
    <cfRule type="cellIs" dxfId="10675" priority="24013" operator="equal">
      <formula>1</formula>
    </cfRule>
    <cfRule type="cellIs" dxfId="10674" priority="24014" operator="equal">
      <formula>"×"</formula>
    </cfRule>
  </conditionalFormatting>
  <conditionalFormatting sqref="AE13">
    <cfRule type="cellIs" dxfId="10673" priority="24011" operator="equal">
      <formula>1</formula>
    </cfRule>
    <cfRule type="cellIs" dxfId="10672" priority="24012" operator="equal">
      <formula>"×"</formula>
    </cfRule>
  </conditionalFormatting>
  <conditionalFormatting sqref="AE13">
    <cfRule type="cellIs" dxfId="10671" priority="24009" operator="equal">
      <formula>1</formula>
    </cfRule>
    <cfRule type="cellIs" dxfId="10670" priority="24010" operator="equal">
      <formula>"×"</formula>
    </cfRule>
  </conditionalFormatting>
  <conditionalFormatting sqref="AE13">
    <cfRule type="cellIs" dxfId="10669" priority="24005" operator="equal">
      <formula>1</formula>
    </cfRule>
    <cfRule type="cellIs" dxfId="10668" priority="24006" operator="equal">
      <formula>"×"</formula>
    </cfRule>
  </conditionalFormatting>
  <conditionalFormatting sqref="AE13">
    <cfRule type="cellIs" dxfId="10667" priority="24007" operator="equal">
      <formula>1</formula>
    </cfRule>
    <cfRule type="cellIs" dxfId="10666" priority="24008" operator="equal">
      <formula>"×"</formula>
    </cfRule>
  </conditionalFormatting>
  <conditionalFormatting sqref="AE13">
    <cfRule type="cellIs" dxfId="10665" priority="24003" operator="equal">
      <formula>1</formula>
    </cfRule>
    <cfRule type="cellIs" dxfId="10664" priority="24004" operator="equal">
      <formula>"×"</formula>
    </cfRule>
  </conditionalFormatting>
  <conditionalFormatting sqref="AE13">
    <cfRule type="cellIs" dxfId="10663" priority="24001" operator="equal">
      <formula>1</formula>
    </cfRule>
    <cfRule type="cellIs" dxfId="10662" priority="24002" operator="equal">
      <formula>"×"</formula>
    </cfRule>
  </conditionalFormatting>
  <conditionalFormatting sqref="AE13">
    <cfRule type="cellIs" dxfId="10661" priority="23999" operator="equal">
      <formula>1</formula>
    </cfRule>
    <cfRule type="cellIs" dxfId="10660" priority="24000" operator="equal">
      <formula>"×"</formula>
    </cfRule>
  </conditionalFormatting>
  <conditionalFormatting sqref="AE13">
    <cfRule type="cellIs" dxfId="10659" priority="23997" operator="equal">
      <formula>1</formula>
    </cfRule>
    <cfRule type="cellIs" dxfId="10658" priority="23998" operator="equal">
      <formula>"×"</formula>
    </cfRule>
  </conditionalFormatting>
  <conditionalFormatting sqref="AC19">
    <cfRule type="cellIs" dxfId="10657" priority="23995" operator="equal">
      <formula>1</formula>
    </cfRule>
    <cfRule type="cellIs" dxfId="10656" priority="23996" operator="equal">
      <formula>"×"</formula>
    </cfRule>
  </conditionalFormatting>
  <conditionalFormatting sqref="AD19">
    <cfRule type="cellIs" dxfId="10655" priority="23993" operator="equal">
      <formula>1</formula>
    </cfRule>
    <cfRule type="cellIs" dxfId="10654" priority="23994" operator="equal">
      <formula>"×"</formula>
    </cfRule>
  </conditionalFormatting>
  <conditionalFormatting sqref="AD19">
    <cfRule type="cellIs" dxfId="10653" priority="23991" operator="equal">
      <formula>1</formula>
    </cfRule>
    <cfRule type="cellIs" dxfId="10652" priority="23992" operator="equal">
      <formula>"×"</formula>
    </cfRule>
  </conditionalFormatting>
  <conditionalFormatting sqref="AD19">
    <cfRule type="cellIs" dxfId="10651" priority="23989" operator="equal">
      <formula>1</formula>
    </cfRule>
    <cfRule type="cellIs" dxfId="10650" priority="23990" operator="equal">
      <formula>"×"</formula>
    </cfRule>
  </conditionalFormatting>
  <conditionalFormatting sqref="AD19">
    <cfRule type="cellIs" dxfId="10649" priority="23987" operator="equal">
      <formula>1</formula>
    </cfRule>
    <cfRule type="cellIs" dxfId="10648" priority="23988" operator="equal">
      <formula>"×"</formula>
    </cfRule>
  </conditionalFormatting>
  <conditionalFormatting sqref="AC19">
    <cfRule type="cellIs" dxfId="10647" priority="23985" operator="equal">
      <formula>1</formula>
    </cfRule>
    <cfRule type="cellIs" dxfId="10646" priority="23986" operator="equal">
      <formula>"×"</formula>
    </cfRule>
  </conditionalFormatting>
  <conditionalFormatting sqref="AD19">
    <cfRule type="cellIs" dxfId="10645" priority="23983" operator="equal">
      <formula>1</formula>
    </cfRule>
    <cfRule type="cellIs" dxfId="10644" priority="23984" operator="equal">
      <formula>"×"</formula>
    </cfRule>
  </conditionalFormatting>
  <conditionalFormatting sqref="AD19">
    <cfRule type="cellIs" dxfId="10643" priority="23981" operator="equal">
      <formula>1</formula>
    </cfRule>
    <cfRule type="cellIs" dxfId="10642" priority="23982" operator="equal">
      <formula>"×"</formula>
    </cfRule>
  </conditionalFormatting>
  <conditionalFormatting sqref="AD19">
    <cfRule type="cellIs" dxfId="10641" priority="23979" operator="equal">
      <formula>1</formula>
    </cfRule>
    <cfRule type="cellIs" dxfId="10640" priority="23980" operator="equal">
      <formula>"×"</formula>
    </cfRule>
  </conditionalFormatting>
  <conditionalFormatting sqref="AD19">
    <cfRule type="cellIs" dxfId="10639" priority="23977" operator="equal">
      <formula>1</formula>
    </cfRule>
    <cfRule type="cellIs" dxfId="10638" priority="23978" operator="equal">
      <formula>"×"</formula>
    </cfRule>
  </conditionalFormatting>
  <conditionalFormatting sqref="AC19">
    <cfRule type="cellIs" dxfId="10637" priority="23975" operator="equal">
      <formula>1</formula>
    </cfRule>
    <cfRule type="cellIs" dxfId="10636" priority="23976" operator="equal">
      <formula>"×"</formula>
    </cfRule>
  </conditionalFormatting>
  <conditionalFormatting sqref="AD19">
    <cfRule type="cellIs" dxfId="10635" priority="23973" operator="equal">
      <formula>1</formula>
    </cfRule>
    <cfRule type="cellIs" dxfId="10634" priority="23974" operator="equal">
      <formula>"×"</formula>
    </cfRule>
  </conditionalFormatting>
  <conditionalFormatting sqref="AD19">
    <cfRule type="cellIs" dxfId="10633" priority="23971" operator="equal">
      <formula>1</formula>
    </cfRule>
    <cfRule type="cellIs" dxfId="10632" priority="23972" operator="equal">
      <formula>"×"</formula>
    </cfRule>
  </conditionalFormatting>
  <conditionalFormatting sqref="AD19">
    <cfRule type="cellIs" dxfId="10631" priority="23969" operator="equal">
      <formula>1</formula>
    </cfRule>
    <cfRule type="cellIs" dxfId="10630" priority="23970" operator="equal">
      <formula>"×"</formula>
    </cfRule>
  </conditionalFormatting>
  <conditionalFormatting sqref="AD19">
    <cfRule type="cellIs" dxfId="10629" priority="23967" operator="equal">
      <formula>1</formula>
    </cfRule>
    <cfRule type="cellIs" dxfId="10628" priority="23968" operator="equal">
      <formula>"×"</formula>
    </cfRule>
  </conditionalFormatting>
  <conditionalFormatting sqref="AC19">
    <cfRule type="cellIs" dxfId="10627" priority="23965" operator="equal">
      <formula>1</formula>
    </cfRule>
    <cfRule type="cellIs" dxfId="10626" priority="23966" operator="equal">
      <formula>"×"</formula>
    </cfRule>
  </conditionalFormatting>
  <conditionalFormatting sqref="AD19">
    <cfRule type="cellIs" dxfId="10625" priority="23963" operator="equal">
      <formula>1</formula>
    </cfRule>
    <cfRule type="cellIs" dxfId="10624" priority="23964" operator="equal">
      <formula>"×"</formula>
    </cfRule>
  </conditionalFormatting>
  <conditionalFormatting sqref="AD19">
    <cfRule type="cellIs" dxfId="10623" priority="23961" operator="equal">
      <formula>1</formula>
    </cfRule>
    <cfRule type="cellIs" dxfId="10622" priority="23962" operator="equal">
      <formula>"×"</formula>
    </cfRule>
  </conditionalFormatting>
  <conditionalFormatting sqref="AD19">
    <cfRule type="cellIs" dxfId="10621" priority="23957" operator="equal">
      <formula>1</formula>
    </cfRule>
    <cfRule type="cellIs" dxfId="10620" priority="23958" operator="equal">
      <formula>"×"</formula>
    </cfRule>
  </conditionalFormatting>
  <conditionalFormatting sqref="AD19">
    <cfRule type="cellIs" dxfId="10619" priority="23959" operator="equal">
      <formula>1</formula>
    </cfRule>
    <cfRule type="cellIs" dxfId="10618" priority="23960" operator="equal">
      <formula>"×"</formula>
    </cfRule>
  </conditionalFormatting>
  <conditionalFormatting sqref="AE13">
    <cfRule type="cellIs" dxfId="10617" priority="23943" operator="equal">
      <formula>1</formula>
    </cfRule>
    <cfRule type="cellIs" dxfId="10616" priority="23944" operator="equal">
      <formula>"×"</formula>
    </cfRule>
  </conditionalFormatting>
  <conditionalFormatting sqref="AE13">
    <cfRule type="cellIs" dxfId="10615" priority="23941" operator="equal">
      <formula>1</formula>
    </cfRule>
    <cfRule type="cellIs" dxfId="10614" priority="23942" operator="equal">
      <formula>"×"</formula>
    </cfRule>
  </conditionalFormatting>
  <conditionalFormatting sqref="AE13">
    <cfRule type="cellIs" dxfId="10613" priority="23955" operator="equal">
      <formula>1</formula>
    </cfRule>
    <cfRule type="cellIs" dxfId="10612" priority="23956" operator="equal">
      <formula>"×"</formula>
    </cfRule>
  </conditionalFormatting>
  <conditionalFormatting sqref="AE13">
    <cfRule type="cellIs" dxfId="10611" priority="23953" operator="equal">
      <formula>1</formula>
    </cfRule>
    <cfRule type="cellIs" dxfId="10610" priority="23954" operator="equal">
      <formula>"×"</formula>
    </cfRule>
  </conditionalFormatting>
  <conditionalFormatting sqref="AE13">
    <cfRule type="cellIs" dxfId="10609" priority="23951" operator="equal">
      <formula>1</formula>
    </cfRule>
    <cfRule type="cellIs" dxfId="10608" priority="23952" operator="equal">
      <formula>"×"</formula>
    </cfRule>
  </conditionalFormatting>
  <conditionalFormatting sqref="AE13">
    <cfRule type="cellIs" dxfId="10607" priority="23949" operator="equal">
      <formula>1</formula>
    </cfRule>
    <cfRule type="cellIs" dxfId="10606" priority="23950" operator="equal">
      <formula>"×"</formula>
    </cfRule>
  </conditionalFormatting>
  <conditionalFormatting sqref="AE13">
    <cfRule type="cellIs" dxfId="10605" priority="23947" operator="equal">
      <formula>1</formula>
    </cfRule>
    <cfRule type="cellIs" dxfId="10604" priority="23948" operator="equal">
      <formula>"×"</formula>
    </cfRule>
  </conditionalFormatting>
  <conditionalFormatting sqref="AE13">
    <cfRule type="cellIs" dxfId="10603" priority="23945" operator="equal">
      <formula>1</formula>
    </cfRule>
    <cfRule type="cellIs" dxfId="10602" priority="23946" operator="equal">
      <formula>"×"</formula>
    </cfRule>
  </conditionalFormatting>
  <conditionalFormatting sqref="AE13">
    <cfRule type="cellIs" dxfId="10601" priority="23939" operator="equal">
      <formula>1</formula>
    </cfRule>
    <cfRule type="cellIs" dxfId="10600" priority="23940" operator="equal">
      <formula>"×"</formula>
    </cfRule>
  </conditionalFormatting>
  <conditionalFormatting sqref="AE13">
    <cfRule type="cellIs" dxfId="10599" priority="23915" operator="equal">
      <formula>1</formula>
    </cfRule>
    <cfRule type="cellIs" dxfId="10598" priority="23916" operator="equal">
      <formula>"×"</formula>
    </cfRule>
  </conditionalFormatting>
  <conditionalFormatting sqref="AE13">
    <cfRule type="cellIs" dxfId="10597" priority="23919" operator="equal">
      <formula>1</formula>
    </cfRule>
    <cfRule type="cellIs" dxfId="10596" priority="23920" operator="equal">
      <formula>"×"</formula>
    </cfRule>
  </conditionalFormatting>
  <conditionalFormatting sqref="AE13">
    <cfRule type="cellIs" dxfId="10595" priority="23917" operator="equal">
      <formula>1</formula>
    </cfRule>
    <cfRule type="cellIs" dxfId="10594" priority="23918" operator="equal">
      <formula>"×"</formula>
    </cfRule>
  </conditionalFormatting>
  <conditionalFormatting sqref="AE13">
    <cfRule type="cellIs" dxfId="10593" priority="23913" operator="equal">
      <formula>1</formula>
    </cfRule>
    <cfRule type="cellIs" dxfId="10592" priority="23914" operator="equal">
      <formula>"×"</formula>
    </cfRule>
  </conditionalFormatting>
  <conditionalFormatting sqref="AE13">
    <cfRule type="cellIs" dxfId="10591" priority="23937" operator="equal">
      <formula>1</formula>
    </cfRule>
    <cfRule type="cellIs" dxfId="10590" priority="23938" operator="equal">
      <formula>"×"</formula>
    </cfRule>
  </conditionalFormatting>
  <conditionalFormatting sqref="AE13">
    <cfRule type="cellIs" dxfId="10589" priority="23935" operator="equal">
      <formula>1</formula>
    </cfRule>
    <cfRule type="cellIs" dxfId="10588" priority="23936" operator="equal">
      <formula>"×"</formula>
    </cfRule>
  </conditionalFormatting>
  <conditionalFormatting sqref="AE13">
    <cfRule type="cellIs" dxfId="10587" priority="23933" operator="equal">
      <formula>1</formula>
    </cfRule>
    <cfRule type="cellIs" dxfId="10586" priority="23934" operator="equal">
      <formula>"×"</formula>
    </cfRule>
  </conditionalFormatting>
  <conditionalFormatting sqref="AE13">
    <cfRule type="cellIs" dxfId="10585" priority="23931" operator="equal">
      <formula>1</formula>
    </cfRule>
    <cfRule type="cellIs" dxfId="10584" priority="23932" operator="equal">
      <formula>"×"</formula>
    </cfRule>
  </conditionalFormatting>
  <conditionalFormatting sqref="AE13">
    <cfRule type="cellIs" dxfId="10583" priority="23929" operator="equal">
      <formula>1</formula>
    </cfRule>
    <cfRule type="cellIs" dxfId="10582" priority="23930" operator="equal">
      <formula>"×"</formula>
    </cfRule>
  </conditionalFormatting>
  <conditionalFormatting sqref="AE13">
    <cfRule type="cellIs" dxfId="10581" priority="23927" operator="equal">
      <formula>1</formula>
    </cfRule>
    <cfRule type="cellIs" dxfId="10580" priority="23928" operator="equal">
      <formula>"×"</formula>
    </cfRule>
  </conditionalFormatting>
  <conditionalFormatting sqref="AE13">
    <cfRule type="cellIs" dxfId="10579" priority="23925" operator="equal">
      <formula>1</formula>
    </cfRule>
    <cfRule type="cellIs" dxfId="10578" priority="23926" operator="equal">
      <formula>"×"</formula>
    </cfRule>
  </conditionalFormatting>
  <conditionalFormatting sqref="AE13">
    <cfRule type="cellIs" dxfId="10577" priority="23923" operator="equal">
      <formula>1</formula>
    </cfRule>
    <cfRule type="cellIs" dxfId="10576" priority="23924" operator="equal">
      <formula>"×"</formula>
    </cfRule>
  </conditionalFormatting>
  <conditionalFormatting sqref="AE13">
    <cfRule type="cellIs" dxfId="10575" priority="23921" operator="equal">
      <formula>1</formula>
    </cfRule>
    <cfRule type="cellIs" dxfId="10574" priority="23922" operator="equal">
      <formula>"×"</formula>
    </cfRule>
  </conditionalFormatting>
  <conditionalFormatting sqref="AC13">
    <cfRule type="cellIs" dxfId="10573" priority="23885" operator="equal">
      <formula>1</formula>
    </cfRule>
    <cfRule type="cellIs" dxfId="10572" priority="23886" operator="equal">
      <formula>"×"</formula>
    </cfRule>
  </conditionalFormatting>
  <conditionalFormatting sqref="AD13">
    <cfRule type="cellIs" dxfId="10571" priority="23883" operator="equal">
      <formula>1</formula>
    </cfRule>
    <cfRule type="cellIs" dxfId="10570" priority="23884" operator="equal">
      <formula>"×"</formula>
    </cfRule>
  </conditionalFormatting>
  <conditionalFormatting sqref="AD13">
    <cfRule type="cellIs" dxfId="10569" priority="23881" operator="equal">
      <formula>1</formula>
    </cfRule>
    <cfRule type="cellIs" dxfId="10568" priority="23882" operator="equal">
      <formula>"×"</formula>
    </cfRule>
  </conditionalFormatting>
  <conditionalFormatting sqref="AD13">
    <cfRule type="cellIs" dxfId="10567" priority="23877" operator="equal">
      <formula>1</formula>
    </cfRule>
    <cfRule type="cellIs" dxfId="10566" priority="23878" operator="equal">
      <formula>"×"</formula>
    </cfRule>
  </conditionalFormatting>
  <conditionalFormatting sqref="AD13">
    <cfRule type="cellIs" dxfId="10565" priority="23879" operator="equal">
      <formula>1</formula>
    </cfRule>
    <cfRule type="cellIs" dxfId="10564" priority="23880" operator="equal">
      <formula>"×"</formula>
    </cfRule>
  </conditionalFormatting>
  <conditionalFormatting sqref="AC13">
    <cfRule type="cellIs" dxfId="10563" priority="23911" operator="equal">
      <formula>1</formula>
    </cfRule>
    <cfRule type="cellIs" dxfId="10562" priority="23912" operator="equal">
      <formula>"×"</formula>
    </cfRule>
  </conditionalFormatting>
  <conditionalFormatting sqref="AD13">
    <cfRule type="cellIs" dxfId="10561" priority="23909" operator="equal">
      <formula>1</formula>
    </cfRule>
    <cfRule type="cellIs" dxfId="10560" priority="23910" operator="equal">
      <formula>"×"</formula>
    </cfRule>
  </conditionalFormatting>
  <conditionalFormatting sqref="AD13">
    <cfRule type="cellIs" dxfId="10559" priority="23907" operator="equal">
      <formula>1</formula>
    </cfRule>
    <cfRule type="cellIs" dxfId="10558" priority="23908" operator="equal">
      <formula>"×"</formula>
    </cfRule>
  </conditionalFormatting>
  <conditionalFormatting sqref="AD13">
    <cfRule type="cellIs" dxfId="10557" priority="23905" operator="equal">
      <formula>1</formula>
    </cfRule>
    <cfRule type="cellIs" dxfId="10556" priority="23906" operator="equal">
      <formula>"×"</formula>
    </cfRule>
  </conditionalFormatting>
  <conditionalFormatting sqref="AD13">
    <cfRule type="cellIs" dxfId="10555" priority="23903" operator="equal">
      <formula>1</formula>
    </cfRule>
    <cfRule type="cellIs" dxfId="10554" priority="23904" operator="equal">
      <formula>"×"</formula>
    </cfRule>
  </conditionalFormatting>
  <conditionalFormatting sqref="AD13">
    <cfRule type="cellIs" dxfId="10553" priority="23901" operator="equal">
      <formula>1</formula>
    </cfRule>
    <cfRule type="cellIs" dxfId="10552" priority="23902" operator="equal">
      <formula>"×"</formula>
    </cfRule>
  </conditionalFormatting>
  <conditionalFormatting sqref="AD13">
    <cfRule type="cellIs" dxfId="10551" priority="23899" operator="equal">
      <formula>1</formula>
    </cfRule>
    <cfRule type="cellIs" dxfId="10550" priority="23900" operator="equal">
      <formula>"×"</formula>
    </cfRule>
  </conditionalFormatting>
  <conditionalFormatting sqref="AD13">
    <cfRule type="cellIs" dxfId="10549" priority="23897" operator="equal">
      <formula>1</formula>
    </cfRule>
    <cfRule type="cellIs" dxfId="10548" priority="23898" operator="equal">
      <formula>"×"</formula>
    </cfRule>
  </conditionalFormatting>
  <conditionalFormatting sqref="AD13">
    <cfRule type="cellIs" dxfId="10547" priority="23895" operator="equal">
      <formula>1</formula>
    </cfRule>
    <cfRule type="cellIs" dxfId="10546" priority="23896" operator="equal">
      <formula>"×"</formula>
    </cfRule>
  </conditionalFormatting>
  <conditionalFormatting sqref="AD13">
    <cfRule type="cellIs" dxfId="10545" priority="23893" operator="equal">
      <formula>1</formula>
    </cfRule>
    <cfRule type="cellIs" dxfId="10544" priority="23894" operator="equal">
      <formula>"×"</formula>
    </cfRule>
  </conditionalFormatting>
  <conditionalFormatting sqref="AD13">
    <cfRule type="cellIs" dxfId="10543" priority="23891" operator="equal">
      <formula>1</formula>
    </cfRule>
    <cfRule type="cellIs" dxfId="10542" priority="23892" operator="equal">
      <formula>"×"</formula>
    </cfRule>
  </conditionalFormatting>
  <conditionalFormatting sqref="AD13">
    <cfRule type="cellIs" dxfId="10541" priority="23889" operator="equal">
      <formula>1</formula>
    </cfRule>
    <cfRule type="cellIs" dxfId="10540" priority="23890" operator="equal">
      <formula>"×"</formula>
    </cfRule>
  </conditionalFormatting>
  <conditionalFormatting sqref="AD13">
    <cfRule type="cellIs" dxfId="10539" priority="23887" operator="equal">
      <formula>1</formula>
    </cfRule>
    <cfRule type="cellIs" dxfId="10538" priority="23888" operator="equal">
      <formula>"×"</formula>
    </cfRule>
  </conditionalFormatting>
  <conditionalFormatting sqref="AC13:AD13">
    <cfRule type="cellIs" dxfId="10537" priority="23875" operator="equal">
      <formula>1</formula>
    </cfRule>
    <cfRule type="cellIs" dxfId="10536" priority="23876" operator="equal">
      <formula>"×"</formula>
    </cfRule>
  </conditionalFormatting>
  <conditionalFormatting sqref="Z13 AB13 AD13">
    <cfRule type="cellIs" dxfId="10535" priority="23873" operator="equal">
      <formula>1</formula>
    </cfRule>
    <cfRule type="cellIs" dxfId="10534" priority="23874" operator="equal">
      <formula>"×"</formula>
    </cfRule>
  </conditionalFormatting>
  <conditionalFormatting sqref="AG17:AH19">
    <cfRule type="cellIs" dxfId="10533" priority="23871" operator="equal">
      <formula>1</formula>
    </cfRule>
    <cfRule type="cellIs" dxfId="10532" priority="23872" operator="equal">
      <formula>"×"</formula>
    </cfRule>
  </conditionalFormatting>
  <conditionalFormatting sqref="AF13">
    <cfRule type="cellIs" dxfId="10531" priority="23853" operator="equal">
      <formula>1</formula>
    </cfRule>
    <cfRule type="cellIs" dxfId="10530" priority="23854" operator="equal">
      <formula>"×"</formula>
    </cfRule>
  </conditionalFormatting>
  <conditionalFormatting sqref="AF13">
    <cfRule type="cellIs" dxfId="10529" priority="23851" operator="equal">
      <formula>1</formula>
    </cfRule>
    <cfRule type="cellIs" dxfId="10528" priority="23852" operator="equal">
      <formula>"×"</formula>
    </cfRule>
  </conditionalFormatting>
  <conditionalFormatting sqref="AI13">
    <cfRule type="cellIs" dxfId="10527" priority="23867" operator="equal">
      <formula>1</formula>
    </cfRule>
    <cfRule type="cellIs" dxfId="10526" priority="23868" operator="equal">
      <formula>"×"</formula>
    </cfRule>
  </conditionalFormatting>
  <conditionalFormatting sqref="AF13:AI13">
    <cfRule type="cellIs" dxfId="10525" priority="23869" operator="equal">
      <formula>1</formula>
    </cfRule>
    <cfRule type="cellIs" dxfId="10524" priority="23870" operator="equal">
      <formula>"×"</formula>
    </cfRule>
  </conditionalFormatting>
  <conditionalFormatting sqref="AF13:AI14 AF17:AI19">
    <cfRule type="cellIs" dxfId="10523" priority="23865" operator="equal">
      <formula>1</formula>
    </cfRule>
    <cfRule type="cellIs" dxfId="10522" priority="23866" operator="equal">
      <formula>"×"</formula>
    </cfRule>
  </conditionalFormatting>
  <conditionalFormatting sqref="AF17">
    <cfRule type="cellIs" dxfId="10521" priority="23863" operator="equal">
      <formula>1</formula>
    </cfRule>
    <cfRule type="cellIs" dxfId="10520" priority="23864" operator="equal">
      <formula>"×"</formula>
    </cfRule>
  </conditionalFormatting>
  <conditionalFormatting sqref="AF17">
    <cfRule type="cellIs" dxfId="10519" priority="23861" operator="equal">
      <formula>1</formula>
    </cfRule>
    <cfRule type="cellIs" dxfId="10518" priority="23862" operator="equal">
      <formula>"×"</formula>
    </cfRule>
  </conditionalFormatting>
  <conditionalFormatting sqref="AF17:AI17">
    <cfRule type="cellIs" dxfId="10517" priority="23859" operator="equal">
      <formula>1</formula>
    </cfRule>
    <cfRule type="cellIs" dxfId="10516" priority="23860" operator="equal">
      <formula>"×"</formula>
    </cfRule>
  </conditionalFormatting>
  <conditionalFormatting sqref="AI17">
    <cfRule type="cellIs" dxfId="10515" priority="23857" operator="equal">
      <formula>1</formula>
    </cfRule>
    <cfRule type="cellIs" dxfId="10514" priority="23858" operator="equal">
      <formula>"×"</formula>
    </cfRule>
  </conditionalFormatting>
  <conditionalFormatting sqref="AF17:AI17">
    <cfRule type="cellIs" dxfId="10513" priority="23855" operator="equal">
      <formula>1</formula>
    </cfRule>
    <cfRule type="cellIs" dxfId="10512" priority="23856" operator="equal">
      <formula>"×"</formula>
    </cfRule>
  </conditionalFormatting>
  <conditionalFormatting sqref="AF17:AI17">
    <cfRule type="cellIs" dxfId="10511" priority="23849" operator="equal">
      <formula>1</formula>
    </cfRule>
    <cfRule type="cellIs" dxfId="10510" priority="23850" operator="equal">
      <formula>"×"</formula>
    </cfRule>
  </conditionalFormatting>
  <conditionalFormatting sqref="AI17">
    <cfRule type="cellIs" dxfId="10509" priority="23847" operator="equal">
      <formula>1</formula>
    </cfRule>
    <cfRule type="cellIs" dxfId="10508" priority="23848" operator="equal">
      <formula>"×"</formula>
    </cfRule>
  </conditionalFormatting>
  <conditionalFormatting sqref="AF17:AI17">
    <cfRule type="cellIs" dxfId="10507" priority="23845" operator="equal">
      <formula>1</formula>
    </cfRule>
    <cfRule type="cellIs" dxfId="10506" priority="23846" operator="equal">
      <formula>"×"</formula>
    </cfRule>
  </conditionalFormatting>
  <conditionalFormatting sqref="AF17:AI17">
    <cfRule type="cellIs" dxfId="10505" priority="23843" operator="equal">
      <formula>1</formula>
    </cfRule>
    <cfRule type="cellIs" dxfId="10504" priority="23844" operator="equal">
      <formula>"×"</formula>
    </cfRule>
  </conditionalFormatting>
  <conditionalFormatting sqref="AI17">
    <cfRule type="cellIs" dxfId="10503" priority="23841" operator="equal">
      <formula>1</formula>
    </cfRule>
    <cfRule type="cellIs" dxfId="10502" priority="23842" operator="equal">
      <formula>"×"</formula>
    </cfRule>
  </conditionalFormatting>
  <conditionalFormatting sqref="AF18">
    <cfRule type="cellIs" dxfId="10501" priority="23839" operator="equal">
      <formula>1</formula>
    </cfRule>
    <cfRule type="cellIs" dxfId="10500" priority="23840" operator="equal">
      <formula>"×"</formula>
    </cfRule>
  </conditionalFormatting>
  <conditionalFormatting sqref="AF13:AF14 AF17:AF19">
    <cfRule type="cellIs" dxfId="10499" priority="23837" operator="equal">
      <formula>1</formula>
    </cfRule>
    <cfRule type="cellIs" dxfId="10498" priority="23838" operator="equal">
      <formula>"×"</formula>
    </cfRule>
  </conditionalFormatting>
  <conditionalFormatting sqref="AF13:AF14 AF17:AF19">
    <cfRule type="cellIs" dxfId="10497" priority="23835" operator="equal">
      <formula>1</formula>
    </cfRule>
    <cfRule type="cellIs" dxfId="10496" priority="23836" operator="equal">
      <formula>"×"</formula>
    </cfRule>
  </conditionalFormatting>
  <conditionalFormatting sqref="AF13:AF14 AF17:AF19">
    <cfRule type="cellIs" dxfId="10495" priority="23833" operator="equal">
      <formula>1</formula>
    </cfRule>
    <cfRule type="cellIs" dxfId="10494" priority="23834" operator="equal">
      <formula>"×"</formula>
    </cfRule>
  </conditionalFormatting>
  <conditionalFormatting sqref="AF13:AF14 AF17:AF19">
    <cfRule type="cellIs" dxfId="10493" priority="23831" operator="equal">
      <formula>1</formula>
    </cfRule>
    <cfRule type="cellIs" dxfId="10492" priority="23832" operator="equal">
      <formula>"×"</formula>
    </cfRule>
  </conditionalFormatting>
  <conditionalFormatting sqref="AF13:AF14 AF17:AF19">
    <cfRule type="cellIs" dxfId="10491" priority="23829" operator="equal">
      <formula>1</formula>
    </cfRule>
    <cfRule type="cellIs" dxfId="10490" priority="23830" operator="equal">
      <formula>"×"</formula>
    </cfRule>
  </conditionalFormatting>
  <conditionalFormatting sqref="AF13:AF14 AF17:AF19">
    <cfRule type="cellIs" dxfId="10489" priority="23827" operator="equal">
      <formula>1</formula>
    </cfRule>
    <cfRule type="cellIs" dxfId="10488" priority="23828" operator="equal">
      <formula>"×"</formula>
    </cfRule>
  </conditionalFormatting>
  <conditionalFormatting sqref="AG17:AI19">
    <cfRule type="cellIs" dxfId="10487" priority="23825" operator="equal">
      <formula>1</formula>
    </cfRule>
    <cfRule type="cellIs" dxfId="10486" priority="23826" operator="equal">
      <formula>"×"</formula>
    </cfRule>
  </conditionalFormatting>
  <conditionalFormatting sqref="AI17:AI19">
    <cfRule type="cellIs" dxfId="10485" priority="23823" operator="equal">
      <formula>1</formula>
    </cfRule>
    <cfRule type="cellIs" dxfId="10484" priority="23824" operator="equal">
      <formula>"×"</formula>
    </cfRule>
  </conditionalFormatting>
  <conditionalFormatting sqref="AG17:AI19">
    <cfRule type="cellIs" dxfId="10483" priority="23821" operator="equal">
      <formula>1</formula>
    </cfRule>
    <cfRule type="cellIs" dxfId="10482" priority="23822" operator="equal">
      <formula>"×"</formula>
    </cfRule>
  </conditionalFormatting>
  <conditionalFormatting sqref="AG17:AI19">
    <cfRule type="cellIs" dxfId="10481" priority="23819" operator="equal">
      <formula>1</formula>
    </cfRule>
    <cfRule type="cellIs" dxfId="10480" priority="23820" operator="equal">
      <formula>"×"</formula>
    </cfRule>
  </conditionalFormatting>
  <conditionalFormatting sqref="AI17:AI19">
    <cfRule type="cellIs" dxfId="10479" priority="23817" operator="equal">
      <formula>1</formula>
    </cfRule>
    <cfRule type="cellIs" dxfId="10478" priority="23818" operator="equal">
      <formula>"×"</formula>
    </cfRule>
  </conditionalFormatting>
  <conditionalFormatting sqref="AG17:AI19">
    <cfRule type="cellIs" dxfId="10477" priority="23815" operator="equal">
      <formula>1</formula>
    </cfRule>
    <cfRule type="cellIs" dxfId="10476" priority="23816" operator="equal">
      <formula>"×"</formula>
    </cfRule>
  </conditionalFormatting>
  <conditionalFormatting sqref="AF13:AF14 AF17:AF19">
    <cfRule type="cellIs" dxfId="10475" priority="23813" operator="equal">
      <formula>1</formula>
    </cfRule>
    <cfRule type="cellIs" dxfId="10474" priority="23814" operator="equal">
      <formula>"×"</formula>
    </cfRule>
  </conditionalFormatting>
  <conditionalFormatting sqref="AF13:AF14 AF17:AF19">
    <cfRule type="cellIs" dxfId="10473" priority="23811" operator="equal">
      <formula>1</formula>
    </cfRule>
    <cfRule type="cellIs" dxfId="10472" priority="23812" operator="equal">
      <formula>"×"</formula>
    </cfRule>
  </conditionalFormatting>
  <conditionalFormatting sqref="AF13:AF14 AF17:AF19">
    <cfRule type="cellIs" dxfId="10471" priority="23809" operator="equal">
      <formula>1</formula>
    </cfRule>
    <cfRule type="cellIs" dxfId="10470" priority="23810" operator="equal">
      <formula>"×"</formula>
    </cfRule>
  </conditionalFormatting>
  <conditionalFormatting sqref="AF13:AF14 AF17:AF19">
    <cfRule type="cellIs" dxfId="10469" priority="23807" operator="equal">
      <formula>1</formula>
    </cfRule>
    <cfRule type="cellIs" dxfId="10468" priority="23808" operator="equal">
      <formula>"×"</formula>
    </cfRule>
  </conditionalFormatting>
  <conditionalFormatting sqref="AF13:AF14 AF17:AF19">
    <cfRule type="cellIs" dxfId="10467" priority="23805" operator="equal">
      <formula>1</formula>
    </cfRule>
    <cfRule type="cellIs" dxfId="10466" priority="23806" operator="equal">
      <formula>"×"</formula>
    </cfRule>
  </conditionalFormatting>
  <conditionalFormatting sqref="AF13:AF14 AF17:AF19">
    <cfRule type="cellIs" dxfId="10465" priority="23803" operator="equal">
      <formula>1</formula>
    </cfRule>
    <cfRule type="cellIs" dxfId="10464" priority="23804" operator="equal">
      <formula>"×"</formula>
    </cfRule>
  </conditionalFormatting>
  <conditionalFormatting sqref="AF13:AF14 AF17:AF19">
    <cfRule type="cellIs" dxfId="10463" priority="23801" operator="equal">
      <formula>1</formula>
    </cfRule>
    <cfRule type="cellIs" dxfId="10462" priority="23802" operator="equal">
      <formula>"×"</formula>
    </cfRule>
  </conditionalFormatting>
  <conditionalFormatting sqref="AG17:AI19">
    <cfRule type="cellIs" dxfId="10461" priority="23799" operator="equal">
      <formula>1</formula>
    </cfRule>
    <cfRule type="cellIs" dxfId="10460" priority="23800" operator="equal">
      <formula>"×"</formula>
    </cfRule>
  </conditionalFormatting>
  <conditionalFormatting sqref="AG17:AI19">
    <cfRule type="cellIs" dxfId="10459" priority="23795" operator="equal">
      <formula>1</formula>
    </cfRule>
    <cfRule type="cellIs" dxfId="10458" priority="23796" operator="equal">
      <formula>"×"</formula>
    </cfRule>
  </conditionalFormatting>
  <conditionalFormatting sqref="AI17:AI19">
    <cfRule type="cellIs" dxfId="10457" priority="23797" operator="equal">
      <formula>1</formula>
    </cfRule>
    <cfRule type="cellIs" dxfId="10456" priority="23798" operator="equal">
      <formula>"×"</formula>
    </cfRule>
  </conditionalFormatting>
  <conditionalFormatting sqref="AG17:AI19">
    <cfRule type="cellIs" dxfId="10455" priority="23793" operator="equal">
      <formula>1</formula>
    </cfRule>
    <cfRule type="cellIs" dxfId="10454" priority="23794" operator="equal">
      <formula>"×"</formula>
    </cfRule>
  </conditionalFormatting>
  <conditionalFormatting sqref="AI17:AI19">
    <cfRule type="cellIs" dxfId="10453" priority="23791" operator="equal">
      <formula>1</formula>
    </cfRule>
    <cfRule type="cellIs" dxfId="10452" priority="23792" operator="equal">
      <formula>"×"</formula>
    </cfRule>
  </conditionalFormatting>
  <conditionalFormatting sqref="AG17:AI19">
    <cfRule type="cellIs" dxfId="10451" priority="23789" operator="equal">
      <formula>1</formula>
    </cfRule>
    <cfRule type="cellIs" dxfId="10450" priority="23790" operator="equal">
      <formula>"×"</formula>
    </cfRule>
  </conditionalFormatting>
  <conditionalFormatting sqref="AI17:AI19">
    <cfRule type="cellIs" dxfId="10449" priority="23787" operator="equal">
      <formula>1</formula>
    </cfRule>
    <cfRule type="cellIs" dxfId="10448" priority="23788" operator="equal">
      <formula>"×"</formula>
    </cfRule>
  </conditionalFormatting>
  <conditionalFormatting sqref="AI17:AI19">
    <cfRule type="cellIs" dxfId="10447" priority="23785" operator="equal">
      <formula>1</formula>
    </cfRule>
    <cfRule type="cellIs" dxfId="10446" priority="23786" operator="equal">
      <formula>"×"</formula>
    </cfRule>
  </conditionalFormatting>
  <conditionalFormatting sqref="AI17:AI19">
    <cfRule type="cellIs" dxfId="10445" priority="23783" operator="equal">
      <formula>1</formula>
    </cfRule>
    <cfRule type="cellIs" dxfId="10444" priority="23784" operator="equal">
      <formula>"×"</formula>
    </cfRule>
  </conditionalFormatting>
  <conditionalFormatting sqref="AI17:AI19">
    <cfRule type="cellIs" dxfId="10443" priority="23781" operator="equal">
      <formula>1</formula>
    </cfRule>
    <cfRule type="cellIs" dxfId="10442" priority="23782" operator="equal">
      <formula>"×"</formula>
    </cfRule>
  </conditionalFormatting>
  <conditionalFormatting sqref="AI17:AI19">
    <cfRule type="cellIs" dxfId="10441" priority="23779" operator="equal">
      <formula>1</formula>
    </cfRule>
    <cfRule type="cellIs" dxfId="10440" priority="23780" operator="equal">
      <formula>"×"</formula>
    </cfRule>
  </conditionalFormatting>
  <conditionalFormatting sqref="AI17:AI19">
    <cfRule type="cellIs" dxfId="10439" priority="23777" operator="equal">
      <formula>1</formula>
    </cfRule>
    <cfRule type="cellIs" dxfId="10438" priority="23778" operator="equal">
      <formula>"×"</formula>
    </cfRule>
  </conditionalFormatting>
  <conditionalFormatting sqref="AF17:AI17">
    <cfRule type="cellIs" dxfId="10437" priority="23753" operator="equal">
      <formula>1</formula>
    </cfRule>
    <cfRule type="cellIs" dxfId="10436" priority="23754" operator="equal">
      <formula>"×"</formula>
    </cfRule>
  </conditionalFormatting>
  <conditionalFormatting sqref="AI17">
    <cfRule type="cellIs" dxfId="10435" priority="23751" operator="equal">
      <formula>1</formula>
    </cfRule>
    <cfRule type="cellIs" dxfId="10434" priority="23752" operator="equal">
      <formula>"×"</formula>
    </cfRule>
  </conditionalFormatting>
  <conditionalFormatting sqref="AF17:AI17">
    <cfRule type="cellIs" dxfId="10433" priority="23749" operator="equal">
      <formula>1</formula>
    </cfRule>
    <cfRule type="cellIs" dxfId="10432" priority="23750" operator="equal">
      <formula>"×"</formula>
    </cfRule>
  </conditionalFormatting>
  <conditionalFormatting sqref="AF17">
    <cfRule type="cellIs" dxfId="10431" priority="23775" operator="equal">
      <formula>1</formula>
    </cfRule>
    <cfRule type="cellIs" dxfId="10430" priority="23776" operator="equal">
      <formula>"×"</formula>
    </cfRule>
  </conditionalFormatting>
  <conditionalFormatting sqref="AF17">
    <cfRule type="cellIs" dxfId="10429" priority="23773" operator="equal">
      <formula>1</formula>
    </cfRule>
    <cfRule type="cellIs" dxfId="10428" priority="23774" operator="equal">
      <formula>"×"</formula>
    </cfRule>
  </conditionalFormatting>
  <conditionalFormatting sqref="AF13:AF14 AF17:AF19">
    <cfRule type="cellIs" dxfId="10427" priority="23771" operator="equal">
      <formula>1</formula>
    </cfRule>
    <cfRule type="cellIs" dxfId="10426" priority="23772" operator="equal">
      <formula>"×"</formula>
    </cfRule>
  </conditionalFormatting>
  <conditionalFormatting sqref="AF13:AF14 AF17:AF19">
    <cfRule type="cellIs" dxfId="10425" priority="23769" operator="equal">
      <formula>1</formula>
    </cfRule>
    <cfRule type="cellIs" dxfId="10424" priority="23770" operator="equal">
      <formula>"×"</formula>
    </cfRule>
  </conditionalFormatting>
  <conditionalFormatting sqref="AF17">
    <cfRule type="cellIs" dxfId="10423" priority="23767" operator="equal">
      <formula>1</formula>
    </cfRule>
    <cfRule type="cellIs" dxfId="10422" priority="23768" operator="equal">
      <formula>"×"</formula>
    </cfRule>
  </conditionalFormatting>
  <conditionalFormatting sqref="AF17">
    <cfRule type="cellIs" dxfId="10421" priority="23765" operator="equal">
      <formula>1</formula>
    </cfRule>
    <cfRule type="cellIs" dxfId="10420" priority="23766" operator="equal">
      <formula>"×"</formula>
    </cfRule>
  </conditionalFormatting>
  <conditionalFormatting sqref="AF13:AF14 AF17:AI19">
    <cfRule type="cellIs" dxfId="10419" priority="23763" operator="equal">
      <formula>1</formula>
    </cfRule>
    <cfRule type="cellIs" dxfId="10418" priority="23764" operator="equal">
      <formula>"×"</formula>
    </cfRule>
  </conditionalFormatting>
  <conditionalFormatting sqref="AI18">
    <cfRule type="cellIs" dxfId="10417" priority="23761" operator="equal">
      <formula>1</formula>
    </cfRule>
    <cfRule type="cellIs" dxfId="10416" priority="23762" operator="equal">
      <formula>"×"</formula>
    </cfRule>
  </conditionalFormatting>
  <conditionalFormatting sqref="AF13:AF14 AF17:AI19">
    <cfRule type="cellIs" dxfId="10415" priority="23759" operator="equal">
      <formula>1</formula>
    </cfRule>
    <cfRule type="cellIs" dxfId="10414" priority="23760" operator="equal">
      <formula>"×"</formula>
    </cfRule>
  </conditionalFormatting>
  <conditionalFormatting sqref="AF17">
    <cfRule type="cellIs" dxfId="10413" priority="23757" operator="equal">
      <formula>1</formula>
    </cfRule>
    <cfRule type="cellIs" dxfId="10412" priority="23758" operator="equal">
      <formula>"×"</formula>
    </cfRule>
  </conditionalFormatting>
  <conditionalFormatting sqref="AF17">
    <cfRule type="cellIs" dxfId="10411" priority="23755" operator="equal">
      <formula>1</formula>
    </cfRule>
    <cfRule type="cellIs" dxfId="10410" priority="23756" operator="equal">
      <formula>"×"</formula>
    </cfRule>
  </conditionalFormatting>
  <conditionalFormatting sqref="AF13:AF14 AF17:AI19">
    <cfRule type="cellIs" dxfId="10409" priority="23747" operator="equal">
      <formula>1</formula>
    </cfRule>
    <cfRule type="cellIs" dxfId="10408" priority="23748" operator="equal">
      <formula>"×"</formula>
    </cfRule>
  </conditionalFormatting>
  <conditionalFormatting sqref="AI18">
    <cfRule type="cellIs" dxfId="10407" priority="23745" operator="equal">
      <formula>1</formula>
    </cfRule>
    <cfRule type="cellIs" dxfId="10406" priority="23746" operator="equal">
      <formula>"×"</formula>
    </cfRule>
  </conditionalFormatting>
  <conditionalFormatting sqref="AF13:AF14 AF17:AI19">
    <cfRule type="cellIs" dxfId="10405" priority="23743" operator="equal">
      <formula>1</formula>
    </cfRule>
    <cfRule type="cellIs" dxfId="10404" priority="23744" operator="equal">
      <formula>"×"</formula>
    </cfRule>
  </conditionalFormatting>
  <conditionalFormatting sqref="AF13:AF14 AF17:AI19">
    <cfRule type="cellIs" dxfId="10403" priority="23741" operator="equal">
      <formula>1</formula>
    </cfRule>
    <cfRule type="cellIs" dxfId="10402" priority="23742" operator="equal">
      <formula>"×"</formula>
    </cfRule>
  </conditionalFormatting>
  <conditionalFormatting sqref="AI18">
    <cfRule type="cellIs" dxfId="10401" priority="23739" operator="equal">
      <formula>1</formula>
    </cfRule>
    <cfRule type="cellIs" dxfId="10400" priority="23740" operator="equal">
      <formula>"×"</formula>
    </cfRule>
  </conditionalFormatting>
  <conditionalFormatting sqref="AF17">
    <cfRule type="cellIs" dxfId="10399" priority="23737" operator="equal">
      <formula>1</formula>
    </cfRule>
    <cfRule type="cellIs" dxfId="10398" priority="23738" operator="equal">
      <formula>"×"</formula>
    </cfRule>
  </conditionalFormatting>
  <conditionalFormatting sqref="AF17">
    <cfRule type="cellIs" dxfId="10397" priority="23733" operator="equal">
      <formula>1</formula>
    </cfRule>
    <cfRule type="cellIs" dxfId="10396" priority="23734" operator="equal">
      <formula>"×"</formula>
    </cfRule>
  </conditionalFormatting>
  <conditionalFormatting sqref="AF17">
    <cfRule type="cellIs" dxfId="10395" priority="23735" operator="equal">
      <formula>1</formula>
    </cfRule>
    <cfRule type="cellIs" dxfId="10394" priority="23736" operator="equal">
      <formula>"×"</formula>
    </cfRule>
  </conditionalFormatting>
  <conditionalFormatting sqref="AF17">
    <cfRule type="cellIs" dxfId="10393" priority="23731" operator="equal">
      <formula>1</formula>
    </cfRule>
    <cfRule type="cellIs" dxfId="10392" priority="23732" operator="equal">
      <formula>"×"</formula>
    </cfRule>
  </conditionalFormatting>
  <conditionalFormatting sqref="AF17">
    <cfRule type="cellIs" dxfId="10391" priority="23729" operator="equal">
      <formula>1</formula>
    </cfRule>
    <cfRule type="cellIs" dxfId="10390" priority="23730" operator="equal">
      <formula>"×"</formula>
    </cfRule>
  </conditionalFormatting>
  <conditionalFormatting sqref="AF17">
    <cfRule type="cellIs" dxfId="10389" priority="23727" operator="equal">
      <formula>1</formula>
    </cfRule>
    <cfRule type="cellIs" dxfId="10388" priority="23728" operator="equal">
      <formula>"×"</formula>
    </cfRule>
  </conditionalFormatting>
  <conditionalFormatting sqref="AF17">
    <cfRule type="cellIs" dxfId="10387" priority="23725" operator="equal">
      <formula>1</formula>
    </cfRule>
    <cfRule type="cellIs" dxfId="10386" priority="23726" operator="equal">
      <formula>"×"</formula>
    </cfRule>
  </conditionalFormatting>
  <conditionalFormatting sqref="AH16:AI16">
    <cfRule type="cellIs" dxfId="10385" priority="23723" operator="equal">
      <formula>1</formula>
    </cfRule>
    <cfRule type="cellIs" dxfId="10384" priority="23724" operator="equal">
      <formula>"×"</formula>
    </cfRule>
  </conditionalFormatting>
  <conditionalFormatting sqref="AI16">
    <cfRule type="cellIs" dxfId="10383" priority="23721" operator="equal">
      <formula>1</formula>
    </cfRule>
    <cfRule type="cellIs" dxfId="10382" priority="23722" operator="equal">
      <formula>"×"</formula>
    </cfRule>
  </conditionalFormatting>
  <conditionalFormatting sqref="AH16:AI16">
    <cfRule type="cellIs" dxfId="10381" priority="23719" operator="equal">
      <formula>1</formula>
    </cfRule>
    <cfRule type="cellIs" dxfId="10380" priority="23720" operator="equal">
      <formula>"×"</formula>
    </cfRule>
  </conditionalFormatting>
  <conditionalFormatting sqref="AH16:AI16">
    <cfRule type="cellIs" dxfId="10379" priority="23717" operator="equal">
      <formula>1</formula>
    </cfRule>
    <cfRule type="cellIs" dxfId="10378" priority="23718" operator="equal">
      <formula>"×"</formula>
    </cfRule>
  </conditionalFormatting>
  <conditionalFormatting sqref="AI16">
    <cfRule type="cellIs" dxfId="10377" priority="23715" operator="equal">
      <formula>1</formula>
    </cfRule>
    <cfRule type="cellIs" dxfId="10376" priority="23716" operator="equal">
      <formula>"×"</formula>
    </cfRule>
  </conditionalFormatting>
  <conditionalFormatting sqref="AH16:AI16">
    <cfRule type="cellIs" dxfId="10375" priority="23713" operator="equal">
      <formula>1</formula>
    </cfRule>
    <cfRule type="cellIs" dxfId="10374" priority="23714" operator="equal">
      <formula>"×"</formula>
    </cfRule>
  </conditionalFormatting>
  <conditionalFormatting sqref="AF13:AG13">
    <cfRule type="cellIs" dxfId="10373" priority="23687" operator="equal">
      <formula>1</formula>
    </cfRule>
    <cfRule type="cellIs" dxfId="10372" priority="23688" operator="equal">
      <formula>"×"</formula>
    </cfRule>
  </conditionalFormatting>
  <conditionalFormatting sqref="AF13:AG13">
    <cfRule type="cellIs" dxfId="10371" priority="23685" operator="equal">
      <formula>1</formula>
    </cfRule>
    <cfRule type="cellIs" dxfId="10370" priority="23686" operator="equal">
      <formula>"×"</formula>
    </cfRule>
  </conditionalFormatting>
  <conditionalFormatting sqref="AF13:AG13">
    <cfRule type="cellIs" dxfId="10369" priority="23681" operator="equal">
      <formula>1</formula>
    </cfRule>
    <cfRule type="cellIs" dxfId="10368" priority="23682" operator="equal">
      <formula>"×"</formula>
    </cfRule>
  </conditionalFormatting>
  <conditionalFormatting sqref="AF13:AG13">
    <cfRule type="cellIs" dxfId="10367" priority="23683" operator="equal">
      <formula>1</formula>
    </cfRule>
    <cfRule type="cellIs" dxfId="10366" priority="23684" operator="equal">
      <formula>"×"</formula>
    </cfRule>
  </conditionalFormatting>
  <conditionalFormatting sqref="AF13:AG13">
    <cfRule type="cellIs" dxfId="10365" priority="23711" operator="equal">
      <formula>1</formula>
    </cfRule>
    <cfRule type="cellIs" dxfId="10364" priority="23712" operator="equal">
      <formula>"×"</formula>
    </cfRule>
  </conditionalFormatting>
  <conditionalFormatting sqref="AF13:AG13">
    <cfRule type="cellIs" dxfId="10363" priority="23709" operator="equal">
      <formula>1</formula>
    </cfRule>
    <cfRule type="cellIs" dxfId="10362" priority="23710" operator="equal">
      <formula>"×"</formula>
    </cfRule>
  </conditionalFormatting>
  <conditionalFormatting sqref="AF13:AG13">
    <cfRule type="cellIs" dxfId="10361" priority="23707" operator="equal">
      <formula>1</formula>
    </cfRule>
    <cfRule type="cellIs" dxfId="10360" priority="23708" operator="equal">
      <formula>"×"</formula>
    </cfRule>
  </conditionalFormatting>
  <conditionalFormatting sqref="AF13:AG13">
    <cfRule type="cellIs" dxfId="10359" priority="23705" operator="equal">
      <formula>1</formula>
    </cfRule>
    <cfRule type="cellIs" dxfId="10358" priority="23706" operator="equal">
      <formula>"×"</formula>
    </cfRule>
  </conditionalFormatting>
  <conditionalFormatting sqref="AF13:AG13">
    <cfRule type="cellIs" dxfId="10357" priority="23703" operator="equal">
      <formula>1</formula>
    </cfRule>
    <cfRule type="cellIs" dxfId="10356" priority="23704" operator="equal">
      <formula>"×"</formula>
    </cfRule>
  </conditionalFormatting>
  <conditionalFormatting sqref="AF13:AG13">
    <cfRule type="cellIs" dxfId="10355" priority="23701" operator="equal">
      <formula>1</formula>
    </cfRule>
    <cfRule type="cellIs" dxfId="10354" priority="23702" operator="equal">
      <formula>"×"</formula>
    </cfRule>
  </conditionalFormatting>
  <conditionalFormatting sqref="AF13:AG13">
    <cfRule type="cellIs" dxfId="10353" priority="23699" operator="equal">
      <formula>1</formula>
    </cfRule>
    <cfRule type="cellIs" dxfId="10352" priority="23700" operator="equal">
      <formula>"×"</formula>
    </cfRule>
  </conditionalFormatting>
  <conditionalFormatting sqref="AF13:AG13">
    <cfRule type="cellIs" dxfId="10351" priority="23697" operator="equal">
      <formula>1</formula>
    </cfRule>
    <cfRule type="cellIs" dxfId="10350" priority="23698" operator="equal">
      <formula>"×"</formula>
    </cfRule>
  </conditionalFormatting>
  <conditionalFormatting sqref="AF13:AG13">
    <cfRule type="cellIs" dxfId="10349" priority="23695" operator="equal">
      <formula>1</formula>
    </cfRule>
    <cfRule type="cellIs" dxfId="10348" priority="23696" operator="equal">
      <formula>"×"</formula>
    </cfRule>
  </conditionalFormatting>
  <conditionalFormatting sqref="AF13:AG13">
    <cfRule type="cellIs" dxfId="10347" priority="23693" operator="equal">
      <formula>1</formula>
    </cfRule>
    <cfRule type="cellIs" dxfId="10346" priority="23694" operator="equal">
      <formula>"×"</formula>
    </cfRule>
  </conditionalFormatting>
  <conditionalFormatting sqref="AF13:AG13">
    <cfRule type="cellIs" dxfId="10345" priority="23691" operator="equal">
      <formula>1</formula>
    </cfRule>
    <cfRule type="cellIs" dxfId="10344" priority="23692" operator="equal">
      <formula>"×"</formula>
    </cfRule>
  </conditionalFormatting>
  <conditionalFormatting sqref="AF13:AG13">
    <cfRule type="cellIs" dxfId="10343" priority="23689" operator="equal">
      <formula>1</formula>
    </cfRule>
    <cfRule type="cellIs" dxfId="10342" priority="23690" operator="equal">
      <formula>"×"</formula>
    </cfRule>
  </conditionalFormatting>
  <conditionalFormatting sqref="AH13:AI13">
    <cfRule type="cellIs" dxfId="10341" priority="23655" operator="equal">
      <formula>1</formula>
    </cfRule>
    <cfRule type="cellIs" dxfId="10340" priority="23656" operator="equal">
      <formula>"×"</formula>
    </cfRule>
  </conditionalFormatting>
  <conditionalFormatting sqref="AH13:AI13">
    <cfRule type="cellIs" dxfId="10339" priority="23653" operator="equal">
      <formula>1</formula>
    </cfRule>
    <cfRule type="cellIs" dxfId="10338" priority="23654" operator="equal">
      <formula>"×"</formula>
    </cfRule>
  </conditionalFormatting>
  <conditionalFormatting sqref="AH13:AI13">
    <cfRule type="cellIs" dxfId="10337" priority="23649" operator="equal">
      <formula>1</formula>
    </cfRule>
    <cfRule type="cellIs" dxfId="10336" priority="23650" operator="equal">
      <formula>"×"</formula>
    </cfRule>
  </conditionalFormatting>
  <conditionalFormatting sqref="AH13:AI13">
    <cfRule type="cellIs" dxfId="10335" priority="23651" operator="equal">
      <formula>1</formula>
    </cfRule>
    <cfRule type="cellIs" dxfId="10334" priority="23652" operator="equal">
      <formula>"×"</formula>
    </cfRule>
  </conditionalFormatting>
  <conditionalFormatting sqref="AH13:AI13">
    <cfRule type="cellIs" dxfId="10333" priority="23679" operator="equal">
      <formula>1</formula>
    </cfRule>
    <cfRule type="cellIs" dxfId="10332" priority="23680" operator="equal">
      <formula>"×"</formula>
    </cfRule>
  </conditionalFormatting>
  <conditionalFormatting sqref="AH13:AI13">
    <cfRule type="cellIs" dxfId="10331" priority="23677" operator="equal">
      <formula>1</formula>
    </cfRule>
    <cfRule type="cellIs" dxfId="10330" priority="23678" operator="equal">
      <formula>"×"</formula>
    </cfRule>
  </conditionalFormatting>
  <conditionalFormatting sqref="AH13:AI13">
    <cfRule type="cellIs" dxfId="10329" priority="23675" operator="equal">
      <formula>1</formula>
    </cfRule>
    <cfRule type="cellIs" dxfId="10328" priority="23676" operator="equal">
      <formula>"×"</formula>
    </cfRule>
  </conditionalFormatting>
  <conditionalFormatting sqref="AH13:AI13">
    <cfRule type="cellIs" dxfId="10327" priority="23673" operator="equal">
      <formula>1</formula>
    </cfRule>
    <cfRule type="cellIs" dxfId="10326" priority="23674" operator="equal">
      <formula>"×"</formula>
    </cfRule>
  </conditionalFormatting>
  <conditionalFormatting sqref="AH13:AI13">
    <cfRule type="cellIs" dxfId="10325" priority="23671" operator="equal">
      <formula>1</formula>
    </cfRule>
    <cfRule type="cellIs" dxfId="10324" priority="23672" operator="equal">
      <formula>"×"</formula>
    </cfRule>
  </conditionalFormatting>
  <conditionalFormatting sqref="AH13:AI13">
    <cfRule type="cellIs" dxfId="10323" priority="23669" operator="equal">
      <formula>1</formula>
    </cfRule>
    <cfRule type="cellIs" dxfId="10322" priority="23670" operator="equal">
      <formula>"×"</formula>
    </cfRule>
  </conditionalFormatting>
  <conditionalFormatting sqref="AH13:AI13">
    <cfRule type="cellIs" dxfId="10321" priority="23667" operator="equal">
      <formula>1</formula>
    </cfRule>
    <cfRule type="cellIs" dxfId="10320" priority="23668" operator="equal">
      <formula>"×"</formula>
    </cfRule>
  </conditionalFormatting>
  <conditionalFormatting sqref="AH13:AI13">
    <cfRule type="cellIs" dxfId="10319" priority="23665" operator="equal">
      <formula>1</formula>
    </cfRule>
    <cfRule type="cellIs" dxfId="10318" priority="23666" operator="equal">
      <formula>"×"</formula>
    </cfRule>
  </conditionalFormatting>
  <conditionalFormatting sqref="AH13:AI13">
    <cfRule type="cellIs" dxfId="10317" priority="23663" operator="equal">
      <formula>1</formula>
    </cfRule>
    <cfRule type="cellIs" dxfId="10316" priority="23664" operator="equal">
      <formula>"×"</formula>
    </cfRule>
  </conditionalFormatting>
  <conditionalFormatting sqref="AH13:AI13">
    <cfRule type="cellIs" dxfId="10315" priority="23661" operator="equal">
      <formula>1</formula>
    </cfRule>
    <cfRule type="cellIs" dxfId="10314" priority="23662" operator="equal">
      <formula>"×"</formula>
    </cfRule>
  </conditionalFormatting>
  <conditionalFormatting sqref="AH13:AI13">
    <cfRule type="cellIs" dxfId="10313" priority="23659" operator="equal">
      <formula>1</formula>
    </cfRule>
    <cfRule type="cellIs" dxfId="10312" priority="23660" operator="equal">
      <formula>"×"</formula>
    </cfRule>
  </conditionalFormatting>
  <conditionalFormatting sqref="AH13:AI13">
    <cfRule type="cellIs" dxfId="10311" priority="23657" operator="equal">
      <formula>1</formula>
    </cfRule>
    <cfRule type="cellIs" dxfId="10310" priority="23658" operator="equal">
      <formula>"×"</formula>
    </cfRule>
  </conditionalFormatting>
  <conditionalFormatting sqref="AH14">
    <cfRule type="cellIs" dxfId="10309" priority="23647" operator="equal">
      <formula>1</formula>
    </cfRule>
    <cfRule type="cellIs" dxfId="10308" priority="23648" operator="equal">
      <formula>"×"</formula>
    </cfRule>
  </conditionalFormatting>
  <conditionalFormatting sqref="AH14">
    <cfRule type="cellIs" dxfId="10307" priority="23645" operator="equal">
      <formula>1</formula>
    </cfRule>
    <cfRule type="cellIs" dxfId="10306" priority="23646" operator="equal">
      <formula>"×"</formula>
    </cfRule>
  </conditionalFormatting>
  <conditionalFormatting sqref="AH14">
    <cfRule type="cellIs" dxfId="10305" priority="23619" operator="equal">
      <formula>1</formula>
    </cfRule>
    <cfRule type="cellIs" dxfId="10304" priority="23620" operator="equal">
      <formula>"×"</formula>
    </cfRule>
  </conditionalFormatting>
  <conditionalFormatting sqref="AH14">
    <cfRule type="cellIs" dxfId="10303" priority="23617" operator="equal">
      <formula>1</formula>
    </cfRule>
    <cfRule type="cellIs" dxfId="10302" priority="23618" operator="equal">
      <formula>"×"</formula>
    </cfRule>
  </conditionalFormatting>
  <conditionalFormatting sqref="AH14">
    <cfRule type="cellIs" dxfId="10301" priority="23613" operator="equal">
      <formula>1</formula>
    </cfRule>
    <cfRule type="cellIs" dxfId="10300" priority="23614" operator="equal">
      <formula>"×"</formula>
    </cfRule>
  </conditionalFormatting>
  <conditionalFormatting sqref="AH14">
    <cfRule type="cellIs" dxfId="10299" priority="23615" operator="equal">
      <formula>1</formula>
    </cfRule>
    <cfRule type="cellIs" dxfId="10298" priority="23616" operator="equal">
      <formula>"×"</formula>
    </cfRule>
  </conditionalFormatting>
  <conditionalFormatting sqref="AH14">
    <cfRule type="cellIs" dxfId="10297" priority="23643" operator="equal">
      <formula>1</formula>
    </cfRule>
    <cfRule type="cellIs" dxfId="10296" priority="23644" operator="equal">
      <formula>"×"</formula>
    </cfRule>
  </conditionalFormatting>
  <conditionalFormatting sqref="AH14">
    <cfRule type="cellIs" dxfId="10295" priority="23641" operator="equal">
      <formula>1</formula>
    </cfRule>
    <cfRule type="cellIs" dxfId="10294" priority="23642" operator="equal">
      <formula>"×"</formula>
    </cfRule>
  </conditionalFormatting>
  <conditionalFormatting sqref="AH14">
    <cfRule type="cellIs" dxfId="10293" priority="23639" operator="equal">
      <formula>1</formula>
    </cfRule>
    <cfRule type="cellIs" dxfId="10292" priority="23640" operator="equal">
      <formula>"×"</formula>
    </cfRule>
  </conditionalFormatting>
  <conditionalFormatting sqref="AH14">
    <cfRule type="cellIs" dxfId="10291" priority="23637" operator="equal">
      <formula>1</formula>
    </cfRule>
    <cfRule type="cellIs" dxfId="10290" priority="23638" operator="equal">
      <formula>"×"</formula>
    </cfRule>
  </conditionalFormatting>
  <conditionalFormatting sqref="AH14">
    <cfRule type="cellIs" dxfId="10289" priority="23635" operator="equal">
      <formula>1</formula>
    </cfRule>
    <cfRule type="cellIs" dxfId="10288" priority="23636" operator="equal">
      <formula>"×"</formula>
    </cfRule>
  </conditionalFormatting>
  <conditionalFormatting sqref="AH14">
    <cfRule type="cellIs" dxfId="10287" priority="23633" operator="equal">
      <formula>1</formula>
    </cfRule>
    <cfRule type="cellIs" dxfId="10286" priority="23634" operator="equal">
      <formula>"×"</formula>
    </cfRule>
  </conditionalFormatting>
  <conditionalFormatting sqref="AH14">
    <cfRule type="cellIs" dxfId="10285" priority="23631" operator="equal">
      <formula>1</formula>
    </cfRule>
    <cfRule type="cellIs" dxfId="10284" priority="23632" operator="equal">
      <formula>"×"</formula>
    </cfRule>
  </conditionalFormatting>
  <conditionalFormatting sqref="AH14">
    <cfRule type="cellIs" dxfId="10283" priority="23629" operator="equal">
      <formula>1</formula>
    </cfRule>
    <cfRule type="cellIs" dxfId="10282" priority="23630" operator="equal">
      <formula>"×"</formula>
    </cfRule>
  </conditionalFormatting>
  <conditionalFormatting sqref="AH14">
    <cfRule type="cellIs" dxfId="10281" priority="23627" operator="equal">
      <formula>1</formula>
    </cfRule>
    <cfRule type="cellIs" dxfId="10280" priority="23628" operator="equal">
      <formula>"×"</formula>
    </cfRule>
  </conditionalFormatting>
  <conditionalFormatting sqref="AH14">
    <cfRule type="cellIs" dxfId="10279" priority="23625" operator="equal">
      <formula>1</formula>
    </cfRule>
    <cfRule type="cellIs" dxfId="10278" priority="23626" operator="equal">
      <formula>"×"</formula>
    </cfRule>
  </conditionalFormatting>
  <conditionalFormatting sqref="AH14">
    <cfRule type="cellIs" dxfId="10277" priority="23623" operator="equal">
      <formula>1</formula>
    </cfRule>
    <cfRule type="cellIs" dxfId="10276" priority="23624" operator="equal">
      <formula>"×"</formula>
    </cfRule>
  </conditionalFormatting>
  <conditionalFormatting sqref="AH14">
    <cfRule type="cellIs" dxfId="10275" priority="23621" operator="equal">
      <formula>1</formula>
    </cfRule>
    <cfRule type="cellIs" dxfId="10274" priority="23622" operator="equal">
      <formula>"×"</formula>
    </cfRule>
  </conditionalFormatting>
  <conditionalFormatting sqref="AF8:AF13">
    <cfRule type="cellIs" dxfId="10273" priority="19923" operator="equal">
      <formula>1</formula>
    </cfRule>
    <cfRule type="cellIs" dxfId="10272" priority="19924" operator="equal">
      <formula>"×"</formula>
    </cfRule>
  </conditionalFormatting>
  <conditionalFormatting sqref="AF19">
    <cfRule type="cellIs" dxfId="10271" priority="23593" operator="equal">
      <formula>1</formula>
    </cfRule>
    <cfRule type="cellIs" dxfId="10270" priority="23594" operator="equal">
      <formula>"×"</formula>
    </cfRule>
  </conditionalFormatting>
  <conditionalFormatting sqref="AF19">
    <cfRule type="cellIs" dxfId="10269" priority="23591" operator="equal">
      <formula>1</formula>
    </cfRule>
    <cfRule type="cellIs" dxfId="10268" priority="23592" operator="equal">
      <formula>"×"</formula>
    </cfRule>
  </conditionalFormatting>
  <conditionalFormatting sqref="AI19">
    <cfRule type="cellIs" dxfId="10267" priority="23607" operator="equal">
      <formula>1</formula>
    </cfRule>
    <cfRule type="cellIs" dxfId="10266" priority="23608" operator="equal">
      <formula>"×"</formula>
    </cfRule>
  </conditionalFormatting>
  <conditionalFormatting sqref="AF19:AI19">
    <cfRule type="cellIs" dxfId="10265" priority="23609" operator="equal">
      <formula>1</formula>
    </cfRule>
    <cfRule type="cellIs" dxfId="10264" priority="23610" operator="equal">
      <formula>"×"</formula>
    </cfRule>
  </conditionalFormatting>
  <conditionalFormatting sqref="AF19:AI19">
    <cfRule type="cellIs" dxfId="10263" priority="23605" operator="equal">
      <formula>1</formula>
    </cfRule>
    <cfRule type="cellIs" dxfId="10262" priority="23606" operator="equal">
      <formula>"×"</formula>
    </cfRule>
  </conditionalFormatting>
  <conditionalFormatting sqref="AF8:AF13">
    <cfRule type="cellIs" dxfId="10261" priority="19915" operator="equal">
      <formula>1</formula>
    </cfRule>
    <cfRule type="cellIs" dxfId="10260" priority="19916" operator="equal">
      <formula>"×"</formula>
    </cfRule>
  </conditionalFormatting>
  <conditionalFormatting sqref="AF8:AF13">
    <cfRule type="cellIs" dxfId="10259" priority="19913" operator="equal">
      <formula>1</formula>
    </cfRule>
    <cfRule type="cellIs" dxfId="10258" priority="19914" operator="equal">
      <formula>"×"</formula>
    </cfRule>
  </conditionalFormatting>
  <conditionalFormatting sqref="AF8:AF13">
    <cfRule type="cellIs" dxfId="10257" priority="19911" operator="equal">
      <formula>1</formula>
    </cfRule>
    <cfRule type="cellIs" dxfId="10256" priority="19912" operator="equal">
      <formula>"×"</formula>
    </cfRule>
  </conditionalFormatting>
  <conditionalFormatting sqref="AF8:AF13">
    <cfRule type="cellIs" dxfId="10255" priority="19909" operator="equal">
      <formula>1</formula>
    </cfRule>
    <cfRule type="cellIs" dxfId="10254" priority="19910" operator="equal">
      <formula>"×"</formula>
    </cfRule>
  </conditionalFormatting>
  <conditionalFormatting sqref="AF8:AF13">
    <cfRule type="cellIs" dxfId="10253" priority="19907" operator="equal">
      <formula>1</formula>
    </cfRule>
    <cfRule type="cellIs" dxfId="10252" priority="19908" operator="equal">
      <formula>"×"</formula>
    </cfRule>
  </conditionalFormatting>
  <conditionalFormatting sqref="AF8:AF13">
    <cfRule type="cellIs" dxfId="10251" priority="19901" operator="equal">
      <formula>1</formula>
    </cfRule>
    <cfRule type="cellIs" dxfId="10250" priority="19902" operator="equal">
      <formula>"×"</formula>
    </cfRule>
  </conditionalFormatting>
  <conditionalFormatting sqref="AF8:AF13">
    <cfRule type="cellIs" dxfId="10249" priority="19899" operator="equal">
      <formula>1</formula>
    </cfRule>
    <cfRule type="cellIs" dxfId="10248" priority="19900" operator="equal">
      <formula>"×"</formula>
    </cfRule>
  </conditionalFormatting>
  <conditionalFormatting sqref="AF8:AF13">
    <cfRule type="cellIs" dxfId="10247" priority="19897" operator="equal">
      <formula>1</formula>
    </cfRule>
    <cfRule type="cellIs" dxfId="10246" priority="19898" operator="equal">
      <formula>"×"</formula>
    </cfRule>
  </conditionalFormatting>
  <conditionalFormatting sqref="AF8:AF13">
    <cfRule type="cellIs" dxfId="10245" priority="19895" operator="equal">
      <formula>1</formula>
    </cfRule>
    <cfRule type="cellIs" dxfId="10244" priority="19896" operator="equal">
      <formula>"×"</formula>
    </cfRule>
  </conditionalFormatting>
  <conditionalFormatting sqref="AF8:AF13">
    <cfRule type="cellIs" dxfId="10243" priority="19893" operator="equal">
      <formula>1</formula>
    </cfRule>
    <cfRule type="cellIs" dxfId="10242" priority="19894" operator="equal">
      <formula>"×"</formula>
    </cfRule>
  </conditionalFormatting>
  <conditionalFormatting sqref="AF8:AF13">
    <cfRule type="cellIs" dxfId="10241" priority="19891" operator="equal">
      <formula>1</formula>
    </cfRule>
    <cfRule type="cellIs" dxfId="10240" priority="19892" operator="equal">
      <formula>"×"</formula>
    </cfRule>
  </conditionalFormatting>
  <conditionalFormatting sqref="AF19">
    <cfRule type="cellIs" dxfId="10239" priority="23577" operator="equal">
      <formula>1</formula>
    </cfRule>
    <cfRule type="cellIs" dxfId="10238" priority="23578" operator="equal">
      <formula>"×"</formula>
    </cfRule>
  </conditionalFormatting>
  <conditionalFormatting sqref="AF19">
    <cfRule type="cellIs" dxfId="10237" priority="23575" operator="equal">
      <formula>1</formula>
    </cfRule>
    <cfRule type="cellIs" dxfId="10236" priority="23576" operator="equal">
      <formula>"×"</formula>
    </cfRule>
  </conditionalFormatting>
  <conditionalFormatting sqref="AF19">
    <cfRule type="cellIs" dxfId="10235" priority="23573" operator="equal">
      <formula>1</formula>
    </cfRule>
    <cfRule type="cellIs" dxfId="10234" priority="23574" operator="equal">
      <formula>"×"</formula>
    </cfRule>
  </conditionalFormatting>
  <conditionalFormatting sqref="AF19">
    <cfRule type="cellIs" dxfId="10233" priority="23571" operator="equal">
      <formula>1</formula>
    </cfRule>
    <cfRule type="cellIs" dxfId="10232" priority="23572" operator="equal">
      <formula>"×"</formula>
    </cfRule>
  </conditionalFormatting>
  <conditionalFormatting sqref="AF19">
    <cfRule type="cellIs" dxfId="10231" priority="23569" operator="equal">
      <formula>1</formula>
    </cfRule>
    <cfRule type="cellIs" dxfId="10230" priority="23570" operator="equal">
      <formula>"×"</formula>
    </cfRule>
  </conditionalFormatting>
  <conditionalFormatting sqref="AF19">
    <cfRule type="cellIs" dxfId="10229" priority="23567" operator="equal">
      <formula>1</formula>
    </cfRule>
    <cfRule type="cellIs" dxfId="10228" priority="23568" operator="equal">
      <formula>"×"</formula>
    </cfRule>
  </conditionalFormatting>
  <conditionalFormatting sqref="AF8:AG13">
    <cfRule type="cellIs" dxfId="10227" priority="19877" operator="equal">
      <formula>1</formula>
    </cfRule>
    <cfRule type="cellIs" dxfId="10226" priority="19878" operator="equal">
      <formula>"×"</formula>
    </cfRule>
  </conditionalFormatting>
  <conditionalFormatting sqref="AF8:AG13">
    <cfRule type="cellIs" dxfId="10225" priority="19875" operator="equal">
      <formula>1</formula>
    </cfRule>
    <cfRule type="cellIs" dxfId="10224" priority="19876" operator="equal">
      <formula>"×"</formula>
    </cfRule>
  </conditionalFormatting>
  <conditionalFormatting sqref="AF8:AG13">
    <cfRule type="cellIs" dxfId="10223" priority="19873" operator="equal">
      <formula>1</formula>
    </cfRule>
    <cfRule type="cellIs" dxfId="10222" priority="19874" operator="equal">
      <formula>"×"</formula>
    </cfRule>
  </conditionalFormatting>
  <conditionalFormatting sqref="AF8:AG13">
    <cfRule type="cellIs" dxfId="10221" priority="19871" operator="equal">
      <formula>1</formula>
    </cfRule>
    <cfRule type="cellIs" dxfId="10220" priority="19872" operator="equal">
      <formula>"×"</formula>
    </cfRule>
  </conditionalFormatting>
  <conditionalFormatting sqref="AF8:AG13">
    <cfRule type="cellIs" dxfId="10219" priority="19869" operator="equal">
      <formula>1</formula>
    </cfRule>
    <cfRule type="cellIs" dxfId="10218" priority="19870" operator="equal">
      <formula>"×"</formula>
    </cfRule>
  </conditionalFormatting>
  <conditionalFormatting sqref="AF8:AG13">
    <cfRule type="cellIs" dxfId="10217" priority="19867" operator="equal">
      <formula>1</formula>
    </cfRule>
    <cfRule type="cellIs" dxfId="10216" priority="19868" operator="equal">
      <formula>"×"</formula>
    </cfRule>
  </conditionalFormatting>
  <conditionalFormatting sqref="AF19">
    <cfRule type="cellIs" dxfId="10215" priority="23553" operator="equal">
      <formula>1</formula>
    </cfRule>
    <cfRule type="cellIs" dxfId="10214" priority="23554" operator="equal">
      <formula>"×"</formula>
    </cfRule>
  </conditionalFormatting>
  <conditionalFormatting sqref="AF19">
    <cfRule type="cellIs" dxfId="10213" priority="23551" operator="equal">
      <formula>1</formula>
    </cfRule>
    <cfRule type="cellIs" dxfId="10212" priority="23552" operator="equal">
      <formula>"×"</formula>
    </cfRule>
  </conditionalFormatting>
  <conditionalFormatting sqref="AF19">
    <cfRule type="cellIs" dxfId="10211" priority="23549" operator="equal">
      <formula>1</formula>
    </cfRule>
    <cfRule type="cellIs" dxfId="10210" priority="23550" operator="equal">
      <formula>"×"</formula>
    </cfRule>
  </conditionalFormatting>
  <conditionalFormatting sqref="AF19">
    <cfRule type="cellIs" dxfId="10209" priority="23547" operator="equal">
      <formula>1</formula>
    </cfRule>
    <cfRule type="cellIs" dxfId="10208" priority="23548" operator="equal">
      <formula>"×"</formula>
    </cfRule>
  </conditionalFormatting>
  <conditionalFormatting sqref="AF19">
    <cfRule type="cellIs" dxfId="10207" priority="23545" operator="equal">
      <formula>1</formula>
    </cfRule>
    <cfRule type="cellIs" dxfId="10206" priority="23546" operator="equal">
      <formula>"×"</formula>
    </cfRule>
  </conditionalFormatting>
  <conditionalFormatting sqref="AF19">
    <cfRule type="cellIs" dxfId="10205" priority="23543" operator="equal">
      <formula>1</formula>
    </cfRule>
    <cfRule type="cellIs" dxfId="10204" priority="23544" operator="equal">
      <formula>"×"</formula>
    </cfRule>
  </conditionalFormatting>
  <conditionalFormatting sqref="AF19">
    <cfRule type="cellIs" dxfId="10203" priority="23541" operator="equal">
      <formula>1</formula>
    </cfRule>
    <cfRule type="cellIs" dxfId="10202" priority="23542" operator="equal">
      <formula>"×"</formula>
    </cfRule>
  </conditionalFormatting>
  <conditionalFormatting sqref="AF8:AG13">
    <cfRule type="cellIs" dxfId="10201" priority="19851" operator="equal">
      <formula>1</formula>
    </cfRule>
    <cfRule type="cellIs" dxfId="10200" priority="19852" operator="equal">
      <formula>"×"</formula>
    </cfRule>
  </conditionalFormatting>
  <conditionalFormatting sqref="AF8:AG13">
    <cfRule type="cellIs" dxfId="10199" priority="19847" operator="equal">
      <formula>1</formula>
    </cfRule>
    <cfRule type="cellIs" dxfId="10198" priority="19848" operator="equal">
      <formula>"×"</formula>
    </cfRule>
  </conditionalFormatting>
  <conditionalFormatting sqref="AF8:AG13">
    <cfRule type="cellIs" dxfId="10197" priority="19849" operator="equal">
      <formula>1</formula>
    </cfRule>
    <cfRule type="cellIs" dxfId="10196" priority="19850" operator="equal">
      <formula>"×"</formula>
    </cfRule>
  </conditionalFormatting>
  <conditionalFormatting sqref="AG19:AH19">
    <cfRule type="cellIs" dxfId="10195" priority="19845" operator="equal">
      <formula>1</formula>
    </cfRule>
    <cfRule type="cellIs" dxfId="10194" priority="19846" operator="equal">
      <formula>"×"</formula>
    </cfRule>
  </conditionalFormatting>
  <conditionalFormatting sqref="AF15:AI15">
    <cfRule type="cellIs" dxfId="10193" priority="19843" operator="equal">
      <formula>1</formula>
    </cfRule>
    <cfRule type="cellIs" dxfId="10192" priority="19844" operator="equal">
      <formula>"×"</formula>
    </cfRule>
  </conditionalFormatting>
  <conditionalFormatting sqref="AI15">
    <cfRule type="cellIs" dxfId="10191" priority="19841" operator="equal">
      <formula>1</formula>
    </cfRule>
    <cfRule type="cellIs" dxfId="10190" priority="19842" operator="equal">
      <formula>"×"</formula>
    </cfRule>
  </conditionalFormatting>
  <conditionalFormatting sqref="AF15:AI16 AF19:AI19">
    <cfRule type="cellIs" dxfId="10189" priority="19839" operator="equal">
      <formula>1</formula>
    </cfRule>
    <cfRule type="cellIs" dxfId="10188" priority="19840" operator="equal">
      <formula>"×"</formula>
    </cfRule>
  </conditionalFormatting>
  <conditionalFormatting sqref="AG13:AI16 AH14:AI18">
    <cfRule type="cellIs" dxfId="10187" priority="19837" operator="equal">
      <formula>1</formula>
    </cfRule>
    <cfRule type="cellIs" dxfId="10186" priority="19838" operator="equal">
      <formula>"×"</formula>
    </cfRule>
  </conditionalFormatting>
  <conditionalFormatting sqref="AI13:AI18">
    <cfRule type="cellIs" dxfId="10185" priority="19835" operator="equal">
      <formula>1</formula>
    </cfRule>
    <cfRule type="cellIs" dxfId="10184" priority="19836" operator="equal">
      <formula>"×"</formula>
    </cfRule>
  </conditionalFormatting>
  <conditionalFormatting sqref="AG13:AI16 AH14:AI18">
    <cfRule type="cellIs" dxfId="10183" priority="19833" operator="equal">
      <formula>1</formula>
    </cfRule>
    <cfRule type="cellIs" dxfId="10182" priority="19834" operator="equal">
      <formula>"×"</formula>
    </cfRule>
  </conditionalFormatting>
  <conditionalFormatting sqref="AF19">
    <cfRule type="cellIs" dxfId="10181" priority="19831" operator="equal">
      <formula>1</formula>
    </cfRule>
    <cfRule type="cellIs" dxfId="10180" priority="19832" operator="equal">
      <formula>"×"</formula>
    </cfRule>
  </conditionalFormatting>
  <conditionalFormatting sqref="AF19">
    <cfRule type="cellIs" dxfId="10179" priority="19829" operator="equal">
      <formula>1</formula>
    </cfRule>
    <cfRule type="cellIs" dxfId="10178" priority="19830" operator="equal">
      <formula>"×"</formula>
    </cfRule>
  </conditionalFormatting>
  <conditionalFormatting sqref="AF15:AF16 AF19">
    <cfRule type="cellIs" dxfId="10177" priority="19805" operator="equal">
      <formula>1</formula>
    </cfRule>
    <cfRule type="cellIs" dxfId="10176" priority="19806" operator="equal">
      <formula>"×"</formula>
    </cfRule>
  </conditionalFormatting>
  <conditionalFormatting sqref="AF15:AF16 AF19">
    <cfRule type="cellIs" dxfId="10175" priority="19803" operator="equal">
      <formula>1</formula>
    </cfRule>
    <cfRule type="cellIs" dxfId="10174" priority="19804" operator="equal">
      <formula>"×"</formula>
    </cfRule>
  </conditionalFormatting>
  <conditionalFormatting sqref="AF15:AF16 AF19">
    <cfRule type="cellIs" dxfId="10173" priority="19801" operator="equal">
      <formula>1</formula>
    </cfRule>
    <cfRule type="cellIs" dxfId="10172" priority="19802" operator="equal">
      <formula>"×"</formula>
    </cfRule>
  </conditionalFormatting>
  <conditionalFormatting sqref="AF19:AI19">
    <cfRule type="cellIs" dxfId="10171" priority="19827" operator="equal">
      <formula>1</formula>
    </cfRule>
    <cfRule type="cellIs" dxfId="10170" priority="19828" operator="equal">
      <formula>"×"</formula>
    </cfRule>
  </conditionalFormatting>
  <conditionalFormatting sqref="AI19">
    <cfRule type="cellIs" dxfId="10169" priority="19825" operator="equal">
      <formula>1</formula>
    </cfRule>
    <cfRule type="cellIs" dxfId="10168" priority="19826" operator="equal">
      <formula>"×"</formula>
    </cfRule>
  </conditionalFormatting>
  <conditionalFormatting sqref="AF19">
    <cfRule type="cellIs" dxfId="10167" priority="23511" operator="equal">
      <formula>1</formula>
    </cfRule>
    <cfRule type="cellIs" dxfId="10166" priority="23512" operator="equal">
      <formula>"×"</formula>
    </cfRule>
  </conditionalFormatting>
  <conditionalFormatting sqref="AF19">
    <cfRule type="cellIs" dxfId="10165" priority="23509" operator="equal">
      <formula>1</formula>
    </cfRule>
    <cfRule type="cellIs" dxfId="10164" priority="23510" operator="equal">
      <formula>"×"</formula>
    </cfRule>
  </conditionalFormatting>
  <conditionalFormatting sqref="AF15">
    <cfRule type="cellIs" dxfId="10163" priority="19819" operator="equal">
      <formula>1</formula>
    </cfRule>
    <cfRule type="cellIs" dxfId="10162" priority="19820" operator="equal">
      <formula>"×"</formula>
    </cfRule>
  </conditionalFormatting>
  <conditionalFormatting sqref="AF19:AI19">
    <cfRule type="cellIs" dxfId="10161" priority="19817" operator="equal">
      <formula>1</formula>
    </cfRule>
    <cfRule type="cellIs" dxfId="10160" priority="19818" operator="equal">
      <formula>"×"</formula>
    </cfRule>
  </conditionalFormatting>
  <conditionalFormatting sqref="AF19">
    <cfRule type="cellIs" dxfId="10159" priority="23503" operator="equal">
      <formula>1</formula>
    </cfRule>
    <cfRule type="cellIs" dxfId="10158" priority="23504" operator="equal">
      <formula>"×"</formula>
    </cfRule>
  </conditionalFormatting>
  <conditionalFormatting sqref="AF19:AI19">
    <cfRule type="cellIs" dxfId="10157" priority="19813" operator="equal">
      <formula>1</formula>
    </cfRule>
    <cfRule type="cellIs" dxfId="10156" priority="19814" operator="equal">
      <formula>"×"</formula>
    </cfRule>
  </conditionalFormatting>
  <conditionalFormatting sqref="AF19">
    <cfRule type="cellIs" dxfId="10155" priority="23499" operator="equal">
      <formula>1</formula>
    </cfRule>
    <cfRule type="cellIs" dxfId="10154" priority="23500" operator="equal">
      <formula>"×"</formula>
    </cfRule>
  </conditionalFormatting>
  <conditionalFormatting sqref="AI19">
    <cfRule type="cellIs" dxfId="10153" priority="19809" operator="equal">
      <formula>1</formula>
    </cfRule>
    <cfRule type="cellIs" dxfId="10152" priority="19810" operator="equal">
      <formula>"×"</formula>
    </cfRule>
  </conditionalFormatting>
  <conditionalFormatting sqref="AF19">
    <cfRule type="cellIs" dxfId="10151" priority="23487" operator="equal">
      <formula>1</formula>
    </cfRule>
    <cfRule type="cellIs" dxfId="10150" priority="23488" operator="equal">
      <formula>"×"</formula>
    </cfRule>
  </conditionalFormatting>
  <conditionalFormatting sqref="AF15:AF16 AF19">
    <cfRule type="cellIs" dxfId="10149" priority="19797" operator="equal">
      <formula>1</formula>
    </cfRule>
    <cfRule type="cellIs" dxfId="10148" priority="19798" operator="equal">
      <formula>"×"</formula>
    </cfRule>
  </conditionalFormatting>
  <conditionalFormatting sqref="AF19">
    <cfRule type="cellIs" dxfId="10147" priority="23483" operator="equal">
      <formula>1</formula>
    </cfRule>
    <cfRule type="cellIs" dxfId="10146" priority="23484" operator="equal">
      <formula>"×"</formula>
    </cfRule>
  </conditionalFormatting>
  <conditionalFormatting sqref="AF19">
    <cfRule type="cellIs" dxfId="10145" priority="23481" operator="equal">
      <formula>1</formula>
    </cfRule>
    <cfRule type="cellIs" dxfId="10144" priority="23482" operator="equal">
      <formula>"×"</formula>
    </cfRule>
  </conditionalFormatting>
  <conditionalFormatting sqref="AI19">
    <cfRule type="cellIs" dxfId="10143" priority="19791" operator="equal">
      <formula>1</formula>
    </cfRule>
    <cfRule type="cellIs" dxfId="10142" priority="19792" operator="equal">
      <formula>"×"</formula>
    </cfRule>
  </conditionalFormatting>
  <conditionalFormatting sqref="AG19:AI19">
    <cfRule type="cellIs" dxfId="10141" priority="19789" operator="equal">
      <formula>1</formula>
    </cfRule>
    <cfRule type="cellIs" dxfId="10140" priority="19790" operator="equal">
      <formula>"×"</formula>
    </cfRule>
  </conditionalFormatting>
  <conditionalFormatting sqref="AI19">
    <cfRule type="cellIs" dxfId="10139" priority="19785" operator="equal">
      <formula>1</formula>
    </cfRule>
    <cfRule type="cellIs" dxfId="10138" priority="19786" operator="equal">
      <formula>"×"</formula>
    </cfRule>
  </conditionalFormatting>
  <conditionalFormatting sqref="AG19:AI19">
    <cfRule type="cellIs" dxfId="10137" priority="19787" operator="equal">
      <formula>1</formula>
    </cfRule>
    <cfRule type="cellIs" dxfId="10136" priority="19788" operator="equal">
      <formula>"×"</formula>
    </cfRule>
  </conditionalFormatting>
  <conditionalFormatting sqref="AG19:AI19">
    <cfRule type="cellIs" dxfId="10135" priority="19783" operator="equal">
      <formula>1</formula>
    </cfRule>
    <cfRule type="cellIs" dxfId="10134" priority="19784" operator="equal">
      <formula>"×"</formula>
    </cfRule>
  </conditionalFormatting>
  <conditionalFormatting sqref="AF15:AF16 AF19">
    <cfRule type="cellIs" dxfId="10133" priority="19781" operator="equal">
      <formula>1</formula>
    </cfRule>
    <cfRule type="cellIs" dxfId="10132" priority="19782" operator="equal">
      <formula>"×"</formula>
    </cfRule>
  </conditionalFormatting>
  <conditionalFormatting sqref="AF15:AF16 AF19">
    <cfRule type="cellIs" dxfId="10131" priority="19779" operator="equal">
      <formula>1</formula>
    </cfRule>
    <cfRule type="cellIs" dxfId="10130" priority="19780" operator="equal">
      <formula>"×"</formula>
    </cfRule>
  </conditionalFormatting>
  <conditionalFormatting sqref="AF15:AF16 AF19">
    <cfRule type="cellIs" dxfId="10129" priority="19777" operator="equal">
      <formula>1</formula>
    </cfRule>
    <cfRule type="cellIs" dxfId="10128" priority="19778" operator="equal">
      <formula>"×"</formula>
    </cfRule>
  </conditionalFormatting>
  <conditionalFormatting sqref="AF15:AF16 AF19">
    <cfRule type="cellIs" dxfId="10127" priority="19775" operator="equal">
      <formula>1</formula>
    </cfRule>
    <cfRule type="cellIs" dxfId="10126" priority="19776" operator="equal">
      <formula>"×"</formula>
    </cfRule>
  </conditionalFormatting>
  <conditionalFormatting sqref="AF15:AF16 AF19">
    <cfRule type="cellIs" dxfId="10125" priority="19773" operator="equal">
      <formula>1</formula>
    </cfRule>
    <cfRule type="cellIs" dxfId="10124" priority="19774" operator="equal">
      <formula>"×"</formula>
    </cfRule>
  </conditionalFormatting>
  <conditionalFormatting sqref="AF15:AF16 AF19">
    <cfRule type="cellIs" dxfId="10123" priority="19771" operator="equal">
      <formula>1</formula>
    </cfRule>
    <cfRule type="cellIs" dxfId="10122" priority="19772" operator="equal">
      <formula>"×"</formula>
    </cfRule>
  </conditionalFormatting>
  <conditionalFormatting sqref="AF15:AF16 AF19">
    <cfRule type="cellIs" dxfId="10121" priority="19769" operator="equal">
      <formula>1</formula>
    </cfRule>
    <cfRule type="cellIs" dxfId="10120" priority="19770" operator="equal">
      <formula>"×"</formula>
    </cfRule>
  </conditionalFormatting>
  <conditionalFormatting sqref="AG19:AI19">
    <cfRule type="cellIs" dxfId="10119" priority="19767" operator="equal">
      <formula>1</formula>
    </cfRule>
    <cfRule type="cellIs" dxfId="10118" priority="19768" operator="equal">
      <formula>"×"</formula>
    </cfRule>
  </conditionalFormatting>
  <conditionalFormatting sqref="AI19">
    <cfRule type="cellIs" dxfId="10117" priority="19765" operator="equal">
      <formula>1</formula>
    </cfRule>
    <cfRule type="cellIs" dxfId="10116" priority="19766" operator="equal">
      <formula>"×"</formula>
    </cfRule>
  </conditionalFormatting>
  <conditionalFormatting sqref="AF19:AG19">
    <cfRule type="cellIs" dxfId="10115" priority="23427" operator="equal">
      <formula>1</formula>
    </cfRule>
    <cfRule type="cellIs" dxfId="10114" priority="23428" operator="equal">
      <formula>"×"</formula>
    </cfRule>
  </conditionalFormatting>
  <conditionalFormatting sqref="AF19:AG19">
    <cfRule type="cellIs" dxfId="10113" priority="23425" operator="equal">
      <formula>1</formula>
    </cfRule>
    <cfRule type="cellIs" dxfId="10112" priority="23426" operator="equal">
      <formula>"×"</formula>
    </cfRule>
  </conditionalFormatting>
  <conditionalFormatting sqref="AF19:AG19">
    <cfRule type="cellIs" dxfId="10111" priority="23421" operator="equal">
      <formula>1</formula>
    </cfRule>
    <cfRule type="cellIs" dxfId="10110" priority="23422" operator="equal">
      <formula>"×"</formula>
    </cfRule>
  </conditionalFormatting>
  <conditionalFormatting sqref="AF19:AG19">
    <cfRule type="cellIs" dxfId="10109" priority="23423" operator="equal">
      <formula>1</formula>
    </cfRule>
    <cfRule type="cellIs" dxfId="10108" priority="23424" operator="equal">
      <formula>"×"</formula>
    </cfRule>
  </conditionalFormatting>
  <conditionalFormatting sqref="AF19:AG19">
    <cfRule type="cellIs" dxfId="10107" priority="23451" operator="equal">
      <formula>1</formula>
    </cfRule>
    <cfRule type="cellIs" dxfId="10106" priority="23452" operator="equal">
      <formula>"×"</formula>
    </cfRule>
  </conditionalFormatting>
  <conditionalFormatting sqref="AF19:AG19">
    <cfRule type="cellIs" dxfId="10105" priority="23449" operator="equal">
      <formula>1</formula>
    </cfRule>
    <cfRule type="cellIs" dxfId="10104" priority="23450" operator="equal">
      <formula>"×"</formula>
    </cfRule>
  </conditionalFormatting>
  <conditionalFormatting sqref="AF19:AG19">
    <cfRule type="cellIs" dxfId="10103" priority="23447" operator="equal">
      <formula>1</formula>
    </cfRule>
    <cfRule type="cellIs" dxfId="10102" priority="23448" operator="equal">
      <formula>"×"</formula>
    </cfRule>
  </conditionalFormatting>
  <conditionalFormatting sqref="AF19:AG19">
    <cfRule type="cellIs" dxfId="10101" priority="23445" operator="equal">
      <formula>1</formula>
    </cfRule>
    <cfRule type="cellIs" dxfId="10100" priority="23446" operator="equal">
      <formula>"×"</formula>
    </cfRule>
  </conditionalFormatting>
  <conditionalFormatting sqref="AF19:AG19">
    <cfRule type="cellIs" dxfId="10099" priority="23443" operator="equal">
      <formula>1</formula>
    </cfRule>
    <cfRule type="cellIs" dxfId="10098" priority="23444" operator="equal">
      <formula>"×"</formula>
    </cfRule>
  </conditionalFormatting>
  <conditionalFormatting sqref="AF19:AG19">
    <cfRule type="cellIs" dxfId="10097" priority="23441" operator="equal">
      <formula>1</formula>
    </cfRule>
    <cfRule type="cellIs" dxfId="10096" priority="23442" operator="equal">
      <formula>"×"</formula>
    </cfRule>
  </conditionalFormatting>
  <conditionalFormatting sqref="AF19:AG19">
    <cfRule type="cellIs" dxfId="10095" priority="23439" operator="equal">
      <formula>1</formula>
    </cfRule>
    <cfRule type="cellIs" dxfId="10094" priority="23440" operator="equal">
      <formula>"×"</formula>
    </cfRule>
  </conditionalFormatting>
  <conditionalFormatting sqref="AF19:AG19">
    <cfRule type="cellIs" dxfId="10093" priority="23437" operator="equal">
      <formula>1</formula>
    </cfRule>
    <cfRule type="cellIs" dxfId="10092" priority="23438" operator="equal">
      <formula>"×"</formula>
    </cfRule>
  </conditionalFormatting>
  <conditionalFormatting sqref="AF19:AG19">
    <cfRule type="cellIs" dxfId="10091" priority="23435" operator="equal">
      <formula>1</formula>
    </cfRule>
    <cfRule type="cellIs" dxfId="10090" priority="23436" operator="equal">
      <formula>"×"</formula>
    </cfRule>
  </conditionalFormatting>
  <conditionalFormatting sqref="AF19:AG19">
    <cfRule type="cellIs" dxfId="10089" priority="23433" operator="equal">
      <formula>1</formula>
    </cfRule>
    <cfRule type="cellIs" dxfId="10088" priority="23434" operator="equal">
      <formula>"×"</formula>
    </cfRule>
  </conditionalFormatting>
  <conditionalFormatting sqref="AF19:AG19">
    <cfRule type="cellIs" dxfId="10087" priority="23431" operator="equal">
      <formula>1</formula>
    </cfRule>
    <cfRule type="cellIs" dxfId="10086" priority="23432" operator="equal">
      <formula>"×"</formula>
    </cfRule>
  </conditionalFormatting>
  <conditionalFormatting sqref="AF19:AG19">
    <cfRule type="cellIs" dxfId="10085" priority="23429" operator="equal">
      <formula>1</formula>
    </cfRule>
    <cfRule type="cellIs" dxfId="10084" priority="23430" operator="equal">
      <formula>"×"</formula>
    </cfRule>
  </conditionalFormatting>
  <conditionalFormatting sqref="AH19:AI19">
    <cfRule type="cellIs" dxfId="10083" priority="23395" operator="equal">
      <formula>1</formula>
    </cfRule>
    <cfRule type="cellIs" dxfId="10082" priority="23396" operator="equal">
      <formula>"×"</formula>
    </cfRule>
  </conditionalFormatting>
  <conditionalFormatting sqref="AH19:AI19">
    <cfRule type="cellIs" dxfId="10081" priority="23393" operator="equal">
      <formula>1</formula>
    </cfRule>
    <cfRule type="cellIs" dxfId="10080" priority="23394" operator="equal">
      <formula>"×"</formula>
    </cfRule>
  </conditionalFormatting>
  <conditionalFormatting sqref="AH19:AI19">
    <cfRule type="cellIs" dxfId="10079" priority="23389" operator="equal">
      <formula>1</formula>
    </cfRule>
    <cfRule type="cellIs" dxfId="10078" priority="23390" operator="equal">
      <formula>"×"</formula>
    </cfRule>
  </conditionalFormatting>
  <conditionalFormatting sqref="AH19:AI19">
    <cfRule type="cellIs" dxfId="10077" priority="23391" operator="equal">
      <formula>1</formula>
    </cfRule>
    <cfRule type="cellIs" dxfId="10076" priority="23392" operator="equal">
      <formula>"×"</formula>
    </cfRule>
  </conditionalFormatting>
  <conditionalFormatting sqref="AH19:AI19">
    <cfRule type="cellIs" dxfId="10075" priority="23419" operator="equal">
      <formula>1</formula>
    </cfRule>
    <cfRule type="cellIs" dxfId="10074" priority="23420" operator="equal">
      <formula>"×"</formula>
    </cfRule>
  </conditionalFormatting>
  <conditionalFormatting sqref="AH19:AI19">
    <cfRule type="cellIs" dxfId="10073" priority="23417" operator="equal">
      <formula>1</formula>
    </cfRule>
    <cfRule type="cellIs" dxfId="10072" priority="23418" operator="equal">
      <formula>"×"</formula>
    </cfRule>
  </conditionalFormatting>
  <conditionalFormatting sqref="AH19:AI19">
    <cfRule type="cellIs" dxfId="10071" priority="23415" operator="equal">
      <formula>1</formula>
    </cfRule>
    <cfRule type="cellIs" dxfId="10070" priority="23416" operator="equal">
      <formula>"×"</formula>
    </cfRule>
  </conditionalFormatting>
  <conditionalFormatting sqref="AH19:AI19">
    <cfRule type="cellIs" dxfId="10069" priority="23413" operator="equal">
      <formula>1</formula>
    </cfRule>
    <cfRule type="cellIs" dxfId="10068" priority="23414" operator="equal">
      <formula>"×"</formula>
    </cfRule>
  </conditionalFormatting>
  <conditionalFormatting sqref="AH19:AI19">
    <cfRule type="cellIs" dxfId="10067" priority="23411" operator="equal">
      <formula>1</formula>
    </cfRule>
    <cfRule type="cellIs" dxfId="10066" priority="23412" operator="equal">
      <formula>"×"</formula>
    </cfRule>
  </conditionalFormatting>
  <conditionalFormatting sqref="AH19:AI19">
    <cfRule type="cellIs" dxfId="10065" priority="23409" operator="equal">
      <formula>1</formula>
    </cfRule>
    <cfRule type="cellIs" dxfId="10064" priority="23410" operator="equal">
      <formula>"×"</formula>
    </cfRule>
  </conditionalFormatting>
  <conditionalFormatting sqref="AH19:AI19">
    <cfRule type="cellIs" dxfId="10063" priority="23407" operator="equal">
      <formula>1</formula>
    </cfRule>
    <cfRule type="cellIs" dxfId="10062" priority="23408" operator="equal">
      <formula>"×"</formula>
    </cfRule>
  </conditionalFormatting>
  <conditionalFormatting sqref="AH19:AI19">
    <cfRule type="cellIs" dxfId="10061" priority="23405" operator="equal">
      <formula>1</formula>
    </cfRule>
    <cfRule type="cellIs" dxfId="10060" priority="23406" operator="equal">
      <formula>"×"</formula>
    </cfRule>
  </conditionalFormatting>
  <conditionalFormatting sqref="AH19:AI19">
    <cfRule type="cellIs" dxfId="10059" priority="23403" operator="equal">
      <formula>1</formula>
    </cfRule>
    <cfRule type="cellIs" dxfId="10058" priority="23404" operator="equal">
      <formula>"×"</formula>
    </cfRule>
  </conditionalFormatting>
  <conditionalFormatting sqref="AH19:AI19">
    <cfRule type="cellIs" dxfId="10057" priority="23401" operator="equal">
      <formula>1</formula>
    </cfRule>
    <cfRule type="cellIs" dxfId="10056" priority="23402" operator="equal">
      <formula>"×"</formula>
    </cfRule>
  </conditionalFormatting>
  <conditionalFormatting sqref="AH19:AI19">
    <cfRule type="cellIs" dxfId="10055" priority="23399" operator="equal">
      <formula>1</formula>
    </cfRule>
    <cfRule type="cellIs" dxfId="10054" priority="23400" operator="equal">
      <formula>"×"</formula>
    </cfRule>
  </conditionalFormatting>
  <conditionalFormatting sqref="AH19:AI19">
    <cfRule type="cellIs" dxfId="10053" priority="23397" operator="equal">
      <formula>1</formula>
    </cfRule>
    <cfRule type="cellIs" dxfId="10052" priority="23398" operator="equal">
      <formula>"×"</formula>
    </cfRule>
  </conditionalFormatting>
  <conditionalFormatting sqref="AF19">
    <cfRule type="cellIs" dxfId="10051" priority="19699" operator="equal">
      <formula>1</formula>
    </cfRule>
    <cfRule type="cellIs" dxfId="10050" priority="19700" operator="equal">
      <formula>"×"</formula>
    </cfRule>
  </conditionalFormatting>
  <conditionalFormatting sqref="AF19">
    <cfRule type="cellIs" dxfId="10049" priority="19697" operator="equal">
      <formula>1</formula>
    </cfRule>
    <cfRule type="cellIs" dxfId="10048" priority="19698" operator="equal">
      <formula>"×"</formula>
    </cfRule>
  </conditionalFormatting>
  <conditionalFormatting sqref="AF15:AG15">
    <cfRule type="cellIs" dxfId="10047" priority="19671" operator="equal">
      <formula>1</formula>
    </cfRule>
    <cfRule type="cellIs" dxfId="10046" priority="19672" operator="equal">
      <formula>"×"</formula>
    </cfRule>
  </conditionalFormatting>
  <conditionalFormatting sqref="AF15:AG15">
    <cfRule type="cellIs" dxfId="10045" priority="19669" operator="equal">
      <formula>1</formula>
    </cfRule>
    <cfRule type="cellIs" dxfId="10044" priority="19670" operator="equal">
      <formula>"×"</formula>
    </cfRule>
  </conditionalFormatting>
  <conditionalFormatting sqref="AF15:AG15">
    <cfRule type="cellIs" dxfId="10043" priority="19665" operator="equal">
      <formula>1</formula>
    </cfRule>
    <cfRule type="cellIs" dxfId="10042" priority="19666" operator="equal">
      <formula>"×"</formula>
    </cfRule>
  </conditionalFormatting>
  <conditionalFormatting sqref="AF15:AG15">
    <cfRule type="cellIs" dxfId="10041" priority="19667" operator="equal">
      <formula>1</formula>
    </cfRule>
    <cfRule type="cellIs" dxfId="10040" priority="19668" operator="equal">
      <formula>"×"</formula>
    </cfRule>
  </conditionalFormatting>
  <conditionalFormatting sqref="AF19">
    <cfRule type="cellIs" dxfId="10039" priority="19695" operator="equal">
      <formula>1</formula>
    </cfRule>
    <cfRule type="cellIs" dxfId="10038" priority="19696" operator="equal">
      <formula>"×"</formula>
    </cfRule>
  </conditionalFormatting>
  <conditionalFormatting sqref="AF19">
    <cfRule type="cellIs" dxfId="10037" priority="19693" operator="equal">
      <formula>1</formula>
    </cfRule>
    <cfRule type="cellIs" dxfId="10036" priority="19694" operator="equal">
      <formula>"×"</formula>
    </cfRule>
  </conditionalFormatting>
  <conditionalFormatting sqref="AH18:AI18">
    <cfRule type="cellIs" dxfId="10035" priority="19691" operator="equal">
      <formula>1</formula>
    </cfRule>
    <cfRule type="cellIs" dxfId="10034" priority="19692" operator="equal">
      <formula>"×"</formula>
    </cfRule>
  </conditionalFormatting>
  <conditionalFormatting sqref="AI18">
    <cfRule type="cellIs" dxfId="10033" priority="19689" operator="equal">
      <formula>1</formula>
    </cfRule>
    <cfRule type="cellIs" dxfId="10032" priority="19690" operator="equal">
      <formula>"×"</formula>
    </cfRule>
  </conditionalFormatting>
  <conditionalFormatting sqref="AH18:AI18">
    <cfRule type="cellIs" dxfId="10031" priority="19687" operator="equal">
      <formula>1</formula>
    </cfRule>
    <cfRule type="cellIs" dxfId="10030" priority="19688" operator="equal">
      <formula>"×"</formula>
    </cfRule>
  </conditionalFormatting>
  <conditionalFormatting sqref="AH18:AI18">
    <cfRule type="cellIs" dxfId="10029" priority="19685" operator="equal">
      <formula>1</formula>
    </cfRule>
    <cfRule type="cellIs" dxfId="10028" priority="19686" operator="equal">
      <formula>"×"</formula>
    </cfRule>
  </conditionalFormatting>
  <conditionalFormatting sqref="AI18">
    <cfRule type="cellIs" dxfId="10027" priority="19683" operator="equal">
      <formula>1</formula>
    </cfRule>
    <cfRule type="cellIs" dxfId="10026" priority="19684" operator="equal">
      <formula>"×"</formula>
    </cfRule>
  </conditionalFormatting>
  <conditionalFormatting sqref="AH18:AI18">
    <cfRule type="cellIs" dxfId="10025" priority="19681" operator="equal">
      <formula>1</formula>
    </cfRule>
    <cfRule type="cellIs" dxfId="10024" priority="19682" operator="equal">
      <formula>"×"</formula>
    </cfRule>
  </conditionalFormatting>
  <conditionalFormatting sqref="AF15:AG15">
    <cfRule type="cellIs" dxfId="10023" priority="19679" operator="equal">
      <formula>1</formula>
    </cfRule>
    <cfRule type="cellIs" dxfId="10022" priority="19680" operator="equal">
      <formula>"×"</formula>
    </cfRule>
  </conditionalFormatting>
  <conditionalFormatting sqref="AF15:AG15">
    <cfRule type="cellIs" dxfId="10021" priority="19677" operator="equal">
      <formula>1</formula>
    </cfRule>
    <cfRule type="cellIs" dxfId="10020" priority="19678" operator="equal">
      <formula>"×"</formula>
    </cfRule>
  </conditionalFormatting>
  <conditionalFormatting sqref="AF15:AG15">
    <cfRule type="cellIs" dxfId="10019" priority="19675" operator="equal">
      <formula>1</formula>
    </cfRule>
    <cfRule type="cellIs" dxfId="10018" priority="19676" operator="equal">
      <formula>"×"</formula>
    </cfRule>
  </conditionalFormatting>
  <conditionalFormatting sqref="AF15:AG15">
    <cfRule type="cellIs" dxfId="10017" priority="19673" operator="equal">
      <formula>1</formula>
    </cfRule>
    <cfRule type="cellIs" dxfId="10016" priority="19674" operator="equal">
      <formula>"×"</formula>
    </cfRule>
  </conditionalFormatting>
  <conditionalFormatting sqref="AH15:AI15">
    <cfRule type="cellIs" dxfId="10015" priority="19645" operator="equal">
      <formula>1</formula>
    </cfRule>
    <cfRule type="cellIs" dxfId="10014" priority="19646" operator="equal">
      <formula>"×"</formula>
    </cfRule>
  </conditionalFormatting>
  <conditionalFormatting sqref="AH15:AI15">
    <cfRule type="cellIs" dxfId="10013" priority="19643" operator="equal">
      <formula>1</formula>
    </cfRule>
    <cfRule type="cellIs" dxfId="10012" priority="19644" operator="equal">
      <formula>"×"</formula>
    </cfRule>
  </conditionalFormatting>
  <conditionalFormatting sqref="AF15:AG15">
    <cfRule type="cellIs" dxfId="10011" priority="19659" operator="equal">
      <formula>1</formula>
    </cfRule>
    <cfRule type="cellIs" dxfId="10010" priority="19660" operator="equal">
      <formula>"×"</formula>
    </cfRule>
  </conditionalFormatting>
  <conditionalFormatting sqref="AF15:AG15">
    <cfRule type="cellIs" dxfId="10009" priority="19661" operator="equal">
      <formula>1</formula>
    </cfRule>
    <cfRule type="cellIs" dxfId="10008" priority="19662" operator="equal">
      <formula>"×"</formula>
    </cfRule>
  </conditionalFormatting>
  <conditionalFormatting sqref="AF14:AG19">
    <cfRule type="cellIs" dxfId="10007" priority="19503" operator="equal">
      <formula>1</formula>
    </cfRule>
    <cfRule type="cellIs" dxfId="10006" priority="19504" operator="equal">
      <formula>"×"</formula>
    </cfRule>
  </conditionalFormatting>
  <conditionalFormatting sqref="AF14:AG19">
    <cfRule type="cellIs" dxfId="10005" priority="19501" operator="equal">
      <formula>1</formula>
    </cfRule>
    <cfRule type="cellIs" dxfId="10004" priority="19502" operator="equal">
      <formula>"×"</formula>
    </cfRule>
  </conditionalFormatting>
  <conditionalFormatting sqref="AF14:AG19">
    <cfRule type="cellIs" dxfId="10003" priority="19499" operator="equal">
      <formula>1</formula>
    </cfRule>
    <cfRule type="cellIs" dxfId="10002" priority="19500" operator="equal">
      <formula>"×"</formula>
    </cfRule>
  </conditionalFormatting>
  <conditionalFormatting sqref="AF14:AG19">
    <cfRule type="cellIs" dxfId="10001" priority="19497" operator="equal">
      <formula>1</formula>
    </cfRule>
    <cfRule type="cellIs" dxfId="10000" priority="19498" operator="equal">
      <formula>"×"</formula>
    </cfRule>
  </conditionalFormatting>
  <conditionalFormatting sqref="AF14:AG19">
    <cfRule type="cellIs" dxfId="9999" priority="19495" operator="equal">
      <formula>1</formula>
    </cfRule>
    <cfRule type="cellIs" dxfId="9998" priority="19496" operator="equal">
      <formula>"×"</formula>
    </cfRule>
  </conditionalFormatting>
  <conditionalFormatting sqref="AG19:AI19">
    <cfRule type="cellIs" dxfId="9997" priority="19485" operator="equal">
      <formula>1</formula>
    </cfRule>
    <cfRule type="cellIs" dxfId="9996" priority="19486" operator="equal">
      <formula>"×"</formula>
    </cfRule>
  </conditionalFormatting>
  <conditionalFormatting sqref="AI19">
    <cfRule type="cellIs" dxfId="9995" priority="19483" operator="equal">
      <formula>1</formula>
    </cfRule>
    <cfRule type="cellIs" dxfId="9994" priority="19484" operator="equal">
      <formula>"×"</formula>
    </cfRule>
  </conditionalFormatting>
  <conditionalFormatting sqref="AG19:AI19">
    <cfRule type="cellIs" dxfId="9993" priority="19481" operator="equal">
      <formula>1</formula>
    </cfRule>
    <cfRule type="cellIs" dxfId="9992" priority="19482" operator="equal">
      <formula>"×"</formula>
    </cfRule>
  </conditionalFormatting>
  <conditionalFormatting sqref="Z19 AB19 AD19">
    <cfRule type="cellIs" dxfId="9991" priority="23091" operator="equal">
      <formula>1</formula>
    </cfRule>
    <cfRule type="cellIs" dxfId="9990" priority="23092" operator="equal">
      <formula>"×"</formula>
    </cfRule>
  </conditionalFormatting>
  <conditionalFormatting sqref="AG17:AH19">
    <cfRule type="cellIs" dxfId="9989" priority="22825" operator="equal">
      <formula>1</formula>
    </cfRule>
    <cfRule type="cellIs" dxfId="9988" priority="22826" operator="equal">
      <formula>"×"</formula>
    </cfRule>
  </conditionalFormatting>
  <conditionalFormatting sqref="AF13:AI13">
    <cfRule type="cellIs" dxfId="9987" priority="22819" operator="equal">
      <formula>1</formula>
    </cfRule>
    <cfRule type="cellIs" dxfId="9986" priority="22820" operator="equal">
      <formula>"×"</formula>
    </cfRule>
  </conditionalFormatting>
  <conditionalFormatting sqref="AC13">
    <cfRule type="cellIs" dxfId="9985" priority="22771" operator="equal">
      <formula>1</formula>
    </cfRule>
    <cfRule type="cellIs" dxfId="9984" priority="22772" operator="equal">
      <formula>"×"</formula>
    </cfRule>
  </conditionalFormatting>
  <conditionalFormatting sqref="AF13">
    <cfRule type="cellIs" dxfId="9983" priority="22769" operator="equal">
      <formula>1</formula>
    </cfRule>
    <cfRule type="cellIs" dxfId="9982" priority="22770" operator="equal">
      <formula>"×"</formula>
    </cfRule>
  </conditionalFormatting>
  <conditionalFormatting sqref="AF13">
    <cfRule type="cellIs" dxfId="9981" priority="22767" operator="equal">
      <formula>1</formula>
    </cfRule>
    <cfRule type="cellIs" dxfId="9980" priority="22768" operator="equal">
      <formula>"×"</formula>
    </cfRule>
  </conditionalFormatting>
  <conditionalFormatting sqref="AE13">
    <cfRule type="cellIs" dxfId="9979" priority="22765" operator="equal">
      <formula>1</formula>
    </cfRule>
    <cfRule type="cellIs" dxfId="9978" priority="22766" operator="equal">
      <formula>"×"</formula>
    </cfRule>
  </conditionalFormatting>
  <conditionalFormatting sqref="AD13">
    <cfRule type="cellIs" dxfId="9977" priority="22763" operator="equal">
      <formula>1</formula>
    </cfRule>
    <cfRule type="cellIs" dxfId="9976" priority="22764" operator="equal">
      <formula>"×"</formula>
    </cfRule>
  </conditionalFormatting>
  <conditionalFormatting sqref="AD13">
    <cfRule type="cellIs" dxfId="9975" priority="22755" operator="equal">
      <formula>1</formula>
    </cfRule>
    <cfRule type="cellIs" dxfId="9974" priority="22756" operator="equal">
      <formula>"×"</formula>
    </cfRule>
  </conditionalFormatting>
  <conditionalFormatting sqref="AD13">
    <cfRule type="cellIs" dxfId="9973" priority="22757" operator="equal">
      <formula>1</formula>
    </cfRule>
    <cfRule type="cellIs" dxfId="9972" priority="22758" operator="equal">
      <formula>"×"</formula>
    </cfRule>
  </conditionalFormatting>
  <conditionalFormatting sqref="AC13">
    <cfRule type="cellIs" dxfId="9971" priority="22821" operator="equal">
      <formula>1</formula>
    </cfRule>
    <cfRule type="cellIs" dxfId="9970" priority="22822" operator="equal">
      <formula>"×"</formula>
    </cfRule>
  </conditionalFormatting>
  <conditionalFormatting sqref="AI13">
    <cfRule type="cellIs" dxfId="9969" priority="22817" operator="equal">
      <formula>1</formula>
    </cfRule>
    <cfRule type="cellIs" dxfId="9968" priority="22818" operator="equal">
      <formula>"×"</formula>
    </cfRule>
  </conditionalFormatting>
  <conditionalFormatting sqref="AD13">
    <cfRule type="cellIs" dxfId="9967" priority="22815" operator="equal">
      <formula>1</formula>
    </cfRule>
    <cfRule type="cellIs" dxfId="9966" priority="22816" operator="equal">
      <formula>"×"</formula>
    </cfRule>
  </conditionalFormatting>
  <conditionalFormatting sqref="AD13">
    <cfRule type="cellIs" dxfId="9965" priority="22813" operator="equal">
      <formula>1</formula>
    </cfRule>
    <cfRule type="cellIs" dxfId="9964" priority="22814" operator="equal">
      <formula>"×"</formula>
    </cfRule>
  </conditionalFormatting>
  <conditionalFormatting sqref="AD13">
    <cfRule type="cellIs" dxfId="9963" priority="22811" operator="equal">
      <formula>1</formula>
    </cfRule>
    <cfRule type="cellIs" dxfId="9962" priority="22812" operator="equal">
      <formula>"×"</formula>
    </cfRule>
  </conditionalFormatting>
  <conditionalFormatting sqref="AD13">
    <cfRule type="cellIs" dxfId="9961" priority="22809" operator="equal">
      <formula>1</formula>
    </cfRule>
    <cfRule type="cellIs" dxfId="9960" priority="22810" operator="equal">
      <formula>"×"</formula>
    </cfRule>
  </conditionalFormatting>
  <conditionalFormatting sqref="AF17">
    <cfRule type="cellIs" dxfId="9959" priority="22807" operator="equal">
      <formula>1</formula>
    </cfRule>
    <cfRule type="cellIs" dxfId="9958" priority="22808" operator="equal">
      <formula>"×"</formula>
    </cfRule>
  </conditionalFormatting>
  <conditionalFormatting sqref="AF17">
    <cfRule type="cellIs" dxfId="9957" priority="22805" operator="equal">
      <formula>1</formula>
    </cfRule>
    <cfRule type="cellIs" dxfId="9956" priority="22806" operator="equal">
      <formula>"×"</formula>
    </cfRule>
  </conditionalFormatting>
  <conditionalFormatting sqref="AE13">
    <cfRule type="cellIs" dxfId="9955" priority="22803" operator="equal">
      <formula>1</formula>
    </cfRule>
    <cfRule type="cellIs" dxfId="9954" priority="22804" operator="equal">
      <formula>"×"</formula>
    </cfRule>
  </conditionalFormatting>
  <conditionalFormatting sqref="AE13">
    <cfRule type="cellIs" dxfId="9953" priority="22799" operator="equal">
      <formula>1</formula>
    </cfRule>
    <cfRule type="cellIs" dxfId="9952" priority="22800" operator="equal">
      <formula>"×"</formula>
    </cfRule>
  </conditionalFormatting>
  <conditionalFormatting sqref="AD13">
    <cfRule type="cellIs" dxfId="9951" priority="22801" operator="equal">
      <formula>1</formula>
    </cfRule>
    <cfRule type="cellIs" dxfId="9950" priority="22802" operator="equal">
      <formula>"×"</formula>
    </cfRule>
  </conditionalFormatting>
  <conditionalFormatting sqref="AD13">
    <cfRule type="cellIs" dxfId="9949" priority="22797" operator="equal">
      <formula>1</formula>
    </cfRule>
    <cfRule type="cellIs" dxfId="9948" priority="22798" operator="equal">
      <formula>"×"</formula>
    </cfRule>
  </conditionalFormatting>
  <conditionalFormatting sqref="AD13">
    <cfRule type="cellIs" dxfId="9947" priority="22795" operator="equal">
      <formula>1</formula>
    </cfRule>
    <cfRule type="cellIs" dxfId="9946" priority="22796" operator="equal">
      <formula>"×"</formula>
    </cfRule>
  </conditionalFormatting>
  <conditionalFormatting sqref="AD13">
    <cfRule type="cellIs" dxfId="9945" priority="22793" operator="equal">
      <formula>1</formula>
    </cfRule>
    <cfRule type="cellIs" dxfId="9944" priority="22794" operator="equal">
      <formula>"×"</formula>
    </cfRule>
  </conditionalFormatting>
  <conditionalFormatting sqref="AE19">
    <cfRule type="cellIs" dxfId="9943" priority="22791" operator="equal">
      <formula>1</formula>
    </cfRule>
    <cfRule type="cellIs" dxfId="9942" priority="22792" operator="equal">
      <formula>"×"</formula>
    </cfRule>
  </conditionalFormatting>
  <conditionalFormatting sqref="AE19 AF17:AI17">
    <cfRule type="cellIs" dxfId="9941" priority="22789" operator="equal">
      <formula>1</formula>
    </cfRule>
    <cfRule type="cellIs" dxfId="9940" priority="22790" operator="equal">
      <formula>"×"</formula>
    </cfRule>
  </conditionalFormatting>
  <conditionalFormatting sqref="AI17">
    <cfRule type="cellIs" dxfId="9939" priority="22787" operator="equal">
      <formula>1</formula>
    </cfRule>
    <cfRule type="cellIs" dxfId="9938" priority="22788" operator="equal">
      <formula>"×"</formula>
    </cfRule>
  </conditionalFormatting>
  <conditionalFormatting sqref="AE19 AF17:AI17">
    <cfRule type="cellIs" dxfId="9937" priority="22785" operator="equal">
      <formula>1</formula>
    </cfRule>
    <cfRule type="cellIs" dxfId="9936" priority="22786" operator="equal">
      <formula>"×"</formula>
    </cfRule>
  </conditionalFormatting>
  <conditionalFormatting sqref="AE13">
    <cfRule type="cellIs" dxfId="9935" priority="22783" operator="equal">
      <formula>1</formula>
    </cfRule>
    <cfRule type="cellIs" dxfId="9934" priority="22784" operator="equal">
      <formula>"×"</formula>
    </cfRule>
  </conditionalFormatting>
  <conditionalFormatting sqref="AE13">
    <cfRule type="cellIs" dxfId="9933" priority="22779" operator="equal">
      <formula>1</formula>
    </cfRule>
    <cfRule type="cellIs" dxfId="9932" priority="22780" operator="equal">
      <formula>"×"</formula>
    </cfRule>
  </conditionalFormatting>
  <conditionalFormatting sqref="AD13">
    <cfRule type="cellIs" dxfId="9931" priority="22781" operator="equal">
      <formula>1</formula>
    </cfRule>
    <cfRule type="cellIs" dxfId="9930" priority="22782" operator="equal">
      <formula>"×"</formula>
    </cfRule>
  </conditionalFormatting>
  <conditionalFormatting sqref="AD13">
    <cfRule type="cellIs" dxfId="9929" priority="22777" operator="equal">
      <formula>1</formula>
    </cfRule>
    <cfRule type="cellIs" dxfId="9928" priority="22778" operator="equal">
      <formula>"×"</formula>
    </cfRule>
  </conditionalFormatting>
  <conditionalFormatting sqref="AD13">
    <cfRule type="cellIs" dxfId="9927" priority="22775" operator="equal">
      <formula>1</formula>
    </cfRule>
    <cfRule type="cellIs" dxfId="9926" priority="22776" operator="equal">
      <formula>"×"</formula>
    </cfRule>
  </conditionalFormatting>
  <conditionalFormatting sqref="AD13">
    <cfRule type="cellIs" dxfId="9925" priority="22773" operator="equal">
      <formula>1</formula>
    </cfRule>
    <cfRule type="cellIs" dxfId="9924" priority="22774" operator="equal">
      <formula>"×"</formula>
    </cfRule>
  </conditionalFormatting>
  <conditionalFormatting sqref="AI17">
    <cfRule type="cellIs" dxfId="9923" priority="22749" operator="equal">
      <formula>1</formula>
    </cfRule>
    <cfRule type="cellIs" dxfId="9922" priority="22750" operator="equal">
      <formula>"×"</formula>
    </cfRule>
  </conditionalFormatting>
  <conditionalFormatting sqref="AF17:AI17">
    <cfRule type="cellIs" dxfId="9921" priority="22747" operator="equal">
      <formula>1</formula>
    </cfRule>
    <cfRule type="cellIs" dxfId="9920" priority="22748" operator="equal">
      <formula>"×"</formula>
    </cfRule>
  </conditionalFormatting>
  <conditionalFormatting sqref="AE19 AF17:AI17">
    <cfRule type="cellIs" dxfId="9919" priority="22745" operator="equal">
      <formula>1</formula>
    </cfRule>
    <cfRule type="cellIs" dxfId="9918" priority="22746" operator="equal">
      <formula>"×"</formula>
    </cfRule>
  </conditionalFormatting>
  <conditionalFormatting sqref="AG17:AI19">
    <cfRule type="cellIs" dxfId="9917" priority="22733" operator="equal">
      <formula>1</formula>
    </cfRule>
    <cfRule type="cellIs" dxfId="9916" priority="22734" operator="equal">
      <formula>"×"</formula>
    </cfRule>
  </conditionalFormatting>
  <conditionalFormatting sqref="AI17:AI19">
    <cfRule type="cellIs" dxfId="9915" priority="22731" operator="equal">
      <formula>1</formula>
    </cfRule>
    <cfRule type="cellIs" dxfId="9914" priority="22732" operator="equal">
      <formula>"×"</formula>
    </cfRule>
  </conditionalFormatting>
  <conditionalFormatting sqref="AG17:AI19">
    <cfRule type="cellIs" dxfId="9913" priority="22729" operator="equal">
      <formula>1</formula>
    </cfRule>
    <cfRule type="cellIs" dxfId="9912" priority="22730" operator="equal">
      <formula>"×"</formula>
    </cfRule>
  </conditionalFormatting>
  <conditionalFormatting sqref="AG17:AI19">
    <cfRule type="cellIs" dxfId="9911" priority="22727" operator="equal">
      <formula>1</formula>
    </cfRule>
    <cfRule type="cellIs" dxfId="9910" priority="22728" operator="equal">
      <formula>"×"</formula>
    </cfRule>
  </conditionalFormatting>
  <conditionalFormatting sqref="AI17:AI19">
    <cfRule type="cellIs" dxfId="9909" priority="22725" operator="equal">
      <formula>1</formula>
    </cfRule>
    <cfRule type="cellIs" dxfId="9908" priority="22726" operator="equal">
      <formula>"×"</formula>
    </cfRule>
  </conditionalFormatting>
  <conditionalFormatting sqref="AH13:AI13">
    <cfRule type="cellIs" dxfId="9907" priority="22503" operator="equal">
      <formula>1</formula>
    </cfRule>
    <cfRule type="cellIs" dxfId="9906" priority="22504" operator="equal">
      <formula>"×"</formula>
    </cfRule>
  </conditionalFormatting>
  <conditionalFormatting sqref="AH13:AI13">
    <cfRule type="cellIs" dxfId="9905" priority="22501" operator="equal">
      <formula>1</formula>
    </cfRule>
    <cfRule type="cellIs" dxfId="9904" priority="22502" operator="equal">
      <formula>"×"</formula>
    </cfRule>
  </conditionalFormatting>
  <conditionalFormatting sqref="AH13:AI13">
    <cfRule type="cellIs" dxfId="9903" priority="22497" operator="equal">
      <formula>1</formula>
    </cfRule>
    <cfRule type="cellIs" dxfId="9902" priority="22498" operator="equal">
      <formula>"×"</formula>
    </cfRule>
  </conditionalFormatting>
  <conditionalFormatting sqref="AH13:AI13">
    <cfRule type="cellIs" dxfId="9901" priority="22499" operator="equal">
      <formula>1</formula>
    </cfRule>
    <cfRule type="cellIs" dxfId="9900" priority="22500" operator="equal">
      <formula>"×"</formula>
    </cfRule>
  </conditionalFormatting>
  <conditionalFormatting sqref="AH13:AI13">
    <cfRule type="cellIs" dxfId="9899" priority="22509" operator="equal">
      <formula>1</formula>
    </cfRule>
    <cfRule type="cellIs" dxfId="9898" priority="22510" operator="equal">
      <formula>"×"</formula>
    </cfRule>
  </conditionalFormatting>
  <conditionalFormatting sqref="AH13:AI13">
    <cfRule type="cellIs" dxfId="9897" priority="22507" operator="equal">
      <formula>1</formula>
    </cfRule>
    <cfRule type="cellIs" dxfId="9896" priority="22508" operator="equal">
      <formula>"×"</formula>
    </cfRule>
  </conditionalFormatting>
  <conditionalFormatting sqref="AH13:AI13">
    <cfRule type="cellIs" dxfId="9895" priority="22505" operator="equal">
      <formula>1</formula>
    </cfRule>
    <cfRule type="cellIs" dxfId="9894" priority="22506" operator="equal">
      <formula>"×"</formula>
    </cfRule>
  </conditionalFormatting>
  <conditionalFormatting sqref="AH14">
    <cfRule type="cellIs" dxfId="9893" priority="22495" operator="equal">
      <formula>1</formula>
    </cfRule>
    <cfRule type="cellIs" dxfId="9892" priority="22496" operator="equal">
      <formula>"×"</formula>
    </cfRule>
  </conditionalFormatting>
  <conditionalFormatting sqref="AH14">
    <cfRule type="cellIs" dxfId="9891" priority="22493" operator="equal">
      <formula>1</formula>
    </cfRule>
    <cfRule type="cellIs" dxfId="9890" priority="22494" operator="equal">
      <formula>"×"</formula>
    </cfRule>
  </conditionalFormatting>
  <conditionalFormatting sqref="AH14">
    <cfRule type="cellIs" dxfId="9889" priority="22467" operator="equal">
      <formula>1</formula>
    </cfRule>
    <cfRule type="cellIs" dxfId="9888" priority="22468" operator="equal">
      <formula>"×"</formula>
    </cfRule>
  </conditionalFormatting>
  <conditionalFormatting sqref="AH14">
    <cfRule type="cellIs" dxfId="9887" priority="22465" operator="equal">
      <formula>1</formula>
    </cfRule>
    <cfRule type="cellIs" dxfId="9886" priority="22466" operator="equal">
      <formula>"×"</formula>
    </cfRule>
  </conditionalFormatting>
  <conditionalFormatting sqref="AH14">
    <cfRule type="cellIs" dxfId="9885" priority="22461" operator="equal">
      <formula>1</formula>
    </cfRule>
    <cfRule type="cellIs" dxfId="9884" priority="22462" operator="equal">
      <formula>"×"</formula>
    </cfRule>
  </conditionalFormatting>
  <conditionalFormatting sqref="AH14">
    <cfRule type="cellIs" dxfId="9883" priority="22463" operator="equal">
      <formula>1</formula>
    </cfRule>
    <cfRule type="cellIs" dxfId="9882" priority="22464" operator="equal">
      <formula>"×"</formula>
    </cfRule>
  </conditionalFormatting>
  <conditionalFormatting sqref="AH14">
    <cfRule type="cellIs" dxfId="9881" priority="22491" operator="equal">
      <formula>1</formula>
    </cfRule>
    <cfRule type="cellIs" dxfId="9880" priority="22492" operator="equal">
      <formula>"×"</formula>
    </cfRule>
  </conditionalFormatting>
  <conditionalFormatting sqref="AH14">
    <cfRule type="cellIs" dxfId="9879" priority="22489" operator="equal">
      <formula>1</formula>
    </cfRule>
    <cfRule type="cellIs" dxfId="9878" priority="22490" operator="equal">
      <formula>"×"</formula>
    </cfRule>
  </conditionalFormatting>
  <conditionalFormatting sqref="AH14">
    <cfRule type="cellIs" dxfId="9877" priority="22487" operator="equal">
      <formula>1</formula>
    </cfRule>
    <cfRule type="cellIs" dxfId="9876" priority="22488" operator="equal">
      <formula>"×"</formula>
    </cfRule>
  </conditionalFormatting>
  <conditionalFormatting sqref="AH14">
    <cfRule type="cellIs" dxfId="9875" priority="22485" operator="equal">
      <formula>1</formula>
    </cfRule>
    <cfRule type="cellIs" dxfId="9874" priority="22486" operator="equal">
      <formula>"×"</formula>
    </cfRule>
  </conditionalFormatting>
  <conditionalFormatting sqref="AH14">
    <cfRule type="cellIs" dxfId="9873" priority="22483" operator="equal">
      <formula>1</formula>
    </cfRule>
    <cfRule type="cellIs" dxfId="9872" priority="22484" operator="equal">
      <formula>"×"</formula>
    </cfRule>
  </conditionalFormatting>
  <conditionalFormatting sqref="AH14">
    <cfRule type="cellIs" dxfId="9871" priority="22481" operator="equal">
      <formula>1</formula>
    </cfRule>
    <cfRule type="cellIs" dxfId="9870" priority="22482" operator="equal">
      <formula>"×"</formula>
    </cfRule>
  </conditionalFormatting>
  <conditionalFormatting sqref="AH14">
    <cfRule type="cellIs" dxfId="9869" priority="22479" operator="equal">
      <formula>1</formula>
    </cfRule>
    <cfRule type="cellIs" dxfId="9868" priority="22480" operator="equal">
      <formula>"×"</formula>
    </cfRule>
  </conditionalFormatting>
  <conditionalFormatting sqref="AH14">
    <cfRule type="cellIs" dxfId="9867" priority="22477" operator="equal">
      <formula>1</formula>
    </cfRule>
    <cfRule type="cellIs" dxfId="9866" priority="22478" operator="equal">
      <formula>"×"</formula>
    </cfRule>
  </conditionalFormatting>
  <conditionalFormatting sqref="AH14">
    <cfRule type="cellIs" dxfId="9865" priority="22475" operator="equal">
      <formula>1</formula>
    </cfRule>
    <cfRule type="cellIs" dxfId="9864" priority="22476" operator="equal">
      <formula>"×"</formula>
    </cfRule>
  </conditionalFormatting>
  <conditionalFormatting sqref="AH14">
    <cfRule type="cellIs" dxfId="9863" priority="22473" operator="equal">
      <formula>1</formula>
    </cfRule>
    <cfRule type="cellIs" dxfId="9862" priority="22474" operator="equal">
      <formula>"×"</formula>
    </cfRule>
  </conditionalFormatting>
  <conditionalFormatting sqref="AH14">
    <cfRule type="cellIs" dxfId="9861" priority="22471" operator="equal">
      <formula>1</formula>
    </cfRule>
    <cfRule type="cellIs" dxfId="9860" priority="22472" operator="equal">
      <formula>"×"</formula>
    </cfRule>
  </conditionalFormatting>
  <conditionalFormatting sqref="AH14">
    <cfRule type="cellIs" dxfId="9859" priority="22469" operator="equal">
      <formula>1</formula>
    </cfRule>
    <cfRule type="cellIs" dxfId="9858" priority="22470" operator="equal">
      <formula>"×"</formula>
    </cfRule>
  </conditionalFormatting>
  <conditionalFormatting sqref="AE19">
    <cfRule type="cellIs" dxfId="9857" priority="22447" operator="equal">
      <formula>1</formula>
    </cfRule>
    <cfRule type="cellIs" dxfId="9856" priority="22448" operator="equal">
      <formula>"×"</formula>
    </cfRule>
  </conditionalFormatting>
  <conditionalFormatting sqref="AE19">
    <cfRule type="cellIs" dxfId="9855" priority="22445" operator="equal">
      <formula>1</formula>
    </cfRule>
    <cfRule type="cellIs" dxfId="9854" priority="22446" operator="equal">
      <formula>"×"</formula>
    </cfRule>
  </conditionalFormatting>
  <conditionalFormatting sqref="AE19">
    <cfRule type="cellIs" dxfId="9853" priority="22459" operator="equal">
      <formula>1</formula>
    </cfRule>
    <cfRule type="cellIs" dxfId="9852" priority="22460" operator="equal">
      <formula>"×"</formula>
    </cfRule>
  </conditionalFormatting>
  <conditionalFormatting sqref="AE19">
    <cfRule type="cellIs" dxfId="9851" priority="22457" operator="equal">
      <formula>1</formula>
    </cfRule>
    <cfRule type="cellIs" dxfId="9850" priority="22458" operator="equal">
      <formula>"×"</formula>
    </cfRule>
  </conditionalFormatting>
  <conditionalFormatting sqref="AE19">
    <cfRule type="cellIs" dxfId="9849" priority="22455" operator="equal">
      <formula>1</formula>
    </cfRule>
    <cfRule type="cellIs" dxfId="9848" priority="22456" operator="equal">
      <formula>"×"</formula>
    </cfRule>
  </conditionalFormatting>
  <conditionalFormatting sqref="AE19">
    <cfRule type="cellIs" dxfId="9847" priority="22453" operator="equal">
      <formula>1</formula>
    </cfRule>
    <cfRule type="cellIs" dxfId="9846" priority="22454" operator="equal">
      <formula>"×"</formula>
    </cfRule>
  </conditionalFormatting>
  <conditionalFormatting sqref="AE19">
    <cfRule type="cellIs" dxfId="9845" priority="22451" operator="equal">
      <formula>1</formula>
    </cfRule>
    <cfRule type="cellIs" dxfId="9844" priority="22452" operator="equal">
      <formula>"×"</formula>
    </cfRule>
  </conditionalFormatting>
  <conditionalFormatting sqref="AE19">
    <cfRule type="cellIs" dxfId="9843" priority="22449" operator="equal">
      <formula>1</formula>
    </cfRule>
    <cfRule type="cellIs" dxfId="9842" priority="22450" operator="equal">
      <formula>"×"</formula>
    </cfRule>
  </conditionalFormatting>
  <conditionalFormatting sqref="AE19">
    <cfRule type="cellIs" dxfId="9841" priority="22443" operator="equal">
      <formula>1</formula>
    </cfRule>
    <cfRule type="cellIs" dxfId="9840" priority="22444" operator="equal">
      <formula>"×"</formula>
    </cfRule>
  </conditionalFormatting>
  <conditionalFormatting sqref="AE19">
    <cfRule type="cellIs" dxfId="9839" priority="22419" operator="equal">
      <formula>1</formula>
    </cfRule>
    <cfRule type="cellIs" dxfId="9838" priority="22420" operator="equal">
      <formula>"×"</formula>
    </cfRule>
  </conditionalFormatting>
  <conditionalFormatting sqref="AE19">
    <cfRule type="cellIs" dxfId="9837" priority="22423" operator="equal">
      <formula>1</formula>
    </cfRule>
    <cfRule type="cellIs" dxfId="9836" priority="22424" operator="equal">
      <formula>"×"</formula>
    </cfRule>
  </conditionalFormatting>
  <conditionalFormatting sqref="AE19">
    <cfRule type="cellIs" dxfId="9835" priority="22421" operator="equal">
      <formula>1</formula>
    </cfRule>
    <cfRule type="cellIs" dxfId="9834" priority="22422" operator="equal">
      <formula>"×"</formula>
    </cfRule>
  </conditionalFormatting>
  <conditionalFormatting sqref="AE19">
    <cfRule type="cellIs" dxfId="9833" priority="22417" operator="equal">
      <formula>1</formula>
    </cfRule>
    <cfRule type="cellIs" dxfId="9832" priority="22418" operator="equal">
      <formula>"×"</formula>
    </cfRule>
  </conditionalFormatting>
  <conditionalFormatting sqref="AE19">
    <cfRule type="cellIs" dxfId="9831" priority="22441" operator="equal">
      <formula>1</formula>
    </cfRule>
    <cfRule type="cellIs" dxfId="9830" priority="22442" operator="equal">
      <formula>"×"</formula>
    </cfRule>
  </conditionalFormatting>
  <conditionalFormatting sqref="AE19">
    <cfRule type="cellIs" dxfId="9829" priority="22439" operator="equal">
      <formula>1</formula>
    </cfRule>
    <cfRule type="cellIs" dxfId="9828" priority="22440" operator="equal">
      <formula>"×"</formula>
    </cfRule>
  </conditionalFormatting>
  <conditionalFormatting sqref="AE19">
    <cfRule type="cellIs" dxfId="9827" priority="22437" operator="equal">
      <formula>1</formula>
    </cfRule>
    <cfRule type="cellIs" dxfId="9826" priority="22438" operator="equal">
      <formula>"×"</formula>
    </cfRule>
  </conditionalFormatting>
  <conditionalFormatting sqref="AE19">
    <cfRule type="cellIs" dxfId="9825" priority="22435" operator="equal">
      <formula>1</formula>
    </cfRule>
    <cfRule type="cellIs" dxfId="9824" priority="22436" operator="equal">
      <formula>"×"</formula>
    </cfRule>
  </conditionalFormatting>
  <conditionalFormatting sqref="AE19">
    <cfRule type="cellIs" dxfId="9823" priority="22433" operator="equal">
      <formula>1</formula>
    </cfRule>
    <cfRule type="cellIs" dxfId="9822" priority="22434" operator="equal">
      <formula>"×"</formula>
    </cfRule>
  </conditionalFormatting>
  <conditionalFormatting sqref="AE19">
    <cfRule type="cellIs" dxfId="9821" priority="22431" operator="equal">
      <formula>1</formula>
    </cfRule>
    <cfRule type="cellIs" dxfId="9820" priority="22432" operator="equal">
      <formula>"×"</formula>
    </cfRule>
  </conditionalFormatting>
  <conditionalFormatting sqref="AE19">
    <cfRule type="cellIs" dxfId="9819" priority="22429" operator="equal">
      <formula>1</formula>
    </cfRule>
    <cfRule type="cellIs" dxfId="9818" priority="22430" operator="equal">
      <formula>"×"</formula>
    </cfRule>
  </conditionalFormatting>
  <conditionalFormatting sqref="AE19">
    <cfRule type="cellIs" dxfId="9817" priority="22427" operator="equal">
      <formula>1</formula>
    </cfRule>
    <cfRule type="cellIs" dxfId="9816" priority="22428" operator="equal">
      <formula>"×"</formula>
    </cfRule>
  </conditionalFormatting>
  <conditionalFormatting sqref="AE19">
    <cfRule type="cellIs" dxfId="9815" priority="22425" operator="equal">
      <formula>1</formula>
    </cfRule>
    <cfRule type="cellIs" dxfId="9814" priority="22426" operator="equal">
      <formula>"×"</formula>
    </cfRule>
  </conditionalFormatting>
  <conditionalFormatting sqref="AC17:AC19">
    <cfRule type="cellIs" dxfId="9813" priority="22377" operator="equal">
      <formula>1</formula>
    </cfRule>
    <cfRule type="cellIs" dxfId="9812" priority="22378" operator="equal">
      <formula>"×"</formula>
    </cfRule>
  </conditionalFormatting>
  <conditionalFormatting sqref="AE17:AE19">
    <cfRule type="cellIs" dxfId="9811" priority="22375" operator="equal">
      <formula>1</formula>
    </cfRule>
    <cfRule type="cellIs" dxfId="9810" priority="22376" operator="equal">
      <formula>"×"</formula>
    </cfRule>
  </conditionalFormatting>
  <conditionalFormatting sqref="AD17:AD19">
    <cfRule type="cellIs" dxfId="9809" priority="22373" operator="equal">
      <formula>1</formula>
    </cfRule>
    <cfRule type="cellIs" dxfId="9808" priority="22374" operator="equal">
      <formula>"×"</formula>
    </cfRule>
  </conditionalFormatting>
  <conditionalFormatting sqref="AE17:AE19">
    <cfRule type="cellIs" dxfId="9807" priority="22371" operator="equal">
      <formula>1</formula>
    </cfRule>
    <cfRule type="cellIs" dxfId="9806" priority="22372" operator="equal">
      <formula>"×"</formula>
    </cfRule>
  </conditionalFormatting>
  <conditionalFormatting sqref="AD17:AD19">
    <cfRule type="cellIs" dxfId="9805" priority="22369" operator="equal">
      <formula>1</formula>
    </cfRule>
    <cfRule type="cellIs" dxfId="9804" priority="22370" operator="equal">
      <formula>"×"</formula>
    </cfRule>
  </conditionalFormatting>
  <conditionalFormatting sqref="AD17:AD19">
    <cfRule type="cellIs" dxfId="9803" priority="22365" operator="equal">
      <formula>1</formula>
    </cfRule>
    <cfRule type="cellIs" dxfId="9802" priority="22366" operator="equal">
      <formula>"×"</formula>
    </cfRule>
  </conditionalFormatting>
  <conditionalFormatting sqref="AD17:AD19">
    <cfRule type="cellIs" dxfId="9801" priority="22367" operator="equal">
      <formula>1</formula>
    </cfRule>
    <cfRule type="cellIs" dxfId="9800" priority="22368" operator="equal">
      <formula>"×"</formula>
    </cfRule>
  </conditionalFormatting>
  <conditionalFormatting sqref="AC17:AC19">
    <cfRule type="cellIs" dxfId="9799" priority="22415" operator="equal">
      <formula>1</formula>
    </cfRule>
    <cfRule type="cellIs" dxfId="9798" priority="22416" operator="equal">
      <formula>"×"</formula>
    </cfRule>
  </conditionalFormatting>
  <conditionalFormatting sqref="AE17:AE19">
    <cfRule type="cellIs" dxfId="9797" priority="22413" operator="equal">
      <formula>1</formula>
    </cfRule>
    <cfRule type="cellIs" dxfId="9796" priority="22414" operator="equal">
      <formula>"×"</formula>
    </cfRule>
  </conditionalFormatting>
  <conditionalFormatting sqref="AE17:AE19">
    <cfRule type="cellIs" dxfId="9795" priority="22409" operator="equal">
      <formula>1</formula>
    </cfRule>
    <cfRule type="cellIs" dxfId="9794" priority="22410" operator="equal">
      <formula>"×"</formula>
    </cfRule>
  </conditionalFormatting>
  <conditionalFormatting sqref="AD17:AD19">
    <cfRule type="cellIs" dxfId="9793" priority="22411" operator="equal">
      <formula>1</formula>
    </cfRule>
    <cfRule type="cellIs" dxfId="9792" priority="22412" operator="equal">
      <formula>"×"</formula>
    </cfRule>
  </conditionalFormatting>
  <conditionalFormatting sqref="AD17:AD19">
    <cfRule type="cellIs" dxfId="9791" priority="22407" operator="equal">
      <formula>1</formula>
    </cfRule>
    <cfRule type="cellIs" dxfId="9790" priority="22408" operator="equal">
      <formula>"×"</formula>
    </cfRule>
  </conditionalFormatting>
  <conditionalFormatting sqref="AD17:AD19">
    <cfRule type="cellIs" dxfId="9789" priority="22405" operator="equal">
      <formula>1</formula>
    </cfRule>
    <cfRule type="cellIs" dxfId="9788" priority="22406" operator="equal">
      <formula>"×"</formula>
    </cfRule>
  </conditionalFormatting>
  <conditionalFormatting sqref="AD17:AD19">
    <cfRule type="cellIs" dxfId="9787" priority="22403" operator="equal">
      <formula>1</formula>
    </cfRule>
    <cfRule type="cellIs" dxfId="9786" priority="22404" operator="equal">
      <formula>"×"</formula>
    </cfRule>
  </conditionalFormatting>
  <conditionalFormatting sqref="AE17:AE19">
    <cfRule type="cellIs" dxfId="9785" priority="22401" operator="equal">
      <formula>1</formula>
    </cfRule>
    <cfRule type="cellIs" dxfId="9784" priority="22402" operator="equal">
      <formula>"×"</formula>
    </cfRule>
  </conditionalFormatting>
  <conditionalFormatting sqref="AE17:AE19">
    <cfRule type="cellIs" dxfId="9783" priority="22397" operator="equal">
      <formula>1</formula>
    </cfRule>
    <cfRule type="cellIs" dxfId="9782" priority="22398" operator="equal">
      <formula>"×"</formula>
    </cfRule>
  </conditionalFormatting>
  <conditionalFormatting sqref="AD17:AD19">
    <cfRule type="cellIs" dxfId="9781" priority="22399" operator="equal">
      <formula>1</formula>
    </cfRule>
    <cfRule type="cellIs" dxfId="9780" priority="22400" operator="equal">
      <formula>"×"</formula>
    </cfRule>
  </conditionalFormatting>
  <conditionalFormatting sqref="AD17:AD19">
    <cfRule type="cellIs" dxfId="9779" priority="22395" operator="equal">
      <formula>1</formula>
    </cfRule>
    <cfRule type="cellIs" dxfId="9778" priority="22396" operator="equal">
      <formula>"×"</formula>
    </cfRule>
  </conditionalFormatting>
  <conditionalFormatting sqref="AD17:AD19">
    <cfRule type="cellIs" dxfId="9777" priority="22393" operator="equal">
      <formula>1</formula>
    </cfRule>
    <cfRule type="cellIs" dxfId="9776" priority="22394" operator="equal">
      <formula>"×"</formula>
    </cfRule>
  </conditionalFormatting>
  <conditionalFormatting sqref="AD17:AD19">
    <cfRule type="cellIs" dxfId="9775" priority="22391" operator="equal">
      <formula>1</formula>
    </cfRule>
    <cfRule type="cellIs" dxfId="9774" priority="22392" operator="equal">
      <formula>"×"</formula>
    </cfRule>
  </conditionalFormatting>
  <conditionalFormatting sqref="AE17:AE19">
    <cfRule type="cellIs" dxfId="9773" priority="22389" operator="equal">
      <formula>1</formula>
    </cfRule>
    <cfRule type="cellIs" dxfId="9772" priority="22390" operator="equal">
      <formula>"×"</formula>
    </cfRule>
  </conditionalFormatting>
  <conditionalFormatting sqref="AE17:AE19">
    <cfRule type="cellIs" dxfId="9771" priority="22385" operator="equal">
      <formula>1</formula>
    </cfRule>
    <cfRule type="cellIs" dxfId="9770" priority="22386" operator="equal">
      <formula>"×"</formula>
    </cfRule>
  </conditionalFormatting>
  <conditionalFormatting sqref="AD17:AD19">
    <cfRule type="cellIs" dxfId="9769" priority="22387" operator="equal">
      <formula>1</formula>
    </cfRule>
    <cfRule type="cellIs" dxfId="9768" priority="22388" operator="equal">
      <formula>"×"</formula>
    </cfRule>
  </conditionalFormatting>
  <conditionalFormatting sqref="AD17:AD19">
    <cfRule type="cellIs" dxfId="9767" priority="22383" operator="equal">
      <formula>1</formula>
    </cfRule>
    <cfRule type="cellIs" dxfId="9766" priority="22384" operator="equal">
      <formula>"×"</formula>
    </cfRule>
  </conditionalFormatting>
  <conditionalFormatting sqref="AD17:AD19">
    <cfRule type="cellIs" dxfId="9765" priority="22381" operator="equal">
      <formula>1</formula>
    </cfRule>
    <cfRule type="cellIs" dxfId="9764" priority="22382" operator="equal">
      <formula>"×"</formula>
    </cfRule>
  </conditionalFormatting>
  <conditionalFormatting sqref="AD17:AD19">
    <cfRule type="cellIs" dxfId="9763" priority="22379" operator="equal">
      <formula>1</formula>
    </cfRule>
    <cfRule type="cellIs" dxfId="9762" priority="22380" operator="equal">
      <formula>"×"</formula>
    </cfRule>
  </conditionalFormatting>
  <conditionalFormatting sqref="AC17:AE19">
    <cfRule type="cellIs" dxfId="9761" priority="22363" operator="equal">
      <formula>1</formula>
    </cfRule>
    <cfRule type="cellIs" dxfId="9760" priority="22364" operator="equal">
      <formula>"×"</formula>
    </cfRule>
  </conditionalFormatting>
  <conditionalFormatting sqref="Z17:Z19 AB17:AB19 AD17:AD19">
    <cfRule type="cellIs" dxfId="9759" priority="22361" operator="equal">
      <formula>1</formula>
    </cfRule>
    <cfRule type="cellIs" dxfId="9758" priority="22362" operator="equal">
      <formula>"×"</formula>
    </cfRule>
  </conditionalFormatting>
  <conditionalFormatting sqref="AE17:AE19">
    <cfRule type="cellIs" dxfId="9757" priority="22335" operator="equal">
      <formula>1</formula>
    </cfRule>
    <cfRule type="cellIs" dxfId="9756" priority="22336" operator="equal">
      <formula>"×"</formula>
    </cfRule>
  </conditionalFormatting>
  <conditionalFormatting sqref="AE17:AE19">
    <cfRule type="cellIs" dxfId="9755" priority="22333" operator="equal">
      <formula>1</formula>
    </cfRule>
    <cfRule type="cellIs" dxfId="9754" priority="22334" operator="equal">
      <formula>"×"</formula>
    </cfRule>
  </conditionalFormatting>
  <conditionalFormatting sqref="AE17:AE19">
    <cfRule type="cellIs" dxfId="9753" priority="22329" operator="equal">
      <formula>1</formula>
    </cfRule>
    <cfRule type="cellIs" dxfId="9752" priority="22330" operator="equal">
      <formula>"×"</formula>
    </cfRule>
  </conditionalFormatting>
  <conditionalFormatting sqref="AE17:AE19">
    <cfRule type="cellIs" dxfId="9751" priority="22331" operator="equal">
      <formula>1</formula>
    </cfRule>
    <cfRule type="cellIs" dxfId="9750" priority="22332" operator="equal">
      <formula>"×"</formula>
    </cfRule>
  </conditionalFormatting>
  <conditionalFormatting sqref="AE17:AE19">
    <cfRule type="cellIs" dxfId="9749" priority="22359" operator="equal">
      <formula>1</formula>
    </cfRule>
    <cfRule type="cellIs" dxfId="9748" priority="22360" operator="equal">
      <formula>"×"</formula>
    </cfRule>
  </conditionalFormatting>
  <conditionalFormatting sqref="AE17:AE19">
    <cfRule type="cellIs" dxfId="9747" priority="22357" operator="equal">
      <formula>1</formula>
    </cfRule>
    <cfRule type="cellIs" dxfId="9746" priority="22358" operator="equal">
      <formula>"×"</formula>
    </cfRule>
  </conditionalFormatting>
  <conditionalFormatting sqref="AE17:AE19">
    <cfRule type="cellIs" dxfId="9745" priority="22355" operator="equal">
      <formula>1</formula>
    </cfRule>
    <cfRule type="cellIs" dxfId="9744" priority="22356" operator="equal">
      <formula>"×"</formula>
    </cfRule>
  </conditionalFormatting>
  <conditionalFormatting sqref="AE17:AE19">
    <cfRule type="cellIs" dxfId="9743" priority="22353" operator="equal">
      <formula>1</formula>
    </cfRule>
    <cfRule type="cellIs" dxfId="9742" priority="22354" operator="equal">
      <formula>"×"</formula>
    </cfRule>
  </conditionalFormatting>
  <conditionalFormatting sqref="AE17:AE19">
    <cfRule type="cellIs" dxfId="9741" priority="22351" operator="equal">
      <formula>1</formula>
    </cfRule>
    <cfRule type="cellIs" dxfId="9740" priority="22352" operator="equal">
      <formula>"×"</formula>
    </cfRule>
  </conditionalFormatting>
  <conditionalFormatting sqref="AE17:AE19">
    <cfRule type="cellIs" dxfId="9739" priority="22349" operator="equal">
      <formula>1</formula>
    </cfRule>
    <cfRule type="cellIs" dxfId="9738" priority="22350" operator="equal">
      <formula>"×"</formula>
    </cfRule>
  </conditionalFormatting>
  <conditionalFormatting sqref="AE17:AE19">
    <cfRule type="cellIs" dxfId="9737" priority="22347" operator="equal">
      <formula>1</formula>
    </cfRule>
    <cfRule type="cellIs" dxfId="9736" priority="22348" operator="equal">
      <formula>"×"</formula>
    </cfRule>
  </conditionalFormatting>
  <conditionalFormatting sqref="AE17:AE19">
    <cfRule type="cellIs" dxfId="9735" priority="22345" operator="equal">
      <formula>1</formula>
    </cfRule>
    <cfRule type="cellIs" dxfId="9734" priority="22346" operator="equal">
      <formula>"×"</formula>
    </cfRule>
  </conditionalFormatting>
  <conditionalFormatting sqref="AE17:AE19">
    <cfRule type="cellIs" dxfId="9733" priority="22343" operator="equal">
      <formula>1</formula>
    </cfRule>
    <cfRule type="cellIs" dxfId="9732" priority="22344" operator="equal">
      <formula>"×"</formula>
    </cfRule>
  </conditionalFormatting>
  <conditionalFormatting sqref="AE17:AE19">
    <cfRule type="cellIs" dxfId="9731" priority="22341" operator="equal">
      <formula>1</formula>
    </cfRule>
    <cfRule type="cellIs" dxfId="9730" priority="22342" operator="equal">
      <formula>"×"</formula>
    </cfRule>
  </conditionalFormatting>
  <conditionalFormatting sqref="AE17:AE19">
    <cfRule type="cellIs" dxfId="9729" priority="22339" operator="equal">
      <formula>1</formula>
    </cfRule>
    <cfRule type="cellIs" dxfId="9728" priority="22340" operator="equal">
      <formula>"×"</formula>
    </cfRule>
  </conditionalFormatting>
  <conditionalFormatting sqref="AE17:AE19">
    <cfRule type="cellIs" dxfId="9727" priority="22337" operator="equal">
      <formula>1</formula>
    </cfRule>
    <cfRule type="cellIs" dxfId="9726" priority="22338" operator="equal">
      <formula>"×"</formula>
    </cfRule>
  </conditionalFormatting>
  <conditionalFormatting sqref="AC19">
    <cfRule type="cellIs" dxfId="9725" priority="22301" operator="equal">
      <formula>1</formula>
    </cfRule>
    <cfRule type="cellIs" dxfId="9724" priority="22302" operator="equal">
      <formula>"×"</formula>
    </cfRule>
  </conditionalFormatting>
  <conditionalFormatting sqref="AD19">
    <cfRule type="cellIs" dxfId="9723" priority="22299" operator="equal">
      <formula>1</formula>
    </cfRule>
    <cfRule type="cellIs" dxfId="9722" priority="22300" operator="equal">
      <formula>"×"</formula>
    </cfRule>
  </conditionalFormatting>
  <conditionalFormatting sqref="AD19">
    <cfRule type="cellIs" dxfId="9721" priority="22297" operator="equal">
      <formula>1</formula>
    </cfRule>
    <cfRule type="cellIs" dxfId="9720" priority="22298" operator="equal">
      <formula>"×"</formula>
    </cfRule>
  </conditionalFormatting>
  <conditionalFormatting sqref="AD19">
    <cfRule type="cellIs" dxfId="9719" priority="22293" operator="equal">
      <formula>1</formula>
    </cfRule>
    <cfRule type="cellIs" dxfId="9718" priority="22294" operator="equal">
      <formula>"×"</formula>
    </cfRule>
  </conditionalFormatting>
  <conditionalFormatting sqref="AD19">
    <cfRule type="cellIs" dxfId="9717" priority="22295" operator="equal">
      <formula>1</formula>
    </cfRule>
    <cfRule type="cellIs" dxfId="9716" priority="22296" operator="equal">
      <formula>"×"</formula>
    </cfRule>
  </conditionalFormatting>
  <conditionalFormatting sqref="AC19">
    <cfRule type="cellIs" dxfId="9715" priority="22327" operator="equal">
      <formula>1</formula>
    </cfRule>
    <cfRule type="cellIs" dxfId="9714" priority="22328" operator="equal">
      <formula>"×"</formula>
    </cfRule>
  </conditionalFormatting>
  <conditionalFormatting sqref="AD19">
    <cfRule type="cellIs" dxfId="9713" priority="22325" operator="equal">
      <formula>1</formula>
    </cfRule>
    <cfRule type="cellIs" dxfId="9712" priority="22326" operator="equal">
      <formula>"×"</formula>
    </cfRule>
  </conditionalFormatting>
  <conditionalFormatting sqref="AD19">
    <cfRule type="cellIs" dxfId="9711" priority="22323" operator="equal">
      <formula>1</formula>
    </cfRule>
    <cfRule type="cellIs" dxfId="9710" priority="22324" operator="equal">
      <formula>"×"</formula>
    </cfRule>
  </conditionalFormatting>
  <conditionalFormatting sqref="AD19">
    <cfRule type="cellIs" dxfId="9709" priority="22321" operator="equal">
      <formula>1</formula>
    </cfRule>
    <cfRule type="cellIs" dxfId="9708" priority="22322" operator="equal">
      <formula>"×"</formula>
    </cfRule>
  </conditionalFormatting>
  <conditionalFormatting sqref="AD19">
    <cfRule type="cellIs" dxfId="9707" priority="22319" operator="equal">
      <formula>1</formula>
    </cfRule>
    <cfRule type="cellIs" dxfId="9706" priority="22320" operator="equal">
      <formula>"×"</formula>
    </cfRule>
  </conditionalFormatting>
  <conditionalFormatting sqref="AD19">
    <cfRule type="cellIs" dxfId="9705" priority="22317" operator="equal">
      <formula>1</formula>
    </cfRule>
    <cfRule type="cellIs" dxfId="9704" priority="22318" operator="equal">
      <formula>"×"</formula>
    </cfRule>
  </conditionalFormatting>
  <conditionalFormatting sqref="AD19">
    <cfRule type="cellIs" dxfId="9703" priority="22315" operator="equal">
      <formula>1</formula>
    </cfRule>
    <cfRule type="cellIs" dxfId="9702" priority="22316" operator="equal">
      <formula>"×"</formula>
    </cfRule>
  </conditionalFormatting>
  <conditionalFormatting sqref="AD19">
    <cfRule type="cellIs" dxfId="9701" priority="22313" operator="equal">
      <formula>1</formula>
    </cfRule>
    <cfRule type="cellIs" dxfId="9700" priority="22314" operator="equal">
      <formula>"×"</formula>
    </cfRule>
  </conditionalFormatting>
  <conditionalFormatting sqref="AD19">
    <cfRule type="cellIs" dxfId="9699" priority="22311" operator="equal">
      <formula>1</formula>
    </cfRule>
    <cfRule type="cellIs" dxfId="9698" priority="22312" operator="equal">
      <formula>"×"</formula>
    </cfRule>
  </conditionalFormatting>
  <conditionalFormatting sqref="AD19">
    <cfRule type="cellIs" dxfId="9697" priority="22309" operator="equal">
      <formula>1</formula>
    </cfRule>
    <cfRule type="cellIs" dxfId="9696" priority="22310" operator="equal">
      <formula>"×"</formula>
    </cfRule>
  </conditionalFormatting>
  <conditionalFormatting sqref="AD19">
    <cfRule type="cellIs" dxfId="9695" priority="22307" operator="equal">
      <formula>1</formula>
    </cfRule>
    <cfRule type="cellIs" dxfId="9694" priority="22308" operator="equal">
      <formula>"×"</formula>
    </cfRule>
  </conditionalFormatting>
  <conditionalFormatting sqref="AD19">
    <cfRule type="cellIs" dxfId="9693" priority="22305" operator="equal">
      <formula>1</formula>
    </cfRule>
    <cfRule type="cellIs" dxfId="9692" priority="22306" operator="equal">
      <formula>"×"</formula>
    </cfRule>
  </conditionalFormatting>
  <conditionalFormatting sqref="AD19">
    <cfRule type="cellIs" dxfId="9691" priority="22303" operator="equal">
      <formula>1</formula>
    </cfRule>
    <cfRule type="cellIs" dxfId="9690" priority="22304" operator="equal">
      <formula>"×"</formula>
    </cfRule>
  </conditionalFormatting>
  <conditionalFormatting sqref="AC19:AD19">
    <cfRule type="cellIs" dxfId="9689" priority="22291" operator="equal">
      <formula>1</formula>
    </cfRule>
    <cfRule type="cellIs" dxfId="9688" priority="22292" operator="equal">
      <formula>"×"</formula>
    </cfRule>
  </conditionalFormatting>
  <conditionalFormatting sqref="Z19 AB19 AD19">
    <cfRule type="cellIs" dxfId="9687" priority="22289" operator="equal">
      <formula>1</formula>
    </cfRule>
    <cfRule type="cellIs" dxfId="9686" priority="22290" operator="equal">
      <formula>"×"</formula>
    </cfRule>
  </conditionalFormatting>
  <conditionalFormatting sqref="AG13:AI15">
    <cfRule type="cellIs" dxfId="9685" priority="18599" operator="equal">
      <formula>1</formula>
    </cfRule>
    <cfRule type="cellIs" dxfId="9684" priority="18600" operator="equal">
      <formula>"×"</formula>
    </cfRule>
  </conditionalFormatting>
  <conditionalFormatting sqref="AF19">
    <cfRule type="cellIs" dxfId="9683" priority="22269" operator="equal">
      <formula>1</formula>
    </cfRule>
    <cfRule type="cellIs" dxfId="9682" priority="22270" operator="equal">
      <formula>"×"</formula>
    </cfRule>
  </conditionalFormatting>
  <conditionalFormatting sqref="AF19">
    <cfRule type="cellIs" dxfId="9681" priority="22267" operator="equal">
      <formula>1</formula>
    </cfRule>
    <cfRule type="cellIs" dxfId="9680" priority="22268" operator="equal">
      <formula>"×"</formula>
    </cfRule>
  </conditionalFormatting>
  <conditionalFormatting sqref="AI19">
    <cfRule type="cellIs" dxfId="9679" priority="22283" operator="equal">
      <formula>1</formula>
    </cfRule>
    <cfRule type="cellIs" dxfId="9678" priority="22284" operator="equal">
      <formula>"×"</formula>
    </cfRule>
  </conditionalFormatting>
  <conditionalFormatting sqref="AF19:AI19">
    <cfRule type="cellIs" dxfId="9677" priority="22285" operator="equal">
      <formula>1</formula>
    </cfRule>
    <cfRule type="cellIs" dxfId="9676" priority="22286" operator="equal">
      <formula>"×"</formula>
    </cfRule>
  </conditionalFormatting>
  <conditionalFormatting sqref="AF19:AI19">
    <cfRule type="cellIs" dxfId="9675" priority="22281" operator="equal">
      <formula>1</formula>
    </cfRule>
    <cfRule type="cellIs" dxfId="9674" priority="22282" operator="equal">
      <formula>"×"</formula>
    </cfRule>
  </conditionalFormatting>
  <conditionalFormatting sqref="AI13:AI15">
    <cfRule type="cellIs" dxfId="9673" priority="18591" operator="equal">
      <formula>1</formula>
    </cfRule>
    <cfRule type="cellIs" dxfId="9672" priority="18592" operator="equal">
      <formula>"×"</formula>
    </cfRule>
  </conditionalFormatting>
  <conditionalFormatting sqref="AG13:AI15">
    <cfRule type="cellIs" dxfId="9671" priority="18589" operator="equal">
      <formula>1</formula>
    </cfRule>
    <cfRule type="cellIs" dxfId="9670" priority="18590" operator="equal">
      <formula>"×"</formula>
    </cfRule>
  </conditionalFormatting>
  <conditionalFormatting sqref="AG13:AI15">
    <cfRule type="cellIs" dxfId="9669" priority="18587" operator="equal">
      <formula>1</formula>
    </cfRule>
    <cfRule type="cellIs" dxfId="9668" priority="18588" operator="equal">
      <formula>"×"</formula>
    </cfRule>
  </conditionalFormatting>
  <conditionalFormatting sqref="AI13:AI15">
    <cfRule type="cellIs" dxfId="9667" priority="18585" operator="equal">
      <formula>1</formula>
    </cfRule>
    <cfRule type="cellIs" dxfId="9666" priority="18586" operator="equal">
      <formula>"×"</formula>
    </cfRule>
  </conditionalFormatting>
  <conditionalFormatting sqref="AG13:AI15">
    <cfRule type="cellIs" dxfId="9665" priority="18583" operator="equal">
      <formula>1</formula>
    </cfRule>
    <cfRule type="cellIs" dxfId="9664" priority="18584" operator="equal">
      <formula>"×"</formula>
    </cfRule>
  </conditionalFormatting>
  <conditionalFormatting sqref="AI13:AI15">
    <cfRule type="cellIs" dxfId="9663" priority="18577" operator="equal">
      <formula>1</formula>
    </cfRule>
    <cfRule type="cellIs" dxfId="9662" priority="18578" operator="equal">
      <formula>"×"</formula>
    </cfRule>
  </conditionalFormatting>
  <conditionalFormatting sqref="AI13:AI15">
    <cfRule type="cellIs" dxfId="9661" priority="18575" operator="equal">
      <formula>1</formula>
    </cfRule>
    <cfRule type="cellIs" dxfId="9660" priority="18576" operator="equal">
      <formula>"×"</formula>
    </cfRule>
  </conditionalFormatting>
  <conditionalFormatting sqref="AI13:AI15">
    <cfRule type="cellIs" dxfId="9659" priority="18573" operator="equal">
      <formula>1</formula>
    </cfRule>
    <cfRule type="cellIs" dxfId="9658" priority="18574" operator="equal">
      <formula>"×"</formula>
    </cfRule>
  </conditionalFormatting>
  <conditionalFormatting sqref="AI13:AI15">
    <cfRule type="cellIs" dxfId="9657" priority="18571" operator="equal">
      <formula>1</formula>
    </cfRule>
    <cfRule type="cellIs" dxfId="9656" priority="18572" operator="equal">
      <formula>"×"</formula>
    </cfRule>
  </conditionalFormatting>
  <conditionalFormatting sqref="AF19">
    <cfRule type="cellIs" dxfId="9655" priority="22253" operator="equal">
      <formula>1</formula>
    </cfRule>
    <cfRule type="cellIs" dxfId="9654" priority="22254" operator="equal">
      <formula>"×"</formula>
    </cfRule>
  </conditionalFormatting>
  <conditionalFormatting sqref="AF19">
    <cfRule type="cellIs" dxfId="9653" priority="22251" operator="equal">
      <formula>1</formula>
    </cfRule>
    <cfRule type="cellIs" dxfId="9652" priority="22252" operator="equal">
      <formula>"×"</formula>
    </cfRule>
  </conditionalFormatting>
  <conditionalFormatting sqref="AF19">
    <cfRule type="cellIs" dxfId="9651" priority="22249" operator="equal">
      <formula>1</formula>
    </cfRule>
    <cfRule type="cellIs" dxfId="9650" priority="22250" operator="equal">
      <formula>"×"</formula>
    </cfRule>
  </conditionalFormatting>
  <conditionalFormatting sqref="AF19">
    <cfRule type="cellIs" dxfId="9649" priority="22247" operator="equal">
      <formula>1</formula>
    </cfRule>
    <cfRule type="cellIs" dxfId="9648" priority="22248" operator="equal">
      <formula>"×"</formula>
    </cfRule>
  </conditionalFormatting>
  <conditionalFormatting sqref="AF19">
    <cfRule type="cellIs" dxfId="9647" priority="22245" operator="equal">
      <formula>1</formula>
    </cfRule>
    <cfRule type="cellIs" dxfId="9646" priority="22246" operator="equal">
      <formula>"×"</formula>
    </cfRule>
  </conditionalFormatting>
  <conditionalFormatting sqref="AF19">
    <cfRule type="cellIs" dxfId="9645" priority="22243" operator="equal">
      <formula>1</formula>
    </cfRule>
    <cfRule type="cellIs" dxfId="9644" priority="22244" operator="equal">
      <formula>"×"</formula>
    </cfRule>
  </conditionalFormatting>
  <conditionalFormatting sqref="AF19">
    <cfRule type="cellIs" dxfId="9643" priority="22229" operator="equal">
      <formula>1</formula>
    </cfRule>
    <cfRule type="cellIs" dxfId="9642" priority="22230" operator="equal">
      <formula>"×"</formula>
    </cfRule>
  </conditionalFormatting>
  <conditionalFormatting sqref="AF19">
    <cfRule type="cellIs" dxfId="9641" priority="22227" operator="equal">
      <formula>1</formula>
    </cfRule>
    <cfRule type="cellIs" dxfId="9640" priority="22228" operator="equal">
      <formula>"×"</formula>
    </cfRule>
  </conditionalFormatting>
  <conditionalFormatting sqref="AF19">
    <cfRule type="cellIs" dxfId="9639" priority="22225" operator="equal">
      <formula>1</formula>
    </cfRule>
    <cfRule type="cellIs" dxfId="9638" priority="22226" operator="equal">
      <formula>"×"</formula>
    </cfRule>
  </conditionalFormatting>
  <conditionalFormatting sqref="AF19">
    <cfRule type="cellIs" dxfId="9637" priority="22223" operator="equal">
      <formula>1</formula>
    </cfRule>
    <cfRule type="cellIs" dxfId="9636" priority="22224" operator="equal">
      <formula>"×"</formula>
    </cfRule>
  </conditionalFormatting>
  <conditionalFormatting sqref="AF19">
    <cfRule type="cellIs" dxfId="9635" priority="22221" operator="equal">
      <formula>1</formula>
    </cfRule>
    <cfRule type="cellIs" dxfId="9634" priority="22222" operator="equal">
      <formula>"×"</formula>
    </cfRule>
  </conditionalFormatting>
  <conditionalFormatting sqref="AF19">
    <cfRule type="cellIs" dxfId="9633" priority="22219" operator="equal">
      <formula>1</formula>
    </cfRule>
    <cfRule type="cellIs" dxfId="9632" priority="22220" operator="equal">
      <formula>"×"</formula>
    </cfRule>
  </conditionalFormatting>
  <conditionalFormatting sqref="AF19">
    <cfRule type="cellIs" dxfId="9631" priority="22217" operator="equal">
      <formula>1</formula>
    </cfRule>
    <cfRule type="cellIs" dxfId="9630" priority="22218" operator="equal">
      <formula>"×"</formula>
    </cfRule>
  </conditionalFormatting>
  <conditionalFormatting sqref="AF13">
    <cfRule type="cellIs" dxfId="9629" priority="18527" operator="equal">
      <formula>1</formula>
    </cfRule>
    <cfRule type="cellIs" dxfId="9628" priority="18528" operator="equal">
      <formula>"×"</formula>
    </cfRule>
  </conditionalFormatting>
  <conditionalFormatting sqref="AI14">
    <cfRule type="cellIs" dxfId="9627" priority="18523" operator="equal">
      <formula>1</formula>
    </cfRule>
    <cfRule type="cellIs" dxfId="9626" priority="18524" operator="equal">
      <formula>"×"</formula>
    </cfRule>
  </conditionalFormatting>
  <conditionalFormatting sqref="AF13">
    <cfRule type="cellIs" dxfId="9625" priority="18525" operator="equal">
      <formula>1</formula>
    </cfRule>
    <cfRule type="cellIs" dxfId="9624" priority="18526" operator="equal">
      <formula>"×"</formula>
    </cfRule>
  </conditionalFormatting>
  <conditionalFormatting sqref="AF13">
    <cfRule type="cellIs" dxfId="9623" priority="18521" operator="equal">
      <formula>1</formula>
    </cfRule>
    <cfRule type="cellIs" dxfId="9622" priority="18522" operator="equal">
      <formula>"×"</formula>
    </cfRule>
  </conditionalFormatting>
  <conditionalFormatting sqref="AF13">
    <cfRule type="cellIs" dxfId="9621" priority="18519" operator="equal">
      <formula>1</formula>
    </cfRule>
    <cfRule type="cellIs" dxfId="9620" priority="18520" operator="equal">
      <formula>"×"</formula>
    </cfRule>
  </conditionalFormatting>
  <conditionalFormatting sqref="AE15">
    <cfRule type="cellIs" dxfId="9619" priority="18517" operator="equal">
      <formula>1</formula>
    </cfRule>
    <cfRule type="cellIs" dxfId="9618" priority="18518" operator="equal">
      <formula>"×"</formula>
    </cfRule>
  </conditionalFormatting>
  <conditionalFormatting sqref="AE15 AF13:AI13">
    <cfRule type="cellIs" dxfId="9617" priority="18515" operator="equal">
      <formula>1</formula>
    </cfRule>
    <cfRule type="cellIs" dxfId="9616" priority="18516" operator="equal">
      <formula>"×"</formula>
    </cfRule>
  </conditionalFormatting>
  <conditionalFormatting sqref="AI13">
    <cfRule type="cellIs" dxfId="9615" priority="18513" operator="equal">
      <formula>1</formula>
    </cfRule>
    <cfRule type="cellIs" dxfId="9614" priority="18514" operator="equal">
      <formula>"×"</formula>
    </cfRule>
  </conditionalFormatting>
  <conditionalFormatting sqref="AE15 AF13:AI13">
    <cfRule type="cellIs" dxfId="9613" priority="18511" operator="equal">
      <formula>1</formula>
    </cfRule>
    <cfRule type="cellIs" dxfId="9612" priority="18512" operator="equal">
      <formula>"×"</formula>
    </cfRule>
  </conditionalFormatting>
  <conditionalFormatting sqref="AI14">
    <cfRule type="cellIs" dxfId="9611" priority="18509" operator="equal">
      <formula>1</formula>
    </cfRule>
    <cfRule type="cellIs" dxfId="9610" priority="18510" operator="equal">
      <formula>"×"</formula>
    </cfRule>
  </conditionalFormatting>
  <conditionalFormatting sqref="AI14">
    <cfRule type="cellIs" dxfId="9609" priority="18507" operator="equal">
      <formula>1</formula>
    </cfRule>
    <cfRule type="cellIs" dxfId="9608" priority="18508" operator="equal">
      <formula>"×"</formula>
    </cfRule>
  </conditionalFormatting>
  <conditionalFormatting sqref="AE15">
    <cfRule type="cellIs" dxfId="9607" priority="18505" operator="equal">
      <formula>1</formula>
    </cfRule>
    <cfRule type="cellIs" dxfId="9606" priority="18506" operator="equal">
      <formula>"×"</formula>
    </cfRule>
  </conditionalFormatting>
  <conditionalFormatting sqref="AE15 AF13">
    <cfRule type="cellIs" dxfId="9605" priority="18481" operator="equal">
      <formula>1</formula>
    </cfRule>
    <cfRule type="cellIs" dxfId="9604" priority="18482" operator="equal">
      <formula>"×"</formula>
    </cfRule>
  </conditionalFormatting>
  <conditionalFormatting sqref="AE15 AF13">
    <cfRule type="cellIs" dxfId="9603" priority="18479" operator="equal">
      <formula>1</formula>
    </cfRule>
    <cfRule type="cellIs" dxfId="9602" priority="18480" operator="equal">
      <formula>"×"</formula>
    </cfRule>
  </conditionalFormatting>
  <conditionalFormatting sqref="AE15">
    <cfRule type="cellIs" dxfId="9601" priority="18503" operator="equal">
      <formula>1</formula>
    </cfRule>
    <cfRule type="cellIs" dxfId="9600" priority="18504" operator="equal">
      <formula>"×"</formula>
    </cfRule>
  </conditionalFormatting>
  <conditionalFormatting sqref="AE15">
    <cfRule type="cellIs" dxfId="9599" priority="18501" operator="equal">
      <formula>1</formula>
    </cfRule>
    <cfRule type="cellIs" dxfId="9598" priority="18502" operator="equal">
      <formula>"×"</formula>
    </cfRule>
  </conditionalFormatting>
  <conditionalFormatting sqref="AF19">
    <cfRule type="cellIs" dxfId="9597" priority="22187" operator="equal">
      <formula>1</formula>
    </cfRule>
    <cfRule type="cellIs" dxfId="9596" priority="22188" operator="equal">
      <formula>"×"</formula>
    </cfRule>
  </conditionalFormatting>
  <conditionalFormatting sqref="AF19">
    <cfRule type="cellIs" dxfId="9595" priority="22185" operator="equal">
      <formula>1</formula>
    </cfRule>
    <cfRule type="cellIs" dxfId="9594" priority="22186" operator="equal">
      <formula>"×"</formula>
    </cfRule>
  </conditionalFormatting>
  <conditionalFormatting sqref="AE15">
    <cfRule type="cellIs" dxfId="9593" priority="18495" operator="equal">
      <formula>1</formula>
    </cfRule>
    <cfRule type="cellIs" dxfId="9592" priority="18496" operator="equal">
      <formula>"×"</formula>
    </cfRule>
  </conditionalFormatting>
  <conditionalFormatting sqref="AE15">
    <cfRule type="cellIs" dxfId="9591" priority="18493" operator="equal">
      <formula>1</formula>
    </cfRule>
    <cfRule type="cellIs" dxfId="9590" priority="18494" operator="equal">
      <formula>"×"</formula>
    </cfRule>
  </conditionalFormatting>
  <conditionalFormatting sqref="AF19">
    <cfRule type="cellIs" dxfId="9589" priority="22179" operator="equal">
      <formula>1</formula>
    </cfRule>
    <cfRule type="cellIs" dxfId="9588" priority="22180" operator="equal">
      <formula>"×"</formula>
    </cfRule>
  </conditionalFormatting>
  <conditionalFormatting sqref="AE15 AF13">
    <cfRule type="cellIs" dxfId="9587" priority="18489" operator="equal">
      <formula>1</formula>
    </cfRule>
    <cfRule type="cellIs" dxfId="9586" priority="18490" operator="equal">
      <formula>"×"</formula>
    </cfRule>
  </conditionalFormatting>
  <conditionalFormatting sqref="AF19">
    <cfRule type="cellIs" dxfId="9585" priority="22175" operator="equal">
      <formula>1</formula>
    </cfRule>
    <cfRule type="cellIs" dxfId="9584" priority="22176" operator="equal">
      <formula>"×"</formula>
    </cfRule>
  </conditionalFormatting>
  <conditionalFormatting sqref="AE15 AF13">
    <cfRule type="cellIs" dxfId="9583" priority="18485" operator="equal">
      <formula>1</formula>
    </cfRule>
    <cfRule type="cellIs" dxfId="9582" priority="18486" operator="equal">
      <formula>"×"</formula>
    </cfRule>
  </conditionalFormatting>
  <conditionalFormatting sqref="AE15 AF13">
    <cfRule type="cellIs" dxfId="9581" priority="18483" operator="equal">
      <formula>1</formula>
    </cfRule>
    <cfRule type="cellIs" dxfId="9580" priority="18484" operator="equal">
      <formula>"×"</formula>
    </cfRule>
  </conditionalFormatting>
  <conditionalFormatting sqref="AF19">
    <cfRule type="cellIs" dxfId="9579" priority="22163" operator="equal">
      <formula>1</formula>
    </cfRule>
    <cfRule type="cellIs" dxfId="9578" priority="22164" operator="equal">
      <formula>"×"</formula>
    </cfRule>
  </conditionalFormatting>
  <conditionalFormatting sqref="AF19">
    <cfRule type="cellIs" dxfId="9577" priority="22159" operator="equal">
      <formula>1</formula>
    </cfRule>
    <cfRule type="cellIs" dxfId="9576" priority="22160" operator="equal">
      <formula>"×"</formula>
    </cfRule>
  </conditionalFormatting>
  <conditionalFormatting sqref="AF19">
    <cfRule type="cellIs" dxfId="9575" priority="22157" operator="equal">
      <formula>1</formula>
    </cfRule>
    <cfRule type="cellIs" dxfId="9574" priority="22158" operator="equal">
      <formula>"×"</formula>
    </cfRule>
  </conditionalFormatting>
  <conditionalFormatting sqref="AF19:AG19">
    <cfRule type="cellIs" dxfId="9573" priority="22103" operator="equal">
      <formula>1</formula>
    </cfRule>
    <cfRule type="cellIs" dxfId="9572" priority="22104" operator="equal">
      <formula>"×"</formula>
    </cfRule>
  </conditionalFormatting>
  <conditionalFormatting sqref="AF19:AG19">
    <cfRule type="cellIs" dxfId="9571" priority="22101" operator="equal">
      <formula>1</formula>
    </cfRule>
    <cfRule type="cellIs" dxfId="9570" priority="22102" operator="equal">
      <formula>"×"</formula>
    </cfRule>
  </conditionalFormatting>
  <conditionalFormatting sqref="AF19:AG19">
    <cfRule type="cellIs" dxfId="9569" priority="22097" operator="equal">
      <formula>1</formula>
    </cfRule>
    <cfRule type="cellIs" dxfId="9568" priority="22098" operator="equal">
      <formula>"×"</formula>
    </cfRule>
  </conditionalFormatting>
  <conditionalFormatting sqref="AF19:AG19">
    <cfRule type="cellIs" dxfId="9567" priority="22099" operator="equal">
      <formula>1</formula>
    </cfRule>
    <cfRule type="cellIs" dxfId="9566" priority="22100" operator="equal">
      <formula>"×"</formula>
    </cfRule>
  </conditionalFormatting>
  <conditionalFormatting sqref="AF19:AG19">
    <cfRule type="cellIs" dxfId="9565" priority="22127" operator="equal">
      <formula>1</formula>
    </cfRule>
    <cfRule type="cellIs" dxfId="9564" priority="22128" operator="equal">
      <formula>"×"</formula>
    </cfRule>
  </conditionalFormatting>
  <conditionalFormatting sqref="AF19:AG19">
    <cfRule type="cellIs" dxfId="9563" priority="22125" operator="equal">
      <formula>1</formula>
    </cfRule>
    <cfRule type="cellIs" dxfId="9562" priority="22126" operator="equal">
      <formula>"×"</formula>
    </cfRule>
  </conditionalFormatting>
  <conditionalFormatting sqref="AF19:AG19">
    <cfRule type="cellIs" dxfId="9561" priority="22123" operator="equal">
      <formula>1</formula>
    </cfRule>
    <cfRule type="cellIs" dxfId="9560" priority="22124" operator="equal">
      <formula>"×"</formula>
    </cfRule>
  </conditionalFormatting>
  <conditionalFormatting sqref="AF19:AG19">
    <cfRule type="cellIs" dxfId="9559" priority="22121" operator="equal">
      <formula>1</formula>
    </cfRule>
    <cfRule type="cellIs" dxfId="9558" priority="22122" operator="equal">
      <formula>"×"</formula>
    </cfRule>
  </conditionalFormatting>
  <conditionalFormatting sqref="AF19:AG19">
    <cfRule type="cellIs" dxfId="9557" priority="22119" operator="equal">
      <formula>1</formula>
    </cfRule>
    <cfRule type="cellIs" dxfId="9556" priority="22120" operator="equal">
      <formula>"×"</formula>
    </cfRule>
  </conditionalFormatting>
  <conditionalFormatting sqref="AF19:AG19">
    <cfRule type="cellIs" dxfId="9555" priority="22117" operator="equal">
      <formula>1</formula>
    </cfRule>
    <cfRule type="cellIs" dxfId="9554" priority="22118" operator="equal">
      <formula>"×"</formula>
    </cfRule>
  </conditionalFormatting>
  <conditionalFormatting sqref="AF19:AG19">
    <cfRule type="cellIs" dxfId="9553" priority="22115" operator="equal">
      <formula>1</formula>
    </cfRule>
    <cfRule type="cellIs" dxfId="9552" priority="22116" operator="equal">
      <formula>"×"</formula>
    </cfRule>
  </conditionalFormatting>
  <conditionalFormatting sqref="AF19:AG19">
    <cfRule type="cellIs" dxfId="9551" priority="22113" operator="equal">
      <formula>1</formula>
    </cfRule>
    <cfRule type="cellIs" dxfId="9550" priority="22114" operator="equal">
      <formula>"×"</formula>
    </cfRule>
  </conditionalFormatting>
  <conditionalFormatting sqref="AF19:AG19">
    <cfRule type="cellIs" dxfId="9549" priority="22111" operator="equal">
      <formula>1</formula>
    </cfRule>
    <cfRule type="cellIs" dxfId="9548" priority="22112" operator="equal">
      <formula>"×"</formula>
    </cfRule>
  </conditionalFormatting>
  <conditionalFormatting sqref="AF19:AG19">
    <cfRule type="cellIs" dxfId="9547" priority="22109" operator="equal">
      <formula>1</formula>
    </cfRule>
    <cfRule type="cellIs" dxfId="9546" priority="22110" operator="equal">
      <formula>"×"</formula>
    </cfRule>
  </conditionalFormatting>
  <conditionalFormatting sqref="AF19:AG19">
    <cfRule type="cellIs" dxfId="9545" priority="22107" operator="equal">
      <formula>1</formula>
    </cfRule>
    <cfRule type="cellIs" dxfId="9544" priority="22108" operator="equal">
      <formula>"×"</formula>
    </cfRule>
  </conditionalFormatting>
  <conditionalFormatting sqref="AF19:AG19">
    <cfRule type="cellIs" dxfId="9543" priority="22105" operator="equal">
      <formula>1</formula>
    </cfRule>
    <cfRule type="cellIs" dxfId="9542" priority="22106" operator="equal">
      <formula>"×"</formula>
    </cfRule>
  </conditionalFormatting>
  <conditionalFormatting sqref="AH19:AI19">
    <cfRule type="cellIs" dxfId="9541" priority="22071" operator="equal">
      <formula>1</formula>
    </cfRule>
    <cfRule type="cellIs" dxfId="9540" priority="22072" operator="equal">
      <formula>"×"</formula>
    </cfRule>
  </conditionalFormatting>
  <conditionalFormatting sqref="AH19:AI19">
    <cfRule type="cellIs" dxfId="9539" priority="22069" operator="equal">
      <formula>1</formula>
    </cfRule>
    <cfRule type="cellIs" dxfId="9538" priority="22070" operator="equal">
      <formula>"×"</formula>
    </cfRule>
  </conditionalFormatting>
  <conditionalFormatting sqref="AH19:AI19">
    <cfRule type="cellIs" dxfId="9537" priority="22065" operator="equal">
      <formula>1</formula>
    </cfRule>
    <cfRule type="cellIs" dxfId="9536" priority="22066" operator="equal">
      <formula>"×"</formula>
    </cfRule>
  </conditionalFormatting>
  <conditionalFormatting sqref="AH19:AI19">
    <cfRule type="cellIs" dxfId="9535" priority="22067" operator="equal">
      <formula>1</formula>
    </cfRule>
    <cfRule type="cellIs" dxfId="9534" priority="22068" operator="equal">
      <formula>"×"</formula>
    </cfRule>
  </conditionalFormatting>
  <conditionalFormatting sqref="AH19:AI19">
    <cfRule type="cellIs" dxfId="9533" priority="22095" operator="equal">
      <formula>1</formula>
    </cfRule>
    <cfRule type="cellIs" dxfId="9532" priority="22096" operator="equal">
      <formula>"×"</formula>
    </cfRule>
  </conditionalFormatting>
  <conditionalFormatting sqref="AH19:AI19">
    <cfRule type="cellIs" dxfId="9531" priority="22093" operator="equal">
      <formula>1</formula>
    </cfRule>
    <cfRule type="cellIs" dxfId="9530" priority="22094" operator="equal">
      <formula>"×"</formula>
    </cfRule>
  </conditionalFormatting>
  <conditionalFormatting sqref="AH19:AI19">
    <cfRule type="cellIs" dxfId="9529" priority="22091" operator="equal">
      <formula>1</formula>
    </cfRule>
    <cfRule type="cellIs" dxfId="9528" priority="22092" operator="equal">
      <formula>"×"</formula>
    </cfRule>
  </conditionalFormatting>
  <conditionalFormatting sqref="AH19:AI19">
    <cfRule type="cellIs" dxfId="9527" priority="22089" operator="equal">
      <formula>1</formula>
    </cfRule>
    <cfRule type="cellIs" dxfId="9526" priority="22090" operator="equal">
      <formula>"×"</formula>
    </cfRule>
  </conditionalFormatting>
  <conditionalFormatting sqref="AH19:AI19">
    <cfRule type="cellIs" dxfId="9525" priority="22087" operator="equal">
      <formula>1</formula>
    </cfRule>
    <cfRule type="cellIs" dxfId="9524" priority="22088" operator="equal">
      <formula>"×"</formula>
    </cfRule>
  </conditionalFormatting>
  <conditionalFormatting sqref="AH19:AI19">
    <cfRule type="cellIs" dxfId="9523" priority="22085" operator="equal">
      <formula>1</formula>
    </cfRule>
    <cfRule type="cellIs" dxfId="9522" priority="22086" operator="equal">
      <formula>"×"</formula>
    </cfRule>
  </conditionalFormatting>
  <conditionalFormatting sqref="AH19:AI19">
    <cfRule type="cellIs" dxfId="9521" priority="22083" operator="equal">
      <formula>1</formula>
    </cfRule>
    <cfRule type="cellIs" dxfId="9520" priority="22084" operator="equal">
      <formula>"×"</formula>
    </cfRule>
  </conditionalFormatting>
  <conditionalFormatting sqref="AH19:AI19">
    <cfRule type="cellIs" dxfId="9519" priority="22081" operator="equal">
      <formula>1</formula>
    </cfRule>
    <cfRule type="cellIs" dxfId="9518" priority="22082" operator="equal">
      <formula>"×"</formula>
    </cfRule>
  </conditionalFormatting>
  <conditionalFormatting sqref="AH19:AI19">
    <cfRule type="cellIs" dxfId="9517" priority="22079" operator="equal">
      <formula>1</formula>
    </cfRule>
    <cfRule type="cellIs" dxfId="9516" priority="22080" operator="equal">
      <formula>"×"</formula>
    </cfRule>
  </conditionalFormatting>
  <conditionalFormatting sqref="AH19:AI19">
    <cfRule type="cellIs" dxfId="9515" priority="22077" operator="equal">
      <formula>1</formula>
    </cfRule>
    <cfRule type="cellIs" dxfId="9514" priority="22078" operator="equal">
      <formula>"×"</formula>
    </cfRule>
  </conditionalFormatting>
  <conditionalFormatting sqref="AH19:AI19">
    <cfRule type="cellIs" dxfId="9513" priority="22075" operator="equal">
      <formula>1</formula>
    </cfRule>
    <cfRule type="cellIs" dxfId="9512" priority="22076" operator="equal">
      <formula>"×"</formula>
    </cfRule>
  </conditionalFormatting>
  <conditionalFormatting sqref="AH19:AI19">
    <cfRule type="cellIs" dxfId="9511" priority="22073" operator="equal">
      <formula>1</formula>
    </cfRule>
    <cfRule type="cellIs" dxfId="9510" priority="22074" operator="equal">
      <formula>"×"</formula>
    </cfRule>
  </conditionalFormatting>
  <conditionalFormatting sqref="AH9:AI9">
    <cfRule type="cellIs" dxfId="9509" priority="18375" operator="equal">
      <formula>1</formula>
    </cfRule>
    <cfRule type="cellIs" dxfId="9508" priority="18376" operator="equal">
      <formula>"×"</formula>
    </cfRule>
  </conditionalFormatting>
  <conditionalFormatting sqref="AH9:AI9">
    <cfRule type="cellIs" dxfId="9507" priority="18373" operator="equal">
      <formula>1</formula>
    </cfRule>
    <cfRule type="cellIs" dxfId="9506" priority="18374" operator="equal">
      <formula>"×"</formula>
    </cfRule>
  </conditionalFormatting>
  <conditionalFormatting sqref="AH10">
    <cfRule type="cellIs" dxfId="9505" priority="18347" operator="equal">
      <formula>1</formula>
    </cfRule>
    <cfRule type="cellIs" dxfId="9504" priority="18348" operator="equal">
      <formula>"×"</formula>
    </cfRule>
  </conditionalFormatting>
  <conditionalFormatting sqref="AH10">
    <cfRule type="cellIs" dxfId="9503" priority="18345" operator="equal">
      <formula>1</formula>
    </cfRule>
    <cfRule type="cellIs" dxfId="9502" priority="18346" operator="equal">
      <formula>"×"</formula>
    </cfRule>
  </conditionalFormatting>
  <conditionalFormatting sqref="AH10">
    <cfRule type="cellIs" dxfId="9501" priority="18341" operator="equal">
      <formula>1</formula>
    </cfRule>
    <cfRule type="cellIs" dxfId="9500" priority="18342" operator="equal">
      <formula>"×"</formula>
    </cfRule>
  </conditionalFormatting>
  <conditionalFormatting sqref="AH10">
    <cfRule type="cellIs" dxfId="9499" priority="18343" operator="equal">
      <formula>1</formula>
    </cfRule>
    <cfRule type="cellIs" dxfId="9498" priority="18344" operator="equal">
      <formula>"×"</formula>
    </cfRule>
  </conditionalFormatting>
  <conditionalFormatting sqref="AH9:AI9">
    <cfRule type="cellIs" dxfId="9497" priority="18371" operator="equal">
      <formula>1</formula>
    </cfRule>
    <cfRule type="cellIs" dxfId="9496" priority="18372" operator="equal">
      <formula>"×"</formula>
    </cfRule>
  </conditionalFormatting>
  <conditionalFormatting sqref="AH9:AI9">
    <cfRule type="cellIs" dxfId="9495" priority="18369" operator="equal">
      <formula>1</formula>
    </cfRule>
    <cfRule type="cellIs" dxfId="9494" priority="18370" operator="equal">
      <formula>"×"</formula>
    </cfRule>
  </conditionalFormatting>
  <conditionalFormatting sqref="AH9:AI9">
    <cfRule type="cellIs" dxfId="9493" priority="18367" operator="equal">
      <formula>1</formula>
    </cfRule>
    <cfRule type="cellIs" dxfId="9492" priority="18368" operator="equal">
      <formula>"×"</formula>
    </cfRule>
  </conditionalFormatting>
  <conditionalFormatting sqref="AH9:AI9">
    <cfRule type="cellIs" dxfId="9491" priority="18365" operator="equal">
      <formula>1</formula>
    </cfRule>
    <cfRule type="cellIs" dxfId="9490" priority="18366" operator="equal">
      <formula>"×"</formula>
    </cfRule>
  </conditionalFormatting>
  <conditionalFormatting sqref="AH9:AI9">
    <cfRule type="cellIs" dxfId="9489" priority="18363" operator="equal">
      <formula>1</formula>
    </cfRule>
    <cfRule type="cellIs" dxfId="9488" priority="18364" operator="equal">
      <formula>"×"</formula>
    </cfRule>
  </conditionalFormatting>
  <conditionalFormatting sqref="AH10">
    <cfRule type="cellIs" dxfId="9487" priority="18361" operator="equal">
      <formula>1</formula>
    </cfRule>
    <cfRule type="cellIs" dxfId="9486" priority="18362" operator="equal">
      <formula>"×"</formula>
    </cfRule>
  </conditionalFormatting>
  <conditionalFormatting sqref="AH10">
    <cfRule type="cellIs" dxfId="9485" priority="18359" operator="equal">
      <formula>1</formula>
    </cfRule>
    <cfRule type="cellIs" dxfId="9484" priority="18360" operator="equal">
      <formula>"×"</formula>
    </cfRule>
  </conditionalFormatting>
  <conditionalFormatting sqref="AH10">
    <cfRule type="cellIs" dxfId="9483" priority="18357" operator="equal">
      <formula>1</formula>
    </cfRule>
    <cfRule type="cellIs" dxfId="9482" priority="18358" operator="equal">
      <formula>"×"</formula>
    </cfRule>
  </conditionalFormatting>
  <conditionalFormatting sqref="AH10">
    <cfRule type="cellIs" dxfId="9481" priority="18355" operator="equal">
      <formula>1</formula>
    </cfRule>
    <cfRule type="cellIs" dxfId="9480" priority="18356" operator="equal">
      <formula>"×"</formula>
    </cfRule>
  </conditionalFormatting>
  <conditionalFormatting sqref="AH10">
    <cfRule type="cellIs" dxfId="9479" priority="18353" operator="equal">
      <formula>1</formula>
    </cfRule>
    <cfRule type="cellIs" dxfId="9478" priority="18354" operator="equal">
      <formula>"×"</formula>
    </cfRule>
  </conditionalFormatting>
  <conditionalFormatting sqref="AH10">
    <cfRule type="cellIs" dxfId="9477" priority="18351" operator="equal">
      <formula>1</formula>
    </cfRule>
    <cfRule type="cellIs" dxfId="9476" priority="18352" operator="equal">
      <formula>"×"</formula>
    </cfRule>
  </conditionalFormatting>
  <conditionalFormatting sqref="AH10">
    <cfRule type="cellIs" dxfId="9475" priority="18349" operator="equal">
      <formula>1</formula>
    </cfRule>
    <cfRule type="cellIs" dxfId="9474" priority="18350" operator="equal">
      <formula>"×"</formula>
    </cfRule>
  </conditionalFormatting>
  <conditionalFormatting sqref="AF8:AG13">
    <cfRule type="cellIs" dxfId="9473" priority="18321" operator="equal">
      <formula>1</formula>
    </cfRule>
    <cfRule type="cellIs" dxfId="9472" priority="18322" operator="equal">
      <formula>"×"</formula>
    </cfRule>
  </conditionalFormatting>
  <conditionalFormatting sqref="AD8:AD13">
    <cfRule type="cellIs" dxfId="9471" priority="18319" operator="equal">
      <formula>1</formula>
    </cfRule>
    <cfRule type="cellIs" dxfId="9470" priority="18320" operator="equal">
      <formula>"×"</formula>
    </cfRule>
  </conditionalFormatting>
  <conditionalFormatting sqref="AH10">
    <cfRule type="cellIs" dxfId="9469" priority="18335" operator="equal">
      <formula>1</formula>
    </cfRule>
    <cfRule type="cellIs" dxfId="9468" priority="18336" operator="equal">
      <formula>"×"</formula>
    </cfRule>
  </conditionalFormatting>
  <conditionalFormatting sqref="AH10">
    <cfRule type="cellIs" dxfId="9467" priority="18337" operator="equal">
      <formula>1</formula>
    </cfRule>
    <cfRule type="cellIs" dxfId="9466" priority="18338" operator="equal">
      <formula>"×"</formula>
    </cfRule>
  </conditionalFormatting>
  <conditionalFormatting sqref="AE15">
    <cfRule type="cellIs" dxfId="9465" priority="18155" operator="equal">
      <formula>1</formula>
    </cfRule>
    <cfRule type="cellIs" dxfId="9464" priority="18156" operator="equal">
      <formula>"×"</formula>
    </cfRule>
  </conditionalFormatting>
  <conditionalFormatting sqref="AE15">
    <cfRule type="cellIs" dxfId="9463" priority="18153" operator="equal">
      <formula>1</formula>
    </cfRule>
    <cfRule type="cellIs" dxfId="9462" priority="18154" operator="equal">
      <formula>"×"</formula>
    </cfRule>
  </conditionalFormatting>
  <conditionalFormatting sqref="AE15">
    <cfRule type="cellIs" dxfId="9461" priority="18149" operator="equal">
      <formula>1</formula>
    </cfRule>
    <cfRule type="cellIs" dxfId="9460" priority="18150" operator="equal">
      <formula>"×"</formula>
    </cfRule>
  </conditionalFormatting>
  <conditionalFormatting sqref="AE15">
    <cfRule type="cellIs" dxfId="9459" priority="18151" operator="equal">
      <formula>1</formula>
    </cfRule>
    <cfRule type="cellIs" dxfId="9458" priority="18152" operator="equal">
      <formula>"×"</formula>
    </cfRule>
  </conditionalFormatting>
  <conditionalFormatting sqref="AE15">
    <cfRule type="cellIs" dxfId="9457" priority="18179" operator="equal">
      <formula>1</formula>
    </cfRule>
    <cfRule type="cellIs" dxfId="9456" priority="18180" operator="equal">
      <formula>"×"</formula>
    </cfRule>
  </conditionalFormatting>
  <conditionalFormatting sqref="AE15">
    <cfRule type="cellIs" dxfId="9455" priority="18177" operator="equal">
      <formula>1</formula>
    </cfRule>
    <cfRule type="cellIs" dxfId="9454" priority="18178" operator="equal">
      <formula>"×"</formula>
    </cfRule>
  </conditionalFormatting>
  <conditionalFormatting sqref="AE15">
    <cfRule type="cellIs" dxfId="9453" priority="18175" operator="equal">
      <formula>1</formula>
    </cfRule>
    <cfRule type="cellIs" dxfId="9452" priority="18176" operator="equal">
      <formula>"×"</formula>
    </cfRule>
  </conditionalFormatting>
  <conditionalFormatting sqref="AE15">
    <cfRule type="cellIs" dxfId="9451" priority="18173" operator="equal">
      <formula>1</formula>
    </cfRule>
    <cfRule type="cellIs" dxfId="9450" priority="18174" operator="equal">
      <formula>"×"</formula>
    </cfRule>
  </conditionalFormatting>
  <conditionalFormatting sqref="AE15">
    <cfRule type="cellIs" dxfId="9449" priority="18171" operator="equal">
      <formula>1</formula>
    </cfRule>
    <cfRule type="cellIs" dxfId="9448" priority="18172" operator="equal">
      <formula>"×"</formula>
    </cfRule>
  </conditionalFormatting>
  <conditionalFormatting sqref="AE15">
    <cfRule type="cellIs" dxfId="9447" priority="18169" operator="equal">
      <formula>1</formula>
    </cfRule>
    <cfRule type="cellIs" dxfId="9446" priority="18170" operator="equal">
      <formula>"×"</formula>
    </cfRule>
  </conditionalFormatting>
  <conditionalFormatting sqref="AE15">
    <cfRule type="cellIs" dxfId="9445" priority="18167" operator="equal">
      <formula>1</formula>
    </cfRule>
    <cfRule type="cellIs" dxfId="9444" priority="18168" operator="equal">
      <formula>"×"</formula>
    </cfRule>
  </conditionalFormatting>
  <conditionalFormatting sqref="AE15">
    <cfRule type="cellIs" dxfId="9443" priority="18165" operator="equal">
      <formula>1</formula>
    </cfRule>
    <cfRule type="cellIs" dxfId="9442" priority="18166" operator="equal">
      <formula>"×"</formula>
    </cfRule>
  </conditionalFormatting>
  <conditionalFormatting sqref="AE15">
    <cfRule type="cellIs" dxfId="9441" priority="18163" operator="equal">
      <formula>1</formula>
    </cfRule>
    <cfRule type="cellIs" dxfId="9440" priority="18164" operator="equal">
      <formula>"×"</formula>
    </cfRule>
  </conditionalFormatting>
  <conditionalFormatting sqref="AE15">
    <cfRule type="cellIs" dxfId="9439" priority="18161" operator="equal">
      <formula>1</formula>
    </cfRule>
    <cfRule type="cellIs" dxfId="9438" priority="18162" operator="equal">
      <formula>"×"</formula>
    </cfRule>
  </conditionalFormatting>
  <conditionalFormatting sqref="AE15">
    <cfRule type="cellIs" dxfId="9437" priority="18159" operator="equal">
      <formula>1</formula>
    </cfRule>
    <cfRule type="cellIs" dxfId="9436" priority="18160" operator="equal">
      <formula>"×"</formula>
    </cfRule>
  </conditionalFormatting>
  <conditionalFormatting sqref="AE15">
    <cfRule type="cellIs" dxfId="9435" priority="18157" operator="equal">
      <formula>1</formula>
    </cfRule>
    <cfRule type="cellIs" dxfId="9434" priority="18158" operator="equal">
      <formula>"×"</formula>
    </cfRule>
  </conditionalFormatting>
  <conditionalFormatting sqref="AD13:AD15">
    <cfRule type="cellIs" dxfId="9433" priority="18123" operator="equal">
      <formula>1</formula>
    </cfRule>
    <cfRule type="cellIs" dxfId="9432" priority="18124" operator="equal">
      <formula>"×"</formula>
    </cfRule>
  </conditionalFormatting>
  <conditionalFormatting sqref="AD13:AD15">
    <cfRule type="cellIs" dxfId="9431" priority="18121" operator="equal">
      <formula>1</formula>
    </cfRule>
    <cfRule type="cellIs" dxfId="9430" priority="18122" operator="equal">
      <formula>"×"</formula>
    </cfRule>
  </conditionalFormatting>
  <conditionalFormatting sqref="AE13:AE15">
    <cfRule type="cellIs" dxfId="9429" priority="18117" operator="equal">
      <formula>1</formula>
    </cfRule>
    <cfRule type="cellIs" dxfId="9428" priority="18118" operator="equal">
      <formula>"×"</formula>
    </cfRule>
  </conditionalFormatting>
  <conditionalFormatting sqref="AD13:AD15">
    <cfRule type="cellIs" dxfId="9427" priority="18119" operator="equal">
      <formula>1</formula>
    </cfRule>
    <cfRule type="cellIs" dxfId="9426" priority="18120" operator="equal">
      <formula>"×"</formula>
    </cfRule>
  </conditionalFormatting>
  <conditionalFormatting sqref="AE15">
    <cfRule type="cellIs" dxfId="9425" priority="18147" operator="equal">
      <formula>1</formula>
    </cfRule>
    <cfRule type="cellIs" dxfId="9424" priority="18148" operator="equal">
      <formula>"×"</formula>
    </cfRule>
  </conditionalFormatting>
  <conditionalFormatting sqref="AE15">
    <cfRule type="cellIs" dxfId="9423" priority="18145" operator="equal">
      <formula>1</formula>
    </cfRule>
    <cfRule type="cellIs" dxfId="9422" priority="18146" operator="equal">
      <formula>"×"</formula>
    </cfRule>
  </conditionalFormatting>
  <conditionalFormatting sqref="AC13:AC15">
    <cfRule type="cellIs" dxfId="9421" priority="18143" operator="equal">
      <formula>1</formula>
    </cfRule>
    <cfRule type="cellIs" dxfId="9420" priority="18144" operator="equal">
      <formula>"×"</formula>
    </cfRule>
  </conditionalFormatting>
  <conditionalFormatting sqref="AE13:AE15">
    <cfRule type="cellIs" dxfId="9419" priority="18141" operator="equal">
      <formula>1</formula>
    </cfRule>
    <cfRule type="cellIs" dxfId="9418" priority="18142" operator="equal">
      <formula>"×"</formula>
    </cfRule>
  </conditionalFormatting>
  <conditionalFormatting sqref="AD13:AD15">
    <cfRule type="cellIs" dxfId="9417" priority="18139" operator="equal">
      <formula>1</formula>
    </cfRule>
    <cfRule type="cellIs" dxfId="9416" priority="18140" operator="equal">
      <formula>"×"</formula>
    </cfRule>
  </conditionalFormatting>
  <conditionalFormatting sqref="AE13:AE15">
    <cfRule type="cellIs" dxfId="9415" priority="18137" operator="equal">
      <formula>1</formula>
    </cfRule>
    <cfRule type="cellIs" dxfId="9414" priority="18138" operator="equal">
      <formula>"×"</formula>
    </cfRule>
  </conditionalFormatting>
  <conditionalFormatting sqref="AD13:AD15">
    <cfRule type="cellIs" dxfId="9413" priority="18135" operator="equal">
      <formula>1</formula>
    </cfRule>
    <cfRule type="cellIs" dxfId="9412" priority="18136" operator="equal">
      <formula>"×"</formula>
    </cfRule>
  </conditionalFormatting>
  <conditionalFormatting sqref="AD13:AD15">
    <cfRule type="cellIs" dxfId="9411" priority="18133" operator="equal">
      <formula>1</formula>
    </cfRule>
    <cfRule type="cellIs" dxfId="9410" priority="18134" operator="equal">
      <formula>"×"</formula>
    </cfRule>
  </conditionalFormatting>
  <conditionalFormatting sqref="AD13:AD15">
    <cfRule type="cellIs" dxfId="9409" priority="18131" operator="equal">
      <formula>1</formula>
    </cfRule>
    <cfRule type="cellIs" dxfId="9408" priority="18132" operator="equal">
      <formula>"×"</formula>
    </cfRule>
  </conditionalFormatting>
  <conditionalFormatting sqref="AE13:AE15">
    <cfRule type="cellIs" dxfId="9407" priority="18129" operator="equal">
      <formula>1</formula>
    </cfRule>
    <cfRule type="cellIs" dxfId="9406" priority="18130" operator="equal">
      <formula>"×"</formula>
    </cfRule>
  </conditionalFormatting>
  <conditionalFormatting sqref="AD13:AD15">
    <cfRule type="cellIs" dxfId="9405" priority="18127" operator="equal">
      <formula>1</formula>
    </cfRule>
    <cfRule type="cellIs" dxfId="9404" priority="18128" operator="equal">
      <formula>"×"</formula>
    </cfRule>
  </conditionalFormatting>
  <conditionalFormatting sqref="AE13:AE15">
    <cfRule type="cellIs" dxfId="9403" priority="18125" operator="equal">
      <formula>1</formula>
    </cfRule>
    <cfRule type="cellIs" dxfId="9402" priority="18126" operator="equal">
      <formula>"×"</formula>
    </cfRule>
  </conditionalFormatting>
  <conditionalFormatting sqref="Z25">
    <cfRule type="cellIs" dxfId="9401" priority="21507" operator="equal">
      <formula>1</formula>
    </cfRule>
    <cfRule type="cellIs" dxfId="9400" priority="21508" operator="equal">
      <formula>"×"</formula>
    </cfRule>
  </conditionalFormatting>
  <conditionalFormatting sqref="AA31:AA37 Z31:AA32">
    <cfRule type="cellIs" dxfId="9399" priority="21245" operator="equal">
      <formula>1</formula>
    </cfRule>
    <cfRule type="cellIs" dxfId="9398" priority="21246" operator="equal">
      <formula>"×"</formula>
    </cfRule>
  </conditionalFormatting>
  <conditionalFormatting sqref="AF14">
    <cfRule type="cellIs" dxfId="9397" priority="8213" operator="equal">
      <formula>1</formula>
    </cfRule>
    <cfRule type="cellIs" dxfId="9396" priority="8214" operator="equal">
      <formula>"×"</formula>
    </cfRule>
  </conditionalFormatting>
  <conditionalFormatting sqref="AF14:AI14">
    <cfRule type="cellIs" dxfId="9395" priority="8211" operator="equal">
      <formula>1</formula>
    </cfRule>
    <cfRule type="cellIs" dxfId="9394" priority="8212" operator="equal">
      <formula>"×"</formula>
    </cfRule>
  </conditionalFormatting>
  <conditionalFormatting sqref="AF14">
    <cfRule type="cellIs" dxfId="9393" priority="8197" operator="equal">
      <formula>1</formula>
    </cfRule>
    <cfRule type="cellIs" dxfId="9392" priority="8198" operator="equal">
      <formula>"×"</formula>
    </cfRule>
  </conditionalFormatting>
  <conditionalFormatting sqref="AF14">
    <cfRule type="cellIs" dxfId="9391" priority="8195" operator="equal">
      <formula>1</formula>
    </cfRule>
    <cfRule type="cellIs" dxfId="9390" priority="8196" operator="equal">
      <formula>"×"</formula>
    </cfRule>
  </conditionalFormatting>
  <conditionalFormatting sqref="AF14">
    <cfRule type="cellIs" dxfId="9389" priority="8193" operator="equal">
      <formula>1</formula>
    </cfRule>
    <cfRule type="cellIs" dxfId="9388" priority="8194" operator="equal">
      <formula>"×"</formula>
    </cfRule>
  </conditionalFormatting>
  <conditionalFormatting sqref="AF14">
    <cfRule type="cellIs" dxfId="9387" priority="8191" operator="equal">
      <formula>1</formula>
    </cfRule>
    <cfRule type="cellIs" dxfId="9386" priority="8192" operator="equal">
      <formula>"×"</formula>
    </cfRule>
  </conditionalFormatting>
  <conditionalFormatting sqref="AF14">
    <cfRule type="cellIs" dxfId="9385" priority="8189" operator="equal">
      <formula>1</formula>
    </cfRule>
    <cfRule type="cellIs" dxfId="9384" priority="8190" operator="equal">
      <formula>"×"</formula>
    </cfRule>
  </conditionalFormatting>
  <conditionalFormatting sqref="AH13:AI13">
    <cfRule type="cellIs" dxfId="9383" priority="8187" operator="equal">
      <formula>1</formula>
    </cfRule>
    <cfRule type="cellIs" dxfId="9382" priority="8188" operator="equal">
      <formula>"×"</formula>
    </cfRule>
  </conditionalFormatting>
  <conditionalFormatting sqref="AF10:AG10">
    <cfRule type="cellIs" dxfId="9381" priority="8171" operator="equal">
      <formula>1</formula>
    </cfRule>
    <cfRule type="cellIs" dxfId="9380" priority="8172" operator="equal">
      <formula>"×"</formula>
    </cfRule>
  </conditionalFormatting>
  <conditionalFormatting sqref="AF10:AG10">
    <cfRule type="cellIs" dxfId="9379" priority="8173" operator="equal">
      <formula>1</formula>
    </cfRule>
    <cfRule type="cellIs" dxfId="9378" priority="8174" operator="equal">
      <formula>"×"</formula>
    </cfRule>
  </conditionalFormatting>
  <conditionalFormatting sqref="AF10:AG10">
    <cfRule type="cellIs" dxfId="9377" priority="8169" operator="equal">
      <formula>1</formula>
    </cfRule>
    <cfRule type="cellIs" dxfId="9376" priority="8170" operator="equal">
      <formula>"×"</formula>
    </cfRule>
  </conditionalFormatting>
  <conditionalFormatting sqref="AH19:AI19">
    <cfRule type="cellIs" dxfId="9375" priority="11815" operator="equal">
      <formula>1</formula>
    </cfRule>
    <cfRule type="cellIs" dxfId="9374" priority="11816" operator="equal">
      <formula>"×"</formula>
    </cfRule>
  </conditionalFormatting>
  <conditionalFormatting sqref="AI19">
    <cfRule type="cellIs" dxfId="9373" priority="11813" operator="equal">
      <formula>1</formula>
    </cfRule>
    <cfRule type="cellIs" dxfId="9372" priority="11814" operator="equal">
      <formula>"×"</formula>
    </cfRule>
  </conditionalFormatting>
  <conditionalFormatting sqref="AH19:AI19">
    <cfRule type="cellIs" dxfId="9371" priority="11811" operator="equal">
      <formula>1</formula>
    </cfRule>
    <cfRule type="cellIs" dxfId="9370" priority="11812" operator="equal">
      <formula>"×"</formula>
    </cfRule>
  </conditionalFormatting>
  <conditionalFormatting sqref="AH19:AI19">
    <cfRule type="cellIs" dxfId="9369" priority="11809" operator="equal">
      <formula>1</formula>
    </cfRule>
    <cfRule type="cellIs" dxfId="9368" priority="11810" operator="equal">
      <formula>"×"</formula>
    </cfRule>
  </conditionalFormatting>
  <conditionalFormatting sqref="AI19">
    <cfRule type="cellIs" dxfId="9367" priority="11807" operator="equal">
      <formula>1</formula>
    </cfRule>
    <cfRule type="cellIs" dxfId="9366" priority="11808" operator="equal">
      <formula>"×"</formula>
    </cfRule>
  </conditionalFormatting>
  <conditionalFormatting sqref="AH19:AI19">
    <cfRule type="cellIs" dxfId="9365" priority="11805" operator="equal">
      <formula>1</formula>
    </cfRule>
    <cfRule type="cellIs" dxfId="9364" priority="11806" operator="equal">
      <formula>"×"</formula>
    </cfRule>
  </conditionalFormatting>
  <conditionalFormatting sqref="Z15">
    <cfRule type="cellIs" dxfId="9363" priority="11803" operator="equal">
      <formula>1</formula>
    </cfRule>
    <cfRule type="cellIs" dxfId="9362" priority="11804" operator="equal">
      <formula>"×"</formula>
    </cfRule>
  </conditionalFormatting>
  <conditionalFormatting sqref="AE16:AG16">
    <cfRule type="cellIs" dxfId="9361" priority="11801" operator="equal">
      <formula>1</formula>
    </cfRule>
    <cfRule type="cellIs" dxfId="9360" priority="11802" operator="equal">
      <formula>"×"</formula>
    </cfRule>
  </conditionalFormatting>
  <conditionalFormatting sqref="AE16:AG16">
    <cfRule type="cellIs" dxfId="9359" priority="11799" operator="equal">
      <formula>1</formula>
    </cfRule>
    <cfRule type="cellIs" dxfId="9358" priority="11800" operator="equal">
      <formula>"×"</formula>
    </cfRule>
  </conditionalFormatting>
  <conditionalFormatting sqref="AE16:AG16">
    <cfRule type="cellIs" dxfId="9357" priority="11797" operator="equal">
      <formula>1</formula>
    </cfRule>
    <cfRule type="cellIs" dxfId="9356" priority="11798" operator="equal">
      <formula>"×"</formula>
    </cfRule>
  </conditionalFormatting>
  <conditionalFormatting sqref="AE16:AG16">
    <cfRule type="cellIs" dxfId="9355" priority="11795" operator="equal">
      <formula>1</formula>
    </cfRule>
    <cfRule type="cellIs" dxfId="9354" priority="11796" operator="equal">
      <formula>"×"</formula>
    </cfRule>
  </conditionalFormatting>
  <conditionalFormatting sqref="AE16:AG16">
    <cfRule type="cellIs" dxfId="9353" priority="11793" operator="equal">
      <formula>1</formula>
    </cfRule>
    <cfRule type="cellIs" dxfId="9352" priority="11794" operator="equal">
      <formula>"×"</formula>
    </cfRule>
  </conditionalFormatting>
  <conditionalFormatting sqref="AE16:AG16">
    <cfRule type="cellIs" dxfId="9351" priority="11791" operator="equal">
      <formula>1</formula>
    </cfRule>
    <cfRule type="cellIs" dxfId="9350" priority="11792" operator="equal">
      <formula>"×"</formula>
    </cfRule>
  </conditionalFormatting>
  <conditionalFormatting sqref="AE16:AG16">
    <cfRule type="cellIs" dxfId="9349" priority="11789" operator="equal">
      <formula>1</formula>
    </cfRule>
    <cfRule type="cellIs" dxfId="9348" priority="11790" operator="equal">
      <formula>"×"</formula>
    </cfRule>
  </conditionalFormatting>
  <conditionalFormatting sqref="AE16:AG16">
    <cfRule type="cellIs" dxfId="9347" priority="11787" operator="equal">
      <formula>1</formula>
    </cfRule>
    <cfRule type="cellIs" dxfId="9346" priority="11788" operator="equal">
      <formula>"×"</formula>
    </cfRule>
  </conditionalFormatting>
  <conditionalFormatting sqref="AE16:AG16">
    <cfRule type="cellIs" dxfId="9345" priority="11785" operator="equal">
      <formula>1</formula>
    </cfRule>
    <cfRule type="cellIs" dxfId="9344" priority="11786" operator="equal">
      <formula>"×"</formula>
    </cfRule>
  </conditionalFormatting>
  <conditionalFormatting sqref="AE16:AG16">
    <cfRule type="cellIs" dxfId="9343" priority="11783" operator="equal">
      <formula>1</formula>
    </cfRule>
    <cfRule type="cellIs" dxfId="9342" priority="11784" operator="equal">
      <formula>"×"</formula>
    </cfRule>
  </conditionalFormatting>
  <conditionalFormatting sqref="AE16:AG16">
    <cfRule type="cellIs" dxfId="9341" priority="11781" operator="equal">
      <formula>1</formula>
    </cfRule>
    <cfRule type="cellIs" dxfId="9340" priority="11782" operator="equal">
      <formula>"×"</formula>
    </cfRule>
  </conditionalFormatting>
  <conditionalFormatting sqref="AE16:AG16">
    <cfRule type="cellIs" dxfId="9339" priority="11779" operator="equal">
      <formula>1</formula>
    </cfRule>
    <cfRule type="cellIs" dxfId="9338" priority="11780" operator="equal">
      <formula>"×"</formula>
    </cfRule>
  </conditionalFormatting>
  <conditionalFormatting sqref="AE16:AG16">
    <cfRule type="cellIs" dxfId="9337" priority="11775" operator="equal">
      <formula>1</formula>
    </cfRule>
    <cfRule type="cellIs" dxfId="9336" priority="11776" operator="equal">
      <formula>"×"</formula>
    </cfRule>
  </conditionalFormatting>
  <conditionalFormatting sqref="AE16:AG16">
    <cfRule type="cellIs" dxfId="9335" priority="11777" operator="equal">
      <formula>1</formula>
    </cfRule>
    <cfRule type="cellIs" dxfId="9334" priority="11778" operator="equal">
      <formula>"×"</formula>
    </cfRule>
  </conditionalFormatting>
  <conditionalFormatting sqref="AE16:AG16">
    <cfRule type="cellIs" dxfId="9333" priority="11773" operator="equal">
      <formula>1</formula>
    </cfRule>
    <cfRule type="cellIs" dxfId="9332" priority="11774" operator="equal">
      <formula>"×"</formula>
    </cfRule>
  </conditionalFormatting>
  <conditionalFormatting sqref="AE16:AG16">
    <cfRule type="cellIs" dxfId="9331" priority="11771" operator="equal">
      <formula>1</formula>
    </cfRule>
    <cfRule type="cellIs" dxfId="9330" priority="11772" operator="equal">
      <formula>"×"</formula>
    </cfRule>
  </conditionalFormatting>
  <conditionalFormatting sqref="AH16:AI16">
    <cfRule type="cellIs" dxfId="9329" priority="11769" operator="equal">
      <formula>1</formula>
    </cfRule>
    <cfRule type="cellIs" dxfId="9328" priority="11770" operator="equal">
      <formula>"×"</formula>
    </cfRule>
  </conditionalFormatting>
  <conditionalFormatting sqref="AH16:AI16">
    <cfRule type="cellIs" dxfId="9327" priority="11767" operator="equal">
      <formula>1</formula>
    </cfRule>
    <cfRule type="cellIs" dxfId="9326" priority="11768" operator="equal">
      <formula>"×"</formula>
    </cfRule>
  </conditionalFormatting>
  <conditionalFormatting sqref="AH16:AI16">
    <cfRule type="cellIs" dxfId="9325" priority="11765" operator="equal">
      <formula>1</formula>
    </cfRule>
    <cfRule type="cellIs" dxfId="9324" priority="11766" operator="equal">
      <formula>"×"</formula>
    </cfRule>
  </conditionalFormatting>
  <conditionalFormatting sqref="AH16:AI16">
    <cfRule type="cellIs" dxfId="9323" priority="11763" operator="equal">
      <formula>1</formula>
    </cfRule>
    <cfRule type="cellIs" dxfId="9322" priority="11764" operator="equal">
      <formula>"×"</formula>
    </cfRule>
  </conditionalFormatting>
  <conditionalFormatting sqref="AH16:AI16">
    <cfRule type="cellIs" dxfId="9321" priority="11761" operator="equal">
      <formula>1</formula>
    </cfRule>
    <cfRule type="cellIs" dxfId="9320" priority="11762" operator="equal">
      <formula>"×"</formula>
    </cfRule>
  </conditionalFormatting>
  <conditionalFormatting sqref="AH16:AI16">
    <cfRule type="cellIs" dxfId="9319" priority="11759" operator="equal">
      <formula>1</formula>
    </cfRule>
    <cfRule type="cellIs" dxfId="9318" priority="11760" operator="equal">
      <formula>"×"</formula>
    </cfRule>
  </conditionalFormatting>
  <conditionalFormatting sqref="AH16:AI16">
    <cfRule type="cellIs" dxfId="9317" priority="11757" operator="equal">
      <formula>1</formula>
    </cfRule>
    <cfRule type="cellIs" dxfId="9316" priority="11758" operator="equal">
      <formula>"×"</formula>
    </cfRule>
  </conditionalFormatting>
  <conditionalFormatting sqref="AH17">
    <cfRule type="cellIs" dxfId="9315" priority="11733" operator="equal">
      <formula>1</formula>
    </cfRule>
    <cfRule type="cellIs" dxfId="9314" priority="11734" operator="equal">
      <formula>"×"</formula>
    </cfRule>
  </conditionalFormatting>
  <conditionalFormatting sqref="AH17">
    <cfRule type="cellIs" dxfId="9313" priority="11731" operator="equal">
      <formula>1</formula>
    </cfRule>
    <cfRule type="cellIs" dxfId="9312" priority="11732" operator="equal">
      <formula>"×"</formula>
    </cfRule>
  </conditionalFormatting>
  <conditionalFormatting sqref="AH17">
    <cfRule type="cellIs" dxfId="9311" priority="11729" operator="equal">
      <formula>1</formula>
    </cfRule>
    <cfRule type="cellIs" dxfId="9310" priority="11730" operator="equal">
      <formula>"×"</formula>
    </cfRule>
  </conditionalFormatting>
  <conditionalFormatting sqref="AH16:AI16">
    <cfRule type="cellIs" dxfId="9309" priority="11755" operator="equal">
      <formula>1</formula>
    </cfRule>
    <cfRule type="cellIs" dxfId="9308" priority="11756" operator="equal">
      <formula>"×"</formula>
    </cfRule>
  </conditionalFormatting>
  <conditionalFormatting sqref="AH16:AI16">
    <cfRule type="cellIs" dxfId="9307" priority="11753" operator="equal">
      <formula>1</formula>
    </cfRule>
    <cfRule type="cellIs" dxfId="9306" priority="11754" operator="equal">
      <formula>"×"</formula>
    </cfRule>
  </conditionalFormatting>
  <conditionalFormatting sqref="AH16:AI16">
    <cfRule type="cellIs" dxfId="9305" priority="11751" operator="equal">
      <formula>1</formula>
    </cfRule>
    <cfRule type="cellIs" dxfId="9304" priority="11752" operator="equal">
      <formula>"×"</formula>
    </cfRule>
  </conditionalFormatting>
  <conditionalFormatting sqref="AH16:AI16">
    <cfRule type="cellIs" dxfId="9303" priority="11749" operator="equal">
      <formula>1</formula>
    </cfRule>
    <cfRule type="cellIs" dxfId="9302" priority="11750" operator="equal">
      <formula>"×"</formula>
    </cfRule>
  </conditionalFormatting>
  <conditionalFormatting sqref="AH16:AI16">
    <cfRule type="cellIs" dxfId="9301" priority="11747" operator="equal">
      <formula>1</formula>
    </cfRule>
    <cfRule type="cellIs" dxfId="9300" priority="11748" operator="equal">
      <formula>"×"</formula>
    </cfRule>
  </conditionalFormatting>
  <conditionalFormatting sqref="AH16:AI16">
    <cfRule type="cellIs" dxfId="9299" priority="11745" operator="equal">
      <formula>1</formula>
    </cfRule>
    <cfRule type="cellIs" dxfId="9298" priority="11746" operator="equal">
      <formula>"×"</formula>
    </cfRule>
  </conditionalFormatting>
  <conditionalFormatting sqref="AH16:AI16">
    <cfRule type="cellIs" dxfId="9297" priority="11743" operator="equal">
      <formula>1</formula>
    </cfRule>
    <cfRule type="cellIs" dxfId="9296" priority="11744" operator="equal">
      <formula>"×"</formula>
    </cfRule>
  </conditionalFormatting>
  <conditionalFormatting sqref="AH16:AI16">
    <cfRule type="cellIs" dxfId="9295" priority="11741" operator="equal">
      <formula>1</formula>
    </cfRule>
    <cfRule type="cellIs" dxfId="9294" priority="11742" operator="equal">
      <formula>"×"</formula>
    </cfRule>
  </conditionalFormatting>
  <conditionalFormatting sqref="AH16:AI16">
    <cfRule type="cellIs" dxfId="9293" priority="11739" operator="equal">
      <formula>1</formula>
    </cfRule>
    <cfRule type="cellIs" dxfId="9292" priority="11740" operator="equal">
      <formula>"×"</formula>
    </cfRule>
  </conditionalFormatting>
  <conditionalFormatting sqref="AH17">
    <cfRule type="cellIs" dxfId="9291" priority="11737" operator="equal">
      <formula>1</formula>
    </cfRule>
    <cfRule type="cellIs" dxfId="9290" priority="11738" operator="equal">
      <formula>"×"</formula>
    </cfRule>
  </conditionalFormatting>
  <conditionalFormatting sqref="AH17">
    <cfRule type="cellIs" dxfId="9289" priority="11735" operator="equal">
      <formula>1</formula>
    </cfRule>
    <cfRule type="cellIs" dxfId="9288" priority="11736" operator="equal">
      <formula>"×"</formula>
    </cfRule>
  </conditionalFormatting>
  <conditionalFormatting sqref="AH17">
    <cfRule type="cellIs" dxfId="9287" priority="11727" operator="equal">
      <formula>1</formula>
    </cfRule>
    <cfRule type="cellIs" dxfId="9286" priority="11728" operator="equal">
      <formula>"×"</formula>
    </cfRule>
  </conditionalFormatting>
  <conditionalFormatting sqref="AH17">
    <cfRule type="cellIs" dxfId="9285" priority="11725" operator="equal">
      <formula>1</formula>
    </cfRule>
    <cfRule type="cellIs" dxfId="9284" priority="11726" operator="equal">
      <formula>"×"</formula>
    </cfRule>
  </conditionalFormatting>
  <conditionalFormatting sqref="AH17">
    <cfRule type="cellIs" dxfId="9283" priority="11723" operator="equal">
      <formula>1</formula>
    </cfRule>
    <cfRule type="cellIs" dxfId="9282" priority="11724" operator="equal">
      <formula>"×"</formula>
    </cfRule>
  </conditionalFormatting>
  <conditionalFormatting sqref="AH17">
    <cfRule type="cellIs" dxfId="9281" priority="11721" operator="equal">
      <formula>1</formula>
    </cfRule>
    <cfRule type="cellIs" dxfId="9280" priority="11722" operator="equal">
      <formula>"×"</formula>
    </cfRule>
  </conditionalFormatting>
  <conditionalFormatting sqref="AH17">
    <cfRule type="cellIs" dxfId="9279" priority="11719" operator="equal">
      <formula>1</formula>
    </cfRule>
    <cfRule type="cellIs" dxfId="9278" priority="11720" operator="equal">
      <formula>"×"</formula>
    </cfRule>
  </conditionalFormatting>
  <conditionalFormatting sqref="AH17">
    <cfRule type="cellIs" dxfId="9277" priority="11717" operator="equal">
      <formula>1</formula>
    </cfRule>
    <cfRule type="cellIs" dxfId="9276" priority="11718" operator="equal">
      <formula>"×"</formula>
    </cfRule>
  </conditionalFormatting>
  <conditionalFormatting sqref="AH17">
    <cfRule type="cellIs" dxfId="9275" priority="11713" operator="equal">
      <formula>1</formula>
    </cfRule>
    <cfRule type="cellIs" dxfId="9274" priority="11714" operator="equal">
      <formula>"×"</formula>
    </cfRule>
  </conditionalFormatting>
  <conditionalFormatting sqref="AH17">
    <cfRule type="cellIs" dxfId="9273" priority="11715" operator="equal">
      <formula>1</formula>
    </cfRule>
    <cfRule type="cellIs" dxfId="9272" priority="11716" operator="equal">
      <formula>"×"</formula>
    </cfRule>
  </conditionalFormatting>
  <conditionalFormatting sqref="AH17">
    <cfRule type="cellIs" dxfId="9271" priority="11711" operator="equal">
      <formula>1</formula>
    </cfRule>
    <cfRule type="cellIs" dxfId="9270" priority="11712" operator="equal">
      <formula>"×"</formula>
    </cfRule>
  </conditionalFormatting>
  <conditionalFormatting sqref="AH17">
    <cfRule type="cellIs" dxfId="9269" priority="11709" operator="equal">
      <formula>1</formula>
    </cfRule>
    <cfRule type="cellIs" dxfId="9268" priority="11710" operator="equal">
      <formula>"×"</formula>
    </cfRule>
  </conditionalFormatting>
  <conditionalFormatting sqref="AH17">
    <cfRule type="cellIs" dxfId="9267" priority="11707" operator="equal">
      <formula>1</formula>
    </cfRule>
    <cfRule type="cellIs" dxfId="9266" priority="11708" operator="equal">
      <formula>"×"</formula>
    </cfRule>
  </conditionalFormatting>
  <conditionalFormatting sqref="AH17">
    <cfRule type="cellIs" dxfId="9265" priority="11705" operator="equal">
      <formula>1</formula>
    </cfRule>
    <cfRule type="cellIs" dxfId="9264" priority="11706" operator="equal">
      <formula>"×"</formula>
    </cfRule>
  </conditionalFormatting>
  <conditionalFormatting sqref="AH17">
    <cfRule type="cellIs" dxfId="9263" priority="11703" operator="equal">
      <formula>1</formula>
    </cfRule>
    <cfRule type="cellIs" dxfId="9262" priority="11704" operator="equal">
      <formula>"×"</formula>
    </cfRule>
  </conditionalFormatting>
  <conditionalFormatting sqref="AH19:AI19">
    <cfRule type="cellIs" dxfId="9261" priority="8007" operator="equal">
      <formula>1</formula>
    </cfRule>
    <cfRule type="cellIs" dxfId="9260" priority="8008" operator="equal">
      <formula>"×"</formula>
    </cfRule>
  </conditionalFormatting>
  <conditionalFormatting sqref="AI19">
    <cfRule type="cellIs" dxfId="9259" priority="8005" operator="equal">
      <formula>1</formula>
    </cfRule>
    <cfRule type="cellIs" dxfId="9258" priority="8006" operator="equal">
      <formula>"×"</formula>
    </cfRule>
  </conditionalFormatting>
  <conditionalFormatting sqref="AH19:AI19">
    <cfRule type="cellIs" dxfId="9257" priority="8003" operator="equal">
      <formula>1</formula>
    </cfRule>
    <cfRule type="cellIs" dxfId="9256" priority="8004" operator="equal">
      <formula>"×"</formula>
    </cfRule>
  </conditionalFormatting>
  <conditionalFormatting sqref="AF16:AG16">
    <cfRule type="cellIs" dxfId="9255" priority="7977" operator="equal">
      <formula>1</formula>
    </cfRule>
    <cfRule type="cellIs" dxfId="9254" priority="7978" operator="equal">
      <formula>"×"</formula>
    </cfRule>
  </conditionalFormatting>
  <conditionalFormatting sqref="AF16:AG16">
    <cfRule type="cellIs" dxfId="9253" priority="7975" operator="equal">
      <formula>1</formula>
    </cfRule>
    <cfRule type="cellIs" dxfId="9252" priority="7976" operator="equal">
      <formula>"×"</formula>
    </cfRule>
  </conditionalFormatting>
  <conditionalFormatting sqref="AF16:AG16">
    <cfRule type="cellIs" dxfId="9251" priority="7971" operator="equal">
      <formula>1</formula>
    </cfRule>
    <cfRule type="cellIs" dxfId="9250" priority="7972" operator="equal">
      <formula>"×"</formula>
    </cfRule>
  </conditionalFormatting>
  <conditionalFormatting sqref="AF16:AG16">
    <cfRule type="cellIs" dxfId="9249" priority="7973" operator="equal">
      <formula>1</formula>
    </cfRule>
    <cfRule type="cellIs" dxfId="9248" priority="7974" operator="equal">
      <formula>"×"</formula>
    </cfRule>
  </conditionalFormatting>
  <conditionalFormatting sqref="AH19:AI19">
    <cfRule type="cellIs" dxfId="9247" priority="8001" operator="equal">
      <formula>1</formula>
    </cfRule>
    <cfRule type="cellIs" dxfId="9246" priority="8002" operator="equal">
      <formula>"×"</formula>
    </cfRule>
  </conditionalFormatting>
  <conditionalFormatting sqref="AI19">
    <cfRule type="cellIs" dxfId="9245" priority="7999" operator="equal">
      <formula>1</formula>
    </cfRule>
    <cfRule type="cellIs" dxfId="9244" priority="8000" operator="equal">
      <formula>"×"</formula>
    </cfRule>
  </conditionalFormatting>
  <conditionalFormatting sqref="AH19:AI19">
    <cfRule type="cellIs" dxfId="9243" priority="7997" operator="equal">
      <formula>1</formula>
    </cfRule>
    <cfRule type="cellIs" dxfId="9242" priority="7998" operator="equal">
      <formula>"×"</formula>
    </cfRule>
  </conditionalFormatting>
  <conditionalFormatting sqref="AF16:AG16">
    <cfRule type="cellIs" dxfId="9241" priority="7995" operator="equal">
      <formula>1</formula>
    </cfRule>
    <cfRule type="cellIs" dxfId="9240" priority="7996" operator="equal">
      <formula>"×"</formula>
    </cfRule>
  </conditionalFormatting>
  <conditionalFormatting sqref="AF16:AG16">
    <cfRule type="cellIs" dxfId="9239" priority="7993" operator="equal">
      <formula>1</formula>
    </cfRule>
    <cfRule type="cellIs" dxfId="9238" priority="7994" operator="equal">
      <formula>"×"</formula>
    </cfRule>
  </conditionalFormatting>
  <conditionalFormatting sqref="AF16:AG16">
    <cfRule type="cellIs" dxfId="9237" priority="7991" operator="equal">
      <formula>1</formula>
    </cfRule>
    <cfRule type="cellIs" dxfId="9236" priority="7992" operator="equal">
      <formula>"×"</formula>
    </cfRule>
  </conditionalFormatting>
  <conditionalFormatting sqref="AF16:AG16">
    <cfRule type="cellIs" dxfId="9235" priority="7989" operator="equal">
      <formula>1</formula>
    </cfRule>
    <cfRule type="cellIs" dxfId="9234" priority="7990" operator="equal">
      <formula>"×"</formula>
    </cfRule>
  </conditionalFormatting>
  <conditionalFormatting sqref="AF16:AG16">
    <cfRule type="cellIs" dxfId="9233" priority="7987" operator="equal">
      <formula>1</formula>
    </cfRule>
    <cfRule type="cellIs" dxfId="9232" priority="7988" operator="equal">
      <formula>"×"</formula>
    </cfRule>
  </conditionalFormatting>
  <conditionalFormatting sqref="AF16:AG16">
    <cfRule type="cellIs" dxfId="9231" priority="7985" operator="equal">
      <formula>1</formula>
    </cfRule>
    <cfRule type="cellIs" dxfId="9230" priority="7986" operator="equal">
      <formula>"×"</formula>
    </cfRule>
  </conditionalFormatting>
  <conditionalFormatting sqref="AF16:AG16">
    <cfRule type="cellIs" dxfId="9229" priority="7983" operator="equal">
      <formula>1</formula>
    </cfRule>
    <cfRule type="cellIs" dxfId="9228" priority="7984" operator="equal">
      <formula>"×"</formula>
    </cfRule>
  </conditionalFormatting>
  <conditionalFormatting sqref="AF16:AG16">
    <cfRule type="cellIs" dxfId="9227" priority="7981" operator="equal">
      <formula>1</formula>
    </cfRule>
    <cfRule type="cellIs" dxfId="9226" priority="7982" operator="equal">
      <formula>"×"</formula>
    </cfRule>
  </conditionalFormatting>
  <conditionalFormatting sqref="AF16:AG16">
    <cfRule type="cellIs" dxfId="9225" priority="7979" operator="equal">
      <formula>1</formula>
    </cfRule>
    <cfRule type="cellIs" dxfId="9224" priority="7980" operator="equal">
      <formula>"×"</formula>
    </cfRule>
  </conditionalFormatting>
  <conditionalFormatting sqref="AH16:AI16">
    <cfRule type="cellIs" dxfId="9223" priority="7945" operator="equal">
      <formula>1</formula>
    </cfRule>
    <cfRule type="cellIs" dxfId="9222" priority="7946" operator="equal">
      <formula>"×"</formula>
    </cfRule>
  </conditionalFormatting>
  <conditionalFormatting sqref="AH16:AI16">
    <cfRule type="cellIs" dxfId="9221" priority="7943" operator="equal">
      <formula>1</formula>
    </cfRule>
    <cfRule type="cellIs" dxfId="9220" priority="7944" operator="equal">
      <formula>"×"</formula>
    </cfRule>
  </conditionalFormatting>
  <conditionalFormatting sqref="AH16:AI16">
    <cfRule type="cellIs" dxfId="9219" priority="7939" operator="equal">
      <formula>1</formula>
    </cfRule>
    <cfRule type="cellIs" dxfId="9218" priority="7940" operator="equal">
      <formula>"×"</formula>
    </cfRule>
  </conditionalFormatting>
  <conditionalFormatting sqref="AH16:AI16">
    <cfRule type="cellIs" dxfId="9217" priority="7941" operator="equal">
      <formula>1</formula>
    </cfRule>
    <cfRule type="cellIs" dxfId="9216" priority="7942" operator="equal">
      <formula>"×"</formula>
    </cfRule>
  </conditionalFormatting>
  <conditionalFormatting sqref="AF16:AG16">
    <cfRule type="cellIs" dxfId="9215" priority="7969" operator="equal">
      <formula>1</formula>
    </cfRule>
    <cfRule type="cellIs" dxfId="9214" priority="7970" operator="equal">
      <formula>"×"</formula>
    </cfRule>
  </conditionalFormatting>
  <conditionalFormatting sqref="AF16:AG16">
    <cfRule type="cellIs" dxfId="9213" priority="7967" operator="equal">
      <formula>1</formula>
    </cfRule>
    <cfRule type="cellIs" dxfId="9212" priority="7968" operator="equal">
      <formula>"×"</formula>
    </cfRule>
  </conditionalFormatting>
  <conditionalFormatting sqref="AF16:AG16">
    <cfRule type="cellIs" dxfId="9211" priority="7965" operator="equal">
      <formula>1</formula>
    </cfRule>
    <cfRule type="cellIs" dxfId="9210" priority="7966" operator="equal">
      <formula>"×"</formula>
    </cfRule>
  </conditionalFormatting>
  <conditionalFormatting sqref="AH16:AI16">
    <cfRule type="cellIs" dxfId="9209" priority="7963" operator="equal">
      <formula>1</formula>
    </cfRule>
    <cfRule type="cellIs" dxfId="9208" priority="7964" operator="equal">
      <formula>"×"</formula>
    </cfRule>
  </conditionalFormatting>
  <conditionalFormatting sqref="AH16:AI16">
    <cfRule type="cellIs" dxfId="9207" priority="7961" operator="equal">
      <formula>1</formula>
    </cfRule>
    <cfRule type="cellIs" dxfId="9206" priority="7962" operator="equal">
      <formula>"×"</formula>
    </cfRule>
  </conditionalFormatting>
  <conditionalFormatting sqref="AH16:AI16">
    <cfRule type="cellIs" dxfId="9205" priority="7959" operator="equal">
      <formula>1</formula>
    </cfRule>
    <cfRule type="cellIs" dxfId="9204" priority="7960" operator="equal">
      <formula>"×"</formula>
    </cfRule>
  </conditionalFormatting>
  <conditionalFormatting sqref="AH16:AI16">
    <cfRule type="cellIs" dxfId="9203" priority="7957" operator="equal">
      <formula>1</formula>
    </cfRule>
    <cfRule type="cellIs" dxfId="9202" priority="7958" operator="equal">
      <formula>"×"</formula>
    </cfRule>
  </conditionalFormatting>
  <conditionalFormatting sqref="AH16:AI16">
    <cfRule type="cellIs" dxfId="9201" priority="7955" operator="equal">
      <formula>1</formula>
    </cfRule>
    <cfRule type="cellIs" dxfId="9200" priority="7956" operator="equal">
      <formula>"×"</formula>
    </cfRule>
  </conditionalFormatting>
  <conditionalFormatting sqref="AH16:AI16">
    <cfRule type="cellIs" dxfId="9199" priority="7953" operator="equal">
      <formula>1</formula>
    </cfRule>
    <cfRule type="cellIs" dxfId="9198" priority="7954" operator="equal">
      <formula>"×"</formula>
    </cfRule>
  </conditionalFormatting>
  <conditionalFormatting sqref="AH16:AI16">
    <cfRule type="cellIs" dxfId="9197" priority="7951" operator="equal">
      <formula>1</formula>
    </cfRule>
    <cfRule type="cellIs" dxfId="9196" priority="7952" operator="equal">
      <formula>"×"</formula>
    </cfRule>
  </conditionalFormatting>
  <conditionalFormatting sqref="AH16:AI16">
    <cfRule type="cellIs" dxfId="9195" priority="7949" operator="equal">
      <formula>1</formula>
    </cfRule>
    <cfRule type="cellIs" dxfId="9194" priority="7950" operator="equal">
      <formula>"×"</formula>
    </cfRule>
  </conditionalFormatting>
  <conditionalFormatting sqref="AH16:AI16">
    <cfRule type="cellIs" dxfId="9193" priority="7947" operator="equal">
      <formula>1</formula>
    </cfRule>
    <cfRule type="cellIs" dxfId="9192" priority="7948" operator="equal">
      <formula>"×"</formula>
    </cfRule>
  </conditionalFormatting>
  <conditionalFormatting sqref="AH16:AI16">
    <cfRule type="cellIs" dxfId="9191" priority="7937" operator="equal">
      <formula>1</formula>
    </cfRule>
    <cfRule type="cellIs" dxfId="9190" priority="7938" operator="equal">
      <formula>"×"</formula>
    </cfRule>
  </conditionalFormatting>
  <conditionalFormatting sqref="AH16:AI16">
    <cfRule type="cellIs" dxfId="9189" priority="7935" operator="equal">
      <formula>1</formula>
    </cfRule>
    <cfRule type="cellIs" dxfId="9188" priority="7936" operator="equal">
      <formula>"×"</formula>
    </cfRule>
  </conditionalFormatting>
  <conditionalFormatting sqref="AH16:AI16">
    <cfRule type="cellIs" dxfId="9187" priority="7933" operator="equal">
      <formula>1</formula>
    </cfRule>
    <cfRule type="cellIs" dxfId="9186" priority="7934" operator="equal">
      <formula>"×"</formula>
    </cfRule>
  </conditionalFormatting>
  <conditionalFormatting sqref="Z22">
    <cfRule type="cellIs" dxfId="9185" priority="11619" operator="equal">
      <formula>1</formula>
    </cfRule>
    <cfRule type="cellIs" dxfId="9184" priority="11620" operator="equal">
      <formula>"×"</formula>
    </cfRule>
  </conditionalFormatting>
  <conditionalFormatting sqref="AH17">
    <cfRule type="cellIs" dxfId="9183" priority="7929" operator="equal">
      <formula>1</formula>
    </cfRule>
    <cfRule type="cellIs" dxfId="9182" priority="7930" operator="equal">
      <formula>"×"</formula>
    </cfRule>
  </conditionalFormatting>
  <conditionalFormatting sqref="AH17">
    <cfRule type="cellIs" dxfId="9181" priority="7927" operator="equal">
      <formula>1</formula>
    </cfRule>
    <cfRule type="cellIs" dxfId="9180" priority="7928" operator="equal">
      <formula>"×"</formula>
    </cfRule>
  </conditionalFormatting>
  <conditionalFormatting sqref="AH17">
    <cfRule type="cellIs" dxfId="9179" priority="7915" operator="equal">
      <formula>1</formula>
    </cfRule>
    <cfRule type="cellIs" dxfId="9178" priority="7916" operator="equal">
      <formula>"×"</formula>
    </cfRule>
  </conditionalFormatting>
  <conditionalFormatting sqref="AH17">
    <cfRule type="cellIs" dxfId="9177" priority="7913" operator="equal">
      <formula>1</formula>
    </cfRule>
    <cfRule type="cellIs" dxfId="9176" priority="7914" operator="equal">
      <formula>"×"</formula>
    </cfRule>
  </conditionalFormatting>
  <conditionalFormatting sqref="AG7:AH9">
    <cfRule type="cellIs" dxfId="9175" priority="20485" operator="equal">
      <formula>1</formula>
    </cfRule>
    <cfRule type="cellIs" dxfId="9174" priority="20486" operator="equal">
      <formula>"×"</formula>
    </cfRule>
  </conditionalFormatting>
  <conditionalFormatting sqref="AI7:AI9">
    <cfRule type="cellIs" dxfId="9173" priority="20479" operator="equal">
      <formula>1</formula>
    </cfRule>
    <cfRule type="cellIs" dxfId="9172" priority="20480" operator="equal">
      <formula>"×"</formula>
    </cfRule>
  </conditionalFormatting>
  <conditionalFormatting sqref="AG7:AI9">
    <cfRule type="cellIs" dxfId="9171" priority="20481" operator="equal">
      <formula>1</formula>
    </cfRule>
    <cfRule type="cellIs" dxfId="9170" priority="20482" operator="equal">
      <formula>"×"</formula>
    </cfRule>
  </conditionalFormatting>
  <conditionalFormatting sqref="AG7:AI9">
    <cfRule type="cellIs" dxfId="9169" priority="20477" operator="equal">
      <formula>1</formula>
    </cfRule>
    <cfRule type="cellIs" dxfId="9168" priority="20478" operator="equal">
      <formula>"×"</formula>
    </cfRule>
  </conditionalFormatting>
  <conditionalFormatting sqref="AF7">
    <cfRule type="cellIs" dxfId="9167" priority="20475" operator="equal">
      <formula>1</formula>
    </cfRule>
    <cfRule type="cellIs" dxfId="9166" priority="20476" operator="equal">
      <formula>"×"</formula>
    </cfRule>
  </conditionalFormatting>
  <conditionalFormatting sqref="AF7">
    <cfRule type="cellIs" dxfId="9165" priority="20473" operator="equal">
      <formula>1</formula>
    </cfRule>
    <cfRule type="cellIs" dxfId="9164" priority="20474" operator="equal">
      <formula>"×"</formula>
    </cfRule>
  </conditionalFormatting>
  <conditionalFormatting sqref="AC15">
    <cfRule type="cellIs" dxfId="9163" priority="20403" operator="equal">
      <formula>1</formula>
    </cfRule>
    <cfRule type="cellIs" dxfId="9162" priority="20404" operator="equal">
      <formula>"×"</formula>
    </cfRule>
  </conditionalFormatting>
  <conditionalFormatting sqref="AD15">
    <cfRule type="cellIs" dxfId="9161" priority="20401" operator="equal">
      <formula>1</formula>
    </cfRule>
    <cfRule type="cellIs" dxfId="9160" priority="20402" operator="equal">
      <formula>"×"</formula>
    </cfRule>
  </conditionalFormatting>
  <conditionalFormatting sqref="AD15">
    <cfRule type="cellIs" dxfId="9159" priority="20399" operator="equal">
      <formula>1</formula>
    </cfRule>
    <cfRule type="cellIs" dxfId="9158" priority="20400" operator="equal">
      <formula>"×"</formula>
    </cfRule>
  </conditionalFormatting>
  <conditionalFormatting sqref="AD15">
    <cfRule type="cellIs" dxfId="9157" priority="20395" operator="equal">
      <formula>1</formula>
    </cfRule>
    <cfRule type="cellIs" dxfId="9156" priority="20396" operator="equal">
      <formula>"×"</formula>
    </cfRule>
  </conditionalFormatting>
  <conditionalFormatting sqref="AD15">
    <cfRule type="cellIs" dxfId="9155" priority="20397" operator="equal">
      <formula>1</formula>
    </cfRule>
    <cfRule type="cellIs" dxfId="9154" priority="20398" operator="equal">
      <formula>"×"</formula>
    </cfRule>
  </conditionalFormatting>
  <conditionalFormatting sqref="AE9">
    <cfRule type="cellIs" dxfId="9153" priority="20471" operator="equal">
      <formula>1</formula>
    </cfRule>
    <cfRule type="cellIs" dxfId="9152" priority="20472" operator="equal">
      <formula>"×"</formula>
    </cfRule>
  </conditionalFormatting>
  <conditionalFormatting sqref="AE9 AF7:AI7">
    <cfRule type="cellIs" dxfId="9151" priority="20469" operator="equal">
      <formula>1</formula>
    </cfRule>
    <cfRule type="cellIs" dxfId="9150" priority="20470" operator="equal">
      <formula>"×"</formula>
    </cfRule>
  </conditionalFormatting>
  <conditionalFormatting sqref="AI7">
    <cfRule type="cellIs" dxfId="9149" priority="20467" operator="equal">
      <formula>1</formula>
    </cfRule>
    <cfRule type="cellIs" dxfId="9148" priority="20468" operator="equal">
      <formula>"×"</formula>
    </cfRule>
  </conditionalFormatting>
  <conditionalFormatting sqref="AE9 AF7:AI7">
    <cfRule type="cellIs" dxfId="9147" priority="20465" operator="equal">
      <formula>1</formula>
    </cfRule>
    <cfRule type="cellIs" dxfId="9146" priority="20466" operator="equal">
      <formula>"×"</formula>
    </cfRule>
  </conditionalFormatting>
  <conditionalFormatting sqref="AE9">
    <cfRule type="cellIs" dxfId="9145" priority="20463" operator="equal">
      <formula>1</formula>
    </cfRule>
    <cfRule type="cellIs" dxfId="9144" priority="20464" operator="equal">
      <formula>"×"</formula>
    </cfRule>
  </conditionalFormatting>
  <conditionalFormatting sqref="AE9 AF7:AI7">
    <cfRule type="cellIs" dxfId="9143" priority="20461" operator="equal">
      <formula>1</formula>
    </cfRule>
    <cfRule type="cellIs" dxfId="9142" priority="20462" operator="equal">
      <formula>"×"</formula>
    </cfRule>
  </conditionalFormatting>
  <conditionalFormatting sqref="AI7">
    <cfRule type="cellIs" dxfId="9141" priority="20459" operator="equal">
      <formula>1</formula>
    </cfRule>
    <cfRule type="cellIs" dxfId="9140" priority="20460" operator="equal">
      <formula>"×"</formula>
    </cfRule>
  </conditionalFormatting>
  <conditionalFormatting sqref="AF7:AI7">
    <cfRule type="cellIs" dxfId="9139" priority="20457" operator="equal">
      <formula>1</formula>
    </cfRule>
    <cfRule type="cellIs" dxfId="9138" priority="20458" operator="equal">
      <formula>"×"</formula>
    </cfRule>
  </conditionalFormatting>
  <conditionalFormatting sqref="AE9 AF7:AI7">
    <cfRule type="cellIs" dxfId="9137" priority="20455" operator="equal">
      <formula>1</formula>
    </cfRule>
    <cfRule type="cellIs" dxfId="9136" priority="20456" operator="equal">
      <formula>"×"</formula>
    </cfRule>
  </conditionalFormatting>
  <conditionalFormatting sqref="AI7">
    <cfRule type="cellIs" dxfId="9135" priority="20453" operator="equal">
      <formula>1</formula>
    </cfRule>
    <cfRule type="cellIs" dxfId="9134" priority="20454" operator="equal">
      <formula>"×"</formula>
    </cfRule>
  </conditionalFormatting>
  <conditionalFormatting sqref="AF8">
    <cfRule type="cellIs" dxfId="9133" priority="20451" operator="equal">
      <formula>1</formula>
    </cfRule>
    <cfRule type="cellIs" dxfId="9132" priority="20452" operator="equal">
      <formula>"×"</formula>
    </cfRule>
  </conditionalFormatting>
  <conditionalFormatting sqref="AG7:AI9">
    <cfRule type="cellIs" dxfId="9131" priority="20449" operator="equal">
      <formula>1</formula>
    </cfRule>
    <cfRule type="cellIs" dxfId="9130" priority="20450" operator="equal">
      <formula>"×"</formula>
    </cfRule>
  </conditionalFormatting>
  <conditionalFormatting sqref="AI7:AI9">
    <cfRule type="cellIs" dxfId="9129" priority="20447" operator="equal">
      <formula>1</formula>
    </cfRule>
    <cfRule type="cellIs" dxfId="9128" priority="20448" operator="equal">
      <formula>"×"</formula>
    </cfRule>
  </conditionalFormatting>
  <conditionalFormatting sqref="AG7:AI9">
    <cfRule type="cellIs" dxfId="9127" priority="20445" operator="equal">
      <formula>1</formula>
    </cfRule>
    <cfRule type="cellIs" dxfId="9126" priority="20446" operator="equal">
      <formula>"×"</formula>
    </cfRule>
  </conditionalFormatting>
  <conditionalFormatting sqref="AG7:AI9">
    <cfRule type="cellIs" dxfId="9125" priority="20443" operator="equal">
      <formula>1</formula>
    </cfRule>
    <cfRule type="cellIs" dxfId="9124" priority="20444" operator="equal">
      <formula>"×"</formula>
    </cfRule>
  </conditionalFormatting>
  <conditionalFormatting sqref="AI7:AI9">
    <cfRule type="cellIs" dxfId="9123" priority="20441" operator="equal">
      <formula>1</formula>
    </cfRule>
    <cfRule type="cellIs" dxfId="9122" priority="20442" operator="equal">
      <formula>"×"</formula>
    </cfRule>
  </conditionalFormatting>
  <conditionalFormatting sqref="AG7:AI9">
    <cfRule type="cellIs" dxfId="9121" priority="20439" operator="equal">
      <formula>1</formula>
    </cfRule>
    <cfRule type="cellIs" dxfId="9120" priority="20440" operator="equal">
      <formula>"×"</formula>
    </cfRule>
  </conditionalFormatting>
  <conditionalFormatting sqref="AG7:AI9">
    <cfRule type="cellIs" dxfId="9119" priority="20437" operator="equal">
      <formula>1</formula>
    </cfRule>
    <cfRule type="cellIs" dxfId="9118" priority="20438" operator="equal">
      <formula>"×"</formula>
    </cfRule>
  </conditionalFormatting>
  <conditionalFormatting sqref="AG7:AI9">
    <cfRule type="cellIs" dxfId="9117" priority="20433" operator="equal">
      <formula>1</formula>
    </cfRule>
    <cfRule type="cellIs" dxfId="9116" priority="20434" operator="equal">
      <formula>"×"</formula>
    </cfRule>
  </conditionalFormatting>
  <conditionalFormatting sqref="AI7:AI9">
    <cfRule type="cellIs" dxfId="9115" priority="20435" operator="equal">
      <formula>1</formula>
    </cfRule>
    <cfRule type="cellIs" dxfId="9114" priority="20436" operator="equal">
      <formula>"×"</formula>
    </cfRule>
  </conditionalFormatting>
  <conditionalFormatting sqref="AG7:AI9">
    <cfRule type="cellIs" dxfId="9113" priority="20431" operator="equal">
      <formula>1</formula>
    </cfRule>
    <cfRule type="cellIs" dxfId="9112" priority="20432" operator="equal">
      <formula>"×"</formula>
    </cfRule>
  </conditionalFormatting>
  <conditionalFormatting sqref="AI7:AI9">
    <cfRule type="cellIs" dxfId="9111" priority="20429" operator="equal">
      <formula>1</formula>
    </cfRule>
    <cfRule type="cellIs" dxfId="9110" priority="20430" operator="equal">
      <formula>"×"</formula>
    </cfRule>
  </conditionalFormatting>
  <conditionalFormatting sqref="AG7:AI9">
    <cfRule type="cellIs" dxfId="9109" priority="20427" operator="equal">
      <formula>1</formula>
    </cfRule>
    <cfRule type="cellIs" dxfId="9108" priority="20428" operator="equal">
      <formula>"×"</formula>
    </cfRule>
  </conditionalFormatting>
  <conditionalFormatting sqref="AI7:AI9">
    <cfRule type="cellIs" dxfId="9107" priority="20425" operator="equal">
      <formula>1</formula>
    </cfRule>
    <cfRule type="cellIs" dxfId="9106" priority="20426" operator="equal">
      <formula>"×"</formula>
    </cfRule>
  </conditionalFormatting>
  <conditionalFormatting sqref="AI7:AI9">
    <cfRule type="cellIs" dxfId="9105" priority="20423" operator="equal">
      <formula>1</formula>
    </cfRule>
    <cfRule type="cellIs" dxfId="9104" priority="20424" operator="equal">
      <formula>"×"</formula>
    </cfRule>
  </conditionalFormatting>
  <conditionalFormatting sqref="AI7:AI9">
    <cfRule type="cellIs" dxfId="9103" priority="20421" operator="equal">
      <formula>1</formula>
    </cfRule>
    <cfRule type="cellIs" dxfId="9102" priority="20422" operator="equal">
      <formula>"×"</formula>
    </cfRule>
  </conditionalFormatting>
  <conditionalFormatting sqref="AI7:AI9">
    <cfRule type="cellIs" dxfId="9101" priority="20419" operator="equal">
      <formula>1</formula>
    </cfRule>
    <cfRule type="cellIs" dxfId="9100" priority="20420" operator="equal">
      <formula>"×"</formula>
    </cfRule>
  </conditionalFormatting>
  <conditionalFormatting sqref="AI7:AI9">
    <cfRule type="cellIs" dxfId="9099" priority="20417" operator="equal">
      <formula>1</formula>
    </cfRule>
    <cfRule type="cellIs" dxfId="9098" priority="20418" operator="equal">
      <formula>"×"</formula>
    </cfRule>
  </conditionalFormatting>
  <conditionalFormatting sqref="AI7:AI9">
    <cfRule type="cellIs" dxfId="9097" priority="20415" operator="equal">
      <formula>1</formula>
    </cfRule>
    <cfRule type="cellIs" dxfId="9096" priority="20416" operator="equal">
      <formula>"×"</formula>
    </cfRule>
  </conditionalFormatting>
  <conditionalFormatting sqref="AC15">
    <cfRule type="cellIs" dxfId="9095" priority="20413" operator="equal">
      <formula>1</formula>
    </cfRule>
    <cfRule type="cellIs" dxfId="9094" priority="20414" operator="equal">
      <formula>"×"</formula>
    </cfRule>
  </conditionalFormatting>
  <conditionalFormatting sqref="AD15">
    <cfRule type="cellIs" dxfId="9093" priority="20411" operator="equal">
      <formula>1</formula>
    </cfRule>
    <cfRule type="cellIs" dxfId="9092" priority="20412" operator="equal">
      <formula>"×"</formula>
    </cfRule>
  </conditionalFormatting>
  <conditionalFormatting sqref="AD15">
    <cfRule type="cellIs" dxfId="9091" priority="20409" operator="equal">
      <formula>1</formula>
    </cfRule>
    <cfRule type="cellIs" dxfId="9090" priority="20410" operator="equal">
      <formula>"×"</formula>
    </cfRule>
  </conditionalFormatting>
  <conditionalFormatting sqref="AD15">
    <cfRule type="cellIs" dxfId="9089" priority="20407" operator="equal">
      <formula>1</formula>
    </cfRule>
    <cfRule type="cellIs" dxfId="9088" priority="20408" operator="equal">
      <formula>"×"</formula>
    </cfRule>
  </conditionalFormatting>
  <conditionalFormatting sqref="AD15">
    <cfRule type="cellIs" dxfId="9087" priority="20405" operator="equal">
      <formula>1</formula>
    </cfRule>
    <cfRule type="cellIs" dxfId="9086" priority="20406" operator="equal">
      <formula>"×"</formula>
    </cfRule>
  </conditionalFormatting>
  <conditionalFormatting sqref="AC15">
    <cfRule type="cellIs" dxfId="9085" priority="20393" operator="equal">
      <formula>1</formula>
    </cfRule>
    <cfRule type="cellIs" dxfId="9084" priority="20394" operator="equal">
      <formula>"×"</formula>
    </cfRule>
  </conditionalFormatting>
  <conditionalFormatting sqref="AD15">
    <cfRule type="cellIs" dxfId="9083" priority="20391" operator="equal">
      <formula>1</formula>
    </cfRule>
    <cfRule type="cellIs" dxfId="9082" priority="20392" operator="equal">
      <formula>"×"</formula>
    </cfRule>
  </conditionalFormatting>
  <conditionalFormatting sqref="AD15">
    <cfRule type="cellIs" dxfId="9081" priority="20389" operator="equal">
      <formula>1</formula>
    </cfRule>
    <cfRule type="cellIs" dxfId="9080" priority="20390" operator="equal">
      <formula>"×"</formula>
    </cfRule>
  </conditionalFormatting>
  <conditionalFormatting sqref="AD15">
    <cfRule type="cellIs" dxfId="9079" priority="20385" operator="equal">
      <formula>1</formula>
    </cfRule>
    <cfRule type="cellIs" dxfId="9078" priority="20386" operator="equal">
      <formula>"×"</formula>
    </cfRule>
  </conditionalFormatting>
  <conditionalFormatting sqref="AD15">
    <cfRule type="cellIs" dxfId="9077" priority="20387" operator="equal">
      <formula>1</formula>
    </cfRule>
    <cfRule type="cellIs" dxfId="9076" priority="20388" operator="equal">
      <formula>"×"</formula>
    </cfRule>
  </conditionalFormatting>
  <conditionalFormatting sqref="AD15">
    <cfRule type="cellIs" dxfId="9075" priority="20383" operator="equal">
      <formula>1</formula>
    </cfRule>
    <cfRule type="cellIs" dxfId="9074" priority="20384" operator="equal">
      <formula>"×"</formula>
    </cfRule>
  </conditionalFormatting>
  <conditionalFormatting sqref="AD15">
    <cfRule type="cellIs" dxfId="9073" priority="20381" operator="equal">
      <formula>1</formula>
    </cfRule>
    <cfRule type="cellIs" dxfId="9072" priority="20382" operator="equal">
      <formula>"×"</formula>
    </cfRule>
  </conditionalFormatting>
  <conditionalFormatting sqref="AD15">
    <cfRule type="cellIs" dxfId="9071" priority="20379" operator="equal">
      <formula>1</formula>
    </cfRule>
    <cfRule type="cellIs" dxfId="9070" priority="20380" operator="equal">
      <formula>"×"</formula>
    </cfRule>
  </conditionalFormatting>
  <conditionalFormatting sqref="AC15:AD15">
    <cfRule type="cellIs" dxfId="9069" priority="20377" operator="equal">
      <formula>1</formula>
    </cfRule>
    <cfRule type="cellIs" dxfId="9068" priority="20378" operator="equal">
      <formula>"×"</formula>
    </cfRule>
  </conditionalFormatting>
  <conditionalFormatting sqref="AE9">
    <cfRule type="cellIs" dxfId="9067" priority="20361" operator="equal">
      <formula>1</formula>
    </cfRule>
    <cfRule type="cellIs" dxfId="9066" priority="20362" operator="equal">
      <formula>"×"</formula>
    </cfRule>
  </conditionalFormatting>
  <conditionalFormatting sqref="AE9 AF7:AI7">
    <cfRule type="cellIs" dxfId="9065" priority="20359" operator="equal">
      <formula>1</formula>
    </cfRule>
    <cfRule type="cellIs" dxfId="9064" priority="20360" operator="equal">
      <formula>"×"</formula>
    </cfRule>
  </conditionalFormatting>
  <conditionalFormatting sqref="AI7">
    <cfRule type="cellIs" dxfId="9063" priority="20357" operator="equal">
      <formula>1</formula>
    </cfRule>
    <cfRule type="cellIs" dxfId="9062" priority="20358" operator="equal">
      <formula>"×"</formula>
    </cfRule>
  </conditionalFormatting>
  <conditionalFormatting sqref="AE9 AF7:AI7">
    <cfRule type="cellIs" dxfId="9061" priority="20355" operator="equal">
      <formula>1</formula>
    </cfRule>
    <cfRule type="cellIs" dxfId="9060" priority="20356" operator="equal">
      <formula>"×"</formula>
    </cfRule>
  </conditionalFormatting>
  <conditionalFormatting sqref="AF7">
    <cfRule type="cellIs" dxfId="9059" priority="20375" operator="equal">
      <formula>1</formula>
    </cfRule>
    <cfRule type="cellIs" dxfId="9058" priority="20376" operator="equal">
      <formula>"×"</formula>
    </cfRule>
  </conditionalFormatting>
  <conditionalFormatting sqref="AF7">
    <cfRule type="cellIs" dxfId="9057" priority="20373" operator="equal">
      <formula>1</formula>
    </cfRule>
    <cfRule type="cellIs" dxfId="9056" priority="20374" operator="equal">
      <formula>"×"</formula>
    </cfRule>
  </conditionalFormatting>
  <conditionalFormatting sqref="AF7">
    <cfRule type="cellIs" dxfId="9055" priority="20371" operator="equal">
      <formula>1</formula>
    </cfRule>
    <cfRule type="cellIs" dxfId="9054" priority="20372" operator="equal">
      <formula>"×"</formula>
    </cfRule>
  </conditionalFormatting>
  <conditionalFormatting sqref="AF7">
    <cfRule type="cellIs" dxfId="9053" priority="20369" operator="equal">
      <formula>1</formula>
    </cfRule>
    <cfRule type="cellIs" dxfId="9052" priority="20370" operator="equal">
      <formula>"×"</formula>
    </cfRule>
  </conditionalFormatting>
  <conditionalFormatting sqref="AI8">
    <cfRule type="cellIs" dxfId="9051" priority="20367" operator="equal">
      <formula>1</formula>
    </cfRule>
    <cfRule type="cellIs" dxfId="9050" priority="20368" operator="equal">
      <formula>"×"</formula>
    </cfRule>
  </conditionalFormatting>
  <conditionalFormatting sqref="AF7">
    <cfRule type="cellIs" dxfId="9049" priority="20365" operator="equal">
      <formula>1</formula>
    </cfRule>
    <cfRule type="cellIs" dxfId="9048" priority="20366" operator="equal">
      <formula>"×"</formula>
    </cfRule>
  </conditionalFormatting>
  <conditionalFormatting sqref="AF7">
    <cfRule type="cellIs" dxfId="9047" priority="20363" operator="equal">
      <formula>1</formula>
    </cfRule>
    <cfRule type="cellIs" dxfId="9046" priority="20364" operator="equal">
      <formula>"×"</formula>
    </cfRule>
  </conditionalFormatting>
  <conditionalFormatting sqref="AI8">
    <cfRule type="cellIs" dxfId="9045" priority="20353" operator="equal">
      <formula>1</formula>
    </cfRule>
    <cfRule type="cellIs" dxfId="9044" priority="20354" operator="equal">
      <formula>"×"</formula>
    </cfRule>
  </conditionalFormatting>
  <conditionalFormatting sqref="AI8">
    <cfRule type="cellIs" dxfId="9043" priority="20351" operator="equal">
      <formula>1</formula>
    </cfRule>
    <cfRule type="cellIs" dxfId="9042" priority="20352" operator="equal">
      <formula>"×"</formula>
    </cfRule>
  </conditionalFormatting>
  <conditionalFormatting sqref="AE9">
    <cfRule type="cellIs" dxfId="9041" priority="20349" operator="equal">
      <formula>1</formula>
    </cfRule>
    <cfRule type="cellIs" dxfId="9040" priority="20350" operator="equal">
      <formula>"×"</formula>
    </cfRule>
  </conditionalFormatting>
  <conditionalFormatting sqref="AE9">
    <cfRule type="cellIs" dxfId="9039" priority="20347" operator="equal">
      <formula>1</formula>
    </cfRule>
    <cfRule type="cellIs" dxfId="9038" priority="20348" operator="equal">
      <formula>"×"</formula>
    </cfRule>
  </conditionalFormatting>
  <conditionalFormatting sqref="AE9">
    <cfRule type="cellIs" dxfId="9037" priority="20345" operator="equal">
      <formula>1</formula>
    </cfRule>
    <cfRule type="cellIs" dxfId="9036" priority="20346" operator="equal">
      <formula>"×"</formula>
    </cfRule>
  </conditionalFormatting>
  <conditionalFormatting sqref="AE9">
    <cfRule type="cellIs" dxfId="9035" priority="20343" operator="equal">
      <formula>1</formula>
    </cfRule>
    <cfRule type="cellIs" dxfId="9034" priority="20344" operator="equal">
      <formula>"×"</formula>
    </cfRule>
  </conditionalFormatting>
  <conditionalFormatting sqref="AE9">
    <cfRule type="cellIs" dxfId="9033" priority="20341" operator="equal">
      <formula>1</formula>
    </cfRule>
    <cfRule type="cellIs" dxfId="9032" priority="20342" operator="equal">
      <formula>"×"</formula>
    </cfRule>
  </conditionalFormatting>
  <conditionalFormatting sqref="AE9">
    <cfRule type="cellIs" dxfId="9031" priority="20339" operator="equal">
      <formula>1</formula>
    </cfRule>
    <cfRule type="cellIs" dxfId="9030" priority="20340" operator="equal">
      <formula>"×"</formula>
    </cfRule>
  </conditionalFormatting>
  <conditionalFormatting sqref="AE9">
    <cfRule type="cellIs" dxfId="9029" priority="20337" operator="equal">
      <formula>1</formula>
    </cfRule>
    <cfRule type="cellIs" dxfId="9028" priority="20338" operator="equal">
      <formula>"×"</formula>
    </cfRule>
  </conditionalFormatting>
  <conditionalFormatting sqref="AE9 AF7">
    <cfRule type="cellIs" dxfId="9027" priority="20335" operator="equal">
      <formula>1</formula>
    </cfRule>
    <cfRule type="cellIs" dxfId="9026" priority="20336" operator="equal">
      <formula>"×"</formula>
    </cfRule>
  </conditionalFormatting>
  <conditionalFormatting sqref="AE9 AF7">
    <cfRule type="cellIs" dxfId="9025" priority="20331" operator="equal">
      <formula>1</formula>
    </cfRule>
    <cfRule type="cellIs" dxfId="9024" priority="20332" operator="equal">
      <formula>"×"</formula>
    </cfRule>
  </conditionalFormatting>
  <conditionalFormatting sqref="AE9 AF7">
    <cfRule type="cellIs" dxfId="9023" priority="20333" operator="equal">
      <formula>1</formula>
    </cfRule>
    <cfRule type="cellIs" dxfId="9022" priority="20334" operator="equal">
      <formula>"×"</formula>
    </cfRule>
  </conditionalFormatting>
  <conditionalFormatting sqref="AE9 AF7">
    <cfRule type="cellIs" dxfId="9021" priority="20329" operator="equal">
      <formula>1</formula>
    </cfRule>
    <cfRule type="cellIs" dxfId="9020" priority="20330" operator="equal">
      <formula>"×"</formula>
    </cfRule>
  </conditionalFormatting>
  <conditionalFormatting sqref="AE9 AF7">
    <cfRule type="cellIs" dxfId="9019" priority="20327" operator="equal">
      <formula>1</formula>
    </cfRule>
    <cfRule type="cellIs" dxfId="9018" priority="20328" operator="equal">
      <formula>"×"</formula>
    </cfRule>
  </conditionalFormatting>
  <conditionalFormatting sqref="AE9 AF7">
    <cfRule type="cellIs" dxfId="9017" priority="20325" operator="equal">
      <formula>1</formula>
    </cfRule>
    <cfRule type="cellIs" dxfId="9016" priority="20326" operator="equal">
      <formula>"×"</formula>
    </cfRule>
  </conditionalFormatting>
  <conditionalFormatting sqref="AE9 AF7">
    <cfRule type="cellIs" dxfId="9015" priority="20323" operator="equal">
      <formula>1</formula>
    </cfRule>
    <cfRule type="cellIs" dxfId="9014" priority="20324" operator="equal">
      <formula>"×"</formula>
    </cfRule>
  </conditionalFormatting>
  <conditionalFormatting sqref="AC15">
    <cfRule type="cellIs" dxfId="9013" priority="20321" operator="equal">
      <formula>1</formula>
    </cfRule>
    <cfRule type="cellIs" dxfId="9012" priority="20322" operator="equal">
      <formula>"×"</formula>
    </cfRule>
  </conditionalFormatting>
  <conditionalFormatting sqref="AD15">
    <cfRule type="cellIs" dxfId="9011" priority="20319" operator="equal">
      <formula>1</formula>
    </cfRule>
    <cfRule type="cellIs" dxfId="9010" priority="20320" operator="equal">
      <formula>"×"</formula>
    </cfRule>
  </conditionalFormatting>
  <conditionalFormatting sqref="AD15">
    <cfRule type="cellIs" dxfId="9009" priority="20317" operator="equal">
      <formula>1</formula>
    </cfRule>
    <cfRule type="cellIs" dxfId="9008" priority="20318" operator="equal">
      <formula>"×"</formula>
    </cfRule>
  </conditionalFormatting>
  <conditionalFormatting sqref="AD15">
    <cfRule type="cellIs" dxfId="9007" priority="20315" operator="equal">
      <formula>1</formula>
    </cfRule>
    <cfRule type="cellIs" dxfId="9006" priority="20316" operator="equal">
      <formula>"×"</formula>
    </cfRule>
  </conditionalFormatting>
  <conditionalFormatting sqref="AD15">
    <cfRule type="cellIs" dxfId="9005" priority="20313" operator="equal">
      <formula>1</formula>
    </cfRule>
    <cfRule type="cellIs" dxfId="9004" priority="20314" operator="equal">
      <formula>"×"</formula>
    </cfRule>
  </conditionalFormatting>
  <conditionalFormatting sqref="AC15">
    <cfRule type="cellIs" dxfId="9003" priority="20311" operator="equal">
      <formula>1</formula>
    </cfRule>
    <cfRule type="cellIs" dxfId="9002" priority="20312" operator="equal">
      <formula>"×"</formula>
    </cfRule>
  </conditionalFormatting>
  <conditionalFormatting sqref="AD15">
    <cfRule type="cellIs" dxfId="9001" priority="20309" operator="equal">
      <formula>1</formula>
    </cfRule>
    <cfRule type="cellIs" dxfId="9000" priority="20310" operator="equal">
      <formula>"×"</formula>
    </cfRule>
  </conditionalFormatting>
  <conditionalFormatting sqref="AD15">
    <cfRule type="cellIs" dxfId="8999" priority="20307" operator="equal">
      <formula>1</formula>
    </cfRule>
    <cfRule type="cellIs" dxfId="8998" priority="20308" operator="equal">
      <formula>"×"</formula>
    </cfRule>
  </conditionalFormatting>
  <conditionalFormatting sqref="AD15">
    <cfRule type="cellIs" dxfId="8997" priority="20305" operator="equal">
      <formula>1</formula>
    </cfRule>
    <cfRule type="cellIs" dxfId="8996" priority="20306" operator="equal">
      <formula>"×"</formula>
    </cfRule>
  </conditionalFormatting>
  <conditionalFormatting sqref="AD15">
    <cfRule type="cellIs" dxfId="8995" priority="20303" operator="equal">
      <formula>1</formula>
    </cfRule>
    <cfRule type="cellIs" dxfId="8994" priority="20304" operator="equal">
      <formula>"×"</formula>
    </cfRule>
  </conditionalFormatting>
  <conditionalFormatting sqref="AC15">
    <cfRule type="cellIs" dxfId="8993" priority="20301" operator="equal">
      <formula>1</formula>
    </cfRule>
    <cfRule type="cellIs" dxfId="8992" priority="20302" operator="equal">
      <formula>"×"</formula>
    </cfRule>
  </conditionalFormatting>
  <conditionalFormatting sqref="AD15">
    <cfRule type="cellIs" dxfId="8991" priority="20299" operator="equal">
      <formula>1</formula>
    </cfRule>
    <cfRule type="cellIs" dxfId="8990" priority="20300" operator="equal">
      <formula>"×"</formula>
    </cfRule>
  </conditionalFormatting>
  <conditionalFormatting sqref="AD15">
    <cfRule type="cellIs" dxfId="8989" priority="20297" operator="equal">
      <formula>1</formula>
    </cfRule>
    <cfRule type="cellIs" dxfId="8988" priority="20298" operator="equal">
      <formula>"×"</formula>
    </cfRule>
  </conditionalFormatting>
  <conditionalFormatting sqref="AD15">
    <cfRule type="cellIs" dxfId="8987" priority="20295" operator="equal">
      <formula>1</formula>
    </cfRule>
    <cfRule type="cellIs" dxfId="8986" priority="20296" operator="equal">
      <formula>"×"</formula>
    </cfRule>
  </conditionalFormatting>
  <conditionalFormatting sqref="AD15">
    <cfRule type="cellIs" dxfId="8985" priority="20293" operator="equal">
      <formula>1</formula>
    </cfRule>
    <cfRule type="cellIs" dxfId="8984" priority="20294" operator="equal">
      <formula>"×"</formula>
    </cfRule>
  </conditionalFormatting>
  <conditionalFormatting sqref="AC15">
    <cfRule type="cellIs" dxfId="8983" priority="20291" operator="equal">
      <formula>1</formula>
    </cfRule>
    <cfRule type="cellIs" dxfId="8982" priority="20292" operator="equal">
      <formula>"×"</formula>
    </cfRule>
  </conditionalFormatting>
  <conditionalFormatting sqref="AD15">
    <cfRule type="cellIs" dxfId="8981" priority="20289" operator="equal">
      <formula>1</formula>
    </cfRule>
    <cfRule type="cellIs" dxfId="8980" priority="20290" operator="equal">
      <formula>"×"</formula>
    </cfRule>
  </conditionalFormatting>
  <conditionalFormatting sqref="AD15">
    <cfRule type="cellIs" dxfId="8979" priority="20287" operator="equal">
      <formula>1</formula>
    </cfRule>
    <cfRule type="cellIs" dxfId="8978" priority="20288" operator="equal">
      <formula>"×"</formula>
    </cfRule>
  </conditionalFormatting>
  <conditionalFormatting sqref="AD15">
    <cfRule type="cellIs" dxfId="8977" priority="20283" operator="equal">
      <formula>1</formula>
    </cfRule>
    <cfRule type="cellIs" dxfId="8976" priority="20284" operator="equal">
      <formula>"×"</formula>
    </cfRule>
  </conditionalFormatting>
  <conditionalFormatting sqref="AD15">
    <cfRule type="cellIs" dxfId="8975" priority="20285" operator="equal">
      <formula>1</formula>
    </cfRule>
    <cfRule type="cellIs" dxfId="8974" priority="20286" operator="equal">
      <formula>"×"</formula>
    </cfRule>
  </conditionalFormatting>
  <conditionalFormatting sqref="AE9">
    <cfRule type="cellIs" dxfId="8973" priority="20269" operator="equal">
      <formula>1</formula>
    </cfRule>
    <cfRule type="cellIs" dxfId="8972" priority="20270" operator="equal">
      <formula>"×"</formula>
    </cfRule>
  </conditionalFormatting>
  <conditionalFormatting sqref="AE9">
    <cfRule type="cellIs" dxfId="8971" priority="20267" operator="equal">
      <formula>1</formula>
    </cfRule>
    <cfRule type="cellIs" dxfId="8970" priority="20268" operator="equal">
      <formula>"×"</formula>
    </cfRule>
  </conditionalFormatting>
  <conditionalFormatting sqref="AE9">
    <cfRule type="cellIs" dxfId="8969" priority="20281" operator="equal">
      <formula>1</formula>
    </cfRule>
    <cfRule type="cellIs" dxfId="8968" priority="20282" operator="equal">
      <formula>"×"</formula>
    </cfRule>
  </conditionalFormatting>
  <conditionalFormatting sqref="AE9">
    <cfRule type="cellIs" dxfId="8967" priority="20279" operator="equal">
      <formula>1</formula>
    </cfRule>
    <cfRule type="cellIs" dxfId="8966" priority="20280" operator="equal">
      <formula>"×"</formula>
    </cfRule>
  </conditionalFormatting>
  <conditionalFormatting sqref="AE9">
    <cfRule type="cellIs" dxfId="8965" priority="20277" operator="equal">
      <formula>1</formula>
    </cfRule>
    <cfRule type="cellIs" dxfId="8964" priority="20278" operator="equal">
      <formula>"×"</formula>
    </cfRule>
  </conditionalFormatting>
  <conditionalFormatting sqref="AE9">
    <cfRule type="cellIs" dxfId="8963" priority="20275" operator="equal">
      <formula>1</formula>
    </cfRule>
    <cfRule type="cellIs" dxfId="8962" priority="20276" operator="equal">
      <formula>"×"</formula>
    </cfRule>
  </conditionalFormatting>
  <conditionalFormatting sqref="AE9">
    <cfRule type="cellIs" dxfId="8961" priority="20273" operator="equal">
      <formula>1</formula>
    </cfRule>
    <cfRule type="cellIs" dxfId="8960" priority="20274" operator="equal">
      <formula>"×"</formula>
    </cfRule>
  </conditionalFormatting>
  <conditionalFormatting sqref="AE9">
    <cfRule type="cellIs" dxfId="8959" priority="20271" operator="equal">
      <formula>1</formula>
    </cfRule>
    <cfRule type="cellIs" dxfId="8958" priority="20272" operator="equal">
      <formula>"×"</formula>
    </cfRule>
  </conditionalFormatting>
  <conditionalFormatting sqref="AE9">
    <cfRule type="cellIs" dxfId="8957" priority="20265" operator="equal">
      <formula>1</formula>
    </cfRule>
    <cfRule type="cellIs" dxfId="8956" priority="20266" operator="equal">
      <formula>"×"</formula>
    </cfRule>
  </conditionalFormatting>
  <conditionalFormatting sqref="AE9">
    <cfRule type="cellIs" dxfId="8955" priority="20241" operator="equal">
      <formula>1</formula>
    </cfRule>
    <cfRule type="cellIs" dxfId="8954" priority="20242" operator="equal">
      <formula>"×"</formula>
    </cfRule>
  </conditionalFormatting>
  <conditionalFormatting sqref="AE9">
    <cfRule type="cellIs" dxfId="8953" priority="20245" operator="equal">
      <formula>1</formula>
    </cfRule>
    <cfRule type="cellIs" dxfId="8952" priority="20246" operator="equal">
      <formula>"×"</formula>
    </cfRule>
  </conditionalFormatting>
  <conditionalFormatting sqref="AE9">
    <cfRule type="cellIs" dxfId="8951" priority="20243" operator="equal">
      <formula>1</formula>
    </cfRule>
    <cfRule type="cellIs" dxfId="8950" priority="20244" operator="equal">
      <formula>"×"</formula>
    </cfRule>
  </conditionalFormatting>
  <conditionalFormatting sqref="AE9">
    <cfRule type="cellIs" dxfId="8949" priority="20239" operator="equal">
      <formula>1</formula>
    </cfRule>
    <cfRule type="cellIs" dxfId="8948" priority="20240" operator="equal">
      <formula>"×"</formula>
    </cfRule>
  </conditionalFormatting>
  <conditionalFormatting sqref="AE9">
    <cfRule type="cellIs" dxfId="8947" priority="20263" operator="equal">
      <formula>1</formula>
    </cfRule>
    <cfRule type="cellIs" dxfId="8946" priority="20264" operator="equal">
      <formula>"×"</formula>
    </cfRule>
  </conditionalFormatting>
  <conditionalFormatting sqref="AE9">
    <cfRule type="cellIs" dxfId="8945" priority="20261" operator="equal">
      <formula>1</formula>
    </cfRule>
    <cfRule type="cellIs" dxfId="8944" priority="20262" operator="equal">
      <formula>"×"</formula>
    </cfRule>
  </conditionalFormatting>
  <conditionalFormatting sqref="AE9">
    <cfRule type="cellIs" dxfId="8943" priority="20259" operator="equal">
      <formula>1</formula>
    </cfRule>
    <cfRule type="cellIs" dxfId="8942" priority="20260" operator="equal">
      <formula>"×"</formula>
    </cfRule>
  </conditionalFormatting>
  <conditionalFormatting sqref="AE9">
    <cfRule type="cellIs" dxfId="8941" priority="20257" operator="equal">
      <formula>1</formula>
    </cfRule>
    <cfRule type="cellIs" dxfId="8940" priority="20258" operator="equal">
      <formula>"×"</formula>
    </cfRule>
  </conditionalFormatting>
  <conditionalFormatting sqref="AE9">
    <cfRule type="cellIs" dxfId="8939" priority="20255" operator="equal">
      <formula>1</formula>
    </cfRule>
    <cfRule type="cellIs" dxfId="8938" priority="20256" operator="equal">
      <formula>"×"</formula>
    </cfRule>
  </conditionalFormatting>
  <conditionalFormatting sqref="AE9">
    <cfRule type="cellIs" dxfId="8937" priority="20253" operator="equal">
      <formula>1</formula>
    </cfRule>
    <cfRule type="cellIs" dxfId="8936" priority="20254" operator="equal">
      <formula>"×"</formula>
    </cfRule>
  </conditionalFormatting>
  <conditionalFormatting sqref="AE9">
    <cfRule type="cellIs" dxfId="8935" priority="20251" operator="equal">
      <formula>1</formula>
    </cfRule>
    <cfRule type="cellIs" dxfId="8934" priority="20252" operator="equal">
      <formula>"×"</formula>
    </cfRule>
  </conditionalFormatting>
  <conditionalFormatting sqref="AE9">
    <cfRule type="cellIs" dxfId="8933" priority="20249" operator="equal">
      <formula>1</formula>
    </cfRule>
    <cfRule type="cellIs" dxfId="8932" priority="20250" operator="equal">
      <formula>"×"</formula>
    </cfRule>
  </conditionalFormatting>
  <conditionalFormatting sqref="AE9">
    <cfRule type="cellIs" dxfId="8931" priority="20247" operator="equal">
      <formula>1</formula>
    </cfRule>
    <cfRule type="cellIs" dxfId="8930" priority="20248" operator="equal">
      <formula>"×"</formula>
    </cfRule>
  </conditionalFormatting>
  <conditionalFormatting sqref="AC9">
    <cfRule type="cellIs" dxfId="8929" priority="20211" operator="equal">
      <formula>1</formula>
    </cfRule>
    <cfRule type="cellIs" dxfId="8928" priority="20212" operator="equal">
      <formula>"×"</formula>
    </cfRule>
  </conditionalFormatting>
  <conditionalFormatting sqref="AD9">
    <cfRule type="cellIs" dxfId="8927" priority="20209" operator="equal">
      <formula>1</formula>
    </cfRule>
    <cfRule type="cellIs" dxfId="8926" priority="20210" operator="equal">
      <formula>"×"</formula>
    </cfRule>
  </conditionalFormatting>
  <conditionalFormatting sqref="AD9">
    <cfRule type="cellIs" dxfId="8925" priority="20207" operator="equal">
      <formula>1</formula>
    </cfRule>
    <cfRule type="cellIs" dxfId="8924" priority="20208" operator="equal">
      <formula>"×"</formula>
    </cfRule>
  </conditionalFormatting>
  <conditionalFormatting sqref="AD9">
    <cfRule type="cellIs" dxfId="8923" priority="20203" operator="equal">
      <formula>1</formula>
    </cfRule>
    <cfRule type="cellIs" dxfId="8922" priority="20204" operator="equal">
      <formula>"×"</formula>
    </cfRule>
  </conditionalFormatting>
  <conditionalFormatting sqref="AD9">
    <cfRule type="cellIs" dxfId="8921" priority="20205" operator="equal">
      <formula>1</formula>
    </cfRule>
    <cfRule type="cellIs" dxfId="8920" priority="20206" operator="equal">
      <formula>"×"</formula>
    </cfRule>
  </conditionalFormatting>
  <conditionalFormatting sqref="AC9">
    <cfRule type="cellIs" dxfId="8919" priority="20237" operator="equal">
      <formula>1</formula>
    </cfRule>
    <cfRule type="cellIs" dxfId="8918" priority="20238" operator="equal">
      <formula>"×"</formula>
    </cfRule>
  </conditionalFormatting>
  <conditionalFormatting sqref="AD9">
    <cfRule type="cellIs" dxfId="8917" priority="20235" operator="equal">
      <formula>1</formula>
    </cfRule>
    <cfRule type="cellIs" dxfId="8916" priority="20236" operator="equal">
      <formula>"×"</formula>
    </cfRule>
  </conditionalFormatting>
  <conditionalFormatting sqref="AD9">
    <cfRule type="cellIs" dxfId="8915" priority="20233" operator="equal">
      <formula>1</formula>
    </cfRule>
    <cfRule type="cellIs" dxfId="8914" priority="20234" operator="equal">
      <formula>"×"</formula>
    </cfRule>
  </conditionalFormatting>
  <conditionalFormatting sqref="AD9">
    <cfRule type="cellIs" dxfId="8913" priority="20231" operator="equal">
      <formula>1</formula>
    </cfRule>
    <cfRule type="cellIs" dxfId="8912" priority="20232" operator="equal">
      <formula>"×"</formula>
    </cfRule>
  </conditionalFormatting>
  <conditionalFormatting sqref="AD9">
    <cfRule type="cellIs" dxfId="8911" priority="20229" operator="equal">
      <formula>1</formula>
    </cfRule>
    <cfRule type="cellIs" dxfId="8910" priority="20230" operator="equal">
      <formula>"×"</formula>
    </cfRule>
  </conditionalFormatting>
  <conditionalFormatting sqref="AD9">
    <cfRule type="cellIs" dxfId="8909" priority="20227" operator="equal">
      <formula>1</formula>
    </cfRule>
    <cfRule type="cellIs" dxfId="8908" priority="20228" operator="equal">
      <formula>"×"</formula>
    </cfRule>
  </conditionalFormatting>
  <conditionalFormatting sqref="AD9">
    <cfRule type="cellIs" dxfId="8907" priority="20225" operator="equal">
      <formula>1</formula>
    </cfRule>
    <cfRule type="cellIs" dxfId="8906" priority="20226" operator="equal">
      <formula>"×"</formula>
    </cfRule>
  </conditionalFormatting>
  <conditionalFormatting sqref="AD9">
    <cfRule type="cellIs" dxfId="8905" priority="20223" operator="equal">
      <formula>1</formula>
    </cfRule>
    <cfRule type="cellIs" dxfId="8904" priority="20224" operator="equal">
      <formula>"×"</formula>
    </cfRule>
  </conditionalFormatting>
  <conditionalFormatting sqref="AD9">
    <cfRule type="cellIs" dxfId="8903" priority="20221" operator="equal">
      <formula>1</formula>
    </cfRule>
    <cfRule type="cellIs" dxfId="8902" priority="20222" operator="equal">
      <formula>"×"</formula>
    </cfRule>
  </conditionalFormatting>
  <conditionalFormatting sqref="AD9">
    <cfRule type="cellIs" dxfId="8901" priority="20219" operator="equal">
      <formula>1</formula>
    </cfRule>
    <cfRule type="cellIs" dxfId="8900" priority="20220" operator="equal">
      <formula>"×"</formula>
    </cfRule>
  </conditionalFormatting>
  <conditionalFormatting sqref="AD9">
    <cfRule type="cellIs" dxfId="8899" priority="20217" operator="equal">
      <formula>1</formula>
    </cfRule>
    <cfRule type="cellIs" dxfId="8898" priority="20218" operator="equal">
      <formula>"×"</formula>
    </cfRule>
  </conditionalFormatting>
  <conditionalFormatting sqref="AD9">
    <cfRule type="cellIs" dxfId="8897" priority="20215" operator="equal">
      <formula>1</formula>
    </cfRule>
    <cfRule type="cellIs" dxfId="8896" priority="20216" operator="equal">
      <formula>"×"</formula>
    </cfRule>
  </conditionalFormatting>
  <conditionalFormatting sqref="AD9">
    <cfRule type="cellIs" dxfId="8895" priority="20213" operator="equal">
      <formula>1</formula>
    </cfRule>
    <cfRule type="cellIs" dxfId="8894" priority="20214" operator="equal">
      <formula>"×"</formula>
    </cfRule>
  </conditionalFormatting>
  <conditionalFormatting sqref="AC9:AD9">
    <cfRule type="cellIs" dxfId="8893" priority="20201" operator="equal">
      <formula>1</formula>
    </cfRule>
    <cfRule type="cellIs" dxfId="8892" priority="20202" operator="equal">
      <formula>"×"</formula>
    </cfRule>
  </conditionalFormatting>
  <conditionalFormatting sqref="AB9">
    <cfRule type="cellIs" dxfId="8891" priority="20199" operator="equal">
      <formula>1</formula>
    </cfRule>
    <cfRule type="cellIs" dxfId="8890" priority="20200" operator="equal">
      <formula>"×"</formula>
    </cfRule>
  </conditionalFormatting>
  <conditionalFormatting sqref="AG13:AH15">
    <cfRule type="cellIs" dxfId="8889" priority="20197" operator="equal">
      <formula>1</formula>
    </cfRule>
    <cfRule type="cellIs" dxfId="8888" priority="20198" operator="equal">
      <formula>"×"</formula>
    </cfRule>
  </conditionalFormatting>
  <conditionalFormatting sqref="AF9">
    <cfRule type="cellIs" dxfId="8887" priority="20173" operator="equal">
      <formula>1</formula>
    </cfRule>
    <cfRule type="cellIs" dxfId="8886" priority="20174" operator="equal">
      <formula>"×"</formula>
    </cfRule>
  </conditionalFormatting>
  <conditionalFormatting sqref="AF9">
    <cfRule type="cellIs" dxfId="8885" priority="20171" operator="equal">
      <formula>1</formula>
    </cfRule>
    <cfRule type="cellIs" dxfId="8884" priority="20172" operator="equal">
      <formula>"×"</formula>
    </cfRule>
  </conditionalFormatting>
  <conditionalFormatting sqref="AI9">
    <cfRule type="cellIs" dxfId="8883" priority="20193" operator="equal">
      <formula>1</formula>
    </cfRule>
    <cfRule type="cellIs" dxfId="8882" priority="20194" operator="equal">
      <formula>"×"</formula>
    </cfRule>
  </conditionalFormatting>
  <conditionalFormatting sqref="AF9:AI9">
    <cfRule type="cellIs" dxfId="8881" priority="20195" operator="equal">
      <formula>1</formula>
    </cfRule>
    <cfRule type="cellIs" dxfId="8880" priority="20196" operator="equal">
      <formula>"×"</formula>
    </cfRule>
  </conditionalFormatting>
  <conditionalFormatting sqref="AF9:AI10 AF13:AI15">
    <cfRule type="cellIs" dxfId="8879" priority="20191" operator="equal">
      <formula>1</formula>
    </cfRule>
    <cfRule type="cellIs" dxfId="8878" priority="20192" operator="equal">
      <formula>"×"</formula>
    </cfRule>
  </conditionalFormatting>
  <conditionalFormatting sqref="AG7:AI10 AH8:AI12">
    <cfRule type="cellIs" dxfId="8877" priority="20189" operator="equal">
      <formula>1</formula>
    </cfRule>
    <cfRule type="cellIs" dxfId="8876" priority="20190" operator="equal">
      <formula>"×"</formula>
    </cfRule>
  </conditionalFormatting>
  <conditionalFormatting sqref="AI7:AI12">
    <cfRule type="cellIs" dxfId="8875" priority="20187" operator="equal">
      <formula>1</formula>
    </cfRule>
    <cfRule type="cellIs" dxfId="8874" priority="20188" operator="equal">
      <formula>"×"</formula>
    </cfRule>
  </conditionalFormatting>
  <conditionalFormatting sqref="AG7:AI10 AH8:AI12">
    <cfRule type="cellIs" dxfId="8873" priority="20185" operator="equal">
      <formula>1</formula>
    </cfRule>
    <cfRule type="cellIs" dxfId="8872" priority="20186" operator="equal">
      <formula>"×"</formula>
    </cfRule>
  </conditionalFormatting>
  <conditionalFormatting sqref="AF13">
    <cfRule type="cellIs" dxfId="8871" priority="20183" operator="equal">
      <formula>1</formula>
    </cfRule>
    <cfRule type="cellIs" dxfId="8870" priority="20184" operator="equal">
      <formula>"×"</formula>
    </cfRule>
  </conditionalFormatting>
  <conditionalFormatting sqref="AF13">
    <cfRule type="cellIs" dxfId="8869" priority="20181" operator="equal">
      <formula>1</formula>
    </cfRule>
    <cfRule type="cellIs" dxfId="8868" priority="20182" operator="equal">
      <formula>"×"</formula>
    </cfRule>
  </conditionalFormatting>
  <conditionalFormatting sqref="AF13:AI13">
    <cfRule type="cellIs" dxfId="8867" priority="20179" operator="equal">
      <formula>1</formula>
    </cfRule>
    <cfRule type="cellIs" dxfId="8866" priority="20180" operator="equal">
      <formula>"×"</formula>
    </cfRule>
  </conditionalFormatting>
  <conditionalFormatting sqref="AI13">
    <cfRule type="cellIs" dxfId="8865" priority="20177" operator="equal">
      <formula>1</formula>
    </cfRule>
    <cfRule type="cellIs" dxfId="8864" priority="20178" operator="equal">
      <formula>"×"</formula>
    </cfRule>
  </conditionalFormatting>
  <conditionalFormatting sqref="AF13:AI13">
    <cfRule type="cellIs" dxfId="8863" priority="20175" operator="equal">
      <formula>1</formula>
    </cfRule>
    <cfRule type="cellIs" dxfId="8862" priority="20176" operator="equal">
      <formula>"×"</formula>
    </cfRule>
  </conditionalFormatting>
  <conditionalFormatting sqref="AF13:AI13">
    <cfRule type="cellIs" dxfId="8861" priority="20169" operator="equal">
      <formula>1</formula>
    </cfRule>
    <cfRule type="cellIs" dxfId="8860" priority="20170" operator="equal">
      <formula>"×"</formula>
    </cfRule>
  </conditionalFormatting>
  <conditionalFormatting sqref="AI13">
    <cfRule type="cellIs" dxfId="8859" priority="20167" operator="equal">
      <formula>1</formula>
    </cfRule>
    <cfRule type="cellIs" dxfId="8858" priority="20168" operator="equal">
      <formula>"×"</formula>
    </cfRule>
  </conditionalFormatting>
  <conditionalFormatting sqref="AF13:AI13">
    <cfRule type="cellIs" dxfId="8857" priority="20165" operator="equal">
      <formula>1</formula>
    </cfRule>
    <cfRule type="cellIs" dxfId="8856" priority="20166" operator="equal">
      <formula>"×"</formula>
    </cfRule>
  </conditionalFormatting>
  <conditionalFormatting sqref="AF13:AI13">
    <cfRule type="cellIs" dxfId="8855" priority="20163" operator="equal">
      <formula>1</formula>
    </cfRule>
    <cfRule type="cellIs" dxfId="8854" priority="20164" operator="equal">
      <formula>"×"</formula>
    </cfRule>
  </conditionalFormatting>
  <conditionalFormatting sqref="AI13">
    <cfRule type="cellIs" dxfId="8853" priority="20161" operator="equal">
      <formula>1</formula>
    </cfRule>
    <cfRule type="cellIs" dxfId="8852" priority="20162" operator="equal">
      <formula>"×"</formula>
    </cfRule>
  </conditionalFormatting>
  <conditionalFormatting sqref="AF14">
    <cfRule type="cellIs" dxfId="8851" priority="20159" operator="equal">
      <formula>1</formula>
    </cfRule>
    <cfRule type="cellIs" dxfId="8850" priority="20160" operator="equal">
      <formula>"×"</formula>
    </cfRule>
  </conditionalFormatting>
  <conditionalFormatting sqref="AF9:AF10 AF13:AF15">
    <cfRule type="cellIs" dxfId="8849" priority="20157" operator="equal">
      <formula>1</formula>
    </cfRule>
    <cfRule type="cellIs" dxfId="8848" priority="20158" operator="equal">
      <formula>"×"</formula>
    </cfRule>
  </conditionalFormatting>
  <conditionalFormatting sqref="AF9:AF10 AF13:AF15">
    <cfRule type="cellIs" dxfId="8847" priority="20155" operator="equal">
      <formula>1</formula>
    </cfRule>
    <cfRule type="cellIs" dxfId="8846" priority="20156" operator="equal">
      <formula>"×"</formula>
    </cfRule>
  </conditionalFormatting>
  <conditionalFormatting sqref="AF9:AF10 AF13:AF15">
    <cfRule type="cellIs" dxfId="8845" priority="20153" operator="equal">
      <formula>1</formula>
    </cfRule>
    <cfRule type="cellIs" dxfId="8844" priority="20154" operator="equal">
      <formula>"×"</formula>
    </cfRule>
  </conditionalFormatting>
  <conditionalFormatting sqref="AF9:AF10 AF13:AF15">
    <cfRule type="cellIs" dxfId="8843" priority="20151" operator="equal">
      <formula>1</formula>
    </cfRule>
    <cfRule type="cellIs" dxfId="8842" priority="20152" operator="equal">
      <formula>"×"</formula>
    </cfRule>
  </conditionalFormatting>
  <conditionalFormatting sqref="AF9:AF10 AF13:AF15">
    <cfRule type="cellIs" dxfId="8841" priority="20149" operator="equal">
      <formula>1</formula>
    </cfRule>
    <cfRule type="cellIs" dxfId="8840" priority="20150" operator="equal">
      <formula>"×"</formula>
    </cfRule>
  </conditionalFormatting>
  <conditionalFormatting sqref="AF9:AF10 AF13:AF15">
    <cfRule type="cellIs" dxfId="8839" priority="20147" operator="equal">
      <formula>1</formula>
    </cfRule>
    <cfRule type="cellIs" dxfId="8838" priority="20148" operator="equal">
      <formula>"×"</formula>
    </cfRule>
  </conditionalFormatting>
  <conditionalFormatting sqref="AG13:AI15">
    <cfRule type="cellIs" dxfId="8837" priority="20145" operator="equal">
      <formula>1</formula>
    </cfRule>
    <cfRule type="cellIs" dxfId="8836" priority="20146" operator="equal">
      <formula>"×"</formula>
    </cfRule>
  </conditionalFormatting>
  <conditionalFormatting sqref="AI13:AI15">
    <cfRule type="cellIs" dxfId="8835" priority="20143" operator="equal">
      <formula>1</formula>
    </cfRule>
    <cfRule type="cellIs" dxfId="8834" priority="20144" operator="equal">
      <formula>"×"</formula>
    </cfRule>
  </conditionalFormatting>
  <conditionalFormatting sqref="AG13:AI15">
    <cfRule type="cellIs" dxfId="8833" priority="20141" operator="equal">
      <formula>1</formula>
    </cfRule>
    <cfRule type="cellIs" dxfId="8832" priority="20142" operator="equal">
      <formula>"×"</formula>
    </cfRule>
  </conditionalFormatting>
  <conditionalFormatting sqref="AG13:AI15">
    <cfRule type="cellIs" dxfId="8831" priority="20139" operator="equal">
      <formula>1</formula>
    </cfRule>
    <cfRule type="cellIs" dxfId="8830" priority="20140" operator="equal">
      <formula>"×"</formula>
    </cfRule>
  </conditionalFormatting>
  <conditionalFormatting sqref="AI13:AI15">
    <cfRule type="cellIs" dxfId="8829" priority="20137" operator="equal">
      <formula>1</formula>
    </cfRule>
    <cfRule type="cellIs" dxfId="8828" priority="20138" operator="equal">
      <formula>"×"</formula>
    </cfRule>
  </conditionalFormatting>
  <conditionalFormatting sqref="AG13:AI15">
    <cfRule type="cellIs" dxfId="8827" priority="20135" operator="equal">
      <formula>1</formula>
    </cfRule>
    <cfRule type="cellIs" dxfId="8826" priority="20136" operator="equal">
      <formula>"×"</formula>
    </cfRule>
  </conditionalFormatting>
  <conditionalFormatting sqref="AF9:AF10 AF13:AF15">
    <cfRule type="cellIs" dxfId="8825" priority="20133" operator="equal">
      <formula>1</formula>
    </cfRule>
    <cfRule type="cellIs" dxfId="8824" priority="20134" operator="equal">
      <formula>"×"</formula>
    </cfRule>
  </conditionalFormatting>
  <conditionalFormatting sqref="AF9:AF10 AF13:AF15">
    <cfRule type="cellIs" dxfId="8823" priority="20131" operator="equal">
      <formula>1</formula>
    </cfRule>
    <cfRule type="cellIs" dxfId="8822" priority="20132" operator="equal">
      <formula>"×"</formula>
    </cfRule>
  </conditionalFormatting>
  <conditionalFormatting sqref="AF9:AF10 AF13:AF15">
    <cfRule type="cellIs" dxfId="8821" priority="20129" operator="equal">
      <formula>1</formula>
    </cfRule>
    <cfRule type="cellIs" dxfId="8820" priority="20130" operator="equal">
      <formula>"×"</formula>
    </cfRule>
  </conditionalFormatting>
  <conditionalFormatting sqref="AF9:AF10 AF13:AF15">
    <cfRule type="cellIs" dxfId="8819" priority="20127" operator="equal">
      <formula>1</formula>
    </cfRule>
    <cfRule type="cellIs" dxfId="8818" priority="20128" operator="equal">
      <formula>"×"</formula>
    </cfRule>
  </conditionalFormatting>
  <conditionalFormatting sqref="AF9:AF10 AF13:AF15">
    <cfRule type="cellIs" dxfId="8817" priority="20125" operator="equal">
      <formula>1</formula>
    </cfRule>
    <cfRule type="cellIs" dxfId="8816" priority="20126" operator="equal">
      <formula>"×"</formula>
    </cfRule>
  </conditionalFormatting>
  <conditionalFormatting sqref="AF9:AF10 AF13:AF15">
    <cfRule type="cellIs" dxfId="8815" priority="20123" operator="equal">
      <formula>1</formula>
    </cfRule>
    <cfRule type="cellIs" dxfId="8814" priority="20124" operator="equal">
      <formula>"×"</formula>
    </cfRule>
  </conditionalFormatting>
  <conditionalFormatting sqref="AF9:AF10 AF13:AF15">
    <cfRule type="cellIs" dxfId="8813" priority="20121" operator="equal">
      <formula>1</formula>
    </cfRule>
    <cfRule type="cellIs" dxfId="8812" priority="20122" operator="equal">
      <formula>"×"</formula>
    </cfRule>
  </conditionalFormatting>
  <conditionalFormatting sqref="AG13:AI15">
    <cfRule type="cellIs" dxfId="8811" priority="20119" operator="equal">
      <formula>1</formula>
    </cfRule>
    <cfRule type="cellIs" dxfId="8810" priority="20120" operator="equal">
      <formula>"×"</formula>
    </cfRule>
  </conditionalFormatting>
  <conditionalFormatting sqref="AG13:AI15">
    <cfRule type="cellIs" dxfId="8809" priority="20115" operator="equal">
      <formula>1</formula>
    </cfRule>
    <cfRule type="cellIs" dxfId="8808" priority="20116" operator="equal">
      <formula>"×"</formula>
    </cfRule>
  </conditionalFormatting>
  <conditionalFormatting sqref="AI13:AI15">
    <cfRule type="cellIs" dxfId="8807" priority="20117" operator="equal">
      <formula>1</formula>
    </cfRule>
    <cfRule type="cellIs" dxfId="8806" priority="20118" operator="equal">
      <formula>"×"</formula>
    </cfRule>
  </conditionalFormatting>
  <conditionalFormatting sqref="AG13:AI15">
    <cfRule type="cellIs" dxfId="8805" priority="20113" operator="equal">
      <formula>1</formula>
    </cfRule>
    <cfRule type="cellIs" dxfId="8804" priority="20114" operator="equal">
      <formula>"×"</formula>
    </cfRule>
  </conditionalFormatting>
  <conditionalFormatting sqref="AI13:AI15">
    <cfRule type="cellIs" dxfId="8803" priority="20111" operator="equal">
      <formula>1</formula>
    </cfRule>
    <cfRule type="cellIs" dxfId="8802" priority="20112" operator="equal">
      <formula>"×"</formula>
    </cfRule>
  </conditionalFormatting>
  <conditionalFormatting sqref="AG13:AI15">
    <cfRule type="cellIs" dxfId="8801" priority="20109" operator="equal">
      <formula>1</formula>
    </cfRule>
    <cfRule type="cellIs" dxfId="8800" priority="20110" operator="equal">
      <formula>"×"</formula>
    </cfRule>
  </conditionalFormatting>
  <conditionalFormatting sqref="AI13:AI15">
    <cfRule type="cellIs" dxfId="8799" priority="20107" operator="equal">
      <formula>1</formula>
    </cfRule>
    <cfRule type="cellIs" dxfId="8798" priority="20108" operator="equal">
      <formula>"×"</formula>
    </cfRule>
  </conditionalFormatting>
  <conditionalFormatting sqref="AI13:AI15">
    <cfRule type="cellIs" dxfId="8797" priority="20105" operator="equal">
      <formula>1</formula>
    </cfRule>
    <cfRule type="cellIs" dxfId="8796" priority="20106" operator="equal">
      <formula>"×"</formula>
    </cfRule>
  </conditionalFormatting>
  <conditionalFormatting sqref="AI13:AI15">
    <cfRule type="cellIs" dxfId="8795" priority="20103" operator="equal">
      <formula>1</formula>
    </cfRule>
    <cfRule type="cellIs" dxfId="8794" priority="20104" operator="equal">
      <formula>"×"</formula>
    </cfRule>
  </conditionalFormatting>
  <conditionalFormatting sqref="AI13:AI15">
    <cfRule type="cellIs" dxfId="8793" priority="20101" operator="equal">
      <formula>1</formula>
    </cfRule>
    <cfRule type="cellIs" dxfId="8792" priority="20102" operator="equal">
      <formula>"×"</formula>
    </cfRule>
  </conditionalFormatting>
  <conditionalFormatting sqref="AI13:AI15">
    <cfRule type="cellIs" dxfId="8791" priority="20099" operator="equal">
      <formula>1</formula>
    </cfRule>
    <cfRule type="cellIs" dxfId="8790" priority="20100" operator="equal">
      <formula>"×"</formula>
    </cfRule>
  </conditionalFormatting>
  <conditionalFormatting sqref="AI13:AI15">
    <cfRule type="cellIs" dxfId="8789" priority="20097" operator="equal">
      <formula>1</formula>
    </cfRule>
    <cfRule type="cellIs" dxfId="8788" priority="20098" operator="equal">
      <formula>"×"</formula>
    </cfRule>
  </conditionalFormatting>
  <conditionalFormatting sqref="AF13:AI13">
    <cfRule type="cellIs" dxfId="8787" priority="20073" operator="equal">
      <formula>1</formula>
    </cfRule>
    <cfRule type="cellIs" dxfId="8786" priority="20074" operator="equal">
      <formula>"×"</formula>
    </cfRule>
  </conditionalFormatting>
  <conditionalFormatting sqref="AI13">
    <cfRule type="cellIs" dxfId="8785" priority="20071" operator="equal">
      <formula>1</formula>
    </cfRule>
    <cfRule type="cellIs" dxfId="8784" priority="20072" operator="equal">
      <formula>"×"</formula>
    </cfRule>
  </conditionalFormatting>
  <conditionalFormatting sqref="AF13:AI13">
    <cfRule type="cellIs" dxfId="8783" priority="20069" operator="equal">
      <formula>1</formula>
    </cfRule>
    <cfRule type="cellIs" dxfId="8782" priority="20070" operator="equal">
      <formula>"×"</formula>
    </cfRule>
  </conditionalFormatting>
  <conditionalFormatting sqref="AF13">
    <cfRule type="cellIs" dxfId="8781" priority="20095" operator="equal">
      <formula>1</formula>
    </cfRule>
    <cfRule type="cellIs" dxfId="8780" priority="20096" operator="equal">
      <formula>"×"</formula>
    </cfRule>
  </conditionalFormatting>
  <conditionalFormatting sqref="AF13">
    <cfRule type="cellIs" dxfId="8779" priority="20093" operator="equal">
      <formula>1</formula>
    </cfRule>
    <cfRule type="cellIs" dxfId="8778" priority="20094" operator="equal">
      <formula>"×"</formula>
    </cfRule>
  </conditionalFormatting>
  <conditionalFormatting sqref="AF9:AF10 AF13:AF15">
    <cfRule type="cellIs" dxfId="8777" priority="20091" operator="equal">
      <formula>1</formula>
    </cfRule>
    <cfRule type="cellIs" dxfId="8776" priority="20092" operator="equal">
      <formula>"×"</formula>
    </cfRule>
  </conditionalFormatting>
  <conditionalFormatting sqref="AF9:AF10 AF13:AF15">
    <cfRule type="cellIs" dxfId="8775" priority="20089" operator="equal">
      <formula>1</formula>
    </cfRule>
    <cfRule type="cellIs" dxfId="8774" priority="20090" operator="equal">
      <formula>"×"</formula>
    </cfRule>
  </conditionalFormatting>
  <conditionalFormatting sqref="AF13">
    <cfRule type="cellIs" dxfId="8773" priority="20087" operator="equal">
      <formula>1</formula>
    </cfRule>
    <cfRule type="cellIs" dxfId="8772" priority="20088" operator="equal">
      <formula>"×"</formula>
    </cfRule>
  </conditionalFormatting>
  <conditionalFormatting sqref="AF13">
    <cfRule type="cellIs" dxfId="8771" priority="20085" operator="equal">
      <formula>1</formula>
    </cfRule>
    <cfRule type="cellIs" dxfId="8770" priority="20086" operator="equal">
      <formula>"×"</formula>
    </cfRule>
  </conditionalFormatting>
  <conditionalFormatting sqref="AF9:AF10 AF13:AI15">
    <cfRule type="cellIs" dxfId="8769" priority="20083" operator="equal">
      <formula>1</formula>
    </cfRule>
    <cfRule type="cellIs" dxfId="8768" priority="20084" operator="equal">
      <formula>"×"</formula>
    </cfRule>
  </conditionalFormatting>
  <conditionalFormatting sqref="AI14">
    <cfRule type="cellIs" dxfId="8767" priority="20081" operator="equal">
      <formula>1</formula>
    </cfRule>
    <cfRule type="cellIs" dxfId="8766" priority="20082" operator="equal">
      <formula>"×"</formula>
    </cfRule>
  </conditionalFormatting>
  <conditionalFormatting sqref="AF9:AF10 AF13:AI15">
    <cfRule type="cellIs" dxfId="8765" priority="20079" operator="equal">
      <formula>1</formula>
    </cfRule>
    <cfRule type="cellIs" dxfId="8764" priority="20080" operator="equal">
      <formula>"×"</formula>
    </cfRule>
  </conditionalFormatting>
  <conditionalFormatting sqref="AF13">
    <cfRule type="cellIs" dxfId="8763" priority="20077" operator="equal">
      <formula>1</formula>
    </cfRule>
    <cfRule type="cellIs" dxfId="8762" priority="20078" operator="equal">
      <formula>"×"</formula>
    </cfRule>
  </conditionalFormatting>
  <conditionalFormatting sqref="AF13">
    <cfRule type="cellIs" dxfId="8761" priority="20075" operator="equal">
      <formula>1</formula>
    </cfRule>
    <cfRule type="cellIs" dxfId="8760" priority="20076" operator="equal">
      <formula>"×"</formula>
    </cfRule>
  </conditionalFormatting>
  <conditionalFormatting sqref="AF9:AF10 AF13:AI15">
    <cfRule type="cellIs" dxfId="8759" priority="20067" operator="equal">
      <formula>1</formula>
    </cfRule>
    <cfRule type="cellIs" dxfId="8758" priority="20068" operator="equal">
      <formula>"×"</formula>
    </cfRule>
  </conditionalFormatting>
  <conditionalFormatting sqref="AI14">
    <cfRule type="cellIs" dxfId="8757" priority="20065" operator="equal">
      <formula>1</formula>
    </cfRule>
    <cfRule type="cellIs" dxfId="8756" priority="20066" operator="equal">
      <formula>"×"</formula>
    </cfRule>
  </conditionalFormatting>
  <conditionalFormatting sqref="AF9:AF10 AF13:AI15">
    <cfRule type="cellIs" dxfId="8755" priority="20063" operator="equal">
      <formula>1</formula>
    </cfRule>
    <cfRule type="cellIs" dxfId="8754" priority="20064" operator="equal">
      <formula>"×"</formula>
    </cfRule>
  </conditionalFormatting>
  <conditionalFormatting sqref="AF9:AF10 AF13:AI15">
    <cfRule type="cellIs" dxfId="8753" priority="20061" operator="equal">
      <formula>1</formula>
    </cfRule>
    <cfRule type="cellIs" dxfId="8752" priority="20062" operator="equal">
      <formula>"×"</formula>
    </cfRule>
  </conditionalFormatting>
  <conditionalFormatting sqref="AI14">
    <cfRule type="cellIs" dxfId="8751" priority="20059" operator="equal">
      <formula>1</formula>
    </cfRule>
    <cfRule type="cellIs" dxfId="8750" priority="20060" operator="equal">
      <formula>"×"</formula>
    </cfRule>
  </conditionalFormatting>
  <conditionalFormatting sqref="AF13">
    <cfRule type="cellIs" dxfId="8749" priority="20057" operator="equal">
      <formula>1</formula>
    </cfRule>
    <cfRule type="cellIs" dxfId="8748" priority="20058" operator="equal">
      <formula>"×"</formula>
    </cfRule>
  </conditionalFormatting>
  <conditionalFormatting sqref="AF13">
    <cfRule type="cellIs" dxfId="8747" priority="20053" operator="equal">
      <formula>1</formula>
    </cfRule>
    <cfRule type="cellIs" dxfId="8746" priority="20054" operator="equal">
      <formula>"×"</formula>
    </cfRule>
  </conditionalFormatting>
  <conditionalFormatting sqref="AF13">
    <cfRule type="cellIs" dxfId="8745" priority="20055" operator="equal">
      <formula>1</formula>
    </cfRule>
    <cfRule type="cellIs" dxfId="8744" priority="20056" operator="equal">
      <formula>"×"</formula>
    </cfRule>
  </conditionalFormatting>
  <conditionalFormatting sqref="AF13">
    <cfRule type="cellIs" dxfId="8743" priority="20051" operator="equal">
      <formula>1</formula>
    </cfRule>
    <cfRule type="cellIs" dxfId="8742" priority="20052" operator="equal">
      <formula>"×"</formula>
    </cfRule>
  </conditionalFormatting>
  <conditionalFormatting sqref="AF13">
    <cfRule type="cellIs" dxfId="8741" priority="20049" operator="equal">
      <formula>1</formula>
    </cfRule>
    <cfRule type="cellIs" dxfId="8740" priority="20050" operator="equal">
      <formula>"×"</formula>
    </cfRule>
  </conditionalFormatting>
  <conditionalFormatting sqref="AF13">
    <cfRule type="cellIs" dxfId="8739" priority="20047" operator="equal">
      <formula>1</formula>
    </cfRule>
    <cfRule type="cellIs" dxfId="8738" priority="20048" operator="equal">
      <formula>"×"</formula>
    </cfRule>
  </conditionalFormatting>
  <conditionalFormatting sqref="AF13">
    <cfRule type="cellIs" dxfId="8737" priority="20045" operator="equal">
      <formula>1</formula>
    </cfRule>
    <cfRule type="cellIs" dxfId="8736" priority="20046" operator="equal">
      <formula>"×"</formula>
    </cfRule>
  </conditionalFormatting>
  <conditionalFormatting sqref="AH12:AI12">
    <cfRule type="cellIs" dxfId="8735" priority="20043" operator="equal">
      <formula>1</formula>
    </cfRule>
    <cfRule type="cellIs" dxfId="8734" priority="20044" operator="equal">
      <formula>"×"</formula>
    </cfRule>
  </conditionalFormatting>
  <conditionalFormatting sqref="AI12">
    <cfRule type="cellIs" dxfId="8733" priority="20041" operator="equal">
      <formula>1</formula>
    </cfRule>
    <cfRule type="cellIs" dxfId="8732" priority="20042" operator="equal">
      <formula>"×"</formula>
    </cfRule>
  </conditionalFormatting>
  <conditionalFormatting sqref="AH12:AI12">
    <cfRule type="cellIs" dxfId="8731" priority="20039" operator="equal">
      <formula>1</formula>
    </cfRule>
    <cfRule type="cellIs" dxfId="8730" priority="20040" operator="equal">
      <formula>"×"</formula>
    </cfRule>
  </conditionalFormatting>
  <conditionalFormatting sqref="AH12:AI12">
    <cfRule type="cellIs" dxfId="8729" priority="20037" operator="equal">
      <formula>1</formula>
    </cfRule>
    <cfRule type="cellIs" dxfId="8728" priority="20038" operator="equal">
      <formula>"×"</formula>
    </cfRule>
  </conditionalFormatting>
  <conditionalFormatting sqref="AI12">
    <cfRule type="cellIs" dxfId="8727" priority="20035" operator="equal">
      <formula>1</formula>
    </cfRule>
    <cfRule type="cellIs" dxfId="8726" priority="20036" operator="equal">
      <formula>"×"</formula>
    </cfRule>
  </conditionalFormatting>
  <conditionalFormatting sqref="AH12:AI12">
    <cfRule type="cellIs" dxfId="8725" priority="20033" operator="equal">
      <formula>1</formula>
    </cfRule>
    <cfRule type="cellIs" dxfId="8724" priority="20034" operator="equal">
      <formula>"×"</formula>
    </cfRule>
  </conditionalFormatting>
  <conditionalFormatting sqref="AF9:AG9">
    <cfRule type="cellIs" dxfId="8723" priority="20007" operator="equal">
      <formula>1</formula>
    </cfRule>
    <cfRule type="cellIs" dxfId="8722" priority="20008" operator="equal">
      <formula>"×"</formula>
    </cfRule>
  </conditionalFormatting>
  <conditionalFormatting sqref="AF9:AG9">
    <cfRule type="cellIs" dxfId="8721" priority="20005" operator="equal">
      <formula>1</formula>
    </cfRule>
    <cfRule type="cellIs" dxfId="8720" priority="20006" operator="equal">
      <formula>"×"</formula>
    </cfRule>
  </conditionalFormatting>
  <conditionalFormatting sqref="AF9:AG9">
    <cfRule type="cellIs" dxfId="8719" priority="20001" operator="equal">
      <formula>1</formula>
    </cfRule>
    <cfRule type="cellIs" dxfId="8718" priority="20002" operator="equal">
      <formula>"×"</formula>
    </cfRule>
  </conditionalFormatting>
  <conditionalFormatting sqref="AF9:AG9">
    <cfRule type="cellIs" dxfId="8717" priority="20003" operator="equal">
      <formula>1</formula>
    </cfRule>
    <cfRule type="cellIs" dxfId="8716" priority="20004" operator="equal">
      <formula>"×"</formula>
    </cfRule>
  </conditionalFormatting>
  <conditionalFormatting sqref="AF9:AG9">
    <cfRule type="cellIs" dxfId="8715" priority="20031" operator="equal">
      <formula>1</formula>
    </cfRule>
    <cfRule type="cellIs" dxfId="8714" priority="20032" operator="equal">
      <formula>"×"</formula>
    </cfRule>
  </conditionalFormatting>
  <conditionalFormatting sqref="AF9:AG9">
    <cfRule type="cellIs" dxfId="8713" priority="20029" operator="equal">
      <formula>1</formula>
    </cfRule>
    <cfRule type="cellIs" dxfId="8712" priority="20030" operator="equal">
      <formula>"×"</formula>
    </cfRule>
  </conditionalFormatting>
  <conditionalFormatting sqref="AF9:AG9">
    <cfRule type="cellIs" dxfId="8711" priority="20027" operator="equal">
      <formula>1</formula>
    </cfRule>
    <cfRule type="cellIs" dxfId="8710" priority="20028" operator="equal">
      <formula>"×"</formula>
    </cfRule>
  </conditionalFormatting>
  <conditionalFormatting sqref="AF9:AG9">
    <cfRule type="cellIs" dxfId="8709" priority="20025" operator="equal">
      <formula>1</formula>
    </cfRule>
    <cfRule type="cellIs" dxfId="8708" priority="20026" operator="equal">
      <formula>"×"</formula>
    </cfRule>
  </conditionalFormatting>
  <conditionalFormatting sqref="AF9:AG9">
    <cfRule type="cellIs" dxfId="8707" priority="20023" operator="equal">
      <formula>1</formula>
    </cfRule>
    <cfRule type="cellIs" dxfId="8706" priority="20024" operator="equal">
      <formula>"×"</formula>
    </cfRule>
  </conditionalFormatting>
  <conditionalFormatting sqref="AF9:AG9">
    <cfRule type="cellIs" dxfId="8705" priority="20021" operator="equal">
      <formula>1</formula>
    </cfRule>
    <cfRule type="cellIs" dxfId="8704" priority="20022" operator="equal">
      <formula>"×"</formula>
    </cfRule>
  </conditionalFormatting>
  <conditionalFormatting sqref="AF9:AG9">
    <cfRule type="cellIs" dxfId="8703" priority="20019" operator="equal">
      <formula>1</formula>
    </cfRule>
    <cfRule type="cellIs" dxfId="8702" priority="20020" operator="equal">
      <formula>"×"</formula>
    </cfRule>
  </conditionalFormatting>
  <conditionalFormatting sqref="AF9:AG9">
    <cfRule type="cellIs" dxfId="8701" priority="20017" operator="equal">
      <formula>1</formula>
    </cfRule>
    <cfRule type="cellIs" dxfId="8700" priority="20018" operator="equal">
      <formula>"×"</formula>
    </cfRule>
  </conditionalFormatting>
  <conditionalFormatting sqref="AF9:AG9">
    <cfRule type="cellIs" dxfId="8699" priority="20015" operator="equal">
      <formula>1</formula>
    </cfRule>
    <cfRule type="cellIs" dxfId="8698" priority="20016" operator="equal">
      <formula>"×"</formula>
    </cfRule>
  </conditionalFormatting>
  <conditionalFormatting sqref="AF9:AG9">
    <cfRule type="cellIs" dxfId="8697" priority="20013" operator="equal">
      <formula>1</formula>
    </cfRule>
    <cfRule type="cellIs" dxfId="8696" priority="20014" operator="equal">
      <formula>"×"</formula>
    </cfRule>
  </conditionalFormatting>
  <conditionalFormatting sqref="AF9:AG9">
    <cfRule type="cellIs" dxfId="8695" priority="20011" operator="equal">
      <formula>1</formula>
    </cfRule>
    <cfRule type="cellIs" dxfId="8694" priority="20012" operator="equal">
      <formula>"×"</formula>
    </cfRule>
  </conditionalFormatting>
  <conditionalFormatting sqref="AF9:AG9">
    <cfRule type="cellIs" dxfId="8693" priority="20009" operator="equal">
      <formula>1</formula>
    </cfRule>
    <cfRule type="cellIs" dxfId="8692" priority="20010" operator="equal">
      <formula>"×"</formula>
    </cfRule>
  </conditionalFormatting>
  <conditionalFormatting sqref="AH9:AI9">
    <cfRule type="cellIs" dxfId="8691" priority="19975" operator="equal">
      <formula>1</formula>
    </cfRule>
    <cfRule type="cellIs" dxfId="8690" priority="19976" operator="equal">
      <formula>"×"</formula>
    </cfRule>
  </conditionalFormatting>
  <conditionalFormatting sqref="AH9:AI9">
    <cfRule type="cellIs" dxfId="8689" priority="19973" operator="equal">
      <formula>1</formula>
    </cfRule>
    <cfRule type="cellIs" dxfId="8688" priority="19974" operator="equal">
      <formula>"×"</formula>
    </cfRule>
  </conditionalFormatting>
  <conditionalFormatting sqref="AH9:AI9">
    <cfRule type="cellIs" dxfId="8687" priority="19969" operator="equal">
      <formula>1</formula>
    </cfRule>
    <cfRule type="cellIs" dxfId="8686" priority="19970" operator="equal">
      <formula>"×"</formula>
    </cfRule>
  </conditionalFormatting>
  <conditionalFormatting sqref="AH9:AI9">
    <cfRule type="cellIs" dxfId="8685" priority="19971" operator="equal">
      <formula>1</formula>
    </cfRule>
    <cfRule type="cellIs" dxfId="8684" priority="19972" operator="equal">
      <formula>"×"</formula>
    </cfRule>
  </conditionalFormatting>
  <conditionalFormatting sqref="AH9:AI9">
    <cfRule type="cellIs" dxfId="8683" priority="19999" operator="equal">
      <formula>1</formula>
    </cfRule>
    <cfRule type="cellIs" dxfId="8682" priority="20000" operator="equal">
      <formula>"×"</formula>
    </cfRule>
  </conditionalFormatting>
  <conditionalFormatting sqref="AH9:AI9">
    <cfRule type="cellIs" dxfId="8681" priority="19997" operator="equal">
      <formula>1</formula>
    </cfRule>
    <cfRule type="cellIs" dxfId="8680" priority="19998" operator="equal">
      <formula>"×"</formula>
    </cfRule>
  </conditionalFormatting>
  <conditionalFormatting sqref="AH9:AI9">
    <cfRule type="cellIs" dxfId="8679" priority="19995" operator="equal">
      <formula>1</formula>
    </cfRule>
    <cfRule type="cellIs" dxfId="8678" priority="19996" operator="equal">
      <formula>"×"</formula>
    </cfRule>
  </conditionalFormatting>
  <conditionalFormatting sqref="AH9:AI9">
    <cfRule type="cellIs" dxfId="8677" priority="19993" operator="equal">
      <formula>1</formula>
    </cfRule>
    <cfRule type="cellIs" dxfId="8676" priority="19994" operator="equal">
      <formula>"×"</formula>
    </cfRule>
  </conditionalFormatting>
  <conditionalFormatting sqref="AH9:AI9">
    <cfRule type="cellIs" dxfId="8675" priority="19991" operator="equal">
      <formula>1</formula>
    </cfRule>
    <cfRule type="cellIs" dxfId="8674" priority="19992" operator="equal">
      <formula>"×"</formula>
    </cfRule>
  </conditionalFormatting>
  <conditionalFormatting sqref="AH9:AI9">
    <cfRule type="cellIs" dxfId="8673" priority="19989" operator="equal">
      <formula>1</formula>
    </cfRule>
    <cfRule type="cellIs" dxfId="8672" priority="19990" operator="equal">
      <formula>"×"</formula>
    </cfRule>
  </conditionalFormatting>
  <conditionalFormatting sqref="AH9:AI9">
    <cfRule type="cellIs" dxfId="8671" priority="19987" operator="equal">
      <formula>1</formula>
    </cfRule>
    <cfRule type="cellIs" dxfId="8670" priority="19988" operator="equal">
      <formula>"×"</formula>
    </cfRule>
  </conditionalFormatting>
  <conditionalFormatting sqref="AH9:AI9">
    <cfRule type="cellIs" dxfId="8669" priority="19985" operator="equal">
      <formula>1</formula>
    </cfRule>
    <cfRule type="cellIs" dxfId="8668" priority="19986" operator="equal">
      <formula>"×"</formula>
    </cfRule>
  </conditionalFormatting>
  <conditionalFormatting sqref="AH9:AI9">
    <cfRule type="cellIs" dxfId="8667" priority="19983" operator="equal">
      <formula>1</formula>
    </cfRule>
    <cfRule type="cellIs" dxfId="8666" priority="19984" operator="equal">
      <formula>"×"</formula>
    </cfRule>
  </conditionalFormatting>
  <conditionalFormatting sqref="AH9:AI9">
    <cfRule type="cellIs" dxfId="8665" priority="19981" operator="equal">
      <formula>1</formula>
    </cfRule>
    <cfRule type="cellIs" dxfId="8664" priority="19982" operator="equal">
      <formula>"×"</formula>
    </cfRule>
  </conditionalFormatting>
  <conditionalFormatting sqref="AH9:AI9">
    <cfRule type="cellIs" dxfId="8663" priority="19979" operator="equal">
      <formula>1</formula>
    </cfRule>
    <cfRule type="cellIs" dxfId="8662" priority="19980" operator="equal">
      <formula>"×"</formula>
    </cfRule>
  </conditionalFormatting>
  <conditionalFormatting sqref="AH9:AI9">
    <cfRule type="cellIs" dxfId="8661" priority="19977" operator="equal">
      <formula>1</formula>
    </cfRule>
    <cfRule type="cellIs" dxfId="8660" priority="19978" operator="equal">
      <formula>"×"</formula>
    </cfRule>
  </conditionalFormatting>
  <conditionalFormatting sqref="AH10">
    <cfRule type="cellIs" dxfId="8659" priority="19967" operator="equal">
      <formula>1</formula>
    </cfRule>
    <cfRule type="cellIs" dxfId="8658" priority="19968" operator="equal">
      <formula>"×"</formula>
    </cfRule>
  </conditionalFormatting>
  <conditionalFormatting sqref="AH10">
    <cfRule type="cellIs" dxfId="8657" priority="19965" operator="equal">
      <formula>1</formula>
    </cfRule>
    <cfRule type="cellIs" dxfId="8656" priority="19966" operator="equal">
      <formula>"×"</formula>
    </cfRule>
  </conditionalFormatting>
  <conditionalFormatting sqref="AH10">
    <cfRule type="cellIs" dxfId="8655" priority="19939" operator="equal">
      <formula>1</formula>
    </cfRule>
    <cfRule type="cellIs" dxfId="8654" priority="19940" operator="equal">
      <formula>"×"</formula>
    </cfRule>
  </conditionalFormatting>
  <conditionalFormatting sqref="AH10">
    <cfRule type="cellIs" dxfId="8653" priority="19937" operator="equal">
      <formula>1</formula>
    </cfRule>
    <cfRule type="cellIs" dxfId="8652" priority="19938" operator="equal">
      <formula>"×"</formula>
    </cfRule>
  </conditionalFormatting>
  <conditionalFormatting sqref="AH10">
    <cfRule type="cellIs" dxfId="8651" priority="19933" operator="equal">
      <formula>1</formula>
    </cfRule>
    <cfRule type="cellIs" dxfId="8650" priority="19934" operator="equal">
      <formula>"×"</formula>
    </cfRule>
  </conditionalFormatting>
  <conditionalFormatting sqref="AH10">
    <cfRule type="cellIs" dxfId="8649" priority="19935" operator="equal">
      <formula>1</formula>
    </cfRule>
    <cfRule type="cellIs" dxfId="8648" priority="19936" operator="equal">
      <formula>"×"</formula>
    </cfRule>
  </conditionalFormatting>
  <conditionalFormatting sqref="AH10">
    <cfRule type="cellIs" dxfId="8647" priority="19963" operator="equal">
      <formula>1</formula>
    </cfRule>
    <cfRule type="cellIs" dxfId="8646" priority="19964" operator="equal">
      <formula>"×"</formula>
    </cfRule>
  </conditionalFormatting>
  <conditionalFormatting sqref="AH10">
    <cfRule type="cellIs" dxfId="8645" priority="19961" operator="equal">
      <formula>1</formula>
    </cfRule>
    <cfRule type="cellIs" dxfId="8644" priority="19962" operator="equal">
      <formula>"×"</formula>
    </cfRule>
  </conditionalFormatting>
  <conditionalFormatting sqref="AH10">
    <cfRule type="cellIs" dxfId="8643" priority="19959" operator="equal">
      <formula>1</formula>
    </cfRule>
    <cfRule type="cellIs" dxfId="8642" priority="19960" operator="equal">
      <formula>"×"</formula>
    </cfRule>
  </conditionalFormatting>
  <conditionalFormatting sqref="AH10">
    <cfRule type="cellIs" dxfId="8641" priority="19957" operator="equal">
      <formula>1</formula>
    </cfRule>
    <cfRule type="cellIs" dxfId="8640" priority="19958" operator="equal">
      <formula>"×"</formula>
    </cfRule>
  </conditionalFormatting>
  <conditionalFormatting sqref="AH10">
    <cfRule type="cellIs" dxfId="8639" priority="19955" operator="equal">
      <formula>1</formula>
    </cfRule>
    <cfRule type="cellIs" dxfId="8638" priority="19956" operator="equal">
      <formula>"×"</formula>
    </cfRule>
  </conditionalFormatting>
  <conditionalFormatting sqref="AH10">
    <cfRule type="cellIs" dxfId="8637" priority="19953" operator="equal">
      <formula>1</formula>
    </cfRule>
    <cfRule type="cellIs" dxfId="8636" priority="19954" operator="equal">
      <formula>"×"</formula>
    </cfRule>
  </conditionalFormatting>
  <conditionalFormatting sqref="AH10">
    <cfRule type="cellIs" dxfId="8635" priority="19951" operator="equal">
      <formula>1</formula>
    </cfRule>
    <cfRule type="cellIs" dxfId="8634" priority="19952" operator="equal">
      <formula>"×"</formula>
    </cfRule>
  </conditionalFormatting>
  <conditionalFormatting sqref="AH10">
    <cfRule type="cellIs" dxfId="8633" priority="19949" operator="equal">
      <formula>1</formula>
    </cfRule>
    <cfRule type="cellIs" dxfId="8632" priority="19950" operator="equal">
      <formula>"×"</formula>
    </cfRule>
  </conditionalFormatting>
  <conditionalFormatting sqref="AH10">
    <cfRule type="cellIs" dxfId="8631" priority="19947" operator="equal">
      <formula>1</formula>
    </cfRule>
    <cfRule type="cellIs" dxfId="8630" priority="19948" operator="equal">
      <formula>"×"</formula>
    </cfRule>
  </conditionalFormatting>
  <conditionalFormatting sqref="AH10">
    <cfRule type="cellIs" dxfId="8629" priority="19945" operator="equal">
      <formula>1</formula>
    </cfRule>
    <cfRule type="cellIs" dxfId="8628" priority="19946" operator="equal">
      <formula>"×"</formula>
    </cfRule>
  </conditionalFormatting>
  <conditionalFormatting sqref="AH10">
    <cfRule type="cellIs" dxfId="8627" priority="19943" operator="equal">
      <formula>1</formula>
    </cfRule>
    <cfRule type="cellIs" dxfId="8626" priority="19944" operator="equal">
      <formula>"×"</formula>
    </cfRule>
  </conditionalFormatting>
  <conditionalFormatting sqref="AH10">
    <cfRule type="cellIs" dxfId="8625" priority="19941" operator="equal">
      <formula>1</formula>
    </cfRule>
    <cfRule type="cellIs" dxfId="8624" priority="19942" operator="equal">
      <formula>"×"</formula>
    </cfRule>
  </conditionalFormatting>
  <conditionalFormatting sqref="AF8:AF13">
    <cfRule type="cellIs" dxfId="8623" priority="19921" operator="equal">
      <formula>1</formula>
    </cfRule>
    <cfRule type="cellIs" dxfId="8622" priority="19922" operator="equal">
      <formula>"×"</formula>
    </cfRule>
  </conditionalFormatting>
  <conditionalFormatting sqref="AF8:AG13">
    <cfRule type="cellIs" dxfId="8621" priority="19931" operator="equal">
      <formula>1</formula>
    </cfRule>
    <cfRule type="cellIs" dxfId="8620" priority="19932" operator="equal">
      <formula>"×"</formula>
    </cfRule>
  </conditionalFormatting>
  <conditionalFormatting sqref="AF8:AG13">
    <cfRule type="cellIs" dxfId="8619" priority="19929" operator="equal">
      <formula>1</formula>
    </cfRule>
    <cfRule type="cellIs" dxfId="8618" priority="19930" operator="equal">
      <formula>"×"</formula>
    </cfRule>
  </conditionalFormatting>
  <conditionalFormatting sqref="AG8:AG13">
    <cfRule type="cellIs" dxfId="8617" priority="19927" operator="equal">
      <formula>1</formula>
    </cfRule>
    <cfRule type="cellIs" dxfId="8616" priority="19928" operator="equal">
      <formula>"×"</formula>
    </cfRule>
  </conditionalFormatting>
  <conditionalFormatting sqref="AG8:AG13">
    <cfRule type="cellIs" dxfId="8615" priority="19925" operator="equal">
      <formula>1</formula>
    </cfRule>
    <cfRule type="cellIs" dxfId="8614" priority="19926" operator="equal">
      <formula>"×"</formula>
    </cfRule>
  </conditionalFormatting>
  <conditionalFormatting sqref="AF8:AF13">
    <cfRule type="cellIs" dxfId="8613" priority="19919" operator="equal">
      <formula>1</formula>
    </cfRule>
    <cfRule type="cellIs" dxfId="8612" priority="19920" operator="equal">
      <formula>"×"</formula>
    </cfRule>
  </conditionalFormatting>
  <conditionalFormatting sqref="AF8:AF13">
    <cfRule type="cellIs" dxfId="8611" priority="19917" operator="equal">
      <formula>1</formula>
    </cfRule>
    <cfRule type="cellIs" dxfId="8610" priority="19918" operator="equal">
      <formula>"×"</formula>
    </cfRule>
  </conditionalFormatting>
  <conditionalFormatting sqref="AF8:AF13">
    <cfRule type="cellIs" dxfId="8609" priority="19905" operator="equal">
      <formula>1</formula>
    </cfRule>
    <cfRule type="cellIs" dxfId="8608" priority="19906" operator="equal">
      <formula>"×"</formula>
    </cfRule>
  </conditionalFormatting>
  <conditionalFormatting sqref="AF8:AF13">
    <cfRule type="cellIs" dxfId="8607" priority="19903" operator="equal">
      <formula>1</formula>
    </cfRule>
    <cfRule type="cellIs" dxfId="8606" priority="19904" operator="equal">
      <formula>"×"</formula>
    </cfRule>
  </conditionalFormatting>
  <conditionalFormatting sqref="AF8:AF13">
    <cfRule type="cellIs" dxfId="8605" priority="19889" operator="equal">
      <formula>1</formula>
    </cfRule>
    <cfRule type="cellIs" dxfId="8604" priority="19890" operator="equal">
      <formula>"×"</formula>
    </cfRule>
  </conditionalFormatting>
  <conditionalFormatting sqref="AF8:AF13">
    <cfRule type="cellIs" dxfId="8603" priority="19887" operator="equal">
      <formula>1</formula>
    </cfRule>
    <cfRule type="cellIs" dxfId="8602" priority="19888" operator="equal">
      <formula>"×"</formula>
    </cfRule>
  </conditionalFormatting>
  <conditionalFormatting sqref="AF8:AF13">
    <cfRule type="cellIs" dxfId="8601" priority="19885" operator="equal">
      <formula>1</formula>
    </cfRule>
    <cfRule type="cellIs" dxfId="8600" priority="19886" operator="equal">
      <formula>"×"</formula>
    </cfRule>
  </conditionalFormatting>
  <conditionalFormatting sqref="AF8:AF13">
    <cfRule type="cellIs" dxfId="8599" priority="19883" operator="equal">
      <formula>1</formula>
    </cfRule>
    <cfRule type="cellIs" dxfId="8598" priority="19884" operator="equal">
      <formula>"×"</formula>
    </cfRule>
  </conditionalFormatting>
  <conditionalFormatting sqref="AF8:AF13">
    <cfRule type="cellIs" dxfId="8597" priority="19881" operator="equal">
      <formula>1</formula>
    </cfRule>
    <cfRule type="cellIs" dxfId="8596" priority="19882" operator="equal">
      <formula>"×"</formula>
    </cfRule>
  </conditionalFormatting>
  <conditionalFormatting sqref="AF8:AG13">
    <cfRule type="cellIs" dxfId="8595" priority="19879" operator="equal">
      <formula>1</formula>
    </cfRule>
    <cfRule type="cellIs" dxfId="8594" priority="19880" operator="equal">
      <formula>"×"</formula>
    </cfRule>
  </conditionalFormatting>
  <conditionalFormatting sqref="AF8:AG13">
    <cfRule type="cellIs" dxfId="8593" priority="19853" operator="equal">
      <formula>1</formula>
    </cfRule>
    <cfRule type="cellIs" dxfId="8592" priority="19854" operator="equal">
      <formula>"×"</formula>
    </cfRule>
  </conditionalFormatting>
  <conditionalFormatting sqref="AF8:AG13">
    <cfRule type="cellIs" dxfId="8591" priority="19865" operator="equal">
      <formula>1</formula>
    </cfRule>
    <cfRule type="cellIs" dxfId="8590" priority="19866" operator="equal">
      <formula>"×"</formula>
    </cfRule>
  </conditionalFormatting>
  <conditionalFormatting sqref="AF8:AG13">
    <cfRule type="cellIs" dxfId="8589" priority="19863" operator="equal">
      <formula>1</formula>
    </cfRule>
    <cfRule type="cellIs" dxfId="8588" priority="19864" operator="equal">
      <formula>"×"</formula>
    </cfRule>
  </conditionalFormatting>
  <conditionalFormatting sqref="AF8:AG13">
    <cfRule type="cellIs" dxfId="8587" priority="19861" operator="equal">
      <formula>1</formula>
    </cfRule>
    <cfRule type="cellIs" dxfId="8586" priority="19862" operator="equal">
      <formula>"×"</formula>
    </cfRule>
  </conditionalFormatting>
  <conditionalFormatting sqref="AF8:AG13">
    <cfRule type="cellIs" dxfId="8585" priority="19859" operator="equal">
      <formula>1</formula>
    </cfRule>
    <cfRule type="cellIs" dxfId="8584" priority="19860" operator="equal">
      <formula>"×"</formula>
    </cfRule>
  </conditionalFormatting>
  <conditionalFormatting sqref="AF8:AG13">
    <cfRule type="cellIs" dxfId="8583" priority="19857" operator="equal">
      <formula>1</formula>
    </cfRule>
    <cfRule type="cellIs" dxfId="8582" priority="19858" operator="equal">
      <formula>"×"</formula>
    </cfRule>
  </conditionalFormatting>
  <conditionalFormatting sqref="AF8:AG13">
    <cfRule type="cellIs" dxfId="8581" priority="19855" operator="equal">
      <formula>1</formula>
    </cfRule>
    <cfRule type="cellIs" dxfId="8580" priority="19856" operator="equal">
      <formula>"×"</formula>
    </cfRule>
  </conditionalFormatting>
  <conditionalFormatting sqref="AF15">
    <cfRule type="cellIs" dxfId="8579" priority="19821" operator="equal">
      <formula>1</formula>
    </cfRule>
    <cfRule type="cellIs" dxfId="8578" priority="19822" operator="equal">
      <formula>"×"</formula>
    </cfRule>
  </conditionalFormatting>
  <conditionalFormatting sqref="AF19:AI19">
    <cfRule type="cellIs" dxfId="8577" priority="19823" operator="equal">
      <formula>1</formula>
    </cfRule>
    <cfRule type="cellIs" dxfId="8576" priority="19824" operator="equal">
      <formula>"×"</formula>
    </cfRule>
  </conditionalFormatting>
  <conditionalFormatting sqref="AI19">
    <cfRule type="cellIs" dxfId="8575" priority="19815" operator="equal">
      <formula>1</formula>
    </cfRule>
    <cfRule type="cellIs" dxfId="8574" priority="19816" operator="equal">
      <formula>"×"</formula>
    </cfRule>
  </conditionalFormatting>
  <conditionalFormatting sqref="AF19:AI19">
    <cfRule type="cellIs" dxfId="8573" priority="19811" operator="equal">
      <formula>1</formula>
    </cfRule>
    <cfRule type="cellIs" dxfId="8572" priority="19812" operator="equal">
      <formula>"×"</formula>
    </cfRule>
  </conditionalFormatting>
  <conditionalFormatting sqref="AF17">
    <cfRule type="cellIs" dxfId="8571" priority="16119" operator="equal">
      <formula>1</formula>
    </cfRule>
    <cfRule type="cellIs" dxfId="8570" priority="16120" operator="equal">
      <formula>"×"</formula>
    </cfRule>
  </conditionalFormatting>
  <conditionalFormatting sqref="AF15:AF16 AF19">
    <cfRule type="cellIs" dxfId="8569" priority="19799" operator="equal">
      <formula>1</formula>
    </cfRule>
    <cfRule type="cellIs" dxfId="8568" priority="19800" operator="equal">
      <formula>"×"</formula>
    </cfRule>
  </conditionalFormatting>
  <conditionalFormatting sqref="AF15:AF16 AF19">
    <cfRule type="cellIs" dxfId="8567" priority="19795" operator="equal">
      <formula>1</formula>
    </cfRule>
    <cfRule type="cellIs" dxfId="8566" priority="19796" operator="equal">
      <formula>"×"</formula>
    </cfRule>
  </conditionalFormatting>
  <conditionalFormatting sqref="AG19:AI19">
    <cfRule type="cellIs" dxfId="8565" priority="19793" operator="equal">
      <formula>1</formula>
    </cfRule>
    <cfRule type="cellIs" dxfId="8564" priority="19794" operator="equal">
      <formula>"×"</formula>
    </cfRule>
  </conditionalFormatting>
  <conditionalFormatting sqref="AG19:AI19">
    <cfRule type="cellIs" dxfId="8563" priority="19763" operator="equal">
      <formula>1</formula>
    </cfRule>
    <cfRule type="cellIs" dxfId="8562" priority="19764" operator="equal">
      <formula>"×"</formula>
    </cfRule>
  </conditionalFormatting>
  <conditionalFormatting sqref="AG19:AI19">
    <cfRule type="cellIs" dxfId="8561" priority="19761" operator="equal">
      <formula>1</formula>
    </cfRule>
    <cfRule type="cellIs" dxfId="8560" priority="19762" operator="equal">
      <formula>"×"</formula>
    </cfRule>
  </conditionalFormatting>
  <conditionalFormatting sqref="AI19">
    <cfRule type="cellIs" dxfId="8559" priority="19759" operator="equal">
      <formula>1</formula>
    </cfRule>
    <cfRule type="cellIs" dxfId="8558" priority="19760" operator="equal">
      <formula>"×"</formula>
    </cfRule>
  </conditionalFormatting>
  <conditionalFormatting sqref="AG19:AI19">
    <cfRule type="cellIs" dxfId="8557" priority="19757" operator="equal">
      <formula>1</formula>
    </cfRule>
    <cfRule type="cellIs" dxfId="8556" priority="19758" operator="equal">
      <formula>"×"</formula>
    </cfRule>
  </conditionalFormatting>
  <conditionalFormatting sqref="AI19">
    <cfRule type="cellIs" dxfId="8555" priority="19755" operator="equal">
      <formula>1</formula>
    </cfRule>
    <cfRule type="cellIs" dxfId="8554" priority="19756" operator="equal">
      <formula>"×"</formula>
    </cfRule>
  </conditionalFormatting>
  <conditionalFormatting sqref="AI19">
    <cfRule type="cellIs" dxfId="8553" priority="19753" operator="equal">
      <formula>1</formula>
    </cfRule>
    <cfRule type="cellIs" dxfId="8552" priority="19754" operator="equal">
      <formula>"×"</formula>
    </cfRule>
  </conditionalFormatting>
  <conditionalFormatting sqref="AI19">
    <cfRule type="cellIs" dxfId="8551" priority="19751" operator="equal">
      <formula>1</formula>
    </cfRule>
    <cfRule type="cellIs" dxfId="8550" priority="19752" operator="equal">
      <formula>"×"</formula>
    </cfRule>
  </conditionalFormatting>
  <conditionalFormatting sqref="AI19">
    <cfRule type="cellIs" dxfId="8549" priority="19749" operator="equal">
      <formula>1</formula>
    </cfRule>
    <cfRule type="cellIs" dxfId="8548" priority="19750" operator="equal">
      <formula>"×"</formula>
    </cfRule>
  </conditionalFormatting>
  <conditionalFormatting sqref="AI19">
    <cfRule type="cellIs" dxfId="8547" priority="19747" operator="equal">
      <formula>1</formula>
    </cfRule>
    <cfRule type="cellIs" dxfId="8546" priority="19748" operator="equal">
      <formula>"×"</formula>
    </cfRule>
  </conditionalFormatting>
  <conditionalFormatting sqref="AI19">
    <cfRule type="cellIs" dxfId="8545" priority="19745" operator="equal">
      <formula>1</formula>
    </cfRule>
    <cfRule type="cellIs" dxfId="8544" priority="19746" operator="equal">
      <formula>"×"</formula>
    </cfRule>
  </conditionalFormatting>
  <conditionalFormatting sqref="AF19:AI19">
    <cfRule type="cellIs" dxfId="8543" priority="19721" operator="equal">
      <formula>1</formula>
    </cfRule>
    <cfRule type="cellIs" dxfId="8542" priority="19722" operator="equal">
      <formula>"×"</formula>
    </cfRule>
  </conditionalFormatting>
  <conditionalFormatting sqref="AI19">
    <cfRule type="cellIs" dxfId="8541" priority="19719" operator="equal">
      <formula>1</formula>
    </cfRule>
    <cfRule type="cellIs" dxfId="8540" priority="19720" operator="equal">
      <formula>"×"</formula>
    </cfRule>
  </conditionalFormatting>
  <conditionalFormatting sqref="AF19:AI19">
    <cfRule type="cellIs" dxfId="8539" priority="19717" operator="equal">
      <formula>1</formula>
    </cfRule>
    <cfRule type="cellIs" dxfId="8538" priority="19718" operator="equal">
      <formula>"×"</formula>
    </cfRule>
  </conditionalFormatting>
  <conditionalFormatting sqref="AF19">
    <cfRule type="cellIs" dxfId="8537" priority="19743" operator="equal">
      <formula>1</formula>
    </cfRule>
    <cfRule type="cellIs" dxfId="8536" priority="19744" operator="equal">
      <formula>"×"</formula>
    </cfRule>
  </conditionalFormatting>
  <conditionalFormatting sqref="AF19">
    <cfRule type="cellIs" dxfId="8535" priority="19741" operator="equal">
      <formula>1</formula>
    </cfRule>
    <cfRule type="cellIs" dxfId="8534" priority="19742" operator="equal">
      <formula>"×"</formula>
    </cfRule>
  </conditionalFormatting>
  <conditionalFormatting sqref="AF15:AF16 AF19">
    <cfRule type="cellIs" dxfId="8533" priority="19739" operator="equal">
      <formula>1</formula>
    </cfRule>
    <cfRule type="cellIs" dxfId="8532" priority="19740" operator="equal">
      <formula>"×"</formula>
    </cfRule>
  </conditionalFormatting>
  <conditionalFormatting sqref="AF15:AF16 AF19">
    <cfRule type="cellIs" dxfId="8531" priority="19737" operator="equal">
      <formula>1</formula>
    </cfRule>
    <cfRule type="cellIs" dxfId="8530" priority="19738" operator="equal">
      <formula>"×"</formula>
    </cfRule>
  </conditionalFormatting>
  <conditionalFormatting sqref="AF19">
    <cfRule type="cellIs" dxfId="8529" priority="19735" operator="equal">
      <formula>1</formula>
    </cfRule>
    <cfRule type="cellIs" dxfId="8528" priority="19736" operator="equal">
      <formula>"×"</formula>
    </cfRule>
  </conditionalFormatting>
  <conditionalFormatting sqref="AF19">
    <cfRule type="cellIs" dxfId="8527" priority="19733" operator="equal">
      <formula>1</formula>
    </cfRule>
    <cfRule type="cellIs" dxfId="8526" priority="19734" operator="equal">
      <formula>"×"</formula>
    </cfRule>
  </conditionalFormatting>
  <conditionalFormatting sqref="AF15:AF16 AF19:AI19">
    <cfRule type="cellIs" dxfId="8525" priority="19731" operator="equal">
      <formula>1</formula>
    </cfRule>
    <cfRule type="cellIs" dxfId="8524" priority="19732" operator="equal">
      <formula>"×"</formula>
    </cfRule>
  </conditionalFormatting>
  <conditionalFormatting sqref="AF13:AG13">
    <cfRule type="cellIs" dxfId="8523" priority="16041" operator="equal">
      <formula>1</formula>
    </cfRule>
    <cfRule type="cellIs" dxfId="8522" priority="16042" operator="equal">
      <formula>"×"</formula>
    </cfRule>
  </conditionalFormatting>
  <conditionalFormatting sqref="AF15:AF16 AF19:AI19">
    <cfRule type="cellIs" dxfId="8521" priority="19727" operator="equal">
      <formula>1</formula>
    </cfRule>
    <cfRule type="cellIs" dxfId="8520" priority="19728" operator="equal">
      <formula>"×"</formula>
    </cfRule>
  </conditionalFormatting>
  <conditionalFormatting sqref="AF19">
    <cfRule type="cellIs" dxfId="8519" priority="19725" operator="equal">
      <formula>1</formula>
    </cfRule>
    <cfRule type="cellIs" dxfId="8518" priority="19726" operator="equal">
      <formula>"×"</formula>
    </cfRule>
  </conditionalFormatting>
  <conditionalFormatting sqref="AF19">
    <cfRule type="cellIs" dxfId="8517" priority="19723" operator="equal">
      <formula>1</formula>
    </cfRule>
    <cfRule type="cellIs" dxfId="8516" priority="19724" operator="equal">
      <formula>"×"</formula>
    </cfRule>
  </conditionalFormatting>
  <conditionalFormatting sqref="AF15:AF16 AF19:AI19">
    <cfRule type="cellIs" dxfId="8515" priority="19715" operator="equal">
      <formula>1</formula>
    </cfRule>
    <cfRule type="cellIs" dxfId="8514" priority="19716" operator="equal">
      <formula>"×"</formula>
    </cfRule>
  </conditionalFormatting>
  <conditionalFormatting sqref="AH13:AI13">
    <cfRule type="cellIs" dxfId="8513" priority="16025" operator="equal">
      <formula>1</formula>
    </cfRule>
    <cfRule type="cellIs" dxfId="8512" priority="16026" operator="equal">
      <formula>"×"</formula>
    </cfRule>
  </conditionalFormatting>
  <conditionalFormatting sqref="AF15:AF16 AF19:AI19">
    <cfRule type="cellIs" dxfId="8511" priority="19711" operator="equal">
      <formula>1</formula>
    </cfRule>
    <cfRule type="cellIs" dxfId="8510" priority="19712" operator="equal">
      <formula>"×"</formula>
    </cfRule>
  </conditionalFormatting>
  <conditionalFormatting sqref="AF15:AF16 AF19:AI19">
    <cfRule type="cellIs" dxfId="8509" priority="19709" operator="equal">
      <formula>1</formula>
    </cfRule>
    <cfRule type="cellIs" dxfId="8508" priority="19710" operator="equal">
      <formula>"×"</formula>
    </cfRule>
  </conditionalFormatting>
  <conditionalFormatting sqref="AH13:AI13">
    <cfRule type="cellIs" dxfId="8507" priority="16019" operator="equal">
      <formula>1</formula>
    </cfRule>
    <cfRule type="cellIs" dxfId="8506" priority="16020" operator="equal">
      <formula>"×"</formula>
    </cfRule>
  </conditionalFormatting>
  <conditionalFormatting sqref="AF19">
    <cfRule type="cellIs" dxfId="8505" priority="19705" operator="equal">
      <formula>1</formula>
    </cfRule>
    <cfRule type="cellIs" dxfId="8504" priority="19706" operator="equal">
      <formula>"×"</formula>
    </cfRule>
  </conditionalFormatting>
  <conditionalFormatting sqref="AF19">
    <cfRule type="cellIs" dxfId="8503" priority="19701" operator="equal">
      <formula>1</formula>
    </cfRule>
    <cfRule type="cellIs" dxfId="8502" priority="19702" operator="equal">
      <formula>"×"</formula>
    </cfRule>
  </conditionalFormatting>
  <conditionalFormatting sqref="AF19">
    <cfRule type="cellIs" dxfId="8501" priority="19703" operator="equal">
      <formula>1</formula>
    </cfRule>
    <cfRule type="cellIs" dxfId="8500" priority="19704" operator="equal">
      <formula>"×"</formula>
    </cfRule>
  </conditionalFormatting>
  <conditionalFormatting sqref="AF15:AG15">
    <cfRule type="cellIs" dxfId="8499" priority="19655" operator="equal">
      <formula>1</formula>
    </cfRule>
    <cfRule type="cellIs" dxfId="8498" priority="19656" operator="equal">
      <formula>"×"</formula>
    </cfRule>
  </conditionalFormatting>
  <conditionalFormatting sqref="AF15:AG15">
    <cfRule type="cellIs" dxfId="8497" priority="19653" operator="equal">
      <formula>1</formula>
    </cfRule>
    <cfRule type="cellIs" dxfId="8496" priority="19654" operator="equal">
      <formula>"×"</formula>
    </cfRule>
  </conditionalFormatting>
  <conditionalFormatting sqref="AF15:AG15">
    <cfRule type="cellIs" dxfId="8495" priority="19649" operator="equal">
      <formula>1</formula>
    </cfRule>
    <cfRule type="cellIs" dxfId="8494" priority="19650" operator="equal">
      <formula>"×"</formula>
    </cfRule>
  </conditionalFormatting>
  <conditionalFormatting sqref="AF15:AG15">
    <cfRule type="cellIs" dxfId="8493" priority="19651" operator="equal">
      <formula>1</formula>
    </cfRule>
    <cfRule type="cellIs" dxfId="8492" priority="19652" operator="equal">
      <formula>"×"</formula>
    </cfRule>
  </conditionalFormatting>
  <conditionalFormatting sqref="AF15:AG15">
    <cfRule type="cellIs" dxfId="8491" priority="19663" operator="equal">
      <formula>1</formula>
    </cfRule>
    <cfRule type="cellIs" dxfId="8490" priority="19664" operator="equal">
      <formula>"×"</formula>
    </cfRule>
  </conditionalFormatting>
  <conditionalFormatting sqref="AF15:AG15">
    <cfRule type="cellIs" dxfId="8489" priority="19657" operator="equal">
      <formula>1</formula>
    </cfRule>
    <cfRule type="cellIs" dxfId="8488" priority="19658" operator="equal">
      <formula>"×"</formula>
    </cfRule>
  </conditionalFormatting>
  <conditionalFormatting sqref="AH15:AI15">
    <cfRule type="cellIs" dxfId="8487" priority="19623" operator="equal">
      <formula>1</formula>
    </cfRule>
    <cfRule type="cellIs" dxfId="8486" priority="19624" operator="equal">
      <formula>"×"</formula>
    </cfRule>
  </conditionalFormatting>
  <conditionalFormatting sqref="AH15:AI15">
    <cfRule type="cellIs" dxfId="8485" priority="19621" operator="equal">
      <formula>1</formula>
    </cfRule>
    <cfRule type="cellIs" dxfId="8484" priority="19622" operator="equal">
      <formula>"×"</formula>
    </cfRule>
  </conditionalFormatting>
  <conditionalFormatting sqref="AH15:AI15">
    <cfRule type="cellIs" dxfId="8483" priority="19617" operator="equal">
      <formula>1</formula>
    </cfRule>
    <cfRule type="cellIs" dxfId="8482" priority="19618" operator="equal">
      <formula>"×"</formula>
    </cfRule>
  </conditionalFormatting>
  <conditionalFormatting sqref="AH15:AI15">
    <cfRule type="cellIs" dxfId="8481" priority="19619" operator="equal">
      <formula>1</formula>
    </cfRule>
    <cfRule type="cellIs" dxfId="8480" priority="19620" operator="equal">
      <formula>"×"</formula>
    </cfRule>
  </conditionalFormatting>
  <conditionalFormatting sqref="AH15:AI15">
    <cfRule type="cellIs" dxfId="8479" priority="19647" operator="equal">
      <formula>1</formula>
    </cfRule>
    <cfRule type="cellIs" dxfId="8478" priority="19648" operator="equal">
      <formula>"×"</formula>
    </cfRule>
  </conditionalFormatting>
  <conditionalFormatting sqref="AH15:AI15">
    <cfRule type="cellIs" dxfId="8477" priority="19641" operator="equal">
      <formula>1</formula>
    </cfRule>
    <cfRule type="cellIs" dxfId="8476" priority="19642" operator="equal">
      <formula>"×"</formula>
    </cfRule>
  </conditionalFormatting>
  <conditionalFormatting sqref="AH15:AI15">
    <cfRule type="cellIs" dxfId="8475" priority="19639" operator="equal">
      <formula>1</formula>
    </cfRule>
    <cfRule type="cellIs" dxfId="8474" priority="19640" operator="equal">
      <formula>"×"</formula>
    </cfRule>
  </conditionalFormatting>
  <conditionalFormatting sqref="AH15:AI15">
    <cfRule type="cellIs" dxfId="8473" priority="19637" operator="equal">
      <formula>1</formula>
    </cfRule>
    <cfRule type="cellIs" dxfId="8472" priority="19638" operator="equal">
      <formula>"×"</formula>
    </cfRule>
  </conditionalFormatting>
  <conditionalFormatting sqref="AH15:AI15">
    <cfRule type="cellIs" dxfId="8471" priority="19635" operator="equal">
      <formula>1</formula>
    </cfRule>
    <cfRule type="cellIs" dxfId="8470" priority="19636" operator="equal">
      <formula>"×"</formula>
    </cfRule>
  </conditionalFormatting>
  <conditionalFormatting sqref="AH15:AI15">
    <cfRule type="cellIs" dxfId="8469" priority="19633" operator="equal">
      <formula>1</formula>
    </cfRule>
    <cfRule type="cellIs" dxfId="8468" priority="19634" operator="equal">
      <formula>"×"</formula>
    </cfRule>
  </conditionalFormatting>
  <conditionalFormatting sqref="AH15:AI15">
    <cfRule type="cellIs" dxfId="8467" priority="19631" operator="equal">
      <formula>1</formula>
    </cfRule>
    <cfRule type="cellIs" dxfId="8466" priority="19632" operator="equal">
      <formula>"×"</formula>
    </cfRule>
  </conditionalFormatting>
  <conditionalFormatting sqref="AH15:AI15">
    <cfRule type="cellIs" dxfId="8465" priority="19629" operator="equal">
      <formula>1</formula>
    </cfRule>
    <cfRule type="cellIs" dxfId="8464" priority="19630" operator="equal">
      <formula>"×"</formula>
    </cfRule>
  </conditionalFormatting>
  <conditionalFormatting sqref="AH15:AI15">
    <cfRule type="cellIs" dxfId="8463" priority="19627" operator="equal">
      <formula>1</formula>
    </cfRule>
    <cfRule type="cellIs" dxfId="8462" priority="19628" operator="equal">
      <formula>"×"</formula>
    </cfRule>
  </conditionalFormatting>
  <conditionalFormatting sqref="AH15:AI15">
    <cfRule type="cellIs" dxfId="8461" priority="19625" operator="equal">
      <formula>1</formula>
    </cfRule>
    <cfRule type="cellIs" dxfId="8460" priority="19626" operator="equal">
      <formula>"×"</formula>
    </cfRule>
  </conditionalFormatting>
  <conditionalFormatting sqref="AH16">
    <cfRule type="cellIs" dxfId="8459" priority="19615" operator="equal">
      <formula>1</formula>
    </cfRule>
    <cfRule type="cellIs" dxfId="8458" priority="19616" operator="equal">
      <formula>"×"</formula>
    </cfRule>
  </conditionalFormatting>
  <conditionalFormatting sqref="AH16">
    <cfRule type="cellIs" dxfId="8457" priority="19613" operator="equal">
      <formula>1</formula>
    </cfRule>
    <cfRule type="cellIs" dxfId="8456" priority="19614" operator="equal">
      <formula>"×"</formula>
    </cfRule>
  </conditionalFormatting>
  <conditionalFormatting sqref="AH16">
    <cfRule type="cellIs" dxfId="8455" priority="19587" operator="equal">
      <formula>1</formula>
    </cfRule>
    <cfRule type="cellIs" dxfId="8454" priority="19588" operator="equal">
      <formula>"×"</formula>
    </cfRule>
  </conditionalFormatting>
  <conditionalFormatting sqref="AH16">
    <cfRule type="cellIs" dxfId="8453" priority="19585" operator="equal">
      <formula>1</formula>
    </cfRule>
    <cfRule type="cellIs" dxfId="8452" priority="19586" operator="equal">
      <formula>"×"</formula>
    </cfRule>
  </conditionalFormatting>
  <conditionalFormatting sqref="AH16">
    <cfRule type="cellIs" dxfId="8451" priority="19581" operator="equal">
      <formula>1</formula>
    </cfRule>
    <cfRule type="cellIs" dxfId="8450" priority="19582" operator="equal">
      <formula>"×"</formula>
    </cfRule>
  </conditionalFormatting>
  <conditionalFormatting sqref="AH16">
    <cfRule type="cellIs" dxfId="8449" priority="19583" operator="equal">
      <formula>1</formula>
    </cfRule>
    <cfRule type="cellIs" dxfId="8448" priority="19584" operator="equal">
      <formula>"×"</formula>
    </cfRule>
  </conditionalFormatting>
  <conditionalFormatting sqref="AH16">
    <cfRule type="cellIs" dxfId="8447" priority="19611" operator="equal">
      <formula>1</formula>
    </cfRule>
    <cfRule type="cellIs" dxfId="8446" priority="19612" operator="equal">
      <formula>"×"</formula>
    </cfRule>
  </conditionalFormatting>
  <conditionalFormatting sqref="AH16">
    <cfRule type="cellIs" dxfId="8445" priority="19609" operator="equal">
      <formula>1</formula>
    </cfRule>
    <cfRule type="cellIs" dxfId="8444" priority="19610" operator="equal">
      <formula>"×"</formula>
    </cfRule>
  </conditionalFormatting>
  <conditionalFormatting sqref="AH16">
    <cfRule type="cellIs" dxfId="8443" priority="19607" operator="equal">
      <formula>1</formula>
    </cfRule>
    <cfRule type="cellIs" dxfId="8442" priority="19608" operator="equal">
      <formula>"×"</formula>
    </cfRule>
  </conditionalFormatting>
  <conditionalFormatting sqref="AH16">
    <cfRule type="cellIs" dxfId="8441" priority="19605" operator="equal">
      <formula>1</formula>
    </cfRule>
    <cfRule type="cellIs" dxfId="8440" priority="19606" operator="equal">
      <formula>"×"</formula>
    </cfRule>
  </conditionalFormatting>
  <conditionalFormatting sqref="AH16">
    <cfRule type="cellIs" dxfId="8439" priority="19603" operator="equal">
      <formula>1</formula>
    </cfRule>
    <cfRule type="cellIs" dxfId="8438" priority="19604" operator="equal">
      <formula>"×"</formula>
    </cfRule>
  </conditionalFormatting>
  <conditionalFormatting sqref="AH16">
    <cfRule type="cellIs" dxfId="8437" priority="19601" operator="equal">
      <formula>1</formula>
    </cfRule>
    <cfRule type="cellIs" dxfId="8436" priority="19602" operator="equal">
      <formula>"×"</formula>
    </cfRule>
  </conditionalFormatting>
  <conditionalFormatting sqref="AH16">
    <cfRule type="cellIs" dxfId="8435" priority="19599" operator="equal">
      <formula>1</formula>
    </cfRule>
    <cfRule type="cellIs" dxfId="8434" priority="19600" operator="equal">
      <formula>"×"</formula>
    </cfRule>
  </conditionalFormatting>
  <conditionalFormatting sqref="AH16">
    <cfRule type="cellIs" dxfId="8433" priority="19597" operator="equal">
      <formula>1</formula>
    </cfRule>
    <cfRule type="cellIs" dxfId="8432" priority="19598" operator="equal">
      <formula>"×"</formula>
    </cfRule>
  </conditionalFormatting>
  <conditionalFormatting sqref="AH16">
    <cfRule type="cellIs" dxfId="8431" priority="19595" operator="equal">
      <formula>1</formula>
    </cfRule>
    <cfRule type="cellIs" dxfId="8430" priority="19596" operator="equal">
      <formula>"×"</formula>
    </cfRule>
  </conditionalFormatting>
  <conditionalFormatting sqref="AH16">
    <cfRule type="cellIs" dxfId="8429" priority="19593" operator="equal">
      <formula>1</formula>
    </cfRule>
    <cfRule type="cellIs" dxfId="8428" priority="19594" operator="equal">
      <formula>"×"</formula>
    </cfRule>
  </conditionalFormatting>
  <conditionalFormatting sqref="AH16">
    <cfRule type="cellIs" dxfId="8427" priority="19591" operator="equal">
      <formula>1</formula>
    </cfRule>
    <cfRule type="cellIs" dxfId="8426" priority="19592" operator="equal">
      <formula>"×"</formula>
    </cfRule>
  </conditionalFormatting>
  <conditionalFormatting sqref="AH16">
    <cfRule type="cellIs" dxfId="8425" priority="19589" operator="equal">
      <formula>1</formula>
    </cfRule>
    <cfRule type="cellIs" dxfId="8424" priority="19590" operator="equal">
      <formula>"×"</formula>
    </cfRule>
  </conditionalFormatting>
  <conditionalFormatting sqref="AF14:AF19">
    <cfRule type="cellIs" dxfId="8423" priority="19571" operator="equal">
      <formula>1</formula>
    </cfRule>
    <cfRule type="cellIs" dxfId="8422" priority="19572" operator="equal">
      <formula>"×"</formula>
    </cfRule>
  </conditionalFormatting>
  <conditionalFormatting sqref="AF14:AF19">
    <cfRule type="cellIs" dxfId="8421" priority="19569" operator="equal">
      <formula>1</formula>
    </cfRule>
    <cfRule type="cellIs" dxfId="8420" priority="19570" operator="equal">
      <formula>"×"</formula>
    </cfRule>
  </conditionalFormatting>
  <conditionalFormatting sqref="AF14:AG19">
    <cfRule type="cellIs" dxfId="8419" priority="19579" operator="equal">
      <formula>1</formula>
    </cfRule>
    <cfRule type="cellIs" dxfId="8418" priority="19580" operator="equal">
      <formula>"×"</formula>
    </cfRule>
  </conditionalFormatting>
  <conditionalFormatting sqref="AF14:AG19">
    <cfRule type="cellIs" dxfId="8417" priority="19577" operator="equal">
      <formula>1</formula>
    </cfRule>
    <cfRule type="cellIs" dxfId="8416" priority="19578" operator="equal">
      <formula>"×"</formula>
    </cfRule>
  </conditionalFormatting>
  <conditionalFormatting sqref="AG14:AG19">
    <cfRule type="cellIs" dxfId="8415" priority="19575" operator="equal">
      <formula>1</formula>
    </cfRule>
    <cfRule type="cellIs" dxfId="8414" priority="19576" operator="equal">
      <formula>"×"</formula>
    </cfRule>
  </conditionalFormatting>
  <conditionalFormatting sqref="AG14:AG19">
    <cfRule type="cellIs" dxfId="8413" priority="19573" operator="equal">
      <formula>1</formula>
    </cfRule>
    <cfRule type="cellIs" dxfId="8412" priority="19574" operator="equal">
      <formula>"×"</formula>
    </cfRule>
  </conditionalFormatting>
  <conditionalFormatting sqref="AF14:AF19">
    <cfRule type="cellIs" dxfId="8411" priority="19567" operator="equal">
      <formula>1</formula>
    </cfRule>
    <cfRule type="cellIs" dxfId="8410" priority="19568" operator="equal">
      <formula>"×"</formula>
    </cfRule>
  </conditionalFormatting>
  <conditionalFormatting sqref="AF14:AF19">
    <cfRule type="cellIs" dxfId="8409" priority="19565" operator="equal">
      <formula>1</formula>
    </cfRule>
    <cfRule type="cellIs" dxfId="8408" priority="19566" operator="equal">
      <formula>"×"</formula>
    </cfRule>
  </conditionalFormatting>
  <conditionalFormatting sqref="AF14:AF19">
    <cfRule type="cellIs" dxfId="8407" priority="19563" operator="equal">
      <formula>1</formula>
    </cfRule>
    <cfRule type="cellIs" dxfId="8406" priority="19564" operator="equal">
      <formula>"×"</formula>
    </cfRule>
  </conditionalFormatting>
  <conditionalFormatting sqref="AF14:AF19">
    <cfRule type="cellIs" dxfId="8405" priority="19561" operator="equal">
      <formula>1</formula>
    </cfRule>
    <cfRule type="cellIs" dxfId="8404" priority="19562" operator="equal">
      <formula>"×"</formula>
    </cfRule>
  </conditionalFormatting>
  <conditionalFormatting sqref="AF14:AF19">
    <cfRule type="cellIs" dxfId="8403" priority="19559" operator="equal">
      <formula>1</formula>
    </cfRule>
    <cfRule type="cellIs" dxfId="8402" priority="19560" operator="equal">
      <formula>"×"</formula>
    </cfRule>
  </conditionalFormatting>
  <conditionalFormatting sqref="AF14:AF19">
    <cfRule type="cellIs" dxfId="8401" priority="19557" operator="equal">
      <formula>1</formula>
    </cfRule>
    <cfRule type="cellIs" dxfId="8400" priority="19558" operator="equal">
      <formula>"×"</formula>
    </cfRule>
  </conditionalFormatting>
  <conditionalFormatting sqref="AF14:AF19">
    <cfRule type="cellIs" dxfId="8399" priority="19555" operator="equal">
      <formula>1</formula>
    </cfRule>
    <cfRule type="cellIs" dxfId="8398" priority="19556" operator="equal">
      <formula>"×"</formula>
    </cfRule>
  </conditionalFormatting>
  <conditionalFormatting sqref="AF14:AF19">
    <cfRule type="cellIs" dxfId="8397" priority="19553" operator="equal">
      <formula>1</formula>
    </cfRule>
    <cfRule type="cellIs" dxfId="8396" priority="19554" operator="equal">
      <formula>"×"</formula>
    </cfRule>
  </conditionalFormatting>
  <conditionalFormatting sqref="AF14:AF19">
    <cfRule type="cellIs" dxfId="8395" priority="19551" operator="equal">
      <formula>1</formula>
    </cfRule>
    <cfRule type="cellIs" dxfId="8394" priority="19552" operator="equal">
      <formula>"×"</formula>
    </cfRule>
  </conditionalFormatting>
  <conditionalFormatting sqref="AF14:AF19">
    <cfRule type="cellIs" dxfId="8393" priority="19549" operator="equal">
      <formula>1</formula>
    </cfRule>
    <cfRule type="cellIs" dxfId="8392" priority="19550" operator="equal">
      <formula>"×"</formula>
    </cfRule>
  </conditionalFormatting>
  <conditionalFormatting sqref="AF14:AF19">
    <cfRule type="cellIs" dxfId="8391" priority="19547" operator="equal">
      <formula>1</formula>
    </cfRule>
    <cfRule type="cellIs" dxfId="8390" priority="19548" operator="equal">
      <formula>"×"</formula>
    </cfRule>
  </conditionalFormatting>
  <conditionalFormatting sqref="AF14:AF19">
    <cfRule type="cellIs" dxfId="8389" priority="19545" operator="equal">
      <formula>1</formula>
    </cfRule>
    <cfRule type="cellIs" dxfId="8388" priority="19546" operator="equal">
      <formula>"×"</formula>
    </cfRule>
  </conditionalFormatting>
  <conditionalFormatting sqref="AF14:AF19">
    <cfRule type="cellIs" dxfId="8387" priority="19543" operator="equal">
      <formula>1</formula>
    </cfRule>
    <cfRule type="cellIs" dxfId="8386" priority="19544" operator="equal">
      <formula>"×"</formula>
    </cfRule>
  </conditionalFormatting>
  <conditionalFormatting sqref="AF14:AF19">
    <cfRule type="cellIs" dxfId="8385" priority="19541" operator="equal">
      <formula>1</formula>
    </cfRule>
    <cfRule type="cellIs" dxfId="8384" priority="19542" operator="equal">
      <formula>"×"</formula>
    </cfRule>
  </conditionalFormatting>
  <conditionalFormatting sqref="AF14:AF19">
    <cfRule type="cellIs" dxfId="8383" priority="19539" operator="equal">
      <formula>1</formula>
    </cfRule>
    <cfRule type="cellIs" dxfId="8382" priority="19540" operator="equal">
      <formula>"×"</formula>
    </cfRule>
  </conditionalFormatting>
  <conditionalFormatting sqref="AF14:AF19">
    <cfRule type="cellIs" dxfId="8381" priority="19537" operator="equal">
      <formula>1</formula>
    </cfRule>
    <cfRule type="cellIs" dxfId="8380" priority="19538" operator="equal">
      <formula>"×"</formula>
    </cfRule>
  </conditionalFormatting>
  <conditionalFormatting sqref="AF14:AF19">
    <cfRule type="cellIs" dxfId="8379" priority="19535" operator="equal">
      <formula>1</formula>
    </cfRule>
    <cfRule type="cellIs" dxfId="8378" priority="19536" operator="equal">
      <formula>"×"</formula>
    </cfRule>
  </conditionalFormatting>
  <conditionalFormatting sqref="AF14:AF19">
    <cfRule type="cellIs" dxfId="8377" priority="19533" operator="equal">
      <formula>1</formula>
    </cfRule>
    <cfRule type="cellIs" dxfId="8376" priority="19534" operator="equal">
      <formula>"×"</formula>
    </cfRule>
  </conditionalFormatting>
  <conditionalFormatting sqref="AF14:AF19">
    <cfRule type="cellIs" dxfId="8375" priority="19531" operator="equal">
      <formula>1</formula>
    </cfRule>
    <cfRule type="cellIs" dxfId="8374" priority="19532" operator="equal">
      <formula>"×"</formula>
    </cfRule>
  </conditionalFormatting>
  <conditionalFormatting sqref="AF14:AF19">
    <cfRule type="cellIs" dxfId="8373" priority="19529" operator="equal">
      <formula>1</formula>
    </cfRule>
    <cfRule type="cellIs" dxfId="8372" priority="19530" operator="equal">
      <formula>"×"</formula>
    </cfRule>
  </conditionalFormatting>
  <conditionalFormatting sqref="AF14:AG19">
    <cfRule type="cellIs" dxfId="8371" priority="19527" operator="equal">
      <formula>1</formula>
    </cfRule>
    <cfRule type="cellIs" dxfId="8370" priority="19528" operator="equal">
      <formula>"×"</formula>
    </cfRule>
  </conditionalFormatting>
  <conditionalFormatting sqref="AF14:AG19">
    <cfRule type="cellIs" dxfId="8369" priority="19525" operator="equal">
      <formula>1</formula>
    </cfRule>
    <cfRule type="cellIs" dxfId="8368" priority="19526" operator="equal">
      <formula>"×"</formula>
    </cfRule>
  </conditionalFormatting>
  <conditionalFormatting sqref="AF14:AG19">
    <cfRule type="cellIs" dxfId="8367" priority="19523" operator="equal">
      <formula>1</formula>
    </cfRule>
    <cfRule type="cellIs" dxfId="8366" priority="19524" operator="equal">
      <formula>"×"</formula>
    </cfRule>
  </conditionalFormatting>
  <conditionalFormatting sqref="AF14:AG19">
    <cfRule type="cellIs" dxfId="8365" priority="19521" operator="equal">
      <formula>1</formula>
    </cfRule>
    <cfRule type="cellIs" dxfId="8364" priority="19522" operator="equal">
      <formula>"×"</formula>
    </cfRule>
  </conditionalFormatting>
  <conditionalFormatting sqref="AF14:AG19">
    <cfRule type="cellIs" dxfId="8363" priority="19519" operator="equal">
      <formula>1</formula>
    </cfRule>
    <cfRule type="cellIs" dxfId="8362" priority="19520" operator="equal">
      <formula>"×"</formula>
    </cfRule>
  </conditionalFormatting>
  <conditionalFormatting sqref="AF14:AG19">
    <cfRule type="cellIs" dxfId="8361" priority="19517" operator="equal">
      <formula>1</formula>
    </cfRule>
    <cfRule type="cellIs" dxfId="8360" priority="19518" operator="equal">
      <formula>"×"</formula>
    </cfRule>
  </conditionalFormatting>
  <conditionalFormatting sqref="AF14:AG19">
    <cfRule type="cellIs" dxfId="8359" priority="19515" operator="equal">
      <formula>1</formula>
    </cfRule>
    <cfRule type="cellIs" dxfId="8358" priority="19516" operator="equal">
      <formula>"×"</formula>
    </cfRule>
  </conditionalFormatting>
  <conditionalFormatting sqref="AF14:AG19">
    <cfRule type="cellIs" dxfId="8357" priority="19513" operator="equal">
      <formula>1</formula>
    </cfRule>
    <cfRule type="cellIs" dxfId="8356" priority="19514" operator="equal">
      <formula>"×"</formula>
    </cfRule>
  </conditionalFormatting>
  <conditionalFormatting sqref="AF14:AG19">
    <cfRule type="cellIs" dxfId="8355" priority="19511" operator="equal">
      <formula>1</formula>
    </cfRule>
    <cfRule type="cellIs" dxfId="8354" priority="19512" operator="equal">
      <formula>"×"</formula>
    </cfRule>
  </conditionalFormatting>
  <conditionalFormatting sqref="AF14:AG19">
    <cfRule type="cellIs" dxfId="8353" priority="19509" operator="equal">
      <formula>1</formula>
    </cfRule>
    <cfRule type="cellIs" dxfId="8352" priority="19510" operator="equal">
      <formula>"×"</formula>
    </cfRule>
  </conditionalFormatting>
  <conditionalFormatting sqref="AF14:AG19">
    <cfRule type="cellIs" dxfId="8351" priority="19507" operator="equal">
      <formula>1</formula>
    </cfRule>
    <cfRule type="cellIs" dxfId="8350" priority="19508" operator="equal">
      <formula>"×"</formula>
    </cfRule>
  </conditionalFormatting>
  <conditionalFormatting sqref="AF14:AG19">
    <cfRule type="cellIs" dxfId="8349" priority="19505" operator="equal">
      <formula>1</formula>
    </cfRule>
    <cfRule type="cellIs" dxfId="8348" priority="19506" operator="equal">
      <formula>"×"</formula>
    </cfRule>
  </conditionalFormatting>
  <conditionalFormatting sqref="AF19:AG19">
    <cfRule type="cellIs" dxfId="8347" priority="15781" operator="equal">
      <formula>1</formula>
    </cfRule>
    <cfRule type="cellIs" dxfId="8346" priority="15782" operator="equal">
      <formula>"×"</formula>
    </cfRule>
  </conditionalFormatting>
  <conditionalFormatting sqref="AF19:AG19">
    <cfRule type="cellIs" dxfId="8345" priority="15779" operator="equal">
      <formula>1</formula>
    </cfRule>
    <cfRule type="cellIs" dxfId="8344" priority="15780" operator="equal">
      <formula>"×"</formula>
    </cfRule>
  </conditionalFormatting>
  <conditionalFormatting sqref="AF19:AG19">
    <cfRule type="cellIs" dxfId="8343" priority="15801" operator="equal">
      <formula>1</formula>
    </cfRule>
    <cfRule type="cellIs" dxfId="8342" priority="15802" operator="equal">
      <formula>"×"</formula>
    </cfRule>
  </conditionalFormatting>
  <conditionalFormatting sqref="AF19:AG19">
    <cfRule type="cellIs" dxfId="8341" priority="15803" operator="equal">
      <formula>1</formula>
    </cfRule>
    <cfRule type="cellIs" dxfId="8340" priority="15804" operator="equal">
      <formula>"×"</formula>
    </cfRule>
  </conditionalFormatting>
  <conditionalFormatting sqref="AF19:AG19">
    <cfRule type="cellIs" dxfId="8339" priority="15791" operator="equal">
      <formula>1</formula>
    </cfRule>
    <cfRule type="cellIs" dxfId="8338" priority="15792" operator="equal">
      <formula>"×"</formula>
    </cfRule>
  </conditionalFormatting>
  <conditionalFormatting sqref="AF19:AG19">
    <cfRule type="cellIs" dxfId="8337" priority="15789" operator="equal">
      <formula>1</formula>
    </cfRule>
    <cfRule type="cellIs" dxfId="8336" priority="15790" operator="equal">
      <formula>"×"</formula>
    </cfRule>
  </conditionalFormatting>
  <conditionalFormatting sqref="AF19:AG19">
    <cfRule type="cellIs" dxfId="8335" priority="15787" operator="equal">
      <formula>1</formula>
    </cfRule>
    <cfRule type="cellIs" dxfId="8334" priority="15788" operator="equal">
      <formula>"×"</formula>
    </cfRule>
  </conditionalFormatting>
  <conditionalFormatting sqref="AF19:AG19">
    <cfRule type="cellIs" dxfId="8333" priority="15785" operator="equal">
      <formula>1</formula>
    </cfRule>
    <cfRule type="cellIs" dxfId="8332" priority="15786" operator="equal">
      <formula>"×"</formula>
    </cfRule>
  </conditionalFormatting>
  <conditionalFormatting sqref="AF19:AG19">
    <cfRule type="cellIs" dxfId="8331" priority="15783" operator="equal">
      <formula>1</formula>
    </cfRule>
    <cfRule type="cellIs" dxfId="8330" priority="15784" operator="equal">
      <formula>"×"</formula>
    </cfRule>
  </conditionalFormatting>
  <conditionalFormatting sqref="AF19:AG19">
    <cfRule type="cellIs" dxfId="8329" priority="15777" operator="equal">
      <formula>1</formula>
    </cfRule>
    <cfRule type="cellIs" dxfId="8328" priority="15778" operator="equal">
      <formula>"×"</formula>
    </cfRule>
  </conditionalFormatting>
  <conditionalFormatting sqref="AF19:AG19">
    <cfRule type="cellIs" dxfId="8327" priority="15775" operator="equal">
      <formula>1</formula>
    </cfRule>
    <cfRule type="cellIs" dxfId="8326" priority="15776" operator="equal">
      <formula>"×"</formula>
    </cfRule>
  </conditionalFormatting>
  <conditionalFormatting sqref="AH19:AI19">
    <cfRule type="cellIs" dxfId="8325" priority="15773" operator="equal">
      <formula>1</formula>
    </cfRule>
    <cfRule type="cellIs" dxfId="8324" priority="15774" operator="equal">
      <formula>"×"</formula>
    </cfRule>
  </conditionalFormatting>
  <conditionalFormatting sqref="AH19:AI19">
    <cfRule type="cellIs" dxfId="8323" priority="15771" operator="equal">
      <formula>1</formula>
    </cfRule>
    <cfRule type="cellIs" dxfId="8322" priority="15772" operator="equal">
      <formula>"×"</formula>
    </cfRule>
  </conditionalFormatting>
  <conditionalFormatting sqref="AH19:AI19">
    <cfRule type="cellIs" dxfId="8321" priority="15769" operator="equal">
      <formula>1</formula>
    </cfRule>
    <cfRule type="cellIs" dxfId="8320" priority="15770" operator="equal">
      <formula>"×"</formula>
    </cfRule>
  </conditionalFormatting>
  <conditionalFormatting sqref="AF19:AI19">
    <cfRule type="cellIs" dxfId="8319" priority="15703" operator="equal">
      <formula>1</formula>
    </cfRule>
    <cfRule type="cellIs" dxfId="8318" priority="15704" operator="equal">
      <formula>"×"</formula>
    </cfRule>
  </conditionalFormatting>
  <conditionalFormatting sqref="AF19">
    <cfRule type="cellIs" dxfId="8317" priority="15685" operator="equal">
      <formula>1</formula>
    </cfRule>
    <cfRule type="cellIs" dxfId="8316" priority="15686" operator="equal">
      <formula>"×"</formula>
    </cfRule>
  </conditionalFormatting>
  <conditionalFormatting sqref="AF19">
    <cfRule type="cellIs" dxfId="8315" priority="15683" operator="equal">
      <formula>1</formula>
    </cfRule>
    <cfRule type="cellIs" dxfId="8314" priority="15684" operator="equal">
      <formula>"×"</formula>
    </cfRule>
  </conditionalFormatting>
  <conditionalFormatting sqref="AF19">
    <cfRule type="cellIs" dxfId="8313" priority="15665" operator="equal">
      <formula>1</formula>
    </cfRule>
    <cfRule type="cellIs" dxfId="8312" priority="15666" operator="equal">
      <formula>"×"</formula>
    </cfRule>
  </conditionalFormatting>
  <conditionalFormatting sqref="AF19">
    <cfRule type="cellIs" dxfId="8311" priority="15661" operator="equal">
      <formula>1</formula>
    </cfRule>
    <cfRule type="cellIs" dxfId="8310" priority="15662" operator="equal">
      <formula>"×"</formula>
    </cfRule>
  </conditionalFormatting>
  <conditionalFormatting sqref="AF19">
    <cfRule type="cellIs" dxfId="8309" priority="15663" operator="equal">
      <formula>1</formula>
    </cfRule>
    <cfRule type="cellIs" dxfId="8308" priority="15664" operator="equal">
      <formula>"×"</formula>
    </cfRule>
  </conditionalFormatting>
  <conditionalFormatting sqref="AF19">
    <cfRule type="cellIs" dxfId="8307" priority="15659" operator="equal">
      <formula>1</formula>
    </cfRule>
    <cfRule type="cellIs" dxfId="8306" priority="15660" operator="equal">
      <formula>"×"</formula>
    </cfRule>
  </conditionalFormatting>
  <conditionalFormatting sqref="AF19">
    <cfRule type="cellIs" dxfId="8305" priority="15645" operator="equal">
      <formula>1</formula>
    </cfRule>
    <cfRule type="cellIs" dxfId="8304" priority="15646" operator="equal">
      <formula>"×"</formula>
    </cfRule>
  </conditionalFormatting>
  <conditionalFormatting sqref="AF19">
    <cfRule type="cellIs" dxfId="8303" priority="15643" operator="equal">
      <formula>1</formula>
    </cfRule>
    <cfRule type="cellIs" dxfId="8302" priority="15644" operator="equal">
      <formula>"×"</formula>
    </cfRule>
  </conditionalFormatting>
  <conditionalFormatting sqref="AF19">
    <cfRule type="cellIs" dxfId="8301" priority="15641" operator="equal">
      <formula>1</formula>
    </cfRule>
    <cfRule type="cellIs" dxfId="8300" priority="15642" operator="equal">
      <formula>"×"</formula>
    </cfRule>
  </conditionalFormatting>
  <conditionalFormatting sqref="AF19">
    <cfRule type="cellIs" dxfId="8299" priority="15639" operator="equal">
      <formula>1</formula>
    </cfRule>
    <cfRule type="cellIs" dxfId="8298" priority="15640" operator="equal">
      <formula>"×"</formula>
    </cfRule>
  </conditionalFormatting>
  <conditionalFormatting sqref="AF19">
    <cfRule type="cellIs" dxfId="8297" priority="15637" operator="equal">
      <formula>1</formula>
    </cfRule>
    <cfRule type="cellIs" dxfId="8296" priority="15638" operator="equal">
      <formula>"×"</formula>
    </cfRule>
  </conditionalFormatting>
  <conditionalFormatting sqref="AF19">
    <cfRule type="cellIs" dxfId="8295" priority="15635" operator="equal">
      <formula>1</formula>
    </cfRule>
    <cfRule type="cellIs" dxfId="8294" priority="15636" operator="equal">
      <formula>"×"</formula>
    </cfRule>
  </conditionalFormatting>
  <conditionalFormatting sqref="AF19">
    <cfRule type="cellIs" dxfId="8293" priority="15633" operator="equal">
      <formula>1</formula>
    </cfRule>
    <cfRule type="cellIs" dxfId="8292" priority="15634" operator="equal">
      <formula>"×"</formula>
    </cfRule>
  </conditionalFormatting>
  <conditionalFormatting sqref="AF19">
    <cfRule type="cellIs" dxfId="8291" priority="15579" operator="equal">
      <formula>1</formula>
    </cfRule>
    <cfRule type="cellIs" dxfId="8290" priority="15580" operator="equal">
      <formula>"×"</formula>
    </cfRule>
  </conditionalFormatting>
  <conditionalFormatting sqref="AF19">
    <cfRule type="cellIs" dxfId="8289" priority="15595" operator="equal">
      <formula>1</formula>
    </cfRule>
    <cfRule type="cellIs" dxfId="8288" priority="15596" operator="equal">
      <formula>"×"</formula>
    </cfRule>
  </conditionalFormatting>
  <conditionalFormatting sqref="AF19">
    <cfRule type="cellIs" dxfId="8287" priority="15591" operator="equal">
      <formula>1</formula>
    </cfRule>
    <cfRule type="cellIs" dxfId="8286" priority="15592" operator="equal">
      <formula>"×"</formula>
    </cfRule>
  </conditionalFormatting>
  <conditionalFormatting sqref="AF19">
    <cfRule type="cellIs" dxfId="8285" priority="15575" operator="equal">
      <formula>1</formula>
    </cfRule>
    <cfRule type="cellIs" dxfId="8284" priority="15576" operator="equal">
      <formula>"×"</formula>
    </cfRule>
  </conditionalFormatting>
  <conditionalFormatting sqref="AF19">
    <cfRule type="cellIs" dxfId="8283" priority="15573" operator="equal">
      <formula>1</formula>
    </cfRule>
    <cfRule type="cellIs" dxfId="8282" priority="15574" operator="equal">
      <formula>"×"</formula>
    </cfRule>
  </conditionalFormatting>
  <conditionalFormatting sqref="AF19:AG19">
    <cfRule type="cellIs" dxfId="8281" priority="15541" operator="equal">
      <formula>1</formula>
    </cfRule>
    <cfRule type="cellIs" dxfId="8280" priority="15542" operator="equal">
      <formula>"×"</formula>
    </cfRule>
  </conditionalFormatting>
  <conditionalFormatting sqref="AF19:AG19">
    <cfRule type="cellIs" dxfId="8279" priority="15543" operator="equal">
      <formula>1</formula>
    </cfRule>
    <cfRule type="cellIs" dxfId="8278" priority="15544" operator="equal">
      <formula>"×"</formula>
    </cfRule>
  </conditionalFormatting>
  <conditionalFormatting sqref="AF19:AG19">
    <cfRule type="cellIs" dxfId="8277" priority="15531" operator="equal">
      <formula>1</formula>
    </cfRule>
    <cfRule type="cellIs" dxfId="8276" priority="15532" operator="equal">
      <formula>"×"</formula>
    </cfRule>
  </conditionalFormatting>
  <conditionalFormatting sqref="AF19:AG19">
    <cfRule type="cellIs" dxfId="8275" priority="15529" operator="equal">
      <formula>1</formula>
    </cfRule>
    <cfRule type="cellIs" dxfId="8274" priority="15530" operator="equal">
      <formula>"×"</formula>
    </cfRule>
  </conditionalFormatting>
  <conditionalFormatting sqref="AF19:AG19">
    <cfRule type="cellIs" dxfId="8273" priority="15539" operator="equal">
      <formula>1</formula>
    </cfRule>
    <cfRule type="cellIs" dxfId="8272" priority="15540" operator="equal">
      <formula>"×"</formula>
    </cfRule>
  </conditionalFormatting>
  <conditionalFormatting sqref="AF19:AG19">
    <cfRule type="cellIs" dxfId="8271" priority="15537" operator="equal">
      <formula>1</formula>
    </cfRule>
    <cfRule type="cellIs" dxfId="8270" priority="15538" operator="equal">
      <formula>"×"</formula>
    </cfRule>
  </conditionalFormatting>
  <conditionalFormatting sqref="AF19:AG19">
    <cfRule type="cellIs" dxfId="8269" priority="15535" operator="equal">
      <formula>1</formula>
    </cfRule>
    <cfRule type="cellIs" dxfId="8268" priority="15536" operator="equal">
      <formula>"×"</formula>
    </cfRule>
  </conditionalFormatting>
  <conditionalFormatting sqref="AF19:AG19">
    <cfRule type="cellIs" dxfId="8267" priority="15533" operator="equal">
      <formula>1</formula>
    </cfRule>
    <cfRule type="cellIs" dxfId="8266" priority="15534" operator="equal">
      <formula>"×"</formula>
    </cfRule>
  </conditionalFormatting>
  <conditionalFormatting sqref="AF19:AG19">
    <cfRule type="cellIs" dxfId="8265" priority="15527" operator="equal">
      <formula>1</formula>
    </cfRule>
    <cfRule type="cellIs" dxfId="8264" priority="15528" operator="equal">
      <formula>"×"</formula>
    </cfRule>
  </conditionalFormatting>
  <conditionalFormatting sqref="AF19:AG19">
    <cfRule type="cellIs" dxfId="8263" priority="15525" operator="equal">
      <formula>1</formula>
    </cfRule>
    <cfRule type="cellIs" dxfId="8262" priority="15526" operator="equal">
      <formula>"×"</formula>
    </cfRule>
  </conditionalFormatting>
  <conditionalFormatting sqref="AF19:AG19">
    <cfRule type="cellIs" dxfId="8261" priority="15523" operator="equal">
      <formula>1</formula>
    </cfRule>
    <cfRule type="cellIs" dxfId="8260" priority="15524" operator="equal">
      <formula>"×"</formula>
    </cfRule>
  </conditionalFormatting>
  <conditionalFormatting sqref="AF19:AG19">
    <cfRule type="cellIs" dxfId="8259" priority="15521" operator="equal">
      <formula>1</formula>
    </cfRule>
    <cfRule type="cellIs" dxfId="8258" priority="15522" operator="equal">
      <formula>"×"</formula>
    </cfRule>
  </conditionalFormatting>
  <conditionalFormatting sqref="AF19:AG19">
    <cfRule type="cellIs" dxfId="8257" priority="15519" operator="equal">
      <formula>1</formula>
    </cfRule>
    <cfRule type="cellIs" dxfId="8256" priority="15520" operator="equal">
      <formula>"×"</formula>
    </cfRule>
  </conditionalFormatting>
  <conditionalFormatting sqref="AF19:AG19">
    <cfRule type="cellIs" dxfId="8255" priority="15517" operator="equal">
      <formula>1</formula>
    </cfRule>
    <cfRule type="cellIs" dxfId="8254" priority="15518" operator="equal">
      <formula>"×"</formula>
    </cfRule>
  </conditionalFormatting>
  <conditionalFormatting sqref="AF19:AG19">
    <cfRule type="cellIs" dxfId="8253" priority="15515" operator="equal">
      <formula>1</formula>
    </cfRule>
    <cfRule type="cellIs" dxfId="8252" priority="15516" operator="equal">
      <formula>"×"</formula>
    </cfRule>
  </conditionalFormatting>
  <conditionalFormatting sqref="AF19:AG19">
    <cfRule type="cellIs" dxfId="8251" priority="15513" operator="equal">
      <formula>1</formula>
    </cfRule>
    <cfRule type="cellIs" dxfId="8250" priority="15514" operator="equal">
      <formula>"×"</formula>
    </cfRule>
  </conditionalFormatting>
  <conditionalFormatting sqref="AH19:AI19">
    <cfRule type="cellIs" dxfId="8249" priority="15511" operator="equal">
      <formula>1</formula>
    </cfRule>
    <cfRule type="cellIs" dxfId="8248" priority="15512" operator="equal">
      <formula>"×"</formula>
    </cfRule>
  </conditionalFormatting>
  <conditionalFormatting sqref="AH19:AI19">
    <cfRule type="cellIs" dxfId="8247" priority="15509" operator="equal">
      <formula>1</formula>
    </cfRule>
    <cfRule type="cellIs" dxfId="8246" priority="15510" operator="equal">
      <formula>"×"</formula>
    </cfRule>
  </conditionalFormatting>
  <conditionalFormatting sqref="AH19:AI19">
    <cfRule type="cellIs" dxfId="8245" priority="15507" operator="equal">
      <formula>1</formula>
    </cfRule>
    <cfRule type="cellIs" dxfId="8244" priority="15508" operator="equal">
      <formula>"×"</formula>
    </cfRule>
  </conditionalFormatting>
  <conditionalFormatting sqref="AH19:AI19">
    <cfRule type="cellIs" dxfId="8243" priority="15505" operator="equal">
      <formula>1</formula>
    </cfRule>
    <cfRule type="cellIs" dxfId="8242" priority="15506" operator="equal">
      <formula>"×"</formula>
    </cfRule>
  </conditionalFormatting>
  <conditionalFormatting sqref="AH19:AI19">
    <cfRule type="cellIs" dxfId="8241" priority="15503" operator="equal">
      <formula>1</formula>
    </cfRule>
    <cfRule type="cellIs" dxfId="8240" priority="15504" operator="equal">
      <formula>"×"</formula>
    </cfRule>
  </conditionalFormatting>
  <conditionalFormatting sqref="AH19:AI19">
    <cfRule type="cellIs" dxfId="8239" priority="15501" operator="equal">
      <formula>1</formula>
    </cfRule>
    <cfRule type="cellIs" dxfId="8238" priority="15502" operator="equal">
      <formula>"×"</formula>
    </cfRule>
  </conditionalFormatting>
  <conditionalFormatting sqref="AH19:AI19">
    <cfRule type="cellIs" dxfId="8237" priority="15499" operator="equal">
      <formula>1</formula>
    </cfRule>
    <cfRule type="cellIs" dxfId="8236" priority="15500" operator="equal">
      <formula>"×"</formula>
    </cfRule>
  </conditionalFormatting>
  <conditionalFormatting sqref="AH19:AI19">
    <cfRule type="cellIs" dxfId="8235" priority="15497" operator="equal">
      <formula>1</formula>
    </cfRule>
    <cfRule type="cellIs" dxfId="8234" priority="15498" operator="equal">
      <formula>"×"</formula>
    </cfRule>
  </conditionalFormatting>
  <conditionalFormatting sqref="AH19:AI19">
    <cfRule type="cellIs" dxfId="8233" priority="15495" operator="equal">
      <formula>1</formula>
    </cfRule>
    <cfRule type="cellIs" dxfId="8232" priority="15496" operator="equal">
      <formula>"×"</formula>
    </cfRule>
  </conditionalFormatting>
  <conditionalFormatting sqref="AH19:AI19">
    <cfRule type="cellIs" dxfId="8231" priority="15493" operator="equal">
      <formula>1</formula>
    </cfRule>
    <cfRule type="cellIs" dxfId="8230" priority="15494" operator="equal">
      <formula>"×"</formula>
    </cfRule>
  </conditionalFormatting>
  <conditionalFormatting sqref="AH19:AI19">
    <cfRule type="cellIs" dxfId="8229" priority="15491" operator="equal">
      <formula>1</formula>
    </cfRule>
    <cfRule type="cellIs" dxfId="8228" priority="15492" operator="equal">
      <formula>"×"</formula>
    </cfRule>
  </conditionalFormatting>
  <conditionalFormatting sqref="AH19:AI19">
    <cfRule type="cellIs" dxfId="8227" priority="15489" operator="equal">
      <formula>1</formula>
    </cfRule>
    <cfRule type="cellIs" dxfId="8226" priority="15490" operator="equal">
      <formula>"×"</formula>
    </cfRule>
  </conditionalFormatting>
  <conditionalFormatting sqref="AH19:AI19">
    <cfRule type="cellIs" dxfId="8225" priority="15487" operator="equal">
      <formula>1</formula>
    </cfRule>
    <cfRule type="cellIs" dxfId="8224" priority="15488" operator="equal">
      <formula>"×"</formula>
    </cfRule>
  </conditionalFormatting>
  <conditionalFormatting sqref="AH19:AI19">
    <cfRule type="cellIs" dxfId="8223" priority="15485" operator="equal">
      <formula>1</formula>
    </cfRule>
    <cfRule type="cellIs" dxfId="8222" priority="15486" operator="equal">
      <formula>"×"</formula>
    </cfRule>
  </conditionalFormatting>
  <conditionalFormatting sqref="AH19:AI19">
    <cfRule type="cellIs" dxfId="8221" priority="15483" operator="equal">
      <formula>1</formula>
    </cfRule>
    <cfRule type="cellIs" dxfId="8220" priority="15484" operator="equal">
      <formula>"×"</formula>
    </cfRule>
  </conditionalFormatting>
  <conditionalFormatting sqref="AH19:AI19">
    <cfRule type="cellIs" dxfId="8219" priority="15481" operator="equal">
      <formula>1</formula>
    </cfRule>
    <cfRule type="cellIs" dxfId="8218" priority="15482" operator="equal">
      <formula>"×"</formula>
    </cfRule>
  </conditionalFormatting>
  <conditionalFormatting sqref="AB15">
    <cfRule type="cellIs" dxfId="8217" priority="19141" operator="equal">
      <formula>1</formula>
    </cfRule>
    <cfRule type="cellIs" dxfId="8216" priority="19142" operator="equal">
      <formula>"×"</formula>
    </cfRule>
  </conditionalFormatting>
  <conditionalFormatting sqref="AD7">
    <cfRule type="cellIs" dxfId="8215" priority="15427" operator="equal">
      <formula>1</formula>
    </cfRule>
    <cfRule type="cellIs" dxfId="8214" priority="15428" operator="equal">
      <formula>"×"</formula>
    </cfRule>
  </conditionalFormatting>
  <conditionalFormatting sqref="AD7">
    <cfRule type="cellIs" dxfId="8213" priority="15425" operator="equal">
      <formula>1</formula>
    </cfRule>
    <cfRule type="cellIs" dxfId="8212" priority="15426" operator="equal">
      <formula>"×"</formula>
    </cfRule>
  </conditionalFormatting>
  <conditionalFormatting sqref="AG19:AI19">
    <cfRule type="cellIs" dxfId="8211" priority="19131" operator="equal">
      <formula>1</formula>
    </cfRule>
    <cfRule type="cellIs" dxfId="8210" priority="19132" operator="equal">
      <formula>"×"</formula>
    </cfRule>
  </conditionalFormatting>
  <conditionalFormatting sqref="AI19">
    <cfRule type="cellIs" dxfId="8209" priority="19129" operator="equal">
      <formula>1</formula>
    </cfRule>
    <cfRule type="cellIs" dxfId="8208" priority="19130" operator="equal">
      <formula>"×"</formula>
    </cfRule>
  </conditionalFormatting>
  <conditionalFormatting sqref="AG19:AI19">
    <cfRule type="cellIs" dxfId="8207" priority="19127" operator="equal">
      <formula>1</formula>
    </cfRule>
    <cfRule type="cellIs" dxfId="8206" priority="19128" operator="equal">
      <formula>"×"</formula>
    </cfRule>
  </conditionalFormatting>
  <conditionalFormatting sqref="AC7">
    <cfRule type="cellIs" dxfId="8205" priority="15437" operator="equal">
      <formula>1</formula>
    </cfRule>
    <cfRule type="cellIs" dxfId="8204" priority="15438" operator="equal">
      <formula>"×"</formula>
    </cfRule>
  </conditionalFormatting>
  <conditionalFormatting sqref="AF7:AI7">
    <cfRule type="cellIs" dxfId="8203" priority="15435" operator="equal">
      <formula>1</formula>
    </cfRule>
    <cfRule type="cellIs" dxfId="8202" priority="15436" operator="equal">
      <formula>"×"</formula>
    </cfRule>
  </conditionalFormatting>
  <conditionalFormatting sqref="AI7">
    <cfRule type="cellIs" dxfId="8201" priority="15433" operator="equal">
      <formula>1</formula>
    </cfRule>
    <cfRule type="cellIs" dxfId="8200" priority="15434" operator="equal">
      <formula>"×"</formula>
    </cfRule>
  </conditionalFormatting>
  <conditionalFormatting sqref="AD7">
    <cfRule type="cellIs" dxfId="8199" priority="15431" operator="equal">
      <formula>1</formula>
    </cfRule>
    <cfRule type="cellIs" dxfId="8198" priority="15432" operator="equal">
      <formula>"×"</formula>
    </cfRule>
  </conditionalFormatting>
  <conditionalFormatting sqref="AD7">
    <cfRule type="cellIs" dxfId="8197" priority="15429" operator="equal">
      <formula>1</formula>
    </cfRule>
    <cfRule type="cellIs" dxfId="8196" priority="15430" operator="equal">
      <formula>"×"</formula>
    </cfRule>
  </conditionalFormatting>
  <conditionalFormatting sqref="AF11">
    <cfRule type="cellIs" dxfId="8195" priority="15423" operator="equal">
      <formula>1</formula>
    </cfRule>
    <cfRule type="cellIs" dxfId="8194" priority="15424" operator="equal">
      <formula>"×"</formula>
    </cfRule>
  </conditionalFormatting>
  <conditionalFormatting sqref="AF11">
    <cfRule type="cellIs" dxfId="8193" priority="15421" operator="equal">
      <formula>1</formula>
    </cfRule>
    <cfRule type="cellIs" dxfId="8192" priority="15422" operator="equal">
      <formula>"×"</formula>
    </cfRule>
  </conditionalFormatting>
  <conditionalFormatting sqref="AE7">
    <cfRule type="cellIs" dxfId="8191" priority="15419" operator="equal">
      <formula>1</formula>
    </cfRule>
    <cfRule type="cellIs" dxfId="8190" priority="15420" operator="equal">
      <formula>"×"</formula>
    </cfRule>
  </conditionalFormatting>
  <conditionalFormatting sqref="AD7">
    <cfRule type="cellIs" dxfId="8189" priority="15417" operator="equal">
      <formula>1</formula>
    </cfRule>
    <cfRule type="cellIs" dxfId="8188" priority="15418" operator="equal">
      <formula>"×"</formula>
    </cfRule>
  </conditionalFormatting>
  <conditionalFormatting sqref="AE7">
    <cfRule type="cellIs" dxfId="8187" priority="15415" operator="equal">
      <formula>1</formula>
    </cfRule>
    <cfRule type="cellIs" dxfId="8186" priority="15416" operator="equal">
      <formula>"×"</formula>
    </cfRule>
  </conditionalFormatting>
  <conditionalFormatting sqref="AI11:AI13">
    <cfRule type="cellIs" dxfId="8185" priority="15327" operator="equal">
      <formula>1</formula>
    </cfRule>
    <cfRule type="cellIs" dxfId="8184" priority="15328" operator="equal">
      <formula>"×"</formula>
    </cfRule>
  </conditionalFormatting>
  <conditionalFormatting sqref="AI11:AI13">
    <cfRule type="cellIs" dxfId="8183" priority="15325" operator="equal">
      <formula>1</formula>
    </cfRule>
    <cfRule type="cellIs" dxfId="8182" priority="15326" operator="equal">
      <formula>"×"</formula>
    </cfRule>
  </conditionalFormatting>
  <conditionalFormatting sqref="AI11:AI13">
    <cfRule type="cellIs" dxfId="8181" priority="15323" operator="equal">
      <formula>1</formula>
    </cfRule>
    <cfRule type="cellIs" dxfId="8180" priority="15324" operator="equal">
      <formula>"×"</formula>
    </cfRule>
  </conditionalFormatting>
  <conditionalFormatting sqref="AG11:AI13">
    <cfRule type="cellIs" dxfId="8179" priority="15349" operator="equal">
      <formula>1</formula>
    </cfRule>
    <cfRule type="cellIs" dxfId="8178" priority="15350" operator="equal">
      <formula>"×"</formula>
    </cfRule>
  </conditionalFormatting>
  <conditionalFormatting sqref="AI11:AI13">
    <cfRule type="cellIs" dxfId="8177" priority="15347" operator="equal">
      <formula>1</formula>
    </cfRule>
    <cfRule type="cellIs" dxfId="8176" priority="15348" operator="equal">
      <formula>"×"</formula>
    </cfRule>
  </conditionalFormatting>
  <conditionalFormatting sqref="AI11:AI13">
    <cfRule type="cellIs" dxfId="8175" priority="15341" operator="equal">
      <formula>1</formula>
    </cfRule>
    <cfRule type="cellIs" dxfId="8174" priority="15342" operator="equal">
      <formula>"×"</formula>
    </cfRule>
  </conditionalFormatting>
  <conditionalFormatting sqref="AG11:AI13">
    <cfRule type="cellIs" dxfId="8173" priority="15339" operator="equal">
      <formula>1</formula>
    </cfRule>
    <cfRule type="cellIs" dxfId="8172" priority="15340" operator="equal">
      <formula>"×"</formula>
    </cfRule>
  </conditionalFormatting>
  <conditionalFormatting sqref="AI11:AI13">
    <cfRule type="cellIs" dxfId="8171" priority="15331" operator="equal">
      <formula>1</formula>
    </cfRule>
    <cfRule type="cellIs" dxfId="8170" priority="15332" operator="equal">
      <formula>"×"</formula>
    </cfRule>
  </conditionalFormatting>
  <conditionalFormatting sqref="AI11:AI13">
    <cfRule type="cellIs" dxfId="8169" priority="15329" operator="equal">
      <formula>1</formula>
    </cfRule>
    <cfRule type="cellIs" dxfId="8168" priority="15330" operator="equal">
      <formula>"×"</formula>
    </cfRule>
  </conditionalFormatting>
  <conditionalFormatting sqref="AD19">
    <cfRule type="cellIs" dxfId="8167" priority="15311" operator="equal">
      <formula>1</formula>
    </cfRule>
    <cfRule type="cellIs" dxfId="8166" priority="15312" operator="equal">
      <formula>"×"</formula>
    </cfRule>
  </conditionalFormatting>
  <conditionalFormatting sqref="AD19">
    <cfRule type="cellIs" dxfId="8165" priority="15307" operator="equal">
      <formula>1</formula>
    </cfRule>
    <cfRule type="cellIs" dxfId="8164" priority="15308" operator="equal">
      <formula>"×"</formula>
    </cfRule>
  </conditionalFormatting>
  <conditionalFormatting sqref="AC19">
    <cfRule type="cellIs" dxfId="8163" priority="15309" operator="equal">
      <formula>1</formula>
    </cfRule>
    <cfRule type="cellIs" dxfId="8162" priority="15310" operator="equal">
      <formula>"×"</formula>
    </cfRule>
  </conditionalFormatting>
  <conditionalFormatting sqref="AD19">
    <cfRule type="cellIs" dxfId="8161" priority="15305" operator="equal">
      <formula>1</formula>
    </cfRule>
    <cfRule type="cellIs" dxfId="8160" priority="15306" operator="equal">
      <formula>"×"</formula>
    </cfRule>
  </conditionalFormatting>
  <conditionalFormatting sqref="AD19">
    <cfRule type="cellIs" dxfId="8159" priority="15303" operator="equal">
      <formula>1</formula>
    </cfRule>
    <cfRule type="cellIs" dxfId="8158" priority="15304" operator="equal">
      <formula>"×"</formula>
    </cfRule>
  </conditionalFormatting>
  <conditionalFormatting sqref="AD19">
    <cfRule type="cellIs" dxfId="8157" priority="15301" operator="equal">
      <formula>1</formula>
    </cfRule>
    <cfRule type="cellIs" dxfId="8156" priority="15302" operator="equal">
      <formula>"×"</formula>
    </cfRule>
  </conditionalFormatting>
  <conditionalFormatting sqref="AC19">
    <cfRule type="cellIs" dxfId="8155" priority="15299" operator="equal">
      <formula>1</formula>
    </cfRule>
    <cfRule type="cellIs" dxfId="8154" priority="15300" operator="equal">
      <formula>"×"</formula>
    </cfRule>
  </conditionalFormatting>
  <conditionalFormatting sqref="AD19">
    <cfRule type="cellIs" dxfId="8153" priority="15297" operator="equal">
      <formula>1</formula>
    </cfRule>
    <cfRule type="cellIs" dxfId="8152" priority="15298" operator="equal">
      <formula>"×"</formula>
    </cfRule>
  </conditionalFormatting>
  <conditionalFormatting sqref="AD19">
    <cfRule type="cellIs" dxfId="8151" priority="15295" operator="equal">
      <formula>1</formula>
    </cfRule>
    <cfRule type="cellIs" dxfId="8150" priority="15296" operator="equal">
      <formula>"×"</formula>
    </cfRule>
  </conditionalFormatting>
  <conditionalFormatting sqref="AD19">
    <cfRule type="cellIs" dxfId="8149" priority="15293" operator="equal">
      <formula>1</formula>
    </cfRule>
    <cfRule type="cellIs" dxfId="8148" priority="15294" operator="equal">
      <formula>"×"</formula>
    </cfRule>
  </conditionalFormatting>
  <conditionalFormatting sqref="AD19">
    <cfRule type="cellIs" dxfId="8147" priority="15291" operator="equal">
      <formula>1</formula>
    </cfRule>
    <cfRule type="cellIs" dxfId="8146" priority="15292" operator="equal">
      <formula>"×"</formula>
    </cfRule>
  </conditionalFormatting>
  <conditionalFormatting sqref="AD19">
    <cfRule type="cellIs" dxfId="8145" priority="15289" operator="equal">
      <formula>1</formula>
    </cfRule>
    <cfRule type="cellIs" dxfId="8144" priority="15290" operator="equal">
      <formula>"×"</formula>
    </cfRule>
  </conditionalFormatting>
  <conditionalFormatting sqref="AD19">
    <cfRule type="cellIs" dxfId="8143" priority="15287" operator="equal">
      <formula>1</formula>
    </cfRule>
    <cfRule type="cellIs" dxfId="8142" priority="15288" operator="equal">
      <formula>"×"</formula>
    </cfRule>
  </conditionalFormatting>
  <conditionalFormatting sqref="AE13 AF11:AI11">
    <cfRule type="cellIs" dxfId="8141" priority="15261" operator="equal">
      <formula>1</formula>
    </cfRule>
    <cfRule type="cellIs" dxfId="8140" priority="15262" operator="equal">
      <formula>"×"</formula>
    </cfRule>
  </conditionalFormatting>
  <conditionalFormatting sqref="AI12">
    <cfRule type="cellIs" dxfId="8139" priority="15259" operator="equal">
      <formula>1</formula>
    </cfRule>
    <cfRule type="cellIs" dxfId="8138" priority="15260" operator="equal">
      <formula>"×"</formula>
    </cfRule>
  </conditionalFormatting>
  <conditionalFormatting sqref="AE13">
    <cfRule type="cellIs" dxfId="8137" priority="15255" operator="equal">
      <formula>1</formula>
    </cfRule>
    <cfRule type="cellIs" dxfId="8136" priority="15256" operator="equal">
      <formula>"×"</formula>
    </cfRule>
  </conditionalFormatting>
  <conditionalFormatting sqref="AI12">
    <cfRule type="cellIs" dxfId="8135" priority="15257" operator="equal">
      <formula>1</formula>
    </cfRule>
    <cfRule type="cellIs" dxfId="8134" priority="15258" operator="equal">
      <formula>"×"</formula>
    </cfRule>
  </conditionalFormatting>
  <conditionalFormatting sqref="AD19">
    <cfRule type="cellIs" dxfId="8133" priority="15285" operator="equal">
      <formula>1</formula>
    </cfRule>
    <cfRule type="cellIs" dxfId="8132" priority="15286" operator="equal">
      <formula>"×"</formula>
    </cfRule>
  </conditionalFormatting>
  <conditionalFormatting sqref="AC19:AD19">
    <cfRule type="cellIs" dxfId="8131" priority="15283" operator="equal">
      <formula>1</formula>
    </cfRule>
    <cfRule type="cellIs" dxfId="8130" priority="15284" operator="equal">
      <formula>"×"</formula>
    </cfRule>
  </conditionalFormatting>
  <conditionalFormatting sqref="AF11">
    <cfRule type="cellIs" dxfId="8129" priority="15281" operator="equal">
      <formula>1</formula>
    </cfRule>
    <cfRule type="cellIs" dxfId="8128" priority="15282" operator="equal">
      <formula>"×"</formula>
    </cfRule>
  </conditionalFormatting>
  <conditionalFormatting sqref="AF11">
    <cfRule type="cellIs" dxfId="8127" priority="15279" operator="equal">
      <formula>1</formula>
    </cfRule>
    <cfRule type="cellIs" dxfId="8126" priority="15280" operator="equal">
      <formula>"×"</formula>
    </cfRule>
  </conditionalFormatting>
  <conditionalFormatting sqref="AF11">
    <cfRule type="cellIs" dxfId="8125" priority="15277" operator="equal">
      <formula>1</formula>
    </cfRule>
    <cfRule type="cellIs" dxfId="8124" priority="15278" operator="equal">
      <formula>"×"</formula>
    </cfRule>
  </conditionalFormatting>
  <conditionalFormatting sqref="AF11">
    <cfRule type="cellIs" dxfId="8123" priority="15275" operator="equal">
      <formula>1</formula>
    </cfRule>
    <cfRule type="cellIs" dxfId="8122" priority="15276" operator="equal">
      <formula>"×"</formula>
    </cfRule>
  </conditionalFormatting>
  <conditionalFormatting sqref="AI12">
    <cfRule type="cellIs" dxfId="8121" priority="15273" operator="equal">
      <formula>1</formula>
    </cfRule>
    <cfRule type="cellIs" dxfId="8120" priority="15274" operator="equal">
      <formula>"×"</formula>
    </cfRule>
  </conditionalFormatting>
  <conditionalFormatting sqref="AF11">
    <cfRule type="cellIs" dxfId="8119" priority="15271" operator="equal">
      <formula>1</formula>
    </cfRule>
    <cfRule type="cellIs" dxfId="8118" priority="15272" operator="equal">
      <formula>"×"</formula>
    </cfRule>
  </conditionalFormatting>
  <conditionalFormatting sqref="AF11">
    <cfRule type="cellIs" dxfId="8117" priority="15269" operator="equal">
      <formula>1</formula>
    </cfRule>
    <cfRule type="cellIs" dxfId="8116" priority="15270" operator="equal">
      <formula>"×"</formula>
    </cfRule>
  </conditionalFormatting>
  <conditionalFormatting sqref="AE13">
    <cfRule type="cellIs" dxfId="8115" priority="15267" operator="equal">
      <formula>1</formula>
    </cfRule>
    <cfRule type="cellIs" dxfId="8114" priority="15268" operator="equal">
      <formula>"×"</formula>
    </cfRule>
  </conditionalFormatting>
  <conditionalFormatting sqref="AE13 AF11:AI11">
    <cfRule type="cellIs" dxfId="8113" priority="15265" operator="equal">
      <formula>1</formula>
    </cfRule>
    <cfRule type="cellIs" dxfId="8112" priority="15266" operator="equal">
      <formula>"×"</formula>
    </cfRule>
  </conditionalFormatting>
  <conditionalFormatting sqref="AI11">
    <cfRule type="cellIs" dxfId="8111" priority="15263" operator="equal">
      <formula>1</formula>
    </cfRule>
    <cfRule type="cellIs" dxfId="8110" priority="15264" operator="equal">
      <formula>"×"</formula>
    </cfRule>
  </conditionalFormatting>
  <conditionalFormatting sqref="AE13 AF11">
    <cfRule type="cellIs" dxfId="8109" priority="15229" operator="equal">
      <formula>1</formula>
    </cfRule>
    <cfRule type="cellIs" dxfId="8108" priority="15230" operator="equal">
      <formula>"×"</formula>
    </cfRule>
  </conditionalFormatting>
  <conditionalFormatting sqref="AC19">
    <cfRule type="cellIs" dxfId="8107" priority="15227" operator="equal">
      <formula>1</formula>
    </cfRule>
    <cfRule type="cellIs" dxfId="8106" priority="15228" operator="equal">
      <formula>"×"</formula>
    </cfRule>
  </conditionalFormatting>
  <conditionalFormatting sqref="AD19">
    <cfRule type="cellIs" dxfId="8105" priority="15223" operator="equal">
      <formula>1</formula>
    </cfRule>
    <cfRule type="cellIs" dxfId="8104" priority="15224" operator="equal">
      <formula>"×"</formula>
    </cfRule>
  </conditionalFormatting>
  <conditionalFormatting sqref="AD19">
    <cfRule type="cellIs" dxfId="8103" priority="15225" operator="equal">
      <formula>1</formula>
    </cfRule>
    <cfRule type="cellIs" dxfId="8102" priority="15226" operator="equal">
      <formula>"×"</formula>
    </cfRule>
  </conditionalFormatting>
  <conditionalFormatting sqref="AE13">
    <cfRule type="cellIs" dxfId="8101" priority="15253" operator="equal">
      <formula>1</formula>
    </cfRule>
    <cfRule type="cellIs" dxfId="8100" priority="15254" operator="equal">
      <formula>"×"</formula>
    </cfRule>
  </conditionalFormatting>
  <conditionalFormatting sqref="AE13">
    <cfRule type="cellIs" dxfId="8099" priority="15251" operator="equal">
      <formula>1</formula>
    </cfRule>
    <cfRule type="cellIs" dxfId="8098" priority="15252" operator="equal">
      <formula>"×"</formula>
    </cfRule>
  </conditionalFormatting>
  <conditionalFormatting sqref="AE13">
    <cfRule type="cellIs" dxfId="8097" priority="15249" operator="equal">
      <formula>1</formula>
    </cfRule>
    <cfRule type="cellIs" dxfId="8096" priority="15250" operator="equal">
      <formula>"×"</formula>
    </cfRule>
  </conditionalFormatting>
  <conditionalFormatting sqref="AE13">
    <cfRule type="cellIs" dxfId="8095" priority="15247" operator="equal">
      <formula>1</formula>
    </cfRule>
    <cfRule type="cellIs" dxfId="8094" priority="15248" operator="equal">
      <formula>"×"</formula>
    </cfRule>
  </conditionalFormatting>
  <conditionalFormatting sqref="AE13">
    <cfRule type="cellIs" dxfId="8093" priority="15245" operator="equal">
      <formula>1</formula>
    </cfRule>
    <cfRule type="cellIs" dxfId="8092" priority="15246" operator="equal">
      <formula>"×"</formula>
    </cfRule>
  </conditionalFormatting>
  <conditionalFormatting sqref="AE13">
    <cfRule type="cellIs" dxfId="8091" priority="15243" operator="equal">
      <formula>1</formula>
    </cfRule>
    <cfRule type="cellIs" dxfId="8090" priority="15244" operator="equal">
      <formula>"×"</formula>
    </cfRule>
  </conditionalFormatting>
  <conditionalFormatting sqref="AE13 AF11">
    <cfRule type="cellIs" dxfId="8089" priority="15241" operator="equal">
      <formula>1</formula>
    </cfRule>
    <cfRule type="cellIs" dxfId="8088" priority="15242" operator="equal">
      <formula>"×"</formula>
    </cfRule>
  </conditionalFormatting>
  <conditionalFormatting sqref="AE13 AF11">
    <cfRule type="cellIs" dxfId="8087" priority="15239" operator="equal">
      <formula>1</formula>
    </cfRule>
    <cfRule type="cellIs" dxfId="8086" priority="15240" operator="equal">
      <formula>"×"</formula>
    </cfRule>
  </conditionalFormatting>
  <conditionalFormatting sqref="AE13 AF11">
    <cfRule type="cellIs" dxfId="8085" priority="15237" operator="equal">
      <formula>1</formula>
    </cfRule>
    <cfRule type="cellIs" dxfId="8084" priority="15238" operator="equal">
      <formula>"×"</formula>
    </cfRule>
  </conditionalFormatting>
  <conditionalFormatting sqref="AE13 AF11">
    <cfRule type="cellIs" dxfId="8083" priority="15235" operator="equal">
      <formula>1</formula>
    </cfRule>
    <cfRule type="cellIs" dxfId="8082" priority="15236" operator="equal">
      <formula>"×"</formula>
    </cfRule>
  </conditionalFormatting>
  <conditionalFormatting sqref="AE13 AF11">
    <cfRule type="cellIs" dxfId="8081" priority="15233" operator="equal">
      <formula>1</formula>
    </cfRule>
    <cfRule type="cellIs" dxfId="8080" priority="15234" operator="equal">
      <formula>"×"</formula>
    </cfRule>
  </conditionalFormatting>
  <conditionalFormatting sqref="AE13 AF11">
    <cfRule type="cellIs" dxfId="8079" priority="15231" operator="equal">
      <formula>1</formula>
    </cfRule>
    <cfRule type="cellIs" dxfId="8078" priority="15232" operator="equal">
      <formula>"×"</formula>
    </cfRule>
  </conditionalFormatting>
  <conditionalFormatting sqref="AD19">
    <cfRule type="cellIs" dxfId="8077" priority="15221" operator="equal">
      <formula>1</formula>
    </cfRule>
    <cfRule type="cellIs" dxfId="8076" priority="15222" operator="equal">
      <formula>"×"</formula>
    </cfRule>
  </conditionalFormatting>
  <conditionalFormatting sqref="AD19">
    <cfRule type="cellIs" dxfId="8075" priority="15219" operator="equal">
      <formula>1</formula>
    </cfRule>
    <cfRule type="cellIs" dxfId="8074" priority="15220" operator="equal">
      <formula>"×"</formula>
    </cfRule>
  </conditionalFormatting>
  <conditionalFormatting sqref="AD19">
    <cfRule type="cellIs" dxfId="8073" priority="15193" operator="equal">
      <formula>1</formula>
    </cfRule>
    <cfRule type="cellIs" dxfId="8072" priority="15194" operator="equal">
      <formula>"×"</formula>
    </cfRule>
  </conditionalFormatting>
  <conditionalFormatting sqref="AD19">
    <cfRule type="cellIs" dxfId="8071" priority="15191" operator="equal">
      <formula>1</formula>
    </cfRule>
    <cfRule type="cellIs" dxfId="8070" priority="15192" operator="equal">
      <formula>"×"</formula>
    </cfRule>
  </conditionalFormatting>
  <conditionalFormatting sqref="AH10:AI10">
    <cfRule type="cellIs" dxfId="8069" priority="15187" operator="equal">
      <formula>1</formula>
    </cfRule>
    <cfRule type="cellIs" dxfId="8068" priority="15188" operator="equal">
      <formula>"×"</formula>
    </cfRule>
  </conditionalFormatting>
  <conditionalFormatting sqref="AD19">
    <cfRule type="cellIs" dxfId="8067" priority="15189" operator="equal">
      <formula>1</formula>
    </cfRule>
    <cfRule type="cellIs" dxfId="8066" priority="15190" operator="equal">
      <formula>"×"</formula>
    </cfRule>
  </conditionalFormatting>
  <conditionalFormatting sqref="AC19">
    <cfRule type="cellIs" dxfId="8065" priority="15217" operator="equal">
      <formula>1</formula>
    </cfRule>
    <cfRule type="cellIs" dxfId="8064" priority="15218" operator="equal">
      <formula>"×"</formula>
    </cfRule>
  </conditionalFormatting>
  <conditionalFormatting sqref="AD19">
    <cfRule type="cellIs" dxfId="8063" priority="15215" operator="equal">
      <formula>1</formula>
    </cfRule>
    <cfRule type="cellIs" dxfId="8062" priority="15216" operator="equal">
      <formula>"×"</formula>
    </cfRule>
  </conditionalFormatting>
  <conditionalFormatting sqref="AD19">
    <cfRule type="cellIs" dxfId="8061" priority="15213" operator="equal">
      <formula>1</formula>
    </cfRule>
    <cfRule type="cellIs" dxfId="8060" priority="15214" operator="equal">
      <formula>"×"</formula>
    </cfRule>
  </conditionalFormatting>
  <conditionalFormatting sqref="AD19">
    <cfRule type="cellIs" dxfId="8059" priority="15211" operator="equal">
      <formula>1</formula>
    </cfRule>
    <cfRule type="cellIs" dxfId="8058" priority="15212" operator="equal">
      <formula>"×"</formula>
    </cfRule>
  </conditionalFormatting>
  <conditionalFormatting sqref="AD19">
    <cfRule type="cellIs" dxfId="8057" priority="15209" operator="equal">
      <formula>1</formula>
    </cfRule>
    <cfRule type="cellIs" dxfId="8056" priority="15210" operator="equal">
      <formula>"×"</formula>
    </cfRule>
  </conditionalFormatting>
  <conditionalFormatting sqref="AC19">
    <cfRule type="cellIs" dxfId="8055" priority="15207" operator="equal">
      <formula>1</formula>
    </cfRule>
    <cfRule type="cellIs" dxfId="8054" priority="15208" operator="equal">
      <formula>"×"</formula>
    </cfRule>
  </conditionalFormatting>
  <conditionalFormatting sqref="AD19">
    <cfRule type="cellIs" dxfId="8053" priority="15205" operator="equal">
      <formula>1</formula>
    </cfRule>
    <cfRule type="cellIs" dxfId="8052" priority="15206" operator="equal">
      <formula>"×"</formula>
    </cfRule>
  </conditionalFormatting>
  <conditionalFormatting sqref="AD19">
    <cfRule type="cellIs" dxfId="8051" priority="15203" operator="equal">
      <formula>1</formula>
    </cfRule>
    <cfRule type="cellIs" dxfId="8050" priority="15204" operator="equal">
      <formula>"×"</formula>
    </cfRule>
  </conditionalFormatting>
  <conditionalFormatting sqref="AD19">
    <cfRule type="cellIs" dxfId="8049" priority="15201" operator="equal">
      <formula>1</formula>
    </cfRule>
    <cfRule type="cellIs" dxfId="8048" priority="15202" operator="equal">
      <formula>"×"</formula>
    </cfRule>
  </conditionalFormatting>
  <conditionalFormatting sqref="AD19">
    <cfRule type="cellIs" dxfId="8047" priority="15199" operator="equal">
      <formula>1</formula>
    </cfRule>
    <cfRule type="cellIs" dxfId="8046" priority="15200" operator="equal">
      <formula>"×"</formula>
    </cfRule>
  </conditionalFormatting>
  <conditionalFormatting sqref="AC19">
    <cfRule type="cellIs" dxfId="8045" priority="15197" operator="equal">
      <formula>1</formula>
    </cfRule>
    <cfRule type="cellIs" dxfId="8044" priority="15198" operator="equal">
      <formula>"×"</formula>
    </cfRule>
  </conditionalFormatting>
  <conditionalFormatting sqref="AD19">
    <cfRule type="cellIs" dxfId="8043" priority="15195" operator="equal">
      <formula>1</formula>
    </cfRule>
    <cfRule type="cellIs" dxfId="8042" priority="15196" operator="equal">
      <formula>"×"</formula>
    </cfRule>
  </conditionalFormatting>
  <conditionalFormatting sqref="AH10:AI10">
    <cfRule type="cellIs" dxfId="8041" priority="15177" operator="equal">
      <formula>1</formula>
    </cfRule>
    <cfRule type="cellIs" dxfId="8040" priority="15178" operator="equal">
      <formula>"×"</formula>
    </cfRule>
  </conditionalFormatting>
  <conditionalFormatting sqref="AE7:AG7">
    <cfRule type="cellIs" dxfId="8039" priority="15175" operator="equal">
      <formula>1</formula>
    </cfRule>
    <cfRule type="cellIs" dxfId="8038" priority="15176" operator="equal">
      <formula>"×"</formula>
    </cfRule>
  </conditionalFormatting>
  <conditionalFormatting sqref="AI10">
    <cfRule type="cellIs" dxfId="8037" priority="15185" operator="equal">
      <formula>1</formula>
    </cfRule>
    <cfRule type="cellIs" dxfId="8036" priority="15186" operator="equal">
      <formula>"×"</formula>
    </cfRule>
  </conditionalFormatting>
  <conditionalFormatting sqref="AH10:AI10">
    <cfRule type="cellIs" dxfId="8035" priority="15183" operator="equal">
      <formula>1</formula>
    </cfRule>
    <cfRule type="cellIs" dxfId="8034" priority="15184" operator="equal">
      <formula>"×"</formula>
    </cfRule>
  </conditionalFormatting>
  <conditionalFormatting sqref="AH10:AI10">
    <cfRule type="cellIs" dxfId="8033" priority="15181" operator="equal">
      <formula>1</formula>
    </cfRule>
    <cfRule type="cellIs" dxfId="8032" priority="15182" operator="equal">
      <formula>"×"</formula>
    </cfRule>
  </conditionalFormatting>
  <conditionalFormatting sqref="AI10">
    <cfRule type="cellIs" dxfId="8031" priority="15179" operator="equal">
      <formula>1</formula>
    </cfRule>
    <cfRule type="cellIs" dxfId="8030" priority="15180" operator="equal">
      <formula>"×"</formula>
    </cfRule>
  </conditionalFormatting>
  <conditionalFormatting sqref="AE7:AG7">
    <cfRule type="cellIs" dxfId="8029" priority="15173" operator="equal">
      <formula>1</formula>
    </cfRule>
    <cfRule type="cellIs" dxfId="8028" priority="15174" operator="equal">
      <formula>"×"</formula>
    </cfRule>
  </conditionalFormatting>
  <conditionalFormatting sqref="AE7:AG7">
    <cfRule type="cellIs" dxfId="8027" priority="15171" operator="equal">
      <formula>1</formula>
    </cfRule>
    <cfRule type="cellIs" dxfId="8026" priority="15172" operator="equal">
      <formula>"×"</formula>
    </cfRule>
  </conditionalFormatting>
  <conditionalFormatting sqref="AE7:AG7">
    <cfRule type="cellIs" dxfId="8025" priority="15169" operator="equal">
      <formula>1</formula>
    </cfRule>
    <cfRule type="cellIs" dxfId="8024" priority="15170" operator="equal">
      <formula>"×"</formula>
    </cfRule>
  </conditionalFormatting>
  <conditionalFormatting sqref="AE7:AG7">
    <cfRule type="cellIs" dxfId="8023" priority="15167" operator="equal">
      <formula>1</formula>
    </cfRule>
    <cfRule type="cellIs" dxfId="8022" priority="15168" operator="equal">
      <formula>"×"</formula>
    </cfRule>
  </conditionalFormatting>
  <conditionalFormatting sqref="AE7:AG7">
    <cfRule type="cellIs" dxfId="8021" priority="15165" operator="equal">
      <formula>1</formula>
    </cfRule>
    <cfRule type="cellIs" dxfId="8020" priority="15166" operator="equal">
      <formula>"×"</formula>
    </cfRule>
  </conditionalFormatting>
  <conditionalFormatting sqref="AE7:AG7">
    <cfRule type="cellIs" dxfId="8019" priority="15163" operator="equal">
      <formula>1</formula>
    </cfRule>
    <cfRule type="cellIs" dxfId="8018" priority="15164" operator="equal">
      <formula>"×"</formula>
    </cfRule>
  </conditionalFormatting>
  <conditionalFormatting sqref="AE7:AG7">
    <cfRule type="cellIs" dxfId="8017" priority="15161" operator="equal">
      <formula>1</formula>
    </cfRule>
    <cfRule type="cellIs" dxfId="8016" priority="15162" operator="equal">
      <formula>"×"</formula>
    </cfRule>
  </conditionalFormatting>
  <conditionalFormatting sqref="AE7:AG7">
    <cfRule type="cellIs" dxfId="8015" priority="15159" operator="equal">
      <formula>1</formula>
    </cfRule>
    <cfRule type="cellIs" dxfId="8014" priority="15160" operator="equal">
      <formula>"×"</formula>
    </cfRule>
  </conditionalFormatting>
  <conditionalFormatting sqref="AE7:AG7">
    <cfRule type="cellIs" dxfId="8013" priority="15157" operator="equal">
      <formula>1</formula>
    </cfRule>
    <cfRule type="cellIs" dxfId="8012" priority="15158" operator="equal">
      <formula>"×"</formula>
    </cfRule>
  </conditionalFormatting>
  <conditionalFormatting sqref="AE7:AG7">
    <cfRule type="cellIs" dxfId="8011" priority="15155" operator="equal">
      <formula>1</formula>
    </cfRule>
    <cfRule type="cellIs" dxfId="8010" priority="15156" operator="equal">
      <formula>"×"</formula>
    </cfRule>
  </conditionalFormatting>
  <conditionalFormatting sqref="AE7:AG7">
    <cfRule type="cellIs" dxfId="8009" priority="15153" operator="equal">
      <formula>1</formula>
    </cfRule>
    <cfRule type="cellIs" dxfId="8008" priority="15154" operator="equal">
      <formula>"×"</formula>
    </cfRule>
  </conditionalFormatting>
  <conditionalFormatting sqref="AE7:AG7">
    <cfRule type="cellIs" dxfId="8007" priority="15151" operator="equal">
      <formula>1</formula>
    </cfRule>
    <cfRule type="cellIs" dxfId="8006" priority="15152" operator="equal">
      <formula>"×"</formula>
    </cfRule>
  </conditionalFormatting>
  <conditionalFormatting sqref="AE7:AG7">
    <cfRule type="cellIs" dxfId="8005" priority="15149" operator="equal">
      <formula>1</formula>
    </cfRule>
    <cfRule type="cellIs" dxfId="8004" priority="15150" operator="equal">
      <formula>"×"</formula>
    </cfRule>
  </conditionalFormatting>
  <conditionalFormatting sqref="AE7:AG7">
    <cfRule type="cellIs" dxfId="8003" priority="15147" operator="equal">
      <formula>1</formula>
    </cfRule>
    <cfRule type="cellIs" dxfId="8002" priority="15148" operator="equal">
      <formula>"×"</formula>
    </cfRule>
  </conditionalFormatting>
  <conditionalFormatting sqref="AE7:AG7">
    <cfRule type="cellIs" dxfId="8001" priority="15145" operator="equal">
      <formula>1</formula>
    </cfRule>
    <cfRule type="cellIs" dxfId="8000" priority="15146" operator="equal">
      <formula>"×"</formula>
    </cfRule>
  </conditionalFormatting>
  <conditionalFormatting sqref="AH7:AI7">
    <cfRule type="cellIs" dxfId="7999" priority="15143" operator="equal">
      <formula>1</formula>
    </cfRule>
    <cfRule type="cellIs" dxfId="7998" priority="15144" operator="equal">
      <formula>"×"</formula>
    </cfRule>
  </conditionalFormatting>
  <conditionalFormatting sqref="AH7:AI7">
    <cfRule type="cellIs" dxfId="7997" priority="15141" operator="equal">
      <formula>1</formula>
    </cfRule>
    <cfRule type="cellIs" dxfId="7996" priority="15142" operator="equal">
      <formula>"×"</formula>
    </cfRule>
  </conditionalFormatting>
  <conditionalFormatting sqref="AH7:AI7">
    <cfRule type="cellIs" dxfId="7995" priority="15139" operator="equal">
      <formula>1</formula>
    </cfRule>
    <cfRule type="cellIs" dxfId="7994" priority="15140" operator="equal">
      <formula>"×"</formula>
    </cfRule>
  </conditionalFormatting>
  <conditionalFormatting sqref="AH7:AI7">
    <cfRule type="cellIs" dxfId="7993" priority="15137" operator="equal">
      <formula>1</formula>
    </cfRule>
    <cfRule type="cellIs" dxfId="7992" priority="15138" operator="equal">
      <formula>"×"</formula>
    </cfRule>
  </conditionalFormatting>
  <conditionalFormatting sqref="AH7:AI7">
    <cfRule type="cellIs" dxfId="7991" priority="15135" operator="equal">
      <formula>1</formula>
    </cfRule>
    <cfRule type="cellIs" dxfId="7990" priority="15136" operator="equal">
      <formula>"×"</formula>
    </cfRule>
  </conditionalFormatting>
  <conditionalFormatting sqref="AH7:AI7">
    <cfRule type="cellIs" dxfId="7989" priority="15133" operator="equal">
      <formula>1</formula>
    </cfRule>
    <cfRule type="cellIs" dxfId="7988" priority="15134" operator="equal">
      <formula>"×"</formula>
    </cfRule>
  </conditionalFormatting>
  <conditionalFormatting sqref="AH8">
    <cfRule type="cellIs" dxfId="7987" priority="15107" operator="equal">
      <formula>1</formula>
    </cfRule>
    <cfRule type="cellIs" dxfId="7986" priority="15108" operator="equal">
      <formula>"×"</formula>
    </cfRule>
  </conditionalFormatting>
  <conditionalFormatting sqref="AH8">
    <cfRule type="cellIs" dxfId="7985" priority="15105" operator="equal">
      <formula>1</formula>
    </cfRule>
    <cfRule type="cellIs" dxfId="7984" priority="15106" operator="equal">
      <formula>"×"</formula>
    </cfRule>
  </conditionalFormatting>
  <conditionalFormatting sqref="AH8">
    <cfRule type="cellIs" dxfId="7983" priority="15101" operator="equal">
      <formula>1</formula>
    </cfRule>
    <cfRule type="cellIs" dxfId="7982" priority="15102" operator="equal">
      <formula>"×"</formula>
    </cfRule>
  </conditionalFormatting>
  <conditionalFormatting sqref="AH8">
    <cfRule type="cellIs" dxfId="7981" priority="15103" operator="equal">
      <formula>1</formula>
    </cfRule>
    <cfRule type="cellIs" dxfId="7980" priority="15104" operator="equal">
      <formula>"×"</formula>
    </cfRule>
  </conditionalFormatting>
  <conditionalFormatting sqref="AH7:AI7">
    <cfRule type="cellIs" dxfId="7979" priority="15131" operator="equal">
      <formula>1</formula>
    </cfRule>
    <cfRule type="cellIs" dxfId="7978" priority="15132" operator="equal">
      <formula>"×"</formula>
    </cfRule>
  </conditionalFormatting>
  <conditionalFormatting sqref="AH7:AI7">
    <cfRule type="cellIs" dxfId="7977" priority="15129" operator="equal">
      <formula>1</formula>
    </cfRule>
    <cfRule type="cellIs" dxfId="7976" priority="15130" operator="equal">
      <formula>"×"</formula>
    </cfRule>
  </conditionalFormatting>
  <conditionalFormatting sqref="AH7:AI7">
    <cfRule type="cellIs" dxfId="7975" priority="15127" operator="equal">
      <formula>1</formula>
    </cfRule>
    <cfRule type="cellIs" dxfId="7974" priority="15128" operator="equal">
      <formula>"×"</formula>
    </cfRule>
  </conditionalFormatting>
  <conditionalFormatting sqref="AH7:AI7">
    <cfRule type="cellIs" dxfId="7973" priority="15125" operator="equal">
      <formula>1</formula>
    </cfRule>
    <cfRule type="cellIs" dxfId="7972" priority="15126" operator="equal">
      <formula>"×"</formula>
    </cfRule>
  </conditionalFormatting>
  <conditionalFormatting sqref="AH7:AI7">
    <cfRule type="cellIs" dxfId="7971" priority="15123" operator="equal">
      <formula>1</formula>
    </cfRule>
    <cfRule type="cellIs" dxfId="7970" priority="15124" operator="equal">
      <formula>"×"</formula>
    </cfRule>
  </conditionalFormatting>
  <conditionalFormatting sqref="AH7:AI7">
    <cfRule type="cellIs" dxfId="7969" priority="15121" operator="equal">
      <formula>1</formula>
    </cfRule>
    <cfRule type="cellIs" dxfId="7968" priority="15122" operator="equal">
      <formula>"×"</formula>
    </cfRule>
  </conditionalFormatting>
  <conditionalFormatting sqref="AH7:AI7">
    <cfRule type="cellIs" dxfId="7967" priority="15119" operator="equal">
      <formula>1</formula>
    </cfRule>
    <cfRule type="cellIs" dxfId="7966" priority="15120" operator="equal">
      <formula>"×"</formula>
    </cfRule>
  </conditionalFormatting>
  <conditionalFormatting sqref="AH7:AI7">
    <cfRule type="cellIs" dxfId="7965" priority="15117" operator="equal">
      <formula>1</formula>
    </cfRule>
    <cfRule type="cellIs" dxfId="7964" priority="15118" operator="equal">
      <formula>"×"</formula>
    </cfRule>
  </conditionalFormatting>
  <conditionalFormatting sqref="AH7:AI7">
    <cfRule type="cellIs" dxfId="7963" priority="15115" operator="equal">
      <formula>1</formula>
    </cfRule>
    <cfRule type="cellIs" dxfId="7962" priority="15116" operator="equal">
      <formula>"×"</formula>
    </cfRule>
  </conditionalFormatting>
  <conditionalFormatting sqref="AH7:AI7">
    <cfRule type="cellIs" dxfId="7961" priority="15113" operator="equal">
      <formula>1</formula>
    </cfRule>
    <cfRule type="cellIs" dxfId="7960" priority="15114" operator="equal">
      <formula>"×"</formula>
    </cfRule>
  </conditionalFormatting>
  <conditionalFormatting sqref="AH8">
    <cfRule type="cellIs" dxfId="7959" priority="15111" operator="equal">
      <formula>1</formula>
    </cfRule>
    <cfRule type="cellIs" dxfId="7958" priority="15112" operator="equal">
      <formula>"×"</formula>
    </cfRule>
  </conditionalFormatting>
  <conditionalFormatting sqref="AH8">
    <cfRule type="cellIs" dxfId="7957" priority="15109" operator="equal">
      <formula>1</formula>
    </cfRule>
    <cfRule type="cellIs" dxfId="7956" priority="15110" operator="equal">
      <formula>"×"</formula>
    </cfRule>
  </conditionalFormatting>
  <conditionalFormatting sqref="AH8">
    <cfRule type="cellIs" dxfId="7955" priority="15099" operator="equal">
      <formula>1</formula>
    </cfRule>
    <cfRule type="cellIs" dxfId="7954" priority="15100" operator="equal">
      <formula>"×"</formula>
    </cfRule>
  </conditionalFormatting>
  <conditionalFormatting sqref="AG13:AH15">
    <cfRule type="cellIs" dxfId="7953" priority="18703" operator="equal">
      <formula>1</formula>
    </cfRule>
    <cfRule type="cellIs" dxfId="7952" priority="18704" operator="equal">
      <formula>"×"</formula>
    </cfRule>
  </conditionalFormatting>
  <conditionalFormatting sqref="AC9">
    <cfRule type="cellIs" dxfId="7951" priority="18701" operator="equal">
      <formula>1</formula>
    </cfRule>
    <cfRule type="cellIs" dxfId="7950" priority="18702" operator="equal">
      <formula>"×"</formula>
    </cfRule>
  </conditionalFormatting>
  <conditionalFormatting sqref="AC9">
    <cfRule type="cellIs" dxfId="7949" priority="18637" operator="equal">
      <formula>1</formula>
    </cfRule>
    <cfRule type="cellIs" dxfId="7948" priority="18638" operator="equal">
      <formula>"×"</formula>
    </cfRule>
  </conditionalFormatting>
  <conditionalFormatting sqref="AF9">
    <cfRule type="cellIs" dxfId="7947" priority="18635" operator="equal">
      <formula>1</formula>
    </cfRule>
    <cfRule type="cellIs" dxfId="7946" priority="18636" operator="equal">
      <formula>"×"</formula>
    </cfRule>
  </conditionalFormatting>
  <conditionalFormatting sqref="AF9">
    <cfRule type="cellIs" dxfId="7945" priority="18633" operator="equal">
      <formula>1</formula>
    </cfRule>
    <cfRule type="cellIs" dxfId="7944" priority="18634" operator="equal">
      <formula>"×"</formula>
    </cfRule>
  </conditionalFormatting>
  <conditionalFormatting sqref="AE9">
    <cfRule type="cellIs" dxfId="7943" priority="18631" operator="equal">
      <formula>1</formula>
    </cfRule>
    <cfRule type="cellIs" dxfId="7942" priority="18632" operator="equal">
      <formula>"×"</formula>
    </cfRule>
  </conditionalFormatting>
  <conditionalFormatting sqref="AD9">
    <cfRule type="cellIs" dxfId="7941" priority="18629" operator="equal">
      <formula>1</formula>
    </cfRule>
    <cfRule type="cellIs" dxfId="7940" priority="18630" operator="equal">
      <formula>"×"</formula>
    </cfRule>
  </conditionalFormatting>
  <conditionalFormatting sqref="AE9">
    <cfRule type="cellIs" dxfId="7939" priority="18627" operator="equal">
      <formula>1</formula>
    </cfRule>
    <cfRule type="cellIs" dxfId="7938" priority="18628" operator="equal">
      <formula>"×"</formula>
    </cfRule>
  </conditionalFormatting>
  <conditionalFormatting sqref="AD9">
    <cfRule type="cellIs" dxfId="7937" priority="18625" operator="equal">
      <formula>1</formula>
    </cfRule>
    <cfRule type="cellIs" dxfId="7936" priority="18626" operator="equal">
      <formula>"×"</formula>
    </cfRule>
  </conditionalFormatting>
  <conditionalFormatting sqref="AD9">
    <cfRule type="cellIs" dxfId="7935" priority="18621" operator="equal">
      <formula>1</formula>
    </cfRule>
    <cfRule type="cellIs" dxfId="7934" priority="18622" operator="equal">
      <formula>"×"</formula>
    </cfRule>
  </conditionalFormatting>
  <conditionalFormatting sqref="AD9">
    <cfRule type="cellIs" dxfId="7933" priority="18623" operator="equal">
      <formula>1</formula>
    </cfRule>
    <cfRule type="cellIs" dxfId="7932" priority="18624" operator="equal">
      <formula>"×"</formula>
    </cfRule>
  </conditionalFormatting>
  <conditionalFormatting sqref="AF8:AI8">
    <cfRule type="cellIs" dxfId="7931" priority="18699" operator="equal">
      <formula>1</formula>
    </cfRule>
    <cfRule type="cellIs" dxfId="7930" priority="18700" operator="equal">
      <formula>"×"</formula>
    </cfRule>
  </conditionalFormatting>
  <conditionalFormatting sqref="AI8">
    <cfRule type="cellIs" dxfId="7929" priority="18697" operator="equal">
      <formula>1</formula>
    </cfRule>
    <cfRule type="cellIs" dxfId="7928" priority="18698" operator="equal">
      <formula>"×"</formula>
    </cfRule>
  </conditionalFormatting>
  <conditionalFormatting sqref="AI9">
    <cfRule type="cellIs" dxfId="7927" priority="18693" operator="equal">
      <formula>1</formula>
    </cfRule>
    <cfRule type="cellIs" dxfId="7926" priority="18694" operator="equal">
      <formula>"×"</formula>
    </cfRule>
  </conditionalFormatting>
  <conditionalFormatting sqref="AF8:AI10">
    <cfRule type="cellIs" dxfId="7925" priority="18695" operator="equal">
      <formula>1</formula>
    </cfRule>
    <cfRule type="cellIs" dxfId="7924" priority="18696" operator="equal">
      <formula>"×"</formula>
    </cfRule>
  </conditionalFormatting>
  <conditionalFormatting sqref="AD9">
    <cfRule type="cellIs" dxfId="7923" priority="18691" operator="equal">
      <formula>1</formula>
    </cfRule>
    <cfRule type="cellIs" dxfId="7922" priority="18692" operator="equal">
      <formula>"×"</formula>
    </cfRule>
  </conditionalFormatting>
  <conditionalFormatting sqref="AD9">
    <cfRule type="cellIs" dxfId="7921" priority="18689" operator="equal">
      <formula>1</formula>
    </cfRule>
    <cfRule type="cellIs" dxfId="7920" priority="18690" operator="equal">
      <formula>"×"</formula>
    </cfRule>
  </conditionalFormatting>
  <conditionalFormatting sqref="AD9">
    <cfRule type="cellIs" dxfId="7919" priority="18687" operator="equal">
      <formula>1</formula>
    </cfRule>
    <cfRule type="cellIs" dxfId="7918" priority="18688" operator="equal">
      <formula>"×"</formula>
    </cfRule>
  </conditionalFormatting>
  <conditionalFormatting sqref="AD9">
    <cfRule type="cellIs" dxfId="7917" priority="18685" operator="equal">
      <formula>1</formula>
    </cfRule>
    <cfRule type="cellIs" dxfId="7916" priority="18686" operator="equal">
      <formula>"×"</formula>
    </cfRule>
  </conditionalFormatting>
  <conditionalFormatting sqref="AG7:AI10 AH10:AI12">
    <cfRule type="cellIs" dxfId="7915" priority="18683" operator="equal">
      <formula>1</formula>
    </cfRule>
    <cfRule type="cellIs" dxfId="7914" priority="18684" operator="equal">
      <formula>"×"</formula>
    </cfRule>
  </conditionalFormatting>
  <conditionalFormatting sqref="AI7:AI12">
    <cfRule type="cellIs" dxfId="7913" priority="18681" operator="equal">
      <formula>1</formula>
    </cfRule>
    <cfRule type="cellIs" dxfId="7912" priority="18682" operator="equal">
      <formula>"×"</formula>
    </cfRule>
  </conditionalFormatting>
  <conditionalFormatting sqref="AG7:AI10 AH10:AI12">
    <cfRule type="cellIs" dxfId="7911" priority="18679" operator="equal">
      <formula>1</formula>
    </cfRule>
    <cfRule type="cellIs" dxfId="7910" priority="18680" operator="equal">
      <formula>"×"</formula>
    </cfRule>
  </conditionalFormatting>
  <conditionalFormatting sqref="AF13">
    <cfRule type="cellIs" dxfId="7909" priority="18677" operator="equal">
      <formula>1</formula>
    </cfRule>
    <cfRule type="cellIs" dxfId="7908" priority="18678" operator="equal">
      <formula>"×"</formula>
    </cfRule>
  </conditionalFormatting>
  <conditionalFormatting sqref="AF13">
    <cfRule type="cellIs" dxfId="7907" priority="18675" operator="equal">
      <formula>1</formula>
    </cfRule>
    <cfRule type="cellIs" dxfId="7906" priority="18676" operator="equal">
      <formula>"×"</formula>
    </cfRule>
  </conditionalFormatting>
  <conditionalFormatting sqref="AF18">
    <cfRule type="cellIs" dxfId="7905" priority="14871" operator="equal">
      <formula>1</formula>
    </cfRule>
    <cfRule type="cellIs" dxfId="7904" priority="14872" operator="equal">
      <formula>"×"</formula>
    </cfRule>
  </conditionalFormatting>
  <conditionalFormatting sqref="AF13:AF14 AF17:AF19">
    <cfRule type="cellIs" dxfId="7903" priority="14869" operator="equal">
      <formula>1</formula>
    </cfRule>
    <cfRule type="cellIs" dxfId="7902" priority="14870" operator="equal">
      <formula>"×"</formula>
    </cfRule>
  </conditionalFormatting>
  <conditionalFormatting sqref="AF13:AF14 AF17:AF19">
    <cfRule type="cellIs" dxfId="7901" priority="14867" operator="equal">
      <formula>1</formula>
    </cfRule>
    <cfRule type="cellIs" dxfId="7900" priority="14868" operator="equal">
      <formula>"×"</formula>
    </cfRule>
  </conditionalFormatting>
  <conditionalFormatting sqref="AF13:AF14 AF17:AF19">
    <cfRule type="cellIs" dxfId="7899" priority="14863" operator="equal">
      <formula>1</formula>
    </cfRule>
    <cfRule type="cellIs" dxfId="7898" priority="14864" operator="equal">
      <formula>"×"</formula>
    </cfRule>
  </conditionalFormatting>
  <conditionalFormatting sqref="AF13:AF14 AF17:AF19">
    <cfRule type="cellIs" dxfId="7897" priority="14865" operator="equal">
      <formula>1</formula>
    </cfRule>
    <cfRule type="cellIs" dxfId="7896" priority="14866" operator="equal">
      <formula>"×"</formula>
    </cfRule>
  </conditionalFormatting>
  <conditionalFormatting sqref="AI8">
    <cfRule type="cellIs" dxfId="7895" priority="18673" operator="equal">
      <formula>1</formula>
    </cfRule>
    <cfRule type="cellIs" dxfId="7894" priority="18674" operator="equal">
      <formula>"×"</formula>
    </cfRule>
  </conditionalFormatting>
  <conditionalFormatting sqref="AE9">
    <cfRule type="cellIs" dxfId="7893" priority="18671" operator="equal">
      <formula>1</formula>
    </cfRule>
    <cfRule type="cellIs" dxfId="7892" priority="18672" operator="equal">
      <formula>"×"</formula>
    </cfRule>
  </conditionalFormatting>
  <conditionalFormatting sqref="AE9">
    <cfRule type="cellIs" dxfId="7891" priority="18667" operator="equal">
      <formula>1</formula>
    </cfRule>
    <cfRule type="cellIs" dxfId="7890" priority="18668" operator="equal">
      <formula>"×"</formula>
    </cfRule>
  </conditionalFormatting>
  <conditionalFormatting sqref="AD9">
    <cfRule type="cellIs" dxfId="7889" priority="18669" operator="equal">
      <formula>1</formula>
    </cfRule>
    <cfRule type="cellIs" dxfId="7888" priority="18670" operator="equal">
      <formula>"×"</formula>
    </cfRule>
  </conditionalFormatting>
  <conditionalFormatting sqref="AD9">
    <cfRule type="cellIs" dxfId="7887" priority="18665" operator="equal">
      <formula>1</formula>
    </cfRule>
    <cfRule type="cellIs" dxfId="7886" priority="18666" operator="equal">
      <formula>"×"</formula>
    </cfRule>
  </conditionalFormatting>
  <conditionalFormatting sqref="AD9">
    <cfRule type="cellIs" dxfId="7885" priority="18663" operator="equal">
      <formula>1</formula>
    </cfRule>
    <cfRule type="cellIs" dxfId="7884" priority="18664" operator="equal">
      <formula>"×"</formula>
    </cfRule>
  </conditionalFormatting>
  <conditionalFormatting sqref="AD9">
    <cfRule type="cellIs" dxfId="7883" priority="18661" operator="equal">
      <formula>1</formula>
    </cfRule>
    <cfRule type="cellIs" dxfId="7882" priority="18662" operator="equal">
      <formula>"×"</formula>
    </cfRule>
  </conditionalFormatting>
  <conditionalFormatting sqref="AE15">
    <cfRule type="cellIs" dxfId="7881" priority="18659" operator="equal">
      <formula>1</formula>
    </cfRule>
    <cfRule type="cellIs" dxfId="7880" priority="18660" operator="equal">
      <formula>"×"</formula>
    </cfRule>
  </conditionalFormatting>
  <conditionalFormatting sqref="AE15 AF13:AI13">
    <cfRule type="cellIs" dxfId="7879" priority="18657" operator="equal">
      <formula>1</formula>
    </cfRule>
    <cfRule type="cellIs" dxfId="7878" priority="18658" operator="equal">
      <formula>"×"</formula>
    </cfRule>
  </conditionalFormatting>
  <conditionalFormatting sqref="AI13">
    <cfRule type="cellIs" dxfId="7877" priority="18655" operator="equal">
      <formula>1</formula>
    </cfRule>
    <cfRule type="cellIs" dxfId="7876" priority="18656" operator="equal">
      <formula>"×"</formula>
    </cfRule>
  </conditionalFormatting>
  <conditionalFormatting sqref="AE15 AF13:AI13">
    <cfRule type="cellIs" dxfId="7875" priority="18653" operator="equal">
      <formula>1</formula>
    </cfRule>
    <cfRule type="cellIs" dxfId="7874" priority="18654" operator="equal">
      <formula>"×"</formula>
    </cfRule>
  </conditionalFormatting>
  <conditionalFormatting sqref="AI8">
    <cfRule type="cellIs" dxfId="7873" priority="18651" operator="equal">
      <formula>1</formula>
    </cfRule>
    <cfRule type="cellIs" dxfId="7872" priority="18652" operator="equal">
      <formula>"×"</formula>
    </cfRule>
  </conditionalFormatting>
  <conditionalFormatting sqref="AE9">
    <cfRule type="cellIs" dxfId="7871" priority="18649" operator="equal">
      <formula>1</formula>
    </cfRule>
    <cfRule type="cellIs" dxfId="7870" priority="18650" operator="equal">
      <formula>"×"</formula>
    </cfRule>
  </conditionalFormatting>
  <conditionalFormatting sqref="AE9">
    <cfRule type="cellIs" dxfId="7869" priority="18645" operator="equal">
      <formula>1</formula>
    </cfRule>
    <cfRule type="cellIs" dxfId="7868" priority="18646" operator="equal">
      <formula>"×"</formula>
    </cfRule>
  </conditionalFormatting>
  <conditionalFormatting sqref="AD9">
    <cfRule type="cellIs" dxfId="7867" priority="18647" operator="equal">
      <formula>1</formula>
    </cfRule>
    <cfRule type="cellIs" dxfId="7866" priority="18648" operator="equal">
      <formula>"×"</formula>
    </cfRule>
  </conditionalFormatting>
  <conditionalFormatting sqref="AD9">
    <cfRule type="cellIs" dxfId="7865" priority="18643" operator="equal">
      <formula>1</formula>
    </cfRule>
    <cfRule type="cellIs" dxfId="7864" priority="18644" operator="equal">
      <formula>"×"</formula>
    </cfRule>
  </conditionalFormatting>
  <conditionalFormatting sqref="AD9">
    <cfRule type="cellIs" dxfId="7863" priority="18641" operator="equal">
      <formula>1</formula>
    </cfRule>
    <cfRule type="cellIs" dxfId="7862" priority="18642" operator="equal">
      <formula>"×"</formula>
    </cfRule>
  </conditionalFormatting>
  <conditionalFormatting sqref="AD9">
    <cfRule type="cellIs" dxfId="7861" priority="18639" operator="equal">
      <formula>1</formula>
    </cfRule>
    <cfRule type="cellIs" dxfId="7860" priority="18640" operator="equal">
      <formula>"×"</formula>
    </cfRule>
  </conditionalFormatting>
  <conditionalFormatting sqref="AE15">
    <cfRule type="cellIs" dxfId="7859" priority="18619" operator="equal">
      <formula>1</formula>
    </cfRule>
    <cfRule type="cellIs" dxfId="7858" priority="18620" operator="equal">
      <formula>"×"</formula>
    </cfRule>
  </conditionalFormatting>
  <conditionalFormatting sqref="AE15 AF13:AI13">
    <cfRule type="cellIs" dxfId="7857" priority="18617" operator="equal">
      <formula>1</formula>
    </cfRule>
    <cfRule type="cellIs" dxfId="7856" priority="18618" operator="equal">
      <formula>"×"</formula>
    </cfRule>
  </conditionalFormatting>
  <conditionalFormatting sqref="AI13">
    <cfRule type="cellIs" dxfId="7855" priority="18615" operator="equal">
      <formula>1</formula>
    </cfRule>
    <cfRule type="cellIs" dxfId="7854" priority="18616" operator="equal">
      <formula>"×"</formula>
    </cfRule>
  </conditionalFormatting>
  <conditionalFormatting sqref="AF13:AI13">
    <cfRule type="cellIs" dxfId="7853" priority="18613" operator="equal">
      <formula>1</formula>
    </cfRule>
    <cfRule type="cellIs" dxfId="7852" priority="18614" operator="equal">
      <formula>"×"</formula>
    </cfRule>
  </conditionalFormatting>
  <conditionalFormatting sqref="AE15 AF13:AI13">
    <cfRule type="cellIs" dxfId="7851" priority="18611" operator="equal">
      <formula>1</formula>
    </cfRule>
    <cfRule type="cellIs" dxfId="7850" priority="18612" operator="equal">
      <formula>"×"</formula>
    </cfRule>
  </conditionalFormatting>
  <conditionalFormatting sqref="AI13">
    <cfRule type="cellIs" dxfId="7849" priority="18609" operator="equal">
      <formula>1</formula>
    </cfRule>
    <cfRule type="cellIs" dxfId="7848" priority="18610" operator="equal">
      <formula>"×"</formula>
    </cfRule>
  </conditionalFormatting>
  <conditionalFormatting sqref="AF14">
    <cfRule type="cellIs" dxfId="7847" priority="18607" operator="equal">
      <formula>1</formula>
    </cfRule>
    <cfRule type="cellIs" dxfId="7846" priority="18608" operator="equal">
      <formula>"×"</formula>
    </cfRule>
  </conditionalFormatting>
  <conditionalFormatting sqref="AG13:AI15">
    <cfRule type="cellIs" dxfId="7845" priority="18605" operator="equal">
      <formula>1</formula>
    </cfRule>
    <cfRule type="cellIs" dxfId="7844" priority="18606" operator="equal">
      <formula>"×"</formula>
    </cfRule>
  </conditionalFormatting>
  <conditionalFormatting sqref="AI13:AI15">
    <cfRule type="cellIs" dxfId="7843" priority="18603" operator="equal">
      <formula>1</formula>
    </cfRule>
    <cfRule type="cellIs" dxfId="7842" priority="18604" operator="equal">
      <formula>"×"</formula>
    </cfRule>
  </conditionalFormatting>
  <conditionalFormatting sqref="AG13:AI15">
    <cfRule type="cellIs" dxfId="7841" priority="18601" operator="equal">
      <formula>1</formula>
    </cfRule>
    <cfRule type="cellIs" dxfId="7840" priority="18602" operator="equal">
      <formula>"×"</formula>
    </cfRule>
  </conditionalFormatting>
  <conditionalFormatting sqref="AI13:AI15">
    <cfRule type="cellIs" dxfId="7839" priority="18597" operator="equal">
      <formula>1</formula>
    </cfRule>
    <cfRule type="cellIs" dxfId="7838" priority="18598" operator="equal">
      <formula>"×"</formula>
    </cfRule>
  </conditionalFormatting>
  <conditionalFormatting sqref="AG13:AI15">
    <cfRule type="cellIs" dxfId="7837" priority="18595" operator="equal">
      <formula>1</formula>
    </cfRule>
    <cfRule type="cellIs" dxfId="7836" priority="18596" operator="equal">
      <formula>"×"</formula>
    </cfRule>
  </conditionalFormatting>
  <conditionalFormatting sqref="AG13:AI15">
    <cfRule type="cellIs" dxfId="7835" priority="18593" operator="equal">
      <formula>1</formula>
    </cfRule>
    <cfRule type="cellIs" dxfId="7834" priority="18594" operator="equal">
      <formula>"×"</formula>
    </cfRule>
  </conditionalFormatting>
  <conditionalFormatting sqref="AI13:AI15">
    <cfRule type="cellIs" dxfId="7833" priority="18581" operator="equal">
      <formula>1</formula>
    </cfRule>
    <cfRule type="cellIs" dxfId="7832" priority="18582" operator="equal">
      <formula>"×"</formula>
    </cfRule>
  </conditionalFormatting>
  <conditionalFormatting sqref="AI13:AI15">
    <cfRule type="cellIs" dxfId="7831" priority="18579" operator="equal">
      <formula>1</formula>
    </cfRule>
    <cfRule type="cellIs" dxfId="7830" priority="18580" operator="equal">
      <formula>"×"</formula>
    </cfRule>
  </conditionalFormatting>
  <conditionalFormatting sqref="AF17:AI17">
    <cfRule type="cellIs" dxfId="7829" priority="14881" operator="equal">
      <formula>1</formula>
    </cfRule>
    <cfRule type="cellIs" dxfId="7828" priority="14882" operator="equal">
      <formula>"×"</formula>
    </cfRule>
  </conditionalFormatting>
  <conditionalFormatting sqref="AI17">
    <cfRule type="cellIs" dxfId="7827" priority="14879" operator="equal">
      <formula>1</formula>
    </cfRule>
    <cfRule type="cellIs" dxfId="7826" priority="14880" operator="equal">
      <formula>"×"</formula>
    </cfRule>
  </conditionalFormatting>
  <conditionalFormatting sqref="AF17:AI17">
    <cfRule type="cellIs" dxfId="7825" priority="14877" operator="equal">
      <formula>1</formula>
    </cfRule>
    <cfRule type="cellIs" dxfId="7824" priority="14878" operator="equal">
      <formula>"×"</formula>
    </cfRule>
  </conditionalFormatting>
  <conditionalFormatting sqref="AF17:AI17">
    <cfRule type="cellIs" dxfId="7823" priority="14875" operator="equal">
      <formula>1</formula>
    </cfRule>
    <cfRule type="cellIs" dxfId="7822" priority="14876" operator="equal">
      <formula>"×"</formula>
    </cfRule>
  </conditionalFormatting>
  <conditionalFormatting sqref="AI17">
    <cfRule type="cellIs" dxfId="7821" priority="14873" operator="equal">
      <formula>1</formula>
    </cfRule>
    <cfRule type="cellIs" dxfId="7820" priority="14874" operator="equal">
      <formula>"×"</formula>
    </cfRule>
  </conditionalFormatting>
  <conditionalFormatting sqref="AF13:AF14 AF17:AF19">
    <cfRule type="cellIs" dxfId="7819" priority="14861" operator="equal">
      <formula>1</formula>
    </cfRule>
    <cfRule type="cellIs" dxfId="7818" priority="14862" operator="equal">
      <formula>"×"</formula>
    </cfRule>
  </conditionalFormatting>
  <conditionalFormatting sqref="AF13:AF14 AF17:AF19">
    <cfRule type="cellIs" dxfId="7817" priority="14859" operator="equal">
      <formula>1</formula>
    </cfRule>
    <cfRule type="cellIs" dxfId="7816" priority="14860" operator="equal">
      <formula>"×"</formula>
    </cfRule>
  </conditionalFormatting>
  <conditionalFormatting sqref="AG17:AI19">
    <cfRule type="cellIs" dxfId="7815" priority="14857" operator="equal">
      <formula>1</formula>
    </cfRule>
    <cfRule type="cellIs" dxfId="7814" priority="14858" operator="equal">
      <formula>"×"</formula>
    </cfRule>
  </conditionalFormatting>
  <conditionalFormatting sqref="AG17:AI19">
    <cfRule type="cellIs" dxfId="7813" priority="14853" operator="equal">
      <formula>1</formula>
    </cfRule>
    <cfRule type="cellIs" dxfId="7812" priority="14854" operator="equal">
      <formula>"×"</formula>
    </cfRule>
  </conditionalFormatting>
  <conditionalFormatting sqref="AI17:AI19">
    <cfRule type="cellIs" dxfId="7811" priority="14855" operator="equal">
      <formula>1</formula>
    </cfRule>
    <cfRule type="cellIs" dxfId="7810" priority="14856" operator="equal">
      <formula>"×"</formula>
    </cfRule>
  </conditionalFormatting>
  <conditionalFormatting sqref="AG17:AI19">
    <cfRule type="cellIs" dxfId="7809" priority="14851" operator="equal">
      <formula>1</formula>
    </cfRule>
    <cfRule type="cellIs" dxfId="7808" priority="14852" operator="equal">
      <formula>"×"</formula>
    </cfRule>
  </conditionalFormatting>
  <conditionalFormatting sqref="AI17:AI19">
    <cfRule type="cellIs" dxfId="7807" priority="14849" operator="equal">
      <formula>1</formula>
    </cfRule>
    <cfRule type="cellIs" dxfId="7806" priority="14850" operator="equal">
      <formula>"×"</formula>
    </cfRule>
  </conditionalFormatting>
  <conditionalFormatting sqref="AG17:AI19">
    <cfRule type="cellIs" dxfId="7805" priority="14847" operator="equal">
      <formula>1</formula>
    </cfRule>
    <cfRule type="cellIs" dxfId="7804" priority="14848" operator="equal">
      <formula>"×"</formula>
    </cfRule>
  </conditionalFormatting>
  <conditionalFormatting sqref="AF13:AF14 AF17:AF19">
    <cfRule type="cellIs" dxfId="7803" priority="14845" operator="equal">
      <formula>1</formula>
    </cfRule>
    <cfRule type="cellIs" dxfId="7802" priority="14846" operator="equal">
      <formula>"×"</formula>
    </cfRule>
  </conditionalFormatting>
  <conditionalFormatting sqref="AF13">
    <cfRule type="cellIs" dxfId="7801" priority="18531" operator="equal">
      <formula>1</formula>
    </cfRule>
    <cfRule type="cellIs" dxfId="7800" priority="18532" operator="equal">
      <formula>"×"</formula>
    </cfRule>
  </conditionalFormatting>
  <conditionalFormatting sqref="AF13">
    <cfRule type="cellIs" dxfId="7799" priority="18529" operator="equal">
      <formula>1</formula>
    </cfRule>
    <cfRule type="cellIs" dxfId="7798" priority="18530" operator="equal">
      <formula>"×"</formula>
    </cfRule>
  </conditionalFormatting>
  <conditionalFormatting sqref="AE15">
    <cfRule type="cellIs" dxfId="7797" priority="18499" operator="equal">
      <formula>1</formula>
    </cfRule>
    <cfRule type="cellIs" dxfId="7796" priority="18500" operator="equal">
      <formula>"×"</formula>
    </cfRule>
  </conditionalFormatting>
  <conditionalFormatting sqref="AE15">
    <cfRule type="cellIs" dxfId="7795" priority="18497" operator="equal">
      <formula>1</formula>
    </cfRule>
    <cfRule type="cellIs" dxfId="7794" priority="18498" operator="equal">
      <formula>"×"</formula>
    </cfRule>
  </conditionalFormatting>
  <conditionalFormatting sqref="AE15 AF13">
    <cfRule type="cellIs" dxfId="7793" priority="18491" operator="equal">
      <formula>1</formula>
    </cfRule>
    <cfRule type="cellIs" dxfId="7792" priority="18492" operator="equal">
      <formula>"×"</formula>
    </cfRule>
  </conditionalFormatting>
  <conditionalFormatting sqref="AE15 AF13">
    <cfRule type="cellIs" dxfId="7791" priority="18487" operator="equal">
      <formula>1</formula>
    </cfRule>
    <cfRule type="cellIs" dxfId="7790" priority="18488" operator="equal">
      <formula>"×"</formula>
    </cfRule>
  </conditionalFormatting>
  <conditionalFormatting sqref="AF17">
    <cfRule type="cellIs" dxfId="7789" priority="14789" operator="equal">
      <formula>1</formula>
    </cfRule>
    <cfRule type="cellIs" dxfId="7788" priority="14790" operator="equal">
      <formula>"×"</formula>
    </cfRule>
  </conditionalFormatting>
  <conditionalFormatting sqref="AF17">
    <cfRule type="cellIs" dxfId="7787" priority="14787" operator="equal">
      <formula>1</formula>
    </cfRule>
    <cfRule type="cellIs" dxfId="7786" priority="14788" operator="equal">
      <formula>"×"</formula>
    </cfRule>
  </conditionalFormatting>
  <conditionalFormatting sqref="AF17:AI17">
    <cfRule type="cellIs" dxfId="7785" priority="14785" operator="equal">
      <formula>1</formula>
    </cfRule>
    <cfRule type="cellIs" dxfId="7784" priority="14786" operator="equal">
      <formula>"×"</formula>
    </cfRule>
  </conditionalFormatting>
  <conditionalFormatting sqref="AI17">
    <cfRule type="cellIs" dxfId="7783" priority="14783" operator="equal">
      <formula>1</formula>
    </cfRule>
    <cfRule type="cellIs" dxfId="7782" priority="14784" operator="equal">
      <formula>"×"</formula>
    </cfRule>
  </conditionalFormatting>
  <conditionalFormatting sqref="AF17:AI17">
    <cfRule type="cellIs" dxfId="7781" priority="14781" operator="equal">
      <formula>1</formula>
    </cfRule>
    <cfRule type="cellIs" dxfId="7780" priority="14782" operator="equal">
      <formula>"×"</formula>
    </cfRule>
  </conditionalFormatting>
  <conditionalFormatting sqref="AF13:AF14 AF17:AI19">
    <cfRule type="cellIs" dxfId="7779" priority="14779" operator="equal">
      <formula>1</formula>
    </cfRule>
    <cfRule type="cellIs" dxfId="7778" priority="14780" operator="equal">
      <formula>"×"</formula>
    </cfRule>
  </conditionalFormatting>
  <conditionalFormatting sqref="AI18">
    <cfRule type="cellIs" dxfId="7777" priority="14777" operator="equal">
      <formula>1</formula>
    </cfRule>
    <cfRule type="cellIs" dxfId="7776" priority="14778" operator="equal">
      <formula>"×"</formula>
    </cfRule>
  </conditionalFormatting>
  <conditionalFormatting sqref="AF13:AF14 AF17:AI19">
    <cfRule type="cellIs" dxfId="7775" priority="14775" operator="equal">
      <formula>1</formula>
    </cfRule>
    <cfRule type="cellIs" dxfId="7774" priority="14776" operator="equal">
      <formula>"×"</formula>
    </cfRule>
  </conditionalFormatting>
  <conditionalFormatting sqref="AF13:AF14 AF17:AI19">
    <cfRule type="cellIs" dxfId="7773" priority="14773" operator="equal">
      <formula>1</formula>
    </cfRule>
    <cfRule type="cellIs" dxfId="7772" priority="14774" operator="equal">
      <formula>"×"</formula>
    </cfRule>
  </conditionalFormatting>
  <conditionalFormatting sqref="AI18">
    <cfRule type="cellIs" dxfId="7771" priority="14771" operator="equal">
      <formula>1</formula>
    </cfRule>
    <cfRule type="cellIs" dxfId="7770" priority="14772" operator="equal">
      <formula>"×"</formula>
    </cfRule>
  </conditionalFormatting>
  <conditionalFormatting sqref="AF17">
    <cfRule type="cellIs" dxfId="7769" priority="14769" operator="equal">
      <formula>1</formula>
    </cfRule>
    <cfRule type="cellIs" dxfId="7768" priority="14770" operator="equal">
      <formula>"×"</formula>
    </cfRule>
  </conditionalFormatting>
  <conditionalFormatting sqref="AF17">
    <cfRule type="cellIs" dxfId="7767" priority="14767" operator="equal">
      <formula>1</formula>
    </cfRule>
    <cfRule type="cellIs" dxfId="7766" priority="14768" operator="equal">
      <formula>"×"</formula>
    </cfRule>
  </conditionalFormatting>
  <conditionalFormatting sqref="AF17">
    <cfRule type="cellIs" dxfId="7765" priority="14765" operator="equal">
      <formula>1</formula>
    </cfRule>
    <cfRule type="cellIs" dxfId="7764" priority="14766" operator="equal">
      <formula>"×"</formula>
    </cfRule>
  </conditionalFormatting>
  <conditionalFormatting sqref="AF17">
    <cfRule type="cellIs" dxfId="7763" priority="14763" operator="equal">
      <formula>1</formula>
    </cfRule>
    <cfRule type="cellIs" dxfId="7762" priority="14764" operator="equal">
      <formula>"×"</formula>
    </cfRule>
  </conditionalFormatting>
  <conditionalFormatting sqref="AF17">
    <cfRule type="cellIs" dxfId="7761" priority="14761" operator="equal">
      <formula>1</formula>
    </cfRule>
    <cfRule type="cellIs" dxfId="7760" priority="14762" operator="equal">
      <formula>"×"</formula>
    </cfRule>
  </conditionalFormatting>
  <conditionalFormatting sqref="AF17">
    <cfRule type="cellIs" dxfId="7759" priority="14759" operator="equal">
      <formula>1</formula>
    </cfRule>
    <cfRule type="cellIs" dxfId="7758" priority="14760" operator="equal">
      <formula>"×"</formula>
    </cfRule>
  </conditionalFormatting>
  <conditionalFormatting sqref="AF17">
    <cfRule type="cellIs" dxfId="7757" priority="14757" operator="equal">
      <formula>1</formula>
    </cfRule>
    <cfRule type="cellIs" dxfId="7756" priority="14758" operator="equal">
      <formula>"×"</formula>
    </cfRule>
  </conditionalFormatting>
  <conditionalFormatting sqref="AH16:AI16">
    <cfRule type="cellIs" dxfId="7755" priority="14755" operator="equal">
      <formula>1</formula>
    </cfRule>
    <cfRule type="cellIs" dxfId="7754" priority="14756" operator="equal">
      <formula>"×"</formula>
    </cfRule>
  </conditionalFormatting>
  <conditionalFormatting sqref="AH16:AI16">
    <cfRule type="cellIs" dxfId="7753" priority="14751" operator="equal">
      <formula>1</formula>
    </cfRule>
    <cfRule type="cellIs" dxfId="7752" priority="14752" operator="equal">
      <formula>"×"</formula>
    </cfRule>
  </conditionalFormatting>
  <conditionalFormatting sqref="AI16">
    <cfRule type="cellIs" dxfId="7751" priority="14753" operator="equal">
      <formula>1</formula>
    </cfRule>
    <cfRule type="cellIs" dxfId="7750" priority="14754" operator="equal">
      <formula>"×"</formula>
    </cfRule>
  </conditionalFormatting>
  <conditionalFormatting sqref="AH12:AI12">
    <cfRule type="cellIs" dxfId="7749" priority="18437" operator="equal">
      <formula>1</formula>
    </cfRule>
    <cfRule type="cellIs" dxfId="7748" priority="18438" operator="equal">
      <formula>"×"</formula>
    </cfRule>
  </conditionalFormatting>
  <conditionalFormatting sqref="AI12">
    <cfRule type="cellIs" dxfId="7747" priority="18435" operator="equal">
      <formula>1</formula>
    </cfRule>
    <cfRule type="cellIs" dxfId="7746" priority="18436" operator="equal">
      <formula>"×"</formula>
    </cfRule>
  </conditionalFormatting>
  <conditionalFormatting sqref="AH12:AI12">
    <cfRule type="cellIs" dxfId="7745" priority="18433" operator="equal">
      <formula>1</formula>
    </cfRule>
    <cfRule type="cellIs" dxfId="7744" priority="18434" operator="equal">
      <formula>"×"</formula>
    </cfRule>
  </conditionalFormatting>
  <conditionalFormatting sqref="AH12:AI12">
    <cfRule type="cellIs" dxfId="7743" priority="18431" operator="equal">
      <formula>1</formula>
    </cfRule>
    <cfRule type="cellIs" dxfId="7742" priority="18432" operator="equal">
      <formula>"×"</formula>
    </cfRule>
  </conditionalFormatting>
  <conditionalFormatting sqref="AI12">
    <cfRule type="cellIs" dxfId="7741" priority="18429" operator="equal">
      <formula>1</formula>
    </cfRule>
    <cfRule type="cellIs" dxfId="7740" priority="18430" operator="equal">
      <formula>"×"</formula>
    </cfRule>
  </conditionalFormatting>
  <conditionalFormatting sqref="AH12:AI12">
    <cfRule type="cellIs" dxfId="7739" priority="18427" operator="equal">
      <formula>1</formula>
    </cfRule>
    <cfRule type="cellIs" dxfId="7738" priority="18428" operator="equal">
      <formula>"×"</formula>
    </cfRule>
  </conditionalFormatting>
  <conditionalFormatting sqref="AE9:AG9">
    <cfRule type="cellIs" dxfId="7737" priority="18401" operator="equal">
      <formula>1</formula>
    </cfRule>
    <cfRule type="cellIs" dxfId="7736" priority="18402" operator="equal">
      <formula>"×"</formula>
    </cfRule>
  </conditionalFormatting>
  <conditionalFormatting sqref="AE9:AG9">
    <cfRule type="cellIs" dxfId="7735" priority="18399" operator="equal">
      <formula>1</formula>
    </cfRule>
    <cfRule type="cellIs" dxfId="7734" priority="18400" operator="equal">
      <formula>"×"</formula>
    </cfRule>
  </conditionalFormatting>
  <conditionalFormatting sqref="AE9:AG9">
    <cfRule type="cellIs" dxfId="7733" priority="18395" operator="equal">
      <formula>1</formula>
    </cfRule>
    <cfRule type="cellIs" dxfId="7732" priority="18396" operator="equal">
      <formula>"×"</formula>
    </cfRule>
  </conditionalFormatting>
  <conditionalFormatting sqref="AE9:AG9">
    <cfRule type="cellIs" dxfId="7731" priority="18397" operator="equal">
      <formula>1</formula>
    </cfRule>
    <cfRule type="cellIs" dxfId="7730" priority="18398" operator="equal">
      <formula>"×"</formula>
    </cfRule>
  </conditionalFormatting>
  <conditionalFormatting sqref="AE9:AG9">
    <cfRule type="cellIs" dxfId="7729" priority="18425" operator="equal">
      <formula>1</formula>
    </cfRule>
    <cfRule type="cellIs" dxfId="7728" priority="18426" operator="equal">
      <formula>"×"</formula>
    </cfRule>
  </conditionalFormatting>
  <conditionalFormatting sqref="AE9:AG9">
    <cfRule type="cellIs" dxfId="7727" priority="18423" operator="equal">
      <formula>1</formula>
    </cfRule>
    <cfRule type="cellIs" dxfId="7726" priority="18424" operator="equal">
      <formula>"×"</formula>
    </cfRule>
  </conditionalFormatting>
  <conditionalFormatting sqref="AE9:AG9">
    <cfRule type="cellIs" dxfId="7725" priority="18421" operator="equal">
      <formula>1</formula>
    </cfRule>
    <cfRule type="cellIs" dxfId="7724" priority="18422" operator="equal">
      <formula>"×"</formula>
    </cfRule>
  </conditionalFormatting>
  <conditionalFormatting sqref="AE9:AG9">
    <cfRule type="cellIs" dxfId="7723" priority="18419" operator="equal">
      <formula>1</formula>
    </cfRule>
    <cfRule type="cellIs" dxfId="7722" priority="18420" operator="equal">
      <formula>"×"</formula>
    </cfRule>
  </conditionalFormatting>
  <conditionalFormatting sqref="AE9:AG9">
    <cfRule type="cellIs" dxfId="7721" priority="18417" operator="equal">
      <formula>1</formula>
    </cfRule>
    <cfRule type="cellIs" dxfId="7720" priority="18418" operator="equal">
      <formula>"×"</formula>
    </cfRule>
  </conditionalFormatting>
  <conditionalFormatting sqref="AE9:AG9">
    <cfRule type="cellIs" dxfId="7719" priority="18415" operator="equal">
      <formula>1</formula>
    </cfRule>
    <cfRule type="cellIs" dxfId="7718" priority="18416" operator="equal">
      <formula>"×"</formula>
    </cfRule>
  </conditionalFormatting>
  <conditionalFormatting sqref="AE9:AG9">
    <cfRule type="cellIs" dxfId="7717" priority="18413" operator="equal">
      <formula>1</formula>
    </cfRule>
    <cfRule type="cellIs" dxfId="7716" priority="18414" operator="equal">
      <formula>"×"</formula>
    </cfRule>
  </conditionalFormatting>
  <conditionalFormatting sqref="AE9:AG9">
    <cfRule type="cellIs" dxfId="7715" priority="18411" operator="equal">
      <formula>1</formula>
    </cfRule>
    <cfRule type="cellIs" dxfId="7714" priority="18412" operator="equal">
      <formula>"×"</formula>
    </cfRule>
  </conditionalFormatting>
  <conditionalFormatting sqref="AE9:AG9">
    <cfRule type="cellIs" dxfId="7713" priority="18409" operator="equal">
      <formula>1</formula>
    </cfRule>
    <cfRule type="cellIs" dxfId="7712" priority="18410" operator="equal">
      <formula>"×"</formula>
    </cfRule>
  </conditionalFormatting>
  <conditionalFormatting sqref="AE9:AG9">
    <cfRule type="cellIs" dxfId="7711" priority="18407" operator="equal">
      <formula>1</formula>
    </cfRule>
    <cfRule type="cellIs" dxfId="7710" priority="18408" operator="equal">
      <formula>"×"</formula>
    </cfRule>
  </conditionalFormatting>
  <conditionalFormatting sqref="AE9:AG9">
    <cfRule type="cellIs" dxfId="7709" priority="18405" operator="equal">
      <formula>1</formula>
    </cfRule>
    <cfRule type="cellIs" dxfId="7708" priority="18406" operator="equal">
      <formula>"×"</formula>
    </cfRule>
  </conditionalFormatting>
  <conditionalFormatting sqref="AE9:AG9">
    <cfRule type="cellIs" dxfId="7707" priority="18403" operator="equal">
      <formula>1</formula>
    </cfRule>
    <cfRule type="cellIs" dxfId="7706" priority="18404" operator="equal">
      <formula>"×"</formula>
    </cfRule>
  </conditionalFormatting>
  <conditionalFormatting sqref="AH9:AI9">
    <cfRule type="cellIs" dxfId="7705" priority="18393" operator="equal">
      <formula>1</formula>
    </cfRule>
    <cfRule type="cellIs" dxfId="7704" priority="18394" operator="equal">
      <formula>"×"</formula>
    </cfRule>
  </conditionalFormatting>
  <conditionalFormatting sqref="AH9:AI9">
    <cfRule type="cellIs" dxfId="7703" priority="18391" operator="equal">
      <formula>1</formula>
    </cfRule>
    <cfRule type="cellIs" dxfId="7702" priority="18392" operator="equal">
      <formula>"×"</formula>
    </cfRule>
  </conditionalFormatting>
  <conditionalFormatting sqref="AH9:AI9">
    <cfRule type="cellIs" dxfId="7701" priority="18389" operator="equal">
      <formula>1</formula>
    </cfRule>
    <cfRule type="cellIs" dxfId="7700" priority="18390" operator="equal">
      <formula>"×"</formula>
    </cfRule>
  </conditionalFormatting>
  <conditionalFormatting sqref="AH9:AI9">
    <cfRule type="cellIs" dxfId="7699" priority="18387" operator="equal">
      <formula>1</formula>
    </cfRule>
    <cfRule type="cellIs" dxfId="7698" priority="18388" operator="equal">
      <formula>"×"</formula>
    </cfRule>
  </conditionalFormatting>
  <conditionalFormatting sqref="AH9:AI9">
    <cfRule type="cellIs" dxfId="7697" priority="18385" operator="equal">
      <formula>1</formula>
    </cfRule>
    <cfRule type="cellIs" dxfId="7696" priority="18386" operator="equal">
      <formula>"×"</formula>
    </cfRule>
  </conditionalFormatting>
  <conditionalFormatting sqref="AH9:AI9">
    <cfRule type="cellIs" dxfId="7695" priority="18383" operator="equal">
      <formula>1</formula>
    </cfRule>
    <cfRule type="cellIs" dxfId="7694" priority="18384" operator="equal">
      <formula>"×"</formula>
    </cfRule>
  </conditionalFormatting>
  <conditionalFormatting sqref="AH9:AI9">
    <cfRule type="cellIs" dxfId="7693" priority="18381" operator="equal">
      <formula>1</formula>
    </cfRule>
    <cfRule type="cellIs" dxfId="7692" priority="18382" operator="equal">
      <formula>"×"</formula>
    </cfRule>
  </conditionalFormatting>
  <conditionalFormatting sqref="AH9:AI9">
    <cfRule type="cellIs" dxfId="7691" priority="18379" operator="equal">
      <formula>1</formula>
    </cfRule>
    <cfRule type="cellIs" dxfId="7690" priority="18380" operator="equal">
      <formula>"×"</formula>
    </cfRule>
  </conditionalFormatting>
  <conditionalFormatting sqref="AH9:AI9">
    <cfRule type="cellIs" dxfId="7689" priority="18377" operator="equal">
      <formula>1</formula>
    </cfRule>
    <cfRule type="cellIs" dxfId="7688" priority="18378" operator="equal">
      <formula>"×"</formula>
    </cfRule>
  </conditionalFormatting>
  <conditionalFormatting sqref="AH10">
    <cfRule type="cellIs" dxfId="7687" priority="18333" operator="equal">
      <formula>1</formula>
    </cfRule>
    <cfRule type="cellIs" dxfId="7686" priority="18334" operator="equal">
      <formula>"×"</formula>
    </cfRule>
  </conditionalFormatting>
  <conditionalFormatting sqref="AH10">
    <cfRule type="cellIs" dxfId="7685" priority="18331" operator="equal">
      <formula>1</formula>
    </cfRule>
    <cfRule type="cellIs" dxfId="7684" priority="18332" operator="equal">
      <formula>"×"</formula>
    </cfRule>
  </conditionalFormatting>
  <conditionalFormatting sqref="AH10">
    <cfRule type="cellIs" dxfId="7683" priority="18327" operator="equal">
      <formula>1</formula>
    </cfRule>
    <cfRule type="cellIs" dxfId="7682" priority="18328" operator="equal">
      <formula>"×"</formula>
    </cfRule>
  </conditionalFormatting>
  <conditionalFormatting sqref="AH10">
    <cfRule type="cellIs" dxfId="7681" priority="18329" operator="equal">
      <formula>1</formula>
    </cfRule>
    <cfRule type="cellIs" dxfId="7680" priority="18330" operator="equal">
      <formula>"×"</formula>
    </cfRule>
  </conditionalFormatting>
  <conditionalFormatting sqref="AH10">
    <cfRule type="cellIs" dxfId="7679" priority="18339" operator="equal">
      <formula>1</formula>
    </cfRule>
    <cfRule type="cellIs" dxfId="7678" priority="18340" operator="equal">
      <formula>"×"</formula>
    </cfRule>
  </conditionalFormatting>
  <conditionalFormatting sqref="AC8:AC13">
    <cfRule type="cellIs" dxfId="7677" priority="18281" operator="equal">
      <formula>1</formula>
    </cfRule>
    <cfRule type="cellIs" dxfId="7676" priority="18282" operator="equal">
      <formula>"×"</formula>
    </cfRule>
  </conditionalFormatting>
  <conditionalFormatting sqref="AF8:AF13">
    <cfRule type="cellIs" dxfId="7675" priority="18279" operator="equal">
      <formula>1</formula>
    </cfRule>
    <cfRule type="cellIs" dxfId="7674" priority="18280" operator="equal">
      <formula>"×"</formula>
    </cfRule>
  </conditionalFormatting>
  <conditionalFormatting sqref="AF8:AF13">
    <cfRule type="cellIs" dxfId="7673" priority="18277" operator="equal">
      <formula>1</formula>
    </cfRule>
    <cfRule type="cellIs" dxfId="7672" priority="18278" operator="equal">
      <formula>"×"</formula>
    </cfRule>
  </conditionalFormatting>
  <conditionalFormatting sqref="AE8:AE13">
    <cfRule type="cellIs" dxfId="7671" priority="18275" operator="equal">
      <formula>1</formula>
    </cfRule>
    <cfRule type="cellIs" dxfId="7670" priority="18276" operator="equal">
      <formula>"×"</formula>
    </cfRule>
  </conditionalFormatting>
  <conditionalFormatting sqref="AD8:AD13">
    <cfRule type="cellIs" dxfId="7669" priority="18273" operator="equal">
      <formula>1</formula>
    </cfRule>
    <cfRule type="cellIs" dxfId="7668" priority="18274" operator="equal">
      <formula>"×"</formula>
    </cfRule>
  </conditionalFormatting>
  <conditionalFormatting sqref="AE8:AE13">
    <cfRule type="cellIs" dxfId="7667" priority="18271" operator="equal">
      <formula>1</formula>
    </cfRule>
    <cfRule type="cellIs" dxfId="7666" priority="18272" operator="equal">
      <formula>"×"</formula>
    </cfRule>
  </conditionalFormatting>
  <conditionalFormatting sqref="AD8:AD13">
    <cfRule type="cellIs" dxfId="7665" priority="18269" operator="equal">
      <formula>1</formula>
    </cfRule>
    <cfRule type="cellIs" dxfId="7664" priority="18270" operator="equal">
      <formula>"×"</formula>
    </cfRule>
  </conditionalFormatting>
  <conditionalFormatting sqref="AD8:AD13">
    <cfRule type="cellIs" dxfId="7663" priority="18265" operator="equal">
      <formula>1</formula>
    </cfRule>
    <cfRule type="cellIs" dxfId="7662" priority="18266" operator="equal">
      <formula>"×"</formula>
    </cfRule>
  </conditionalFormatting>
  <conditionalFormatting sqref="AD8:AD13">
    <cfRule type="cellIs" dxfId="7661" priority="18267" operator="equal">
      <formula>1</formula>
    </cfRule>
    <cfRule type="cellIs" dxfId="7660" priority="18268" operator="equal">
      <formula>"×"</formula>
    </cfRule>
  </conditionalFormatting>
  <conditionalFormatting sqref="AC8:AC13">
    <cfRule type="cellIs" dxfId="7659" priority="18325" operator="equal">
      <formula>1</formula>
    </cfRule>
    <cfRule type="cellIs" dxfId="7658" priority="18326" operator="equal">
      <formula>"×"</formula>
    </cfRule>
  </conditionalFormatting>
  <conditionalFormatting sqref="AE8:AE13">
    <cfRule type="cellIs" dxfId="7657" priority="18323" operator="equal">
      <formula>1</formula>
    </cfRule>
    <cfRule type="cellIs" dxfId="7656" priority="18324" operator="equal">
      <formula>"×"</formula>
    </cfRule>
  </conditionalFormatting>
  <conditionalFormatting sqref="AE8:AG13">
    <cfRule type="cellIs" dxfId="7655" priority="18317" operator="equal">
      <formula>1</formula>
    </cfRule>
    <cfRule type="cellIs" dxfId="7654" priority="18318" operator="equal">
      <formula>"×"</formula>
    </cfRule>
  </conditionalFormatting>
  <conditionalFormatting sqref="AD8:AD13">
    <cfRule type="cellIs" dxfId="7653" priority="18315" operator="equal">
      <formula>1</formula>
    </cfRule>
    <cfRule type="cellIs" dxfId="7652" priority="18316" operator="equal">
      <formula>"×"</formula>
    </cfRule>
  </conditionalFormatting>
  <conditionalFormatting sqref="AD8:AD13">
    <cfRule type="cellIs" dxfId="7651" priority="18313" operator="equal">
      <formula>1</formula>
    </cfRule>
    <cfRule type="cellIs" dxfId="7650" priority="18314" operator="equal">
      <formula>"×"</formula>
    </cfRule>
  </conditionalFormatting>
  <conditionalFormatting sqref="AD8:AD13">
    <cfRule type="cellIs" dxfId="7649" priority="18311" operator="equal">
      <formula>1</formula>
    </cfRule>
    <cfRule type="cellIs" dxfId="7648" priority="18312" operator="equal">
      <formula>"×"</formula>
    </cfRule>
  </conditionalFormatting>
  <conditionalFormatting sqref="AG8:AG13">
    <cfRule type="cellIs" dxfId="7647" priority="18309" operator="equal">
      <formula>1</formula>
    </cfRule>
    <cfRule type="cellIs" dxfId="7646" priority="18310" operator="equal">
      <formula>"×"</formula>
    </cfRule>
  </conditionalFormatting>
  <conditionalFormatting sqref="AG8:AG13">
    <cfRule type="cellIs" dxfId="7645" priority="18307" operator="equal">
      <formula>1</formula>
    </cfRule>
    <cfRule type="cellIs" dxfId="7644" priority="18308" operator="equal">
      <formula>"×"</formula>
    </cfRule>
  </conditionalFormatting>
  <conditionalFormatting sqref="AE8:AE13">
    <cfRule type="cellIs" dxfId="7643" priority="18305" operator="equal">
      <formula>1</formula>
    </cfRule>
    <cfRule type="cellIs" dxfId="7642" priority="18306" operator="equal">
      <formula>"×"</formula>
    </cfRule>
  </conditionalFormatting>
  <conditionalFormatting sqref="AE8:AE13">
    <cfRule type="cellIs" dxfId="7641" priority="18301" operator="equal">
      <formula>1</formula>
    </cfRule>
    <cfRule type="cellIs" dxfId="7640" priority="18302" operator="equal">
      <formula>"×"</formula>
    </cfRule>
  </conditionalFormatting>
  <conditionalFormatting sqref="AD8:AD13">
    <cfRule type="cellIs" dxfId="7639" priority="18303" operator="equal">
      <formula>1</formula>
    </cfRule>
    <cfRule type="cellIs" dxfId="7638" priority="18304" operator="equal">
      <formula>"×"</formula>
    </cfRule>
  </conditionalFormatting>
  <conditionalFormatting sqref="AD8:AD13">
    <cfRule type="cellIs" dxfId="7637" priority="18299" operator="equal">
      <formula>1</formula>
    </cfRule>
    <cfRule type="cellIs" dxfId="7636" priority="18300" operator="equal">
      <formula>"×"</formula>
    </cfRule>
  </conditionalFormatting>
  <conditionalFormatting sqref="AD8:AD13">
    <cfRule type="cellIs" dxfId="7635" priority="18297" operator="equal">
      <formula>1</formula>
    </cfRule>
    <cfRule type="cellIs" dxfId="7634" priority="18298" operator="equal">
      <formula>"×"</formula>
    </cfRule>
  </conditionalFormatting>
  <conditionalFormatting sqref="AD8:AD13">
    <cfRule type="cellIs" dxfId="7633" priority="18295" operator="equal">
      <formula>1</formula>
    </cfRule>
    <cfRule type="cellIs" dxfId="7632" priority="18296" operator="equal">
      <formula>"×"</formula>
    </cfRule>
  </conditionalFormatting>
  <conditionalFormatting sqref="AE8:AE13">
    <cfRule type="cellIs" dxfId="7631" priority="18293" operator="equal">
      <formula>1</formula>
    </cfRule>
    <cfRule type="cellIs" dxfId="7630" priority="18294" operator="equal">
      <formula>"×"</formula>
    </cfRule>
  </conditionalFormatting>
  <conditionalFormatting sqref="AE8:AE13">
    <cfRule type="cellIs" dxfId="7629" priority="18289" operator="equal">
      <formula>1</formula>
    </cfRule>
    <cfRule type="cellIs" dxfId="7628" priority="18290" operator="equal">
      <formula>"×"</formula>
    </cfRule>
  </conditionalFormatting>
  <conditionalFormatting sqref="AD8:AD13">
    <cfRule type="cellIs" dxfId="7627" priority="18291" operator="equal">
      <formula>1</formula>
    </cfRule>
    <cfRule type="cellIs" dxfId="7626" priority="18292" operator="equal">
      <formula>"×"</formula>
    </cfRule>
  </conditionalFormatting>
  <conditionalFormatting sqref="AD8:AD13">
    <cfRule type="cellIs" dxfId="7625" priority="18287" operator="equal">
      <formula>1</formula>
    </cfRule>
    <cfRule type="cellIs" dxfId="7624" priority="18288" operator="equal">
      <formula>"×"</formula>
    </cfRule>
  </conditionalFormatting>
  <conditionalFormatting sqref="AD8:AD13">
    <cfRule type="cellIs" dxfId="7623" priority="18285" operator="equal">
      <formula>1</formula>
    </cfRule>
    <cfRule type="cellIs" dxfId="7622" priority="18286" operator="equal">
      <formula>"×"</formula>
    </cfRule>
  </conditionalFormatting>
  <conditionalFormatting sqref="AD8:AD13">
    <cfRule type="cellIs" dxfId="7621" priority="18283" operator="equal">
      <formula>1</formula>
    </cfRule>
    <cfRule type="cellIs" dxfId="7620" priority="18284" operator="equal">
      <formula>"×"</formula>
    </cfRule>
  </conditionalFormatting>
  <conditionalFormatting sqref="AF8:AF13">
    <cfRule type="cellIs" dxfId="7619" priority="18263" operator="equal">
      <formula>1</formula>
    </cfRule>
    <cfRule type="cellIs" dxfId="7618" priority="18264" operator="equal">
      <formula>"×"</formula>
    </cfRule>
  </conditionalFormatting>
  <conditionalFormatting sqref="AF8:AF13">
    <cfRule type="cellIs" dxfId="7617" priority="18261" operator="equal">
      <formula>1</formula>
    </cfRule>
    <cfRule type="cellIs" dxfId="7616" priority="18262" operator="equal">
      <formula>"×"</formula>
    </cfRule>
  </conditionalFormatting>
  <conditionalFormatting sqref="AF8:AF13">
    <cfRule type="cellIs" dxfId="7615" priority="18259" operator="equal">
      <formula>1</formula>
    </cfRule>
    <cfRule type="cellIs" dxfId="7614" priority="18260" operator="equal">
      <formula>"×"</formula>
    </cfRule>
  </conditionalFormatting>
  <conditionalFormatting sqref="AF8:AF13">
    <cfRule type="cellIs" dxfId="7613" priority="18257" operator="equal">
      <formula>1</formula>
    </cfRule>
    <cfRule type="cellIs" dxfId="7612" priority="18258" operator="equal">
      <formula>"×"</formula>
    </cfRule>
  </conditionalFormatting>
  <conditionalFormatting sqref="AF8:AF13">
    <cfRule type="cellIs" dxfId="7611" priority="18255" operator="equal">
      <formula>1</formula>
    </cfRule>
    <cfRule type="cellIs" dxfId="7610" priority="18256" operator="equal">
      <formula>"×"</formula>
    </cfRule>
  </conditionalFormatting>
  <conditionalFormatting sqref="AF8:AF13">
    <cfRule type="cellIs" dxfId="7609" priority="18253" operator="equal">
      <formula>1</formula>
    </cfRule>
    <cfRule type="cellIs" dxfId="7608" priority="18254" operator="equal">
      <formula>"×"</formula>
    </cfRule>
  </conditionalFormatting>
  <conditionalFormatting sqref="AF8:AF13">
    <cfRule type="cellIs" dxfId="7607" priority="18251" operator="equal">
      <formula>1</formula>
    </cfRule>
    <cfRule type="cellIs" dxfId="7606" priority="18252" operator="equal">
      <formula>"×"</formula>
    </cfRule>
  </conditionalFormatting>
  <conditionalFormatting sqref="AF8:AF13">
    <cfRule type="cellIs" dxfId="7605" priority="18249" operator="equal">
      <formula>1</formula>
    </cfRule>
    <cfRule type="cellIs" dxfId="7604" priority="18250" operator="equal">
      <formula>"×"</formula>
    </cfRule>
  </conditionalFormatting>
  <conditionalFormatting sqref="AF8:AF13">
    <cfRule type="cellIs" dxfId="7603" priority="18247" operator="equal">
      <formula>1</formula>
    </cfRule>
    <cfRule type="cellIs" dxfId="7602" priority="18248" operator="equal">
      <formula>"×"</formula>
    </cfRule>
  </conditionalFormatting>
  <conditionalFormatting sqref="AF8:AF13">
    <cfRule type="cellIs" dxfId="7601" priority="18245" operator="equal">
      <formula>1</formula>
    </cfRule>
    <cfRule type="cellIs" dxfId="7600" priority="18246" operator="equal">
      <formula>"×"</formula>
    </cfRule>
  </conditionalFormatting>
  <conditionalFormatting sqref="AF8:AF13">
    <cfRule type="cellIs" dxfId="7599" priority="18243" operator="equal">
      <formula>1</formula>
    </cfRule>
    <cfRule type="cellIs" dxfId="7598" priority="18244" operator="equal">
      <formula>"×"</formula>
    </cfRule>
  </conditionalFormatting>
  <conditionalFormatting sqref="AF8:AF13">
    <cfRule type="cellIs" dxfId="7597" priority="18241" operator="equal">
      <formula>1</formula>
    </cfRule>
    <cfRule type="cellIs" dxfId="7596" priority="18242" operator="equal">
      <formula>"×"</formula>
    </cfRule>
  </conditionalFormatting>
  <conditionalFormatting sqref="AF8:AF13">
    <cfRule type="cellIs" dxfId="7595" priority="18239" operator="equal">
      <formula>1</formula>
    </cfRule>
    <cfRule type="cellIs" dxfId="7594" priority="18240" operator="equal">
      <formula>"×"</formula>
    </cfRule>
  </conditionalFormatting>
  <conditionalFormatting sqref="AF8:AF13">
    <cfRule type="cellIs" dxfId="7593" priority="18237" operator="equal">
      <formula>1</formula>
    </cfRule>
    <cfRule type="cellIs" dxfId="7592" priority="18238" operator="equal">
      <formula>"×"</formula>
    </cfRule>
  </conditionalFormatting>
  <conditionalFormatting sqref="AF8:AF13">
    <cfRule type="cellIs" dxfId="7591" priority="18235" operator="equal">
      <formula>1</formula>
    </cfRule>
    <cfRule type="cellIs" dxfId="7590" priority="18236" operator="equal">
      <formula>"×"</formula>
    </cfRule>
  </conditionalFormatting>
  <conditionalFormatting sqref="AF8:AF13">
    <cfRule type="cellIs" dxfId="7589" priority="18233" operator="equal">
      <formula>1</formula>
    </cfRule>
    <cfRule type="cellIs" dxfId="7588" priority="18234" operator="equal">
      <formula>"×"</formula>
    </cfRule>
  </conditionalFormatting>
  <conditionalFormatting sqref="AF8:AF13">
    <cfRule type="cellIs" dxfId="7587" priority="18231" operator="equal">
      <formula>1</formula>
    </cfRule>
    <cfRule type="cellIs" dxfId="7586" priority="18232" operator="equal">
      <formula>"×"</formula>
    </cfRule>
  </conditionalFormatting>
  <conditionalFormatting sqref="AF8:AF13">
    <cfRule type="cellIs" dxfId="7585" priority="18229" operator="equal">
      <formula>1</formula>
    </cfRule>
    <cfRule type="cellIs" dxfId="7584" priority="18230" operator="equal">
      <formula>"×"</formula>
    </cfRule>
  </conditionalFormatting>
  <conditionalFormatting sqref="AF8:AF13">
    <cfRule type="cellIs" dxfId="7583" priority="18227" operator="equal">
      <formula>1</formula>
    </cfRule>
    <cfRule type="cellIs" dxfId="7582" priority="18228" operator="equal">
      <formula>"×"</formula>
    </cfRule>
  </conditionalFormatting>
  <conditionalFormatting sqref="AF8:AF13">
    <cfRule type="cellIs" dxfId="7581" priority="18225" operator="equal">
      <formula>1</formula>
    </cfRule>
    <cfRule type="cellIs" dxfId="7580" priority="18226" operator="equal">
      <formula>"×"</formula>
    </cfRule>
  </conditionalFormatting>
  <conditionalFormatting sqref="AC8:AG13">
    <cfRule type="cellIs" dxfId="7579" priority="18223" operator="equal">
      <formula>1</formula>
    </cfRule>
    <cfRule type="cellIs" dxfId="7578" priority="18224" operator="equal">
      <formula>"×"</formula>
    </cfRule>
  </conditionalFormatting>
  <conditionalFormatting sqref="AB8:AB13">
    <cfRule type="cellIs" dxfId="7577" priority="18221" operator="equal">
      <formula>1</formula>
    </cfRule>
    <cfRule type="cellIs" dxfId="7576" priority="18222" operator="equal">
      <formula>"×"</formula>
    </cfRule>
  </conditionalFormatting>
  <conditionalFormatting sqref="AE8:AG13">
    <cfRule type="cellIs" dxfId="7575" priority="18195" operator="equal">
      <formula>1</formula>
    </cfRule>
    <cfRule type="cellIs" dxfId="7574" priority="18196" operator="equal">
      <formula>"×"</formula>
    </cfRule>
  </conditionalFormatting>
  <conditionalFormatting sqref="AE8:AG13">
    <cfRule type="cellIs" dxfId="7573" priority="18193" operator="equal">
      <formula>1</formula>
    </cfRule>
    <cfRule type="cellIs" dxfId="7572" priority="18194" operator="equal">
      <formula>"×"</formula>
    </cfRule>
  </conditionalFormatting>
  <conditionalFormatting sqref="AE8:AG13">
    <cfRule type="cellIs" dxfId="7571" priority="18189" operator="equal">
      <formula>1</formula>
    </cfRule>
    <cfRule type="cellIs" dxfId="7570" priority="18190" operator="equal">
      <formula>"×"</formula>
    </cfRule>
  </conditionalFormatting>
  <conditionalFormatting sqref="AE8:AG13">
    <cfRule type="cellIs" dxfId="7569" priority="18191" operator="equal">
      <formula>1</formula>
    </cfRule>
    <cfRule type="cellIs" dxfId="7568" priority="18192" operator="equal">
      <formula>"×"</formula>
    </cfRule>
  </conditionalFormatting>
  <conditionalFormatting sqref="AE8:AG13">
    <cfRule type="cellIs" dxfId="7567" priority="18219" operator="equal">
      <formula>1</formula>
    </cfRule>
    <cfRule type="cellIs" dxfId="7566" priority="18220" operator="equal">
      <formula>"×"</formula>
    </cfRule>
  </conditionalFormatting>
  <conditionalFormatting sqref="AE8:AG13">
    <cfRule type="cellIs" dxfId="7565" priority="18217" operator="equal">
      <formula>1</formula>
    </cfRule>
    <cfRule type="cellIs" dxfId="7564" priority="18218" operator="equal">
      <formula>"×"</formula>
    </cfRule>
  </conditionalFormatting>
  <conditionalFormatting sqref="AE8:AG13">
    <cfRule type="cellIs" dxfId="7563" priority="18215" operator="equal">
      <formula>1</formula>
    </cfRule>
    <cfRule type="cellIs" dxfId="7562" priority="18216" operator="equal">
      <formula>"×"</formula>
    </cfRule>
  </conditionalFormatting>
  <conditionalFormatting sqref="AE8:AG13">
    <cfRule type="cellIs" dxfId="7561" priority="18213" operator="equal">
      <formula>1</formula>
    </cfRule>
    <cfRule type="cellIs" dxfId="7560" priority="18214" operator="equal">
      <formula>"×"</formula>
    </cfRule>
  </conditionalFormatting>
  <conditionalFormatting sqref="AE8:AG13">
    <cfRule type="cellIs" dxfId="7559" priority="18211" operator="equal">
      <formula>1</formula>
    </cfRule>
    <cfRule type="cellIs" dxfId="7558" priority="18212" operator="equal">
      <formula>"×"</formula>
    </cfRule>
  </conditionalFormatting>
  <conditionalFormatting sqref="AE8:AG13">
    <cfRule type="cellIs" dxfId="7557" priority="18209" operator="equal">
      <formula>1</formula>
    </cfRule>
    <cfRule type="cellIs" dxfId="7556" priority="18210" operator="equal">
      <formula>"×"</formula>
    </cfRule>
  </conditionalFormatting>
  <conditionalFormatting sqref="AE8:AG13">
    <cfRule type="cellIs" dxfId="7555" priority="18207" operator="equal">
      <formula>1</formula>
    </cfRule>
    <cfRule type="cellIs" dxfId="7554" priority="18208" operator="equal">
      <formula>"×"</formula>
    </cfRule>
  </conditionalFormatting>
  <conditionalFormatting sqref="AE8:AG13">
    <cfRule type="cellIs" dxfId="7553" priority="18205" operator="equal">
      <formula>1</formula>
    </cfRule>
    <cfRule type="cellIs" dxfId="7552" priority="18206" operator="equal">
      <formula>"×"</formula>
    </cfRule>
  </conditionalFormatting>
  <conditionalFormatting sqref="AE8:AG13">
    <cfRule type="cellIs" dxfId="7551" priority="18203" operator="equal">
      <formula>1</formula>
    </cfRule>
    <cfRule type="cellIs" dxfId="7550" priority="18204" operator="equal">
      <formula>"×"</formula>
    </cfRule>
  </conditionalFormatting>
  <conditionalFormatting sqref="AE8:AG13">
    <cfRule type="cellIs" dxfId="7549" priority="18201" operator="equal">
      <formula>1</formula>
    </cfRule>
    <cfRule type="cellIs" dxfId="7548" priority="18202" operator="equal">
      <formula>"×"</formula>
    </cfRule>
  </conditionalFormatting>
  <conditionalFormatting sqref="AE8:AG13">
    <cfRule type="cellIs" dxfId="7547" priority="18199" operator="equal">
      <formula>1</formula>
    </cfRule>
    <cfRule type="cellIs" dxfId="7546" priority="18200" operator="equal">
      <formula>"×"</formula>
    </cfRule>
  </conditionalFormatting>
  <conditionalFormatting sqref="AE8:AG13">
    <cfRule type="cellIs" dxfId="7545" priority="18197" operator="equal">
      <formula>1</formula>
    </cfRule>
    <cfRule type="cellIs" dxfId="7544" priority="18198" operator="equal">
      <formula>"×"</formula>
    </cfRule>
  </conditionalFormatting>
  <conditionalFormatting sqref="AE15">
    <cfRule type="cellIs" dxfId="7543" priority="18187" operator="equal">
      <formula>1</formula>
    </cfRule>
    <cfRule type="cellIs" dxfId="7542" priority="18188" operator="equal">
      <formula>"×"</formula>
    </cfRule>
  </conditionalFormatting>
  <conditionalFormatting sqref="AE15">
    <cfRule type="cellIs" dxfId="7541" priority="18185" operator="equal">
      <formula>1</formula>
    </cfRule>
    <cfRule type="cellIs" dxfId="7540" priority="18186" operator="equal">
      <formula>"×"</formula>
    </cfRule>
  </conditionalFormatting>
  <conditionalFormatting sqref="AE15">
    <cfRule type="cellIs" dxfId="7539" priority="18183" operator="equal">
      <formula>1</formula>
    </cfRule>
    <cfRule type="cellIs" dxfId="7538" priority="18184" operator="equal">
      <formula>"×"</formula>
    </cfRule>
  </conditionalFormatting>
  <conditionalFormatting sqref="AE15">
    <cfRule type="cellIs" dxfId="7537" priority="18181" operator="equal">
      <formula>1</formula>
    </cfRule>
    <cfRule type="cellIs" dxfId="7536" priority="18182" operator="equal">
      <formula>"×"</formula>
    </cfRule>
  </conditionalFormatting>
  <conditionalFormatting sqref="AC13:AC15">
    <cfRule type="cellIs" dxfId="7535" priority="18105" operator="equal">
      <formula>1</formula>
    </cfRule>
    <cfRule type="cellIs" dxfId="7534" priority="18106" operator="equal">
      <formula>"×"</formula>
    </cfRule>
  </conditionalFormatting>
  <conditionalFormatting sqref="AE13:AE15">
    <cfRule type="cellIs" dxfId="7533" priority="18103" operator="equal">
      <formula>1</formula>
    </cfRule>
    <cfRule type="cellIs" dxfId="7532" priority="18104" operator="equal">
      <formula>"×"</formula>
    </cfRule>
  </conditionalFormatting>
  <conditionalFormatting sqref="AD13:AD15">
    <cfRule type="cellIs" dxfId="7531" priority="18101" operator="equal">
      <formula>1</formula>
    </cfRule>
    <cfRule type="cellIs" dxfId="7530" priority="18102" operator="equal">
      <formula>"×"</formula>
    </cfRule>
  </conditionalFormatting>
  <conditionalFormatting sqref="AE13:AE15">
    <cfRule type="cellIs" dxfId="7529" priority="18099" operator="equal">
      <formula>1</formula>
    </cfRule>
    <cfRule type="cellIs" dxfId="7528" priority="18100" operator="equal">
      <formula>"×"</formula>
    </cfRule>
  </conditionalFormatting>
  <conditionalFormatting sqref="AD13:AD15">
    <cfRule type="cellIs" dxfId="7527" priority="18097" operator="equal">
      <formula>1</formula>
    </cfRule>
    <cfRule type="cellIs" dxfId="7526" priority="18098" operator="equal">
      <formula>"×"</formula>
    </cfRule>
  </conditionalFormatting>
  <conditionalFormatting sqref="AD13:AD15">
    <cfRule type="cellIs" dxfId="7525" priority="18093" operator="equal">
      <formula>1</formula>
    </cfRule>
    <cfRule type="cellIs" dxfId="7524" priority="18094" operator="equal">
      <formula>"×"</formula>
    </cfRule>
  </conditionalFormatting>
  <conditionalFormatting sqref="AD13:AD15">
    <cfRule type="cellIs" dxfId="7523" priority="18095" operator="equal">
      <formula>1</formula>
    </cfRule>
    <cfRule type="cellIs" dxfId="7522" priority="18096" operator="equal">
      <formula>"×"</formula>
    </cfRule>
  </conditionalFormatting>
  <conditionalFormatting sqref="AE13:AE15">
    <cfRule type="cellIs" dxfId="7521" priority="18113" operator="equal">
      <formula>1</formula>
    </cfRule>
    <cfRule type="cellIs" dxfId="7520" priority="18114" operator="equal">
      <formula>"×"</formula>
    </cfRule>
  </conditionalFormatting>
  <conditionalFormatting sqref="AD13:AD15">
    <cfRule type="cellIs" dxfId="7519" priority="18115" operator="equal">
      <formula>1</formula>
    </cfRule>
    <cfRule type="cellIs" dxfId="7518" priority="18116" operator="equal">
      <formula>"×"</formula>
    </cfRule>
  </conditionalFormatting>
  <conditionalFormatting sqref="AD13:AD15">
    <cfRule type="cellIs" dxfId="7517" priority="18111" operator="equal">
      <formula>1</formula>
    </cfRule>
    <cfRule type="cellIs" dxfId="7516" priority="18112" operator="equal">
      <formula>"×"</formula>
    </cfRule>
  </conditionalFormatting>
  <conditionalFormatting sqref="AD13:AD15">
    <cfRule type="cellIs" dxfId="7515" priority="18109" operator="equal">
      <formula>1</formula>
    </cfRule>
    <cfRule type="cellIs" dxfId="7514" priority="18110" operator="equal">
      <formula>"×"</formula>
    </cfRule>
  </conditionalFormatting>
  <conditionalFormatting sqref="AD13:AD15">
    <cfRule type="cellIs" dxfId="7513" priority="18107" operator="equal">
      <formula>1</formula>
    </cfRule>
    <cfRule type="cellIs" dxfId="7512" priority="18108" operator="equal">
      <formula>"×"</formula>
    </cfRule>
  </conditionalFormatting>
  <conditionalFormatting sqref="AC13:AE15">
    <cfRule type="cellIs" dxfId="7511" priority="18091" operator="equal">
      <formula>1</formula>
    </cfRule>
    <cfRule type="cellIs" dxfId="7510" priority="18092" operator="equal">
      <formula>"×"</formula>
    </cfRule>
  </conditionalFormatting>
  <conditionalFormatting sqref="AB13:AB15">
    <cfRule type="cellIs" dxfId="7509" priority="18089" operator="equal">
      <formula>1</formula>
    </cfRule>
    <cfRule type="cellIs" dxfId="7508" priority="18090" operator="equal">
      <formula>"×"</formula>
    </cfRule>
  </conditionalFormatting>
  <conditionalFormatting sqref="AE13:AE15">
    <cfRule type="cellIs" dxfId="7507" priority="18063" operator="equal">
      <formula>1</formula>
    </cfRule>
    <cfRule type="cellIs" dxfId="7506" priority="18064" operator="equal">
      <formula>"×"</formula>
    </cfRule>
  </conditionalFormatting>
  <conditionalFormatting sqref="AE13:AE15">
    <cfRule type="cellIs" dxfId="7505" priority="18061" operator="equal">
      <formula>1</formula>
    </cfRule>
    <cfRule type="cellIs" dxfId="7504" priority="18062" operator="equal">
      <formula>"×"</formula>
    </cfRule>
  </conditionalFormatting>
  <conditionalFormatting sqref="AE13:AE15">
    <cfRule type="cellIs" dxfId="7503" priority="18057" operator="equal">
      <formula>1</formula>
    </cfRule>
    <cfRule type="cellIs" dxfId="7502" priority="18058" operator="equal">
      <formula>"×"</formula>
    </cfRule>
  </conditionalFormatting>
  <conditionalFormatting sqref="AE13:AE15">
    <cfRule type="cellIs" dxfId="7501" priority="18059" operator="equal">
      <formula>1</formula>
    </cfRule>
    <cfRule type="cellIs" dxfId="7500" priority="18060" operator="equal">
      <formula>"×"</formula>
    </cfRule>
  </conditionalFormatting>
  <conditionalFormatting sqref="AE13:AE15">
    <cfRule type="cellIs" dxfId="7499" priority="18087" operator="equal">
      <formula>1</formula>
    </cfRule>
    <cfRule type="cellIs" dxfId="7498" priority="18088" operator="equal">
      <formula>"×"</formula>
    </cfRule>
  </conditionalFormatting>
  <conditionalFormatting sqref="AE13:AE15">
    <cfRule type="cellIs" dxfId="7497" priority="18085" operator="equal">
      <formula>1</formula>
    </cfRule>
    <cfRule type="cellIs" dxfId="7496" priority="18086" operator="equal">
      <formula>"×"</formula>
    </cfRule>
  </conditionalFormatting>
  <conditionalFormatting sqref="AE13:AE15">
    <cfRule type="cellIs" dxfId="7495" priority="18083" operator="equal">
      <formula>1</formula>
    </cfRule>
    <cfRule type="cellIs" dxfId="7494" priority="18084" operator="equal">
      <formula>"×"</formula>
    </cfRule>
  </conditionalFormatting>
  <conditionalFormatting sqref="AE13:AE15">
    <cfRule type="cellIs" dxfId="7493" priority="18081" operator="equal">
      <formula>1</formula>
    </cfRule>
    <cfRule type="cellIs" dxfId="7492" priority="18082" operator="equal">
      <formula>"×"</formula>
    </cfRule>
  </conditionalFormatting>
  <conditionalFormatting sqref="AE13:AE15">
    <cfRule type="cellIs" dxfId="7491" priority="18079" operator="equal">
      <formula>1</formula>
    </cfRule>
    <cfRule type="cellIs" dxfId="7490" priority="18080" operator="equal">
      <formula>"×"</formula>
    </cfRule>
  </conditionalFormatting>
  <conditionalFormatting sqref="AE13:AE15">
    <cfRule type="cellIs" dxfId="7489" priority="18077" operator="equal">
      <formula>1</formula>
    </cfRule>
    <cfRule type="cellIs" dxfId="7488" priority="18078" operator="equal">
      <formula>"×"</formula>
    </cfRule>
  </conditionalFormatting>
  <conditionalFormatting sqref="AE13:AE15">
    <cfRule type="cellIs" dxfId="7487" priority="18075" operator="equal">
      <formula>1</formula>
    </cfRule>
    <cfRule type="cellIs" dxfId="7486" priority="18076" operator="equal">
      <formula>"×"</formula>
    </cfRule>
  </conditionalFormatting>
  <conditionalFormatting sqref="AE13:AE15">
    <cfRule type="cellIs" dxfId="7485" priority="18073" operator="equal">
      <formula>1</formula>
    </cfRule>
    <cfRule type="cellIs" dxfId="7484" priority="18074" operator="equal">
      <formula>"×"</formula>
    </cfRule>
  </conditionalFormatting>
  <conditionalFormatting sqref="AE13:AE15">
    <cfRule type="cellIs" dxfId="7483" priority="18071" operator="equal">
      <formula>1</formula>
    </cfRule>
    <cfRule type="cellIs" dxfId="7482" priority="18072" operator="equal">
      <formula>"×"</formula>
    </cfRule>
  </conditionalFormatting>
  <conditionalFormatting sqref="AE13:AE15">
    <cfRule type="cellIs" dxfId="7481" priority="18069" operator="equal">
      <formula>1</formula>
    </cfRule>
    <cfRule type="cellIs" dxfId="7480" priority="18070" operator="equal">
      <formula>"×"</formula>
    </cfRule>
  </conditionalFormatting>
  <conditionalFormatting sqref="AE13:AE15">
    <cfRule type="cellIs" dxfId="7479" priority="18067" operator="equal">
      <formula>1</formula>
    </cfRule>
    <cfRule type="cellIs" dxfId="7478" priority="18068" operator="equal">
      <formula>"×"</formula>
    </cfRule>
  </conditionalFormatting>
  <conditionalFormatting sqref="AE13:AE15">
    <cfRule type="cellIs" dxfId="7477" priority="18065" operator="equal">
      <formula>1</formula>
    </cfRule>
    <cfRule type="cellIs" dxfId="7476" priority="18066" operator="equal">
      <formula>"×"</formula>
    </cfRule>
  </conditionalFormatting>
  <conditionalFormatting sqref="AC15">
    <cfRule type="cellIs" dxfId="7475" priority="18029" operator="equal">
      <formula>1</formula>
    </cfRule>
    <cfRule type="cellIs" dxfId="7474" priority="18030" operator="equal">
      <formula>"×"</formula>
    </cfRule>
  </conditionalFormatting>
  <conditionalFormatting sqref="AD15">
    <cfRule type="cellIs" dxfId="7473" priority="18027" operator="equal">
      <formula>1</formula>
    </cfRule>
    <cfRule type="cellIs" dxfId="7472" priority="18028" operator="equal">
      <formula>"×"</formula>
    </cfRule>
  </conditionalFormatting>
  <conditionalFormatting sqref="AD15">
    <cfRule type="cellIs" dxfId="7471" priority="18025" operator="equal">
      <formula>1</formula>
    </cfRule>
    <cfRule type="cellIs" dxfId="7470" priority="18026" operator="equal">
      <formula>"×"</formula>
    </cfRule>
  </conditionalFormatting>
  <conditionalFormatting sqref="AD15">
    <cfRule type="cellIs" dxfId="7469" priority="18021" operator="equal">
      <formula>1</formula>
    </cfRule>
    <cfRule type="cellIs" dxfId="7468" priority="18022" operator="equal">
      <formula>"×"</formula>
    </cfRule>
  </conditionalFormatting>
  <conditionalFormatting sqref="AD15">
    <cfRule type="cellIs" dxfId="7467" priority="18023" operator="equal">
      <formula>1</formula>
    </cfRule>
    <cfRule type="cellIs" dxfId="7466" priority="18024" operator="equal">
      <formula>"×"</formula>
    </cfRule>
  </conditionalFormatting>
  <conditionalFormatting sqref="AC15">
    <cfRule type="cellIs" dxfId="7465" priority="18055" operator="equal">
      <formula>1</formula>
    </cfRule>
    <cfRule type="cellIs" dxfId="7464" priority="18056" operator="equal">
      <formula>"×"</formula>
    </cfRule>
  </conditionalFormatting>
  <conditionalFormatting sqref="AD15">
    <cfRule type="cellIs" dxfId="7463" priority="18053" operator="equal">
      <formula>1</formula>
    </cfRule>
    <cfRule type="cellIs" dxfId="7462" priority="18054" operator="equal">
      <formula>"×"</formula>
    </cfRule>
  </conditionalFormatting>
  <conditionalFormatting sqref="AD15">
    <cfRule type="cellIs" dxfId="7461" priority="18051" operator="equal">
      <formula>1</formula>
    </cfRule>
    <cfRule type="cellIs" dxfId="7460" priority="18052" operator="equal">
      <formula>"×"</formula>
    </cfRule>
  </conditionalFormatting>
  <conditionalFormatting sqref="AD15">
    <cfRule type="cellIs" dxfId="7459" priority="18049" operator="equal">
      <formula>1</formula>
    </cfRule>
    <cfRule type="cellIs" dxfId="7458" priority="18050" operator="equal">
      <formula>"×"</formula>
    </cfRule>
  </conditionalFormatting>
  <conditionalFormatting sqref="AD15">
    <cfRule type="cellIs" dxfId="7457" priority="18047" operator="equal">
      <formula>1</formula>
    </cfRule>
    <cfRule type="cellIs" dxfId="7456" priority="18048" operator="equal">
      <formula>"×"</formula>
    </cfRule>
  </conditionalFormatting>
  <conditionalFormatting sqref="AD15">
    <cfRule type="cellIs" dxfId="7455" priority="18045" operator="equal">
      <formula>1</formula>
    </cfRule>
    <cfRule type="cellIs" dxfId="7454" priority="18046" operator="equal">
      <formula>"×"</formula>
    </cfRule>
  </conditionalFormatting>
  <conditionalFormatting sqref="AD15">
    <cfRule type="cellIs" dxfId="7453" priority="18043" operator="equal">
      <formula>1</formula>
    </cfRule>
    <cfRule type="cellIs" dxfId="7452" priority="18044" operator="equal">
      <formula>"×"</formula>
    </cfRule>
  </conditionalFormatting>
  <conditionalFormatting sqref="AD15">
    <cfRule type="cellIs" dxfId="7451" priority="18041" operator="equal">
      <formula>1</formula>
    </cfRule>
    <cfRule type="cellIs" dxfId="7450" priority="18042" operator="equal">
      <formula>"×"</formula>
    </cfRule>
  </conditionalFormatting>
  <conditionalFormatting sqref="AD15">
    <cfRule type="cellIs" dxfId="7449" priority="18039" operator="equal">
      <formula>1</formula>
    </cfRule>
    <cfRule type="cellIs" dxfId="7448" priority="18040" operator="equal">
      <formula>"×"</formula>
    </cfRule>
  </conditionalFormatting>
  <conditionalFormatting sqref="AD15">
    <cfRule type="cellIs" dxfId="7447" priority="18037" operator="equal">
      <formula>1</formula>
    </cfRule>
    <cfRule type="cellIs" dxfId="7446" priority="18038" operator="equal">
      <formula>"×"</formula>
    </cfRule>
  </conditionalFormatting>
  <conditionalFormatting sqref="AD15">
    <cfRule type="cellIs" dxfId="7445" priority="18035" operator="equal">
      <formula>1</formula>
    </cfRule>
    <cfRule type="cellIs" dxfId="7444" priority="18036" operator="equal">
      <formula>"×"</formula>
    </cfRule>
  </conditionalFormatting>
  <conditionalFormatting sqref="AD15">
    <cfRule type="cellIs" dxfId="7443" priority="18033" operator="equal">
      <formula>1</formula>
    </cfRule>
    <cfRule type="cellIs" dxfId="7442" priority="18034" operator="equal">
      <formula>"×"</formula>
    </cfRule>
  </conditionalFormatting>
  <conditionalFormatting sqref="AD15">
    <cfRule type="cellIs" dxfId="7441" priority="18031" operator="equal">
      <formula>1</formula>
    </cfRule>
    <cfRule type="cellIs" dxfId="7440" priority="18032" operator="equal">
      <formula>"×"</formula>
    </cfRule>
  </conditionalFormatting>
  <conditionalFormatting sqref="AC15:AD15">
    <cfRule type="cellIs" dxfId="7439" priority="18019" operator="equal">
      <formula>1</formula>
    </cfRule>
    <cfRule type="cellIs" dxfId="7438" priority="18020" operator="equal">
      <formula>"×"</formula>
    </cfRule>
  </conditionalFormatting>
  <conditionalFormatting sqref="AB15">
    <cfRule type="cellIs" dxfId="7437" priority="18017" operator="equal">
      <formula>1</formula>
    </cfRule>
    <cfRule type="cellIs" dxfId="7436" priority="18018" operator="equal">
      <formula>"×"</formula>
    </cfRule>
  </conditionalFormatting>
  <conditionalFormatting sqref="AG19:AH19">
    <cfRule type="cellIs" dxfId="7435" priority="18015" operator="equal">
      <formula>1</formula>
    </cfRule>
    <cfRule type="cellIs" dxfId="7434" priority="18016" operator="equal">
      <formula>"×"</formula>
    </cfRule>
  </conditionalFormatting>
  <conditionalFormatting sqref="AF15">
    <cfRule type="cellIs" dxfId="7433" priority="17991" operator="equal">
      <formula>1</formula>
    </cfRule>
    <cfRule type="cellIs" dxfId="7432" priority="17992" operator="equal">
      <formula>"×"</formula>
    </cfRule>
  </conditionalFormatting>
  <conditionalFormatting sqref="AF15">
    <cfRule type="cellIs" dxfId="7431" priority="17989" operator="equal">
      <formula>1</formula>
    </cfRule>
    <cfRule type="cellIs" dxfId="7430" priority="17990" operator="equal">
      <formula>"×"</formula>
    </cfRule>
  </conditionalFormatting>
  <conditionalFormatting sqref="AI15">
    <cfRule type="cellIs" dxfId="7429" priority="18011" operator="equal">
      <formula>1</formula>
    </cfRule>
    <cfRule type="cellIs" dxfId="7428" priority="18012" operator="equal">
      <formula>"×"</formula>
    </cfRule>
  </conditionalFormatting>
  <conditionalFormatting sqref="AF15:AI15">
    <cfRule type="cellIs" dxfId="7427" priority="18013" operator="equal">
      <formula>1</formula>
    </cfRule>
    <cfRule type="cellIs" dxfId="7426" priority="18014" operator="equal">
      <formula>"×"</formula>
    </cfRule>
  </conditionalFormatting>
  <conditionalFormatting sqref="AF15:AI16 AF19:AI19">
    <cfRule type="cellIs" dxfId="7425" priority="18009" operator="equal">
      <formula>1</formula>
    </cfRule>
    <cfRule type="cellIs" dxfId="7424" priority="18010" operator="equal">
      <formula>"×"</formula>
    </cfRule>
  </conditionalFormatting>
  <conditionalFormatting sqref="AG13:AI16 AH14:AI18">
    <cfRule type="cellIs" dxfId="7423" priority="18007" operator="equal">
      <formula>1</formula>
    </cfRule>
    <cfRule type="cellIs" dxfId="7422" priority="18008" operator="equal">
      <formula>"×"</formula>
    </cfRule>
  </conditionalFormatting>
  <conditionalFormatting sqref="AI13:AI18">
    <cfRule type="cellIs" dxfId="7421" priority="18005" operator="equal">
      <formula>1</formula>
    </cfRule>
    <cfRule type="cellIs" dxfId="7420" priority="18006" operator="equal">
      <formula>"×"</formula>
    </cfRule>
  </conditionalFormatting>
  <conditionalFormatting sqref="AG13:AI16 AH14:AI18">
    <cfRule type="cellIs" dxfId="7419" priority="18003" operator="equal">
      <formula>1</formula>
    </cfRule>
    <cfRule type="cellIs" dxfId="7418" priority="18004" operator="equal">
      <formula>"×"</formula>
    </cfRule>
  </conditionalFormatting>
  <conditionalFormatting sqref="AF19">
    <cfRule type="cellIs" dxfId="7417" priority="18001" operator="equal">
      <formula>1</formula>
    </cfRule>
    <cfRule type="cellIs" dxfId="7416" priority="18002" operator="equal">
      <formula>"×"</formula>
    </cfRule>
  </conditionalFormatting>
  <conditionalFormatting sqref="AF19">
    <cfRule type="cellIs" dxfId="7415" priority="17999" operator="equal">
      <formula>1</formula>
    </cfRule>
    <cfRule type="cellIs" dxfId="7414" priority="18000" operator="equal">
      <formula>"×"</formula>
    </cfRule>
  </conditionalFormatting>
  <conditionalFormatting sqref="AF19:AI19">
    <cfRule type="cellIs" dxfId="7413" priority="17997" operator="equal">
      <formula>1</formula>
    </cfRule>
    <cfRule type="cellIs" dxfId="7412" priority="17998" operator="equal">
      <formula>"×"</formula>
    </cfRule>
  </conditionalFormatting>
  <conditionalFormatting sqref="AI19">
    <cfRule type="cellIs" dxfId="7411" priority="17995" operator="equal">
      <formula>1</formula>
    </cfRule>
    <cfRule type="cellIs" dxfId="7410" priority="17996" operator="equal">
      <formula>"×"</formula>
    </cfRule>
  </conditionalFormatting>
  <conditionalFormatting sqref="AF19:AI19">
    <cfRule type="cellIs" dxfId="7409" priority="17993" operator="equal">
      <formula>1</formula>
    </cfRule>
    <cfRule type="cellIs" dxfId="7408" priority="17994" operator="equal">
      <formula>"×"</formula>
    </cfRule>
  </conditionalFormatting>
  <conditionalFormatting sqref="AF19:AI19">
    <cfRule type="cellIs" dxfId="7407" priority="17987" operator="equal">
      <formula>1</formula>
    </cfRule>
    <cfRule type="cellIs" dxfId="7406" priority="17988" operator="equal">
      <formula>"×"</formula>
    </cfRule>
  </conditionalFormatting>
  <conditionalFormatting sqref="AI19">
    <cfRule type="cellIs" dxfId="7405" priority="17985" operator="equal">
      <formula>1</formula>
    </cfRule>
    <cfRule type="cellIs" dxfId="7404" priority="17986" operator="equal">
      <formula>"×"</formula>
    </cfRule>
  </conditionalFormatting>
  <conditionalFormatting sqref="AF19:AI19">
    <cfRule type="cellIs" dxfId="7403" priority="17983" operator="equal">
      <formula>1</formula>
    </cfRule>
    <cfRule type="cellIs" dxfId="7402" priority="17984" operator="equal">
      <formula>"×"</formula>
    </cfRule>
  </conditionalFormatting>
  <conditionalFormatting sqref="AF19:AI19">
    <cfRule type="cellIs" dxfId="7401" priority="17981" operator="equal">
      <formula>1</formula>
    </cfRule>
    <cfRule type="cellIs" dxfId="7400" priority="17982" operator="equal">
      <formula>"×"</formula>
    </cfRule>
  </conditionalFormatting>
  <conditionalFormatting sqref="AI19">
    <cfRule type="cellIs" dxfId="7399" priority="17979" operator="equal">
      <formula>1</formula>
    </cfRule>
    <cfRule type="cellIs" dxfId="7398" priority="17980" operator="equal">
      <formula>"×"</formula>
    </cfRule>
  </conditionalFormatting>
  <conditionalFormatting sqref="AF15:AF16 AF19">
    <cfRule type="cellIs" dxfId="7397" priority="17975" operator="equal">
      <formula>1</formula>
    </cfRule>
    <cfRule type="cellIs" dxfId="7396" priority="17976" operator="equal">
      <formula>"×"</formula>
    </cfRule>
  </conditionalFormatting>
  <conditionalFormatting sqref="AF15:AF16 AF19">
    <cfRule type="cellIs" dxfId="7395" priority="17973" operator="equal">
      <formula>1</formula>
    </cfRule>
    <cfRule type="cellIs" dxfId="7394" priority="17974" operator="equal">
      <formula>"×"</formula>
    </cfRule>
  </conditionalFormatting>
  <conditionalFormatting sqref="AF15:AF16 AF19">
    <cfRule type="cellIs" dxfId="7393" priority="17971" operator="equal">
      <formula>1</formula>
    </cfRule>
    <cfRule type="cellIs" dxfId="7392" priority="17972" operator="equal">
      <formula>"×"</formula>
    </cfRule>
  </conditionalFormatting>
  <conditionalFormatting sqref="AF15:AF16 AF19">
    <cfRule type="cellIs" dxfId="7391" priority="17969" operator="equal">
      <formula>1</formula>
    </cfRule>
    <cfRule type="cellIs" dxfId="7390" priority="17970" operator="equal">
      <formula>"×"</formula>
    </cfRule>
  </conditionalFormatting>
  <conditionalFormatting sqref="AF15:AF16 AF19">
    <cfRule type="cellIs" dxfId="7389" priority="17967" operator="equal">
      <formula>1</formula>
    </cfRule>
    <cfRule type="cellIs" dxfId="7388" priority="17968" operator="equal">
      <formula>"×"</formula>
    </cfRule>
  </conditionalFormatting>
  <conditionalFormatting sqref="AF15:AF16 AF19">
    <cfRule type="cellIs" dxfId="7387" priority="17965" operator="equal">
      <formula>1</formula>
    </cfRule>
    <cfRule type="cellIs" dxfId="7386" priority="17966" operator="equal">
      <formula>"×"</formula>
    </cfRule>
  </conditionalFormatting>
  <conditionalFormatting sqref="AG19:AI19">
    <cfRule type="cellIs" dxfId="7385" priority="17963" operator="equal">
      <formula>1</formula>
    </cfRule>
    <cfRule type="cellIs" dxfId="7384" priority="17964" operator="equal">
      <formula>"×"</formula>
    </cfRule>
  </conditionalFormatting>
  <conditionalFormatting sqref="AI19">
    <cfRule type="cellIs" dxfId="7383" priority="17961" operator="equal">
      <formula>1</formula>
    </cfRule>
    <cfRule type="cellIs" dxfId="7382" priority="17962" operator="equal">
      <formula>"×"</formula>
    </cfRule>
  </conditionalFormatting>
  <conditionalFormatting sqref="AG19:AI19">
    <cfRule type="cellIs" dxfId="7381" priority="17959" operator="equal">
      <formula>1</formula>
    </cfRule>
    <cfRule type="cellIs" dxfId="7380" priority="17960" operator="equal">
      <formula>"×"</formula>
    </cfRule>
  </conditionalFormatting>
  <conditionalFormatting sqref="AG19:AI19">
    <cfRule type="cellIs" dxfId="7379" priority="17957" operator="equal">
      <formula>1</formula>
    </cfRule>
    <cfRule type="cellIs" dxfId="7378" priority="17958" operator="equal">
      <formula>"×"</formula>
    </cfRule>
  </conditionalFormatting>
  <conditionalFormatting sqref="AI19">
    <cfRule type="cellIs" dxfId="7377" priority="17955" operator="equal">
      <formula>1</formula>
    </cfRule>
    <cfRule type="cellIs" dxfId="7376" priority="17956" operator="equal">
      <formula>"×"</formula>
    </cfRule>
  </conditionalFormatting>
  <conditionalFormatting sqref="AG19:AI19">
    <cfRule type="cellIs" dxfId="7375" priority="17953" operator="equal">
      <formula>1</formula>
    </cfRule>
    <cfRule type="cellIs" dxfId="7374" priority="17954" operator="equal">
      <formula>"×"</formula>
    </cfRule>
  </conditionalFormatting>
  <conditionalFormatting sqref="AF15:AF16 AF19">
    <cfRule type="cellIs" dxfId="7373" priority="17951" operator="equal">
      <formula>1</formula>
    </cfRule>
    <cfRule type="cellIs" dxfId="7372" priority="17952" operator="equal">
      <formula>"×"</formula>
    </cfRule>
  </conditionalFormatting>
  <conditionalFormatting sqref="AF15:AF16 AF19">
    <cfRule type="cellIs" dxfId="7371" priority="17949" operator="equal">
      <formula>1</formula>
    </cfRule>
    <cfRule type="cellIs" dxfId="7370" priority="17950" operator="equal">
      <formula>"×"</formula>
    </cfRule>
  </conditionalFormatting>
  <conditionalFormatting sqref="AF15:AF16 AF19">
    <cfRule type="cellIs" dxfId="7369" priority="17947" operator="equal">
      <formula>1</formula>
    </cfRule>
    <cfRule type="cellIs" dxfId="7368" priority="17948" operator="equal">
      <formula>"×"</formula>
    </cfRule>
  </conditionalFormatting>
  <conditionalFormatting sqref="AF15:AF16 AF19">
    <cfRule type="cellIs" dxfId="7367" priority="17945" operator="equal">
      <formula>1</formula>
    </cfRule>
    <cfRule type="cellIs" dxfId="7366" priority="17946" operator="equal">
      <formula>"×"</formula>
    </cfRule>
  </conditionalFormatting>
  <conditionalFormatting sqref="AF15:AF16 AF19">
    <cfRule type="cellIs" dxfId="7365" priority="17943" operator="equal">
      <formula>1</formula>
    </cfRule>
    <cfRule type="cellIs" dxfId="7364" priority="17944" operator="equal">
      <formula>"×"</formula>
    </cfRule>
  </conditionalFormatting>
  <conditionalFormatting sqref="AF15:AF16 AF19">
    <cfRule type="cellIs" dxfId="7363" priority="17941" operator="equal">
      <formula>1</formula>
    </cfRule>
    <cfRule type="cellIs" dxfId="7362" priority="17942" operator="equal">
      <formula>"×"</formula>
    </cfRule>
  </conditionalFormatting>
  <conditionalFormatting sqref="AF15:AF16 AF19">
    <cfRule type="cellIs" dxfId="7361" priority="17939" operator="equal">
      <formula>1</formula>
    </cfRule>
    <cfRule type="cellIs" dxfId="7360" priority="17940" operator="equal">
      <formula>"×"</formula>
    </cfRule>
  </conditionalFormatting>
  <conditionalFormatting sqref="AG19:AI19">
    <cfRule type="cellIs" dxfId="7359" priority="17937" operator="equal">
      <formula>1</formula>
    </cfRule>
    <cfRule type="cellIs" dxfId="7358" priority="17938" operator="equal">
      <formula>"×"</formula>
    </cfRule>
  </conditionalFormatting>
  <conditionalFormatting sqref="AG19:AI19">
    <cfRule type="cellIs" dxfId="7357" priority="17933" operator="equal">
      <formula>1</formula>
    </cfRule>
    <cfRule type="cellIs" dxfId="7356" priority="17934" operator="equal">
      <formula>"×"</formula>
    </cfRule>
  </conditionalFormatting>
  <conditionalFormatting sqref="AI19">
    <cfRule type="cellIs" dxfId="7355" priority="17935" operator="equal">
      <formula>1</formula>
    </cfRule>
    <cfRule type="cellIs" dxfId="7354" priority="17936" operator="equal">
      <formula>"×"</formula>
    </cfRule>
  </conditionalFormatting>
  <conditionalFormatting sqref="AG19:AI19">
    <cfRule type="cellIs" dxfId="7353" priority="17931" operator="equal">
      <formula>1</formula>
    </cfRule>
    <cfRule type="cellIs" dxfId="7352" priority="17932" operator="equal">
      <formula>"×"</formula>
    </cfRule>
  </conditionalFormatting>
  <conditionalFormatting sqref="AI19">
    <cfRule type="cellIs" dxfId="7351" priority="17929" operator="equal">
      <formula>1</formula>
    </cfRule>
    <cfRule type="cellIs" dxfId="7350" priority="17930" operator="equal">
      <formula>"×"</formula>
    </cfRule>
  </conditionalFormatting>
  <conditionalFormatting sqref="AG19:AI19">
    <cfRule type="cellIs" dxfId="7349" priority="17927" operator="equal">
      <formula>1</formula>
    </cfRule>
    <cfRule type="cellIs" dxfId="7348" priority="17928" operator="equal">
      <formula>"×"</formula>
    </cfRule>
  </conditionalFormatting>
  <conditionalFormatting sqref="AI19">
    <cfRule type="cellIs" dxfId="7347" priority="17925" operator="equal">
      <formula>1</formula>
    </cfRule>
    <cfRule type="cellIs" dxfId="7346" priority="17926" operator="equal">
      <formula>"×"</formula>
    </cfRule>
  </conditionalFormatting>
  <conditionalFormatting sqref="AI19">
    <cfRule type="cellIs" dxfId="7345" priority="17923" operator="equal">
      <formula>1</formula>
    </cfRule>
    <cfRule type="cellIs" dxfId="7344" priority="17924" operator="equal">
      <formula>"×"</formula>
    </cfRule>
  </conditionalFormatting>
  <conditionalFormatting sqref="AI19">
    <cfRule type="cellIs" dxfId="7343" priority="17921" operator="equal">
      <formula>1</formula>
    </cfRule>
    <cfRule type="cellIs" dxfId="7342" priority="17922" operator="equal">
      <formula>"×"</formula>
    </cfRule>
  </conditionalFormatting>
  <conditionalFormatting sqref="AI19">
    <cfRule type="cellIs" dxfId="7341" priority="17919" operator="equal">
      <formula>1</formula>
    </cfRule>
    <cfRule type="cellIs" dxfId="7340" priority="17920" operator="equal">
      <formula>"×"</formula>
    </cfRule>
  </conditionalFormatting>
  <conditionalFormatting sqref="AI19">
    <cfRule type="cellIs" dxfId="7339" priority="17917" operator="equal">
      <formula>1</formula>
    </cfRule>
    <cfRule type="cellIs" dxfId="7338" priority="17918" operator="equal">
      <formula>"×"</formula>
    </cfRule>
  </conditionalFormatting>
  <conditionalFormatting sqref="AI19">
    <cfRule type="cellIs" dxfId="7337" priority="17915" operator="equal">
      <formula>1</formula>
    </cfRule>
    <cfRule type="cellIs" dxfId="7336" priority="17916" operator="equal">
      <formula>"×"</formula>
    </cfRule>
  </conditionalFormatting>
  <conditionalFormatting sqref="AF19:AI19">
    <cfRule type="cellIs" dxfId="7335" priority="17891" operator="equal">
      <formula>1</formula>
    </cfRule>
    <cfRule type="cellIs" dxfId="7334" priority="17892" operator="equal">
      <formula>"×"</formula>
    </cfRule>
  </conditionalFormatting>
  <conditionalFormatting sqref="AI19">
    <cfRule type="cellIs" dxfId="7333" priority="17889" operator="equal">
      <formula>1</formula>
    </cfRule>
    <cfRule type="cellIs" dxfId="7332" priority="17890" operator="equal">
      <formula>"×"</formula>
    </cfRule>
  </conditionalFormatting>
  <conditionalFormatting sqref="AF19:AI19">
    <cfRule type="cellIs" dxfId="7331" priority="17887" operator="equal">
      <formula>1</formula>
    </cfRule>
    <cfRule type="cellIs" dxfId="7330" priority="17888" operator="equal">
      <formula>"×"</formula>
    </cfRule>
  </conditionalFormatting>
  <conditionalFormatting sqref="AF19">
    <cfRule type="cellIs" dxfId="7329" priority="17913" operator="equal">
      <formula>1</formula>
    </cfRule>
    <cfRule type="cellIs" dxfId="7328" priority="17914" operator="equal">
      <formula>"×"</formula>
    </cfRule>
  </conditionalFormatting>
  <conditionalFormatting sqref="AF19">
    <cfRule type="cellIs" dxfId="7327" priority="17911" operator="equal">
      <formula>1</formula>
    </cfRule>
    <cfRule type="cellIs" dxfId="7326" priority="17912" operator="equal">
      <formula>"×"</formula>
    </cfRule>
  </conditionalFormatting>
  <conditionalFormatting sqref="AF15:AF16 AF19">
    <cfRule type="cellIs" dxfId="7325" priority="17909" operator="equal">
      <formula>1</formula>
    </cfRule>
    <cfRule type="cellIs" dxfId="7324" priority="17910" operator="equal">
      <formula>"×"</formula>
    </cfRule>
  </conditionalFormatting>
  <conditionalFormatting sqref="AF15:AF16 AF19">
    <cfRule type="cellIs" dxfId="7323" priority="17907" operator="equal">
      <formula>1</formula>
    </cfRule>
    <cfRule type="cellIs" dxfId="7322" priority="17908" operator="equal">
      <formula>"×"</formula>
    </cfRule>
  </conditionalFormatting>
  <conditionalFormatting sqref="AF19">
    <cfRule type="cellIs" dxfId="7321" priority="17905" operator="equal">
      <formula>1</formula>
    </cfRule>
    <cfRule type="cellIs" dxfId="7320" priority="17906" operator="equal">
      <formula>"×"</formula>
    </cfRule>
  </conditionalFormatting>
  <conditionalFormatting sqref="AF19">
    <cfRule type="cellIs" dxfId="7319" priority="17903" operator="equal">
      <formula>1</formula>
    </cfRule>
    <cfRule type="cellIs" dxfId="7318" priority="17904" operator="equal">
      <formula>"×"</formula>
    </cfRule>
  </conditionalFormatting>
  <conditionalFormatting sqref="AF15:AF16 AF19:AI19">
    <cfRule type="cellIs" dxfId="7317" priority="17901" operator="equal">
      <formula>1</formula>
    </cfRule>
    <cfRule type="cellIs" dxfId="7316" priority="17902" operator="equal">
      <formula>"×"</formula>
    </cfRule>
  </conditionalFormatting>
  <conditionalFormatting sqref="AF15:AF16 AF19:AI19">
    <cfRule type="cellIs" dxfId="7315" priority="17897" operator="equal">
      <formula>1</formula>
    </cfRule>
    <cfRule type="cellIs" dxfId="7314" priority="17898" operator="equal">
      <formula>"×"</formula>
    </cfRule>
  </conditionalFormatting>
  <conditionalFormatting sqref="AF19">
    <cfRule type="cellIs" dxfId="7313" priority="17895" operator="equal">
      <formula>1</formula>
    </cfRule>
    <cfRule type="cellIs" dxfId="7312" priority="17896" operator="equal">
      <formula>"×"</formula>
    </cfRule>
  </conditionalFormatting>
  <conditionalFormatting sqref="AF19">
    <cfRule type="cellIs" dxfId="7311" priority="17893" operator="equal">
      <formula>1</formula>
    </cfRule>
    <cfRule type="cellIs" dxfId="7310" priority="17894" operator="equal">
      <formula>"×"</formula>
    </cfRule>
  </conditionalFormatting>
  <conditionalFormatting sqref="AF15:AF16 AF19:AI19">
    <cfRule type="cellIs" dxfId="7309" priority="17885" operator="equal">
      <formula>1</formula>
    </cfRule>
    <cfRule type="cellIs" dxfId="7308" priority="17886" operator="equal">
      <formula>"×"</formula>
    </cfRule>
  </conditionalFormatting>
  <conditionalFormatting sqref="AF15:AF16 AF19:AI19">
    <cfRule type="cellIs" dxfId="7307" priority="17881" operator="equal">
      <formula>1</formula>
    </cfRule>
    <cfRule type="cellIs" dxfId="7306" priority="17882" operator="equal">
      <formula>"×"</formula>
    </cfRule>
  </conditionalFormatting>
  <conditionalFormatting sqref="AF15:AF16 AF19:AI19">
    <cfRule type="cellIs" dxfId="7305" priority="17879" operator="equal">
      <formula>1</formula>
    </cfRule>
    <cfRule type="cellIs" dxfId="7304" priority="17880" operator="equal">
      <formula>"×"</formula>
    </cfRule>
  </conditionalFormatting>
  <conditionalFormatting sqref="AF19">
    <cfRule type="cellIs" dxfId="7303" priority="17875" operator="equal">
      <formula>1</formula>
    </cfRule>
    <cfRule type="cellIs" dxfId="7302" priority="17876" operator="equal">
      <formula>"×"</formula>
    </cfRule>
  </conditionalFormatting>
  <conditionalFormatting sqref="AF19">
    <cfRule type="cellIs" dxfId="7301" priority="17871" operator="equal">
      <formula>1</formula>
    </cfRule>
    <cfRule type="cellIs" dxfId="7300" priority="17872" operator="equal">
      <formula>"×"</formula>
    </cfRule>
  </conditionalFormatting>
  <conditionalFormatting sqref="AF19">
    <cfRule type="cellIs" dxfId="7299" priority="17873" operator="equal">
      <formula>1</formula>
    </cfRule>
    <cfRule type="cellIs" dxfId="7298" priority="17874" operator="equal">
      <formula>"×"</formula>
    </cfRule>
  </conditionalFormatting>
  <conditionalFormatting sqref="AF19">
    <cfRule type="cellIs" dxfId="7297" priority="17869" operator="equal">
      <formula>1</formula>
    </cfRule>
    <cfRule type="cellIs" dxfId="7296" priority="17870" operator="equal">
      <formula>"×"</formula>
    </cfRule>
  </conditionalFormatting>
  <conditionalFormatting sqref="AF19">
    <cfRule type="cellIs" dxfId="7295" priority="17867" operator="equal">
      <formula>1</formula>
    </cfRule>
    <cfRule type="cellIs" dxfId="7294" priority="17868" operator="equal">
      <formula>"×"</formula>
    </cfRule>
  </conditionalFormatting>
  <conditionalFormatting sqref="AF19">
    <cfRule type="cellIs" dxfId="7293" priority="17865" operator="equal">
      <formula>1</formula>
    </cfRule>
    <cfRule type="cellIs" dxfId="7292" priority="17866" operator="equal">
      <formula>"×"</formula>
    </cfRule>
  </conditionalFormatting>
  <conditionalFormatting sqref="AF19">
    <cfRule type="cellIs" dxfId="7291" priority="17863" operator="equal">
      <formula>1</formula>
    </cfRule>
    <cfRule type="cellIs" dxfId="7290" priority="17864" operator="equal">
      <formula>"×"</formula>
    </cfRule>
  </conditionalFormatting>
  <conditionalFormatting sqref="AH18:AI18">
    <cfRule type="cellIs" dxfId="7289" priority="17861" operator="equal">
      <formula>1</formula>
    </cfRule>
    <cfRule type="cellIs" dxfId="7288" priority="17862" operator="equal">
      <formula>"×"</formula>
    </cfRule>
  </conditionalFormatting>
  <conditionalFormatting sqref="AI18">
    <cfRule type="cellIs" dxfId="7287" priority="17859" operator="equal">
      <formula>1</formula>
    </cfRule>
    <cfRule type="cellIs" dxfId="7286" priority="17860" operator="equal">
      <formula>"×"</formula>
    </cfRule>
  </conditionalFormatting>
  <conditionalFormatting sqref="AH18:AI18">
    <cfRule type="cellIs" dxfId="7285" priority="17857" operator="equal">
      <formula>1</formula>
    </cfRule>
    <cfRule type="cellIs" dxfId="7284" priority="17858" operator="equal">
      <formula>"×"</formula>
    </cfRule>
  </conditionalFormatting>
  <conditionalFormatting sqref="AH18:AI18">
    <cfRule type="cellIs" dxfId="7283" priority="17855" operator="equal">
      <formula>1</formula>
    </cfRule>
    <cfRule type="cellIs" dxfId="7282" priority="17856" operator="equal">
      <formula>"×"</formula>
    </cfRule>
  </conditionalFormatting>
  <conditionalFormatting sqref="AI18">
    <cfRule type="cellIs" dxfId="7281" priority="17853" operator="equal">
      <formula>1</formula>
    </cfRule>
    <cfRule type="cellIs" dxfId="7280" priority="17854" operator="equal">
      <formula>"×"</formula>
    </cfRule>
  </conditionalFormatting>
  <conditionalFormatting sqref="AH18:AI18">
    <cfRule type="cellIs" dxfId="7279" priority="17851" operator="equal">
      <formula>1</formula>
    </cfRule>
    <cfRule type="cellIs" dxfId="7278" priority="17852" operator="equal">
      <formula>"×"</formula>
    </cfRule>
  </conditionalFormatting>
  <conditionalFormatting sqref="AF15:AG15">
    <cfRule type="cellIs" dxfId="7277" priority="17825" operator="equal">
      <formula>1</formula>
    </cfRule>
    <cfRule type="cellIs" dxfId="7276" priority="17826" operator="equal">
      <formula>"×"</formula>
    </cfRule>
  </conditionalFormatting>
  <conditionalFormatting sqref="AF15:AG15">
    <cfRule type="cellIs" dxfId="7275" priority="17823" operator="equal">
      <formula>1</formula>
    </cfRule>
    <cfRule type="cellIs" dxfId="7274" priority="17824" operator="equal">
      <formula>"×"</formula>
    </cfRule>
  </conditionalFormatting>
  <conditionalFormatting sqref="AF15:AG15">
    <cfRule type="cellIs" dxfId="7273" priority="17819" operator="equal">
      <formula>1</formula>
    </cfRule>
    <cfRule type="cellIs" dxfId="7272" priority="17820" operator="equal">
      <formula>"×"</formula>
    </cfRule>
  </conditionalFormatting>
  <conditionalFormatting sqref="AF15:AG15">
    <cfRule type="cellIs" dxfId="7271" priority="17821" operator="equal">
      <formula>1</formula>
    </cfRule>
    <cfRule type="cellIs" dxfId="7270" priority="17822" operator="equal">
      <formula>"×"</formula>
    </cfRule>
  </conditionalFormatting>
  <conditionalFormatting sqref="AF15:AG15">
    <cfRule type="cellIs" dxfId="7269" priority="17849" operator="equal">
      <formula>1</formula>
    </cfRule>
    <cfRule type="cellIs" dxfId="7268" priority="17850" operator="equal">
      <formula>"×"</formula>
    </cfRule>
  </conditionalFormatting>
  <conditionalFormatting sqref="AF15:AG15">
    <cfRule type="cellIs" dxfId="7267" priority="17847" operator="equal">
      <formula>1</formula>
    </cfRule>
    <cfRule type="cellIs" dxfId="7266" priority="17848" operator="equal">
      <formula>"×"</formula>
    </cfRule>
  </conditionalFormatting>
  <conditionalFormatting sqref="AF15:AG15">
    <cfRule type="cellIs" dxfId="7265" priority="17845" operator="equal">
      <formula>1</formula>
    </cfRule>
    <cfRule type="cellIs" dxfId="7264" priority="17846" operator="equal">
      <formula>"×"</formula>
    </cfRule>
  </conditionalFormatting>
  <conditionalFormatting sqref="AF15:AG15">
    <cfRule type="cellIs" dxfId="7263" priority="17843" operator="equal">
      <formula>1</formula>
    </cfRule>
    <cfRule type="cellIs" dxfId="7262" priority="17844" operator="equal">
      <formula>"×"</formula>
    </cfRule>
  </conditionalFormatting>
  <conditionalFormatting sqref="AF15:AG15">
    <cfRule type="cellIs" dxfId="7261" priority="17841" operator="equal">
      <formula>1</formula>
    </cfRule>
    <cfRule type="cellIs" dxfId="7260" priority="17842" operator="equal">
      <formula>"×"</formula>
    </cfRule>
  </conditionalFormatting>
  <conditionalFormatting sqref="AF15:AG15">
    <cfRule type="cellIs" dxfId="7259" priority="17839" operator="equal">
      <formula>1</formula>
    </cfRule>
    <cfRule type="cellIs" dxfId="7258" priority="17840" operator="equal">
      <formula>"×"</formula>
    </cfRule>
  </conditionalFormatting>
  <conditionalFormatting sqref="AF15:AG15">
    <cfRule type="cellIs" dxfId="7257" priority="17837" operator="equal">
      <formula>1</formula>
    </cfRule>
    <cfRule type="cellIs" dxfId="7256" priority="17838" operator="equal">
      <formula>"×"</formula>
    </cfRule>
  </conditionalFormatting>
  <conditionalFormatting sqref="AF15:AG15">
    <cfRule type="cellIs" dxfId="7255" priority="17835" operator="equal">
      <formula>1</formula>
    </cfRule>
    <cfRule type="cellIs" dxfId="7254" priority="17836" operator="equal">
      <formula>"×"</formula>
    </cfRule>
  </conditionalFormatting>
  <conditionalFormatting sqref="AF15:AG15">
    <cfRule type="cellIs" dxfId="7253" priority="17833" operator="equal">
      <formula>1</formula>
    </cfRule>
    <cfRule type="cellIs" dxfId="7252" priority="17834" operator="equal">
      <formula>"×"</formula>
    </cfRule>
  </conditionalFormatting>
  <conditionalFormatting sqref="AF15:AG15">
    <cfRule type="cellIs" dxfId="7251" priority="17831" operator="equal">
      <formula>1</formula>
    </cfRule>
    <cfRule type="cellIs" dxfId="7250" priority="17832" operator="equal">
      <formula>"×"</formula>
    </cfRule>
  </conditionalFormatting>
  <conditionalFormatting sqref="AF15:AG15">
    <cfRule type="cellIs" dxfId="7249" priority="17829" operator="equal">
      <formula>1</formula>
    </cfRule>
    <cfRule type="cellIs" dxfId="7248" priority="17830" operator="equal">
      <formula>"×"</formula>
    </cfRule>
  </conditionalFormatting>
  <conditionalFormatting sqref="AF15:AG15">
    <cfRule type="cellIs" dxfId="7247" priority="17827" operator="equal">
      <formula>1</formula>
    </cfRule>
    <cfRule type="cellIs" dxfId="7246" priority="17828" operator="equal">
      <formula>"×"</formula>
    </cfRule>
  </conditionalFormatting>
  <conditionalFormatting sqref="AH15:AI15">
    <cfRule type="cellIs" dxfId="7245" priority="17793" operator="equal">
      <formula>1</formula>
    </cfRule>
    <cfRule type="cellIs" dxfId="7244" priority="17794" operator="equal">
      <formula>"×"</formula>
    </cfRule>
  </conditionalFormatting>
  <conditionalFormatting sqref="AH15:AI15">
    <cfRule type="cellIs" dxfId="7243" priority="17791" operator="equal">
      <formula>1</formula>
    </cfRule>
    <cfRule type="cellIs" dxfId="7242" priority="17792" operator="equal">
      <formula>"×"</formula>
    </cfRule>
  </conditionalFormatting>
  <conditionalFormatting sqref="AH15:AI15">
    <cfRule type="cellIs" dxfId="7241" priority="17787" operator="equal">
      <formula>1</formula>
    </cfRule>
    <cfRule type="cellIs" dxfId="7240" priority="17788" operator="equal">
      <formula>"×"</formula>
    </cfRule>
  </conditionalFormatting>
  <conditionalFormatting sqref="AH15:AI15">
    <cfRule type="cellIs" dxfId="7239" priority="17789" operator="equal">
      <formula>1</formula>
    </cfRule>
    <cfRule type="cellIs" dxfId="7238" priority="17790" operator="equal">
      <formula>"×"</formula>
    </cfRule>
  </conditionalFormatting>
  <conditionalFormatting sqref="AH15:AI15">
    <cfRule type="cellIs" dxfId="7237" priority="17817" operator="equal">
      <formula>1</formula>
    </cfRule>
    <cfRule type="cellIs" dxfId="7236" priority="17818" operator="equal">
      <formula>"×"</formula>
    </cfRule>
  </conditionalFormatting>
  <conditionalFormatting sqref="AH15:AI15">
    <cfRule type="cellIs" dxfId="7235" priority="17815" operator="equal">
      <formula>1</formula>
    </cfRule>
    <cfRule type="cellIs" dxfId="7234" priority="17816" operator="equal">
      <formula>"×"</formula>
    </cfRule>
  </conditionalFormatting>
  <conditionalFormatting sqref="AH15:AI15">
    <cfRule type="cellIs" dxfId="7233" priority="17813" operator="equal">
      <formula>1</formula>
    </cfRule>
    <cfRule type="cellIs" dxfId="7232" priority="17814" operator="equal">
      <formula>"×"</formula>
    </cfRule>
  </conditionalFormatting>
  <conditionalFormatting sqref="AH15:AI15">
    <cfRule type="cellIs" dxfId="7231" priority="17811" operator="equal">
      <formula>1</formula>
    </cfRule>
    <cfRule type="cellIs" dxfId="7230" priority="17812" operator="equal">
      <formula>"×"</formula>
    </cfRule>
  </conditionalFormatting>
  <conditionalFormatting sqref="AH15:AI15">
    <cfRule type="cellIs" dxfId="7229" priority="17809" operator="equal">
      <formula>1</formula>
    </cfRule>
    <cfRule type="cellIs" dxfId="7228" priority="17810" operator="equal">
      <formula>"×"</formula>
    </cfRule>
  </conditionalFormatting>
  <conditionalFormatting sqref="AH15:AI15">
    <cfRule type="cellIs" dxfId="7227" priority="17807" operator="equal">
      <formula>1</formula>
    </cfRule>
    <cfRule type="cellIs" dxfId="7226" priority="17808" operator="equal">
      <formula>"×"</formula>
    </cfRule>
  </conditionalFormatting>
  <conditionalFormatting sqref="AH15:AI15">
    <cfRule type="cellIs" dxfId="7225" priority="17805" operator="equal">
      <formula>1</formula>
    </cfRule>
    <cfRule type="cellIs" dxfId="7224" priority="17806" operator="equal">
      <formula>"×"</formula>
    </cfRule>
  </conditionalFormatting>
  <conditionalFormatting sqref="AH15:AI15">
    <cfRule type="cellIs" dxfId="7223" priority="17803" operator="equal">
      <formula>1</formula>
    </cfRule>
    <cfRule type="cellIs" dxfId="7222" priority="17804" operator="equal">
      <formula>"×"</formula>
    </cfRule>
  </conditionalFormatting>
  <conditionalFormatting sqref="AH15:AI15">
    <cfRule type="cellIs" dxfId="7221" priority="17801" operator="equal">
      <formula>1</formula>
    </cfRule>
    <cfRule type="cellIs" dxfId="7220" priority="17802" operator="equal">
      <formula>"×"</formula>
    </cfRule>
  </conditionalFormatting>
  <conditionalFormatting sqref="AH15:AI15">
    <cfRule type="cellIs" dxfId="7219" priority="17799" operator="equal">
      <formula>1</formula>
    </cfRule>
    <cfRule type="cellIs" dxfId="7218" priority="17800" operator="equal">
      <formula>"×"</formula>
    </cfRule>
  </conditionalFormatting>
  <conditionalFormatting sqref="AH15:AI15">
    <cfRule type="cellIs" dxfId="7217" priority="17797" operator="equal">
      <formula>1</formula>
    </cfRule>
    <cfRule type="cellIs" dxfId="7216" priority="17798" operator="equal">
      <formula>"×"</formula>
    </cfRule>
  </conditionalFormatting>
  <conditionalFormatting sqref="AH15:AI15">
    <cfRule type="cellIs" dxfId="7215" priority="17795" operator="equal">
      <formula>1</formula>
    </cfRule>
    <cfRule type="cellIs" dxfId="7214" priority="17796" operator="equal">
      <formula>"×"</formula>
    </cfRule>
  </conditionalFormatting>
  <conditionalFormatting sqref="AH16">
    <cfRule type="cellIs" dxfId="7213" priority="17785" operator="equal">
      <formula>1</formula>
    </cfRule>
    <cfRule type="cellIs" dxfId="7212" priority="17786" operator="equal">
      <formula>"×"</formula>
    </cfRule>
  </conditionalFormatting>
  <conditionalFormatting sqref="AH16">
    <cfRule type="cellIs" dxfId="7211" priority="17783" operator="equal">
      <formula>1</formula>
    </cfRule>
    <cfRule type="cellIs" dxfId="7210" priority="17784" operator="equal">
      <formula>"×"</formula>
    </cfRule>
  </conditionalFormatting>
  <conditionalFormatting sqref="AH16">
    <cfRule type="cellIs" dxfId="7209" priority="17757" operator="equal">
      <formula>1</formula>
    </cfRule>
    <cfRule type="cellIs" dxfId="7208" priority="17758" operator="equal">
      <formula>"×"</formula>
    </cfRule>
  </conditionalFormatting>
  <conditionalFormatting sqref="AH16">
    <cfRule type="cellIs" dxfId="7207" priority="17755" operator="equal">
      <formula>1</formula>
    </cfRule>
    <cfRule type="cellIs" dxfId="7206" priority="17756" operator="equal">
      <formula>"×"</formula>
    </cfRule>
  </conditionalFormatting>
  <conditionalFormatting sqref="AH16">
    <cfRule type="cellIs" dxfId="7205" priority="17751" operator="equal">
      <formula>1</formula>
    </cfRule>
    <cfRule type="cellIs" dxfId="7204" priority="17752" operator="equal">
      <formula>"×"</formula>
    </cfRule>
  </conditionalFormatting>
  <conditionalFormatting sqref="AH16">
    <cfRule type="cellIs" dxfId="7203" priority="17753" operator="equal">
      <formula>1</formula>
    </cfRule>
    <cfRule type="cellIs" dxfId="7202" priority="17754" operator="equal">
      <formula>"×"</formula>
    </cfRule>
  </conditionalFormatting>
  <conditionalFormatting sqref="AH16">
    <cfRule type="cellIs" dxfId="7201" priority="17781" operator="equal">
      <formula>1</formula>
    </cfRule>
    <cfRule type="cellIs" dxfId="7200" priority="17782" operator="equal">
      <formula>"×"</formula>
    </cfRule>
  </conditionalFormatting>
  <conditionalFormatting sqref="AH16">
    <cfRule type="cellIs" dxfId="7199" priority="17779" operator="equal">
      <formula>1</formula>
    </cfRule>
    <cfRule type="cellIs" dxfId="7198" priority="17780" operator="equal">
      <formula>"×"</formula>
    </cfRule>
  </conditionalFormatting>
  <conditionalFormatting sqref="AH16">
    <cfRule type="cellIs" dxfId="7197" priority="17777" operator="equal">
      <formula>1</formula>
    </cfRule>
    <cfRule type="cellIs" dxfId="7196" priority="17778" operator="equal">
      <formula>"×"</formula>
    </cfRule>
  </conditionalFormatting>
  <conditionalFormatting sqref="AH16">
    <cfRule type="cellIs" dxfId="7195" priority="17775" operator="equal">
      <formula>1</formula>
    </cfRule>
    <cfRule type="cellIs" dxfId="7194" priority="17776" operator="equal">
      <formula>"×"</formula>
    </cfRule>
  </conditionalFormatting>
  <conditionalFormatting sqref="AH16">
    <cfRule type="cellIs" dxfId="7193" priority="17773" operator="equal">
      <formula>1</formula>
    </cfRule>
    <cfRule type="cellIs" dxfId="7192" priority="17774" operator="equal">
      <formula>"×"</formula>
    </cfRule>
  </conditionalFormatting>
  <conditionalFormatting sqref="AH16">
    <cfRule type="cellIs" dxfId="7191" priority="17771" operator="equal">
      <formula>1</formula>
    </cfRule>
    <cfRule type="cellIs" dxfId="7190" priority="17772" operator="equal">
      <formula>"×"</formula>
    </cfRule>
  </conditionalFormatting>
  <conditionalFormatting sqref="AH16">
    <cfRule type="cellIs" dxfId="7189" priority="17769" operator="equal">
      <formula>1</formula>
    </cfRule>
    <cfRule type="cellIs" dxfId="7188" priority="17770" operator="equal">
      <formula>"×"</formula>
    </cfRule>
  </conditionalFormatting>
  <conditionalFormatting sqref="AH16">
    <cfRule type="cellIs" dxfId="7187" priority="17767" operator="equal">
      <formula>1</formula>
    </cfRule>
    <cfRule type="cellIs" dxfId="7186" priority="17768" operator="equal">
      <formula>"×"</formula>
    </cfRule>
  </conditionalFormatting>
  <conditionalFormatting sqref="AH16">
    <cfRule type="cellIs" dxfId="7185" priority="17765" operator="equal">
      <formula>1</formula>
    </cfRule>
    <cfRule type="cellIs" dxfId="7184" priority="17766" operator="equal">
      <formula>"×"</formula>
    </cfRule>
  </conditionalFormatting>
  <conditionalFormatting sqref="AH16">
    <cfRule type="cellIs" dxfId="7183" priority="17763" operator="equal">
      <formula>1</formula>
    </cfRule>
    <cfRule type="cellIs" dxfId="7182" priority="17764" operator="equal">
      <formula>"×"</formula>
    </cfRule>
  </conditionalFormatting>
  <conditionalFormatting sqref="AH16">
    <cfRule type="cellIs" dxfId="7181" priority="17761" operator="equal">
      <formula>1</formula>
    </cfRule>
    <cfRule type="cellIs" dxfId="7180" priority="17762" operator="equal">
      <formula>"×"</formula>
    </cfRule>
  </conditionalFormatting>
  <conditionalFormatting sqref="AH16">
    <cfRule type="cellIs" dxfId="7179" priority="17759" operator="equal">
      <formula>1</formula>
    </cfRule>
    <cfRule type="cellIs" dxfId="7178" priority="17760" operator="equal">
      <formula>"×"</formula>
    </cfRule>
  </conditionalFormatting>
  <conditionalFormatting sqref="AF14:AF19">
    <cfRule type="cellIs" dxfId="7177" priority="17741" operator="equal">
      <formula>1</formula>
    </cfRule>
    <cfRule type="cellIs" dxfId="7176" priority="17742" operator="equal">
      <formula>"×"</formula>
    </cfRule>
  </conditionalFormatting>
  <conditionalFormatting sqref="AF14:AF19">
    <cfRule type="cellIs" dxfId="7175" priority="17739" operator="equal">
      <formula>1</formula>
    </cfRule>
    <cfRule type="cellIs" dxfId="7174" priority="17740" operator="equal">
      <formula>"×"</formula>
    </cfRule>
  </conditionalFormatting>
  <conditionalFormatting sqref="AF14:AG19">
    <cfRule type="cellIs" dxfId="7173" priority="17749" operator="equal">
      <formula>1</formula>
    </cfRule>
    <cfRule type="cellIs" dxfId="7172" priority="17750" operator="equal">
      <formula>"×"</formula>
    </cfRule>
  </conditionalFormatting>
  <conditionalFormatting sqref="AF14:AG19">
    <cfRule type="cellIs" dxfId="7171" priority="17747" operator="equal">
      <formula>1</formula>
    </cfRule>
    <cfRule type="cellIs" dxfId="7170" priority="17748" operator="equal">
      <formula>"×"</formula>
    </cfRule>
  </conditionalFormatting>
  <conditionalFormatting sqref="AG14:AG19">
    <cfRule type="cellIs" dxfId="7169" priority="17745" operator="equal">
      <formula>1</formula>
    </cfRule>
    <cfRule type="cellIs" dxfId="7168" priority="17746" operator="equal">
      <formula>"×"</formula>
    </cfRule>
  </conditionalFormatting>
  <conditionalFormatting sqref="AG14:AG19">
    <cfRule type="cellIs" dxfId="7167" priority="17743" operator="equal">
      <formula>1</formula>
    </cfRule>
    <cfRule type="cellIs" dxfId="7166" priority="17744" operator="equal">
      <formula>"×"</formula>
    </cfRule>
  </conditionalFormatting>
  <conditionalFormatting sqref="AF14:AF19">
    <cfRule type="cellIs" dxfId="7165" priority="17737" operator="equal">
      <formula>1</formula>
    </cfRule>
    <cfRule type="cellIs" dxfId="7164" priority="17738" operator="equal">
      <formula>"×"</formula>
    </cfRule>
  </conditionalFormatting>
  <conditionalFormatting sqref="AF14:AF19">
    <cfRule type="cellIs" dxfId="7163" priority="17735" operator="equal">
      <formula>1</formula>
    </cfRule>
    <cfRule type="cellIs" dxfId="7162" priority="17736" operator="equal">
      <formula>"×"</formula>
    </cfRule>
  </conditionalFormatting>
  <conditionalFormatting sqref="AF14:AF19">
    <cfRule type="cellIs" dxfId="7161" priority="17733" operator="equal">
      <formula>1</formula>
    </cfRule>
    <cfRule type="cellIs" dxfId="7160" priority="17734" operator="equal">
      <formula>"×"</formula>
    </cfRule>
  </conditionalFormatting>
  <conditionalFormatting sqref="AF14:AF19">
    <cfRule type="cellIs" dxfId="7159" priority="17731" operator="equal">
      <formula>1</formula>
    </cfRule>
    <cfRule type="cellIs" dxfId="7158" priority="17732" operator="equal">
      <formula>"×"</formula>
    </cfRule>
  </conditionalFormatting>
  <conditionalFormatting sqref="AF14:AF19">
    <cfRule type="cellIs" dxfId="7157" priority="17729" operator="equal">
      <formula>1</formula>
    </cfRule>
    <cfRule type="cellIs" dxfId="7156" priority="17730" operator="equal">
      <formula>"×"</formula>
    </cfRule>
  </conditionalFormatting>
  <conditionalFormatting sqref="AF14:AF19">
    <cfRule type="cellIs" dxfId="7155" priority="17727" operator="equal">
      <formula>1</formula>
    </cfRule>
    <cfRule type="cellIs" dxfId="7154" priority="17728" operator="equal">
      <formula>"×"</formula>
    </cfRule>
  </conditionalFormatting>
  <conditionalFormatting sqref="AF14:AF19">
    <cfRule type="cellIs" dxfId="7153" priority="17725" operator="equal">
      <formula>1</formula>
    </cfRule>
    <cfRule type="cellIs" dxfId="7152" priority="17726" operator="equal">
      <formula>"×"</formula>
    </cfRule>
  </conditionalFormatting>
  <conditionalFormatting sqref="AF14:AF19">
    <cfRule type="cellIs" dxfId="7151" priority="17723" operator="equal">
      <formula>1</formula>
    </cfRule>
    <cfRule type="cellIs" dxfId="7150" priority="17724" operator="equal">
      <formula>"×"</formula>
    </cfRule>
  </conditionalFormatting>
  <conditionalFormatting sqref="AF14:AF19">
    <cfRule type="cellIs" dxfId="7149" priority="17721" operator="equal">
      <formula>1</formula>
    </cfRule>
    <cfRule type="cellIs" dxfId="7148" priority="17722" operator="equal">
      <formula>"×"</formula>
    </cfRule>
  </conditionalFormatting>
  <conditionalFormatting sqref="AF14:AF19">
    <cfRule type="cellIs" dxfId="7147" priority="17719" operator="equal">
      <formula>1</formula>
    </cfRule>
    <cfRule type="cellIs" dxfId="7146" priority="17720" operator="equal">
      <formula>"×"</formula>
    </cfRule>
  </conditionalFormatting>
  <conditionalFormatting sqref="AF14:AF19">
    <cfRule type="cellIs" dxfId="7145" priority="17717" operator="equal">
      <formula>1</formula>
    </cfRule>
    <cfRule type="cellIs" dxfId="7144" priority="17718" operator="equal">
      <formula>"×"</formula>
    </cfRule>
  </conditionalFormatting>
  <conditionalFormatting sqref="AF14:AF19">
    <cfRule type="cellIs" dxfId="7143" priority="17715" operator="equal">
      <formula>1</formula>
    </cfRule>
    <cfRule type="cellIs" dxfId="7142" priority="17716" operator="equal">
      <formula>"×"</formula>
    </cfRule>
  </conditionalFormatting>
  <conditionalFormatting sqref="AF14:AF19">
    <cfRule type="cellIs" dxfId="7141" priority="17713" operator="equal">
      <formula>1</formula>
    </cfRule>
    <cfRule type="cellIs" dxfId="7140" priority="17714" operator="equal">
      <formula>"×"</formula>
    </cfRule>
  </conditionalFormatting>
  <conditionalFormatting sqref="AF14:AF19">
    <cfRule type="cellIs" dxfId="7139" priority="17711" operator="equal">
      <formula>1</formula>
    </cfRule>
    <cfRule type="cellIs" dxfId="7138" priority="17712" operator="equal">
      <formula>"×"</formula>
    </cfRule>
  </conditionalFormatting>
  <conditionalFormatting sqref="AF14:AF19">
    <cfRule type="cellIs" dxfId="7137" priority="17709" operator="equal">
      <formula>1</formula>
    </cfRule>
    <cfRule type="cellIs" dxfId="7136" priority="17710" operator="equal">
      <formula>"×"</formula>
    </cfRule>
  </conditionalFormatting>
  <conditionalFormatting sqref="AF14:AF19">
    <cfRule type="cellIs" dxfId="7135" priority="17707" operator="equal">
      <formula>1</formula>
    </cfRule>
    <cfRule type="cellIs" dxfId="7134" priority="17708" operator="equal">
      <formula>"×"</formula>
    </cfRule>
  </conditionalFormatting>
  <conditionalFormatting sqref="AF14:AF19">
    <cfRule type="cellIs" dxfId="7133" priority="17705" operator="equal">
      <formula>1</formula>
    </cfRule>
    <cfRule type="cellIs" dxfId="7132" priority="17706" operator="equal">
      <formula>"×"</formula>
    </cfRule>
  </conditionalFormatting>
  <conditionalFormatting sqref="AF14:AF19">
    <cfRule type="cellIs" dxfId="7131" priority="17703" operator="equal">
      <formula>1</formula>
    </cfRule>
    <cfRule type="cellIs" dxfId="7130" priority="17704" operator="equal">
      <formula>"×"</formula>
    </cfRule>
  </conditionalFormatting>
  <conditionalFormatting sqref="AF14:AF19">
    <cfRule type="cellIs" dxfId="7129" priority="17701" operator="equal">
      <formula>1</formula>
    </cfRule>
    <cfRule type="cellIs" dxfId="7128" priority="17702" operator="equal">
      <formula>"×"</formula>
    </cfRule>
  </conditionalFormatting>
  <conditionalFormatting sqref="AF14:AF19">
    <cfRule type="cellIs" dxfId="7127" priority="17699" operator="equal">
      <formula>1</formula>
    </cfRule>
    <cfRule type="cellIs" dxfId="7126" priority="17700" operator="equal">
      <formula>"×"</formula>
    </cfRule>
  </conditionalFormatting>
  <conditionalFormatting sqref="AF14:AG19">
    <cfRule type="cellIs" dxfId="7125" priority="17697" operator="equal">
      <formula>1</formula>
    </cfRule>
    <cfRule type="cellIs" dxfId="7124" priority="17698" operator="equal">
      <formula>"×"</formula>
    </cfRule>
  </conditionalFormatting>
  <conditionalFormatting sqref="AF14:AG19">
    <cfRule type="cellIs" dxfId="7123" priority="17671" operator="equal">
      <formula>1</formula>
    </cfRule>
    <cfRule type="cellIs" dxfId="7122" priority="17672" operator="equal">
      <formula>"×"</formula>
    </cfRule>
  </conditionalFormatting>
  <conditionalFormatting sqref="AF14:AG19">
    <cfRule type="cellIs" dxfId="7121" priority="17669" operator="equal">
      <formula>1</formula>
    </cfRule>
    <cfRule type="cellIs" dxfId="7120" priority="17670" operator="equal">
      <formula>"×"</formula>
    </cfRule>
  </conditionalFormatting>
  <conditionalFormatting sqref="AF14:AG19">
    <cfRule type="cellIs" dxfId="7119" priority="17665" operator="equal">
      <formula>1</formula>
    </cfRule>
    <cfRule type="cellIs" dxfId="7118" priority="17666" operator="equal">
      <formula>"×"</formula>
    </cfRule>
  </conditionalFormatting>
  <conditionalFormatting sqref="AF14:AG19">
    <cfRule type="cellIs" dxfId="7117" priority="17667" operator="equal">
      <formula>1</formula>
    </cfRule>
    <cfRule type="cellIs" dxfId="7116" priority="17668" operator="equal">
      <formula>"×"</formula>
    </cfRule>
  </conditionalFormatting>
  <conditionalFormatting sqref="AF14:AG19">
    <cfRule type="cellIs" dxfId="7115" priority="17695" operator="equal">
      <formula>1</formula>
    </cfRule>
    <cfRule type="cellIs" dxfId="7114" priority="17696" operator="equal">
      <formula>"×"</formula>
    </cfRule>
  </conditionalFormatting>
  <conditionalFormatting sqref="AF14:AG19">
    <cfRule type="cellIs" dxfId="7113" priority="17693" operator="equal">
      <formula>1</formula>
    </cfRule>
    <cfRule type="cellIs" dxfId="7112" priority="17694" operator="equal">
      <formula>"×"</formula>
    </cfRule>
  </conditionalFormatting>
  <conditionalFormatting sqref="AF14:AG19">
    <cfRule type="cellIs" dxfId="7111" priority="17691" operator="equal">
      <formula>1</formula>
    </cfRule>
    <cfRule type="cellIs" dxfId="7110" priority="17692" operator="equal">
      <formula>"×"</formula>
    </cfRule>
  </conditionalFormatting>
  <conditionalFormatting sqref="AF14:AG19">
    <cfRule type="cellIs" dxfId="7109" priority="17689" operator="equal">
      <formula>1</formula>
    </cfRule>
    <cfRule type="cellIs" dxfId="7108" priority="17690" operator="equal">
      <formula>"×"</formula>
    </cfRule>
  </conditionalFormatting>
  <conditionalFormatting sqref="AF14:AG19">
    <cfRule type="cellIs" dxfId="7107" priority="17687" operator="equal">
      <formula>1</formula>
    </cfRule>
    <cfRule type="cellIs" dxfId="7106" priority="17688" operator="equal">
      <formula>"×"</formula>
    </cfRule>
  </conditionalFormatting>
  <conditionalFormatting sqref="AF14:AG19">
    <cfRule type="cellIs" dxfId="7105" priority="17685" operator="equal">
      <formula>1</formula>
    </cfRule>
    <cfRule type="cellIs" dxfId="7104" priority="17686" operator="equal">
      <formula>"×"</formula>
    </cfRule>
  </conditionalFormatting>
  <conditionalFormatting sqref="AF14:AG19">
    <cfRule type="cellIs" dxfId="7103" priority="17683" operator="equal">
      <formula>1</formula>
    </cfRule>
    <cfRule type="cellIs" dxfId="7102" priority="17684" operator="equal">
      <formula>"×"</formula>
    </cfRule>
  </conditionalFormatting>
  <conditionalFormatting sqref="AF14:AG19">
    <cfRule type="cellIs" dxfId="7101" priority="17681" operator="equal">
      <formula>1</formula>
    </cfRule>
    <cfRule type="cellIs" dxfId="7100" priority="17682" operator="equal">
      <formula>"×"</formula>
    </cfRule>
  </conditionalFormatting>
  <conditionalFormatting sqref="AF14:AG19">
    <cfRule type="cellIs" dxfId="7099" priority="17679" operator="equal">
      <formula>1</formula>
    </cfRule>
    <cfRule type="cellIs" dxfId="7098" priority="17680" operator="equal">
      <formula>"×"</formula>
    </cfRule>
  </conditionalFormatting>
  <conditionalFormatting sqref="AF14:AG19">
    <cfRule type="cellIs" dxfId="7097" priority="17677" operator="equal">
      <formula>1</formula>
    </cfRule>
    <cfRule type="cellIs" dxfId="7096" priority="17678" operator="equal">
      <formula>"×"</formula>
    </cfRule>
  </conditionalFormatting>
  <conditionalFormatting sqref="AF14:AG19">
    <cfRule type="cellIs" dxfId="7095" priority="17675" operator="equal">
      <formula>1</formula>
    </cfRule>
    <cfRule type="cellIs" dxfId="7094" priority="17676" operator="equal">
      <formula>"×"</formula>
    </cfRule>
  </conditionalFormatting>
  <conditionalFormatting sqref="AF14:AG19">
    <cfRule type="cellIs" dxfId="7093" priority="17673" operator="equal">
      <formula>1</formula>
    </cfRule>
    <cfRule type="cellIs" dxfId="7092" priority="17674" operator="equal">
      <formula>"×"</formula>
    </cfRule>
  </conditionalFormatting>
  <conditionalFormatting sqref="AI19">
    <cfRule type="cellIs" dxfId="7091" priority="17653" operator="equal">
      <formula>1</formula>
    </cfRule>
    <cfRule type="cellIs" dxfId="7090" priority="17654" operator="equal">
      <formula>"×"</formula>
    </cfRule>
  </conditionalFormatting>
  <conditionalFormatting sqref="AG19:AI19">
    <cfRule type="cellIs" dxfId="7089" priority="17655" operator="equal">
      <formula>1</formula>
    </cfRule>
    <cfRule type="cellIs" dxfId="7088" priority="17656" operator="equal">
      <formula>"×"</formula>
    </cfRule>
  </conditionalFormatting>
  <conditionalFormatting sqref="AG19:AI19">
    <cfRule type="cellIs" dxfId="7087" priority="17651" operator="equal">
      <formula>1</formula>
    </cfRule>
    <cfRule type="cellIs" dxfId="7086" priority="17652" operator="equal">
      <formula>"×"</formula>
    </cfRule>
  </conditionalFormatting>
  <conditionalFormatting sqref="AA31">
    <cfRule type="cellIs" dxfId="7085" priority="13849" operator="equal">
      <formula>1</formula>
    </cfRule>
    <cfRule type="cellIs" dxfId="7084" priority="13850" operator="equal">
      <formula>"×"</formula>
    </cfRule>
  </conditionalFormatting>
  <conditionalFormatting sqref="AA31">
    <cfRule type="cellIs" dxfId="7083" priority="13847" operator="equal">
      <formula>1</formula>
    </cfRule>
    <cfRule type="cellIs" dxfId="7082" priority="13848" operator="equal">
      <formula>"×"</formula>
    </cfRule>
  </conditionalFormatting>
  <conditionalFormatting sqref="AA32:AA36">
    <cfRule type="cellIs" dxfId="7081" priority="13835" operator="equal">
      <formula>1</formula>
    </cfRule>
    <cfRule type="cellIs" dxfId="7080" priority="13836" operator="equal">
      <formula>"×"</formula>
    </cfRule>
  </conditionalFormatting>
  <conditionalFormatting sqref="AA32:AA36">
    <cfRule type="cellIs" dxfId="7079" priority="13831" operator="equal">
      <formula>1</formula>
    </cfRule>
    <cfRule type="cellIs" dxfId="7078" priority="13832" operator="equal">
      <formula>"×"</formula>
    </cfRule>
  </conditionalFormatting>
  <conditionalFormatting sqref="AA32:AA36">
    <cfRule type="cellIs" dxfId="7077" priority="13833" operator="equal">
      <formula>1</formula>
    </cfRule>
    <cfRule type="cellIs" dxfId="7076" priority="13834" operator="equal">
      <formula>"×"</formula>
    </cfRule>
  </conditionalFormatting>
  <conditionalFormatting sqref="AA32:AA36">
    <cfRule type="cellIs" dxfId="7075" priority="13829" operator="equal">
      <formula>1</formula>
    </cfRule>
    <cfRule type="cellIs" dxfId="7074" priority="13830" operator="equal">
      <formula>"×"</formula>
    </cfRule>
  </conditionalFormatting>
  <conditionalFormatting sqref="AA32:AA36">
    <cfRule type="cellIs" dxfId="7073" priority="13827" operator="equal">
      <formula>1</formula>
    </cfRule>
    <cfRule type="cellIs" dxfId="7072" priority="13828" operator="equal">
      <formula>"×"</formula>
    </cfRule>
  </conditionalFormatting>
  <conditionalFormatting sqref="AE7">
    <cfRule type="cellIs" dxfId="7071" priority="16693" operator="equal">
      <formula>1</formula>
    </cfRule>
    <cfRule type="cellIs" dxfId="7070" priority="16694" operator="equal">
      <formula>"×"</formula>
    </cfRule>
  </conditionalFormatting>
  <conditionalFormatting sqref="AD8:AE8">
    <cfRule type="cellIs" dxfId="7069" priority="13007" operator="equal">
      <formula>1</formula>
    </cfRule>
    <cfRule type="cellIs" dxfId="7068" priority="13008" operator="equal">
      <formula>"×"</formula>
    </cfRule>
  </conditionalFormatting>
  <conditionalFormatting sqref="AC13">
    <cfRule type="cellIs" dxfId="7067" priority="16671" operator="equal">
      <formula>1</formula>
    </cfRule>
    <cfRule type="cellIs" dxfId="7066" priority="16672" operator="equal">
      <formula>"×"</formula>
    </cfRule>
  </conditionalFormatting>
  <conditionalFormatting sqref="AD13">
    <cfRule type="cellIs" dxfId="7065" priority="16669" operator="equal">
      <formula>1</formula>
    </cfRule>
    <cfRule type="cellIs" dxfId="7064" priority="16670" operator="equal">
      <formula>"×"</formula>
    </cfRule>
  </conditionalFormatting>
  <conditionalFormatting sqref="AD13">
    <cfRule type="cellIs" dxfId="7063" priority="16667" operator="equal">
      <formula>1</formula>
    </cfRule>
    <cfRule type="cellIs" dxfId="7062" priority="16668" operator="equal">
      <formula>"×"</formula>
    </cfRule>
  </conditionalFormatting>
  <conditionalFormatting sqref="AD13">
    <cfRule type="cellIs" dxfId="7061" priority="16663" operator="equal">
      <formula>1</formula>
    </cfRule>
    <cfRule type="cellIs" dxfId="7060" priority="16664" operator="equal">
      <formula>"×"</formula>
    </cfRule>
  </conditionalFormatting>
  <conditionalFormatting sqref="AD13">
    <cfRule type="cellIs" dxfId="7059" priority="16665" operator="equal">
      <formula>1</formula>
    </cfRule>
    <cfRule type="cellIs" dxfId="7058" priority="16666" operator="equal">
      <formula>"×"</formula>
    </cfRule>
  </conditionalFormatting>
  <conditionalFormatting sqref="AE7">
    <cfRule type="cellIs" dxfId="7057" priority="16691" operator="equal">
      <formula>1</formula>
    </cfRule>
    <cfRule type="cellIs" dxfId="7056" priority="16692" operator="equal">
      <formula>"×"</formula>
    </cfRule>
  </conditionalFormatting>
  <conditionalFormatting sqref="AE7">
    <cfRule type="cellIs" dxfId="7055" priority="16689" operator="equal">
      <formula>1</formula>
    </cfRule>
    <cfRule type="cellIs" dxfId="7054" priority="16690" operator="equal">
      <formula>"×"</formula>
    </cfRule>
  </conditionalFormatting>
  <conditionalFormatting sqref="AE7">
    <cfRule type="cellIs" dxfId="7053" priority="16687" operator="equal">
      <formula>1</formula>
    </cfRule>
    <cfRule type="cellIs" dxfId="7052" priority="16688" operator="equal">
      <formula>"×"</formula>
    </cfRule>
  </conditionalFormatting>
  <conditionalFormatting sqref="AE7">
    <cfRule type="cellIs" dxfId="7051" priority="16685" operator="equal">
      <formula>1</formula>
    </cfRule>
    <cfRule type="cellIs" dxfId="7050" priority="16686" operator="equal">
      <formula>"×"</formula>
    </cfRule>
  </conditionalFormatting>
  <conditionalFormatting sqref="AE7">
    <cfRule type="cellIs" dxfId="7049" priority="16683" operator="equal">
      <formula>1</formula>
    </cfRule>
    <cfRule type="cellIs" dxfId="7048" priority="16684" operator="equal">
      <formula>"×"</formula>
    </cfRule>
  </conditionalFormatting>
  <conditionalFormatting sqref="AC13">
    <cfRule type="cellIs" dxfId="7047" priority="16681" operator="equal">
      <formula>1</formula>
    </cfRule>
    <cfRule type="cellIs" dxfId="7046" priority="16682" operator="equal">
      <formula>"×"</formula>
    </cfRule>
  </conditionalFormatting>
  <conditionalFormatting sqref="AD13">
    <cfRule type="cellIs" dxfId="7045" priority="16679" operator="equal">
      <formula>1</formula>
    </cfRule>
    <cfRule type="cellIs" dxfId="7044" priority="16680" operator="equal">
      <formula>"×"</formula>
    </cfRule>
  </conditionalFormatting>
  <conditionalFormatting sqref="AD13">
    <cfRule type="cellIs" dxfId="7043" priority="16677" operator="equal">
      <formula>1</formula>
    </cfRule>
    <cfRule type="cellIs" dxfId="7042" priority="16678" operator="equal">
      <formula>"×"</formula>
    </cfRule>
  </conditionalFormatting>
  <conditionalFormatting sqref="AD13">
    <cfRule type="cellIs" dxfId="7041" priority="16675" operator="equal">
      <formula>1</formula>
    </cfRule>
    <cfRule type="cellIs" dxfId="7040" priority="16676" operator="equal">
      <formula>"×"</formula>
    </cfRule>
  </conditionalFormatting>
  <conditionalFormatting sqref="AD13">
    <cfRule type="cellIs" dxfId="7039" priority="16673" operator="equal">
      <formula>1</formula>
    </cfRule>
    <cfRule type="cellIs" dxfId="7038" priority="16674" operator="equal">
      <formula>"×"</formula>
    </cfRule>
  </conditionalFormatting>
  <conditionalFormatting sqref="AC13">
    <cfRule type="cellIs" dxfId="7037" priority="16661" operator="equal">
      <formula>1</formula>
    </cfRule>
    <cfRule type="cellIs" dxfId="7036" priority="16662" operator="equal">
      <formula>"×"</formula>
    </cfRule>
  </conditionalFormatting>
  <conditionalFormatting sqref="AD13">
    <cfRule type="cellIs" dxfId="7035" priority="16659" operator="equal">
      <formula>1</formula>
    </cfRule>
    <cfRule type="cellIs" dxfId="7034" priority="16660" operator="equal">
      <formula>"×"</formula>
    </cfRule>
  </conditionalFormatting>
  <conditionalFormatting sqref="AD13">
    <cfRule type="cellIs" dxfId="7033" priority="16657" operator="equal">
      <formula>1</formula>
    </cfRule>
    <cfRule type="cellIs" dxfId="7032" priority="16658" operator="equal">
      <formula>"×"</formula>
    </cfRule>
  </conditionalFormatting>
  <conditionalFormatting sqref="AD13">
    <cfRule type="cellIs" dxfId="7031" priority="16653" operator="equal">
      <formula>1</formula>
    </cfRule>
    <cfRule type="cellIs" dxfId="7030" priority="16654" operator="equal">
      <formula>"×"</formula>
    </cfRule>
  </conditionalFormatting>
  <conditionalFormatting sqref="AD13">
    <cfRule type="cellIs" dxfId="7029" priority="16655" operator="equal">
      <formula>1</formula>
    </cfRule>
    <cfRule type="cellIs" dxfId="7028" priority="16656" operator="equal">
      <formula>"×"</formula>
    </cfRule>
  </conditionalFormatting>
  <conditionalFormatting sqref="AD13">
    <cfRule type="cellIs" dxfId="7027" priority="16651" operator="equal">
      <formula>1</formula>
    </cfRule>
    <cfRule type="cellIs" dxfId="7026" priority="16652" operator="equal">
      <formula>"×"</formula>
    </cfRule>
  </conditionalFormatting>
  <conditionalFormatting sqref="AD13">
    <cfRule type="cellIs" dxfId="7025" priority="16649" operator="equal">
      <formula>1</formula>
    </cfRule>
    <cfRule type="cellIs" dxfId="7024" priority="16650" operator="equal">
      <formula>"×"</formula>
    </cfRule>
  </conditionalFormatting>
  <conditionalFormatting sqref="AD13">
    <cfRule type="cellIs" dxfId="7023" priority="16647" operator="equal">
      <formula>1</formula>
    </cfRule>
    <cfRule type="cellIs" dxfId="7022" priority="16648" operator="equal">
      <formula>"×"</formula>
    </cfRule>
  </conditionalFormatting>
  <conditionalFormatting sqref="AC13:AD13">
    <cfRule type="cellIs" dxfId="7021" priority="16645" operator="equal">
      <formula>1</formula>
    </cfRule>
    <cfRule type="cellIs" dxfId="7020" priority="16646" operator="equal">
      <formula>"×"</formula>
    </cfRule>
  </conditionalFormatting>
  <conditionalFormatting sqref="AE7">
    <cfRule type="cellIs" dxfId="7019" priority="16643" operator="equal">
      <formula>1</formula>
    </cfRule>
    <cfRule type="cellIs" dxfId="7018" priority="16644" operator="equal">
      <formula>"×"</formula>
    </cfRule>
  </conditionalFormatting>
  <conditionalFormatting sqref="AE7">
    <cfRule type="cellIs" dxfId="7017" priority="16641" operator="equal">
      <formula>1</formula>
    </cfRule>
    <cfRule type="cellIs" dxfId="7016" priority="16642" operator="equal">
      <formula>"×"</formula>
    </cfRule>
  </conditionalFormatting>
  <conditionalFormatting sqref="AE7">
    <cfRule type="cellIs" dxfId="7015" priority="16639" operator="equal">
      <formula>1</formula>
    </cfRule>
    <cfRule type="cellIs" dxfId="7014" priority="16640" operator="equal">
      <formula>"×"</formula>
    </cfRule>
  </conditionalFormatting>
  <conditionalFormatting sqref="AE7">
    <cfRule type="cellIs" dxfId="7013" priority="16637" operator="equal">
      <formula>1</formula>
    </cfRule>
    <cfRule type="cellIs" dxfId="7012" priority="16638" operator="equal">
      <formula>"×"</formula>
    </cfRule>
  </conditionalFormatting>
  <conditionalFormatting sqref="AE7">
    <cfRule type="cellIs" dxfId="7011" priority="16635" operator="equal">
      <formula>1</formula>
    </cfRule>
    <cfRule type="cellIs" dxfId="7010" priority="16636" operator="equal">
      <formula>"×"</formula>
    </cfRule>
  </conditionalFormatting>
  <conditionalFormatting sqref="AE7">
    <cfRule type="cellIs" dxfId="7009" priority="16633" operator="equal">
      <formula>1</formula>
    </cfRule>
    <cfRule type="cellIs" dxfId="7008" priority="16634" operator="equal">
      <formula>"×"</formula>
    </cfRule>
  </conditionalFormatting>
  <conditionalFormatting sqref="AE7">
    <cfRule type="cellIs" dxfId="7007" priority="16631" operator="equal">
      <formula>1</formula>
    </cfRule>
    <cfRule type="cellIs" dxfId="7006" priority="16632" operator="equal">
      <formula>"×"</formula>
    </cfRule>
  </conditionalFormatting>
  <conditionalFormatting sqref="AE7">
    <cfRule type="cellIs" dxfId="7005" priority="16629" operator="equal">
      <formula>1</formula>
    </cfRule>
    <cfRule type="cellIs" dxfId="7004" priority="16630" operator="equal">
      <formula>"×"</formula>
    </cfRule>
  </conditionalFormatting>
  <conditionalFormatting sqref="AE7">
    <cfRule type="cellIs" dxfId="7003" priority="16627" operator="equal">
      <formula>1</formula>
    </cfRule>
    <cfRule type="cellIs" dxfId="7002" priority="16628" operator="equal">
      <formula>"×"</formula>
    </cfRule>
  </conditionalFormatting>
  <conditionalFormatting sqref="AE7">
    <cfRule type="cellIs" dxfId="7001" priority="16625" operator="equal">
      <formula>1</formula>
    </cfRule>
    <cfRule type="cellIs" dxfId="7000" priority="16626" operator="equal">
      <formula>"×"</formula>
    </cfRule>
  </conditionalFormatting>
  <conditionalFormatting sqref="AE7">
    <cfRule type="cellIs" dxfId="6999" priority="16623" operator="equal">
      <formula>1</formula>
    </cfRule>
    <cfRule type="cellIs" dxfId="6998" priority="16624" operator="equal">
      <formula>"×"</formula>
    </cfRule>
  </conditionalFormatting>
  <conditionalFormatting sqref="AE7">
    <cfRule type="cellIs" dxfId="6997" priority="16619" operator="equal">
      <formula>1</formula>
    </cfRule>
    <cfRule type="cellIs" dxfId="6996" priority="16620" operator="equal">
      <formula>"×"</formula>
    </cfRule>
  </conditionalFormatting>
  <conditionalFormatting sqref="AE7">
    <cfRule type="cellIs" dxfId="6995" priority="16621" operator="equal">
      <formula>1</formula>
    </cfRule>
    <cfRule type="cellIs" dxfId="6994" priority="16622" operator="equal">
      <formula>"×"</formula>
    </cfRule>
  </conditionalFormatting>
  <conditionalFormatting sqref="AE7">
    <cfRule type="cellIs" dxfId="6993" priority="16617" operator="equal">
      <formula>1</formula>
    </cfRule>
    <cfRule type="cellIs" dxfId="6992" priority="16618" operator="equal">
      <formula>"×"</formula>
    </cfRule>
  </conditionalFormatting>
  <conditionalFormatting sqref="AE7">
    <cfRule type="cellIs" dxfId="6991" priority="16615" operator="equal">
      <formula>1</formula>
    </cfRule>
    <cfRule type="cellIs" dxfId="6990" priority="16616" operator="equal">
      <formula>"×"</formula>
    </cfRule>
  </conditionalFormatting>
  <conditionalFormatting sqref="AE7">
    <cfRule type="cellIs" dxfId="6989" priority="16613" operator="equal">
      <formula>1</formula>
    </cfRule>
    <cfRule type="cellIs" dxfId="6988" priority="16614" operator="equal">
      <formula>"×"</formula>
    </cfRule>
  </conditionalFormatting>
  <conditionalFormatting sqref="AE7">
    <cfRule type="cellIs" dxfId="6987" priority="16611" operator="equal">
      <formula>1</formula>
    </cfRule>
    <cfRule type="cellIs" dxfId="6986" priority="16612" operator="equal">
      <formula>"×"</formula>
    </cfRule>
  </conditionalFormatting>
  <conditionalFormatting sqref="AC13">
    <cfRule type="cellIs" dxfId="6985" priority="16609" operator="equal">
      <formula>1</formula>
    </cfRule>
    <cfRule type="cellIs" dxfId="6984" priority="16610" operator="equal">
      <formula>"×"</formula>
    </cfRule>
  </conditionalFormatting>
  <conditionalFormatting sqref="AD13">
    <cfRule type="cellIs" dxfId="6983" priority="16607" operator="equal">
      <formula>1</formula>
    </cfRule>
    <cfRule type="cellIs" dxfId="6982" priority="16608" operator="equal">
      <formula>"×"</formula>
    </cfRule>
  </conditionalFormatting>
  <conditionalFormatting sqref="AD13">
    <cfRule type="cellIs" dxfId="6981" priority="16605" operator="equal">
      <formula>1</formula>
    </cfRule>
    <cfRule type="cellIs" dxfId="6980" priority="16606" operator="equal">
      <formula>"×"</formula>
    </cfRule>
  </conditionalFormatting>
  <conditionalFormatting sqref="AD13">
    <cfRule type="cellIs" dxfId="6979" priority="16603" operator="equal">
      <formula>1</formula>
    </cfRule>
    <cfRule type="cellIs" dxfId="6978" priority="16604" operator="equal">
      <formula>"×"</formula>
    </cfRule>
  </conditionalFormatting>
  <conditionalFormatting sqref="AD13">
    <cfRule type="cellIs" dxfId="6977" priority="16601" operator="equal">
      <formula>1</formula>
    </cfRule>
    <cfRule type="cellIs" dxfId="6976" priority="16602" operator="equal">
      <formula>"×"</formula>
    </cfRule>
  </conditionalFormatting>
  <conditionalFormatting sqref="AC13">
    <cfRule type="cellIs" dxfId="6975" priority="16599" operator="equal">
      <formula>1</formula>
    </cfRule>
    <cfRule type="cellIs" dxfId="6974" priority="16600" operator="equal">
      <formula>"×"</formula>
    </cfRule>
  </conditionalFormatting>
  <conditionalFormatting sqref="AD13">
    <cfRule type="cellIs" dxfId="6973" priority="16597" operator="equal">
      <formula>1</formula>
    </cfRule>
    <cfRule type="cellIs" dxfId="6972" priority="16598" operator="equal">
      <formula>"×"</formula>
    </cfRule>
  </conditionalFormatting>
  <conditionalFormatting sqref="AD13">
    <cfRule type="cellIs" dxfId="6971" priority="16595" operator="equal">
      <formula>1</formula>
    </cfRule>
    <cfRule type="cellIs" dxfId="6970" priority="16596" operator="equal">
      <formula>"×"</formula>
    </cfRule>
  </conditionalFormatting>
  <conditionalFormatting sqref="AD13">
    <cfRule type="cellIs" dxfId="6969" priority="16593" operator="equal">
      <formula>1</formula>
    </cfRule>
    <cfRule type="cellIs" dxfId="6968" priority="16594" operator="equal">
      <formula>"×"</formula>
    </cfRule>
  </conditionalFormatting>
  <conditionalFormatting sqref="AD13">
    <cfRule type="cellIs" dxfId="6967" priority="16591" operator="equal">
      <formula>1</formula>
    </cfRule>
    <cfRule type="cellIs" dxfId="6966" priority="16592" operator="equal">
      <formula>"×"</formula>
    </cfRule>
  </conditionalFormatting>
  <conditionalFormatting sqref="AC13">
    <cfRule type="cellIs" dxfId="6965" priority="16589" operator="equal">
      <formula>1</formula>
    </cfRule>
    <cfRule type="cellIs" dxfId="6964" priority="16590" operator="equal">
      <formula>"×"</formula>
    </cfRule>
  </conditionalFormatting>
  <conditionalFormatting sqref="AD13">
    <cfRule type="cellIs" dxfId="6963" priority="16587" operator="equal">
      <formula>1</formula>
    </cfRule>
    <cfRule type="cellIs" dxfId="6962" priority="16588" operator="equal">
      <formula>"×"</formula>
    </cfRule>
  </conditionalFormatting>
  <conditionalFormatting sqref="AD13">
    <cfRule type="cellIs" dxfId="6961" priority="16585" operator="equal">
      <formula>1</formula>
    </cfRule>
    <cfRule type="cellIs" dxfId="6960" priority="16586" operator="equal">
      <formula>"×"</formula>
    </cfRule>
  </conditionalFormatting>
  <conditionalFormatting sqref="AD13">
    <cfRule type="cellIs" dxfId="6959" priority="16583" operator="equal">
      <formula>1</formula>
    </cfRule>
    <cfRule type="cellIs" dxfId="6958" priority="16584" operator="equal">
      <formula>"×"</formula>
    </cfRule>
  </conditionalFormatting>
  <conditionalFormatting sqref="AD13">
    <cfRule type="cellIs" dxfId="6957" priority="16581" operator="equal">
      <formula>1</formula>
    </cfRule>
    <cfRule type="cellIs" dxfId="6956" priority="16582" operator="equal">
      <formula>"×"</formula>
    </cfRule>
  </conditionalFormatting>
  <conditionalFormatting sqref="AC13">
    <cfRule type="cellIs" dxfId="6955" priority="16579" operator="equal">
      <formula>1</formula>
    </cfRule>
    <cfRule type="cellIs" dxfId="6954" priority="16580" operator="equal">
      <formula>"×"</formula>
    </cfRule>
  </conditionalFormatting>
  <conditionalFormatting sqref="AD13">
    <cfRule type="cellIs" dxfId="6953" priority="16577" operator="equal">
      <formula>1</formula>
    </cfRule>
    <cfRule type="cellIs" dxfId="6952" priority="16578" operator="equal">
      <formula>"×"</formula>
    </cfRule>
  </conditionalFormatting>
  <conditionalFormatting sqref="AD13">
    <cfRule type="cellIs" dxfId="6951" priority="16575" operator="equal">
      <formula>1</formula>
    </cfRule>
    <cfRule type="cellIs" dxfId="6950" priority="16576" operator="equal">
      <formula>"×"</formula>
    </cfRule>
  </conditionalFormatting>
  <conditionalFormatting sqref="AD13">
    <cfRule type="cellIs" dxfId="6949" priority="16571" operator="equal">
      <formula>1</formula>
    </cfRule>
    <cfRule type="cellIs" dxfId="6948" priority="16572" operator="equal">
      <formula>"×"</formula>
    </cfRule>
  </conditionalFormatting>
  <conditionalFormatting sqref="AD13">
    <cfRule type="cellIs" dxfId="6947" priority="16573" operator="equal">
      <formula>1</formula>
    </cfRule>
    <cfRule type="cellIs" dxfId="6946" priority="16574" operator="equal">
      <formula>"×"</formula>
    </cfRule>
  </conditionalFormatting>
  <conditionalFormatting sqref="AE7">
    <cfRule type="cellIs" dxfId="6945" priority="16557" operator="equal">
      <formula>1</formula>
    </cfRule>
    <cfRule type="cellIs" dxfId="6944" priority="16558" operator="equal">
      <formula>"×"</formula>
    </cfRule>
  </conditionalFormatting>
  <conditionalFormatting sqref="AE7">
    <cfRule type="cellIs" dxfId="6943" priority="16555" operator="equal">
      <formula>1</formula>
    </cfRule>
    <cfRule type="cellIs" dxfId="6942" priority="16556" operator="equal">
      <formula>"×"</formula>
    </cfRule>
  </conditionalFormatting>
  <conditionalFormatting sqref="AE7">
    <cfRule type="cellIs" dxfId="6941" priority="16569" operator="equal">
      <formula>1</formula>
    </cfRule>
    <cfRule type="cellIs" dxfId="6940" priority="16570" operator="equal">
      <formula>"×"</formula>
    </cfRule>
  </conditionalFormatting>
  <conditionalFormatting sqref="AE7">
    <cfRule type="cellIs" dxfId="6939" priority="16567" operator="equal">
      <formula>1</formula>
    </cfRule>
    <cfRule type="cellIs" dxfId="6938" priority="16568" operator="equal">
      <formula>"×"</formula>
    </cfRule>
  </conditionalFormatting>
  <conditionalFormatting sqref="AE7">
    <cfRule type="cellIs" dxfId="6937" priority="16565" operator="equal">
      <formula>1</formula>
    </cfRule>
    <cfRule type="cellIs" dxfId="6936" priority="16566" operator="equal">
      <formula>"×"</formula>
    </cfRule>
  </conditionalFormatting>
  <conditionalFormatting sqref="AE7">
    <cfRule type="cellIs" dxfId="6935" priority="16563" operator="equal">
      <formula>1</formula>
    </cfRule>
    <cfRule type="cellIs" dxfId="6934" priority="16564" operator="equal">
      <formula>"×"</formula>
    </cfRule>
  </conditionalFormatting>
  <conditionalFormatting sqref="AE7">
    <cfRule type="cellIs" dxfId="6933" priority="16561" operator="equal">
      <formula>1</formula>
    </cfRule>
    <cfRule type="cellIs" dxfId="6932" priority="16562" operator="equal">
      <formula>"×"</formula>
    </cfRule>
  </conditionalFormatting>
  <conditionalFormatting sqref="AE7">
    <cfRule type="cellIs" dxfId="6931" priority="16559" operator="equal">
      <formula>1</formula>
    </cfRule>
    <cfRule type="cellIs" dxfId="6930" priority="16560" operator="equal">
      <formula>"×"</formula>
    </cfRule>
  </conditionalFormatting>
  <conditionalFormatting sqref="AE7">
    <cfRule type="cellIs" dxfId="6929" priority="16553" operator="equal">
      <formula>1</formula>
    </cfRule>
    <cfRule type="cellIs" dxfId="6928" priority="16554" operator="equal">
      <formula>"×"</formula>
    </cfRule>
  </conditionalFormatting>
  <conditionalFormatting sqref="AE7">
    <cfRule type="cellIs" dxfId="6927" priority="16529" operator="equal">
      <formula>1</formula>
    </cfRule>
    <cfRule type="cellIs" dxfId="6926" priority="16530" operator="equal">
      <formula>"×"</formula>
    </cfRule>
  </conditionalFormatting>
  <conditionalFormatting sqref="AE7">
    <cfRule type="cellIs" dxfId="6925" priority="16533" operator="equal">
      <formula>1</formula>
    </cfRule>
    <cfRule type="cellIs" dxfId="6924" priority="16534" operator="equal">
      <formula>"×"</formula>
    </cfRule>
  </conditionalFormatting>
  <conditionalFormatting sqref="AE7">
    <cfRule type="cellIs" dxfId="6923" priority="16531" operator="equal">
      <formula>1</formula>
    </cfRule>
    <cfRule type="cellIs" dxfId="6922" priority="16532" operator="equal">
      <formula>"×"</formula>
    </cfRule>
  </conditionalFormatting>
  <conditionalFormatting sqref="AE7">
    <cfRule type="cellIs" dxfId="6921" priority="16527" operator="equal">
      <formula>1</formula>
    </cfRule>
    <cfRule type="cellIs" dxfId="6920" priority="16528" operator="equal">
      <formula>"×"</formula>
    </cfRule>
  </conditionalFormatting>
  <conditionalFormatting sqref="AE7">
    <cfRule type="cellIs" dxfId="6919" priority="16551" operator="equal">
      <formula>1</formula>
    </cfRule>
    <cfRule type="cellIs" dxfId="6918" priority="16552" operator="equal">
      <formula>"×"</formula>
    </cfRule>
  </conditionalFormatting>
  <conditionalFormatting sqref="AE7">
    <cfRule type="cellIs" dxfId="6917" priority="16549" operator="equal">
      <formula>1</formula>
    </cfRule>
    <cfRule type="cellIs" dxfId="6916" priority="16550" operator="equal">
      <formula>"×"</formula>
    </cfRule>
  </conditionalFormatting>
  <conditionalFormatting sqref="AE7">
    <cfRule type="cellIs" dxfId="6915" priority="16547" operator="equal">
      <formula>1</formula>
    </cfRule>
    <cfRule type="cellIs" dxfId="6914" priority="16548" operator="equal">
      <formula>"×"</formula>
    </cfRule>
  </conditionalFormatting>
  <conditionalFormatting sqref="AE7">
    <cfRule type="cellIs" dxfId="6913" priority="16545" operator="equal">
      <formula>1</formula>
    </cfRule>
    <cfRule type="cellIs" dxfId="6912" priority="16546" operator="equal">
      <formula>"×"</formula>
    </cfRule>
  </conditionalFormatting>
  <conditionalFormatting sqref="AE7">
    <cfRule type="cellIs" dxfId="6911" priority="16543" operator="equal">
      <formula>1</formula>
    </cfRule>
    <cfRule type="cellIs" dxfId="6910" priority="16544" operator="equal">
      <formula>"×"</formula>
    </cfRule>
  </conditionalFormatting>
  <conditionalFormatting sqref="AE7">
    <cfRule type="cellIs" dxfId="6909" priority="16541" operator="equal">
      <formula>1</formula>
    </cfRule>
    <cfRule type="cellIs" dxfId="6908" priority="16542" operator="equal">
      <formula>"×"</formula>
    </cfRule>
  </conditionalFormatting>
  <conditionalFormatting sqref="AE7">
    <cfRule type="cellIs" dxfId="6907" priority="16539" operator="equal">
      <formula>1</formula>
    </cfRule>
    <cfRule type="cellIs" dxfId="6906" priority="16540" operator="equal">
      <formula>"×"</formula>
    </cfRule>
  </conditionalFormatting>
  <conditionalFormatting sqref="AE7">
    <cfRule type="cellIs" dxfId="6905" priority="16537" operator="equal">
      <formula>1</formula>
    </cfRule>
    <cfRule type="cellIs" dxfId="6904" priority="16538" operator="equal">
      <formula>"×"</formula>
    </cfRule>
  </conditionalFormatting>
  <conditionalFormatting sqref="AE7">
    <cfRule type="cellIs" dxfId="6903" priority="16535" operator="equal">
      <formula>1</formula>
    </cfRule>
    <cfRule type="cellIs" dxfId="6902" priority="16536" operator="equal">
      <formula>"×"</formula>
    </cfRule>
  </conditionalFormatting>
  <conditionalFormatting sqref="AC7">
    <cfRule type="cellIs" dxfId="6901" priority="16499" operator="equal">
      <formula>1</formula>
    </cfRule>
    <cfRule type="cellIs" dxfId="6900" priority="16500" operator="equal">
      <formula>"×"</formula>
    </cfRule>
  </conditionalFormatting>
  <conditionalFormatting sqref="AD7">
    <cfRule type="cellIs" dxfId="6899" priority="16497" operator="equal">
      <formula>1</formula>
    </cfRule>
    <cfRule type="cellIs" dxfId="6898" priority="16498" operator="equal">
      <formula>"×"</formula>
    </cfRule>
  </conditionalFormatting>
  <conditionalFormatting sqref="AD7">
    <cfRule type="cellIs" dxfId="6897" priority="16495" operator="equal">
      <formula>1</formula>
    </cfRule>
    <cfRule type="cellIs" dxfId="6896" priority="16496" operator="equal">
      <formula>"×"</formula>
    </cfRule>
  </conditionalFormatting>
  <conditionalFormatting sqref="AD7">
    <cfRule type="cellIs" dxfId="6895" priority="16491" operator="equal">
      <formula>1</formula>
    </cfRule>
    <cfRule type="cellIs" dxfId="6894" priority="16492" operator="equal">
      <formula>"×"</formula>
    </cfRule>
  </conditionalFormatting>
  <conditionalFormatting sqref="AD7">
    <cfRule type="cellIs" dxfId="6893" priority="16493" operator="equal">
      <formula>1</formula>
    </cfRule>
    <cfRule type="cellIs" dxfId="6892" priority="16494" operator="equal">
      <formula>"×"</formula>
    </cfRule>
  </conditionalFormatting>
  <conditionalFormatting sqref="AC7">
    <cfRule type="cellIs" dxfId="6891" priority="16525" operator="equal">
      <formula>1</formula>
    </cfRule>
    <cfRule type="cellIs" dxfId="6890" priority="16526" operator="equal">
      <formula>"×"</formula>
    </cfRule>
  </conditionalFormatting>
  <conditionalFormatting sqref="AD7">
    <cfRule type="cellIs" dxfId="6889" priority="16523" operator="equal">
      <formula>1</formula>
    </cfRule>
    <cfRule type="cellIs" dxfId="6888" priority="16524" operator="equal">
      <formula>"×"</formula>
    </cfRule>
  </conditionalFormatting>
  <conditionalFormatting sqref="AD7">
    <cfRule type="cellIs" dxfId="6887" priority="16521" operator="equal">
      <formula>1</formula>
    </cfRule>
    <cfRule type="cellIs" dxfId="6886" priority="16522" operator="equal">
      <formula>"×"</formula>
    </cfRule>
  </conditionalFormatting>
  <conditionalFormatting sqref="AD7">
    <cfRule type="cellIs" dxfId="6885" priority="16519" operator="equal">
      <formula>1</formula>
    </cfRule>
    <cfRule type="cellIs" dxfId="6884" priority="16520" operator="equal">
      <formula>"×"</formula>
    </cfRule>
  </conditionalFormatting>
  <conditionalFormatting sqref="AD7">
    <cfRule type="cellIs" dxfId="6883" priority="16517" operator="equal">
      <formula>1</formula>
    </cfRule>
    <cfRule type="cellIs" dxfId="6882" priority="16518" operator="equal">
      <formula>"×"</formula>
    </cfRule>
  </conditionalFormatting>
  <conditionalFormatting sqref="AD7">
    <cfRule type="cellIs" dxfId="6881" priority="16515" operator="equal">
      <formula>1</formula>
    </cfRule>
    <cfRule type="cellIs" dxfId="6880" priority="16516" operator="equal">
      <formula>"×"</formula>
    </cfRule>
  </conditionalFormatting>
  <conditionalFormatting sqref="AD7">
    <cfRule type="cellIs" dxfId="6879" priority="16513" operator="equal">
      <formula>1</formula>
    </cfRule>
    <cfRule type="cellIs" dxfId="6878" priority="16514" operator="equal">
      <formula>"×"</formula>
    </cfRule>
  </conditionalFormatting>
  <conditionalFormatting sqref="AD7">
    <cfRule type="cellIs" dxfId="6877" priority="16511" operator="equal">
      <formula>1</formula>
    </cfRule>
    <cfRule type="cellIs" dxfId="6876" priority="16512" operator="equal">
      <formula>"×"</formula>
    </cfRule>
  </conditionalFormatting>
  <conditionalFormatting sqref="AD7">
    <cfRule type="cellIs" dxfId="6875" priority="16509" operator="equal">
      <formula>1</formula>
    </cfRule>
    <cfRule type="cellIs" dxfId="6874" priority="16510" operator="equal">
      <formula>"×"</formula>
    </cfRule>
  </conditionalFormatting>
  <conditionalFormatting sqref="AD7">
    <cfRule type="cellIs" dxfId="6873" priority="16507" operator="equal">
      <formula>1</formula>
    </cfRule>
    <cfRule type="cellIs" dxfId="6872" priority="16508" operator="equal">
      <formula>"×"</formula>
    </cfRule>
  </conditionalFormatting>
  <conditionalFormatting sqref="AD7">
    <cfRule type="cellIs" dxfId="6871" priority="16505" operator="equal">
      <formula>1</formula>
    </cfRule>
    <cfRule type="cellIs" dxfId="6870" priority="16506" operator="equal">
      <formula>"×"</formula>
    </cfRule>
  </conditionalFormatting>
  <conditionalFormatting sqref="AD7">
    <cfRule type="cellIs" dxfId="6869" priority="16503" operator="equal">
      <formula>1</formula>
    </cfRule>
    <cfRule type="cellIs" dxfId="6868" priority="16504" operator="equal">
      <formula>"×"</formula>
    </cfRule>
  </conditionalFormatting>
  <conditionalFormatting sqref="AD7">
    <cfRule type="cellIs" dxfId="6867" priority="16501" operator="equal">
      <formula>1</formula>
    </cfRule>
    <cfRule type="cellIs" dxfId="6866" priority="16502" operator="equal">
      <formula>"×"</formula>
    </cfRule>
  </conditionalFormatting>
  <conditionalFormatting sqref="AC7:AD7">
    <cfRule type="cellIs" dxfId="6865" priority="16489" operator="equal">
      <formula>1</formula>
    </cfRule>
    <cfRule type="cellIs" dxfId="6864" priority="16490" operator="equal">
      <formula>"×"</formula>
    </cfRule>
  </conditionalFormatting>
  <conditionalFormatting sqref="AB7">
    <cfRule type="cellIs" dxfId="6863" priority="16487" operator="equal">
      <formula>1</formula>
    </cfRule>
    <cfRule type="cellIs" dxfId="6862" priority="16488" operator="equal">
      <formula>"×"</formula>
    </cfRule>
  </conditionalFormatting>
  <conditionalFormatting sqref="AG11:AH13">
    <cfRule type="cellIs" dxfId="6861" priority="16485" operator="equal">
      <formula>1</formula>
    </cfRule>
    <cfRule type="cellIs" dxfId="6860" priority="16486" operator="equal">
      <formula>"×"</formula>
    </cfRule>
  </conditionalFormatting>
  <conditionalFormatting sqref="AF7">
    <cfRule type="cellIs" dxfId="6859" priority="16467" operator="equal">
      <formula>1</formula>
    </cfRule>
    <cfRule type="cellIs" dxfId="6858" priority="16468" operator="equal">
      <formula>"×"</formula>
    </cfRule>
  </conditionalFormatting>
  <conditionalFormatting sqref="AF7">
    <cfRule type="cellIs" dxfId="6857" priority="16465" operator="equal">
      <formula>1</formula>
    </cfRule>
    <cfRule type="cellIs" dxfId="6856" priority="16466" operator="equal">
      <formula>"×"</formula>
    </cfRule>
  </conditionalFormatting>
  <conditionalFormatting sqref="AI7">
    <cfRule type="cellIs" dxfId="6855" priority="16481" operator="equal">
      <formula>1</formula>
    </cfRule>
    <cfRule type="cellIs" dxfId="6854" priority="16482" operator="equal">
      <formula>"×"</formula>
    </cfRule>
  </conditionalFormatting>
  <conditionalFormatting sqref="AF7:AI7">
    <cfRule type="cellIs" dxfId="6853" priority="16483" operator="equal">
      <formula>1</formula>
    </cfRule>
    <cfRule type="cellIs" dxfId="6852" priority="16484" operator="equal">
      <formula>"×"</formula>
    </cfRule>
  </conditionalFormatting>
  <conditionalFormatting sqref="AF7:AI8 AF11:AI13">
    <cfRule type="cellIs" dxfId="6851" priority="16479" operator="equal">
      <formula>1</formula>
    </cfRule>
    <cfRule type="cellIs" dxfId="6850" priority="16480" operator="equal">
      <formula>"×"</formula>
    </cfRule>
  </conditionalFormatting>
  <conditionalFormatting sqref="AF11">
    <cfRule type="cellIs" dxfId="6849" priority="16477" operator="equal">
      <formula>1</formula>
    </cfRule>
    <cfRule type="cellIs" dxfId="6848" priority="16478" operator="equal">
      <formula>"×"</formula>
    </cfRule>
  </conditionalFormatting>
  <conditionalFormatting sqref="AF11">
    <cfRule type="cellIs" dxfId="6847" priority="16475" operator="equal">
      <formula>1</formula>
    </cfRule>
    <cfRule type="cellIs" dxfId="6846" priority="16476" operator="equal">
      <formula>"×"</formula>
    </cfRule>
  </conditionalFormatting>
  <conditionalFormatting sqref="AF11:AI11">
    <cfRule type="cellIs" dxfId="6845" priority="16473" operator="equal">
      <formula>1</formula>
    </cfRule>
    <cfRule type="cellIs" dxfId="6844" priority="16474" operator="equal">
      <formula>"×"</formula>
    </cfRule>
  </conditionalFormatting>
  <conditionalFormatting sqref="AI11">
    <cfRule type="cellIs" dxfId="6843" priority="16471" operator="equal">
      <formula>1</formula>
    </cfRule>
    <cfRule type="cellIs" dxfId="6842" priority="16472" operator="equal">
      <formula>"×"</formula>
    </cfRule>
  </conditionalFormatting>
  <conditionalFormatting sqref="AF11:AI11">
    <cfRule type="cellIs" dxfId="6841" priority="16469" operator="equal">
      <formula>1</formula>
    </cfRule>
    <cfRule type="cellIs" dxfId="6840" priority="16470" operator="equal">
      <formula>"×"</formula>
    </cfRule>
  </conditionalFormatting>
  <conditionalFormatting sqref="AF11:AI11">
    <cfRule type="cellIs" dxfId="6839" priority="16463" operator="equal">
      <formula>1</formula>
    </cfRule>
    <cfRule type="cellIs" dxfId="6838" priority="16464" operator="equal">
      <formula>"×"</formula>
    </cfRule>
  </conditionalFormatting>
  <conditionalFormatting sqref="AI11">
    <cfRule type="cellIs" dxfId="6837" priority="16461" operator="equal">
      <formula>1</formula>
    </cfRule>
    <cfRule type="cellIs" dxfId="6836" priority="16462" operator="equal">
      <formula>"×"</formula>
    </cfRule>
  </conditionalFormatting>
  <conditionalFormatting sqref="AF11:AI11">
    <cfRule type="cellIs" dxfId="6835" priority="16459" operator="equal">
      <formula>1</formula>
    </cfRule>
    <cfRule type="cellIs" dxfId="6834" priority="16460" operator="equal">
      <formula>"×"</formula>
    </cfRule>
  </conditionalFormatting>
  <conditionalFormatting sqref="AF11:AI11">
    <cfRule type="cellIs" dxfId="6833" priority="16457" operator="equal">
      <formula>1</formula>
    </cfRule>
    <cfRule type="cellIs" dxfId="6832" priority="16458" operator="equal">
      <formula>"×"</formula>
    </cfRule>
  </conditionalFormatting>
  <conditionalFormatting sqref="AI11">
    <cfRule type="cellIs" dxfId="6831" priority="16455" operator="equal">
      <formula>1</formula>
    </cfRule>
    <cfRule type="cellIs" dxfId="6830" priority="16456" operator="equal">
      <formula>"×"</formula>
    </cfRule>
  </conditionalFormatting>
  <conditionalFormatting sqref="AF12">
    <cfRule type="cellIs" dxfId="6829" priority="16453" operator="equal">
      <formula>1</formula>
    </cfRule>
    <cfRule type="cellIs" dxfId="6828" priority="16454" operator="equal">
      <formula>"×"</formula>
    </cfRule>
  </conditionalFormatting>
  <conditionalFormatting sqref="AF7:AF8 AF11:AF13">
    <cfRule type="cellIs" dxfId="6827" priority="16451" operator="equal">
      <formula>1</formula>
    </cfRule>
    <cfRule type="cellIs" dxfId="6826" priority="16452" operator="equal">
      <formula>"×"</formula>
    </cfRule>
  </conditionalFormatting>
  <conditionalFormatting sqref="AF7:AF8 AF11:AF13">
    <cfRule type="cellIs" dxfId="6825" priority="16449" operator="equal">
      <formula>1</formula>
    </cfRule>
    <cfRule type="cellIs" dxfId="6824" priority="16450" operator="equal">
      <formula>"×"</formula>
    </cfRule>
  </conditionalFormatting>
  <conditionalFormatting sqref="AF7:AF8 AF11:AF13">
    <cfRule type="cellIs" dxfId="6823" priority="16447" operator="equal">
      <formula>1</formula>
    </cfRule>
    <cfRule type="cellIs" dxfId="6822" priority="16448" operator="equal">
      <formula>"×"</formula>
    </cfRule>
  </conditionalFormatting>
  <conditionalFormatting sqref="AF7:AF8 AF11:AF13">
    <cfRule type="cellIs" dxfId="6821" priority="16445" operator="equal">
      <formula>1</formula>
    </cfRule>
    <cfRule type="cellIs" dxfId="6820" priority="16446" operator="equal">
      <formula>"×"</formula>
    </cfRule>
  </conditionalFormatting>
  <conditionalFormatting sqref="AF7:AF8 AF11:AF13">
    <cfRule type="cellIs" dxfId="6819" priority="16443" operator="equal">
      <formula>1</formula>
    </cfRule>
    <cfRule type="cellIs" dxfId="6818" priority="16444" operator="equal">
      <formula>"×"</formula>
    </cfRule>
  </conditionalFormatting>
  <conditionalFormatting sqref="AF7:AF8 AF11:AF13">
    <cfRule type="cellIs" dxfId="6817" priority="16441" operator="equal">
      <formula>1</formula>
    </cfRule>
    <cfRule type="cellIs" dxfId="6816" priority="16442" operator="equal">
      <formula>"×"</formula>
    </cfRule>
  </conditionalFormatting>
  <conditionalFormatting sqref="AG11:AI13">
    <cfRule type="cellIs" dxfId="6815" priority="16439" operator="equal">
      <formula>1</formula>
    </cfRule>
    <cfRule type="cellIs" dxfId="6814" priority="16440" operator="equal">
      <formula>"×"</formula>
    </cfRule>
  </conditionalFormatting>
  <conditionalFormatting sqref="AI11:AI13">
    <cfRule type="cellIs" dxfId="6813" priority="16437" operator="equal">
      <formula>1</formula>
    </cfRule>
    <cfRule type="cellIs" dxfId="6812" priority="16438" operator="equal">
      <formula>"×"</formula>
    </cfRule>
  </conditionalFormatting>
  <conditionalFormatting sqref="AG11:AI13">
    <cfRule type="cellIs" dxfId="6811" priority="16435" operator="equal">
      <formula>1</formula>
    </cfRule>
    <cfRule type="cellIs" dxfId="6810" priority="16436" operator="equal">
      <formula>"×"</formula>
    </cfRule>
  </conditionalFormatting>
  <conditionalFormatting sqref="AG11:AI13">
    <cfRule type="cellIs" dxfId="6809" priority="16433" operator="equal">
      <formula>1</formula>
    </cfRule>
    <cfRule type="cellIs" dxfId="6808" priority="16434" operator="equal">
      <formula>"×"</formula>
    </cfRule>
  </conditionalFormatting>
  <conditionalFormatting sqref="AI11:AI13">
    <cfRule type="cellIs" dxfId="6807" priority="16431" operator="equal">
      <formula>1</formula>
    </cfRule>
    <cfRule type="cellIs" dxfId="6806" priority="16432" operator="equal">
      <formula>"×"</formula>
    </cfRule>
  </conditionalFormatting>
  <conditionalFormatting sqref="AG11:AI13">
    <cfRule type="cellIs" dxfId="6805" priority="16429" operator="equal">
      <formula>1</formula>
    </cfRule>
    <cfRule type="cellIs" dxfId="6804" priority="16430" operator="equal">
      <formula>"×"</formula>
    </cfRule>
  </conditionalFormatting>
  <conditionalFormatting sqref="AF7:AF8 AF11:AF13">
    <cfRule type="cellIs" dxfId="6803" priority="16427" operator="equal">
      <formula>1</formula>
    </cfRule>
    <cfRule type="cellIs" dxfId="6802" priority="16428" operator="equal">
      <formula>"×"</formula>
    </cfRule>
  </conditionalFormatting>
  <conditionalFormatting sqref="AF7:AF8 AF11:AF13">
    <cfRule type="cellIs" dxfId="6801" priority="16425" operator="equal">
      <formula>1</formula>
    </cfRule>
    <cfRule type="cellIs" dxfId="6800" priority="16426" operator="equal">
      <formula>"×"</formula>
    </cfRule>
  </conditionalFormatting>
  <conditionalFormatting sqref="AF7:AF8 AF11:AF13">
    <cfRule type="cellIs" dxfId="6799" priority="16423" operator="equal">
      <formula>1</formula>
    </cfRule>
    <cfRule type="cellIs" dxfId="6798" priority="16424" operator="equal">
      <formula>"×"</formula>
    </cfRule>
  </conditionalFormatting>
  <conditionalFormatting sqref="AF7:AF8 AF11:AF13">
    <cfRule type="cellIs" dxfId="6797" priority="16421" operator="equal">
      <formula>1</formula>
    </cfRule>
    <cfRule type="cellIs" dxfId="6796" priority="16422" operator="equal">
      <formula>"×"</formula>
    </cfRule>
  </conditionalFormatting>
  <conditionalFormatting sqref="AF7:AF8 AF11:AF13">
    <cfRule type="cellIs" dxfId="6795" priority="16419" operator="equal">
      <formula>1</formula>
    </cfRule>
    <cfRule type="cellIs" dxfId="6794" priority="16420" operator="equal">
      <formula>"×"</formula>
    </cfRule>
  </conditionalFormatting>
  <conditionalFormatting sqref="AF7:AF8 AF11:AF13">
    <cfRule type="cellIs" dxfId="6793" priority="16417" operator="equal">
      <formula>1</formula>
    </cfRule>
    <cfRule type="cellIs" dxfId="6792" priority="16418" operator="equal">
      <formula>"×"</formula>
    </cfRule>
  </conditionalFormatting>
  <conditionalFormatting sqref="AF7:AF8 AF11:AF13">
    <cfRule type="cellIs" dxfId="6791" priority="16415" operator="equal">
      <formula>1</formula>
    </cfRule>
    <cfRule type="cellIs" dxfId="6790" priority="16416" operator="equal">
      <formula>"×"</formula>
    </cfRule>
  </conditionalFormatting>
  <conditionalFormatting sqref="AG11:AI13">
    <cfRule type="cellIs" dxfId="6789" priority="16413" operator="equal">
      <formula>1</formula>
    </cfRule>
    <cfRule type="cellIs" dxfId="6788" priority="16414" operator="equal">
      <formula>"×"</formula>
    </cfRule>
  </conditionalFormatting>
  <conditionalFormatting sqref="AG11:AI13">
    <cfRule type="cellIs" dxfId="6787" priority="16409" operator="equal">
      <formula>1</formula>
    </cfRule>
    <cfRule type="cellIs" dxfId="6786" priority="16410" operator="equal">
      <formula>"×"</formula>
    </cfRule>
  </conditionalFormatting>
  <conditionalFormatting sqref="AI11:AI13">
    <cfRule type="cellIs" dxfId="6785" priority="16411" operator="equal">
      <formula>1</formula>
    </cfRule>
    <cfRule type="cellIs" dxfId="6784" priority="16412" operator="equal">
      <formula>"×"</formula>
    </cfRule>
  </conditionalFormatting>
  <conditionalFormatting sqref="AG11:AI13">
    <cfRule type="cellIs" dxfId="6783" priority="16407" operator="equal">
      <formula>1</formula>
    </cfRule>
    <cfRule type="cellIs" dxfId="6782" priority="16408" operator="equal">
      <formula>"×"</formula>
    </cfRule>
  </conditionalFormatting>
  <conditionalFormatting sqref="AI11:AI13">
    <cfRule type="cellIs" dxfId="6781" priority="16405" operator="equal">
      <formula>1</formula>
    </cfRule>
    <cfRule type="cellIs" dxfId="6780" priority="16406" operator="equal">
      <formula>"×"</formula>
    </cfRule>
  </conditionalFormatting>
  <conditionalFormatting sqref="AG11:AI13">
    <cfRule type="cellIs" dxfId="6779" priority="16403" operator="equal">
      <formula>1</formula>
    </cfRule>
    <cfRule type="cellIs" dxfId="6778" priority="16404" operator="equal">
      <formula>"×"</formula>
    </cfRule>
  </conditionalFormatting>
  <conditionalFormatting sqref="AI11:AI13">
    <cfRule type="cellIs" dxfId="6777" priority="16401" operator="equal">
      <formula>1</formula>
    </cfRule>
    <cfRule type="cellIs" dxfId="6776" priority="16402" operator="equal">
      <formula>"×"</formula>
    </cfRule>
  </conditionalFormatting>
  <conditionalFormatting sqref="AI11:AI13">
    <cfRule type="cellIs" dxfId="6775" priority="16399" operator="equal">
      <formula>1</formula>
    </cfRule>
    <cfRule type="cellIs" dxfId="6774" priority="16400" operator="equal">
      <formula>"×"</formula>
    </cfRule>
  </conditionalFormatting>
  <conditionalFormatting sqref="AI11:AI13">
    <cfRule type="cellIs" dxfId="6773" priority="16397" operator="equal">
      <formula>1</formula>
    </cfRule>
    <cfRule type="cellIs" dxfId="6772" priority="16398" operator="equal">
      <formula>"×"</formula>
    </cfRule>
  </conditionalFormatting>
  <conditionalFormatting sqref="AI11:AI13">
    <cfRule type="cellIs" dxfId="6771" priority="16395" operator="equal">
      <formula>1</formula>
    </cfRule>
    <cfRule type="cellIs" dxfId="6770" priority="16396" operator="equal">
      <formula>"×"</formula>
    </cfRule>
  </conditionalFormatting>
  <conditionalFormatting sqref="AI11:AI13">
    <cfRule type="cellIs" dxfId="6769" priority="16393" operator="equal">
      <formula>1</formula>
    </cfRule>
    <cfRule type="cellIs" dxfId="6768" priority="16394" operator="equal">
      <formula>"×"</formula>
    </cfRule>
  </conditionalFormatting>
  <conditionalFormatting sqref="AI11:AI13">
    <cfRule type="cellIs" dxfId="6767" priority="16391" operator="equal">
      <formula>1</formula>
    </cfRule>
    <cfRule type="cellIs" dxfId="6766" priority="16392" operator="equal">
      <formula>"×"</formula>
    </cfRule>
  </conditionalFormatting>
  <conditionalFormatting sqref="AF11:AI11">
    <cfRule type="cellIs" dxfId="6765" priority="16367" operator="equal">
      <formula>1</formula>
    </cfRule>
    <cfRule type="cellIs" dxfId="6764" priority="16368" operator="equal">
      <formula>"×"</formula>
    </cfRule>
  </conditionalFormatting>
  <conditionalFormatting sqref="AI11">
    <cfRule type="cellIs" dxfId="6763" priority="16365" operator="equal">
      <formula>1</formula>
    </cfRule>
    <cfRule type="cellIs" dxfId="6762" priority="16366" operator="equal">
      <formula>"×"</formula>
    </cfRule>
  </conditionalFormatting>
  <conditionalFormatting sqref="AF11:AI11">
    <cfRule type="cellIs" dxfId="6761" priority="16363" operator="equal">
      <formula>1</formula>
    </cfRule>
    <cfRule type="cellIs" dxfId="6760" priority="16364" operator="equal">
      <formula>"×"</formula>
    </cfRule>
  </conditionalFormatting>
  <conditionalFormatting sqref="AF11">
    <cfRule type="cellIs" dxfId="6759" priority="16389" operator="equal">
      <formula>1</formula>
    </cfRule>
    <cfRule type="cellIs" dxfId="6758" priority="16390" operator="equal">
      <formula>"×"</formula>
    </cfRule>
  </conditionalFormatting>
  <conditionalFormatting sqref="AF11">
    <cfRule type="cellIs" dxfId="6757" priority="16387" operator="equal">
      <formula>1</formula>
    </cfRule>
    <cfRule type="cellIs" dxfId="6756" priority="16388" operator="equal">
      <formula>"×"</formula>
    </cfRule>
  </conditionalFormatting>
  <conditionalFormatting sqref="AF7:AF8 AF11:AF13">
    <cfRule type="cellIs" dxfId="6755" priority="16385" operator="equal">
      <formula>1</formula>
    </cfRule>
    <cfRule type="cellIs" dxfId="6754" priority="16386" operator="equal">
      <formula>"×"</formula>
    </cfRule>
  </conditionalFormatting>
  <conditionalFormatting sqref="AF7:AF8 AF11:AF13">
    <cfRule type="cellIs" dxfId="6753" priority="16383" operator="equal">
      <formula>1</formula>
    </cfRule>
    <cfRule type="cellIs" dxfId="6752" priority="16384" operator="equal">
      <formula>"×"</formula>
    </cfRule>
  </conditionalFormatting>
  <conditionalFormatting sqref="AF11">
    <cfRule type="cellIs" dxfId="6751" priority="16381" operator="equal">
      <formula>1</formula>
    </cfRule>
    <cfRule type="cellIs" dxfId="6750" priority="16382" operator="equal">
      <formula>"×"</formula>
    </cfRule>
  </conditionalFormatting>
  <conditionalFormatting sqref="AF11">
    <cfRule type="cellIs" dxfId="6749" priority="16379" operator="equal">
      <formula>1</formula>
    </cfRule>
    <cfRule type="cellIs" dxfId="6748" priority="16380" operator="equal">
      <formula>"×"</formula>
    </cfRule>
  </conditionalFormatting>
  <conditionalFormatting sqref="AF7:AF8 AF11:AI13">
    <cfRule type="cellIs" dxfId="6747" priority="16377" operator="equal">
      <formula>1</formula>
    </cfRule>
    <cfRule type="cellIs" dxfId="6746" priority="16378" operator="equal">
      <formula>"×"</formula>
    </cfRule>
  </conditionalFormatting>
  <conditionalFormatting sqref="AI12">
    <cfRule type="cellIs" dxfId="6745" priority="16375" operator="equal">
      <formula>1</formula>
    </cfRule>
    <cfRule type="cellIs" dxfId="6744" priority="16376" operator="equal">
      <formula>"×"</formula>
    </cfRule>
  </conditionalFormatting>
  <conditionalFormatting sqref="AF7:AF8 AF11:AI13">
    <cfRule type="cellIs" dxfId="6743" priority="16373" operator="equal">
      <formula>1</formula>
    </cfRule>
    <cfRule type="cellIs" dxfId="6742" priority="16374" operator="equal">
      <formula>"×"</formula>
    </cfRule>
  </conditionalFormatting>
  <conditionalFormatting sqref="AF11">
    <cfRule type="cellIs" dxfId="6741" priority="16371" operator="equal">
      <formula>1</formula>
    </cfRule>
    <cfRule type="cellIs" dxfId="6740" priority="16372" operator="equal">
      <formula>"×"</formula>
    </cfRule>
  </conditionalFormatting>
  <conditionalFormatting sqref="AF11">
    <cfRule type="cellIs" dxfId="6739" priority="16369" operator="equal">
      <formula>1</formula>
    </cfRule>
    <cfRule type="cellIs" dxfId="6738" priority="16370" operator="equal">
      <formula>"×"</formula>
    </cfRule>
  </conditionalFormatting>
  <conditionalFormatting sqref="AF7:AF8 AF11:AI13">
    <cfRule type="cellIs" dxfId="6737" priority="16361" operator="equal">
      <formula>1</formula>
    </cfRule>
    <cfRule type="cellIs" dxfId="6736" priority="16362" operator="equal">
      <formula>"×"</formula>
    </cfRule>
  </conditionalFormatting>
  <conditionalFormatting sqref="AI12">
    <cfRule type="cellIs" dxfId="6735" priority="16359" operator="equal">
      <formula>1</formula>
    </cfRule>
    <cfRule type="cellIs" dxfId="6734" priority="16360" operator="equal">
      <formula>"×"</formula>
    </cfRule>
  </conditionalFormatting>
  <conditionalFormatting sqref="AF7:AF8 AF11:AI13">
    <cfRule type="cellIs" dxfId="6733" priority="16357" operator="equal">
      <formula>1</formula>
    </cfRule>
    <cfRule type="cellIs" dxfId="6732" priority="16358" operator="equal">
      <formula>"×"</formula>
    </cfRule>
  </conditionalFormatting>
  <conditionalFormatting sqref="AF7:AF8 AF11:AI13">
    <cfRule type="cellIs" dxfId="6731" priority="16355" operator="equal">
      <formula>1</formula>
    </cfRule>
    <cfRule type="cellIs" dxfId="6730" priority="16356" operator="equal">
      <formula>"×"</formula>
    </cfRule>
  </conditionalFormatting>
  <conditionalFormatting sqref="AI12">
    <cfRule type="cellIs" dxfId="6729" priority="16353" operator="equal">
      <formula>1</formula>
    </cfRule>
    <cfRule type="cellIs" dxfId="6728" priority="16354" operator="equal">
      <formula>"×"</formula>
    </cfRule>
  </conditionalFormatting>
  <conditionalFormatting sqref="AF11">
    <cfRule type="cellIs" dxfId="6727" priority="16351" operator="equal">
      <formula>1</formula>
    </cfRule>
    <cfRule type="cellIs" dxfId="6726" priority="16352" operator="equal">
      <formula>"×"</formula>
    </cfRule>
  </conditionalFormatting>
  <conditionalFormatting sqref="AF11">
    <cfRule type="cellIs" dxfId="6725" priority="16347" operator="equal">
      <formula>1</formula>
    </cfRule>
    <cfRule type="cellIs" dxfId="6724" priority="16348" operator="equal">
      <formula>"×"</formula>
    </cfRule>
  </conditionalFormatting>
  <conditionalFormatting sqref="AF11">
    <cfRule type="cellIs" dxfId="6723" priority="16349" operator="equal">
      <formula>1</formula>
    </cfRule>
    <cfRule type="cellIs" dxfId="6722" priority="16350" operator="equal">
      <formula>"×"</formula>
    </cfRule>
  </conditionalFormatting>
  <conditionalFormatting sqref="AF11">
    <cfRule type="cellIs" dxfId="6721" priority="16345" operator="equal">
      <formula>1</formula>
    </cfRule>
    <cfRule type="cellIs" dxfId="6720" priority="16346" operator="equal">
      <formula>"×"</formula>
    </cfRule>
  </conditionalFormatting>
  <conditionalFormatting sqref="AF11">
    <cfRule type="cellIs" dxfId="6719" priority="16343" operator="equal">
      <formula>1</formula>
    </cfRule>
    <cfRule type="cellIs" dxfId="6718" priority="16344" operator="equal">
      <formula>"×"</formula>
    </cfRule>
  </conditionalFormatting>
  <conditionalFormatting sqref="AF11">
    <cfRule type="cellIs" dxfId="6717" priority="16341" operator="equal">
      <formula>1</formula>
    </cfRule>
    <cfRule type="cellIs" dxfId="6716" priority="16342" operator="equal">
      <formula>"×"</formula>
    </cfRule>
  </conditionalFormatting>
  <conditionalFormatting sqref="AF11">
    <cfRule type="cellIs" dxfId="6715" priority="16339" operator="equal">
      <formula>1</formula>
    </cfRule>
    <cfRule type="cellIs" dxfId="6714" priority="16340" operator="equal">
      <formula>"×"</formula>
    </cfRule>
  </conditionalFormatting>
  <conditionalFormatting sqref="AH10:AI10">
    <cfRule type="cellIs" dxfId="6713" priority="16337" operator="equal">
      <formula>1</formula>
    </cfRule>
    <cfRule type="cellIs" dxfId="6712" priority="16338" operator="equal">
      <formula>"×"</formula>
    </cfRule>
  </conditionalFormatting>
  <conditionalFormatting sqref="AI10">
    <cfRule type="cellIs" dxfId="6711" priority="16335" operator="equal">
      <formula>1</formula>
    </cfRule>
    <cfRule type="cellIs" dxfId="6710" priority="16336" operator="equal">
      <formula>"×"</formula>
    </cfRule>
  </conditionalFormatting>
  <conditionalFormatting sqref="AH10:AI10">
    <cfRule type="cellIs" dxfId="6709" priority="16333" operator="equal">
      <formula>1</formula>
    </cfRule>
    <cfRule type="cellIs" dxfId="6708" priority="16334" operator="equal">
      <formula>"×"</formula>
    </cfRule>
  </conditionalFormatting>
  <conditionalFormatting sqref="AH10:AI10">
    <cfRule type="cellIs" dxfId="6707" priority="16331" operator="equal">
      <formula>1</formula>
    </cfRule>
    <cfRule type="cellIs" dxfId="6706" priority="16332" operator="equal">
      <formula>"×"</formula>
    </cfRule>
  </conditionalFormatting>
  <conditionalFormatting sqref="AI10">
    <cfRule type="cellIs" dxfId="6705" priority="16329" operator="equal">
      <formula>1</formula>
    </cfRule>
    <cfRule type="cellIs" dxfId="6704" priority="16330" operator="equal">
      <formula>"×"</formula>
    </cfRule>
  </conditionalFormatting>
  <conditionalFormatting sqref="AH10:AI10">
    <cfRule type="cellIs" dxfId="6703" priority="16327" operator="equal">
      <formula>1</formula>
    </cfRule>
    <cfRule type="cellIs" dxfId="6702" priority="16328" operator="equal">
      <formula>"×"</formula>
    </cfRule>
  </conditionalFormatting>
  <conditionalFormatting sqref="AF7:AG7">
    <cfRule type="cellIs" dxfId="6701" priority="16301" operator="equal">
      <formula>1</formula>
    </cfRule>
    <cfRule type="cellIs" dxfId="6700" priority="16302" operator="equal">
      <formula>"×"</formula>
    </cfRule>
  </conditionalFormatting>
  <conditionalFormatting sqref="AF7:AG7">
    <cfRule type="cellIs" dxfId="6699" priority="16299" operator="equal">
      <formula>1</formula>
    </cfRule>
    <cfRule type="cellIs" dxfId="6698" priority="16300" operator="equal">
      <formula>"×"</formula>
    </cfRule>
  </conditionalFormatting>
  <conditionalFormatting sqref="AF7:AG7">
    <cfRule type="cellIs" dxfId="6697" priority="16295" operator="equal">
      <formula>1</formula>
    </cfRule>
    <cfRule type="cellIs" dxfId="6696" priority="16296" operator="equal">
      <formula>"×"</formula>
    </cfRule>
  </conditionalFormatting>
  <conditionalFormatting sqref="AF7:AG7">
    <cfRule type="cellIs" dxfId="6695" priority="16297" operator="equal">
      <formula>1</formula>
    </cfRule>
    <cfRule type="cellIs" dxfId="6694" priority="16298" operator="equal">
      <formula>"×"</formula>
    </cfRule>
  </conditionalFormatting>
  <conditionalFormatting sqref="AF7:AG7">
    <cfRule type="cellIs" dxfId="6693" priority="16325" operator="equal">
      <formula>1</formula>
    </cfRule>
    <cfRule type="cellIs" dxfId="6692" priority="16326" operator="equal">
      <formula>"×"</formula>
    </cfRule>
  </conditionalFormatting>
  <conditionalFormatting sqref="AF7:AG7">
    <cfRule type="cellIs" dxfId="6691" priority="16323" operator="equal">
      <formula>1</formula>
    </cfRule>
    <cfRule type="cellIs" dxfId="6690" priority="16324" operator="equal">
      <formula>"×"</formula>
    </cfRule>
  </conditionalFormatting>
  <conditionalFormatting sqref="AF7:AG7">
    <cfRule type="cellIs" dxfId="6689" priority="16321" operator="equal">
      <formula>1</formula>
    </cfRule>
    <cfRule type="cellIs" dxfId="6688" priority="16322" operator="equal">
      <formula>"×"</formula>
    </cfRule>
  </conditionalFormatting>
  <conditionalFormatting sqref="AF7:AG7">
    <cfRule type="cellIs" dxfId="6687" priority="16319" operator="equal">
      <formula>1</formula>
    </cfRule>
    <cfRule type="cellIs" dxfId="6686" priority="16320" operator="equal">
      <formula>"×"</formula>
    </cfRule>
  </conditionalFormatting>
  <conditionalFormatting sqref="AF7:AG7">
    <cfRule type="cellIs" dxfId="6685" priority="16317" operator="equal">
      <formula>1</formula>
    </cfRule>
    <cfRule type="cellIs" dxfId="6684" priority="16318" operator="equal">
      <formula>"×"</formula>
    </cfRule>
  </conditionalFormatting>
  <conditionalFormatting sqref="AF7:AG7">
    <cfRule type="cellIs" dxfId="6683" priority="16315" operator="equal">
      <formula>1</formula>
    </cfRule>
    <cfRule type="cellIs" dxfId="6682" priority="16316" operator="equal">
      <formula>"×"</formula>
    </cfRule>
  </conditionalFormatting>
  <conditionalFormatting sqref="AF7:AG7">
    <cfRule type="cellIs" dxfId="6681" priority="16313" operator="equal">
      <formula>1</formula>
    </cfRule>
    <cfRule type="cellIs" dxfId="6680" priority="16314" operator="equal">
      <formula>"×"</formula>
    </cfRule>
  </conditionalFormatting>
  <conditionalFormatting sqref="AF7:AG7">
    <cfRule type="cellIs" dxfId="6679" priority="16311" operator="equal">
      <formula>1</formula>
    </cfRule>
    <cfRule type="cellIs" dxfId="6678" priority="16312" operator="equal">
      <formula>"×"</formula>
    </cfRule>
  </conditionalFormatting>
  <conditionalFormatting sqref="AF7:AG7">
    <cfRule type="cellIs" dxfId="6677" priority="16309" operator="equal">
      <formula>1</formula>
    </cfRule>
    <cfRule type="cellIs" dxfId="6676" priority="16310" operator="equal">
      <formula>"×"</formula>
    </cfRule>
  </conditionalFormatting>
  <conditionalFormatting sqref="AF7:AG7">
    <cfRule type="cellIs" dxfId="6675" priority="16307" operator="equal">
      <formula>1</formula>
    </cfRule>
    <cfRule type="cellIs" dxfId="6674" priority="16308" operator="equal">
      <formula>"×"</formula>
    </cfRule>
  </conditionalFormatting>
  <conditionalFormatting sqref="AF7:AG7">
    <cfRule type="cellIs" dxfId="6673" priority="16305" operator="equal">
      <formula>1</formula>
    </cfRule>
    <cfRule type="cellIs" dxfId="6672" priority="16306" operator="equal">
      <formula>"×"</formula>
    </cfRule>
  </conditionalFormatting>
  <conditionalFormatting sqref="AF7:AG7">
    <cfRule type="cellIs" dxfId="6671" priority="16303" operator="equal">
      <formula>1</formula>
    </cfRule>
    <cfRule type="cellIs" dxfId="6670" priority="16304" operator="equal">
      <formula>"×"</formula>
    </cfRule>
  </conditionalFormatting>
  <conditionalFormatting sqref="AH7:AI7">
    <cfRule type="cellIs" dxfId="6669" priority="16269" operator="equal">
      <formula>1</formula>
    </cfRule>
    <cfRule type="cellIs" dxfId="6668" priority="16270" operator="equal">
      <formula>"×"</formula>
    </cfRule>
  </conditionalFormatting>
  <conditionalFormatting sqref="AH7:AI7">
    <cfRule type="cellIs" dxfId="6667" priority="16267" operator="equal">
      <formula>1</formula>
    </cfRule>
    <cfRule type="cellIs" dxfId="6666" priority="16268" operator="equal">
      <formula>"×"</formula>
    </cfRule>
  </conditionalFormatting>
  <conditionalFormatting sqref="AH7:AI7">
    <cfRule type="cellIs" dxfId="6665" priority="16263" operator="equal">
      <formula>1</formula>
    </cfRule>
    <cfRule type="cellIs" dxfId="6664" priority="16264" operator="equal">
      <formula>"×"</formula>
    </cfRule>
  </conditionalFormatting>
  <conditionalFormatting sqref="AH7:AI7">
    <cfRule type="cellIs" dxfId="6663" priority="16265" operator="equal">
      <formula>1</formula>
    </cfRule>
    <cfRule type="cellIs" dxfId="6662" priority="16266" operator="equal">
      <formula>"×"</formula>
    </cfRule>
  </conditionalFormatting>
  <conditionalFormatting sqref="AH7:AI7">
    <cfRule type="cellIs" dxfId="6661" priority="16293" operator="equal">
      <formula>1</formula>
    </cfRule>
    <cfRule type="cellIs" dxfId="6660" priority="16294" operator="equal">
      <formula>"×"</formula>
    </cfRule>
  </conditionalFormatting>
  <conditionalFormatting sqref="AH7:AI7">
    <cfRule type="cellIs" dxfId="6659" priority="16291" operator="equal">
      <formula>1</formula>
    </cfRule>
    <cfRule type="cellIs" dxfId="6658" priority="16292" operator="equal">
      <formula>"×"</formula>
    </cfRule>
  </conditionalFormatting>
  <conditionalFormatting sqref="AH7:AI7">
    <cfRule type="cellIs" dxfId="6657" priority="16289" operator="equal">
      <formula>1</formula>
    </cfRule>
    <cfRule type="cellIs" dxfId="6656" priority="16290" operator="equal">
      <formula>"×"</formula>
    </cfRule>
  </conditionalFormatting>
  <conditionalFormatting sqref="AH7:AI7">
    <cfRule type="cellIs" dxfId="6655" priority="16287" operator="equal">
      <formula>1</formula>
    </cfRule>
    <cfRule type="cellIs" dxfId="6654" priority="16288" operator="equal">
      <formula>"×"</formula>
    </cfRule>
  </conditionalFormatting>
  <conditionalFormatting sqref="AH7:AI7">
    <cfRule type="cellIs" dxfId="6653" priority="16285" operator="equal">
      <formula>1</formula>
    </cfRule>
    <cfRule type="cellIs" dxfId="6652" priority="16286" operator="equal">
      <formula>"×"</formula>
    </cfRule>
  </conditionalFormatting>
  <conditionalFormatting sqref="AH7:AI7">
    <cfRule type="cellIs" dxfId="6651" priority="16283" operator="equal">
      <formula>1</formula>
    </cfRule>
    <cfRule type="cellIs" dxfId="6650" priority="16284" operator="equal">
      <formula>"×"</formula>
    </cfRule>
  </conditionalFormatting>
  <conditionalFormatting sqref="AH7:AI7">
    <cfRule type="cellIs" dxfId="6649" priority="16281" operator="equal">
      <formula>1</formula>
    </cfRule>
    <cfRule type="cellIs" dxfId="6648" priority="16282" operator="equal">
      <formula>"×"</formula>
    </cfRule>
  </conditionalFormatting>
  <conditionalFormatting sqref="AH7:AI7">
    <cfRule type="cellIs" dxfId="6647" priority="16279" operator="equal">
      <formula>1</formula>
    </cfRule>
    <cfRule type="cellIs" dxfId="6646" priority="16280" operator="equal">
      <formula>"×"</formula>
    </cfRule>
  </conditionalFormatting>
  <conditionalFormatting sqref="AH7:AI7">
    <cfRule type="cellIs" dxfId="6645" priority="16277" operator="equal">
      <formula>1</formula>
    </cfRule>
    <cfRule type="cellIs" dxfId="6644" priority="16278" operator="equal">
      <formula>"×"</formula>
    </cfRule>
  </conditionalFormatting>
  <conditionalFormatting sqref="AH7:AI7">
    <cfRule type="cellIs" dxfId="6643" priority="16275" operator="equal">
      <formula>1</formula>
    </cfRule>
    <cfRule type="cellIs" dxfId="6642" priority="16276" operator="equal">
      <formula>"×"</formula>
    </cfRule>
  </conditionalFormatting>
  <conditionalFormatting sqref="AH7:AI7">
    <cfRule type="cellIs" dxfId="6641" priority="16273" operator="equal">
      <formula>1</formula>
    </cfRule>
    <cfRule type="cellIs" dxfId="6640" priority="16274" operator="equal">
      <formula>"×"</formula>
    </cfRule>
  </conditionalFormatting>
  <conditionalFormatting sqref="AH7:AI7">
    <cfRule type="cellIs" dxfId="6639" priority="16271" operator="equal">
      <formula>1</formula>
    </cfRule>
    <cfRule type="cellIs" dxfId="6638" priority="16272" operator="equal">
      <formula>"×"</formula>
    </cfRule>
  </conditionalFormatting>
  <conditionalFormatting sqref="AH8">
    <cfRule type="cellIs" dxfId="6637" priority="16261" operator="equal">
      <formula>1</formula>
    </cfRule>
    <cfRule type="cellIs" dxfId="6636" priority="16262" operator="equal">
      <formula>"×"</formula>
    </cfRule>
  </conditionalFormatting>
  <conditionalFormatting sqref="AH8">
    <cfRule type="cellIs" dxfId="6635" priority="16259" operator="equal">
      <formula>1</formula>
    </cfRule>
    <cfRule type="cellIs" dxfId="6634" priority="16260" operator="equal">
      <formula>"×"</formula>
    </cfRule>
  </conditionalFormatting>
  <conditionalFormatting sqref="AH8">
    <cfRule type="cellIs" dxfId="6633" priority="16233" operator="equal">
      <formula>1</formula>
    </cfRule>
    <cfRule type="cellIs" dxfId="6632" priority="16234" operator="equal">
      <formula>"×"</formula>
    </cfRule>
  </conditionalFormatting>
  <conditionalFormatting sqref="AH8">
    <cfRule type="cellIs" dxfId="6631" priority="16231" operator="equal">
      <formula>1</formula>
    </cfRule>
    <cfRule type="cellIs" dxfId="6630" priority="16232" operator="equal">
      <formula>"×"</formula>
    </cfRule>
  </conditionalFormatting>
  <conditionalFormatting sqref="AH8">
    <cfRule type="cellIs" dxfId="6629" priority="16227" operator="equal">
      <formula>1</formula>
    </cfRule>
    <cfRule type="cellIs" dxfId="6628" priority="16228" operator="equal">
      <formula>"×"</formula>
    </cfRule>
  </conditionalFormatting>
  <conditionalFormatting sqref="AH8">
    <cfRule type="cellIs" dxfId="6627" priority="16229" operator="equal">
      <formula>1</formula>
    </cfRule>
    <cfRule type="cellIs" dxfId="6626" priority="16230" operator="equal">
      <formula>"×"</formula>
    </cfRule>
  </conditionalFormatting>
  <conditionalFormatting sqref="AH8">
    <cfRule type="cellIs" dxfId="6625" priority="16257" operator="equal">
      <formula>1</formula>
    </cfRule>
    <cfRule type="cellIs" dxfId="6624" priority="16258" operator="equal">
      <formula>"×"</formula>
    </cfRule>
  </conditionalFormatting>
  <conditionalFormatting sqref="AH8">
    <cfRule type="cellIs" dxfId="6623" priority="16255" operator="equal">
      <formula>1</formula>
    </cfRule>
    <cfRule type="cellIs" dxfId="6622" priority="16256" operator="equal">
      <formula>"×"</formula>
    </cfRule>
  </conditionalFormatting>
  <conditionalFormatting sqref="AH8">
    <cfRule type="cellIs" dxfId="6621" priority="16253" operator="equal">
      <formula>1</formula>
    </cfRule>
    <cfRule type="cellIs" dxfId="6620" priority="16254" operator="equal">
      <formula>"×"</formula>
    </cfRule>
  </conditionalFormatting>
  <conditionalFormatting sqref="AH8">
    <cfRule type="cellIs" dxfId="6619" priority="16251" operator="equal">
      <formula>1</formula>
    </cfRule>
    <cfRule type="cellIs" dxfId="6618" priority="16252" operator="equal">
      <formula>"×"</formula>
    </cfRule>
  </conditionalFormatting>
  <conditionalFormatting sqref="AH8">
    <cfRule type="cellIs" dxfId="6617" priority="16249" operator="equal">
      <formula>1</formula>
    </cfRule>
    <cfRule type="cellIs" dxfId="6616" priority="16250" operator="equal">
      <formula>"×"</formula>
    </cfRule>
  </conditionalFormatting>
  <conditionalFormatting sqref="AH8">
    <cfRule type="cellIs" dxfId="6615" priority="16247" operator="equal">
      <formula>1</formula>
    </cfRule>
    <cfRule type="cellIs" dxfId="6614" priority="16248" operator="equal">
      <formula>"×"</formula>
    </cfRule>
  </conditionalFormatting>
  <conditionalFormatting sqref="AH8">
    <cfRule type="cellIs" dxfId="6613" priority="16245" operator="equal">
      <formula>1</formula>
    </cfRule>
    <cfRule type="cellIs" dxfId="6612" priority="16246" operator="equal">
      <formula>"×"</formula>
    </cfRule>
  </conditionalFormatting>
  <conditionalFormatting sqref="AH8">
    <cfRule type="cellIs" dxfId="6611" priority="16243" operator="equal">
      <formula>1</formula>
    </cfRule>
    <cfRule type="cellIs" dxfId="6610" priority="16244" operator="equal">
      <formula>"×"</formula>
    </cfRule>
  </conditionalFormatting>
  <conditionalFormatting sqref="AH8">
    <cfRule type="cellIs" dxfId="6609" priority="16241" operator="equal">
      <formula>1</formula>
    </cfRule>
    <cfRule type="cellIs" dxfId="6608" priority="16242" operator="equal">
      <formula>"×"</formula>
    </cfRule>
  </conditionalFormatting>
  <conditionalFormatting sqref="AH8">
    <cfRule type="cellIs" dxfId="6607" priority="16239" operator="equal">
      <formula>1</formula>
    </cfRule>
    <cfRule type="cellIs" dxfId="6606" priority="16240" operator="equal">
      <formula>"×"</formula>
    </cfRule>
  </conditionalFormatting>
  <conditionalFormatting sqref="AH8">
    <cfRule type="cellIs" dxfId="6605" priority="16237" operator="equal">
      <formula>1</formula>
    </cfRule>
    <cfRule type="cellIs" dxfId="6604" priority="16238" operator="equal">
      <formula>"×"</formula>
    </cfRule>
  </conditionalFormatting>
  <conditionalFormatting sqref="AH8">
    <cfRule type="cellIs" dxfId="6603" priority="16235" operator="equal">
      <formula>1</formula>
    </cfRule>
    <cfRule type="cellIs" dxfId="6602" priority="16236" operator="equal">
      <formula>"×"</formula>
    </cfRule>
  </conditionalFormatting>
  <conditionalFormatting sqref="AG17:AH19">
    <cfRule type="cellIs" dxfId="6601" priority="16225" operator="equal">
      <formula>1</formula>
    </cfRule>
    <cfRule type="cellIs" dxfId="6600" priority="16226" operator="equal">
      <formula>"×"</formula>
    </cfRule>
  </conditionalFormatting>
  <conditionalFormatting sqref="AF13">
    <cfRule type="cellIs" dxfId="6599" priority="16207" operator="equal">
      <formula>1</formula>
    </cfRule>
    <cfRule type="cellIs" dxfId="6598" priority="16208" operator="equal">
      <formula>"×"</formula>
    </cfRule>
  </conditionalFormatting>
  <conditionalFormatting sqref="AF13">
    <cfRule type="cellIs" dxfId="6597" priority="16205" operator="equal">
      <formula>1</formula>
    </cfRule>
    <cfRule type="cellIs" dxfId="6596" priority="16206" operator="equal">
      <formula>"×"</formula>
    </cfRule>
  </conditionalFormatting>
  <conditionalFormatting sqref="AI13">
    <cfRule type="cellIs" dxfId="6595" priority="16221" operator="equal">
      <formula>1</formula>
    </cfRule>
    <cfRule type="cellIs" dxfId="6594" priority="16222" operator="equal">
      <formula>"×"</formula>
    </cfRule>
  </conditionalFormatting>
  <conditionalFormatting sqref="AF13:AI13">
    <cfRule type="cellIs" dxfId="6593" priority="16223" operator="equal">
      <formula>1</formula>
    </cfRule>
    <cfRule type="cellIs" dxfId="6592" priority="16224" operator="equal">
      <formula>"×"</formula>
    </cfRule>
  </conditionalFormatting>
  <conditionalFormatting sqref="AF13:AI14 AF17:AI19">
    <cfRule type="cellIs" dxfId="6591" priority="16219" operator="equal">
      <formula>1</formula>
    </cfRule>
    <cfRule type="cellIs" dxfId="6590" priority="16220" operator="equal">
      <formula>"×"</formula>
    </cfRule>
  </conditionalFormatting>
  <conditionalFormatting sqref="AF17">
    <cfRule type="cellIs" dxfId="6589" priority="16217" operator="equal">
      <formula>1</formula>
    </cfRule>
    <cfRule type="cellIs" dxfId="6588" priority="16218" operator="equal">
      <formula>"×"</formula>
    </cfRule>
  </conditionalFormatting>
  <conditionalFormatting sqref="AF17">
    <cfRule type="cellIs" dxfId="6587" priority="16215" operator="equal">
      <formula>1</formula>
    </cfRule>
    <cfRule type="cellIs" dxfId="6586" priority="16216" operator="equal">
      <formula>"×"</formula>
    </cfRule>
  </conditionalFormatting>
  <conditionalFormatting sqref="AF17:AI17">
    <cfRule type="cellIs" dxfId="6585" priority="16213" operator="equal">
      <formula>1</formula>
    </cfRule>
    <cfRule type="cellIs" dxfId="6584" priority="16214" operator="equal">
      <formula>"×"</formula>
    </cfRule>
  </conditionalFormatting>
  <conditionalFormatting sqref="AI17">
    <cfRule type="cellIs" dxfId="6583" priority="16211" operator="equal">
      <formula>1</formula>
    </cfRule>
    <cfRule type="cellIs" dxfId="6582" priority="16212" operator="equal">
      <formula>"×"</formula>
    </cfRule>
  </conditionalFormatting>
  <conditionalFormatting sqref="AF17:AI17">
    <cfRule type="cellIs" dxfId="6581" priority="16209" operator="equal">
      <formula>1</formula>
    </cfRule>
    <cfRule type="cellIs" dxfId="6580" priority="16210" operator="equal">
      <formula>"×"</formula>
    </cfRule>
  </conditionalFormatting>
  <conditionalFormatting sqref="AF17:AI17">
    <cfRule type="cellIs" dxfId="6579" priority="16203" operator="equal">
      <formula>1</formula>
    </cfRule>
    <cfRule type="cellIs" dxfId="6578" priority="16204" operator="equal">
      <formula>"×"</formula>
    </cfRule>
  </conditionalFormatting>
  <conditionalFormatting sqref="AI17">
    <cfRule type="cellIs" dxfId="6577" priority="16201" operator="equal">
      <formula>1</formula>
    </cfRule>
    <cfRule type="cellIs" dxfId="6576" priority="16202" operator="equal">
      <formula>"×"</formula>
    </cfRule>
  </conditionalFormatting>
  <conditionalFormatting sqref="AF17:AI17">
    <cfRule type="cellIs" dxfId="6575" priority="16199" operator="equal">
      <formula>1</formula>
    </cfRule>
    <cfRule type="cellIs" dxfId="6574" priority="16200" operator="equal">
      <formula>"×"</formula>
    </cfRule>
  </conditionalFormatting>
  <conditionalFormatting sqref="AF17:AI17">
    <cfRule type="cellIs" dxfId="6573" priority="16197" operator="equal">
      <formula>1</formula>
    </cfRule>
    <cfRule type="cellIs" dxfId="6572" priority="16198" operator="equal">
      <formula>"×"</formula>
    </cfRule>
  </conditionalFormatting>
  <conditionalFormatting sqref="AI17">
    <cfRule type="cellIs" dxfId="6571" priority="16195" operator="equal">
      <formula>1</formula>
    </cfRule>
    <cfRule type="cellIs" dxfId="6570" priority="16196" operator="equal">
      <formula>"×"</formula>
    </cfRule>
  </conditionalFormatting>
  <conditionalFormatting sqref="AF18">
    <cfRule type="cellIs" dxfId="6569" priority="16193" operator="equal">
      <formula>1</formula>
    </cfRule>
    <cfRule type="cellIs" dxfId="6568" priority="16194" operator="equal">
      <formula>"×"</formula>
    </cfRule>
  </conditionalFormatting>
  <conditionalFormatting sqref="AF13:AF14 AF17:AF19">
    <cfRule type="cellIs" dxfId="6567" priority="16191" operator="equal">
      <formula>1</formula>
    </cfRule>
    <cfRule type="cellIs" dxfId="6566" priority="16192" operator="equal">
      <formula>"×"</formula>
    </cfRule>
  </conditionalFormatting>
  <conditionalFormatting sqref="AF13:AF14 AF17:AF19">
    <cfRule type="cellIs" dxfId="6565" priority="16189" operator="equal">
      <formula>1</formula>
    </cfRule>
    <cfRule type="cellIs" dxfId="6564" priority="16190" operator="equal">
      <formula>"×"</formula>
    </cfRule>
  </conditionalFormatting>
  <conditionalFormatting sqref="AF13:AF14 AF17:AF19">
    <cfRule type="cellIs" dxfId="6563" priority="16187" operator="equal">
      <formula>1</formula>
    </cfRule>
    <cfRule type="cellIs" dxfId="6562" priority="16188" operator="equal">
      <formula>"×"</formula>
    </cfRule>
  </conditionalFormatting>
  <conditionalFormatting sqref="AF13:AF14 AF17:AF19">
    <cfRule type="cellIs" dxfId="6561" priority="16185" operator="equal">
      <formula>1</formula>
    </cfRule>
    <cfRule type="cellIs" dxfId="6560" priority="16186" operator="equal">
      <formula>"×"</formula>
    </cfRule>
  </conditionalFormatting>
  <conditionalFormatting sqref="AF13:AF14 AF17:AF19">
    <cfRule type="cellIs" dxfId="6559" priority="16183" operator="equal">
      <formula>1</formula>
    </cfRule>
    <cfRule type="cellIs" dxfId="6558" priority="16184" operator="equal">
      <formula>"×"</formula>
    </cfRule>
  </conditionalFormatting>
  <conditionalFormatting sqref="AF13:AF14 AF17:AF19">
    <cfRule type="cellIs" dxfId="6557" priority="16181" operator="equal">
      <formula>1</formula>
    </cfRule>
    <cfRule type="cellIs" dxfId="6556" priority="16182" operator="equal">
      <formula>"×"</formula>
    </cfRule>
  </conditionalFormatting>
  <conditionalFormatting sqref="AG17:AI19">
    <cfRule type="cellIs" dxfId="6555" priority="16179" operator="equal">
      <formula>1</formula>
    </cfRule>
    <cfRule type="cellIs" dxfId="6554" priority="16180" operator="equal">
      <formula>"×"</formula>
    </cfRule>
  </conditionalFormatting>
  <conditionalFormatting sqref="AI17:AI19">
    <cfRule type="cellIs" dxfId="6553" priority="16177" operator="equal">
      <formula>1</formula>
    </cfRule>
    <cfRule type="cellIs" dxfId="6552" priority="16178" operator="equal">
      <formula>"×"</formula>
    </cfRule>
  </conditionalFormatting>
  <conditionalFormatting sqref="AG17:AI19">
    <cfRule type="cellIs" dxfId="6551" priority="16175" operator="equal">
      <formula>1</formula>
    </cfRule>
    <cfRule type="cellIs" dxfId="6550" priority="16176" operator="equal">
      <formula>"×"</formula>
    </cfRule>
  </conditionalFormatting>
  <conditionalFormatting sqref="AG17:AI19">
    <cfRule type="cellIs" dxfId="6549" priority="16173" operator="equal">
      <formula>1</formula>
    </cfRule>
    <cfRule type="cellIs" dxfId="6548" priority="16174" operator="equal">
      <formula>"×"</formula>
    </cfRule>
  </conditionalFormatting>
  <conditionalFormatting sqref="AI17:AI19">
    <cfRule type="cellIs" dxfId="6547" priority="16171" operator="equal">
      <formula>1</formula>
    </cfRule>
    <cfRule type="cellIs" dxfId="6546" priority="16172" operator="equal">
      <formula>"×"</formula>
    </cfRule>
  </conditionalFormatting>
  <conditionalFormatting sqref="AG17:AI19">
    <cfRule type="cellIs" dxfId="6545" priority="16169" operator="equal">
      <formula>1</formula>
    </cfRule>
    <cfRule type="cellIs" dxfId="6544" priority="16170" operator="equal">
      <formula>"×"</formula>
    </cfRule>
  </conditionalFormatting>
  <conditionalFormatting sqref="AF13:AF14 AF17:AF19">
    <cfRule type="cellIs" dxfId="6543" priority="16167" operator="equal">
      <formula>1</formula>
    </cfRule>
    <cfRule type="cellIs" dxfId="6542" priority="16168" operator="equal">
      <formula>"×"</formula>
    </cfRule>
  </conditionalFormatting>
  <conditionalFormatting sqref="AF13:AF14 AF17:AF19">
    <cfRule type="cellIs" dxfId="6541" priority="16165" operator="equal">
      <formula>1</formula>
    </cfRule>
    <cfRule type="cellIs" dxfId="6540" priority="16166" operator="equal">
      <formula>"×"</formula>
    </cfRule>
  </conditionalFormatting>
  <conditionalFormatting sqref="AF13:AF14 AF17:AF19">
    <cfRule type="cellIs" dxfId="6539" priority="16163" operator="equal">
      <formula>1</formula>
    </cfRule>
    <cfRule type="cellIs" dxfId="6538" priority="16164" operator="equal">
      <formula>"×"</formula>
    </cfRule>
  </conditionalFormatting>
  <conditionalFormatting sqref="AF13:AF14 AF17:AF19">
    <cfRule type="cellIs" dxfId="6537" priority="16161" operator="equal">
      <formula>1</formula>
    </cfRule>
    <cfRule type="cellIs" dxfId="6536" priority="16162" operator="equal">
      <formula>"×"</formula>
    </cfRule>
  </conditionalFormatting>
  <conditionalFormatting sqref="AF13:AF14 AF17:AF19">
    <cfRule type="cellIs" dxfId="6535" priority="16159" operator="equal">
      <formula>1</formula>
    </cfRule>
    <cfRule type="cellIs" dxfId="6534" priority="16160" operator="equal">
      <formula>"×"</formula>
    </cfRule>
  </conditionalFormatting>
  <conditionalFormatting sqref="AF13:AF14 AF17:AF19">
    <cfRule type="cellIs" dxfId="6533" priority="16157" operator="equal">
      <formula>1</formula>
    </cfRule>
    <cfRule type="cellIs" dxfId="6532" priority="16158" operator="equal">
      <formula>"×"</formula>
    </cfRule>
  </conditionalFormatting>
  <conditionalFormatting sqref="AF13:AF14 AF17:AF19">
    <cfRule type="cellIs" dxfId="6531" priority="16155" operator="equal">
      <formula>1</formula>
    </cfRule>
    <cfRule type="cellIs" dxfId="6530" priority="16156" operator="equal">
      <formula>"×"</formula>
    </cfRule>
  </conditionalFormatting>
  <conditionalFormatting sqref="AG17:AI19">
    <cfRule type="cellIs" dxfId="6529" priority="16153" operator="equal">
      <formula>1</formula>
    </cfRule>
    <cfRule type="cellIs" dxfId="6528" priority="16154" operator="equal">
      <formula>"×"</formula>
    </cfRule>
  </conditionalFormatting>
  <conditionalFormatting sqref="AG17:AI19">
    <cfRule type="cellIs" dxfId="6527" priority="16149" operator="equal">
      <formula>1</formula>
    </cfRule>
    <cfRule type="cellIs" dxfId="6526" priority="16150" operator="equal">
      <formula>"×"</formula>
    </cfRule>
  </conditionalFormatting>
  <conditionalFormatting sqref="AI17:AI19">
    <cfRule type="cellIs" dxfId="6525" priority="16151" operator="equal">
      <formula>1</formula>
    </cfRule>
    <cfRule type="cellIs" dxfId="6524" priority="16152" operator="equal">
      <formula>"×"</formula>
    </cfRule>
  </conditionalFormatting>
  <conditionalFormatting sqref="AG17:AI19">
    <cfRule type="cellIs" dxfId="6523" priority="16147" operator="equal">
      <formula>1</formula>
    </cfRule>
    <cfRule type="cellIs" dxfId="6522" priority="16148" operator="equal">
      <formula>"×"</formula>
    </cfRule>
  </conditionalFormatting>
  <conditionalFormatting sqref="AI17:AI19">
    <cfRule type="cellIs" dxfId="6521" priority="16145" operator="equal">
      <formula>1</formula>
    </cfRule>
    <cfRule type="cellIs" dxfId="6520" priority="16146" operator="equal">
      <formula>"×"</formula>
    </cfRule>
  </conditionalFormatting>
  <conditionalFormatting sqref="AG17:AI19">
    <cfRule type="cellIs" dxfId="6519" priority="16143" operator="equal">
      <formula>1</formula>
    </cfRule>
    <cfRule type="cellIs" dxfId="6518" priority="16144" operator="equal">
      <formula>"×"</formula>
    </cfRule>
  </conditionalFormatting>
  <conditionalFormatting sqref="AI17:AI19">
    <cfRule type="cellIs" dxfId="6517" priority="16141" operator="equal">
      <formula>1</formula>
    </cfRule>
    <cfRule type="cellIs" dxfId="6516" priority="16142" operator="equal">
      <formula>"×"</formula>
    </cfRule>
  </conditionalFormatting>
  <conditionalFormatting sqref="AI17:AI19">
    <cfRule type="cellIs" dxfId="6515" priority="16139" operator="equal">
      <formula>1</formula>
    </cfRule>
    <cfRule type="cellIs" dxfId="6514" priority="16140" operator="equal">
      <formula>"×"</formula>
    </cfRule>
  </conditionalFormatting>
  <conditionalFormatting sqref="AI17:AI19">
    <cfRule type="cellIs" dxfId="6513" priority="16137" operator="equal">
      <formula>1</formula>
    </cfRule>
    <cfRule type="cellIs" dxfId="6512" priority="16138" operator="equal">
      <formula>"×"</formula>
    </cfRule>
  </conditionalFormatting>
  <conditionalFormatting sqref="AI17:AI19">
    <cfRule type="cellIs" dxfId="6511" priority="16135" operator="equal">
      <formula>1</formula>
    </cfRule>
    <cfRule type="cellIs" dxfId="6510" priority="16136" operator="equal">
      <formula>"×"</formula>
    </cfRule>
  </conditionalFormatting>
  <conditionalFormatting sqref="AI17:AI19">
    <cfRule type="cellIs" dxfId="6509" priority="16133" operator="equal">
      <formula>1</formula>
    </cfRule>
    <cfRule type="cellIs" dxfId="6508" priority="16134" operator="equal">
      <formula>"×"</formula>
    </cfRule>
  </conditionalFormatting>
  <conditionalFormatting sqref="AI17:AI19">
    <cfRule type="cellIs" dxfId="6507" priority="16131" operator="equal">
      <formula>1</formula>
    </cfRule>
    <cfRule type="cellIs" dxfId="6506" priority="16132" operator="equal">
      <formula>"×"</formula>
    </cfRule>
  </conditionalFormatting>
  <conditionalFormatting sqref="AF17:AI17">
    <cfRule type="cellIs" dxfId="6505" priority="16107" operator="equal">
      <formula>1</formula>
    </cfRule>
    <cfRule type="cellIs" dxfId="6504" priority="16108" operator="equal">
      <formula>"×"</formula>
    </cfRule>
  </conditionalFormatting>
  <conditionalFormatting sqref="AI17">
    <cfRule type="cellIs" dxfId="6503" priority="16105" operator="equal">
      <formula>1</formula>
    </cfRule>
    <cfRule type="cellIs" dxfId="6502" priority="16106" operator="equal">
      <formula>"×"</formula>
    </cfRule>
  </conditionalFormatting>
  <conditionalFormatting sqref="AF17:AI17">
    <cfRule type="cellIs" dxfId="6501" priority="16103" operator="equal">
      <formula>1</formula>
    </cfRule>
    <cfRule type="cellIs" dxfId="6500" priority="16104" operator="equal">
      <formula>"×"</formula>
    </cfRule>
  </conditionalFormatting>
  <conditionalFormatting sqref="AF17">
    <cfRule type="cellIs" dxfId="6499" priority="16129" operator="equal">
      <formula>1</formula>
    </cfRule>
    <cfRule type="cellIs" dxfId="6498" priority="16130" operator="equal">
      <formula>"×"</formula>
    </cfRule>
  </conditionalFormatting>
  <conditionalFormatting sqref="AF17">
    <cfRule type="cellIs" dxfId="6497" priority="16127" operator="equal">
      <formula>1</formula>
    </cfRule>
    <cfRule type="cellIs" dxfId="6496" priority="16128" operator="equal">
      <formula>"×"</formula>
    </cfRule>
  </conditionalFormatting>
  <conditionalFormatting sqref="AF13:AF14 AF17:AF19">
    <cfRule type="cellIs" dxfId="6495" priority="16125" operator="equal">
      <formula>1</formula>
    </cfRule>
    <cfRule type="cellIs" dxfId="6494" priority="16126" operator="equal">
      <formula>"×"</formula>
    </cfRule>
  </conditionalFormatting>
  <conditionalFormatting sqref="AF13:AF14 AF17:AF19">
    <cfRule type="cellIs" dxfId="6493" priority="16123" operator="equal">
      <formula>1</formula>
    </cfRule>
    <cfRule type="cellIs" dxfId="6492" priority="16124" operator="equal">
      <formula>"×"</formula>
    </cfRule>
  </conditionalFormatting>
  <conditionalFormatting sqref="AF17">
    <cfRule type="cellIs" dxfId="6491" priority="16121" operator="equal">
      <formula>1</formula>
    </cfRule>
    <cfRule type="cellIs" dxfId="6490" priority="16122" operator="equal">
      <formula>"×"</formula>
    </cfRule>
  </conditionalFormatting>
  <conditionalFormatting sqref="AF13:AF14 AF17:AI19">
    <cfRule type="cellIs" dxfId="6489" priority="16117" operator="equal">
      <formula>1</formula>
    </cfRule>
    <cfRule type="cellIs" dxfId="6488" priority="16118" operator="equal">
      <formula>"×"</formula>
    </cfRule>
  </conditionalFormatting>
  <conditionalFormatting sqref="AI18">
    <cfRule type="cellIs" dxfId="6487" priority="16115" operator="equal">
      <formula>1</formula>
    </cfRule>
    <cfRule type="cellIs" dxfId="6486" priority="16116" operator="equal">
      <formula>"×"</formula>
    </cfRule>
  </conditionalFormatting>
  <conditionalFormatting sqref="AF13:AF14 AF17:AI19">
    <cfRule type="cellIs" dxfId="6485" priority="16113" operator="equal">
      <formula>1</formula>
    </cfRule>
    <cfRule type="cellIs" dxfId="6484" priority="16114" operator="equal">
      <formula>"×"</formula>
    </cfRule>
  </conditionalFormatting>
  <conditionalFormatting sqref="AF17">
    <cfRule type="cellIs" dxfId="6483" priority="16111" operator="equal">
      <formula>1</formula>
    </cfRule>
    <cfRule type="cellIs" dxfId="6482" priority="16112" operator="equal">
      <formula>"×"</formula>
    </cfRule>
  </conditionalFormatting>
  <conditionalFormatting sqref="AF17">
    <cfRule type="cellIs" dxfId="6481" priority="16109" operator="equal">
      <formula>1</formula>
    </cfRule>
    <cfRule type="cellIs" dxfId="6480" priority="16110" operator="equal">
      <formula>"×"</formula>
    </cfRule>
  </conditionalFormatting>
  <conditionalFormatting sqref="AF13:AF14 AF17:AI19">
    <cfRule type="cellIs" dxfId="6479" priority="16101" operator="equal">
      <formula>1</formula>
    </cfRule>
    <cfRule type="cellIs" dxfId="6478" priority="16102" operator="equal">
      <formula>"×"</formula>
    </cfRule>
  </conditionalFormatting>
  <conditionalFormatting sqref="AI18">
    <cfRule type="cellIs" dxfId="6477" priority="16099" operator="equal">
      <formula>1</formula>
    </cfRule>
    <cfRule type="cellIs" dxfId="6476" priority="16100" operator="equal">
      <formula>"×"</formula>
    </cfRule>
  </conditionalFormatting>
  <conditionalFormatting sqref="AF13:AF14 AF17:AI19">
    <cfRule type="cellIs" dxfId="6475" priority="16097" operator="equal">
      <formula>1</formula>
    </cfRule>
    <cfRule type="cellIs" dxfId="6474" priority="16098" operator="equal">
      <formula>"×"</formula>
    </cfRule>
  </conditionalFormatting>
  <conditionalFormatting sqref="AF13:AF14 AF17:AI19">
    <cfRule type="cellIs" dxfId="6473" priority="16095" operator="equal">
      <formula>1</formula>
    </cfRule>
    <cfRule type="cellIs" dxfId="6472" priority="16096" operator="equal">
      <formula>"×"</formula>
    </cfRule>
  </conditionalFormatting>
  <conditionalFormatting sqref="AI18">
    <cfRule type="cellIs" dxfId="6471" priority="16093" operator="equal">
      <formula>1</formula>
    </cfRule>
    <cfRule type="cellIs" dxfId="6470" priority="16094" operator="equal">
      <formula>"×"</formula>
    </cfRule>
  </conditionalFormatting>
  <conditionalFormatting sqref="AF17">
    <cfRule type="cellIs" dxfId="6469" priority="16091" operator="equal">
      <formula>1</formula>
    </cfRule>
    <cfRule type="cellIs" dxfId="6468" priority="16092" operator="equal">
      <formula>"×"</formula>
    </cfRule>
  </conditionalFormatting>
  <conditionalFormatting sqref="AF17">
    <cfRule type="cellIs" dxfId="6467" priority="16087" operator="equal">
      <formula>1</formula>
    </cfRule>
    <cfRule type="cellIs" dxfId="6466" priority="16088" operator="equal">
      <formula>"×"</formula>
    </cfRule>
  </conditionalFormatting>
  <conditionalFormatting sqref="AF17">
    <cfRule type="cellIs" dxfId="6465" priority="16089" operator="equal">
      <formula>1</formula>
    </cfRule>
    <cfRule type="cellIs" dxfId="6464" priority="16090" operator="equal">
      <formula>"×"</formula>
    </cfRule>
  </conditionalFormatting>
  <conditionalFormatting sqref="AF17">
    <cfRule type="cellIs" dxfId="6463" priority="16085" operator="equal">
      <formula>1</formula>
    </cfRule>
    <cfRule type="cellIs" dxfId="6462" priority="16086" operator="equal">
      <formula>"×"</formula>
    </cfRule>
  </conditionalFormatting>
  <conditionalFormatting sqref="AF17">
    <cfRule type="cellIs" dxfId="6461" priority="16083" operator="equal">
      <formula>1</formula>
    </cfRule>
    <cfRule type="cellIs" dxfId="6460" priority="16084" operator="equal">
      <formula>"×"</formula>
    </cfRule>
  </conditionalFormatting>
  <conditionalFormatting sqref="AF17">
    <cfRule type="cellIs" dxfId="6459" priority="16081" operator="equal">
      <formula>1</formula>
    </cfRule>
    <cfRule type="cellIs" dxfId="6458" priority="16082" operator="equal">
      <formula>"×"</formula>
    </cfRule>
  </conditionalFormatting>
  <conditionalFormatting sqref="AF17">
    <cfRule type="cellIs" dxfId="6457" priority="16079" operator="equal">
      <formula>1</formula>
    </cfRule>
    <cfRule type="cellIs" dxfId="6456" priority="16080" operator="equal">
      <formula>"×"</formula>
    </cfRule>
  </conditionalFormatting>
  <conditionalFormatting sqref="AH16:AI16">
    <cfRule type="cellIs" dxfId="6455" priority="16077" operator="equal">
      <formula>1</formula>
    </cfRule>
    <cfRule type="cellIs" dxfId="6454" priority="16078" operator="equal">
      <formula>"×"</formula>
    </cfRule>
  </conditionalFormatting>
  <conditionalFormatting sqref="AI16">
    <cfRule type="cellIs" dxfId="6453" priority="16075" operator="equal">
      <formula>1</formula>
    </cfRule>
    <cfRule type="cellIs" dxfId="6452" priority="16076" operator="equal">
      <formula>"×"</formula>
    </cfRule>
  </conditionalFormatting>
  <conditionalFormatting sqref="AH16:AI16">
    <cfRule type="cellIs" dxfId="6451" priority="16073" operator="equal">
      <formula>1</formula>
    </cfRule>
    <cfRule type="cellIs" dxfId="6450" priority="16074" operator="equal">
      <formula>"×"</formula>
    </cfRule>
  </conditionalFormatting>
  <conditionalFormatting sqref="AH16:AI16">
    <cfRule type="cellIs" dxfId="6449" priority="16071" operator="equal">
      <formula>1</formula>
    </cfRule>
    <cfRule type="cellIs" dxfId="6448" priority="16072" operator="equal">
      <formula>"×"</formula>
    </cfRule>
  </conditionalFormatting>
  <conditionalFormatting sqref="AI16">
    <cfRule type="cellIs" dxfId="6447" priority="16069" operator="equal">
      <formula>1</formula>
    </cfRule>
    <cfRule type="cellIs" dxfId="6446" priority="16070" operator="equal">
      <formula>"×"</formula>
    </cfRule>
  </conditionalFormatting>
  <conditionalFormatting sqref="AH16:AI16">
    <cfRule type="cellIs" dxfId="6445" priority="16067" operator="equal">
      <formula>1</formula>
    </cfRule>
    <cfRule type="cellIs" dxfId="6444" priority="16068" operator="equal">
      <formula>"×"</formula>
    </cfRule>
  </conditionalFormatting>
  <conditionalFormatting sqref="AF13:AG13">
    <cfRule type="cellIs" dxfId="6443" priority="16039" operator="equal">
      <formula>1</formula>
    </cfRule>
    <cfRule type="cellIs" dxfId="6442" priority="16040" operator="equal">
      <formula>"×"</formula>
    </cfRule>
  </conditionalFormatting>
  <conditionalFormatting sqref="AF13:AG13">
    <cfRule type="cellIs" dxfId="6441" priority="16035" operator="equal">
      <formula>1</formula>
    </cfRule>
    <cfRule type="cellIs" dxfId="6440" priority="16036" operator="equal">
      <formula>"×"</formula>
    </cfRule>
  </conditionalFormatting>
  <conditionalFormatting sqref="AF13:AG13">
    <cfRule type="cellIs" dxfId="6439" priority="16037" operator="equal">
      <formula>1</formula>
    </cfRule>
    <cfRule type="cellIs" dxfId="6438" priority="16038" operator="equal">
      <formula>"×"</formula>
    </cfRule>
  </conditionalFormatting>
  <conditionalFormatting sqref="AF13:AG13">
    <cfRule type="cellIs" dxfId="6437" priority="16065" operator="equal">
      <formula>1</formula>
    </cfRule>
    <cfRule type="cellIs" dxfId="6436" priority="16066" operator="equal">
      <formula>"×"</formula>
    </cfRule>
  </conditionalFormatting>
  <conditionalFormatting sqref="AF13:AG13">
    <cfRule type="cellIs" dxfId="6435" priority="16063" operator="equal">
      <formula>1</formula>
    </cfRule>
    <cfRule type="cellIs" dxfId="6434" priority="16064" operator="equal">
      <formula>"×"</formula>
    </cfRule>
  </conditionalFormatting>
  <conditionalFormatting sqref="AF13:AG13">
    <cfRule type="cellIs" dxfId="6433" priority="16061" operator="equal">
      <formula>1</formula>
    </cfRule>
    <cfRule type="cellIs" dxfId="6432" priority="16062" operator="equal">
      <formula>"×"</formula>
    </cfRule>
  </conditionalFormatting>
  <conditionalFormatting sqref="AF13:AG13">
    <cfRule type="cellIs" dxfId="6431" priority="16059" operator="equal">
      <formula>1</formula>
    </cfRule>
    <cfRule type="cellIs" dxfId="6430" priority="16060" operator="equal">
      <formula>"×"</formula>
    </cfRule>
  </conditionalFormatting>
  <conditionalFormatting sqref="AF13:AG13">
    <cfRule type="cellIs" dxfId="6429" priority="16057" operator="equal">
      <formula>1</formula>
    </cfRule>
    <cfRule type="cellIs" dxfId="6428" priority="16058" operator="equal">
      <formula>"×"</formula>
    </cfRule>
  </conditionalFormatting>
  <conditionalFormatting sqref="AF13:AG13">
    <cfRule type="cellIs" dxfId="6427" priority="16055" operator="equal">
      <formula>1</formula>
    </cfRule>
    <cfRule type="cellIs" dxfId="6426" priority="16056" operator="equal">
      <formula>"×"</formula>
    </cfRule>
  </conditionalFormatting>
  <conditionalFormatting sqref="AF13:AG13">
    <cfRule type="cellIs" dxfId="6425" priority="16053" operator="equal">
      <formula>1</formula>
    </cfRule>
    <cfRule type="cellIs" dxfId="6424" priority="16054" operator="equal">
      <formula>"×"</formula>
    </cfRule>
  </conditionalFormatting>
  <conditionalFormatting sqref="AF13:AG13">
    <cfRule type="cellIs" dxfId="6423" priority="16051" operator="equal">
      <formula>1</formula>
    </cfRule>
    <cfRule type="cellIs" dxfId="6422" priority="16052" operator="equal">
      <formula>"×"</formula>
    </cfRule>
  </conditionalFormatting>
  <conditionalFormatting sqref="AF13:AG13">
    <cfRule type="cellIs" dxfId="6421" priority="16049" operator="equal">
      <formula>1</formula>
    </cfRule>
    <cfRule type="cellIs" dxfId="6420" priority="16050" operator="equal">
      <formula>"×"</formula>
    </cfRule>
  </conditionalFormatting>
  <conditionalFormatting sqref="AF13:AG13">
    <cfRule type="cellIs" dxfId="6419" priority="16047" operator="equal">
      <formula>1</formula>
    </cfRule>
    <cfRule type="cellIs" dxfId="6418" priority="16048" operator="equal">
      <formula>"×"</formula>
    </cfRule>
  </conditionalFormatting>
  <conditionalFormatting sqref="AF13:AG13">
    <cfRule type="cellIs" dxfId="6417" priority="16045" operator="equal">
      <formula>1</formula>
    </cfRule>
    <cfRule type="cellIs" dxfId="6416" priority="16046" operator="equal">
      <formula>"×"</formula>
    </cfRule>
  </conditionalFormatting>
  <conditionalFormatting sqref="AF13:AG13">
    <cfRule type="cellIs" dxfId="6415" priority="16043" operator="equal">
      <formula>1</formula>
    </cfRule>
    <cfRule type="cellIs" dxfId="6414" priority="16044" operator="equal">
      <formula>"×"</formula>
    </cfRule>
  </conditionalFormatting>
  <conditionalFormatting sqref="AH13:AI13">
    <cfRule type="cellIs" dxfId="6413" priority="16009" operator="equal">
      <formula>1</formula>
    </cfRule>
    <cfRule type="cellIs" dxfId="6412" priority="16010" operator="equal">
      <formula>"×"</formula>
    </cfRule>
  </conditionalFormatting>
  <conditionalFormatting sqref="AH13:AI13">
    <cfRule type="cellIs" dxfId="6411" priority="16007" operator="equal">
      <formula>1</formula>
    </cfRule>
    <cfRule type="cellIs" dxfId="6410" priority="16008" operator="equal">
      <formula>"×"</formula>
    </cfRule>
  </conditionalFormatting>
  <conditionalFormatting sqref="AH13:AI13">
    <cfRule type="cellIs" dxfId="6409" priority="16003" operator="equal">
      <formula>1</formula>
    </cfRule>
    <cfRule type="cellIs" dxfId="6408" priority="16004" operator="equal">
      <formula>"×"</formula>
    </cfRule>
  </conditionalFormatting>
  <conditionalFormatting sqref="AH13:AI13">
    <cfRule type="cellIs" dxfId="6407" priority="16005" operator="equal">
      <formula>1</formula>
    </cfRule>
    <cfRule type="cellIs" dxfId="6406" priority="16006" operator="equal">
      <formula>"×"</formula>
    </cfRule>
  </conditionalFormatting>
  <conditionalFormatting sqref="AH13:AI13">
    <cfRule type="cellIs" dxfId="6405" priority="16033" operator="equal">
      <formula>1</formula>
    </cfRule>
    <cfRule type="cellIs" dxfId="6404" priority="16034" operator="equal">
      <formula>"×"</formula>
    </cfRule>
  </conditionalFormatting>
  <conditionalFormatting sqref="AH13:AI13">
    <cfRule type="cellIs" dxfId="6403" priority="16031" operator="equal">
      <formula>1</formula>
    </cfRule>
    <cfRule type="cellIs" dxfId="6402" priority="16032" operator="equal">
      <formula>"×"</formula>
    </cfRule>
  </conditionalFormatting>
  <conditionalFormatting sqref="AH13:AI13">
    <cfRule type="cellIs" dxfId="6401" priority="16029" operator="equal">
      <formula>1</formula>
    </cfRule>
    <cfRule type="cellIs" dxfId="6400" priority="16030" operator="equal">
      <formula>"×"</formula>
    </cfRule>
  </conditionalFormatting>
  <conditionalFormatting sqref="AH13:AI13">
    <cfRule type="cellIs" dxfId="6399" priority="16027" operator="equal">
      <formula>1</formula>
    </cfRule>
    <cfRule type="cellIs" dxfId="6398" priority="16028" operator="equal">
      <formula>"×"</formula>
    </cfRule>
  </conditionalFormatting>
  <conditionalFormatting sqref="AH13:AI13">
    <cfRule type="cellIs" dxfId="6397" priority="16023" operator="equal">
      <formula>1</formula>
    </cfRule>
    <cfRule type="cellIs" dxfId="6396" priority="16024" operator="equal">
      <formula>"×"</formula>
    </cfRule>
  </conditionalFormatting>
  <conditionalFormatting sqref="AH13:AI13">
    <cfRule type="cellIs" dxfId="6395" priority="16021" operator="equal">
      <formula>1</formula>
    </cfRule>
    <cfRule type="cellIs" dxfId="6394" priority="16022" operator="equal">
      <formula>"×"</formula>
    </cfRule>
  </conditionalFormatting>
  <conditionalFormatting sqref="AH13:AI13">
    <cfRule type="cellIs" dxfId="6393" priority="16017" operator="equal">
      <formula>1</formula>
    </cfRule>
    <cfRule type="cellIs" dxfId="6392" priority="16018" operator="equal">
      <formula>"×"</formula>
    </cfRule>
  </conditionalFormatting>
  <conditionalFormatting sqref="AH13:AI13">
    <cfRule type="cellIs" dxfId="6391" priority="16015" operator="equal">
      <formula>1</formula>
    </cfRule>
    <cfRule type="cellIs" dxfId="6390" priority="16016" operator="equal">
      <formula>"×"</formula>
    </cfRule>
  </conditionalFormatting>
  <conditionalFormatting sqref="AH13:AI13">
    <cfRule type="cellIs" dxfId="6389" priority="16013" operator="equal">
      <formula>1</formula>
    </cfRule>
    <cfRule type="cellIs" dxfId="6388" priority="16014" operator="equal">
      <formula>"×"</formula>
    </cfRule>
  </conditionalFormatting>
  <conditionalFormatting sqref="AH13:AI13">
    <cfRule type="cellIs" dxfId="6387" priority="16011" operator="equal">
      <formula>1</formula>
    </cfRule>
    <cfRule type="cellIs" dxfId="6386" priority="16012" operator="equal">
      <formula>"×"</formula>
    </cfRule>
  </conditionalFormatting>
  <conditionalFormatting sqref="AH14">
    <cfRule type="cellIs" dxfId="6385" priority="16001" operator="equal">
      <formula>1</formula>
    </cfRule>
    <cfRule type="cellIs" dxfId="6384" priority="16002" operator="equal">
      <formula>"×"</formula>
    </cfRule>
  </conditionalFormatting>
  <conditionalFormatting sqref="AH14">
    <cfRule type="cellIs" dxfId="6383" priority="15999" operator="equal">
      <formula>1</formula>
    </cfRule>
    <cfRule type="cellIs" dxfId="6382" priority="16000" operator="equal">
      <formula>"×"</formula>
    </cfRule>
  </conditionalFormatting>
  <conditionalFormatting sqref="AH14">
    <cfRule type="cellIs" dxfId="6381" priority="15973" operator="equal">
      <formula>1</formula>
    </cfRule>
    <cfRule type="cellIs" dxfId="6380" priority="15974" operator="equal">
      <formula>"×"</formula>
    </cfRule>
  </conditionalFormatting>
  <conditionalFormatting sqref="AH14">
    <cfRule type="cellIs" dxfId="6379" priority="15971" operator="equal">
      <formula>1</formula>
    </cfRule>
    <cfRule type="cellIs" dxfId="6378" priority="15972" operator="equal">
      <formula>"×"</formula>
    </cfRule>
  </conditionalFormatting>
  <conditionalFormatting sqref="AH14">
    <cfRule type="cellIs" dxfId="6377" priority="15967" operator="equal">
      <formula>1</formula>
    </cfRule>
    <cfRule type="cellIs" dxfId="6376" priority="15968" operator="equal">
      <formula>"×"</formula>
    </cfRule>
  </conditionalFormatting>
  <conditionalFormatting sqref="AH14">
    <cfRule type="cellIs" dxfId="6375" priority="15969" operator="equal">
      <formula>1</formula>
    </cfRule>
    <cfRule type="cellIs" dxfId="6374" priority="15970" operator="equal">
      <formula>"×"</formula>
    </cfRule>
  </conditionalFormatting>
  <conditionalFormatting sqref="AH14">
    <cfRule type="cellIs" dxfId="6373" priority="15997" operator="equal">
      <formula>1</formula>
    </cfRule>
    <cfRule type="cellIs" dxfId="6372" priority="15998" operator="equal">
      <formula>"×"</formula>
    </cfRule>
  </conditionalFormatting>
  <conditionalFormatting sqref="AH14">
    <cfRule type="cellIs" dxfId="6371" priority="15995" operator="equal">
      <formula>1</formula>
    </cfRule>
    <cfRule type="cellIs" dxfId="6370" priority="15996" operator="equal">
      <formula>"×"</formula>
    </cfRule>
  </conditionalFormatting>
  <conditionalFormatting sqref="AH14">
    <cfRule type="cellIs" dxfId="6369" priority="15993" operator="equal">
      <formula>1</formula>
    </cfRule>
    <cfRule type="cellIs" dxfId="6368" priority="15994" operator="equal">
      <formula>"×"</formula>
    </cfRule>
  </conditionalFormatting>
  <conditionalFormatting sqref="AH14">
    <cfRule type="cellIs" dxfId="6367" priority="15991" operator="equal">
      <formula>1</formula>
    </cfRule>
    <cfRule type="cellIs" dxfId="6366" priority="15992" operator="equal">
      <formula>"×"</formula>
    </cfRule>
  </conditionalFormatting>
  <conditionalFormatting sqref="AH14">
    <cfRule type="cellIs" dxfId="6365" priority="15989" operator="equal">
      <formula>1</formula>
    </cfRule>
    <cfRule type="cellIs" dxfId="6364" priority="15990" operator="equal">
      <formula>"×"</formula>
    </cfRule>
  </conditionalFormatting>
  <conditionalFormatting sqref="AH14">
    <cfRule type="cellIs" dxfId="6363" priority="15987" operator="equal">
      <formula>1</formula>
    </cfRule>
    <cfRule type="cellIs" dxfId="6362" priority="15988" operator="equal">
      <formula>"×"</formula>
    </cfRule>
  </conditionalFormatting>
  <conditionalFormatting sqref="AH14">
    <cfRule type="cellIs" dxfId="6361" priority="15985" operator="equal">
      <formula>1</formula>
    </cfRule>
    <cfRule type="cellIs" dxfId="6360" priority="15986" operator="equal">
      <formula>"×"</formula>
    </cfRule>
  </conditionalFormatting>
  <conditionalFormatting sqref="AH14">
    <cfRule type="cellIs" dxfId="6359" priority="15983" operator="equal">
      <formula>1</formula>
    </cfRule>
    <cfRule type="cellIs" dxfId="6358" priority="15984" operator="equal">
      <formula>"×"</formula>
    </cfRule>
  </conditionalFormatting>
  <conditionalFormatting sqref="AH14">
    <cfRule type="cellIs" dxfId="6357" priority="15981" operator="equal">
      <formula>1</formula>
    </cfRule>
    <cfRule type="cellIs" dxfId="6356" priority="15982" operator="equal">
      <formula>"×"</formula>
    </cfRule>
  </conditionalFormatting>
  <conditionalFormatting sqref="AH14">
    <cfRule type="cellIs" dxfId="6355" priority="15979" operator="equal">
      <formula>1</formula>
    </cfRule>
    <cfRule type="cellIs" dxfId="6354" priority="15980" operator="equal">
      <formula>"×"</formula>
    </cfRule>
  </conditionalFormatting>
  <conditionalFormatting sqref="AH14">
    <cfRule type="cellIs" dxfId="6353" priority="15977" operator="equal">
      <formula>1</formula>
    </cfRule>
    <cfRule type="cellIs" dxfId="6352" priority="15978" operator="equal">
      <formula>"×"</formula>
    </cfRule>
  </conditionalFormatting>
  <conditionalFormatting sqref="AH14">
    <cfRule type="cellIs" dxfId="6351" priority="15975" operator="equal">
      <formula>1</formula>
    </cfRule>
    <cfRule type="cellIs" dxfId="6350" priority="15976" operator="equal">
      <formula>"×"</formula>
    </cfRule>
  </conditionalFormatting>
  <conditionalFormatting sqref="AF19">
    <cfRule type="cellIs" dxfId="6349" priority="15947" operator="equal">
      <formula>1</formula>
    </cfRule>
    <cfRule type="cellIs" dxfId="6348" priority="15948" operator="equal">
      <formula>"×"</formula>
    </cfRule>
  </conditionalFormatting>
  <conditionalFormatting sqref="AF19">
    <cfRule type="cellIs" dxfId="6347" priority="15945" operator="equal">
      <formula>1</formula>
    </cfRule>
    <cfRule type="cellIs" dxfId="6346" priority="15946" operator="equal">
      <formula>"×"</formula>
    </cfRule>
  </conditionalFormatting>
  <conditionalFormatting sqref="AI19">
    <cfRule type="cellIs" dxfId="6345" priority="15961" operator="equal">
      <formula>1</formula>
    </cfRule>
    <cfRule type="cellIs" dxfId="6344" priority="15962" operator="equal">
      <formula>"×"</formula>
    </cfRule>
  </conditionalFormatting>
  <conditionalFormatting sqref="AF19:AI19">
    <cfRule type="cellIs" dxfId="6343" priority="15963" operator="equal">
      <formula>1</formula>
    </cfRule>
    <cfRule type="cellIs" dxfId="6342" priority="15964" operator="equal">
      <formula>"×"</formula>
    </cfRule>
  </conditionalFormatting>
  <conditionalFormatting sqref="AF19:AI19">
    <cfRule type="cellIs" dxfId="6341" priority="15959" operator="equal">
      <formula>1</formula>
    </cfRule>
    <cfRule type="cellIs" dxfId="6340" priority="15960" operator="equal">
      <formula>"×"</formula>
    </cfRule>
  </conditionalFormatting>
  <conditionalFormatting sqref="AF19">
    <cfRule type="cellIs" dxfId="6339" priority="15931" operator="equal">
      <formula>1</formula>
    </cfRule>
    <cfRule type="cellIs" dxfId="6338" priority="15932" operator="equal">
      <formula>"×"</formula>
    </cfRule>
  </conditionalFormatting>
  <conditionalFormatting sqref="AF19">
    <cfRule type="cellIs" dxfId="6337" priority="15929" operator="equal">
      <formula>1</formula>
    </cfRule>
    <cfRule type="cellIs" dxfId="6336" priority="15930" operator="equal">
      <formula>"×"</formula>
    </cfRule>
  </conditionalFormatting>
  <conditionalFormatting sqref="AF19">
    <cfRule type="cellIs" dxfId="6335" priority="15927" operator="equal">
      <formula>1</formula>
    </cfRule>
    <cfRule type="cellIs" dxfId="6334" priority="15928" operator="equal">
      <formula>"×"</formula>
    </cfRule>
  </conditionalFormatting>
  <conditionalFormatting sqref="AF19">
    <cfRule type="cellIs" dxfId="6333" priority="15925" operator="equal">
      <formula>1</formula>
    </cfRule>
    <cfRule type="cellIs" dxfId="6332" priority="15926" operator="equal">
      <formula>"×"</formula>
    </cfRule>
  </conditionalFormatting>
  <conditionalFormatting sqref="AF19">
    <cfRule type="cellIs" dxfId="6331" priority="15923" operator="equal">
      <formula>1</formula>
    </cfRule>
    <cfRule type="cellIs" dxfId="6330" priority="15924" operator="equal">
      <formula>"×"</formula>
    </cfRule>
  </conditionalFormatting>
  <conditionalFormatting sqref="AF19">
    <cfRule type="cellIs" dxfId="6329" priority="15921" operator="equal">
      <formula>1</formula>
    </cfRule>
    <cfRule type="cellIs" dxfId="6328" priority="15922" operator="equal">
      <formula>"×"</formula>
    </cfRule>
  </conditionalFormatting>
  <conditionalFormatting sqref="AF19">
    <cfRule type="cellIs" dxfId="6327" priority="15907" operator="equal">
      <formula>1</formula>
    </cfRule>
    <cfRule type="cellIs" dxfId="6326" priority="15908" operator="equal">
      <formula>"×"</formula>
    </cfRule>
  </conditionalFormatting>
  <conditionalFormatting sqref="AF19">
    <cfRule type="cellIs" dxfId="6325" priority="15905" operator="equal">
      <formula>1</formula>
    </cfRule>
    <cfRule type="cellIs" dxfId="6324" priority="15906" operator="equal">
      <formula>"×"</formula>
    </cfRule>
  </conditionalFormatting>
  <conditionalFormatting sqref="AF19">
    <cfRule type="cellIs" dxfId="6323" priority="15903" operator="equal">
      <formula>1</formula>
    </cfRule>
    <cfRule type="cellIs" dxfId="6322" priority="15904" operator="equal">
      <formula>"×"</formula>
    </cfRule>
  </conditionalFormatting>
  <conditionalFormatting sqref="AF19">
    <cfRule type="cellIs" dxfId="6321" priority="15901" operator="equal">
      <formula>1</formula>
    </cfRule>
    <cfRule type="cellIs" dxfId="6320" priority="15902" operator="equal">
      <formula>"×"</formula>
    </cfRule>
  </conditionalFormatting>
  <conditionalFormatting sqref="AF19">
    <cfRule type="cellIs" dxfId="6319" priority="15899" operator="equal">
      <formula>1</formula>
    </cfRule>
    <cfRule type="cellIs" dxfId="6318" priority="15900" operator="equal">
      <formula>"×"</formula>
    </cfRule>
  </conditionalFormatting>
  <conditionalFormatting sqref="AF19">
    <cfRule type="cellIs" dxfId="6317" priority="15897" operator="equal">
      <formula>1</formula>
    </cfRule>
    <cfRule type="cellIs" dxfId="6316" priority="15898" operator="equal">
      <formula>"×"</formula>
    </cfRule>
  </conditionalFormatting>
  <conditionalFormatting sqref="AF19">
    <cfRule type="cellIs" dxfId="6315" priority="15895" operator="equal">
      <formula>1</formula>
    </cfRule>
    <cfRule type="cellIs" dxfId="6314" priority="15896" operator="equal">
      <formula>"×"</formula>
    </cfRule>
  </conditionalFormatting>
  <conditionalFormatting sqref="AF19">
    <cfRule type="cellIs" dxfId="6313" priority="15865" operator="equal">
      <formula>1</formula>
    </cfRule>
    <cfRule type="cellIs" dxfId="6312" priority="15866" operator="equal">
      <formula>"×"</formula>
    </cfRule>
  </conditionalFormatting>
  <conditionalFormatting sqref="AF19">
    <cfRule type="cellIs" dxfId="6311" priority="15863" operator="equal">
      <formula>1</formula>
    </cfRule>
    <cfRule type="cellIs" dxfId="6310" priority="15864" operator="equal">
      <formula>"×"</formula>
    </cfRule>
  </conditionalFormatting>
  <conditionalFormatting sqref="AF19">
    <cfRule type="cellIs" dxfId="6309" priority="15857" operator="equal">
      <formula>1</formula>
    </cfRule>
    <cfRule type="cellIs" dxfId="6308" priority="15858" operator="equal">
      <formula>"×"</formula>
    </cfRule>
  </conditionalFormatting>
  <conditionalFormatting sqref="AF19">
    <cfRule type="cellIs" dxfId="6307" priority="15853" operator="equal">
      <formula>1</formula>
    </cfRule>
    <cfRule type="cellIs" dxfId="6306" priority="15854" operator="equal">
      <formula>"×"</formula>
    </cfRule>
  </conditionalFormatting>
  <conditionalFormatting sqref="AF19">
    <cfRule type="cellIs" dxfId="6305" priority="15841" operator="equal">
      <formula>1</formula>
    </cfRule>
    <cfRule type="cellIs" dxfId="6304" priority="15842" operator="equal">
      <formula>"×"</formula>
    </cfRule>
  </conditionalFormatting>
  <conditionalFormatting sqref="AF19">
    <cfRule type="cellIs" dxfId="6303" priority="15837" operator="equal">
      <formula>1</formula>
    </cfRule>
    <cfRule type="cellIs" dxfId="6302" priority="15838" operator="equal">
      <formula>"×"</formula>
    </cfRule>
  </conditionalFormatting>
  <conditionalFormatting sqref="AF19">
    <cfRule type="cellIs" dxfId="6301" priority="15835" operator="equal">
      <formula>1</formula>
    </cfRule>
    <cfRule type="cellIs" dxfId="6300" priority="15836" operator="equal">
      <formula>"×"</formula>
    </cfRule>
  </conditionalFormatting>
  <conditionalFormatting sqref="AF19:AG19">
    <cfRule type="cellIs" dxfId="6299" priority="15805" operator="equal">
      <formula>1</formula>
    </cfRule>
    <cfRule type="cellIs" dxfId="6298" priority="15806" operator="equal">
      <formula>"×"</formula>
    </cfRule>
  </conditionalFormatting>
  <conditionalFormatting sqref="AF19:AG19">
    <cfRule type="cellIs" dxfId="6297" priority="15799" operator="equal">
      <formula>1</formula>
    </cfRule>
    <cfRule type="cellIs" dxfId="6296" priority="15800" operator="equal">
      <formula>"×"</formula>
    </cfRule>
  </conditionalFormatting>
  <conditionalFormatting sqref="AF19:AG19">
    <cfRule type="cellIs" dxfId="6295" priority="15797" operator="equal">
      <formula>1</formula>
    </cfRule>
    <cfRule type="cellIs" dxfId="6294" priority="15798" operator="equal">
      <formula>"×"</formula>
    </cfRule>
  </conditionalFormatting>
  <conditionalFormatting sqref="AF19:AG19">
    <cfRule type="cellIs" dxfId="6293" priority="15795" operator="equal">
      <formula>1</formula>
    </cfRule>
    <cfRule type="cellIs" dxfId="6292" priority="15796" operator="equal">
      <formula>"×"</formula>
    </cfRule>
  </conditionalFormatting>
  <conditionalFormatting sqref="AF19:AG19">
    <cfRule type="cellIs" dxfId="6291" priority="15793" operator="equal">
      <formula>1</formula>
    </cfRule>
    <cfRule type="cellIs" dxfId="6290" priority="15794" operator="equal">
      <formula>"×"</formula>
    </cfRule>
  </conditionalFormatting>
  <conditionalFormatting sqref="AH19:AI19">
    <cfRule type="cellIs" dxfId="6289" priority="15749" operator="equal">
      <formula>1</formula>
    </cfRule>
    <cfRule type="cellIs" dxfId="6288" priority="15750" operator="equal">
      <formula>"×"</formula>
    </cfRule>
  </conditionalFormatting>
  <conditionalFormatting sqref="AH19:AI19">
    <cfRule type="cellIs" dxfId="6287" priority="15747" operator="equal">
      <formula>1</formula>
    </cfRule>
    <cfRule type="cellIs" dxfId="6286" priority="15748" operator="equal">
      <formula>"×"</formula>
    </cfRule>
  </conditionalFormatting>
  <conditionalFormatting sqref="AH19:AI19">
    <cfRule type="cellIs" dxfId="6285" priority="15743" operator="equal">
      <formula>1</formula>
    </cfRule>
    <cfRule type="cellIs" dxfId="6284" priority="15744" operator="equal">
      <formula>"×"</formula>
    </cfRule>
  </conditionalFormatting>
  <conditionalFormatting sqref="AH19:AI19">
    <cfRule type="cellIs" dxfId="6283" priority="15745" operator="equal">
      <formula>1</formula>
    </cfRule>
    <cfRule type="cellIs" dxfId="6282" priority="15746" operator="equal">
      <formula>"×"</formula>
    </cfRule>
  </conditionalFormatting>
  <conditionalFormatting sqref="AH19:AI19">
    <cfRule type="cellIs" dxfId="6281" priority="15767" operator="equal">
      <formula>1</formula>
    </cfRule>
    <cfRule type="cellIs" dxfId="6280" priority="15768" operator="equal">
      <formula>"×"</formula>
    </cfRule>
  </conditionalFormatting>
  <conditionalFormatting sqref="AH19:AI19">
    <cfRule type="cellIs" dxfId="6279" priority="15765" operator="equal">
      <formula>1</formula>
    </cfRule>
    <cfRule type="cellIs" dxfId="6278" priority="15766" operator="equal">
      <formula>"×"</formula>
    </cfRule>
  </conditionalFormatting>
  <conditionalFormatting sqref="AH19:AI19">
    <cfRule type="cellIs" dxfId="6277" priority="15763" operator="equal">
      <formula>1</formula>
    </cfRule>
    <cfRule type="cellIs" dxfId="6276" priority="15764" operator="equal">
      <formula>"×"</formula>
    </cfRule>
  </conditionalFormatting>
  <conditionalFormatting sqref="AH19:AI19">
    <cfRule type="cellIs" dxfId="6275" priority="15761" operator="equal">
      <formula>1</formula>
    </cfRule>
    <cfRule type="cellIs" dxfId="6274" priority="15762" operator="equal">
      <formula>"×"</formula>
    </cfRule>
  </conditionalFormatting>
  <conditionalFormatting sqref="AH19:AI19">
    <cfRule type="cellIs" dxfId="6273" priority="15759" operator="equal">
      <formula>1</formula>
    </cfRule>
    <cfRule type="cellIs" dxfId="6272" priority="15760" operator="equal">
      <formula>"×"</formula>
    </cfRule>
  </conditionalFormatting>
  <conditionalFormatting sqref="AH19:AI19">
    <cfRule type="cellIs" dxfId="6271" priority="15757" operator="equal">
      <formula>1</formula>
    </cfRule>
    <cfRule type="cellIs" dxfId="6270" priority="15758" operator="equal">
      <formula>"×"</formula>
    </cfRule>
  </conditionalFormatting>
  <conditionalFormatting sqref="AH19:AI19">
    <cfRule type="cellIs" dxfId="6269" priority="15755" operator="equal">
      <formula>1</formula>
    </cfRule>
    <cfRule type="cellIs" dxfId="6268" priority="15756" operator="equal">
      <formula>"×"</formula>
    </cfRule>
  </conditionalFormatting>
  <conditionalFormatting sqref="AH19:AI19">
    <cfRule type="cellIs" dxfId="6267" priority="15753" operator="equal">
      <formula>1</formula>
    </cfRule>
    <cfRule type="cellIs" dxfId="6266" priority="15754" operator="equal">
      <formula>"×"</formula>
    </cfRule>
  </conditionalFormatting>
  <conditionalFormatting sqref="AH19:AI19">
    <cfRule type="cellIs" dxfId="6265" priority="15751" operator="equal">
      <formula>1</formula>
    </cfRule>
    <cfRule type="cellIs" dxfId="6264" priority="15752" operator="equal">
      <formula>"×"</formula>
    </cfRule>
  </conditionalFormatting>
  <conditionalFormatting sqref="AD16">
    <cfRule type="cellIs" dxfId="6263" priority="12025" operator="equal">
      <formula>1</formula>
    </cfRule>
    <cfRule type="cellIs" dxfId="6262" priority="12026" operator="equal">
      <formula>"×"</formula>
    </cfRule>
  </conditionalFormatting>
  <conditionalFormatting sqref="AD16">
    <cfRule type="cellIs" dxfId="6261" priority="12023" operator="equal">
      <formula>1</formula>
    </cfRule>
    <cfRule type="cellIs" dxfId="6260" priority="12024" operator="equal">
      <formula>"×"</formula>
    </cfRule>
  </conditionalFormatting>
  <conditionalFormatting sqref="AD16">
    <cfRule type="cellIs" dxfId="6259" priority="12021" operator="equal">
      <formula>1</formula>
    </cfRule>
    <cfRule type="cellIs" dxfId="6258" priority="12022" operator="equal">
      <formula>"×"</formula>
    </cfRule>
  </conditionalFormatting>
  <conditionalFormatting sqref="Z28">
    <cfRule type="cellIs" dxfId="6257" priority="12037" operator="equal">
      <formula>1</formula>
    </cfRule>
    <cfRule type="cellIs" dxfId="6256" priority="12038" operator="equal">
      <formula>"×"</formula>
    </cfRule>
  </conditionalFormatting>
  <conditionalFormatting sqref="AC16">
    <cfRule type="cellIs" dxfId="6255" priority="12035" operator="equal">
      <formula>1</formula>
    </cfRule>
    <cfRule type="cellIs" dxfId="6254" priority="12036" operator="equal">
      <formula>"×"</formula>
    </cfRule>
  </conditionalFormatting>
  <conditionalFormatting sqref="AF15:AI15">
    <cfRule type="cellIs" dxfId="6253" priority="12033" operator="equal">
      <formula>1</formula>
    </cfRule>
    <cfRule type="cellIs" dxfId="6252" priority="12034" operator="equal">
      <formula>"×"</formula>
    </cfRule>
  </conditionalFormatting>
  <conditionalFormatting sqref="AI15">
    <cfRule type="cellIs" dxfId="6251" priority="12031" operator="equal">
      <formula>1</formula>
    </cfRule>
    <cfRule type="cellIs" dxfId="6250" priority="12032" operator="equal">
      <formula>"×"</formula>
    </cfRule>
  </conditionalFormatting>
  <conditionalFormatting sqref="AI16">
    <cfRule type="cellIs" dxfId="6249" priority="12029" operator="equal">
      <formula>1</formula>
    </cfRule>
    <cfRule type="cellIs" dxfId="6248" priority="12030" operator="equal">
      <formula>"×"</formula>
    </cfRule>
  </conditionalFormatting>
  <conditionalFormatting sqref="AD16">
    <cfRule type="cellIs" dxfId="6247" priority="12027" operator="equal">
      <formula>1</formula>
    </cfRule>
    <cfRule type="cellIs" dxfId="6246" priority="12028" operator="equal">
      <formula>"×"</formula>
    </cfRule>
  </conditionalFormatting>
  <conditionalFormatting sqref="AB13">
    <cfRule type="cellIs" dxfId="6245" priority="15705" operator="equal">
      <formula>1</formula>
    </cfRule>
    <cfRule type="cellIs" dxfId="6244" priority="15706" operator="equal">
      <formula>"×"</formula>
    </cfRule>
  </conditionalFormatting>
  <conditionalFormatting sqref="AE16">
    <cfRule type="cellIs" dxfId="6243" priority="12013" operator="equal">
      <formula>1</formula>
    </cfRule>
    <cfRule type="cellIs" dxfId="6242" priority="12014" operator="equal">
      <formula>"×"</formula>
    </cfRule>
  </conditionalFormatting>
  <conditionalFormatting sqref="AI19">
    <cfRule type="cellIs" dxfId="6241" priority="15697" operator="equal">
      <formula>1</formula>
    </cfRule>
    <cfRule type="cellIs" dxfId="6240" priority="15698" operator="equal">
      <formula>"×"</formula>
    </cfRule>
  </conditionalFormatting>
  <conditionalFormatting sqref="AF19:AI19">
    <cfRule type="cellIs" dxfId="6239" priority="15699" operator="equal">
      <formula>1</formula>
    </cfRule>
    <cfRule type="cellIs" dxfId="6238" priority="15700" operator="equal">
      <formula>"×"</formula>
    </cfRule>
  </conditionalFormatting>
  <conditionalFormatting sqref="AD16">
    <cfRule type="cellIs" dxfId="6237" priority="12007" operator="equal">
      <formula>1</formula>
    </cfRule>
    <cfRule type="cellIs" dxfId="6236" priority="12008" operator="equal">
      <formula>"×"</formula>
    </cfRule>
  </conditionalFormatting>
  <conditionalFormatting sqref="AD16">
    <cfRule type="cellIs" dxfId="6235" priority="12005" operator="equal">
      <formula>1</formula>
    </cfRule>
    <cfRule type="cellIs" dxfId="6234" priority="12006" operator="equal">
      <formula>"×"</formula>
    </cfRule>
  </conditionalFormatting>
  <conditionalFormatting sqref="AD16">
    <cfRule type="cellIs" dxfId="6233" priority="12003" operator="equal">
      <formula>1</formula>
    </cfRule>
    <cfRule type="cellIs" dxfId="6232" priority="12004" operator="equal">
      <formula>"×"</formula>
    </cfRule>
  </conditionalFormatting>
  <conditionalFormatting sqref="AI15">
    <cfRule type="cellIs" dxfId="6231" priority="11993" operator="equal">
      <formula>1</formula>
    </cfRule>
    <cfRule type="cellIs" dxfId="6230" priority="11994" operator="equal">
      <formula>"×"</formula>
    </cfRule>
  </conditionalFormatting>
  <conditionalFormatting sqref="AE16">
    <cfRule type="cellIs" dxfId="6229" priority="11991" operator="equal">
      <formula>1</formula>
    </cfRule>
    <cfRule type="cellIs" dxfId="6228" priority="11992" operator="equal">
      <formula>"×"</formula>
    </cfRule>
  </conditionalFormatting>
  <conditionalFormatting sqref="AD16">
    <cfRule type="cellIs" dxfId="6227" priority="11989" operator="equal">
      <formula>1</formula>
    </cfRule>
    <cfRule type="cellIs" dxfId="6226" priority="11990" operator="equal">
      <formula>"×"</formula>
    </cfRule>
  </conditionalFormatting>
  <conditionalFormatting sqref="AE16">
    <cfRule type="cellIs" dxfId="6225" priority="11987" operator="equal">
      <formula>1</formula>
    </cfRule>
    <cfRule type="cellIs" dxfId="6224" priority="11988" operator="equal">
      <formula>"×"</formula>
    </cfRule>
  </conditionalFormatting>
  <conditionalFormatting sqref="AD16">
    <cfRule type="cellIs" dxfId="6223" priority="11985" operator="equal">
      <formula>1</formula>
    </cfRule>
    <cfRule type="cellIs" dxfId="6222" priority="11986" operator="equal">
      <formula>"×"</formula>
    </cfRule>
  </conditionalFormatting>
  <conditionalFormatting sqref="AD16">
    <cfRule type="cellIs" dxfId="6221" priority="11983" operator="equal">
      <formula>1</formula>
    </cfRule>
    <cfRule type="cellIs" dxfId="6220" priority="11984" operator="equal">
      <formula>"×"</formula>
    </cfRule>
  </conditionalFormatting>
  <conditionalFormatting sqref="AF19">
    <cfRule type="cellIs" dxfId="6219" priority="15669" operator="equal">
      <formula>1</formula>
    </cfRule>
    <cfRule type="cellIs" dxfId="6218" priority="15670" operator="equal">
      <formula>"×"</formula>
    </cfRule>
  </conditionalFormatting>
  <conditionalFormatting sqref="AF19">
    <cfRule type="cellIs" dxfId="6217" priority="15667" operator="equal">
      <formula>1</formula>
    </cfRule>
    <cfRule type="cellIs" dxfId="6216" priority="15668" operator="equal">
      <formula>"×"</formula>
    </cfRule>
  </conditionalFormatting>
  <conditionalFormatting sqref="AE16">
    <cfRule type="cellIs" dxfId="6215" priority="11969" operator="equal">
      <formula>1</formula>
    </cfRule>
    <cfRule type="cellIs" dxfId="6214" priority="11970" operator="equal">
      <formula>"×"</formula>
    </cfRule>
  </conditionalFormatting>
  <conditionalFormatting sqref="AD16">
    <cfRule type="cellIs" dxfId="6213" priority="11967" operator="equal">
      <formula>1</formula>
    </cfRule>
    <cfRule type="cellIs" dxfId="6212" priority="11968" operator="equal">
      <formula>"×"</formula>
    </cfRule>
  </conditionalFormatting>
  <conditionalFormatting sqref="AD16">
    <cfRule type="cellIs" dxfId="6211" priority="11965" operator="equal">
      <formula>1</formula>
    </cfRule>
    <cfRule type="cellIs" dxfId="6210" priority="11966" operator="equal">
      <formula>"×"</formula>
    </cfRule>
  </conditionalFormatting>
  <conditionalFormatting sqref="AD16">
    <cfRule type="cellIs" dxfId="6209" priority="11963" operator="equal">
      <formula>1</formula>
    </cfRule>
    <cfRule type="cellIs" dxfId="6208" priority="11964" operator="equal">
      <formula>"×"</formula>
    </cfRule>
  </conditionalFormatting>
  <conditionalFormatting sqref="AB19">
    <cfRule type="cellIs" dxfId="6207" priority="15443" operator="equal">
      <formula>1</formula>
    </cfRule>
    <cfRule type="cellIs" dxfId="6206" priority="15444" operator="equal">
      <formula>"×"</formula>
    </cfRule>
  </conditionalFormatting>
  <conditionalFormatting sqref="AG11:AH13">
    <cfRule type="cellIs" dxfId="6205" priority="15441" operator="equal">
      <formula>1</formula>
    </cfRule>
    <cfRule type="cellIs" dxfId="6204" priority="15442" operator="equal">
      <formula>"×"</formula>
    </cfRule>
  </conditionalFormatting>
  <conditionalFormatting sqref="AC7">
    <cfRule type="cellIs" dxfId="6203" priority="15387" operator="equal">
      <formula>1</formula>
    </cfRule>
    <cfRule type="cellIs" dxfId="6202" priority="15388" operator="equal">
      <formula>"×"</formula>
    </cfRule>
  </conditionalFormatting>
  <conditionalFormatting sqref="AF7">
    <cfRule type="cellIs" dxfId="6201" priority="15385" operator="equal">
      <formula>1</formula>
    </cfRule>
    <cfRule type="cellIs" dxfId="6200" priority="15386" operator="equal">
      <formula>"×"</formula>
    </cfRule>
  </conditionalFormatting>
  <conditionalFormatting sqref="AF7">
    <cfRule type="cellIs" dxfId="6199" priority="15383" operator="equal">
      <formula>1</formula>
    </cfRule>
    <cfRule type="cellIs" dxfId="6198" priority="15384" operator="equal">
      <formula>"×"</formula>
    </cfRule>
  </conditionalFormatting>
  <conditionalFormatting sqref="AE7">
    <cfRule type="cellIs" dxfId="6197" priority="15381" operator="equal">
      <formula>1</formula>
    </cfRule>
    <cfRule type="cellIs" dxfId="6196" priority="15382" operator="equal">
      <formula>"×"</formula>
    </cfRule>
  </conditionalFormatting>
  <conditionalFormatting sqref="AD7">
    <cfRule type="cellIs" dxfId="6195" priority="15379" operator="equal">
      <formula>1</formula>
    </cfRule>
    <cfRule type="cellIs" dxfId="6194" priority="15380" operator="equal">
      <formula>"×"</formula>
    </cfRule>
  </conditionalFormatting>
  <conditionalFormatting sqref="AE7">
    <cfRule type="cellIs" dxfId="6193" priority="15377" operator="equal">
      <formula>1</formula>
    </cfRule>
    <cfRule type="cellIs" dxfId="6192" priority="15378" operator="equal">
      <formula>"×"</formula>
    </cfRule>
  </conditionalFormatting>
  <conditionalFormatting sqref="AD7">
    <cfRule type="cellIs" dxfId="6191" priority="15375" operator="equal">
      <formula>1</formula>
    </cfRule>
    <cfRule type="cellIs" dxfId="6190" priority="15376" operator="equal">
      <formula>"×"</formula>
    </cfRule>
  </conditionalFormatting>
  <conditionalFormatting sqref="AD7">
    <cfRule type="cellIs" dxfId="6189" priority="15371" operator="equal">
      <formula>1</formula>
    </cfRule>
    <cfRule type="cellIs" dxfId="6188" priority="15372" operator="equal">
      <formula>"×"</formula>
    </cfRule>
  </conditionalFormatting>
  <conditionalFormatting sqref="AD7">
    <cfRule type="cellIs" dxfId="6187" priority="15373" operator="equal">
      <formula>1</formula>
    </cfRule>
    <cfRule type="cellIs" dxfId="6186" priority="15374" operator="equal">
      <formula>"×"</formula>
    </cfRule>
  </conditionalFormatting>
  <conditionalFormatting sqref="AD7">
    <cfRule type="cellIs" dxfId="6185" priority="15413" operator="equal">
      <formula>1</formula>
    </cfRule>
    <cfRule type="cellIs" dxfId="6184" priority="15414" operator="equal">
      <formula>"×"</formula>
    </cfRule>
  </conditionalFormatting>
  <conditionalFormatting sqref="AD7">
    <cfRule type="cellIs" dxfId="6183" priority="15411" operator="equal">
      <formula>1</formula>
    </cfRule>
    <cfRule type="cellIs" dxfId="6182" priority="15412" operator="equal">
      <formula>"×"</formula>
    </cfRule>
  </conditionalFormatting>
  <conditionalFormatting sqref="AD7">
    <cfRule type="cellIs" dxfId="6181" priority="15409" operator="equal">
      <formula>1</formula>
    </cfRule>
    <cfRule type="cellIs" dxfId="6180" priority="15410" operator="equal">
      <formula>"×"</formula>
    </cfRule>
  </conditionalFormatting>
  <conditionalFormatting sqref="AE13">
    <cfRule type="cellIs" dxfId="6179" priority="15407" operator="equal">
      <formula>1</formula>
    </cfRule>
    <cfRule type="cellIs" dxfId="6178" priority="15408" operator="equal">
      <formula>"×"</formula>
    </cfRule>
  </conditionalFormatting>
  <conditionalFormatting sqref="AE13 AF11:AI11">
    <cfRule type="cellIs" dxfId="6177" priority="15405" operator="equal">
      <formula>1</formula>
    </cfRule>
    <cfRule type="cellIs" dxfId="6176" priority="15406" operator="equal">
      <formula>"×"</formula>
    </cfRule>
  </conditionalFormatting>
  <conditionalFormatting sqref="AI11">
    <cfRule type="cellIs" dxfId="6175" priority="15403" operator="equal">
      <formula>1</formula>
    </cfRule>
    <cfRule type="cellIs" dxfId="6174" priority="15404" operator="equal">
      <formula>"×"</formula>
    </cfRule>
  </conditionalFormatting>
  <conditionalFormatting sqref="AE13 AF11:AI11">
    <cfRule type="cellIs" dxfId="6173" priority="15401" operator="equal">
      <formula>1</formula>
    </cfRule>
    <cfRule type="cellIs" dxfId="6172" priority="15402" operator="equal">
      <formula>"×"</formula>
    </cfRule>
  </conditionalFormatting>
  <conditionalFormatting sqref="AE7">
    <cfRule type="cellIs" dxfId="6171" priority="15399" operator="equal">
      <formula>1</formula>
    </cfRule>
    <cfRule type="cellIs" dxfId="6170" priority="15400" operator="equal">
      <formula>"×"</formula>
    </cfRule>
  </conditionalFormatting>
  <conditionalFormatting sqref="AE7">
    <cfRule type="cellIs" dxfId="6169" priority="15395" operator="equal">
      <formula>1</formula>
    </cfRule>
    <cfRule type="cellIs" dxfId="6168" priority="15396" operator="equal">
      <formula>"×"</formula>
    </cfRule>
  </conditionalFormatting>
  <conditionalFormatting sqref="AD7">
    <cfRule type="cellIs" dxfId="6167" priority="15397" operator="equal">
      <formula>1</formula>
    </cfRule>
    <cfRule type="cellIs" dxfId="6166" priority="15398" operator="equal">
      <formula>"×"</formula>
    </cfRule>
  </conditionalFormatting>
  <conditionalFormatting sqref="AD7">
    <cfRule type="cellIs" dxfId="6165" priority="15393" operator="equal">
      <formula>1</formula>
    </cfRule>
    <cfRule type="cellIs" dxfId="6164" priority="15394" operator="equal">
      <formula>"×"</formula>
    </cfRule>
  </conditionalFormatting>
  <conditionalFormatting sqref="AD7">
    <cfRule type="cellIs" dxfId="6163" priority="15391" operator="equal">
      <formula>1</formula>
    </cfRule>
    <cfRule type="cellIs" dxfId="6162" priority="15392" operator="equal">
      <formula>"×"</formula>
    </cfRule>
  </conditionalFormatting>
  <conditionalFormatting sqref="AD7">
    <cfRule type="cellIs" dxfId="6161" priority="15389" operator="equal">
      <formula>1</formula>
    </cfRule>
    <cfRule type="cellIs" dxfId="6160" priority="15390" operator="equal">
      <formula>"×"</formula>
    </cfRule>
  </conditionalFormatting>
  <conditionalFormatting sqref="AE13">
    <cfRule type="cellIs" dxfId="6159" priority="15369" operator="equal">
      <formula>1</formula>
    </cfRule>
    <cfRule type="cellIs" dxfId="6158" priority="15370" operator="equal">
      <formula>"×"</formula>
    </cfRule>
  </conditionalFormatting>
  <conditionalFormatting sqref="AE13 AF11:AI11">
    <cfRule type="cellIs" dxfId="6157" priority="15367" operator="equal">
      <formula>1</formula>
    </cfRule>
    <cfRule type="cellIs" dxfId="6156" priority="15368" operator="equal">
      <formula>"×"</formula>
    </cfRule>
  </conditionalFormatting>
  <conditionalFormatting sqref="AI11">
    <cfRule type="cellIs" dxfId="6155" priority="15365" operator="equal">
      <formula>1</formula>
    </cfRule>
    <cfRule type="cellIs" dxfId="6154" priority="15366" operator="equal">
      <formula>"×"</formula>
    </cfRule>
  </conditionalFormatting>
  <conditionalFormatting sqref="AF11:AI11">
    <cfRule type="cellIs" dxfId="6153" priority="15363" operator="equal">
      <formula>1</formula>
    </cfRule>
    <cfRule type="cellIs" dxfId="6152" priority="15364" operator="equal">
      <formula>"×"</formula>
    </cfRule>
  </conditionalFormatting>
  <conditionalFormatting sqref="AE13 AF11:AI11">
    <cfRule type="cellIs" dxfId="6151" priority="15361" operator="equal">
      <formula>1</formula>
    </cfRule>
    <cfRule type="cellIs" dxfId="6150" priority="15362" operator="equal">
      <formula>"×"</formula>
    </cfRule>
  </conditionalFormatting>
  <conditionalFormatting sqref="AI11">
    <cfRule type="cellIs" dxfId="6149" priority="15359" operator="equal">
      <formula>1</formula>
    </cfRule>
    <cfRule type="cellIs" dxfId="6148" priority="15360" operator="equal">
      <formula>"×"</formula>
    </cfRule>
  </conditionalFormatting>
  <conditionalFormatting sqref="AF12">
    <cfRule type="cellIs" dxfId="6147" priority="15357" operator="equal">
      <formula>1</formula>
    </cfRule>
    <cfRule type="cellIs" dxfId="6146" priority="15358" operator="equal">
      <formula>"×"</formula>
    </cfRule>
  </conditionalFormatting>
  <conditionalFormatting sqref="AG11:AI13">
    <cfRule type="cellIs" dxfId="6145" priority="15355" operator="equal">
      <formula>1</formula>
    </cfRule>
    <cfRule type="cellIs" dxfId="6144" priority="15356" operator="equal">
      <formula>"×"</formula>
    </cfRule>
  </conditionalFormatting>
  <conditionalFormatting sqref="AI11:AI13">
    <cfRule type="cellIs" dxfId="6143" priority="15353" operator="equal">
      <formula>1</formula>
    </cfRule>
    <cfRule type="cellIs" dxfId="6142" priority="15354" operator="equal">
      <formula>"×"</formula>
    </cfRule>
  </conditionalFormatting>
  <conditionalFormatting sqref="AG11:AI13">
    <cfRule type="cellIs" dxfId="6141" priority="15351" operator="equal">
      <formula>1</formula>
    </cfRule>
    <cfRule type="cellIs" dxfId="6140" priority="15352" operator="equal">
      <formula>"×"</formula>
    </cfRule>
  </conditionalFormatting>
  <conditionalFormatting sqref="AG11:AI13">
    <cfRule type="cellIs" dxfId="6139" priority="15345" operator="equal">
      <formula>1</formula>
    </cfRule>
    <cfRule type="cellIs" dxfId="6138" priority="15346" operator="equal">
      <formula>"×"</formula>
    </cfRule>
  </conditionalFormatting>
  <conditionalFormatting sqref="AG11:AI13">
    <cfRule type="cellIs" dxfId="6137" priority="15343" operator="equal">
      <formula>1</formula>
    </cfRule>
    <cfRule type="cellIs" dxfId="6136" priority="15344" operator="equal">
      <formula>"×"</formula>
    </cfRule>
  </conditionalFormatting>
  <conditionalFormatting sqref="AG11:AI13">
    <cfRule type="cellIs" dxfId="6135" priority="15337" operator="equal">
      <formula>1</formula>
    </cfRule>
    <cfRule type="cellIs" dxfId="6134" priority="15338" operator="equal">
      <formula>"×"</formula>
    </cfRule>
  </conditionalFormatting>
  <conditionalFormatting sqref="AI11:AI13">
    <cfRule type="cellIs" dxfId="6133" priority="15335" operator="equal">
      <formula>1</formula>
    </cfRule>
    <cfRule type="cellIs" dxfId="6132" priority="15336" operator="equal">
      <formula>"×"</formula>
    </cfRule>
  </conditionalFormatting>
  <conditionalFormatting sqref="AG11:AI13">
    <cfRule type="cellIs" dxfId="6131" priority="15333" operator="equal">
      <formula>1</formula>
    </cfRule>
    <cfRule type="cellIs" dxfId="6130" priority="15334" operator="equal">
      <formula>"×"</formula>
    </cfRule>
  </conditionalFormatting>
  <conditionalFormatting sqref="AI11:AI13">
    <cfRule type="cellIs" dxfId="6129" priority="15321" operator="equal">
      <formula>1</formula>
    </cfRule>
    <cfRule type="cellIs" dxfId="6128" priority="15322" operator="equal">
      <formula>"×"</formula>
    </cfRule>
  </conditionalFormatting>
  <conditionalFormatting sqref="AC19">
    <cfRule type="cellIs" dxfId="6127" priority="15319" operator="equal">
      <formula>1</formula>
    </cfRule>
    <cfRule type="cellIs" dxfId="6126" priority="15320" operator="equal">
      <formula>"×"</formula>
    </cfRule>
  </conditionalFormatting>
  <conditionalFormatting sqref="AD19">
    <cfRule type="cellIs" dxfId="6125" priority="15317" operator="equal">
      <formula>1</formula>
    </cfRule>
    <cfRule type="cellIs" dxfId="6124" priority="15318" operator="equal">
      <formula>"×"</formula>
    </cfRule>
  </conditionalFormatting>
  <conditionalFormatting sqref="AD19">
    <cfRule type="cellIs" dxfId="6123" priority="15315" operator="equal">
      <formula>1</formula>
    </cfRule>
    <cfRule type="cellIs" dxfId="6122" priority="15316" operator="equal">
      <formula>"×"</formula>
    </cfRule>
  </conditionalFormatting>
  <conditionalFormatting sqref="AD19">
    <cfRule type="cellIs" dxfId="6121" priority="15313" operator="equal">
      <formula>1</formula>
    </cfRule>
    <cfRule type="cellIs" dxfId="6120" priority="15314" operator="equal">
      <formula>"×"</formula>
    </cfRule>
  </conditionalFormatting>
  <conditionalFormatting sqref="AH8">
    <cfRule type="cellIs" dxfId="6119" priority="15083" operator="equal">
      <formula>1</formula>
    </cfRule>
    <cfRule type="cellIs" dxfId="6118" priority="15084" operator="equal">
      <formula>"×"</formula>
    </cfRule>
  </conditionalFormatting>
  <conditionalFormatting sqref="AH8">
    <cfRule type="cellIs" dxfId="6117" priority="15081" operator="equal">
      <formula>1</formula>
    </cfRule>
    <cfRule type="cellIs" dxfId="6116" priority="15082" operator="equal">
      <formula>"×"</formula>
    </cfRule>
  </conditionalFormatting>
  <conditionalFormatting sqref="AH8">
    <cfRule type="cellIs" dxfId="6115" priority="15077" operator="equal">
      <formula>1</formula>
    </cfRule>
    <cfRule type="cellIs" dxfId="6114" priority="15078" operator="equal">
      <formula>"×"</formula>
    </cfRule>
  </conditionalFormatting>
  <conditionalFormatting sqref="AH8">
    <cfRule type="cellIs" dxfId="6113" priority="15079" operator="equal">
      <formula>1</formula>
    </cfRule>
    <cfRule type="cellIs" dxfId="6112" priority="15080" operator="equal">
      <formula>"×"</formula>
    </cfRule>
  </conditionalFormatting>
  <conditionalFormatting sqref="AH8">
    <cfRule type="cellIs" dxfId="6111" priority="15097" operator="equal">
      <formula>1</formula>
    </cfRule>
    <cfRule type="cellIs" dxfId="6110" priority="15098" operator="equal">
      <formula>"×"</formula>
    </cfRule>
  </conditionalFormatting>
  <conditionalFormatting sqref="AH8">
    <cfRule type="cellIs" dxfId="6109" priority="15095" operator="equal">
      <formula>1</formula>
    </cfRule>
    <cfRule type="cellIs" dxfId="6108" priority="15096" operator="equal">
      <formula>"×"</formula>
    </cfRule>
  </conditionalFormatting>
  <conditionalFormatting sqref="AH8">
    <cfRule type="cellIs" dxfId="6107" priority="15093" operator="equal">
      <formula>1</formula>
    </cfRule>
    <cfRule type="cellIs" dxfId="6106" priority="15094" operator="equal">
      <formula>"×"</formula>
    </cfRule>
  </conditionalFormatting>
  <conditionalFormatting sqref="AH8">
    <cfRule type="cellIs" dxfId="6105" priority="15091" operator="equal">
      <formula>1</formula>
    </cfRule>
    <cfRule type="cellIs" dxfId="6104" priority="15092" operator="equal">
      <formula>"×"</formula>
    </cfRule>
  </conditionalFormatting>
  <conditionalFormatting sqref="AH8">
    <cfRule type="cellIs" dxfId="6103" priority="15089" operator="equal">
      <formula>1</formula>
    </cfRule>
    <cfRule type="cellIs" dxfId="6102" priority="15090" operator="equal">
      <formula>"×"</formula>
    </cfRule>
  </conditionalFormatting>
  <conditionalFormatting sqref="AH8">
    <cfRule type="cellIs" dxfId="6101" priority="15087" operator="equal">
      <formula>1</formula>
    </cfRule>
    <cfRule type="cellIs" dxfId="6100" priority="15088" operator="equal">
      <formula>"×"</formula>
    </cfRule>
  </conditionalFormatting>
  <conditionalFormatting sqref="AH8">
    <cfRule type="cellIs" dxfId="6099" priority="15085" operator="equal">
      <formula>1</formula>
    </cfRule>
    <cfRule type="cellIs" dxfId="6098" priority="15086" operator="equal">
      <formula>"×"</formula>
    </cfRule>
  </conditionalFormatting>
  <conditionalFormatting sqref="AE13">
    <cfRule type="cellIs" dxfId="6097" priority="15063" operator="equal">
      <formula>1</formula>
    </cfRule>
    <cfRule type="cellIs" dxfId="6096" priority="15064" operator="equal">
      <formula>"×"</formula>
    </cfRule>
  </conditionalFormatting>
  <conditionalFormatting sqref="AE13">
    <cfRule type="cellIs" dxfId="6095" priority="15061" operator="equal">
      <formula>1</formula>
    </cfRule>
    <cfRule type="cellIs" dxfId="6094" priority="15062" operator="equal">
      <formula>"×"</formula>
    </cfRule>
  </conditionalFormatting>
  <conditionalFormatting sqref="AE13">
    <cfRule type="cellIs" dxfId="6093" priority="15075" operator="equal">
      <formula>1</formula>
    </cfRule>
    <cfRule type="cellIs" dxfId="6092" priority="15076" operator="equal">
      <formula>"×"</formula>
    </cfRule>
  </conditionalFormatting>
  <conditionalFormatting sqref="AE13">
    <cfRule type="cellIs" dxfId="6091" priority="15073" operator="equal">
      <formula>1</formula>
    </cfRule>
    <cfRule type="cellIs" dxfId="6090" priority="15074" operator="equal">
      <formula>"×"</formula>
    </cfRule>
  </conditionalFormatting>
  <conditionalFormatting sqref="AE13">
    <cfRule type="cellIs" dxfId="6089" priority="15071" operator="equal">
      <formula>1</formula>
    </cfRule>
    <cfRule type="cellIs" dxfId="6088" priority="15072" operator="equal">
      <formula>"×"</formula>
    </cfRule>
  </conditionalFormatting>
  <conditionalFormatting sqref="AE13">
    <cfRule type="cellIs" dxfId="6087" priority="15069" operator="equal">
      <formula>1</formula>
    </cfRule>
    <cfRule type="cellIs" dxfId="6086" priority="15070" operator="equal">
      <formula>"×"</formula>
    </cfRule>
  </conditionalFormatting>
  <conditionalFormatting sqref="AE13">
    <cfRule type="cellIs" dxfId="6085" priority="15067" operator="equal">
      <formula>1</formula>
    </cfRule>
    <cfRule type="cellIs" dxfId="6084" priority="15068" operator="equal">
      <formula>"×"</formula>
    </cfRule>
  </conditionalFormatting>
  <conditionalFormatting sqref="AE13">
    <cfRule type="cellIs" dxfId="6083" priority="15065" operator="equal">
      <formula>1</formula>
    </cfRule>
    <cfRule type="cellIs" dxfId="6082" priority="15066" operator="equal">
      <formula>"×"</formula>
    </cfRule>
  </conditionalFormatting>
  <conditionalFormatting sqref="AE13">
    <cfRule type="cellIs" dxfId="6081" priority="15059" operator="equal">
      <formula>1</formula>
    </cfRule>
    <cfRule type="cellIs" dxfId="6080" priority="15060" operator="equal">
      <formula>"×"</formula>
    </cfRule>
  </conditionalFormatting>
  <conditionalFormatting sqref="AE13">
    <cfRule type="cellIs" dxfId="6079" priority="15035" operator="equal">
      <formula>1</formula>
    </cfRule>
    <cfRule type="cellIs" dxfId="6078" priority="15036" operator="equal">
      <formula>"×"</formula>
    </cfRule>
  </conditionalFormatting>
  <conditionalFormatting sqref="AE13">
    <cfRule type="cellIs" dxfId="6077" priority="15039" operator="equal">
      <formula>1</formula>
    </cfRule>
    <cfRule type="cellIs" dxfId="6076" priority="15040" operator="equal">
      <formula>"×"</formula>
    </cfRule>
  </conditionalFormatting>
  <conditionalFormatting sqref="AE13">
    <cfRule type="cellIs" dxfId="6075" priority="15037" operator="equal">
      <formula>1</formula>
    </cfRule>
    <cfRule type="cellIs" dxfId="6074" priority="15038" operator="equal">
      <formula>"×"</formula>
    </cfRule>
  </conditionalFormatting>
  <conditionalFormatting sqref="AE13">
    <cfRule type="cellIs" dxfId="6073" priority="15033" operator="equal">
      <formula>1</formula>
    </cfRule>
    <cfRule type="cellIs" dxfId="6072" priority="15034" operator="equal">
      <formula>"×"</formula>
    </cfRule>
  </conditionalFormatting>
  <conditionalFormatting sqref="AE13">
    <cfRule type="cellIs" dxfId="6071" priority="15057" operator="equal">
      <formula>1</formula>
    </cfRule>
    <cfRule type="cellIs" dxfId="6070" priority="15058" operator="equal">
      <formula>"×"</formula>
    </cfRule>
  </conditionalFormatting>
  <conditionalFormatting sqref="AE13">
    <cfRule type="cellIs" dxfId="6069" priority="15055" operator="equal">
      <formula>1</formula>
    </cfRule>
    <cfRule type="cellIs" dxfId="6068" priority="15056" operator="equal">
      <formula>"×"</formula>
    </cfRule>
  </conditionalFormatting>
  <conditionalFormatting sqref="AE13">
    <cfRule type="cellIs" dxfId="6067" priority="15053" operator="equal">
      <formula>1</formula>
    </cfRule>
    <cfRule type="cellIs" dxfId="6066" priority="15054" operator="equal">
      <formula>"×"</formula>
    </cfRule>
  </conditionalFormatting>
  <conditionalFormatting sqref="AE13">
    <cfRule type="cellIs" dxfId="6065" priority="15051" operator="equal">
      <formula>1</formula>
    </cfRule>
    <cfRule type="cellIs" dxfId="6064" priority="15052" operator="equal">
      <formula>"×"</formula>
    </cfRule>
  </conditionalFormatting>
  <conditionalFormatting sqref="AE13">
    <cfRule type="cellIs" dxfId="6063" priority="15049" operator="equal">
      <formula>1</formula>
    </cfRule>
    <cfRule type="cellIs" dxfId="6062" priority="15050" operator="equal">
      <formula>"×"</formula>
    </cfRule>
  </conditionalFormatting>
  <conditionalFormatting sqref="AE13">
    <cfRule type="cellIs" dxfId="6061" priority="15047" operator="equal">
      <formula>1</formula>
    </cfRule>
    <cfRule type="cellIs" dxfId="6060" priority="15048" operator="equal">
      <formula>"×"</formula>
    </cfRule>
  </conditionalFormatting>
  <conditionalFormatting sqref="AE13">
    <cfRule type="cellIs" dxfId="6059" priority="15045" operator="equal">
      <formula>1</formula>
    </cfRule>
    <cfRule type="cellIs" dxfId="6058" priority="15046" operator="equal">
      <formula>"×"</formula>
    </cfRule>
  </conditionalFormatting>
  <conditionalFormatting sqref="AE13">
    <cfRule type="cellIs" dxfId="6057" priority="15043" operator="equal">
      <formula>1</formula>
    </cfRule>
    <cfRule type="cellIs" dxfId="6056" priority="15044" operator="equal">
      <formula>"×"</formula>
    </cfRule>
  </conditionalFormatting>
  <conditionalFormatting sqref="AE13">
    <cfRule type="cellIs" dxfId="6055" priority="15041" operator="equal">
      <formula>1</formula>
    </cfRule>
    <cfRule type="cellIs" dxfId="6054" priority="15042" operator="equal">
      <formula>"×"</formula>
    </cfRule>
  </conditionalFormatting>
  <conditionalFormatting sqref="AC11:AC13">
    <cfRule type="cellIs" dxfId="6053" priority="14993" operator="equal">
      <formula>1</formula>
    </cfRule>
    <cfRule type="cellIs" dxfId="6052" priority="14994" operator="equal">
      <formula>"×"</formula>
    </cfRule>
  </conditionalFormatting>
  <conditionalFormatting sqref="AE11:AE13">
    <cfRule type="cellIs" dxfId="6051" priority="14991" operator="equal">
      <formula>1</formula>
    </cfRule>
    <cfRule type="cellIs" dxfId="6050" priority="14992" operator="equal">
      <formula>"×"</formula>
    </cfRule>
  </conditionalFormatting>
  <conditionalFormatting sqref="AD11:AD13">
    <cfRule type="cellIs" dxfId="6049" priority="14989" operator="equal">
      <formula>1</formula>
    </cfRule>
    <cfRule type="cellIs" dxfId="6048" priority="14990" operator="equal">
      <formula>"×"</formula>
    </cfRule>
  </conditionalFormatting>
  <conditionalFormatting sqref="AE11:AE13">
    <cfRule type="cellIs" dxfId="6047" priority="14987" operator="equal">
      <formula>1</formula>
    </cfRule>
    <cfRule type="cellIs" dxfId="6046" priority="14988" operator="equal">
      <formula>"×"</formula>
    </cfRule>
  </conditionalFormatting>
  <conditionalFormatting sqref="AD11:AD13">
    <cfRule type="cellIs" dxfId="6045" priority="14985" operator="equal">
      <formula>1</formula>
    </cfRule>
    <cfRule type="cellIs" dxfId="6044" priority="14986" operator="equal">
      <formula>"×"</formula>
    </cfRule>
  </conditionalFormatting>
  <conditionalFormatting sqref="AD11:AD13">
    <cfRule type="cellIs" dxfId="6043" priority="14981" operator="equal">
      <formula>1</formula>
    </cfRule>
    <cfRule type="cellIs" dxfId="6042" priority="14982" operator="equal">
      <formula>"×"</formula>
    </cfRule>
  </conditionalFormatting>
  <conditionalFormatting sqref="AD11:AD13">
    <cfRule type="cellIs" dxfId="6041" priority="14983" operator="equal">
      <formula>1</formula>
    </cfRule>
    <cfRule type="cellIs" dxfId="6040" priority="14984" operator="equal">
      <formula>"×"</formula>
    </cfRule>
  </conditionalFormatting>
  <conditionalFormatting sqref="AC11:AC13">
    <cfRule type="cellIs" dxfId="6039" priority="15031" operator="equal">
      <formula>1</formula>
    </cfRule>
    <cfRule type="cellIs" dxfId="6038" priority="15032" operator="equal">
      <formula>"×"</formula>
    </cfRule>
  </conditionalFormatting>
  <conditionalFormatting sqref="AE11:AE13">
    <cfRule type="cellIs" dxfId="6037" priority="15029" operator="equal">
      <formula>1</formula>
    </cfRule>
    <cfRule type="cellIs" dxfId="6036" priority="15030" operator="equal">
      <formula>"×"</formula>
    </cfRule>
  </conditionalFormatting>
  <conditionalFormatting sqref="AE11:AE13">
    <cfRule type="cellIs" dxfId="6035" priority="15025" operator="equal">
      <formula>1</formula>
    </cfRule>
    <cfRule type="cellIs" dxfId="6034" priority="15026" operator="equal">
      <formula>"×"</formula>
    </cfRule>
  </conditionalFormatting>
  <conditionalFormatting sqref="AD11:AD13">
    <cfRule type="cellIs" dxfId="6033" priority="15027" operator="equal">
      <formula>1</formula>
    </cfRule>
    <cfRule type="cellIs" dxfId="6032" priority="15028" operator="equal">
      <formula>"×"</formula>
    </cfRule>
  </conditionalFormatting>
  <conditionalFormatting sqref="AD11:AD13">
    <cfRule type="cellIs" dxfId="6031" priority="15023" operator="equal">
      <formula>1</formula>
    </cfRule>
    <cfRule type="cellIs" dxfId="6030" priority="15024" operator="equal">
      <formula>"×"</formula>
    </cfRule>
  </conditionalFormatting>
  <conditionalFormatting sqref="AD11:AD13">
    <cfRule type="cellIs" dxfId="6029" priority="15021" operator="equal">
      <formula>1</formula>
    </cfRule>
    <cfRule type="cellIs" dxfId="6028" priority="15022" operator="equal">
      <formula>"×"</formula>
    </cfRule>
  </conditionalFormatting>
  <conditionalFormatting sqref="AD11:AD13">
    <cfRule type="cellIs" dxfId="6027" priority="15019" operator="equal">
      <formula>1</formula>
    </cfRule>
    <cfRule type="cellIs" dxfId="6026" priority="15020" operator="equal">
      <formula>"×"</formula>
    </cfRule>
  </conditionalFormatting>
  <conditionalFormatting sqref="AE11:AE13">
    <cfRule type="cellIs" dxfId="6025" priority="15017" operator="equal">
      <formula>1</formula>
    </cfRule>
    <cfRule type="cellIs" dxfId="6024" priority="15018" operator="equal">
      <formula>"×"</formula>
    </cfRule>
  </conditionalFormatting>
  <conditionalFormatting sqref="AE11:AE13">
    <cfRule type="cellIs" dxfId="6023" priority="15013" operator="equal">
      <formula>1</formula>
    </cfRule>
    <cfRule type="cellIs" dxfId="6022" priority="15014" operator="equal">
      <formula>"×"</formula>
    </cfRule>
  </conditionalFormatting>
  <conditionalFormatting sqref="AD11:AD13">
    <cfRule type="cellIs" dxfId="6021" priority="15015" operator="equal">
      <formula>1</formula>
    </cfRule>
    <cfRule type="cellIs" dxfId="6020" priority="15016" operator="equal">
      <formula>"×"</formula>
    </cfRule>
  </conditionalFormatting>
  <conditionalFormatting sqref="AD11:AD13">
    <cfRule type="cellIs" dxfId="6019" priority="15011" operator="equal">
      <formula>1</formula>
    </cfRule>
    <cfRule type="cellIs" dxfId="6018" priority="15012" operator="equal">
      <formula>"×"</formula>
    </cfRule>
  </conditionalFormatting>
  <conditionalFormatting sqref="AD11:AD13">
    <cfRule type="cellIs" dxfId="6017" priority="15009" operator="equal">
      <formula>1</formula>
    </cfRule>
    <cfRule type="cellIs" dxfId="6016" priority="15010" operator="equal">
      <formula>"×"</formula>
    </cfRule>
  </conditionalFormatting>
  <conditionalFormatting sqref="AD11:AD13">
    <cfRule type="cellIs" dxfId="6015" priority="15007" operator="equal">
      <formula>1</formula>
    </cfRule>
    <cfRule type="cellIs" dxfId="6014" priority="15008" operator="equal">
      <formula>"×"</formula>
    </cfRule>
  </conditionalFormatting>
  <conditionalFormatting sqref="AE11:AE13">
    <cfRule type="cellIs" dxfId="6013" priority="15005" operator="equal">
      <formula>1</formula>
    </cfRule>
    <cfRule type="cellIs" dxfId="6012" priority="15006" operator="equal">
      <formula>"×"</formula>
    </cfRule>
  </conditionalFormatting>
  <conditionalFormatting sqref="AE11:AE13">
    <cfRule type="cellIs" dxfId="6011" priority="15001" operator="equal">
      <formula>1</formula>
    </cfRule>
    <cfRule type="cellIs" dxfId="6010" priority="15002" operator="equal">
      <formula>"×"</formula>
    </cfRule>
  </conditionalFormatting>
  <conditionalFormatting sqref="AD11:AD13">
    <cfRule type="cellIs" dxfId="6009" priority="15003" operator="equal">
      <formula>1</formula>
    </cfRule>
    <cfRule type="cellIs" dxfId="6008" priority="15004" operator="equal">
      <formula>"×"</formula>
    </cfRule>
  </conditionalFormatting>
  <conditionalFormatting sqref="AD11:AD13">
    <cfRule type="cellIs" dxfId="6007" priority="14999" operator="equal">
      <formula>1</formula>
    </cfRule>
    <cfRule type="cellIs" dxfId="6006" priority="15000" operator="equal">
      <formula>"×"</formula>
    </cfRule>
  </conditionalFormatting>
  <conditionalFormatting sqref="AD11:AD13">
    <cfRule type="cellIs" dxfId="6005" priority="14997" operator="equal">
      <formula>1</formula>
    </cfRule>
    <cfRule type="cellIs" dxfId="6004" priority="14998" operator="equal">
      <formula>"×"</formula>
    </cfRule>
  </conditionalFormatting>
  <conditionalFormatting sqref="AD11:AD13">
    <cfRule type="cellIs" dxfId="6003" priority="14995" operator="equal">
      <formula>1</formula>
    </cfRule>
    <cfRule type="cellIs" dxfId="6002" priority="14996" operator="equal">
      <formula>"×"</formula>
    </cfRule>
  </conditionalFormatting>
  <conditionalFormatting sqref="AC11:AE13">
    <cfRule type="cellIs" dxfId="6001" priority="14979" operator="equal">
      <formula>1</formula>
    </cfRule>
    <cfRule type="cellIs" dxfId="6000" priority="14980" operator="equal">
      <formula>"×"</formula>
    </cfRule>
  </conditionalFormatting>
  <conditionalFormatting sqref="AB11:AB13">
    <cfRule type="cellIs" dxfId="5999" priority="14977" operator="equal">
      <formula>1</formula>
    </cfRule>
    <cfRule type="cellIs" dxfId="5998" priority="14978" operator="equal">
      <formula>"×"</formula>
    </cfRule>
  </conditionalFormatting>
  <conditionalFormatting sqref="AE11:AE13">
    <cfRule type="cellIs" dxfId="5997" priority="14951" operator="equal">
      <formula>1</formula>
    </cfRule>
    <cfRule type="cellIs" dxfId="5996" priority="14952" operator="equal">
      <formula>"×"</formula>
    </cfRule>
  </conditionalFormatting>
  <conditionalFormatting sqref="AE11:AE13">
    <cfRule type="cellIs" dxfId="5995" priority="14949" operator="equal">
      <formula>1</formula>
    </cfRule>
    <cfRule type="cellIs" dxfId="5994" priority="14950" operator="equal">
      <formula>"×"</formula>
    </cfRule>
  </conditionalFormatting>
  <conditionalFormatting sqref="AE11:AE13">
    <cfRule type="cellIs" dxfId="5993" priority="14945" operator="equal">
      <formula>1</formula>
    </cfRule>
    <cfRule type="cellIs" dxfId="5992" priority="14946" operator="equal">
      <formula>"×"</formula>
    </cfRule>
  </conditionalFormatting>
  <conditionalFormatting sqref="AE11:AE13">
    <cfRule type="cellIs" dxfId="5991" priority="14947" operator="equal">
      <formula>1</formula>
    </cfRule>
    <cfRule type="cellIs" dxfId="5990" priority="14948" operator="equal">
      <formula>"×"</formula>
    </cfRule>
  </conditionalFormatting>
  <conditionalFormatting sqref="AE11:AE13">
    <cfRule type="cellIs" dxfId="5989" priority="14975" operator="equal">
      <formula>1</formula>
    </cfRule>
    <cfRule type="cellIs" dxfId="5988" priority="14976" operator="equal">
      <formula>"×"</formula>
    </cfRule>
  </conditionalFormatting>
  <conditionalFormatting sqref="AE11:AE13">
    <cfRule type="cellIs" dxfId="5987" priority="14973" operator="equal">
      <formula>1</formula>
    </cfRule>
    <cfRule type="cellIs" dxfId="5986" priority="14974" operator="equal">
      <formula>"×"</formula>
    </cfRule>
  </conditionalFormatting>
  <conditionalFormatting sqref="AE11:AE13">
    <cfRule type="cellIs" dxfId="5985" priority="14971" operator="equal">
      <formula>1</formula>
    </cfRule>
    <cfRule type="cellIs" dxfId="5984" priority="14972" operator="equal">
      <formula>"×"</formula>
    </cfRule>
  </conditionalFormatting>
  <conditionalFormatting sqref="AE11:AE13">
    <cfRule type="cellIs" dxfId="5983" priority="14969" operator="equal">
      <formula>1</formula>
    </cfRule>
    <cfRule type="cellIs" dxfId="5982" priority="14970" operator="equal">
      <formula>"×"</formula>
    </cfRule>
  </conditionalFormatting>
  <conditionalFormatting sqref="AE11:AE13">
    <cfRule type="cellIs" dxfId="5981" priority="14967" operator="equal">
      <formula>1</formula>
    </cfRule>
    <cfRule type="cellIs" dxfId="5980" priority="14968" operator="equal">
      <formula>"×"</formula>
    </cfRule>
  </conditionalFormatting>
  <conditionalFormatting sqref="AE11:AE13">
    <cfRule type="cellIs" dxfId="5979" priority="14965" operator="equal">
      <formula>1</formula>
    </cfRule>
    <cfRule type="cellIs" dxfId="5978" priority="14966" operator="equal">
      <formula>"×"</formula>
    </cfRule>
  </conditionalFormatting>
  <conditionalFormatting sqref="AE11:AE13">
    <cfRule type="cellIs" dxfId="5977" priority="14963" operator="equal">
      <formula>1</formula>
    </cfRule>
    <cfRule type="cellIs" dxfId="5976" priority="14964" operator="equal">
      <formula>"×"</formula>
    </cfRule>
  </conditionalFormatting>
  <conditionalFormatting sqref="AE11:AE13">
    <cfRule type="cellIs" dxfId="5975" priority="14961" operator="equal">
      <formula>1</formula>
    </cfRule>
    <cfRule type="cellIs" dxfId="5974" priority="14962" operator="equal">
      <formula>"×"</formula>
    </cfRule>
  </conditionalFormatting>
  <conditionalFormatting sqref="AE11:AE13">
    <cfRule type="cellIs" dxfId="5973" priority="14959" operator="equal">
      <formula>1</formula>
    </cfRule>
    <cfRule type="cellIs" dxfId="5972" priority="14960" operator="equal">
      <formula>"×"</formula>
    </cfRule>
  </conditionalFormatting>
  <conditionalFormatting sqref="AE11:AE13">
    <cfRule type="cellIs" dxfId="5971" priority="14957" operator="equal">
      <formula>1</formula>
    </cfRule>
    <cfRule type="cellIs" dxfId="5970" priority="14958" operator="equal">
      <formula>"×"</formula>
    </cfRule>
  </conditionalFormatting>
  <conditionalFormatting sqref="AE11:AE13">
    <cfRule type="cellIs" dxfId="5969" priority="14955" operator="equal">
      <formula>1</formula>
    </cfRule>
    <cfRule type="cellIs" dxfId="5968" priority="14956" operator="equal">
      <formula>"×"</formula>
    </cfRule>
  </conditionalFormatting>
  <conditionalFormatting sqref="AE11:AE13">
    <cfRule type="cellIs" dxfId="5967" priority="14953" operator="equal">
      <formula>1</formula>
    </cfRule>
    <cfRule type="cellIs" dxfId="5966" priority="14954" operator="equal">
      <formula>"×"</formula>
    </cfRule>
  </conditionalFormatting>
  <conditionalFormatting sqref="AC13">
    <cfRule type="cellIs" dxfId="5965" priority="14917" operator="equal">
      <formula>1</formula>
    </cfRule>
    <cfRule type="cellIs" dxfId="5964" priority="14918" operator="equal">
      <formula>"×"</formula>
    </cfRule>
  </conditionalFormatting>
  <conditionalFormatting sqref="AD13">
    <cfRule type="cellIs" dxfId="5963" priority="14915" operator="equal">
      <formula>1</formula>
    </cfRule>
    <cfRule type="cellIs" dxfId="5962" priority="14916" operator="equal">
      <formula>"×"</formula>
    </cfRule>
  </conditionalFormatting>
  <conditionalFormatting sqref="AD13">
    <cfRule type="cellIs" dxfId="5961" priority="14913" operator="equal">
      <formula>1</formula>
    </cfRule>
    <cfRule type="cellIs" dxfId="5960" priority="14914" operator="equal">
      <formula>"×"</formula>
    </cfRule>
  </conditionalFormatting>
  <conditionalFormatting sqref="AD13">
    <cfRule type="cellIs" dxfId="5959" priority="14909" operator="equal">
      <formula>1</formula>
    </cfRule>
    <cfRule type="cellIs" dxfId="5958" priority="14910" operator="equal">
      <formula>"×"</formula>
    </cfRule>
  </conditionalFormatting>
  <conditionalFormatting sqref="AD13">
    <cfRule type="cellIs" dxfId="5957" priority="14911" operator="equal">
      <formula>1</formula>
    </cfRule>
    <cfRule type="cellIs" dxfId="5956" priority="14912" operator="equal">
      <formula>"×"</formula>
    </cfRule>
  </conditionalFormatting>
  <conditionalFormatting sqref="AC13">
    <cfRule type="cellIs" dxfId="5955" priority="14943" operator="equal">
      <formula>1</formula>
    </cfRule>
    <cfRule type="cellIs" dxfId="5954" priority="14944" operator="equal">
      <formula>"×"</formula>
    </cfRule>
  </conditionalFormatting>
  <conditionalFormatting sqref="AD13">
    <cfRule type="cellIs" dxfId="5953" priority="14941" operator="equal">
      <formula>1</formula>
    </cfRule>
    <cfRule type="cellIs" dxfId="5952" priority="14942" operator="equal">
      <formula>"×"</formula>
    </cfRule>
  </conditionalFormatting>
  <conditionalFormatting sqref="AD13">
    <cfRule type="cellIs" dxfId="5951" priority="14939" operator="equal">
      <formula>1</formula>
    </cfRule>
    <cfRule type="cellIs" dxfId="5950" priority="14940" operator="equal">
      <formula>"×"</formula>
    </cfRule>
  </conditionalFormatting>
  <conditionalFormatting sqref="AD13">
    <cfRule type="cellIs" dxfId="5949" priority="14937" operator="equal">
      <formula>1</formula>
    </cfRule>
    <cfRule type="cellIs" dxfId="5948" priority="14938" operator="equal">
      <formula>"×"</formula>
    </cfRule>
  </conditionalFormatting>
  <conditionalFormatting sqref="AD13">
    <cfRule type="cellIs" dxfId="5947" priority="14935" operator="equal">
      <formula>1</formula>
    </cfRule>
    <cfRule type="cellIs" dxfId="5946" priority="14936" operator="equal">
      <formula>"×"</formula>
    </cfRule>
  </conditionalFormatting>
  <conditionalFormatting sqref="AD13">
    <cfRule type="cellIs" dxfId="5945" priority="14933" operator="equal">
      <formula>1</formula>
    </cfRule>
    <cfRule type="cellIs" dxfId="5944" priority="14934" operator="equal">
      <formula>"×"</formula>
    </cfRule>
  </conditionalFormatting>
  <conditionalFormatting sqref="AD13">
    <cfRule type="cellIs" dxfId="5943" priority="14931" operator="equal">
      <formula>1</formula>
    </cfRule>
    <cfRule type="cellIs" dxfId="5942" priority="14932" operator="equal">
      <formula>"×"</formula>
    </cfRule>
  </conditionalFormatting>
  <conditionalFormatting sqref="AD13">
    <cfRule type="cellIs" dxfId="5941" priority="14929" operator="equal">
      <formula>1</formula>
    </cfRule>
    <cfRule type="cellIs" dxfId="5940" priority="14930" operator="equal">
      <formula>"×"</formula>
    </cfRule>
  </conditionalFormatting>
  <conditionalFormatting sqref="AD13">
    <cfRule type="cellIs" dxfId="5939" priority="14927" operator="equal">
      <formula>1</formula>
    </cfRule>
    <cfRule type="cellIs" dxfId="5938" priority="14928" operator="equal">
      <formula>"×"</formula>
    </cfRule>
  </conditionalFormatting>
  <conditionalFormatting sqref="AD13">
    <cfRule type="cellIs" dxfId="5937" priority="14925" operator="equal">
      <formula>1</formula>
    </cfRule>
    <cfRule type="cellIs" dxfId="5936" priority="14926" operator="equal">
      <formula>"×"</formula>
    </cfRule>
  </conditionalFormatting>
  <conditionalFormatting sqref="AD13">
    <cfRule type="cellIs" dxfId="5935" priority="14923" operator="equal">
      <formula>1</formula>
    </cfRule>
    <cfRule type="cellIs" dxfId="5934" priority="14924" operator="equal">
      <formula>"×"</formula>
    </cfRule>
  </conditionalFormatting>
  <conditionalFormatting sqref="AD13">
    <cfRule type="cellIs" dxfId="5933" priority="14921" operator="equal">
      <formula>1</formula>
    </cfRule>
    <cfRule type="cellIs" dxfId="5932" priority="14922" operator="equal">
      <formula>"×"</formula>
    </cfRule>
  </conditionalFormatting>
  <conditionalFormatting sqref="AD13">
    <cfRule type="cellIs" dxfId="5931" priority="14919" operator="equal">
      <formula>1</formula>
    </cfRule>
    <cfRule type="cellIs" dxfId="5930" priority="14920" operator="equal">
      <formula>"×"</formula>
    </cfRule>
  </conditionalFormatting>
  <conditionalFormatting sqref="AC13:AD13">
    <cfRule type="cellIs" dxfId="5929" priority="14907" operator="equal">
      <formula>1</formula>
    </cfRule>
    <cfRule type="cellIs" dxfId="5928" priority="14908" operator="equal">
      <formula>"×"</formula>
    </cfRule>
  </conditionalFormatting>
  <conditionalFormatting sqref="AB13">
    <cfRule type="cellIs" dxfId="5927" priority="14905" operator="equal">
      <formula>1</formula>
    </cfRule>
    <cfRule type="cellIs" dxfId="5926" priority="14906" operator="equal">
      <formula>"×"</formula>
    </cfRule>
  </conditionalFormatting>
  <conditionalFormatting sqref="AG17:AH19">
    <cfRule type="cellIs" dxfId="5925" priority="14903" operator="equal">
      <formula>1</formula>
    </cfRule>
    <cfRule type="cellIs" dxfId="5924" priority="14904" operator="equal">
      <formula>"×"</formula>
    </cfRule>
  </conditionalFormatting>
  <conditionalFormatting sqref="AF13">
    <cfRule type="cellIs" dxfId="5923" priority="14885" operator="equal">
      <formula>1</formula>
    </cfRule>
    <cfRule type="cellIs" dxfId="5922" priority="14886" operator="equal">
      <formula>"×"</formula>
    </cfRule>
  </conditionalFormatting>
  <conditionalFormatting sqref="AF13">
    <cfRule type="cellIs" dxfId="5921" priority="14883" operator="equal">
      <formula>1</formula>
    </cfRule>
    <cfRule type="cellIs" dxfId="5920" priority="14884" operator="equal">
      <formula>"×"</formula>
    </cfRule>
  </conditionalFormatting>
  <conditionalFormatting sqref="AI13">
    <cfRule type="cellIs" dxfId="5919" priority="14899" operator="equal">
      <formula>1</formula>
    </cfRule>
    <cfRule type="cellIs" dxfId="5918" priority="14900" operator="equal">
      <formula>"×"</formula>
    </cfRule>
  </conditionalFormatting>
  <conditionalFormatting sqref="AF13:AI13">
    <cfRule type="cellIs" dxfId="5917" priority="14901" operator="equal">
      <formula>1</formula>
    </cfRule>
    <cfRule type="cellIs" dxfId="5916" priority="14902" operator="equal">
      <formula>"×"</formula>
    </cfRule>
  </conditionalFormatting>
  <conditionalFormatting sqref="AF13:AI14 AF17:AI19">
    <cfRule type="cellIs" dxfId="5915" priority="14897" operator="equal">
      <formula>1</formula>
    </cfRule>
    <cfRule type="cellIs" dxfId="5914" priority="14898" operator="equal">
      <formula>"×"</formula>
    </cfRule>
  </conditionalFormatting>
  <conditionalFormatting sqref="AF17">
    <cfRule type="cellIs" dxfId="5913" priority="14895" operator="equal">
      <formula>1</formula>
    </cfRule>
    <cfRule type="cellIs" dxfId="5912" priority="14896" operator="equal">
      <formula>"×"</formula>
    </cfRule>
  </conditionalFormatting>
  <conditionalFormatting sqref="AF17">
    <cfRule type="cellIs" dxfId="5911" priority="14893" operator="equal">
      <formula>1</formula>
    </cfRule>
    <cfRule type="cellIs" dxfId="5910" priority="14894" operator="equal">
      <formula>"×"</formula>
    </cfRule>
  </conditionalFormatting>
  <conditionalFormatting sqref="AF17:AI17">
    <cfRule type="cellIs" dxfId="5909" priority="14891" operator="equal">
      <formula>1</formula>
    </cfRule>
    <cfRule type="cellIs" dxfId="5908" priority="14892" operator="equal">
      <formula>"×"</formula>
    </cfRule>
  </conditionalFormatting>
  <conditionalFormatting sqref="AI17">
    <cfRule type="cellIs" dxfId="5907" priority="14889" operator="equal">
      <formula>1</formula>
    </cfRule>
    <cfRule type="cellIs" dxfId="5906" priority="14890" operator="equal">
      <formula>"×"</formula>
    </cfRule>
  </conditionalFormatting>
  <conditionalFormatting sqref="AF17:AI17">
    <cfRule type="cellIs" dxfId="5905" priority="14887" operator="equal">
      <formula>1</formula>
    </cfRule>
    <cfRule type="cellIs" dxfId="5904" priority="14888" operator="equal">
      <formula>"×"</formula>
    </cfRule>
  </conditionalFormatting>
  <conditionalFormatting sqref="AF13:AF14 AF17:AF19">
    <cfRule type="cellIs" dxfId="5903" priority="14843" operator="equal">
      <formula>1</formula>
    </cfRule>
    <cfRule type="cellIs" dxfId="5902" priority="14844" operator="equal">
      <formula>"×"</formula>
    </cfRule>
  </conditionalFormatting>
  <conditionalFormatting sqref="AF13:AF14 AF17:AF19">
    <cfRule type="cellIs" dxfId="5901" priority="14841" operator="equal">
      <formula>1</formula>
    </cfRule>
    <cfRule type="cellIs" dxfId="5900" priority="14842" operator="equal">
      <formula>"×"</formula>
    </cfRule>
  </conditionalFormatting>
  <conditionalFormatting sqref="AF13:AF14 AF17:AF19">
    <cfRule type="cellIs" dxfId="5899" priority="14839" operator="equal">
      <formula>1</formula>
    </cfRule>
    <cfRule type="cellIs" dxfId="5898" priority="14840" operator="equal">
      <formula>"×"</formula>
    </cfRule>
  </conditionalFormatting>
  <conditionalFormatting sqref="AF13:AF14 AF17:AF19">
    <cfRule type="cellIs" dxfId="5897" priority="14837" operator="equal">
      <formula>1</formula>
    </cfRule>
    <cfRule type="cellIs" dxfId="5896" priority="14838" operator="equal">
      <formula>"×"</formula>
    </cfRule>
  </conditionalFormatting>
  <conditionalFormatting sqref="AF13:AF14 AF17:AF19">
    <cfRule type="cellIs" dxfId="5895" priority="14835" operator="equal">
      <formula>1</formula>
    </cfRule>
    <cfRule type="cellIs" dxfId="5894" priority="14836" operator="equal">
      <formula>"×"</formula>
    </cfRule>
  </conditionalFormatting>
  <conditionalFormatting sqref="AF13:AF14 AF17:AF19">
    <cfRule type="cellIs" dxfId="5893" priority="14833" operator="equal">
      <formula>1</formula>
    </cfRule>
    <cfRule type="cellIs" dxfId="5892" priority="14834" operator="equal">
      <formula>"×"</formula>
    </cfRule>
  </conditionalFormatting>
  <conditionalFormatting sqref="AG17:AI19">
    <cfRule type="cellIs" dxfId="5891" priority="14831" operator="equal">
      <formula>1</formula>
    </cfRule>
    <cfRule type="cellIs" dxfId="5890" priority="14832" operator="equal">
      <formula>"×"</formula>
    </cfRule>
  </conditionalFormatting>
  <conditionalFormatting sqref="AG17:AI19">
    <cfRule type="cellIs" dxfId="5889" priority="14827" operator="equal">
      <formula>1</formula>
    </cfRule>
    <cfRule type="cellIs" dxfId="5888" priority="14828" operator="equal">
      <formula>"×"</formula>
    </cfRule>
  </conditionalFormatting>
  <conditionalFormatting sqref="AI17:AI19">
    <cfRule type="cellIs" dxfId="5887" priority="14829" operator="equal">
      <formula>1</formula>
    </cfRule>
    <cfRule type="cellIs" dxfId="5886" priority="14830" operator="equal">
      <formula>"×"</formula>
    </cfRule>
  </conditionalFormatting>
  <conditionalFormatting sqref="AG17:AI19">
    <cfRule type="cellIs" dxfId="5885" priority="14825" operator="equal">
      <formula>1</formula>
    </cfRule>
    <cfRule type="cellIs" dxfId="5884" priority="14826" operator="equal">
      <formula>"×"</formula>
    </cfRule>
  </conditionalFormatting>
  <conditionalFormatting sqref="AI17:AI19">
    <cfRule type="cellIs" dxfId="5883" priority="14823" operator="equal">
      <formula>1</formula>
    </cfRule>
    <cfRule type="cellIs" dxfId="5882" priority="14824" operator="equal">
      <formula>"×"</formula>
    </cfRule>
  </conditionalFormatting>
  <conditionalFormatting sqref="AG17:AI19">
    <cfRule type="cellIs" dxfId="5881" priority="14821" operator="equal">
      <formula>1</formula>
    </cfRule>
    <cfRule type="cellIs" dxfId="5880" priority="14822" operator="equal">
      <formula>"×"</formula>
    </cfRule>
  </conditionalFormatting>
  <conditionalFormatting sqref="AI17:AI19">
    <cfRule type="cellIs" dxfId="5879" priority="14819" operator="equal">
      <formula>1</formula>
    </cfRule>
    <cfRule type="cellIs" dxfId="5878" priority="14820" operator="equal">
      <formula>"×"</formula>
    </cfRule>
  </conditionalFormatting>
  <conditionalFormatting sqref="AI17:AI19">
    <cfRule type="cellIs" dxfId="5877" priority="14817" operator="equal">
      <formula>1</formula>
    </cfRule>
    <cfRule type="cellIs" dxfId="5876" priority="14818" operator="equal">
      <formula>"×"</formula>
    </cfRule>
  </conditionalFormatting>
  <conditionalFormatting sqref="AI17:AI19">
    <cfRule type="cellIs" dxfId="5875" priority="14815" operator="equal">
      <formula>1</formula>
    </cfRule>
    <cfRule type="cellIs" dxfId="5874" priority="14816" operator="equal">
      <formula>"×"</formula>
    </cfRule>
  </conditionalFormatting>
  <conditionalFormatting sqref="AI17:AI19">
    <cfRule type="cellIs" dxfId="5873" priority="14813" operator="equal">
      <formula>1</formula>
    </cfRule>
    <cfRule type="cellIs" dxfId="5872" priority="14814" operator="equal">
      <formula>"×"</formula>
    </cfRule>
  </conditionalFormatting>
  <conditionalFormatting sqref="AI17:AI19">
    <cfRule type="cellIs" dxfId="5871" priority="14811" operator="equal">
      <formula>1</formula>
    </cfRule>
    <cfRule type="cellIs" dxfId="5870" priority="14812" operator="equal">
      <formula>"×"</formula>
    </cfRule>
  </conditionalFormatting>
  <conditionalFormatting sqref="AI17:AI19">
    <cfRule type="cellIs" dxfId="5869" priority="14809" operator="equal">
      <formula>1</formula>
    </cfRule>
    <cfRule type="cellIs" dxfId="5868" priority="14810" operator="equal">
      <formula>"×"</formula>
    </cfRule>
  </conditionalFormatting>
  <conditionalFormatting sqref="AF17">
    <cfRule type="cellIs" dxfId="5867" priority="14807" operator="equal">
      <formula>1</formula>
    </cfRule>
    <cfRule type="cellIs" dxfId="5866" priority="14808" operator="equal">
      <formula>"×"</formula>
    </cfRule>
  </conditionalFormatting>
  <conditionalFormatting sqref="AF17">
    <cfRule type="cellIs" dxfId="5865" priority="14805" operator="equal">
      <formula>1</formula>
    </cfRule>
    <cfRule type="cellIs" dxfId="5864" priority="14806" operator="equal">
      <formula>"×"</formula>
    </cfRule>
  </conditionalFormatting>
  <conditionalFormatting sqref="AF13:AF14 AF17:AF19">
    <cfRule type="cellIs" dxfId="5863" priority="14803" operator="equal">
      <formula>1</formula>
    </cfRule>
    <cfRule type="cellIs" dxfId="5862" priority="14804" operator="equal">
      <formula>"×"</formula>
    </cfRule>
  </conditionalFormatting>
  <conditionalFormatting sqref="AF13:AF14 AF17:AF19">
    <cfRule type="cellIs" dxfId="5861" priority="14801" operator="equal">
      <formula>1</formula>
    </cfRule>
    <cfRule type="cellIs" dxfId="5860" priority="14802" operator="equal">
      <formula>"×"</formula>
    </cfRule>
  </conditionalFormatting>
  <conditionalFormatting sqref="AF17">
    <cfRule type="cellIs" dxfId="5859" priority="14799" operator="equal">
      <formula>1</formula>
    </cfRule>
    <cfRule type="cellIs" dxfId="5858" priority="14800" operator="equal">
      <formula>"×"</formula>
    </cfRule>
  </conditionalFormatting>
  <conditionalFormatting sqref="AF17">
    <cfRule type="cellIs" dxfId="5857" priority="14797" operator="equal">
      <formula>1</formula>
    </cfRule>
    <cfRule type="cellIs" dxfId="5856" priority="14798" operator="equal">
      <formula>"×"</formula>
    </cfRule>
  </conditionalFormatting>
  <conditionalFormatting sqref="AF13:AF14 AF17:AI19">
    <cfRule type="cellIs" dxfId="5855" priority="14795" operator="equal">
      <formula>1</formula>
    </cfRule>
    <cfRule type="cellIs" dxfId="5854" priority="14796" operator="equal">
      <formula>"×"</formula>
    </cfRule>
  </conditionalFormatting>
  <conditionalFormatting sqref="AI18">
    <cfRule type="cellIs" dxfId="5853" priority="14793" operator="equal">
      <formula>1</formula>
    </cfRule>
    <cfRule type="cellIs" dxfId="5852" priority="14794" operator="equal">
      <formula>"×"</formula>
    </cfRule>
  </conditionalFormatting>
  <conditionalFormatting sqref="AF13:AF14 AF17:AI19">
    <cfRule type="cellIs" dxfId="5851" priority="14791" operator="equal">
      <formula>1</formula>
    </cfRule>
    <cfRule type="cellIs" dxfId="5850" priority="14792" operator="equal">
      <formula>"×"</formula>
    </cfRule>
  </conditionalFormatting>
  <conditionalFormatting sqref="AH16:AI16">
    <cfRule type="cellIs" dxfId="5849" priority="14749" operator="equal">
      <formula>1</formula>
    </cfRule>
    <cfRule type="cellIs" dxfId="5848" priority="14750" operator="equal">
      <formula>"×"</formula>
    </cfRule>
  </conditionalFormatting>
  <conditionalFormatting sqref="AI16">
    <cfRule type="cellIs" dxfId="5847" priority="14747" operator="equal">
      <formula>1</formula>
    </cfRule>
    <cfRule type="cellIs" dxfId="5846" priority="14748" operator="equal">
      <formula>"×"</formula>
    </cfRule>
  </conditionalFormatting>
  <conditionalFormatting sqref="AH16:AI16">
    <cfRule type="cellIs" dxfId="5845" priority="14745" operator="equal">
      <formula>1</formula>
    </cfRule>
    <cfRule type="cellIs" dxfId="5844" priority="14746" operator="equal">
      <formula>"×"</formula>
    </cfRule>
  </conditionalFormatting>
  <conditionalFormatting sqref="AF13:AG13">
    <cfRule type="cellIs" dxfId="5843" priority="14719" operator="equal">
      <formula>1</formula>
    </cfRule>
    <cfRule type="cellIs" dxfId="5842" priority="14720" operator="equal">
      <formula>"×"</formula>
    </cfRule>
  </conditionalFormatting>
  <conditionalFormatting sqref="AF13:AG13">
    <cfRule type="cellIs" dxfId="5841" priority="14717" operator="equal">
      <formula>1</formula>
    </cfRule>
    <cfRule type="cellIs" dxfId="5840" priority="14718" operator="equal">
      <formula>"×"</formula>
    </cfRule>
  </conditionalFormatting>
  <conditionalFormatting sqref="AF13:AG13">
    <cfRule type="cellIs" dxfId="5839" priority="14713" operator="equal">
      <formula>1</formula>
    </cfRule>
    <cfRule type="cellIs" dxfId="5838" priority="14714" operator="equal">
      <formula>"×"</formula>
    </cfRule>
  </conditionalFormatting>
  <conditionalFormatting sqref="AF13:AG13">
    <cfRule type="cellIs" dxfId="5837" priority="14715" operator="equal">
      <formula>1</formula>
    </cfRule>
    <cfRule type="cellIs" dxfId="5836" priority="14716" operator="equal">
      <formula>"×"</formula>
    </cfRule>
  </conditionalFormatting>
  <conditionalFormatting sqref="AF13:AG13">
    <cfRule type="cellIs" dxfId="5835" priority="14743" operator="equal">
      <formula>1</formula>
    </cfRule>
    <cfRule type="cellIs" dxfId="5834" priority="14744" operator="equal">
      <formula>"×"</formula>
    </cfRule>
  </conditionalFormatting>
  <conditionalFormatting sqref="AF13:AG13">
    <cfRule type="cellIs" dxfId="5833" priority="14741" operator="equal">
      <formula>1</formula>
    </cfRule>
    <cfRule type="cellIs" dxfId="5832" priority="14742" operator="equal">
      <formula>"×"</formula>
    </cfRule>
  </conditionalFormatting>
  <conditionalFormatting sqref="AF13:AG13">
    <cfRule type="cellIs" dxfId="5831" priority="14739" operator="equal">
      <formula>1</formula>
    </cfRule>
    <cfRule type="cellIs" dxfId="5830" priority="14740" operator="equal">
      <formula>"×"</formula>
    </cfRule>
  </conditionalFormatting>
  <conditionalFormatting sqref="AF13:AG13">
    <cfRule type="cellIs" dxfId="5829" priority="14737" operator="equal">
      <formula>1</formula>
    </cfRule>
    <cfRule type="cellIs" dxfId="5828" priority="14738" operator="equal">
      <formula>"×"</formula>
    </cfRule>
  </conditionalFormatting>
  <conditionalFormatting sqref="AF13:AG13">
    <cfRule type="cellIs" dxfId="5827" priority="14735" operator="equal">
      <formula>1</formula>
    </cfRule>
    <cfRule type="cellIs" dxfId="5826" priority="14736" operator="equal">
      <formula>"×"</formula>
    </cfRule>
  </conditionalFormatting>
  <conditionalFormatting sqref="AF13:AG13">
    <cfRule type="cellIs" dxfId="5825" priority="14733" operator="equal">
      <formula>1</formula>
    </cfRule>
    <cfRule type="cellIs" dxfId="5824" priority="14734" operator="equal">
      <formula>"×"</formula>
    </cfRule>
  </conditionalFormatting>
  <conditionalFormatting sqref="AF13:AG13">
    <cfRule type="cellIs" dxfId="5823" priority="14731" operator="equal">
      <formula>1</formula>
    </cfRule>
    <cfRule type="cellIs" dxfId="5822" priority="14732" operator="equal">
      <formula>"×"</formula>
    </cfRule>
  </conditionalFormatting>
  <conditionalFormatting sqref="AF13:AG13">
    <cfRule type="cellIs" dxfId="5821" priority="14729" operator="equal">
      <formula>1</formula>
    </cfRule>
    <cfRule type="cellIs" dxfId="5820" priority="14730" operator="equal">
      <formula>"×"</formula>
    </cfRule>
  </conditionalFormatting>
  <conditionalFormatting sqref="AF13:AG13">
    <cfRule type="cellIs" dxfId="5819" priority="14727" operator="equal">
      <formula>1</formula>
    </cfRule>
    <cfRule type="cellIs" dxfId="5818" priority="14728" operator="equal">
      <formula>"×"</formula>
    </cfRule>
  </conditionalFormatting>
  <conditionalFormatting sqref="AF13:AG13">
    <cfRule type="cellIs" dxfId="5817" priority="14725" operator="equal">
      <formula>1</formula>
    </cfRule>
    <cfRule type="cellIs" dxfId="5816" priority="14726" operator="equal">
      <formula>"×"</formula>
    </cfRule>
  </conditionalFormatting>
  <conditionalFormatting sqref="AF13:AG13">
    <cfRule type="cellIs" dxfId="5815" priority="14723" operator="equal">
      <formula>1</formula>
    </cfRule>
    <cfRule type="cellIs" dxfId="5814" priority="14724" operator="equal">
      <formula>"×"</formula>
    </cfRule>
  </conditionalFormatting>
  <conditionalFormatting sqref="AF13:AG13">
    <cfRule type="cellIs" dxfId="5813" priority="14721" operator="equal">
      <formula>1</formula>
    </cfRule>
    <cfRule type="cellIs" dxfId="5812" priority="14722" operator="equal">
      <formula>"×"</formula>
    </cfRule>
  </conditionalFormatting>
  <conditionalFormatting sqref="AH13:AI13">
    <cfRule type="cellIs" dxfId="5811" priority="14687" operator="equal">
      <formula>1</formula>
    </cfRule>
    <cfRule type="cellIs" dxfId="5810" priority="14688" operator="equal">
      <formula>"×"</formula>
    </cfRule>
  </conditionalFormatting>
  <conditionalFormatting sqref="AH13:AI13">
    <cfRule type="cellIs" dxfId="5809" priority="14685" operator="equal">
      <formula>1</formula>
    </cfRule>
    <cfRule type="cellIs" dxfId="5808" priority="14686" operator="equal">
      <formula>"×"</formula>
    </cfRule>
  </conditionalFormatting>
  <conditionalFormatting sqref="AH13:AI13">
    <cfRule type="cellIs" dxfId="5807" priority="14681" operator="equal">
      <formula>1</formula>
    </cfRule>
    <cfRule type="cellIs" dxfId="5806" priority="14682" operator="equal">
      <formula>"×"</formula>
    </cfRule>
  </conditionalFormatting>
  <conditionalFormatting sqref="AH13:AI13">
    <cfRule type="cellIs" dxfId="5805" priority="14683" operator="equal">
      <formula>1</formula>
    </cfRule>
    <cfRule type="cellIs" dxfId="5804" priority="14684" operator="equal">
      <formula>"×"</formula>
    </cfRule>
  </conditionalFormatting>
  <conditionalFormatting sqref="AH13:AI13">
    <cfRule type="cellIs" dxfId="5803" priority="14711" operator="equal">
      <formula>1</formula>
    </cfRule>
    <cfRule type="cellIs" dxfId="5802" priority="14712" operator="equal">
      <formula>"×"</formula>
    </cfRule>
  </conditionalFormatting>
  <conditionalFormatting sqref="AH13:AI13">
    <cfRule type="cellIs" dxfId="5801" priority="14709" operator="equal">
      <formula>1</formula>
    </cfRule>
    <cfRule type="cellIs" dxfId="5800" priority="14710" operator="equal">
      <formula>"×"</formula>
    </cfRule>
  </conditionalFormatting>
  <conditionalFormatting sqref="AH13:AI13">
    <cfRule type="cellIs" dxfId="5799" priority="14707" operator="equal">
      <formula>1</formula>
    </cfRule>
    <cfRule type="cellIs" dxfId="5798" priority="14708" operator="equal">
      <formula>"×"</formula>
    </cfRule>
  </conditionalFormatting>
  <conditionalFormatting sqref="AH13:AI13">
    <cfRule type="cellIs" dxfId="5797" priority="14705" operator="equal">
      <formula>1</formula>
    </cfRule>
    <cfRule type="cellIs" dxfId="5796" priority="14706" operator="equal">
      <formula>"×"</formula>
    </cfRule>
  </conditionalFormatting>
  <conditionalFormatting sqref="AH13:AI13">
    <cfRule type="cellIs" dxfId="5795" priority="14703" operator="equal">
      <formula>1</formula>
    </cfRule>
    <cfRule type="cellIs" dxfId="5794" priority="14704" operator="equal">
      <formula>"×"</formula>
    </cfRule>
  </conditionalFormatting>
  <conditionalFormatting sqref="AH13:AI13">
    <cfRule type="cellIs" dxfId="5793" priority="14701" operator="equal">
      <formula>1</formula>
    </cfRule>
    <cfRule type="cellIs" dxfId="5792" priority="14702" operator="equal">
      <formula>"×"</formula>
    </cfRule>
  </conditionalFormatting>
  <conditionalFormatting sqref="AH13:AI13">
    <cfRule type="cellIs" dxfId="5791" priority="14699" operator="equal">
      <formula>1</formula>
    </cfRule>
    <cfRule type="cellIs" dxfId="5790" priority="14700" operator="equal">
      <formula>"×"</formula>
    </cfRule>
  </conditionalFormatting>
  <conditionalFormatting sqref="AH13:AI13">
    <cfRule type="cellIs" dxfId="5789" priority="14697" operator="equal">
      <formula>1</formula>
    </cfRule>
    <cfRule type="cellIs" dxfId="5788" priority="14698" operator="equal">
      <formula>"×"</formula>
    </cfRule>
  </conditionalFormatting>
  <conditionalFormatting sqref="AH13:AI13">
    <cfRule type="cellIs" dxfId="5787" priority="14695" operator="equal">
      <formula>1</formula>
    </cfRule>
    <cfRule type="cellIs" dxfId="5786" priority="14696" operator="equal">
      <formula>"×"</formula>
    </cfRule>
  </conditionalFormatting>
  <conditionalFormatting sqref="AH13:AI13">
    <cfRule type="cellIs" dxfId="5785" priority="14693" operator="equal">
      <formula>1</formula>
    </cfRule>
    <cfRule type="cellIs" dxfId="5784" priority="14694" operator="equal">
      <formula>"×"</formula>
    </cfRule>
  </conditionalFormatting>
  <conditionalFormatting sqref="AH13:AI13">
    <cfRule type="cellIs" dxfId="5783" priority="14691" operator="equal">
      <formula>1</formula>
    </cfRule>
    <cfRule type="cellIs" dxfId="5782" priority="14692" operator="equal">
      <formula>"×"</formula>
    </cfRule>
  </conditionalFormatting>
  <conditionalFormatting sqref="AH13:AI13">
    <cfRule type="cellIs" dxfId="5781" priority="14689" operator="equal">
      <formula>1</formula>
    </cfRule>
    <cfRule type="cellIs" dxfId="5780" priority="14690" operator="equal">
      <formula>"×"</formula>
    </cfRule>
  </conditionalFormatting>
  <conditionalFormatting sqref="AH14">
    <cfRule type="cellIs" dxfId="5779" priority="14679" operator="equal">
      <formula>1</formula>
    </cfRule>
    <cfRule type="cellIs" dxfId="5778" priority="14680" operator="equal">
      <formula>"×"</formula>
    </cfRule>
  </conditionalFormatting>
  <conditionalFormatting sqref="AH14">
    <cfRule type="cellIs" dxfId="5777" priority="14677" operator="equal">
      <formula>1</formula>
    </cfRule>
    <cfRule type="cellIs" dxfId="5776" priority="14678" operator="equal">
      <formula>"×"</formula>
    </cfRule>
  </conditionalFormatting>
  <conditionalFormatting sqref="AH14">
    <cfRule type="cellIs" dxfId="5775" priority="14651" operator="equal">
      <formula>1</formula>
    </cfRule>
    <cfRule type="cellIs" dxfId="5774" priority="14652" operator="equal">
      <formula>"×"</formula>
    </cfRule>
  </conditionalFormatting>
  <conditionalFormatting sqref="AH14">
    <cfRule type="cellIs" dxfId="5773" priority="14649" operator="equal">
      <formula>1</formula>
    </cfRule>
    <cfRule type="cellIs" dxfId="5772" priority="14650" operator="equal">
      <formula>"×"</formula>
    </cfRule>
  </conditionalFormatting>
  <conditionalFormatting sqref="AH14">
    <cfRule type="cellIs" dxfId="5771" priority="14645" operator="equal">
      <formula>1</formula>
    </cfRule>
    <cfRule type="cellIs" dxfId="5770" priority="14646" operator="equal">
      <formula>"×"</formula>
    </cfRule>
  </conditionalFormatting>
  <conditionalFormatting sqref="AH14">
    <cfRule type="cellIs" dxfId="5769" priority="14647" operator="equal">
      <formula>1</formula>
    </cfRule>
    <cfRule type="cellIs" dxfId="5768" priority="14648" operator="equal">
      <formula>"×"</formula>
    </cfRule>
  </conditionalFormatting>
  <conditionalFormatting sqref="AH14">
    <cfRule type="cellIs" dxfId="5767" priority="14675" operator="equal">
      <formula>1</formula>
    </cfRule>
    <cfRule type="cellIs" dxfId="5766" priority="14676" operator="equal">
      <formula>"×"</formula>
    </cfRule>
  </conditionalFormatting>
  <conditionalFormatting sqref="AH14">
    <cfRule type="cellIs" dxfId="5765" priority="14673" operator="equal">
      <formula>1</formula>
    </cfRule>
    <cfRule type="cellIs" dxfId="5764" priority="14674" operator="equal">
      <formula>"×"</formula>
    </cfRule>
  </conditionalFormatting>
  <conditionalFormatting sqref="AH14">
    <cfRule type="cellIs" dxfId="5763" priority="14671" operator="equal">
      <formula>1</formula>
    </cfRule>
    <cfRule type="cellIs" dxfId="5762" priority="14672" operator="equal">
      <formula>"×"</formula>
    </cfRule>
  </conditionalFormatting>
  <conditionalFormatting sqref="AH14">
    <cfRule type="cellIs" dxfId="5761" priority="14669" operator="equal">
      <formula>1</formula>
    </cfRule>
    <cfRule type="cellIs" dxfId="5760" priority="14670" operator="equal">
      <formula>"×"</formula>
    </cfRule>
  </conditionalFormatting>
  <conditionalFormatting sqref="AH14">
    <cfRule type="cellIs" dxfId="5759" priority="14667" operator="equal">
      <formula>1</formula>
    </cfRule>
    <cfRule type="cellIs" dxfId="5758" priority="14668" operator="equal">
      <formula>"×"</formula>
    </cfRule>
  </conditionalFormatting>
  <conditionalFormatting sqref="AH14">
    <cfRule type="cellIs" dxfId="5757" priority="14665" operator="equal">
      <formula>1</formula>
    </cfRule>
    <cfRule type="cellIs" dxfId="5756" priority="14666" operator="equal">
      <formula>"×"</formula>
    </cfRule>
  </conditionalFormatting>
  <conditionalFormatting sqref="AH14">
    <cfRule type="cellIs" dxfId="5755" priority="14663" operator="equal">
      <formula>1</formula>
    </cfRule>
    <cfRule type="cellIs" dxfId="5754" priority="14664" operator="equal">
      <formula>"×"</formula>
    </cfRule>
  </conditionalFormatting>
  <conditionalFormatting sqref="AH14">
    <cfRule type="cellIs" dxfId="5753" priority="14661" operator="equal">
      <formula>1</formula>
    </cfRule>
    <cfRule type="cellIs" dxfId="5752" priority="14662" operator="equal">
      <formula>"×"</formula>
    </cfRule>
  </conditionalFormatting>
  <conditionalFormatting sqref="AH14">
    <cfRule type="cellIs" dxfId="5751" priority="14659" operator="equal">
      <formula>1</formula>
    </cfRule>
    <cfRule type="cellIs" dxfId="5750" priority="14660" operator="equal">
      <formula>"×"</formula>
    </cfRule>
  </conditionalFormatting>
  <conditionalFormatting sqref="AH14">
    <cfRule type="cellIs" dxfId="5749" priority="14657" operator="equal">
      <formula>1</formula>
    </cfRule>
    <cfRule type="cellIs" dxfId="5748" priority="14658" operator="equal">
      <formula>"×"</formula>
    </cfRule>
  </conditionalFormatting>
  <conditionalFormatting sqref="AH14">
    <cfRule type="cellIs" dxfId="5747" priority="14655" operator="equal">
      <formula>1</formula>
    </cfRule>
    <cfRule type="cellIs" dxfId="5746" priority="14656" operator="equal">
      <formula>"×"</formula>
    </cfRule>
  </conditionalFormatting>
  <conditionalFormatting sqref="AH14">
    <cfRule type="cellIs" dxfId="5745" priority="14653" operator="equal">
      <formula>1</formula>
    </cfRule>
    <cfRule type="cellIs" dxfId="5744" priority="14654" operator="equal">
      <formula>"×"</formula>
    </cfRule>
  </conditionalFormatting>
  <conditionalFormatting sqref="AF19">
    <cfRule type="cellIs" dxfId="5743" priority="14625" operator="equal">
      <formula>1</formula>
    </cfRule>
    <cfRule type="cellIs" dxfId="5742" priority="14626" operator="equal">
      <formula>"×"</formula>
    </cfRule>
  </conditionalFormatting>
  <conditionalFormatting sqref="AF19">
    <cfRule type="cellIs" dxfId="5741" priority="14623" operator="equal">
      <formula>1</formula>
    </cfRule>
    <cfRule type="cellIs" dxfId="5740" priority="14624" operator="equal">
      <formula>"×"</formula>
    </cfRule>
  </conditionalFormatting>
  <conditionalFormatting sqref="AI19">
    <cfRule type="cellIs" dxfId="5739" priority="14639" operator="equal">
      <formula>1</formula>
    </cfRule>
    <cfRule type="cellIs" dxfId="5738" priority="14640" operator="equal">
      <formula>"×"</formula>
    </cfRule>
  </conditionalFormatting>
  <conditionalFormatting sqref="AF19:AI19">
    <cfRule type="cellIs" dxfId="5737" priority="14641" operator="equal">
      <formula>1</formula>
    </cfRule>
    <cfRule type="cellIs" dxfId="5736" priority="14642" operator="equal">
      <formula>"×"</formula>
    </cfRule>
  </conditionalFormatting>
  <conditionalFormatting sqref="AF19:AI19">
    <cfRule type="cellIs" dxfId="5735" priority="14637" operator="equal">
      <formula>1</formula>
    </cfRule>
    <cfRule type="cellIs" dxfId="5734" priority="14638" operator="equal">
      <formula>"×"</formula>
    </cfRule>
  </conditionalFormatting>
  <conditionalFormatting sqref="Z34:AA34">
    <cfRule type="cellIs" dxfId="5733" priority="10931" operator="equal">
      <formula>1</formula>
    </cfRule>
    <cfRule type="cellIs" dxfId="5732" priority="10932" operator="equal">
      <formula>"×"</formula>
    </cfRule>
  </conditionalFormatting>
  <conditionalFormatting sqref="AF8:AI8">
    <cfRule type="cellIs" dxfId="5731" priority="10929" operator="equal">
      <formula>1</formula>
    </cfRule>
    <cfRule type="cellIs" dxfId="5730" priority="10930" operator="equal">
      <formula>"×"</formula>
    </cfRule>
  </conditionalFormatting>
  <conditionalFormatting sqref="AI8">
    <cfRule type="cellIs" dxfId="5729" priority="10927" operator="equal">
      <formula>1</formula>
    </cfRule>
    <cfRule type="cellIs" dxfId="5728" priority="10928" operator="equal">
      <formula>"×"</formula>
    </cfRule>
  </conditionalFormatting>
  <conditionalFormatting sqref="AF12">
    <cfRule type="cellIs" dxfId="5727" priority="10925" operator="equal">
      <formula>1</formula>
    </cfRule>
    <cfRule type="cellIs" dxfId="5726" priority="10926" operator="equal">
      <formula>"×"</formula>
    </cfRule>
  </conditionalFormatting>
  <conditionalFormatting sqref="AF12">
    <cfRule type="cellIs" dxfId="5725" priority="10923" operator="equal">
      <formula>1</formula>
    </cfRule>
    <cfRule type="cellIs" dxfId="5724" priority="10924" operator="equal">
      <formula>"×"</formula>
    </cfRule>
  </conditionalFormatting>
  <conditionalFormatting sqref="AF19">
    <cfRule type="cellIs" dxfId="5723" priority="14609" operator="equal">
      <formula>1</formula>
    </cfRule>
    <cfRule type="cellIs" dxfId="5722" priority="14610" operator="equal">
      <formula>"×"</formula>
    </cfRule>
  </conditionalFormatting>
  <conditionalFormatting sqref="AF19">
    <cfRule type="cellIs" dxfId="5721" priority="14607" operator="equal">
      <formula>1</formula>
    </cfRule>
    <cfRule type="cellIs" dxfId="5720" priority="14608" operator="equal">
      <formula>"×"</formula>
    </cfRule>
  </conditionalFormatting>
  <conditionalFormatting sqref="AF19">
    <cfRule type="cellIs" dxfId="5719" priority="14605" operator="equal">
      <formula>1</formula>
    </cfRule>
    <cfRule type="cellIs" dxfId="5718" priority="14606" operator="equal">
      <formula>"×"</formula>
    </cfRule>
  </conditionalFormatting>
  <conditionalFormatting sqref="AF19">
    <cfRule type="cellIs" dxfId="5717" priority="14603" operator="equal">
      <formula>1</formula>
    </cfRule>
    <cfRule type="cellIs" dxfId="5716" priority="14604" operator="equal">
      <formula>"×"</formula>
    </cfRule>
  </conditionalFormatting>
  <conditionalFormatting sqref="AF19">
    <cfRule type="cellIs" dxfId="5715" priority="14601" operator="equal">
      <formula>1</formula>
    </cfRule>
    <cfRule type="cellIs" dxfId="5714" priority="14602" operator="equal">
      <formula>"×"</formula>
    </cfRule>
  </conditionalFormatting>
  <conditionalFormatting sqref="AF19">
    <cfRule type="cellIs" dxfId="5713" priority="14599" operator="equal">
      <formula>1</formula>
    </cfRule>
    <cfRule type="cellIs" dxfId="5712" priority="14600" operator="equal">
      <formula>"×"</formula>
    </cfRule>
  </conditionalFormatting>
  <conditionalFormatting sqref="AI12">
    <cfRule type="cellIs" dxfId="5711" priority="10909" operator="equal">
      <formula>1</formula>
    </cfRule>
    <cfRule type="cellIs" dxfId="5710" priority="10910" operator="equal">
      <formula>"×"</formula>
    </cfRule>
  </conditionalFormatting>
  <conditionalFormatting sqref="AF12:AI12">
    <cfRule type="cellIs" dxfId="5709" priority="10907" operator="equal">
      <formula>1</formula>
    </cfRule>
    <cfRule type="cellIs" dxfId="5708" priority="10908" operator="equal">
      <formula>"×"</formula>
    </cfRule>
  </conditionalFormatting>
  <conditionalFormatting sqref="AF12:AI12">
    <cfRule type="cellIs" dxfId="5707" priority="10905" operator="equal">
      <formula>1</formula>
    </cfRule>
    <cfRule type="cellIs" dxfId="5706" priority="10906" operator="equal">
      <formula>"×"</formula>
    </cfRule>
  </conditionalFormatting>
  <conditionalFormatting sqref="AI12">
    <cfRule type="cellIs" dxfId="5705" priority="10903" operator="equal">
      <formula>1</formula>
    </cfRule>
    <cfRule type="cellIs" dxfId="5704" priority="10904" operator="equal">
      <formula>"×"</formula>
    </cfRule>
  </conditionalFormatting>
  <conditionalFormatting sqref="AF13">
    <cfRule type="cellIs" dxfId="5703" priority="10901" operator="equal">
      <formula>1</formula>
    </cfRule>
    <cfRule type="cellIs" dxfId="5702" priority="10902" operator="equal">
      <formula>"×"</formula>
    </cfRule>
  </conditionalFormatting>
  <conditionalFormatting sqref="AF12">
    <cfRule type="cellIs" dxfId="5701" priority="10899" operator="equal">
      <formula>1</formula>
    </cfRule>
    <cfRule type="cellIs" dxfId="5700" priority="10900" operator="equal">
      <formula>"×"</formula>
    </cfRule>
  </conditionalFormatting>
  <conditionalFormatting sqref="AF19">
    <cfRule type="cellIs" dxfId="5699" priority="14585" operator="equal">
      <formula>1</formula>
    </cfRule>
    <cfRule type="cellIs" dxfId="5698" priority="14586" operator="equal">
      <formula>"×"</formula>
    </cfRule>
  </conditionalFormatting>
  <conditionalFormatting sqref="AF19">
    <cfRule type="cellIs" dxfId="5697" priority="14583" operator="equal">
      <formula>1</formula>
    </cfRule>
    <cfRule type="cellIs" dxfId="5696" priority="14584" operator="equal">
      <formula>"×"</formula>
    </cfRule>
  </conditionalFormatting>
  <conditionalFormatting sqref="AF19">
    <cfRule type="cellIs" dxfId="5695" priority="14581" operator="equal">
      <formula>1</formula>
    </cfRule>
    <cfRule type="cellIs" dxfId="5694" priority="14582" operator="equal">
      <formula>"×"</formula>
    </cfRule>
  </conditionalFormatting>
  <conditionalFormatting sqref="AF19">
    <cfRule type="cellIs" dxfId="5693" priority="14579" operator="equal">
      <formula>1</formula>
    </cfRule>
    <cfRule type="cellIs" dxfId="5692" priority="14580" operator="equal">
      <formula>"×"</formula>
    </cfRule>
  </conditionalFormatting>
  <conditionalFormatting sqref="AF19">
    <cfRule type="cellIs" dxfId="5691" priority="14577" operator="equal">
      <formula>1</formula>
    </cfRule>
    <cfRule type="cellIs" dxfId="5690" priority="14578" operator="equal">
      <formula>"×"</formula>
    </cfRule>
  </conditionalFormatting>
  <conditionalFormatting sqref="AF19">
    <cfRule type="cellIs" dxfId="5689" priority="14575" operator="equal">
      <formula>1</formula>
    </cfRule>
    <cfRule type="cellIs" dxfId="5688" priority="14576" operator="equal">
      <formula>"×"</formula>
    </cfRule>
  </conditionalFormatting>
  <conditionalFormatting sqref="AF19">
    <cfRule type="cellIs" dxfId="5687" priority="14573" operator="equal">
      <formula>1</formula>
    </cfRule>
    <cfRule type="cellIs" dxfId="5686" priority="14574" operator="equal">
      <formula>"×"</formula>
    </cfRule>
  </conditionalFormatting>
  <conditionalFormatting sqref="AI12">
    <cfRule type="cellIs" dxfId="5685" priority="10883" operator="equal">
      <formula>1</formula>
    </cfRule>
    <cfRule type="cellIs" dxfId="5684" priority="10884" operator="equal">
      <formula>"×"</formula>
    </cfRule>
  </conditionalFormatting>
  <conditionalFormatting sqref="AI13">
    <cfRule type="cellIs" dxfId="5683" priority="10879" operator="equal">
      <formula>1</formula>
    </cfRule>
    <cfRule type="cellIs" dxfId="5682" priority="10880" operator="equal">
      <formula>"×"</formula>
    </cfRule>
  </conditionalFormatting>
  <conditionalFormatting sqref="AF12:AI12">
    <cfRule type="cellIs" dxfId="5681" priority="10881" operator="equal">
      <formula>1</formula>
    </cfRule>
    <cfRule type="cellIs" dxfId="5680" priority="10882" operator="equal">
      <formula>"×"</formula>
    </cfRule>
  </conditionalFormatting>
  <conditionalFormatting sqref="AI13">
    <cfRule type="cellIs" dxfId="5679" priority="10877" operator="equal">
      <formula>1</formula>
    </cfRule>
    <cfRule type="cellIs" dxfId="5678" priority="10878" operator="equal">
      <formula>"×"</formula>
    </cfRule>
  </conditionalFormatting>
  <conditionalFormatting sqref="AF12">
    <cfRule type="cellIs" dxfId="5677" priority="10875" operator="equal">
      <formula>1</formula>
    </cfRule>
    <cfRule type="cellIs" dxfId="5676" priority="10876" operator="equal">
      <formula>"×"</formula>
    </cfRule>
  </conditionalFormatting>
  <conditionalFormatting sqref="AF12">
    <cfRule type="cellIs" dxfId="5675" priority="10873" operator="equal">
      <formula>1</formula>
    </cfRule>
    <cfRule type="cellIs" dxfId="5674" priority="10874" operator="equal">
      <formula>"×"</formula>
    </cfRule>
  </conditionalFormatting>
  <conditionalFormatting sqref="AF12">
    <cfRule type="cellIs" dxfId="5673" priority="10871" operator="equal">
      <formula>1</formula>
    </cfRule>
    <cfRule type="cellIs" dxfId="5672" priority="10872" operator="equal">
      <formula>"×"</formula>
    </cfRule>
  </conditionalFormatting>
  <conditionalFormatting sqref="AF12">
    <cfRule type="cellIs" dxfId="5671" priority="10869" operator="equal">
      <formula>1</formula>
    </cfRule>
    <cfRule type="cellIs" dxfId="5670" priority="10870" operator="equal">
      <formula>"×"</formula>
    </cfRule>
  </conditionalFormatting>
  <conditionalFormatting sqref="AF12">
    <cfRule type="cellIs" dxfId="5669" priority="10867" operator="equal">
      <formula>1</formula>
    </cfRule>
    <cfRule type="cellIs" dxfId="5668" priority="10868" operator="equal">
      <formula>"×"</formula>
    </cfRule>
  </conditionalFormatting>
  <conditionalFormatting sqref="AF12">
    <cfRule type="cellIs" dxfId="5667" priority="10865" operator="equal">
      <formula>1</formula>
    </cfRule>
    <cfRule type="cellIs" dxfId="5666" priority="10866" operator="equal">
      <formula>"×"</formula>
    </cfRule>
  </conditionalFormatting>
  <conditionalFormatting sqref="AF12">
    <cfRule type="cellIs" dxfId="5665" priority="10863" operator="equal">
      <formula>1</formula>
    </cfRule>
    <cfRule type="cellIs" dxfId="5664" priority="10864" operator="equal">
      <formula>"×"</formula>
    </cfRule>
  </conditionalFormatting>
  <conditionalFormatting sqref="AH11:AI11">
    <cfRule type="cellIs" dxfId="5663" priority="10861" operator="equal">
      <formula>1</formula>
    </cfRule>
    <cfRule type="cellIs" dxfId="5662" priority="10862" operator="equal">
      <formula>"×"</formula>
    </cfRule>
  </conditionalFormatting>
  <conditionalFormatting sqref="AF8:AG8">
    <cfRule type="cellIs" dxfId="5661" priority="10837" operator="equal">
      <formula>1</formula>
    </cfRule>
    <cfRule type="cellIs" dxfId="5660" priority="10838" operator="equal">
      <formula>"×"</formula>
    </cfRule>
  </conditionalFormatting>
  <conditionalFormatting sqref="AF8:AG8">
    <cfRule type="cellIs" dxfId="5659" priority="10835" operator="equal">
      <formula>1</formula>
    </cfRule>
    <cfRule type="cellIs" dxfId="5658" priority="10836" operator="equal">
      <formula>"×"</formula>
    </cfRule>
  </conditionalFormatting>
  <conditionalFormatting sqref="AF8:AG8">
    <cfRule type="cellIs" dxfId="5657" priority="10833" operator="equal">
      <formula>1</formula>
    </cfRule>
    <cfRule type="cellIs" dxfId="5656" priority="10834" operator="equal">
      <formula>"×"</formula>
    </cfRule>
  </conditionalFormatting>
  <conditionalFormatting sqref="AI11">
    <cfRule type="cellIs" dxfId="5655" priority="10859" operator="equal">
      <formula>1</formula>
    </cfRule>
    <cfRule type="cellIs" dxfId="5654" priority="10860" operator="equal">
      <formula>"×"</formula>
    </cfRule>
  </conditionalFormatting>
  <conditionalFormatting sqref="AH11:AI11">
    <cfRule type="cellIs" dxfId="5653" priority="10857" operator="equal">
      <formula>1</formula>
    </cfRule>
    <cfRule type="cellIs" dxfId="5652" priority="10858" operator="equal">
      <formula>"×"</formula>
    </cfRule>
  </conditionalFormatting>
  <conditionalFormatting sqref="AF19">
    <cfRule type="cellIs" dxfId="5651" priority="14543" operator="equal">
      <formula>1</formula>
    </cfRule>
    <cfRule type="cellIs" dxfId="5650" priority="14544" operator="equal">
      <formula>"×"</formula>
    </cfRule>
  </conditionalFormatting>
  <conditionalFormatting sqref="AF19">
    <cfRule type="cellIs" dxfId="5649" priority="14541" operator="equal">
      <formula>1</formula>
    </cfRule>
    <cfRule type="cellIs" dxfId="5648" priority="14542" operator="equal">
      <formula>"×"</formula>
    </cfRule>
  </conditionalFormatting>
  <conditionalFormatting sqref="AH11:AI11">
    <cfRule type="cellIs" dxfId="5647" priority="10851" operator="equal">
      <formula>1</formula>
    </cfRule>
    <cfRule type="cellIs" dxfId="5646" priority="10852" operator="equal">
      <formula>"×"</formula>
    </cfRule>
  </conditionalFormatting>
  <conditionalFormatting sqref="AF8:AG8">
    <cfRule type="cellIs" dxfId="5645" priority="10849" operator="equal">
      <formula>1</formula>
    </cfRule>
    <cfRule type="cellIs" dxfId="5644" priority="10850" operator="equal">
      <formula>"×"</formula>
    </cfRule>
  </conditionalFormatting>
  <conditionalFormatting sqref="AF19">
    <cfRule type="cellIs" dxfId="5643" priority="14535" operator="equal">
      <formula>1</formula>
    </cfRule>
    <cfRule type="cellIs" dxfId="5642" priority="14536" operator="equal">
      <formula>"×"</formula>
    </cfRule>
  </conditionalFormatting>
  <conditionalFormatting sqref="AF8:AG8">
    <cfRule type="cellIs" dxfId="5641" priority="10845" operator="equal">
      <formula>1</formula>
    </cfRule>
    <cfRule type="cellIs" dxfId="5640" priority="10846" operator="equal">
      <formula>"×"</formula>
    </cfRule>
  </conditionalFormatting>
  <conditionalFormatting sqref="AF19">
    <cfRule type="cellIs" dxfId="5639" priority="14531" operator="equal">
      <formula>1</formula>
    </cfRule>
    <cfRule type="cellIs" dxfId="5638" priority="14532" operator="equal">
      <formula>"×"</formula>
    </cfRule>
  </conditionalFormatting>
  <conditionalFormatting sqref="AF8:AG8">
    <cfRule type="cellIs" dxfId="5637" priority="10841" operator="equal">
      <formula>1</formula>
    </cfRule>
    <cfRule type="cellIs" dxfId="5636" priority="10842" operator="equal">
      <formula>"×"</formula>
    </cfRule>
  </conditionalFormatting>
  <conditionalFormatting sqref="AF8:AG8">
    <cfRule type="cellIs" dxfId="5635" priority="10839" operator="equal">
      <formula>1</formula>
    </cfRule>
    <cfRule type="cellIs" dxfId="5634" priority="10840" operator="equal">
      <formula>"×"</formula>
    </cfRule>
  </conditionalFormatting>
  <conditionalFormatting sqref="AF19">
    <cfRule type="cellIs" dxfId="5633" priority="14519" operator="equal">
      <formula>1</formula>
    </cfRule>
    <cfRule type="cellIs" dxfId="5632" priority="14520" operator="equal">
      <formula>"×"</formula>
    </cfRule>
  </conditionalFormatting>
  <conditionalFormatting sqref="AF8:AG8">
    <cfRule type="cellIs" dxfId="5631" priority="10829" operator="equal">
      <formula>1</formula>
    </cfRule>
    <cfRule type="cellIs" dxfId="5630" priority="10830" operator="equal">
      <formula>"×"</formula>
    </cfRule>
  </conditionalFormatting>
  <conditionalFormatting sqref="AF19">
    <cfRule type="cellIs" dxfId="5629" priority="14515" operator="equal">
      <formula>1</formula>
    </cfRule>
    <cfRule type="cellIs" dxfId="5628" priority="14516" operator="equal">
      <formula>"×"</formula>
    </cfRule>
  </conditionalFormatting>
  <conditionalFormatting sqref="AF19">
    <cfRule type="cellIs" dxfId="5627" priority="14513" operator="equal">
      <formula>1</formula>
    </cfRule>
    <cfRule type="cellIs" dxfId="5626" priority="14514" operator="equal">
      <formula>"×"</formula>
    </cfRule>
  </conditionalFormatting>
  <conditionalFormatting sqref="AF8:AG8">
    <cfRule type="cellIs" dxfId="5625" priority="10823" operator="equal">
      <formula>1</formula>
    </cfRule>
    <cfRule type="cellIs" dxfId="5624" priority="10824" operator="equal">
      <formula>"×"</formula>
    </cfRule>
  </conditionalFormatting>
  <conditionalFormatting sqref="AF8:AG8">
    <cfRule type="cellIs" dxfId="5623" priority="10821" operator="equal">
      <formula>1</formula>
    </cfRule>
    <cfRule type="cellIs" dxfId="5622" priority="10822" operator="equal">
      <formula>"×"</formula>
    </cfRule>
  </conditionalFormatting>
  <conditionalFormatting sqref="AH8:AI8">
    <cfRule type="cellIs" dxfId="5621" priority="10817" operator="equal">
      <formula>1</formula>
    </cfRule>
    <cfRule type="cellIs" dxfId="5620" priority="10818" operator="equal">
      <formula>"×"</formula>
    </cfRule>
  </conditionalFormatting>
  <conditionalFormatting sqref="AF8:AG8">
    <cfRule type="cellIs" dxfId="5619" priority="10819" operator="equal">
      <formula>1</formula>
    </cfRule>
    <cfRule type="cellIs" dxfId="5618" priority="10820" operator="equal">
      <formula>"×"</formula>
    </cfRule>
  </conditionalFormatting>
  <conditionalFormatting sqref="AH8:AI8">
    <cfRule type="cellIs" dxfId="5617" priority="10815" operator="equal">
      <formula>1</formula>
    </cfRule>
    <cfRule type="cellIs" dxfId="5616" priority="10816" operator="equal">
      <formula>"×"</formula>
    </cfRule>
  </conditionalFormatting>
  <conditionalFormatting sqref="AH8:AI8">
    <cfRule type="cellIs" dxfId="5615" priority="10813" operator="equal">
      <formula>1</formula>
    </cfRule>
    <cfRule type="cellIs" dxfId="5614" priority="10814" operator="equal">
      <formula>"×"</formula>
    </cfRule>
  </conditionalFormatting>
  <conditionalFormatting sqref="AH8:AI8">
    <cfRule type="cellIs" dxfId="5613" priority="10811" operator="equal">
      <formula>1</formula>
    </cfRule>
    <cfRule type="cellIs" dxfId="5612" priority="10812" operator="equal">
      <formula>"×"</formula>
    </cfRule>
  </conditionalFormatting>
  <conditionalFormatting sqref="AH8:AI8">
    <cfRule type="cellIs" dxfId="5611" priority="10809" operator="equal">
      <formula>1</formula>
    </cfRule>
    <cfRule type="cellIs" dxfId="5610" priority="10810" operator="equal">
      <formula>"×"</formula>
    </cfRule>
  </conditionalFormatting>
  <conditionalFormatting sqref="AH8:AI8">
    <cfRule type="cellIs" dxfId="5609" priority="10807" operator="equal">
      <formula>1</formula>
    </cfRule>
    <cfRule type="cellIs" dxfId="5608" priority="10808" operator="equal">
      <formula>"×"</formula>
    </cfRule>
  </conditionalFormatting>
  <conditionalFormatting sqref="AH8:AI8">
    <cfRule type="cellIs" dxfId="5607" priority="10805" operator="equal">
      <formula>1</formula>
    </cfRule>
    <cfRule type="cellIs" dxfId="5606" priority="10806" operator="equal">
      <formula>"×"</formula>
    </cfRule>
  </conditionalFormatting>
  <conditionalFormatting sqref="AH8:AI8">
    <cfRule type="cellIs" dxfId="5605" priority="10803" operator="equal">
      <formula>1</formula>
    </cfRule>
    <cfRule type="cellIs" dxfId="5604" priority="10804" operator="equal">
      <formula>"×"</formula>
    </cfRule>
  </conditionalFormatting>
  <conditionalFormatting sqref="AH8:AI8">
    <cfRule type="cellIs" dxfId="5603" priority="10801" operator="equal">
      <formula>1</formula>
    </cfRule>
    <cfRule type="cellIs" dxfId="5602" priority="10802" operator="equal">
      <formula>"×"</formula>
    </cfRule>
  </conditionalFormatting>
  <conditionalFormatting sqref="AH8:AI8">
    <cfRule type="cellIs" dxfId="5601" priority="10799" operator="equal">
      <formula>1</formula>
    </cfRule>
    <cfRule type="cellIs" dxfId="5600" priority="10800" operator="equal">
      <formula>"×"</formula>
    </cfRule>
  </conditionalFormatting>
  <conditionalFormatting sqref="AH8:AI8">
    <cfRule type="cellIs" dxfId="5599" priority="10797" operator="equal">
      <formula>1</formula>
    </cfRule>
    <cfRule type="cellIs" dxfId="5598" priority="10798" operator="equal">
      <formula>"×"</formula>
    </cfRule>
  </conditionalFormatting>
  <conditionalFormatting sqref="AF19:AG19">
    <cfRule type="cellIs" dxfId="5597" priority="14459" operator="equal">
      <formula>1</formula>
    </cfRule>
    <cfRule type="cellIs" dxfId="5596" priority="14460" operator="equal">
      <formula>"×"</formula>
    </cfRule>
  </conditionalFormatting>
  <conditionalFormatting sqref="AF19:AG19">
    <cfRule type="cellIs" dxfId="5595" priority="14457" operator="equal">
      <formula>1</formula>
    </cfRule>
    <cfRule type="cellIs" dxfId="5594" priority="14458" operator="equal">
      <formula>"×"</formula>
    </cfRule>
  </conditionalFormatting>
  <conditionalFormatting sqref="AF19:AG19">
    <cfRule type="cellIs" dxfId="5593" priority="14453" operator="equal">
      <formula>1</formula>
    </cfRule>
    <cfRule type="cellIs" dxfId="5592" priority="14454" operator="equal">
      <formula>"×"</formula>
    </cfRule>
  </conditionalFormatting>
  <conditionalFormatting sqref="AF19:AG19">
    <cfRule type="cellIs" dxfId="5591" priority="14455" operator="equal">
      <formula>1</formula>
    </cfRule>
    <cfRule type="cellIs" dxfId="5590" priority="14456" operator="equal">
      <formula>"×"</formula>
    </cfRule>
  </conditionalFormatting>
  <conditionalFormatting sqref="AF19:AG19">
    <cfRule type="cellIs" dxfId="5589" priority="14483" operator="equal">
      <formula>1</formula>
    </cfRule>
    <cfRule type="cellIs" dxfId="5588" priority="14484" operator="equal">
      <formula>"×"</formula>
    </cfRule>
  </conditionalFormatting>
  <conditionalFormatting sqref="AF19:AG19">
    <cfRule type="cellIs" dxfId="5587" priority="14481" operator="equal">
      <formula>1</formula>
    </cfRule>
    <cfRule type="cellIs" dxfId="5586" priority="14482" operator="equal">
      <formula>"×"</formula>
    </cfRule>
  </conditionalFormatting>
  <conditionalFormatting sqref="AF19:AG19">
    <cfRule type="cellIs" dxfId="5585" priority="14479" operator="equal">
      <formula>1</formula>
    </cfRule>
    <cfRule type="cellIs" dxfId="5584" priority="14480" operator="equal">
      <formula>"×"</formula>
    </cfRule>
  </conditionalFormatting>
  <conditionalFormatting sqref="AF19:AG19">
    <cfRule type="cellIs" dxfId="5583" priority="14477" operator="equal">
      <formula>1</formula>
    </cfRule>
    <cfRule type="cellIs" dxfId="5582" priority="14478" operator="equal">
      <formula>"×"</formula>
    </cfRule>
  </conditionalFormatting>
  <conditionalFormatting sqref="AF19:AG19">
    <cfRule type="cellIs" dxfId="5581" priority="14475" operator="equal">
      <formula>1</formula>
    </cfRule>
    <cfRule type="cellIs" dxfId="5580" priority="14476" operator="equal">
      <formula>"×"</formula>
    </cfRule>
  </conditionalFormatting>
  <conditionalFormatting sqref="AF19:AG19">
    <cfRule type="cellIs" dxfId="5579" priority="14473" operator="equal">
      <formula>1</formula>
    </cfRule>
    <cfRule type="cellIs" dxfId="5578" priority="14474" operator="equal">
      <formula>"×"</formula>
    </cfRule>
  </conditionalFormatting>
  <conditionalFormatting sqref="AF19:AG19">
    <cfRule type="cellIs" dxfId="5577" priority="14471" operator="equal">
      <formula>1</formula>
    </cfRule>
    <cfRule type="cellIs" dxfId="5576" priority="14472" operator="equal">
      <formula>"×"</formula>
    </cfRule>
  </conditionalFormatting>
  <conditionalFormatting sqref="AF19:AG19">
    <cfRule type="cellIs" dxfId="5575" priority="14469" operator="equal">
      <formula>1</formula>
    </cfRule>
    <cfRule type="cellIs" dxfId="5574" priority="14470" operator="equal">
      <formula>"×"</formula>
    </cfRule>
  </conditionalFormatting>
  <conditionalFormatting sqref="AF19:AG19">
    <cfRule type="cellIs" dxfId="5573" priority="14467" operator="equal">
      <formula>1</formula>
    </cfRule>
    <cfRule type="cellIs" dxfId="5572" priority="14468" operator="equal">
      <formula>"×"</formula>
    </cfRule>
  </conditionalFormatting>
  <conditionalFormatting sqref="AF19:AG19">
    <cfRule type="cellIs" dxfId="5571" priority="14465" operator="equal">
      <formula>1</formula>
    </cfRule>
    <cfRule type="cellIs" dxfId="5570" priority="14466" operator="equal">
      <formula>"×"</formula>
    </cfRule>
  </conditionalFormatting>
  <conditionalFormatting sqref="AF19:AG19">
    <cfRule type="cellIs" dxfId="5569" priority="14463" operator="equal">
      <formula>1</formula>
    </cfRule>
    <cfRule type="cellIs" dxfId="5568" priority="14464" operator="equal">
      <formula>"×"</formula>
    </cfRule>
  </conditionalFormatting>
  <conditionalFormatting sqref="AF19:AG19">
    <cfRule type="cellIs" dxfId="5567" priority="14461" operator="equal">
      <formula>1</formula>
    </cfRule>
    <cfRule type="cellIs" dxfId="5566" priority="14462" operator="equal">
      <formula>"×"</formula>
    </cfRule>
  </conditionalFormatting>
  <conditionalFormatting sqref="AH19:AI19">
    <cfRule type="cellIs" dxfId="5565" priority="14427" operator="equal">
      <formula>1</formula>
    </cfRule>
    <cfRule type="cellIs" dxfId="5564" priority="14428" operator="equal">
      <formula>"×"</formula>
    </cfRule>
  </conditionalFormatting>
  <conditionalFormatting sqref="AH19:AI19">
    <cfRule type="cellIs" dxfId="5563" priority="14425" operator="equal">
      <formula>1</formula>
    </cfRule>
    <cfRule type="cellIs" dxfId="5562" priority="14426" operator="equal">
      <formula>"×"</formula>
    </cfRule>
  </conditionalFormatting>
  <conditionalFormatting sqref="AH19:AI19">
    <cfRule type="cellIs" dxfId="5561" priority="14421" operator="equal">
      <formula>1</formula>
    </cfRule>
    <cfRule type="cellIs" dxfId="5560" priority="14422" operator="equal">
      <formula>"×"</formula>
    </cfRule>
  </conditionalFormatting>
  <conditionalFormatting sqref="AH19:AI19">
    <cfRule type="cellIs" dxfId="5559" priority="14423" operator="equal">
      <formula>1</formula>
    </cfRule>
    <cfRule type="cellIs" dxfId="5558" priority="14424" operator="equal">
      <formula>"×"</formula>
    </cfRule>
  </conditionalFormatting>
  <conditionalFormatting sqref="AH19:AI19">
    <cfRule type="cellIs" dxfId="5557" priority="14451" operator="equal">
      <formula>1</formula>
    </cfRule>
    <cfRule type="cellIs" dxfId="5556" priority="14452" operator="equal">
      <formula>"×"</formula>
    </cfRule>
  </conditionalFormatting>
  <conditionalFormatting sqref="AH19:AI19">
    <cfRule type="cellIs" dxfId="5555" priority="14449" operator="equal">
      <formula>1</formula>
    </cfRule>
    <cfRule type="cellIs" dxfId="5554" priority="14450" operator="equal">
      <formula>"×"</formula>
    </cfRule>
  </conditionalFormatting>
  <conditionalFormatting sqref="AH19:AI19">
    <cfRule type="cellIs" dxfId="5553" priority="14447" operator="equal">
      <formula>1</formula>
    </cfRule>
    <cfRule type="cellIs" dxfId="5552" priority="14448" operator="equal">
      <formula>"×"</formula>
    </cfRule>
  </conditionalFormatting>
  <conditionalFormatting sqref="AH19:AI19">
    <cfRule type="cellIs" dxfId="5551" priority="14445" operator="equal">
      <formula>1</formula>
    </cfRule>
    <cfRule type="cellIs" dxfId="5550" priority="14446" operator="equal">
      <formula>"×"</formula>
    </cfRule>
  </conditionalFormatting>
  <conditionalFormatting sqref="AH19:AI19">
    <cfRule type="cellIs" dxfId="5549" priority="14443" operator="equal">
      <formula>1</formula>
    </cfRule>
    <cfRule type="cellIs" dxfId="5548" priority="14444" operator="equal">
      <formula>"×"</formula>
    </cfRule>
  </conditionalFormatting>
  <conditionalFormatting sqref="AH19:AI19">
    <cfRule type="cellIs" dxfId="5547" priority="14441" operator="equal">
      <formula>1</formula>
    </cfRule>
    <cfRule type="cellIs" dxfId="5546" priority="14442" operator="equal">
      <formula>"×"</formula>
    </cfRule>
  </conditionalFormatting>
  <conditionalFormatting sqref="AH19:AI19">
    <cfRule type="cellIs" dxfId="5545" priority="14439" operator="equal">
      <formula>1</formula>
    </cfRule>
    <cfRule type="cellIs" dxfId="5544" priority="14440" operator="equal">
      <formula>"×"</formula>
    </cfRule>
  </conditionalFormatting>
  <conditionalFormatting sqref="AH19:AI19">
    <cfRule type="cellIs" dxfId="5543" priority="14437" operator="equal">
      <formula>1</formula>
    </cfRule>
    <cfRule type="cellIs" dxfId="5542" priority="14438" operator="equal">
      <formula>"×"</formula>
    </cfRule>
  </conditionalFormatting>
  <conditionalFormatting sqref="AH19:AI19">
    <cfRule type="cellIs" dxfId="5541" priority="14435" operator="equal">
      <formula>1</formula>
    </cfRule>
    <cfRule type="cellIs" dxfId="5540" priority="14436" operator="equal">
      <formula>"×"</formula>
    </cfRule>
  </conditionalFormatting>
  <conditionalFormatting sqref="AH19:AI19">
    <cfRule type="cellIs" dxfId="5539" priority="14433" operator="equal">
      <formula>1</formula>
    </cfRule>
    <cfRule type="cellIs" dxfId="5538" priority="14434" operator="equal">
      <formula>"×"</formula>
    </cfRule>
  </conditionalFormatting>
  <conditionalFormatting sqref="AH19:AI19">
    <cfRule type="cellIs" dxfId="5537" priority="14431" operator="equal">
      <formula>1</formula>
    </cfRule>
    <cfRule type="cellIs" dxfId="5536" priority="14432" operator="equal">
      <formula>"×"</formula>
    </cfRule>
  </conditionalFormatting>
  <conditionalFormatting sqref="AH19:AI19">
    <cfRule type="cellIs" dxfId="5535" priority="14429" operator="equal">
      <formula>1</formula>
    </cfRule>
    <cfRule type="cellIs" dxfId="5534" priority="14430" operator="equal">
      <formula>"×"</formula>
    </cfRule>
  </conditionalFormatting>
  <conditionalFormatting sqref="AF12:AI12">
    <cfRule type="cellIs" dxfId="5533" priority="10731" operator="equal">
      <formula>1</formula>
    </cfRule>
    <cfRule type="cellIs" dxfId="5532" priority="10732" operator="equal">
      <formula>"×"</formula>
    </cfRule>
  </conditionalFormatting>
  <conditionalFormatting sqref="AI12">
    <cfRule type="cellIs" dxfId="5531" priority="10729" operator="equal">
      <formula>1</formula>
    </cfRule>
    <cfRule type="cellIs" dxfId="5530" priority="10730" operator="equal">
      <formula>"×"</formula>
    </cfRule>
  </conditionalFormatting>
  <conditionalFormatting sqref="AI12">
    <cfRule type="cellIs" dxfId="5529" priority="10703" operator="equal">
      <formula>1</formula>
    </cfRule>
    <cfRule type="cellIs" dxfId="5528" priority="10704" operator="equal">
      <formula>"×"</formula>
    </cfRule>
  </conditionalFormatting>
  <conditionalFormatting sqref="AF12:AI12">
    <cfRule type="cellIs" dxfId="5527" priority="10701" operator="equal">
      <formula>1</formula>
    </cfRule>
    <cfRule type="cellIs" dxfId="5526" priority="10702" operator="equal">
      <formula>"×"</formula>
    </cfRule>
  </conditionalFormatting>
  <conditionalFormatting sqref="AI13">
    <cfRule type="cellIs" dxfId="5525" priority="10697" operator="equal">
      <formula>1</formula>
    </cfRule>
    <cfRule type="cellIs" dxfId="5524" priority="10698" operator="equal">
      <formula>"×"</formula>
    </cfRule>
  </conditionalFormatting>
  <conditionalFormatting sqref="AI13">
    <cfRule type="cellIs" dxfId="5523" priority="10699" operator="equal">
      <formula>1</formula>
    </cfRule>
    <cfRule type="cellIs" dxfId="5522" priority="10700" operator="equal">
      <formula>"×"</formula>
    </cfRule>
  </conditionalFormatting>
  <conditionalFormatting sqref="AF12:AI12">
    <cfRule type="cellIs" dxfId="5521" priority="10727" operator="equal">
      <formula>1</formula>
    </cfRule>
    <cfRule type="cellIs" dxfId="5520" priority="10728" operator="equal">
      <formula>"×"</formula>
    </cfRule>
  </conditionalFormatting>
  <conditionalFormatting sqref="AF12:AI12">
    <cfRule type="cellIs" dxfId="5519" priority="10725" operator="equal">
      <formula>1</formula>
    </cfRule>
    <cfRule type="cellIs" dxfId="5518" priority="10726" operator="equal">
      <formula>"×"</formula>
    </cfRule>
  </conditionalFormatting>
  <conditionalFormatting sqref="AI12">
    <cfRule type="cellIs" dxfId="5517" priority="10723" operator="equal">
      <formula>1</formula>
    </cfRule>
    <cfRule type="cellIs" dxfId="5516" priority="10724" operator="equal">
      <formula>"×"</formula>
    </cfRule>
  </conditionalFormatting>
  <conditionalFormatting sqref="AF13">
    <cfRule type="cellIs" dxfId="5515" priority="10721" operator="equal">
      <formula>1</formula>
    </cfRule>
    <cfRule type="cellIs" dxfId="5514" priority="10722" operator="equal">
      <formula>"×"</formula>
    </cfRule>
  </conditionalFormatting>
  <conditionalFormatting sqref="AF12">
    <cfRule type="cellIs" dxfId="5513" priority="10719" operator="equal">
      <formula>1</formula>
    </cfRule>
    <cfRule type="cellIs" dxfId="5512" priority="10720" operator="equal">
      <formula>"×"</formula>
    </cfRule>
  </conditionalFormatting>
  <conditionalFormatting sqref="AF12">
    <cfRule type="cellIs" dxfId="5511" priority="10717" operator="equal">
      <formula>1</formula>
    </cfRule>
    <cfRule type="cellIs" dxfId="5510" priority="10718" operator="equal">
      <formula>"×"</formula>
    </cfRule>
  </conditionalFormatting>
  <conditionalFormatting sqref="AF12">
    <cfRule type="cellIs" dxfId="5509" priority="10715" operator="equal">
      <formula>1</formula>
    </cfRule>
    <cfRule type="cellIs" dxfId="5508" priority="10716" operator="equal">
      <formula>"×"</formula>
    </cfRule>
  </conditionalFormatting>
  <conditionalFormatting sqref="AF12">
    <cfRule type="cellIs" dxfId="5507" priority="10713" operator="equal">
      <formula>1</formula>
    </cfRule>
    <cfRule type="cellIs" dxfId="5506" priority="10714" operator="equal">
      <formula>"×"</formula>
    </cfRule>
  </conditionalFormatting>
  <conditionalFormatting sqref="AI13">
    <cfRule type="cellIs" dxfId="5505" priority="10711" operator="equal">
      <formula>1</formula>
    </cfRule>
    <cfRule type="cellIs" dxfId="5504" priority="10712" operator="equal">
      <formula>"×"</formula>
    </cfRule>
  </conditionalFormatting>
  <conditionalFormatting sqref="AF12">
    <cfRule type="cellIs" dxfId="5503" priority="10709" operator="equal">
      <formula>1</formula>
    </cfRule>
    <cfRule type="cellIs" dxfId="5502" priority="10710" operator="equal">
      <formula>"×"</formula>
    </cfRule>
  </conditionalFormatting>
  <conditionalFormatting sqref="AF12">
    <cfRule type="cellIs" dxfId="5501" priority="10707" operator="equal">
      <formula>1</formula>
    </cfRule>
    <cfRule type="cellIs" dxfId="5500" priority="10708" operator="equal">
      <formula>"×"</formula>
    </cfRule>
  </conditionalFormatting>
  <conditionalFormatting sqref="AF12:AI12">
    <cfRule type="cellIs" dxfId="5499" priority="10705" operator="equal">
      <formula>1</formula>
    </cfRule>
    <cfRule type="cellIs" dxfId="5498" priority="10706" operator="equal">
      <formula>"×"</formula>
    </cfRule>
  </conditionalFormatting>
  <conditionalFormatting sqref="AH11:AI11">
    <cfRule type="cellIs" dxfId="5497" priority="10677" operator="equal">
      <formula>1</formula>
    </cfRule>
    <cfRule type="cellIs" dxfId="5496" priority="10678" operator="equal">
      <formula>"×"</formula>
    </cfRule>
  </conditionalFormatting>
  <conditionalFormatting sqref="AH11:AI11">
    <cfRule type="cellIs" dxfId="5495" priority="10675" operator="equal">
      <formula>1</formula>
    </cfRule>
    <cfRule type="cellIs" dxfId="5494" priority="10676" operator="equal">
      <formula>"×"</formula>
    </cfRule>
  </conditionalFormatting>
  <conditionalFormatting sqref="AF12">
    <cfRule type="cellIs" dxfId="5493" priority="10691" operator="equal">
      <formula>1</formula>
    </cfRule>
    <cfRule type="cellIs" dxfId="5492" priority="10692" operator="equal">
      <formula>"×"</formula>
    </cfRule>
  </conditionalFormatting>
  <conditionalFormatting sqref="AF12">
    <cfRule type="cellIs" dxfId="5491" priority="10693" operator="equal">
      <formula>1</formula>
    </cfRule>
    <cfRule type="cellIs" dxfId="5490" priority="10694" operator="equal">
      <formula>"×"</formula>
    </cfRule>
  </conditionalFormatting>
  <conditionalFormatting sqref="AB19">
    <cfRule type="cellIs" dxfId="5489" priority="14123" operator="equal">
      <formula>1</formula>
    </cfRule>
    <cfRule type="cellIs" dxfId="5488" priority="14124" operator="equal">
      <formula>"×"</formula>
    </cfRule>
  </conditionalFormatting>
  <conditionalFormatting sqref="AE14">
    <cfRule type="cellIs" dxfId="5487" priority="10415" operator="equal">
      <formula>1</formula>
    </cfRule>
    <cfRule type="cellIs" dxfId="5486" priority="10416" operator="equal">
      <formula>"×"</formula>
    </cfRule>
  </conditionalFormatting>
  <conditionalFormatting sqref="AE14">
    <cfRule type="cellIs" dxfId="5485" priority="10427" operator="equal">
      <formula>1</formula>
    </cfRule>
    <cfRule type="cellIs" dxfId="5484" priority="10428" operator="equal">
      <formula>"×"</formula>
    </cfRule>
  </conditionalFormatting>
  <conditionalFormatting sqref="AF14:AG14">
    <cfRule type="cellIs" dxfId="5483" priority="10249" operator="equal">
      <formula>1</formula>
    </cfRule>
    <cfRule type="cellIs" dxfId="5482" priority="10250" operator="equal">
      <formula>"×"</formula>
    </cfRule>
  </conditionalFormatting>
  <conditionalFormatting sqref="AF14:AG14">
    <cfRule type="cellIs" dxfId="5481" priority="10247" operator="equal">
      <formula>1</formula>
    </cfRule>
    <cfRule type="cellIs" dxfId="5480" priority="10248" operator="equal">
      <formula>"×"</formula>
    </cfRule>
  </conditionalFormatting>
  <conditionalFormatting sqref="AH14:AI14">
    <cfRule type="cellIs" dxfId="5479" priority="10243" operator="equal">
      <formula>1</formula>
    </cfRule>
    <cfRule type="cellIs" dxfId="5478" priority="10244" operator="equal">
      <formula>"×"</formula>
    </cfRule>
  </conditionalFormatting>
  <conditionalFormatting sqref="AH14:AI14">
    <cfRule type="cellIs" dxfId="5477" priority="10245" operator="equal">
      <formula>1</formula>
    </cfRule>
    <cfRule type="cellIs" dxfId="5476" priority="10246" operator="equal">
      <formula>"×"</formula>
    </cfRule>
  </conditionalFormatting>
  <conditionalFormatting sqref="AF14:AG14">
    <cfRule type="cellIs" dxfId="5475" priority="10273" operator="equal">
      <formula>1</formula>
    </cfRule>
    <cfRule type="cellIs" dxfId="5474" priority="10274" operator="equal">
      <formula>"×"</formula>
    </cfRule>
  </conditionalFormatting>
  <conditionalFormatting sqref="AF14:AG14">
    <cfRule type="cellIs" dxfId="5473" priority="10271" operator="equal">
      <formula>1</formula>
    </cfRule>
    <cfRule type="cellIs" dxfId="5472" priority="10272" operator="equal">
      <formula>"×"</formula>
    </cfRule>
  </conditionalFormatting>
  <conditionalFormatting sqref="AF14:AG14">
    <cfRule type="cellIs" dxfId="5471" priority="10269" operator="equal">
      <formula>1</formula>
    </cfRule>
    <cfRule type="cellIs" dxfId="5470" priority="10270" operator="equal">
      <formula>"×"</formula>
    </cfRule>
  </conditionalFormatting>
  <conditionalFormatting sqref="AF14:AG14">
    <cfRule type="cellIs" dxfId="5469" priority="10267" operator="equal">
      <formula>1</formula>
    </cfRule>
    <cfRule type="cellIs" dxfId="5468" priority="10268" operator="equal">
      <formula>"×"</formula>
    </cfRule>
  </conditionalFormatting>
  <conditionalFormatting sqref="AF14:AG14">
    <cfRule type="cellIs" dxfId="5467" priority="10265" operator="equal">
      <formula>1</formula>
    </cfRule>
    <cfRule type="cellIs" dxfId="5466" priority="10266" operator="equal">
      <formula>"×"</formula>
    </cfRule>
  </conditionalFormatting>
  <conditionalFormatting sqref="AF14:AG14">
    <cfRule type="cellIs" dxfId="5465" priority="10263" operator="equal">
      <formula>1</formula>
    </cfRule>
    <cfRule type="cellIs" dxfId="5464" priority="10264" operator="equal">
      <formula>"×"</formula>
    </cfRule>
  </conditionalFormatting>
  <conditionalFormatting sqref="AF14:AG14">
    <cfRule type="cellIs" dxfId="5463" priority="10261" operator="equal">
      <formula>1</formula>
    </cfRule>
    <cfRule type="cellIs" dxfId="5462" priority="10262" operator="equal">
      <formula>"×"</formula>
    </cfRule>
  </conditionalFormatting>
  <conditionalFormatting sqref="AF14:AG14">
    <cfRule type="cellIs" dxfId="5461" priority="10259" operator="equal">
      <formula>1</formula>
    </cfRule>
    <cfRule type="cellIs" dxfId="5460" priority="10260" operator="equal">
      <formula>"×"</formula>
    </cfRule>
  </conditionalFormatting>
  <conditionalFormatting sqref="AF14:AG14">
    <cfRule type="cellIs" dxfId="5459" priority="10257" operator="equal">
      <formula>1</formula>
    </cfRule>
    <cfRule type="cellIs" dxfId="5458" priority="10258" operator="equal">
      <formula>"×"</formula>
    </cfRule>
  </conditionalFormatting>
  <conditionalFormatting sqref="AF14:AG14">
    <cfRule type="cellIs" dxfId="5457" priority="10255" operator="equal">
      <formula>1</formula>
    </cfRule>
    <cfRule type="cellIs" dxfId="5456" priority="10256" operator="equal">
      <formula>"×"</formula>
    </cfRule>
  </conditionalFormatting>
  <conditionalFormatting sqref="AF14:AG14">
    <cfRule type="cellIs" dxfId="5455" priority="10253" operator="equal">
      <formula>1</formula>
    </cfRule>
    <cfRule type="cellIs" dxfId="5454" priority="10254" operator="equal">
      <formula>"×"</formula>
    </cfRule>
  </conditionalFormatting>
  <conditionalFormatting sqref="AF14:AG14">
    <cfRule type="cellIs" dxfId="5453" priority="10251" operator="equal">
      <formula>1</formula>
    </cfRule>
    <cfRule type="cellIs" dxfId="5452" priority="10252" operator="equal">
      <formula>"×"</formula>
    </cfRule>
  </conditionalFormatting>
  <conditionalFormatting sqref="AH14:AI14">
    <cfRule type="cellIs" dxfId="5451" priority="10241" operator="equal">
      <formula>1</formula>
    </cfRule>
    <cfRule type="cellIs" dxfId="5450" priority="10242" operator="equal">
      <formula>"×"</formula>
    </cfRule>
  </conditionalFormatting>
  <conditionalFormatting sqref="AH14:AI14">
    <cfRule type="cellIs" dxfId="5449" priority="10239" operator="equal">
      <formula>1</formula>
    </cfRule>
    <cfRule type="cellIs" dxfId="5448" priority="10240" operator="equal">
      <formula>"×"</formula>
    </cfRule>
  </conditionalFormatting>
  <conditionalFormatting sqref="AH14:AI14">
    <cfRule type="cellIs" dxfId="5447" priority="10237" operator="equal">
      <formula>1</formula>
    </cfRule>
    <cfRule type="cellIs" dxfId="5446" priority="10238" operator="equal">
      <formula>"×"</formula>
    </cfRule>
  </conditionalFormatting>
  <conditionalFormatting sqref="AH14:AI14">
    <cfRule type="cellIs" dxfId="5445" priority="10235" operator="equal">
      <formula>1</formula>
    </cfRule>
    <cfRule type="cellIs" dxfId="5444" priority="10236" operator="equal">
      <formula>"×"</formula>
    </cfRule>
  </conditionalFormatting>
  <conditionalFormatting sqref="AH14:AI14">
    <cfRule type="cellIs" dxfId="5443" priority="10233" operator="equal">
      <formula>1</formula>
    </cfRule>
    <cfRule type="cellIs" dxfId="5442" priority="10234" operator="equal">
      <formula>"×"</formula>
    </cfRule>
  </conditionalFormatting>
  <conditionalFormatting sqref="AH14:AI14">
    <cfRule type="cellIs" dxfId="5441" priority="10231" operator="equal">
      <formula>1</formula>
    </cfRule>
    <cfRule type="cellIs" dxfId="5440" priority="10232" operator="equal">
      <formula>"×"</formula>
    </cfRule>
  </conditionalFormatting>
  <conditionalFormatting sqref="AA31">
    <cfRule type="cellIs" dxfId="5439" priority="13845" operator="equal">
      <formula>1</formula>
    </cfRule>
    <cfRule type="cellIs" dxfId="5438" priority="13846" operator="equal">
      <formula>"×"</formula>
    </cfRule>
  </conditionalFormatting>
  <conditionalFormatting sqref="AA31">
    <cfRule type="cellIs" dxfId="5437" priority="13843" operator="equal">
      <formula>1</formula>
    </cfRule>
    <cfRule type="cellIs" dxfId="5436" priority="13844" operator="equal">
      <formula>"×"</formula>
    </cfRule>
  </conditionalFormatting>
  <conditionalFormatting sqref="AA31">
    <cfRule type="cellIs" dxfId="5435" priority="13841" operator="equal">
      <formula>1</formula>
    </cfRule>
    <cfRule type="cellIs" dxfId="5434" priority="13842" operator="equal">
      <formula>"×"</formula>
    </cfRule>
  </conditionalFormatting>
  <conditionalFormatting sqref="AA31">
    <cfRule type="cellIs" dxfId="5433" priority="13839" operator="equal">
      <formula>1</formula>
    </cfRule>
    <cfRule type="cellIs" dxfId="5432" priority="13840" operator="equal">
      <formula>"×"</formula>
    </cfRule>
  </conditionalFormatting>
  <conditionalFormatting sqref="AA32:AA36">
    <cfRule type="cellIs" dxfId="5431" priority="13837" operator="equal">
      <formula>1</formula>
    </cfRule>
    <cfRule type="cellIs" dxfId="5430" priority="13838" operator="equal">
      <formula>"×"</formula>
    </cfRule>
  </conditionalFormatting>
  <conditionalFormatting sqref="AA38:AI42 AA37">
    <cfRule type="cellIs" dxfId="5429" priority="13115" operator="equal">
      <formula>1</formula>
    </cfRule>
    <cfRule type="cellIs" dxfId="5428" priority="13116" operator="equal">
      <formula>"×"</formula>
    </cfRule>
  </conditionalFormatting>
  <conditionalFormatting sqref="AA38:AI42 AA37">
    <cfRule type="cellIs" dxfId="5427" priority="13117" operator="equal">
      <formula>1</formula>
    </cfRule>
    <cfRule type="cellIs" dxfId="5426" priority="13118" operator="equal">
      <formula>"×"</formula>
    </cfRule>
  </conditionalFormatting>
  <conditionalFormatting sqref="AA38:AI42 AA37">
    <cfRule type="cellIs" dxfId="5425" priority="13093" operator="equal">
      <formula>1</formula>
    </cfRule>
    <cfRule type="cellIs" dxfId="5424" priority="13094" operator="equal">
      <formula>"×"</formula>
    </cfRule>
  </conditionalFormatting>
  <conditionalFormatting sqref="AA38:AI42 AA37">
    <cfRule type="cellIs" dxfId="5423" priority="13091" operator="equal">
      <formula>1</formula>
    </cfRule>
    <cfRule type="cellIs" dxfId="5422" priority="13092" operator="equal">
      <formula>"×"</formula>
    </cfRule>
  </conditionalFormatting>
  <conditionalFormatting sqref="AA38:AI42 AA37">
    <cfRule type="cellIs" dxfId="5421" priority="13087" operator="equal">
      <formula>1</formula>
    </cfRule>
    <cfRule type="cellIs" dxfId="5420" priority="13088" operator="equal">
      <formula>"×"</formula>
    </cfRule>
  </conditionalFormatting>
  <conditionalFormatting sqref="AA38:AI42 AA37">
    <cfRule type="cellIs" dxfId="5419" priority="13089" operator="equal">
      <formula>1</formula>
    </cfRule>
    <cfRule type="cellIs" dxfId="5418" priority="13090" operator="equal">
      <formula>"×"</formula>
    </cfRule>
  </conditionalFormatting>
  <conditionalFormatting sqref="AA38:AI42 AA37">
    <cfRule type="cellIs" dxfId="5417" priority="13113" operator="equal">
      <formula>1</formula>
    </cfRule>
    <cfRule type="cellIs" dxfId="5416" priority="13114" operator="equal">
      <formula>"×"</formula>
    </cfRule>
  </conditionalFormatting>
  <conditionalFormatting sqref="AA38:AI42 AA37">
    <cfRule type="cellIs" dxfId="5415" priority="13111" operator="equal">
      <formula>1</formula>
    </cfRule>
    <cfRule type="cellIs" dxfId="5414" priority="13112" operator="equal">
      <formula>"×"</formula>
    </cfRule>
  </conditionalFormatting>
  <conditionalFormatting sqref="AA38:AI42 AA37">
    <cfRule type="cellIs" dxfId="5413" priority="13109" operator="equal">
      <formula>1</formula>
    </cfRule>
    <cfRule type="cellIs" dxfId="5412" priority="13110" operator="equal">
      <formula>"×"</formula>
    </cfRule>
  </conditionalFormatting>
  <conditionalFormatting sqref="AA38:AI42 AA37">
    <cfRule type="cellIs" dxfId="5411" priority="13107" operator="equal">
      <formula>1</formula>
    </cfRule>
    <cfRule type="cellIs" dxfId="5410" priority="13108" operator="equal">
      <formula>"×"</formula>
    </cfRule>
  </conditionalFormatting>
  <conditionalFormatting sqref="AA38:AI42 AA37">
    <cfRule type="cellIs" dxfId="5409" priority="13105" operator="equal">
      <formula>1</formula>
    </cfRule>
    <cfRule type="cellIs" dxfId="5408" priority="13106" operator="equal">
      <formula>"×"</formula>
    </cfRule>
  </conditionalFormatting>
  <conditionalFormatting sqref="AA38:AI42 AA37">
    <cfRule type="cellIs" dxfId="5407" priority="13103" operator="equal">
      <formula>1</formula>
    </cfRule>
    <cfRule type="cellIs" dxfId="5406" priority="13104" operator="equal">
      <formula>"×"</formula>
    </cfRule>
  </conditionalFormatting>
  <conditionalFormatting sqref="AA38:AI42 AA37">
    <cfRule type="cellIs" dxfId="5405" priority="13101" operator="equal">
      <formula>1</formula>
    </cfRule>
    <cfRule type="cellIs" dxfId="5404" priority="13102" operator="equal">
      <formula>"×"</formula>
    </cfRule>
  </conditionalFormatting>
  <conditionalFormatting sqref="AA38:AI42 AA37">
    <cfRule type="cellIs" dxfId="5403" priority="13099" operator="equal">
      <formula>1</formula>
    </cfRule>
    <cfRule type="cellIs" dxfId="5402" priority="13100" operator="equal">
      <formula>"×"</formula>
    </cfRule>
  </conditionalFormatting>
  <conditionalFormatting sqref="AA38:AI42 AA37">
    <cfRule type="cellIs" dxfId="5401" priority="13097" operator="equal">
      <formula>1</formula>
    </cfRule>
    <cfRule type="cellIs" dxfId="5400" priority="13098" operator="equal">
      <formula>"×"</formula>
    </cfRule>
  </conditionalFormatting>
  <conditionalFormatting sqref="AA38:AI42 AA37">
    <cfRule type="cellIs" dxfId="5399" priority="13095" operator="equal">
      <formula>1</formula>
    </cfRule>
    <cfRule type="cellIs" dxfId="5398" priority="13096" operator="equal">
      <formula>"×"</formula>
    </cfRule>
  </conditionalFormatting>
  <conditionalFormatting sqref="AA38:AI42 AA37">
    <cfRule type="cellIs" dxfId="5397" priority="13085" operator="equal">
      <formula>1</formula>
    </cfRule>
    <cfRule type="cellIs" dxfId="5396" priority="13086" operator="equal">
      <formula>"×"</formula>
    </cfRule>
  </conditionalFormatting>
  <conditionalFormatting sqref="AA38:AI42 AA37">
    <cfRule type="cellIs" dxfId="5395" priority="13083" operator="equal">
      <formula>1</formula>
    </cfRule>
    <cfRule type="cellIs" dxfId="5394" priority="13084" operator="equal">
      <formula>"×"</formula>
    </cfRule>
  </conditionalFormatting>
  <conditionalFormatting sqref="AA38:AI42 AA37">
    <cfRule type="cellIs" dxfId="5393" priority="13079" operator="equal">
      <formula>1</formula>
    </cfRule>
    <cfRule type="cellIs" dxfId="5392" priority="13080" operator="equal">
      <formula>"×"</formula>
    </cfRule>
  </conditionalFormatting>
  <conditionalFormatting sqref="AA38:AI42 AA37">
    <cfRule type="cellIs" dxfId="5391" priority="13081" operator="equal">
      <formula>1</formula>
    </cfRule>
    <cfRule type="cellIs" dxfId="5390" priority="13082" operator="equal">
      <formula>"×"</formula>
    </cfRule>
  </conditionalFormatting>
  <conditionalFormatting sqref="AA38:AI42 AA37">
    <cfRule type="cellIs" dxfId="5389" priority="13077" operator="equal">
      <formula>1</formula>
    </cfRule>
    <cfRule type="cellIs" dxfId="5388" priority="13078" operator="equal">
      <formula>"×"</formula>
    </cfRule>
  </conditionalFormatting>
  <conditionalFormatting sqref="AA38:AI42 AA37">
    <cfRule type="cellIs" dxfId="5387" priority="13075" operator="equal">
      <formula>1</formula>
    </cfRule>
    <cfRule type="cellIs" dxfId="5386" priority="13076" operator="equal">
      <formula>"×"</formula>
    </cfRule>
  </conditionalFormatting>
  <conditionalFormatting sqref="AA38:AI42 AA37">
    <cfRule type="cellIs" dxfId="5385" priority="13073" operator="equal">
      <formula>1</formula>
    </cfRule>
    <cfRule type="cellIs" dxfId="5384" priority="13074" operator="equal">
      <formula>"×"</formula>
    </cfRule>
  </conditionalFormatting>
  <conditionalFormatting sqref="AA38:AI42 AA37">
    <cfRule type="cellIs" dxfId="5383" priority="13071" operator="equal">
      <formula>1</formula>
    </cfRule>
    <cfRule type="cellIs" dxfId="5382" priority="13072" operator="equal">
      <formula>"×"</formula>
    </cfRule>
  </conditionalFormatting>
  <conditionalFormatting sqref="AA38:AI42 AA37">
    <cfRule type="cellIs" dxfId="5381" priority="13069" operator="equal">
      <formula>1</formula>
    </cfRule>
    <cfRule type="cellIs" dxfId="5380" priority="13070" operator="equal">
      <formula>"×"</formula>
    </cfRule>
  </conditionalFormatting>
  <conditionalFormatting sqref="AA38:AI42 AA37">
    <cfRule type="cellIs" dxfId="5379" priority="13067" operator="equal">
      <formula>1</formula>
    </cfRule>
    <cfRule type="cellIs" dxfId="5378" priority="13068" operator="equal">
      <formula>"×"</formula>
    </cfRule>
  </conditionalFormatting>
  <conditionalFormatting sqref="AA38:AI42 AA37">
    <cfRule type="cellIs" dxfId="5377" priority="13065" operator="equal">
      <formula>1</formula>
    </cfRule>
    <cfRule type="cellIs" dxfId="5376" priority="13066" operator="equal">
      <formula>"×"</formula>
    </cfRule>
  </conditionalFormatting>
  <conditionalFormatting sqref="AA38:AI42 AA37">
    <cfRule type="cellIs" dxfId="5375" priority="13063" operator="equal">
      <formula>1</formula>
    </cfRule>
    <cfRule type="cellIs" dxfId="5374" priority="13064" operator="equal">
      <formula>"×"</formula>
    </cfRule>
  </conditionalFormatting>
  <conditionalFormatting sqref="AA38:AI42 AA37">
    <cfRule type="cellIs" dxfId="5373" priority="13061" operator="equal">
      <formula>1</formula>
    </cfRule>
    <cfRule type="cellIs" dxfId="5372" priority="13062" operator="equal">
      <formula>"×"</formula>
    </cfRule>
  </conditionalFormatting>
  <conditionalFormatting sqref="AA38:AI42 AA37">
    <cfRule type="cellIs" dxfId="5371" priority="13059" operator="equal">
      <formula>1</formula>
    </cfRule>
    <cfRule type="cellIs" dxfId="5370" priority="13060" operator="equal">
      <formula>"×"</formula>
    </cfRule>
  </conditionalFormatting>
  <conditionalFormatting sqref="AA38:AI42 AA37">
    <cfRule type="cellIs" dxfId="5369" priority="13057" operator="equal">
      <formula>1</formula>
    </cfRule>
    <cfRule type="cellIs" dxfId="5368" priority="13058" operator="equal">
      <formula>"×"</formula>
    </cfRule>
  </conditionalFormatting>
  <conditionalFormatting sqref="AA38:AI42 AA37">
    <cfRule type="cellIs" dxfId="5367" priority="13055" operator="equal">
      <formula>1</formula>
    </cfRule>
    <cfRule type="cellIs" dxfId="5366" priority="13056" operator="equal">
      <formula>"×"</formula>
    </cfRule>
  </conditionalFormatting>
  <conditionalFormatting sqref="AA38:AI42 AA37">
    <cfRule type="cellIs" dxfId="5365" priority="13053" operator="equal">
      <formula>1</formula>
    </cfRule>
    <cfRule type="cellIs" dxfId="5364" priority="13054" operator="equal">
      <formula>"×"</formula>
    </cfRule>
  </conditionalFormatting>
  <conditionalFormatting sqref="AA38:AI42 AA37">
    <cfRule type="cellIs" dxfId="5363" priority="13051" operator="equal">
      <formula>1</formula>
    </cfRule>
    <cfRule type="cellIs" dxfId="5362" priority="13052" operator="equal">
      <formula>"×"</formula>
    </cfRule>
  </conditionalFormatting>
  <conditionalFormatting sqref="AA38:AI42 AA37">
    <cfRule type="cellIs" dxfId="5361" priority="13049" operator="equal">
      <formula>1</formula>
    </cfRule>
    <cfRule type="cellIs" dxfId="5360" priority="13050" operator="equal">
      <formula>"×"</formula>
    </cfRule>
  </conditionalFormatting>
  <conditionalFormatting sqref="AA38:AI42 AA37">
    <cfRule type="cellIs" dxfId="5359" priority="13047" operator="equal">
      <formula>1</formula>
    </cfRule>
    <cfRule type="cellIs" dxfId="5358" priority="13048" operator="equal">
      <formula>"×"</formula>
    </cfRule>
  </conditionalFormatting>
  <conditionalFormatting sqref="AA38:AI42 AA37">
    <cfRule type="cellIs" dxfId="5357" priority="13045" operator="equal">
      <formula>1</formula>
    </cfRule>
    <cfRule type="cellIs" dxfId="5356" priority="13046" operator="equal">
      <formula>"×"</formula>
    </cfRule>
  </conditionalFormatting>
  <conditionalFormatting sqref="AA38:AI42 AA37">
    <cfRule type="cellIs" dxfId="5355" priority="13043" operator="equal">
      <formula>1</formula>
    </cfRule>
    <cfRule type="cellIs" dxfId="5354" priority="13044" operator="equal">
      <formula>"×"</formula>
    </cfRule>
  </conditionalFormatting>
  <conditionalFormatting sqref="AA38:AI42 AA37">
    <cfRule type="cellIs" dxfId="5353" priority="13039" operator="equal">
      <formula>1</formula>
    </cfRule>
    <cfRule type="cellIs" dxfId="5352" priority="13040" operator="equal">
      <formula>"×"</formula>
    </cfRule>
  </conditionalFormatting>
  <conditionalFormatting sqref="AA38:AI42 AA37">
    <cfRule type="cellIs" dxfId="5351" priority="13041" operator="equal">
      <formula>1</formula>
    </cfRule>
    <cfRule type="cellIs" dxfId="5350" priority="13042" operator="equal">
      <formula>"×"</formula>
    </cfRule>
  </conditionalFormatting>
  <conditionalFormatting sqref="AA38:AI42 AA37">
    <cfRule type="cellIs" dxfId="5349" priority="13037" operator="equal">
      <formula>1</formula>
    </cfRule>
    <cfRule type="cellIs" dxfId="5348" priority="13038" operator="equal">
      <formula>"×"</formula>
    </cfRule>
  </conditionalFormatting>
  <conditionalFormatting sqref="AA38:AI42 AA37">
    <cfRule type="cellIs" dxfId="5347" priority="13035" operator="equal">
      <formula>1</formula>
    </cfRule>
    <cfRule type="cellIs" dxfId="5346" priority="13036" operator="equal">
      <formula>"×"</formula>
    </cfRule>
  </conditionalFormatting>
  <conditionalFormatting sqref="AA38:AI42 AA37">
    <cfRule type="cellIs" dxfId="5345" priority="13033" operator="equal">
      <formula>1</formula>
    </cfRule>
    <cfRule type="cellIs" dxfId="5344" priority="13034" operator="equal">
      <formula>"×"</formula>
    </cfRule>
  </conditionalFormatting>
  <conditionalFormatting sqref="AA38:AI42 AA37">
    <cfRule type="cellIs" dxfId="5343" priority="13031" operator="equal">
      <formula>1</formula>
    </cfRule>
    <cfRule type="cellIs" dxfId="5342" priority="13032" operator="equal">
      <formula>"×"</formula>
    </cfRule>
  </conditionalFormatting>
  <conditionalFormatting sqref="AA7:AA31">
    <cfRule type="cellIs" dxfId="5341" priority="13029" operator="equal">
      <formula>1</formula>
    </cfRule>
    <cfRule type="cellIs" dxfId="5340" priority="13030" operator="equal">
      <formula>"×"</formula>
    </cfRule>
  </conditionalFormatting>
  <conditionalFormatting sqref="Z8">
    <cfRule type="cellIs" dxfId="5339" priority="13015" operator="equal">
      <formula>1</formula>
    </cfRule>
    <cfRule type="cellIs" dxfId="5338" priority="13016" operator="equal">
      <formula>"×"</formula>
    </cfRule>
  </conditionalFormatting>
  <conditionalFormatting sqref="AD8:AE8 AE10 AE16">
    <cfRule type="cellIs" dxfId="5337" priority="13009" operator="equal">
      <formula>1</formula>
    </cfRule>
    <cfRule type="cellIs" dxfId="5336" priority="13010" operator="equal">
      <formula>"×"</formula>
    </cfRule>
  </conditionalFormatting>
  <conditionalFormatting sqref="AB8:AC8">
    <cfRule type="cellIs" dxfId="5335" priority="13011" operator="equal">
      <formula>1</formula>
    </cfRule>
    <cfRule type="cellIs" dxfId="5334" priority="13012" operator="equal">
      <formula>"×"</formula>
    </cfRule>
  </conditionalFormatting>
  <conditionalFormatting sqref="AD8">
    <cfRule type="cellIs" dxfId="5333" priority="13005" operator="equal">
      <formula>1</formula>
    </cfRule>
    <cfRule type="cellIs" dxfId="5332" priority="13006" operator="equal">
      <formula>"×"</formula>
    </cfRule>
  </conditionalFormatting>
  <conditionalFormatting sqref="AF14">
    <cfRule type="cellIs" dxfId="5331" priority="13003" operator="equal">
      <formula>1</formula>
    </cfRule>
    <cfRule type="cellIs" dxfId="5330" priority="13004" operator="equal">
      <formula>"×"</formula>
    </cfRule>
  </conditionalFormatting>
  <conditionalFormatting sqref="AF14">
    <cfRule type="cellIs" dxfId="5329" priority="13001" operator="equal">
      <formula>1</formula>
    </cfRule>
    <cfRule type="cellIs" dxfId="5328" priority="13002" operator="equal">
      <formula>"×"</formula>
    </cfRule>
  </conditionalFormatting>
  <conditionalFormatting sqref="AE16">
    <cfRule type="cellIs" dxfId="5327" priority="12999" operator="equal">
      <formula>1</formula>
    </cfRule>
    <cfRule type="cellIs" dxfId="5326" priority="13000" operator="equal">
      <formula>"×"</formula>
    </cfRule>
  </conditionalFormatting>
  <conditionalFormatting sqref="AE16 AF14:AI14">
    <cfRule type="cellIs" dxfId="5325" priority="12997" operator="equal">
      <formula>1</formula>
    </cfRule>
    <cfRule type="cellIs" dxfId="5324" priority="12998" operator="equal">
      <formula>"×"</formula>
    </cfRule>
  </conditionalFormatting>
  <conditionalFormatting sqref="AI14">
    <cfRule type="cellIs" dxfId="5323" priority="12995" operator="equal">
      <formula>1</formula>
    </cfRule>
    <cfRule type="cellIs" dxfId="5322" priority="12996" operator="equal">
      <formula>"×"</formula>
    </cfRule>
  </conditionalFormatting>
  <conditionalFormatting sqref="AE16 AF14:AI14">
    <cfRule type="cellIs" dxfId="5321" priority="12993" operator="equal">
      <formula>1</formula>
    </cfRule>
    <cfRule type="cellIs" dxfId="5320" priority="12994" operator="equal">
      <formula>"×"</formula>
    </cfRule>
  </conditionalFormatting>
  <conditionalFormatting sqref="AE16">
    <cfRule type="cellIs" dxfId="5319" priority="12991" operator="equal">
      <formula>1</formula>
    </cfRule>
    <cfRule type="cellIs" dxfId="5318" priority="12992" operator="equal">
      <formula>"×"</formula>
    </cfRule>
  </conditionalFormatting>
  <conditionalFormatting sqref="AE16 AF14:AI14">
    <cfRule type="cellIs" dxfId="5317" priority="12989" operator="equal">
      <formula>1</formula>
    </cfRule>
    <cfRule type="cellIs" dxfId="5316" priority="12990" operator="equal">
      <formula>"×"</formula>
    </cfRule>
  </conditionalFormatting>
  <conditionalFormatting sqref="AI14">
    <cfRule type="cellIs" dxfId="5315" priority="12987" operator="equal">
      <formula>1</formula>
    </cfRule>
    <cfRule type="cellIs" dxfId="5314" priority="12988" operator="equal">
      <formula>"×"</formula>
    </cfRule>
  </conditionalFormatting>
  <conditionalFormatting sqref="AF14:AI14">
    <cfRule type="cellIs" dxfId="5313" priority="12985" operator="equal">
      <formula>1</formula>
    </cfRule>
    <cfRule type="cellIs" dxfId="5312" priority="12986" operator="equal">
      <formula>"×"</formula>
    </cfRule>
  </conditionalFormatting>
  <conditionalFormatting sqref="AE16 AF14:AI14">
    <cfRule type="cellIs" dxfId="5311" priority="12983" operator="equal">
      <formula>1</formula>
    </cfRule>
    <cfRule type="cellIs" dxfId="5310" priority="12984" operator="equal">
      <formula>"×"</formula>
    </cfRule>
  </conditionalFormatting>
  <conditionalFormatting sqref="AI14">
    <cfRule type="cellIs" dxfId="5309" priority="12981" operator="equal">
      <formula>1</formula>
    </cfRule>
    <cfRule type="cellIs" dxfId="5308" priority="12982" operator="equal">
      <formula>"×"</formula>
    </cfRule>
  </conditionalFormatting>
  <conditionalFormatting sqref="AF15">
    <cfRule type="cellIs" dxfId="5307" priority="12979" operator="equal">
      <formula>1</formula>
    </cfRule>
    <cfRule type="cellIs" dxfId="5306" priority="12980" operator="equal">
      <formula>"×"</formula>
    </cfRule>
  </conditionalFormatting>
  <conditionalFormatting sqref="AE16">
    <cfRule type="cellIs" dxfId="5305" priority="12925" operator="equal">
      <formula>1</formula>
    </cfRule>
    <cfRule type="cellIs" dxfId="5304" priority="12926" operator="equal">
      <formula>"×"</formula>
    </cfRule>
  </conditionalFormatting>
  <conditionalFormatting sqref="AE16 AF14:AI14">
    <cfRule type="cellIs" dxfId="5303" priority="12923" operator="equal">
      <formula>1</formula>
    </cfRule>
    <cfRule type="cellIs" dxfId="5302" priority="12924" operator="equal">
      <formula>"×"</formula>
    </cfRule>
  </conditionalFormatting>
  <conditionalFormatting sqref="AI14">
    <cfRule type="cellIs" dxfId="5301" priority="12921" operator="equal">
      <formula>1</formula>
    </cfRule>
    <cfRule type="cellIs" dxfId="5300" priority="12922" operator="equal">
      <formula>"×"</formula>
    </cfRule>
  </conditionalFormatting>
  <conditionalFormatting sqref="AE16 AF14:AI14">
    <cfRule type="cellIs" dxfId="5299" priority="12919" operator="equal">
      <formula>1</formula>
    </cfRule>
    <cfRule type="cellIs" dxfId="5298" priority="12920" operator="equal">
      <formula>"×"</formula>
    </cfRule>
  </conditionalFormatting>
  <conditionalFormatting sqref="AF14">
    <cfRule type="cellIs" dxfId="5297" priority="12939" operator="equal">
      <formula>1</formula>
    </cfRule>
    <cfRule type="cellIs" dxfId="5296" priority="12940" operator="equal">
      <formula>"×"</formula>
    </cfRule>
  </conditionalFormatting>
  <conditionalFormatting sqref="AF14">
    <cfRule type="cellIs" dxfId="5295" priority="12937" operator="equal">
      <formula>1</formula>
    </cfRule>
    <cfRule type="cellIs" dxfId="5294" priority="12938" operator="equal">
      <formula>"×"</formula>
    </cfRule>
  </conditionalFormatting>
  <conditionalFormatting sqref="AF14">
    <cfRule type="cellIs" dxfId="5293" priority="12935" operator="equal">
      <formula>1</formula>
    </cfRule>
    <cfRule type="cellIs" dxfId="5292" priority="12936" operator="equal">
      <formula>"×"</formula>
    </cfRule>
  </conditionalFormatting>
  <conditionalFormatting sqref="AF14">
    <cfRule type="cellIs" dxfId="5291" priority="12933" operator="equal">
      <formula>1</formula>
    </cfRule>
    <cfRule type="cellIs" dxfId="5290" priority="12934" operator="equal">
      <formula>"×"</formula>
    </cfRule>
  </conditionalFormatting>
  <conditionalFormatting sqref="AI15">
    <cfRule type="cellIs" dxfId="5289" priority="12931" operator="equal">
      <formula>1</formula>
    </cfRule>
    <cfRule type="cellIs" dxfId="5288" priority="12932" operator="equal">
      <formula>"×"</formula>
    </cfRule>
  </conditionalFormatting>
  <conditionalFormatting sqref="AF14">
    <cfRule type="cellIs" dxfId="5287" priority="12929" operator="equal">
      <formula>1</formula>
    </cfRule>
    <cfRule type="cellIs" dxfId="5286" priority="12930" operator="equal">
      <formula>"×"</formula>
    </cfRule>
  </conditionalFormatting>
  <conditionalFormatting sqref="AF14">
    <cfRule type="cellIs" dxfId="5285" priority="12927" operator="equal">
      <formula>1</formula>
    </cfRule>
    <cfRule type="cellIs" dxfId="5284" priority="12928" operator="equal">
      <formula>"×"</formula>
    </cfRule>
  </conditionalFormatting>
  <conditionalFormatting sqref="AI15">
    <cfRule type="cellIs" dxfId="5283" priority="12917" operator="equal">
      <formula>1</formula>
    </cfRule>
    <cfRule type="cellIs" dxfId="5282" priority="12918" operator="equal">
      <formula>"×"</formula>
    </cfRule>
  </conditionalFormatting>
  <conditionalFormatting sqref="AI15">
    <cfRule type="cellIs" dxfId="5281" priority="12915" operator="equal">
      <formula>1</formula>
    </cfRule>
    <cfRule type="cellIs" dxfId="5280" priority="12916" operator="equal">
      <formula>"×"</formula>
    </cfRule>
  </conditionalFormatting>
  <conditionalFormatting sqref="AE16">
    <cfRule type="cellIs" dxfId="5279" priority="12913" operator="equal">
      <formula>1</formula>
    </cfRule>
    <cfRule type="cellIs" dxfId="5278" priority="12914" operator="equal">
      <formula>"×"</formula>
    </cfRule>
  </conditionalFormatting>
  <conditionalFormatting sqref="AE16">
    <cfRule type="cellIs" dxfId="5277" priority="12911" operator="equal">
      <formula>1</formula>
    </cfRule>
    <cfRule type="cellIs" dxfId="5276" priority="12912" operator="equal">
      <formula>"×"</formula>
    </cfRule>
  </conditionalFormatting>
  <conditionalFormatting sqref="AE16">
    <cfRule type="cellIs" dxfId="5275" priority="12909" operator="equal">
      <formula>1</formula>
    </cfRule>
    <cfRule type="cellIs" dxfId="5274" priority="12910" operator="equal">
      <formula>"×"</formula>
    </cfRule>
  </conditionalFormatting>
  <conditionalFormatting sqref="AE16">
    <cfRule type="cellIs" dxfId="5273" priority="12907" operator="equal">
      <formula>1</formula>
    </cfRule>
    <cfRule type="cellIs" dxfId="5272" priority="12908" operator="equal">
      <formula>"×"</formula>
    </cfRule>
  </conditionalFormatting>
  <conditionalFormatting sqref="AE16">
    <cfRule type="cellIs" dxfId="5271" priority="12905" operator="equal">
      <formula>1</formula>
    </cfRule>
    <cfRule type="cellIs" dxfId="5270" priority="12906" operator="equal">
      <formula>"×"</formula>
    </cfRule>
  </conditionalFormatting>
  <conditionalFormatting sqref="AE16">
    <cfRule type="cellIs" dxfId="5269" priority="12903" operator="equal">
      <formula>1</formula>
    </cfRule>
    <cfRule type="cellIs" dxfId="5268" priority="12904" operator="equal">
      <formula>"×"</formula>
    </cfRule>
  </conditionalFormatting>
  <conditionalFormatting sqref="AE16">
    <cfRule type="cellIs" dxfId="5267" priority="12901" operator="equal">
      <formula>1</formula>
    </cfRule>
    <cfRule type="cellIs" dxfId="5266" priority="12902" operator="equal">
      <formula>"×"</formula>
    </cfRule>
  </conditionalFormatting>
  <conditionalFormatting sqref="AE16 AF14">
    <cfRule type="cellIs" dxfId="5265" priority="12899" operator="equal">
      <formula>1</formula>
    </cfRule>
    <cfRule type="cellIs" dxfId="5264" priority="12900" operator="equal">
      <formula>"×"</formula>
    </cfRule>
  </conditionalFormatting>
  <conditionalFormatting sqref="AE16 AF14">
    <cfRule type="cellIs" dxfId="5263" priority="12895" operator="equal">
      <formula>1</formula>
    </cfRule>
    <cfRule type="cellIs" dxfId="5262" priority="12896" operator="equal">
      <formula>"×"</formula>
    </cfRule>
  </conditionalFormatting>
  <conditionalFormatting sqref="AE16 AF14">
    <cfRule type="cellIs" dxfId="5261" priority="12897" operator="equal">
      <formula>1</formula>
    </cfRule>
    <cfRule type="cellIs" dxfId="5260" priority="12898" operator="equal">
      <formula>"×"</formula>
    </cfRule>
  </conditionalFormatting>
  <conditionalFormatting sqref="AE16 AF14">
    <cfRule type="cellIs" dxfId="5259" priority="12893" operator="equal">
      <formula>1</formula>
    </cfRule>
    <cfRule type="cellIs" dxfId="5258" priority="12894" operator="equal">
      <formula>"×"</formula>
    </cfRule>
  </conditionalFormatting>
  <conditionalFormatting sqref="AE16 AF14">
    <cfRule type="cellIs" dxfId="5257" priority="12891" operator="equal">
      <formula>1</formula>
    </cfRule>
    <cfRule type="cellIs" dxfId="5256" priority="12892" operator="equal">
      <formula>"×"</formula>
    </cfRule>
  </conditionalFormatting>
  <conditionalFormatting sqref="AE16 AF14">
    <cfRule type="cellIs" dxfId="5255" priority="12889" operator="equal">
      <formula>1</formula>
    </cfRule>
    <cfRule type="cellIs" dxfId="5254" priority="12890" operator="equal">
      <formula>"×"</formula>
    </cfRule>
  </conditionalFormatting>
  <conditionalFormatting sqref="AE16 AF14">
    <cfRule type="cellIs" dxfId="5253" priority="12887" operator="equal">
      <formula>1</formula>
    </cfRule>
    <cfRule type="cellIs" dxfId="5252" priority="12888" operator="equal">
      <formula>"×"</formula>
    </cfRule>
  </conditionalFormatting>
  <conditionalFormatting sqref="Z9">
    <cfRule type="cellIs" dxfId="5251" priority="12845" operator="equal">
      <formula>1</formula>
    </cfRule>
    <cfRule type="cellIs" dxfId="5250" priority="12846" operator="equal">
      <formula>"×"</formula>
    </cfRule>
  </conditionalFormatting>
  <conditionalFormatting sqref="AE16">
    <cfRule type="cellIs" dxfId="5249" priority="12831" operator="equal">
      <formula>1</formula>
    </cfRule>
    <cfRule type="cellIs" dxfId="5248" priority="12832" operator="equal">
      <formula>"×"</formula>
    </cfRule>
  </conditionalFormatting>
  <conditionalFormatting sqref="AE16">
    <cfRule type="cellIs" dxfId="5247" priority="12829" operator="equal">
      <formula>1</formula>
    </cfRule>
    <cfRule type="cellIs" dxfId="5246" priority="12830" operator="equal">
      <formula>"×"</formula>
    </cfRule>
  </conditionalFormatting>
  <conditionalFormatting sqref="AE16">
    <cfRule type="cellIs" dxfId="5245" priority="12843" operator="equal">
      <formula>1</formula>
    </cfRule>
    <cfRule type="cellIs" dxfId="5244" priority="12844" operator="equal">
      <formula>"×"</formula>
    </cfRule>
  </conditionalFormatting>
  <conditionalFormatting sqref="AE16">
    <cfRule type="cellIs" dxfId="5243" priority="12841" operator="equal">
      <formula>1</formula>
    </cfRule>
    <cfRule type="cellIs" dxfId="5242" priority="12842" operator="equal">
      <formula>"×"</formula>
    </cfRule>
  </conditionalFormatting>
  <conditionalFormatting sqref="AE16">
    <cfRule type="cellIs" dxfId="5241" priority="12839" operator="equal">
      <formula>1</formula>
    </cfRule>
    <cfRule type="cellIs" dxfId="5240" priority="12840" operator="equal">
      <formula>"×"</formula>
    </cfRule>
  </conditionalFormatting>
  <conditionalFormatting sqref="AE16">
    <cfRule type="cellIs" dxfId="5239" priority="12837" operator="equal">
      <formula>1</formula>
    </cfRule>
    <cfRule type="cellIs" dxfId="5238" priority="12838" operator="equal">
      <formula>"×"</formula>
    </cfRule>
  </conditionalFormatting>
  <conditionalFormatting sqref="AE16">
    <cfRule type="cellIs" dxfId="5237" priority="12835" operator="equal">
      <formula>1</formula>
    </cfRule>
    <cfRule type="cellIs" dxfId="5236" priority="12836" operator="equal">
      <formula>"×"</formula>
    </cfRule>
  </conditionalFormatting>
  <conditionalFormatting sqref="AE16">
    <cfRule type="cellIs" dxfId="5235" priority="12833" operator="equal">
      <formula>1</formula>
    </cfRule>
    <cfRule type="cellIs" dxfId="5234" priority="12834" operator="equal">
      <formula>"×"</formula>
    </cfRule>
  </conditionalFormatting>
  <conditionalFormatting sqref="AE16">
    <cfRule type="cellIs" dxfId="5233" priority="12827" operator="equal">
      <formula>1</formula>
    </cfRule>
    <cfRule type="cellIs" dxfId="5232" priority="12828" operator="equal">
      <formula>"×"</formula>
    </cfRule>
  </conditionalFormatting>
  <conditionalFormatting sqref="AE16">
    <cfRule type="cellIs" dxfId="5231" priority="12803" operator="equal">
      <formula>1</formula>
    </cfRule>
    <cfRule type="cellIs" dxfId="5230" priority="12804" operator="equal">
      <formula>"×"</formula>
    </cfRule>
  </conditionalFormatting>
  <conditionalFormatting sqref="AE16">
    <cfRule type="cellIs" dxfId="5229" priority="12807" operator="equal">
      <formula>1</formula>
    </cfRule>
    <cfRule type="cellIs" dxfId="5228" priority="12808" operator="equal">
      <formula>"×"</formula>
    </cfRule>
  </conditionalFormatting>
  <conditionalFormatting sqref="AE16">
    <cfRule type="cellIs" dxfId="5227" priority="12805" operator="equal">
      <formula>1</formula>
    </cfRule>
    <cfRule type="cellIs" dxfId="5226" priority="12806" operator="equal">
      <formula>"×"</formula>
    </cfRule>
  </conditionalFormatting>
  <conditionalFormatting sqref="AE16">
    <cfRule type="cellIs" dxfId="5225" priority="12801" operator="equal">
      <formula>1</formula>
    </cfRule>
    <cfRule type="cellIs" dxfId="5224" priority="12802" operator="equal">
      <formula>"×"</formula>
    </cfRule>
  </conditionalFormatting>
  <conditionalFormatting sqref="AE16">
    <cfRule type="cellIs" dxfId="5223" priority="12825" operator="equal">
      <formula>1</formula>
    </cfRule>
    <cfRule type="cellIs" dxfId="5222" priority="12826" operator="equal">
      <formula>"×"</formula>
    </cfRule>
  </conditionalFormatting>
  <conditionalFormatting sqref="AE16">
    <cfRule type="cellIs" dxfId="5221" priority="12823" operator="equal">
      <formula>1</formula>
    </cfRule>
    <cfRule type="cellIs" dxfId="5220" priority="12824" operator="equal">
      <formula>"×"</formula>
    </cfRule>
  </conditionalFormatting>
  <conditionalFormatting sqref="AE16">
    <cfRule type="cellIs" dxfId="5219" priority="12821" operator="equal">
      <formula>1</formula>
    </cfRule>
    <cfRule type="cellIs" dxfId="5218" priority="12822" operator="equal">
      <formula>"×"</formula>
    </cfRule>
  </conditionalFormatting>
  <conditionalFormatting sqref="AE16">
    <cfRule type="cellIs" dxfId="5217" priority="12819" operator="equal">
      <formula>1</formula>
    </cfRule>
    <cfRule type="cellIs" dxfId="5216" priority="12820" operator="equal">
      <formula>"×"</formula>
    </cfRule>
  </conditionalFormatting>
  <conditionalFormatting sqref="AE16">
    <cfRule type="cellIs" dxfId="5215" priority="12817" operator="equal">
      <formula>1</formula>
    </cfRule>
    <cfRule type="cellIs" dxfId="5214" priority="12818" operator="equal">
      <formula>"×"</formula>
    </cfRule>
  </conditionalFormatting>
  <conditionalFormatting sqref="AE16">
    <cfRule type="cellIs" dxfId="5213" priority="12815" operator="equal">
      <formula>1</formula>
    </cfRule>
    <cfRule type="cellIs" dxfId="5212" priority="12816" operator="equal">
      <formula>"×"</formula>
    </cfRule>
  </conditionalFormatting>
  <conditionalFormatting sqref="AE16">
    <cfRule type="cellIs" dxfId="5211" priority="12813" operator="equal">
      <formula>1</formula>
    </cfRule>
    <cfRule type="cellIs" dxfId="5210" priority="12814" operator="equal">
      <formula>"×"</formula>
    </cfRule>
  </conditionalFormatting>
  <conditionalFormatting sqref="AE16">
    <cfRule type="cellIs" dxfId="5209" priority="12811" operator="equal">
      <formula>1</formula>
    </cfRule>
    <cfRule type="cellIs" dxfId="5208" priority="12812" operator="equal">
      <formula>"×"</formula>
    </cfRule>
  </conditionalFormatting>
  <conditionalFormatting sqref="AE16">
    <cfRule type="cellIs" dxfId="5207" priority="12809" operator="equal">
      <formula>1</formula>
    </cfRule>
    <cfRule type="cellIs" dxfId="5206" priority="12810" operator="equal">
      <formula>"×"</formula>
    </cfRule>
  </conditionalFormatting>
  <conditionalFormatting sqref="AC16">
    <cfRule type="cellIs" dxfId="5205" priority="12773" operator="equal">
      <formula>1</formula>
    </cfRule>
    <cfRule type="cellIs" dxfId="5204" priority="12774" operator="equal">
      <formula>"×"</formula>
    </cfRule>
  </conditionalFormatting>
  <conditionalFormatting sqref="AD16">
    <cfRule type="cellIs" dxfId="5203" priority="12771" operator="equal">
      <formula>1</formula>
    </cfRule>
    <cfRule type="cellIs" dxfId="5202" priority="12772" operator="equal">
      <formula>"×"</formula>
    </cfRule>
  </conditionalFormatting>
  <conditionalFormatting sqref="AD16">
    <cfRule type="cellIs" dxfId="5201" priority="12769" operator="equal">
      <formula>1</formula>
    </cfRule>
    <cfRule type="cellIs" dxfId="5200" priority="12770" operator="equal">
      <formula>"×"</formula>
    </cfRule>
  </conditionalFormatting>
  <conditionalFormatting sqref="AD16">
    <cfRule type="cellIs" dxfId="5199" priority="12765" operator="equal">
      <formula>1</formula>
    </cfRule>
    <cfRule type="cellIs" dxfId="5198" priority="12766" operator="equal">
      <formula>"×"</formula>
    </cfRule>
  </conditionalFormatting>
  <conditionalFormatting sqref="AD16">
    <cfRule type="cellIs" dxfId="5197" priority="12767" operator="equal">
      <formula>1</formula>
    </cfRule>
    <cfRule type="cellIs" dxfId="5196" priority="12768" operator="equal">
      <formula>"×"</formula>
    </cfRule>
  </conditionalFormatting>
  <conditionalFormatting sqref="AC16">
    <cfRule type="cellIs" dxfId="5195" priority="12799" operator="equal">
      <formula>1</formula>
    </cfRule>
    <cfRule type="cellIs" dxfId="5194" priority="12800" operator="equal">
      <formula>"×"</formula>
    </cfRule>
  </conditionalFormatting>
  <conditionalFormatting sqref="AD16">
    <cfRule type="cellIs" dxfId="5193" priority="12797" operator="equal">
      <formula>1</formula>
    </cfRule>
    <cfRule type="cellIs" dxfId="5192" priority="12798" operator="equal">
      <formula>"×"</formula>
    </cfRule>
  </conditionalFormatting>
  <conditionalFormatting sqref="AD16">
    <cfRule type="cellIs" dxfId="5191" priority="12795" operator="equal">
      <formula>1</formula>
    </cfRule>
    <cfRule type="cellIs" dxfId="5190" priority="12796" operator="equal">
      <formula>"×"</formula>
    </cfRule>
  </conditionalFormatting>
  <conditionalFormatting sqref="AD16">
    <cfRule type="cellIs" dxfId="5189" priority="12793" operator="equal">
      <formula>1</formula>
    </cfRule>
    <cfRule type="cellIs" dxfId="5188" priority="12794" operator="equal">
      <formula>"×"</formula>
    </cfRule>
  </conditionalFormatting>
  <conditionalFormatting sqref="AD16">
    <cfRule type="cellIs" dxfId="5187" priority="12791" operator="equal">
      <formula>1</formula>
    </cfRule>
    <cfRule type="cellIs" dxfId="5186" priority="12792" operator="equal">
      <formula>"×"</formula>
    </cfRule>
  </conditionalFormatting>
  <conditionalFormatting sqref="AD16">
    <cfRule type="cellIs" dxfId="5185" priority="12789" operator="equal">
      <formula>1</formula>
    </cfRule>
    <cfRule type="cellIs" dxfId="5184" priority="12790" operator="equal">
      <formula>"×"</formula>
    </cfRule>
  </conditionalFormatting>
  <conditionalFormatting sqref="AD16">
    <cfRule type="cellIs" dxfId="5183" priority="12787" operator="equal">
      <formula>1</formula>
    </cfRule>
    <cfRule type="cellIs" dxfId="5182" priority="12788" operator="equal">
      <formula>"×"</formula>
    </cfRule>
  </conditionalFormatting>
  <conditionalFormatting sqref="AD16">
    <cfRule type="cellIs" dxfId="5181" priority="12785" operator="equal">
      <formula>1</formula>
    </cfRule>
    <cfRule type="cellIs" dxfId="5180" priority="12786" operator="equal">
      <formula>"×"</formula>
    </cfRule>
  </conditionalFormatting>
  <conditionalFormatting sqref="AD16">
    <cfRule type="cellIs" dxfId="5179" priority="12783" operator="equal">
      <formula>1</formula>
    </cfRule>
    <cfRule type="cellIs" dxfId="5178" priority="12784" operator="equal">
      <formula>"×"</formula>
    </cfRule>
  </conditionalFormatting>
  <conditionalFormatting sqref="AD16">
    <cfRule type="cellIs" dxfId="5177" priority="12781" operator="equal">
      <formula>1</formula>
    </cfRule>
    <cfRule type="cellIs" dxfId="5176" priority="12782" operator="equal">
      <formula>"×"</formula>
    </cfRule>
  </conditionalFormatting>
  <conditionalFormatting sqref="AD16">
    <cfRule type="cellIs" dxfId="5175" priority="12779" operator="equal">
      <formula>1</formula>
    </cfRule>
    <cfRule type="cellIs" dxfId="5174" priority="12780" operator="equal">
      <formula>"×"</formula>
    </cfRule>
  </conditionalFormatting>
  <conditionalFormatting sqref="AD16">
    <cfRule type="cellIs" dxfId="5173" priority="12777" operator="equal">
      <formula>1</formula>
    </cfRule>
    <cfRule type="cellIs" dxfId="5172" priority="12778" operator="equal">
      <formula>"×"</formula>
    </cfRule>
  </conditionalFormatting>
  <conditionalFormatting sqref="AD16">
    <cfRule type="cellIs" dxfId="5171" priority="12775" operator="equal">
      <formula>1</formula>
    </cfRule>
    <cfRule type="cellIs" dxfId="5170" priority="12776" operator="equal">
      <formula>"×"</formula>
    </cfRule>
  </conditionalFormatting>
  <conditionalFormatting sqref="AC16:AD16">
    <cfRule type="cellIs" dxfId="5169" priority="12763" operator="equal">
      <formula>1</formula>
    </cfRule>
    <cfRule type="cellIs" dxfId="5168" priority="12764" operator="equal">
      <formula>"×"</formula>
    </cfRule>
  </conditionalFormatting>
  <conditionalFormatting sqref="Z16 AB16 AD16">
    <cfRule type="cellIs" dxfId="5167" priority="12761" operator="equal">
      <formula>1</formula>
    </cfRule>
    <cfRule type="cellIs" dxfId="5166" priority="12762" operator="equal">
      <formula>"×"</formula>
    </cfRule>
  </conditionalFormatting>
  <conditionalFormatting sqref="AF16">
    <cfRule type="cellIs" dxfId="5165" priority="12745" operator="equal">
      <formula>1</formula>
    </cfRule>
    <cfRule type="cellIs" dxfId="5164" priority="12746" operator="equal">
      <formula>"×"</formula>
    </cfRule>
  </conditionalFormatting>
  <conditionalFormatting sqref="AF16">
    <cfRule type="cellIs" dxfId="5163" priority="12743" operator="equal">
      <formula>1</formula>
    </cfRule>
    <cfRule type="cellIs" dxfId="5162" priority="12744" operator="equal">
      <formula>"×"</formula>
    </cfRule>
  </conditionalFormatting>
  <conditionalFormatting sqref="AI16">
    <cfRule type="cellIs" dxfId="5161" priority="12757" operator="equal">
      <formula>1</formula>
    </cfRule>
    <cfRule type="cellIs" dxfId="5160" priority="12758" operator="equal">
      <formula>"×"</formula>
    </cfRule>
  </conditionalFormatting>
  <conditionalFormatting sqref="AF16:AI16">
    <cfRule type="cellIs" dxfId="5159" priority="12759" operator="equal">
      <formula>1</formula>
    </cfRule>
    <cfRule type="cellIs" dxfId="5158" priority="12760" operator="equal">
      <formula>"×"</formula>
    </cfRule>
  </conditionalFormatting>
  <conditionalFormatting sqref="AH19:AI19">
    <cfRule type="cellIs" dxfId="5157" priority="12691" operator="equal">
      <formula>1</formula>
    </cfRule>
    <cfRule type="cellIs" dxfId="5156" priority="12692" operator="equal">
      <formula>"×"</formula>
    </cfRule>
  </conditionalFormatting>
  <conditionalFormatting sqref="AI19">
    <cfRule type="cellIs" dxfId="5155" priority="12689" operator="equal">
      <formula>1</formula>
    </cfRule>
    <cfRule type="cellIs" dxfId="5154" priority="12690" operator="equal">
      <formula>"×"</formula>
    </cfRule>
  </conditionalFormatting>
  <conditionalFormatting sqref="AH19:AI19">
    <cfRule type="cellIs" dxfId="5153" priority="12687" operator="equal">
      <formula>1</formula>
    </cfRule>
    <cfRule type="cellIs" dxfId="5152" priority="12688" operator="equal">
      <formula>"×"</formula>
    </cfRule>
  </conditionalFormatting>
  <conditionalFormatting sqref="AH19:AI19">
    <cfRule type="cellIs" dxfId="5151" priority="12685" operator="equal">
      <formula>1</formula>
    </cfRule>
    <cfRule type="cellIs" dxfId="5150" priority="12686" operator="equal">
      <formula>"×"</formula>
    </cfRule>
  </conditionalFormatting>
  <conditionalFormatting sqref="AI19">
    <cfRule type="cellIs" dxfId="5149" priority="12683" operator="equal">
      <formula>1</formula>
    </cfRule>
    <cfRule type="cellIs" dxfId="5148" priority="12684" operator="equal">
      <formula>"×"</formula>
    </cfRule>
  </conditionalFormatting>
  <conditionalFormatting sqref="AH19:AI19">
    <cfRule type="cellIs" dxfId="5147" priority="12681" operator="equal">
      <formula>1</formula>
    </cfRule>
    <cfRule type="cellIs" dxfId="5146" priority="12682" operator="equal">
      <formula>"×"</formula>
    </cfRule>
  </conditionalFormatting>
  <conditionalFormatting sqref="AF16:AG16">
    <cfRule type="cellIs" dxfId="5145" priority="12655" operator="equal">
      <formula>1</formula>
    </cfRule>
    <cfRule type="cellIs" dxfId="5144" priority="12656" operator="equal">
      <formula>"×"</formula>
    </cfRule>
  </conditionalFormatting>
  <conditionalFormatting sqref="AF16:AG16">
    <cfRule type="cellIs" dxfId="5143" priority="12653" operator="equal">
      <formula>1</formula>
    </cfRule>
    <cfRule type="cellIs" dxfId="5142" priority="12654" operator="equal">
      <formula>"×"</formula>
    </cfRule>
  </conditionalFormatting>
  <conditionalFormatting sqref="AF16:AG16">
    <cfRule type="cellIs" dxfId="5141" priority="12649" operator="equal">
      <formula>1</formula>
    </cfRule>
    <cfRule type="cellIs" dxfId="5140" priority="12650" operator="equal">
      <formula>"×"</formula>
    </cfRule>
  </conditionalFormatting>
  <conditionalFormatting sqref="AF16:AG16">
    <cfRule type="cellIs" dxfId="5139" priority="12651" operator="equal">
      <formula>1</formula>
    </cfRule>
    <cfRule type="cellIs" dxfId="5138" priority="12652" operator="equal">
      <formula>"×"</formula>
    </cfRule>
  </conditionalFormatting>
  <conditionalFormatting sqref="AF16:AG16">
    <cfRule type="cellIs" dxfId="5137" priority="12679" operator="equal">
      <formula>1</formula>
    </cfRule>
    <cfRule type="cellIs" dxfId="5136" priority="12680" operator="equal">
      <formula>"×"</formula>
    </cfRule>
  </conditionalFormatting>
  <conditionalFormatting sqref="AF16:AG16">
    <cfRule type="cellIs" dxfId="5135" priority="12677" operator="equal">
      <formula>1</formula>
    </cfRule>
    <cfRule type="cellIs" dxfId="5134" priority="12678" operator="equal">
      <formula>"×"</formula>
    </cfRule>
  </conditionalFormatting>
  <conditionalFormatting sqref="AF16:AG16">
    <cfRule type="cellIs" dxfId="5133" priority="12675" operator="equal">
      <formula>1</formula>
    </cfRule>
    <cfRule type="cellIs" dxfId="5132" priority="12676" operator="equal">
      <formula>"×"</formula>
    </cfRule>
  </conditionalFormatting>
  <conditionalFormatting sqref="AF16:AG16">
    <cfRule type="cellIs" dxfId="5131" priority="12673" operator="equal">
      <formula>1</formula>
    </cfRule>
    <cfRule type="cellIs" dxfId="5130" priority="12674" operator="equal">
      <formula>"×"</formula>
    </cfRule>
  </conditionalFormatting>
  <conditionalFormatting sqref="AF16:AG16">
    <cfRule type="cellIs" dxfId="5129" priority="12671" operator="equal">
      <formula>1</formula>
    </cfRule>
    <cfRule type="cellIs" dxfId="5128" priority="12672" operator="equal">
      <formula>"×"</formula>
    </cfRule>
  </conditionalFormatting>
  <conditionalFormatting sqref="AF16:AG16">
    <cfRule type="cellIs" dxfId="5127" priority="12669" operator="equal">
      <formula>1</formula>
    </cfRule>
    <cfRule type="cellIs" dxfId="5126" priority="12670" operator="equal">
      <formula>"×"</formula>
    </cfRule>
  </conditionalFormatting>
  <conditionalFormatting sqref="AF16:AG16">
    <cfRule type="cellIs" dxfId="5125" priority="12667" operator="equal">
      <formula>1</formula>
    </cfRule>
    <cfRule type="cellIs" dxfId="5124" priority="12668" operator="equal">
      <formula>"×"</formula>
    </cfRule>
  </conditionalFormatting>
  <conditionalFormatting sqref="AF16:AG16">
    <cfRule type="cellIs" dxfId="5123" priority="12665" operator="equal">
      <formula>1</formula>
    </cfRule>
    <cfRule type="cellIs" dxfId="5122" priority="12666" operator="equal">
      <formula>"×"</formula>
    </cfRule>
  </conditionalFormatting>
  <conditionalFormatting sqref="AF16:AG16">
    <cfRule type="cellIs" dxfId="5121" priority="12663" operator="equal">
      <formula>1</formula>
    </cfRule>
    <cfRule type="cellIs" dxfId="5120" priority="12664" operator="equal">
      <formula>"×"</formula>
    </cfRule>
  </conditionalFormatting>
  <conditionalFormatting sqref="AF16:AG16">
    <cfRule type="cellIs" dxfId="5119" priority="12661" operator="equal">
      <formula>1</formula>
    </cfRule>
    <cfRule type="cellIs" dxfId="5118" priority="12662" operator="equal">
      <formula>"×"</formula>
    </cfRule>
  </conditionalFormatting>
  <conditionalFormatting sqref="AF16:AG16">
    <cfRule type="cellIs" dxfId="5117" priority="12659" operator="equal">
      <formula>1</formula>
    </cfRule>
    <cfRule type="cellIs" dxfId="5116" priority="12660" operator="equal">
      <formula>"×"</formula>
    </cfRule>
  </conditionalFormatting>
  <conditionalFormatting sqref="AF16:AG16">
    <cfRule type="cellIs" dxfId="5115" priority="12657" operator="equal">
      <formula>1</formula>
    </cfRule>
    <cfRule type="cellIs" dxfId="5114" priority="12658" operator="equal">
      <formula>"×"</formula>
    </cfRule>
  </conditionalFormatting>
  <conditionalFormatting sqref="AH16:AI16">
    <cfRule type="cellIs" dxfId="5113" priority="12623" operator="equal">
      <formula>1</formula>
    </cfRule>
    <cfRule type="cellIs" dxfId="5112" priority="12624" operator="equal">
      <formula>"×"</formula>
    </cfRule>
  </conditionalFormatting>
  <conditionalFormatting sqref="AH16:AI16">
    <cfRule type="cellIs" dxfId="5111" priority="12621" operator="equal">
      <formula>1</formula>
    </cfRule>
    <cfRule type="cellIs" dxfId="5110" priority="12622" operator="equal">
      <formula>"×"</formula>
    </cfRule>
  </conditionalFormatting>
  <conditionalFormatting sqref="AH16:AI16">
    <cfRule type="cellIs" dxfId="5109" priority="12617" operator="equal">
      <formula>1</formula>
    </cfRule>
    <cfRule type="cellIs" dxfId="5108" priority="12618" operator="equal">
      <formula>"×"</formula>
    </cfRule>
  </conditionalFormatting>
  <conditionalFormatting sqref="AH16:AI16">
    <cfRule type="cellIs" dxfId="5107" priority="12619" operator="equal">
      <formula>1</formula>
    </cfRule>
    <cfRule type="cellIs" dxfId="5106" priority="12620" operator="equal">
      <formula>"×"</formula>
    </cfRule>
  </conditionalFormatting>
  <conditionalFormatting sqref="AH16:AI16">
    <cfRule type="cellIs" dxfId="5105" priority="12647" operator="equal">
      <formula>1</formula>
    </cfRule>
    <cfRule type="cellIs" dxfId="5104" priority="12648" operator="equal">
      <formula>"×"</formula>
    </cfRule>
  </conditionalFormatting>
  <conditionalFormatting sqref="AH16:AI16">
    <cfRule type="cellIs" dxfId="5103" priority="12645" operator="equal">
      <formula>1</formula>
    </cfRule>
    <cfRule type="cellIs" dxfId="5102" priority="12646" operator="equal">
      <formula>"×"</formula>
    </cfRule>
  </conditionalFormatting>
  <conditionalFormatting sqref="AH16:AI16">
    <cfRule type="cellIs" dxfId="5101" priority="12643" operator="equal">
      <formula>1</formula>
    </cfRule>
    <cfRule type="cellIs" dxfId="5100" priority="12644" operator="equal">
      <formula>"×"</formula>
    </cfRule>
  </conditionalFormatting>
  <conditionalFormatting sqref="AH16:AI16">
    <cfRule type="cellIs" dxfId="5099" priority="12641" operator="equal">
      <formula>1</formula>
    </cfRule>
    <cfRule type="cellIs" dxfId="5098" priority="12642" operator="equal">
      <formula>"×"</formula>
    </cfRule>
  </conditionalFormatting>
  <conditionalFormatting sqref="AH16:AI16">
    <cfRule type="cellIs" dxfId="5097" priority="12639" operator="equal">
      <formula>1</formula>
    </cfRule>
    <cfRule type="cellIs" dxfId="5096" priority="12640" operator="equal">
      <formula>"×"</formula>
    </cfRule>
  </conditionalFormatting>
  <conditionalFormatting sqref="AH16:AI16">
    <cfRule type="cellIs" dxfId="5095" priority="12637" operator="equal">
      <formula>1</formula>
    </cfRule>
    <cfRule type="cellIs" dxfId="5094" priority="12638" operator="equal">
      <formula>"×"</formula>
    </cfRule>
  </conditionalFormatting>
  <conditionalFormatting sqref="AH16:AI16">
    <cfRule type="cellIs" dxfId="5093" priority="12635" operator="equal">
      <formula>1</formula>
    </cfRule>
    <cfRule type="cellIs" dxfId="5092" priority="12636" operator="equal">
      <formula>"×"</formula>
    </cfRule>
  </conditionalFormatting>
  <conditionalFormatting sqref="AH16:AI16">
    <cfRule type="cellIs" dxfId="5091" priority="12633" operator="equal">
      <formula>1</formula>
    </cfRule>
    <cfRule type="cellIs" dxfId="5090" priority="12634" operator="equal">
      <formula>"×"</formula>
    </cfRule>
  </conditionalFormatting>
  <conditionalFormatting sqref="AH16:AI16">
    <cfRule type="cellIs" dxfId="5089" priority="12631" operator="equal">
      <formula>1</formula>
    </cfRule>
    <cfRule type="cellIs" dxfId="5088" priority="12632" operator="equal">
      <formula>"×"</formula>
    </cfRule>
  </conditionalFormatting>
  <conditionalFormatting sqref="AH16:AI16">
    <cfRule type="cellIs" dxfId="5087" priority="12629" operator="equal">
      <formula>1</formula>
    </cfRule>
    <cfRule type="cellIs" dxfId="5086" priority="12630" operator="equal">
      <formula>"×"</formula>
    </cfRule>
  </conditionalFormatting>
  <conditionalFormatting sqref="AH16:AI16">
    <cfRule type="cellIs" dxfId="5085" priority="12627" operator="equal">
      <formula>1</formula>
    </cfRule>
    <cfRule type="cellIs" dxfId="5084" priority="12628" operator="equal">
      <formula>"×"</formula>
    </cfRule>
  </conditionalFormatting>
  <conditionalFormatting sqref="AH16:AI16">
    <cfRule type="cellIs" dxfId="5083" priority="12625" operator="equal">
      <formula>1</formula>
    </cfRule>
    <cfRule type="cellIs" dxfId="5082" priority="12626" operator="equal">
      <formula>"×"</formula>
    </cfRule>
  </conditionalFormatting>
  <conditionalFormatting sqref="AH17">
    <cfRule type="cellIs" dxfId="5081" priority="12615" operator="equal">
      <formula>1</formula>
    </cfRule>
    <cfRule type="cellIs" dxfId="5080" priority="12616" operator="equal">
      <formula>"×"</formula>
    </cfRule>
  </conditionalFormatting>
  <conditionalFormatting sqref="AH17">
    <cfRule type="cellIs" dxfId="5079" priority="12613" operator="equal">
      <formula>1</formula>
    </cfRule>
    <cfRule type="cellIs" dxfId="5078" priority="12614" operator="equal">
      <formula>"×"</formula>
    </cfRule>
  </conditionalFormatting>
  <conditionalFormatting sqref="AH17">
    <cfRule type="cellIs" dxfId="5077" priority="12587" operator="equal">
      <formula>1</formula>
    </cfRule>
    <cfRule type="cellIs" dxfId="5076" priority="12588" operator="equal">
      <formula>"×"</formula>
    </cfRule>
  </conditionalFormatting>
  <conditionalFormatting sqref="AH17">
    <cfRule type="cellIs" dxfId="5075" priority="12585" operator="equal">
      <formula>1</formula>
    </cfRule>
    <cfRule type="cellIs" dxfId="5074" priority="12586" operator="equal">
      <formula>"×"</formula>
    </cfRule>
  </conditionalFormatting>
  <conditionalFormatting sqref="AH17">
    <cfRule type="cellIs" dxfId="5073" priority="12581" operator="equal">
      <formula>1</formula>
    </cfRule>
    <cfRule type="cellIs" dxfId="5072" priority="12582" operator="equal">
      <formula>"×"</formula>
    </cfRule>
  </conditionalFormatting>
  <conditionalFormatting sqref="AH17">
    <cfRule type="cellIs" dxfId="5071" priority="12583" operator="equal">
      <formula>1</formula>
    </cfRule>
    <cfRule type="cellIs" dxfId="5070" priority="12584" operator="equal">
      <formula>"×"</formula>
    </cfRule>
  </conditionalFormatting>
  <conditionalFormatting sqref="AH17">
    <cfRule type="cellIs" dxfId="5069" priority="12611" operator="equal">
      <formula>1</formula>
    </cfRule>
    <cfRule type="cellIs" dxfId="5068" priority="12612" operator="equal">
      <formula>"×"</formula>
    </cfRule>
  </conditionalFormatting>
  <conditionalFormatting sqref="AH17">
    <cfRule type="cellIs" dxfId="5067" priority="12609" operator="equal">
      <formula>1</formula>
    </cfRule>
    <cfRule type="cellIs" dxfId="5066" priority="12610" operator="equal">
      <formula>"×"</formula>
    </cfRule>
  </conditionalFormatting>
  <conditionalFormatting sqref="AH17">
    <cfRule type="cellIs" dxfId="5065" priority="12607" operator="equal">
      <formula>1</formula>
    </cfRule>
    <cfRule type="cellIs" dxfId="5064" priority="12608" operator="equal">
      <formula>"×"</formula>
    </cfRule>
  </conditionalFormatting>
  <conditionalFormatting sqref="AH17">
    <cfRule type="cellIs" dxfId="5063" priority="12605" operator="equal">
      <formula>1</formula>
    </cfRule>
    <cfRule type="cellIs" dxfId="5062" priority="12606" operator="equal">
      <formula>"×"</formula>
    </cfRule>
  </conditionalFormatting>
  <conditionalFormatting sqref="AH17">
    <cfRule type="cellIs" dxfId="5061" priority="12603" operator="equal">
      <formula>1</formula>
    </cfRule>
    <cfRule type="cellIs" dxfId="5060" priority="12604" operator="equal">
      <formula>"×"</formula>
    </cfRule>
  </conditionalFormatting>
  <conditionalFormatting sqref="AH17">
    <cfRule type="cellIs" dxfId="5059" priority="12601" operator="equal">
      <formula>1</formula>
    </cfRule>
    <cfRule type="cellIs" dxfId="5058" priority="12602" operator="equal">
      <formula>"×"</formula>
    </cfRule>
  </conditionalFormatting>
  <conditionalFormatting sqref="AH17">
    <cfRule type="cellIs" dxfId="5057" priority="12599" operator="equal">
      <formula>1</formula>
    </cfRule>
    <cfRule type="cellIs" dxfId="5056" priority="12600" operator="equal">
      <formula>"×"</formula>
    </cfRule>
  </conditionalFormatting>
  <conditionalFormatting sqref="AH17">
    <cfRule type="cellIs" dxfId="5055" priority="12597" operator="equal">
      <formula>1</formula>
    </cfRule>
    <cfRule type="cellIs" dxfId="5054" priority="12598" operator="equal">
      <formula>"×"</formula>
    </cfRule>
  </conditionalFormatting>
  <conditionalFormatting sqref="AH17">
    <cfRule type="cellIs" dxfId="5053" priority="12595" operator="equal">
      <formula>1</formula>
    </cfRule>
    <cfRule type="cellIs" dxfId="5052" priority="12596" operator="equal">
      <formula>"×"</formula>
    </cfRule>
  </conditionalFormatting>
  <conditionalFormatting sqref="AH17">
    <cfRule type="cellIs" dxfId="5051" priority="12593" operator="equal">
      <formula>1</formula>
    </cfRule>
    <cfRule type="cellIs" dxfId="5050" priority="12594" operator="equal">
      <formula>"×"</formula>
    </cfRule>
  </conditionalFormatting>
  <conditionalFormatting sqref="AH17">
    <cfRule type="cellIs" dxfId="5049" priority="12591" operator="equal">
      <formula>1</formula>
    </cfRule>
    <cfRule type="cellIs" dxfId="5048" priority="12592" operator="equal">
      <formula>"×"</formula>
    </cfRule>
  </conditionalFormatting>
  <conditionalFormatting sqref="AH17">
    <cfRule type="cellIs" dxfId="5047" priority="12589" operator="equal">
      <formula>1</formula>
    </cfRule>
    <cfRule type="cellIs" dxfId="5046" priority="12590" operator="equal">
      <formula>"×"</formula>
    </cfRule>
  </conditionalFormatting>
  <conditionalFormatting sqref="Z22">
    <cfRule type="cellIs" dxfId="5045" priority="12219" operator="equal">
      <formula>1</formula>
    </cfRule>
    <cfRule type="cellIs" dxfId="5044" priority="12220" operator="equal">
      <formula>"×"</formula>
    </cfRule>
  </conditionalFormatting>
  <conditionalFormatting sqref="AC16">
    <cfRule type="cellIs" dxfId="5043" priority="11979" operator="equal">
      <formula>1</formula>
    </cfRule>
    <cfRule type="cellIs" dxfId="5042" priority="11980" operator="equal">
      <formula>"×"</formula>
    </cfRule>
  </conditionalFormatting>
  <conditionalFormatting sqref="AF16">
    <cfRule type="cellIs" dxfId="5041" priority="11977" operator="equal">
      <formula>1</formula>
    </cfRule>
    <cfRule type="cellIs" dxfId="5040" priority="11978" operator="equal">
      <formula>"×"</formula>
    </cfRule>
  </conditionalFormatting>
  <conditionalFormatting sqref="AF16">
    <cfRule type="cellIs" dxfId="5039" priority="11975" operator="equal">
      <formula>1</formula>
    </cfRule>
    <cfRule type="cellIs" dxfId="5038" priority="11976" operator="equal">
      <formula>"×"</formula>
    </cfRule>
  </conditionalFormatting>
  <conditionalFormatting sqref="AE16">
    <cfRule type="cellIs" dxfId="5037" priority="11973" operator="equal">
      <formula>1</formula>
    </cfRule>
    <cfRule type="cellIs" dxfId="5036" priority="11974" operator="equal">
      <formula>"×"</formula>
    </cfRule>
  </conditionalFormatting>
  <conditionalFormatting sqref="AD16">
    <cfRule type="cellIs" dxfId="5035" priority="11971" operator="equal">
      <formula>1</formula>
    </cfRule>
    <cfRule type="cellIs" dxfId="5034" priority="11972" operator="equal">
      <formula>"×"</formula>
    </cfRule>
  </conditionalFormatting>
  <conditionalFormatting sqref="AE10">
    <cfRule type="cellIs" dxfId="5033" priority="8331" operator="equal">
      <formula>1</formula>
    </cfRule>
    <cfRule type="cellIs" dxfId="5032" priority="8332" operator="equal">
      <formula>"×"</formula>
    </cfRule>
  </conditionalFormatting>
  <conditionalFormatting sqref="AE10">
    <cfRule type="cellIs" dxfId="5031" priority="8329" operator="equal">
      <formula>1</formula>
    </cfRule>
    <cfRule type="cellIs" dxfId="5030" priority="8330" operator="equal">
      <formula>"×"</formula>
    </cfRule>
  </conditionalFormatting>
  <conditionalFormatting sqref="AI15">
    <cfRule type="cellIs" dxfId="5029" priority="12015" operator="equal">
      <formula>1</formula>
    </cfRule>
    <cfRule type="cellIs" dxfId="5028" priority="12016" operator="equal">
      <formula>"×"</formula>
    </cfRule>
  </conditionalFormatting>
  <conditionalFormatting sqref="AE16">
    <cfRule type="cellIs" dxfId="5027" priority="12009" operator="equal">
      <formula>1</formula>
    </cfRule>
    <cfRule type="cellIs" dxfId="5026" priority="12010" operator="equal">
      <formula>"×"</formula>
    </cfRule>
  </conditionalFormatting>
  <conditionalFormatting sqref="AD16">
    <cfRule type="cellIs" dxfId="5025" priority="12011" operator="equal">
      <formula>1</formula>
    </cfRule>
    <cfRule type="cellIs" dxfId="5024" priority="12012" operator="equal">
      <formula>"×"</formula>
    </cfRule>
  </conditionalFormatting>
  <conditionalFormatting sqref="AE10">
    <cfRule type="cellIs" dxfId="5023" priority="8313" operator="equal">
      <formula>1</formula>
    </cfRule>
    <cfRule type="cellIs" dxfId="5022" priority="8314" operator="equal">
      <formula>"×"</formula>
    </cfRule>
  </conditionalFormatting>
  <conditionalFormatting sqref="AE10">
    <cfRule type="cellIs" dxfId="5021" priority="8311" operator="equal">
      <formula>1</formula>
    </cfRule>
    <cfRule type="cellIs" dxfId="5020" priority="8312" operator="equal">
      <formula>"×"</formula>
    </cfRule>
  </conditionalFormatting>
  <conditionalFormatting sqref="AE10">
    <cfRule type="cellIs" dxfId="5019" priority="8309" operator="equal">
      <formula>1</formula>
    </cfRule>
    <cfRule type="cellIs" dxfId="5018" priority="8310" operator="equal">
      <formula>"×"</formula>
    </cfRule>
  </conditionalFormatting>
  <conditionalFormatting sqref="AE10">
    <cfRule type="cellIs" dxfId="5017" priority="8307" operator="equal">
      <formula>1</formula>
    </cfRule>
    <cfRule type="cellIs" dxfId="5016" priority="8308" operator="equal">
      <formula>"×"</formula>
    </cfRule>
  </conditionalFormatting>
  <conditionalFormatting sqref="AD16">
    <cfRule type="cellIs" dxfId="5015" priority="11981" operator="equal">
      <formula>1</formula>
    </cfRule>
    <cfRule type="cellIs" dxfId="5014" priority="11982" operator="equal">
      <formula>"×"</formula>
    </cfRule>
  </conditionalFormatting>
  <conditionalFormatting sqref="AD10">
    <cfRule type="cellIs" dxfId="5013" priority="8273" operator="equal">
      <formula>1</formula>
    </cfRule>
    <cfRule type="cellIs" dxfId="5012" priority="8274" operator="equal">
      <formula>"×"</formula>
    </cfRule>
  </conditionalFormatting>
  <conditionalFormatting sqref="AD10">
    <cfRule type="cellIs" dxfId="5011" priority="8271" operator="equal">
      <formula>1</formula>
    </cfRule>
    <cfRule type="cellIs" dxfId="5010" priority="8272" operator="equal">
      <formula>"×"</formula>
    </cfRule>
  </conditionalFormatting>
  <conditionalFormatting sqref="AC10">
    <cfRule type="cellIs" dxfId="5009" priority="8269" operator="equal">
      <formula>1</formula>
    </cfRule>
    <cfRule type="cellIs" dxfId="5008" priority="8270" operator="equal">
      <formula>"×"</formula>
    </cfRule>
  </conditionalFormatting>
  <conditionalFormatting sqref="AD10">
    <cfRule type="cellIs" dxfId="5007" priority="8267" operator="equal">
      <formula>1</formula>
    </cfRule>
    <cfRule type="cellIs" dxfId="5006" priority="8268" operator="equal">
      <formula>"×"</formula>
    </cfRule>
  </conditionalFormatting>
  <conditionalFormatting sqref="AD10">
    <cfRule type="cellIs" dxfId="5005" priority="8265" operator="equal">
      <formula>1</formula>
    </cfRule>
    <cfRule type="cellIs" dxfId="5004" priority="8266" operator="equal">
      <formula>"×"</formula>
    </cfRule>
  </conditionalFormatting>
  <conditionalFormatting sqref="AD10">
    <cfRule type="cellIs" dxfId="5003" priority="8263" operator="equal">
      <formula>1</formula>
    </cfRule>
    <cfRule type="cellIs" dxfId="5002" priority="8264" operator="equal">
      <formula>"×"</formula>
    </cfRule>
  </conditionalFormatting>
  <conditionalFormatting sqref="AD10">
    <cfRule type="cellIs" dxfId="5001" priority="8261" operator="equal">
      <formula>1</formula>
    </cfRule>
    <cfRule type="cellIs" dxfId="5000" priority="8262" operator="equal">
      <formula>"×"</formula>
    </cfRule>
  </conditionalFormatting>
  <conditionalFormatting sqref="Z28">
    <cfRule type="cellIs" dxfId="4999" priority="11095" operator="equal">
      <formula>1</formula>
    </cfRule>
    <cfRule type="cellIs" dxfId="4998" priority="11096" operator="equal">
      <formula>"×"</formula>
    </cfRule>
  </conditionalFormatting>
  <conditionalFormatting sqref="AF8">
    <cfRule type="cellIs" dxfId="4997" priority="10915" operator="equal">
      <formula>1</formula>
    </cfRule>
    <cfRule type="cellIs" dxfId="4996" priority="10916" operator="equal">
      <formula>"×"</formula>
    </cfRule>
  </conditionalFormatting>
  <conditionalFormatting sqref="AF8">
    <cfRule type="cellIs" dxfId="4995" priority="10913" operator="equal">
      <formula>1</formula>
    </cfRule>
    <cfRule type="cellIs" dxfId="4994" priority="10914" operator="equal">
      <formula>"×"</formula>
    </cfRule>
  </conditionalFormatting>
  <conditionalFormatting sqref="AF12:AI12">
    <cfRule type="cellIs" dxfId="4993" priority="10921" operator="equal">
      <formula>1</formula>
    </cfRule>
    <cfRule type="cellIs" dxfId="4992" priority="10922" operator="equal">
      <formula>"×"</formula>
    </cfRule>
  </conditionalFormatting>
  <conditionalFormatting sqref="AI12">
    <cfRule type="cellIs" dxfId="4991" priority="10919" operator="equal">
      <formula>1</formula>
    </cfRule>
    <cfRule type="cellIs" dxfId="4990" priority="10920" operator="equal">
      <formula>"×"</formula>
    </cfRule>
  </conditionalFormatting>
  <conditionalFormatting sqref="AF12:AI12">
    <cfRule type="cellIs" dxfId="4989" priority="10917" operator="equal">
      <formula>1</formula>
    </cfRule>
    <cfRule type="cellIs" dxfId="4988" priority="10918" operator="equal">
      <formula>"×"</formula>
    </cfRule>
  </conditionalFormatting>
  <conditionalFormatting sqref="AF12:AI12">
    <cfRule type="cellIs" dxfId="4987" priority="10911" operator="equal">
      <formula>1</formula>
    </cfRule>
    <cfRule type="cellIs" dxfId="4986" priority="10912" operator="equal">
      <formula>"×"</formula>
    </cfRule>
  </conditionalFormatting>
  <conditionalFormatting sqref="AF12:AI12">
    <cfRule type="cellIs" dxfId="4985" priority="10885" operator="equal">
      <formula>1</formula>
    </cfRule>
    <cfRule type="cellIs" dxfId="4984" priority="10886" operator="equal">
      <formula>"×"</formula>
    </cfRule>
  </conditionalFormatting>
  <conditionalFormatting sqref="AF12">
    <cfRule type="cellIs" dxfId="4983" priority="10897" operator="equal">
      <formula>1</formula>
    </cfRule>
    <cfRule type="cellIs" dxfId="4982" priority="10898" operator="equal">
      <formula>"×"</formula>
    </cfRule>
  </conditionalFormatting>
  <conditionalFormatting sqref="AF12">
    <cfRule type="cellIs" dxfId="4981" priority="10895" operator="equal">
      <formula>1</formula>
    </cfRule>
    <cfRule type="cellIs" dxfId="4980" priority="10896" operator="equal">
      <formula>"×"</formula>
    </cfRule>
  </conditionalFormatting>
  <conditionalFormatting sqref="AF12">
    <cfRule type="cellIs" dxfId="4979" priority="10893" operator="equal">
      <formula>1</formula>
    </cfRule>
    <cfRule type="cellIs" dxfId="4978" priority="10894" operator="equal">
      <formula>"×"</formula>
    </cfRule>
  </conditionalFormatting>
  <conditionalFormatting sqref="AI13">
    <cfRule type="cellIs" dxfId="4977" priority="10891" operator="equal">
      <formula>1</formula>
    </cfRule>
    <cfRule type="cellIs" dxfId="4976" priority="10892" operator="equal">
      <formula>"×"</formula>
    </cfRule>
  </conditionalFormatting>
  <conditionalFormatting sqref="AF12">
    <cfRule type="cellIs" dxfId="4975" priority="10889" operator="equal">
      <formula>1</formula>
    </cfRule>
    <cfRule type="cellIs" dxfId="4974" priority="10890" operator="equal">
      <formula>"×"</formula>
    </cfRule>
  </conditionalFormatting>
  <conditionalFormatting sqref="AF12">
    <cfRule type="cellIs" dxfId="4973" priority="10887" operator="equal">
      <formula>1</formula>
    </cfRule>
    <cfRule type="cellIs" dxfId="4972" priority="10888" operator="equal">
      <formula>"×"</formula>
    </cfRule>
  </conditionalFormatting>
  <conditionalFormatting sqref="AH11:AI11">
    <cfRule type="cellIs" dxfId="4971" priority="10855" operator="equal">
      <formula>1</formula>
    </cfRule>
    <cfRule type="cellIs" dxfId="4970" priority="10856" operator="equal">
      <formula>"×"</formula>
    </cfRule>
  </conditionalFormatting>
  <conditionalFormatting sqref="AI11">
    <cfRule type="cellIs" dxfId="4969" priority="10853" operator="equal">
      <formula>1</formula>
    </cfRule>
    <cfRule type="cellIs" dxfId="4968" priority="10854" operator="equal">
      <formula>"×"</formula>
    </cfRule>
  </conditionalFormatting>
  <conditionalFormatting sqref="AF8:AG8">
    <cfRule type="cellIs" dxfId="4967" priority="10825" operator="equal">
      <formula>1</formula>
    </cfRule>
    <cfRule type="cellIs" dxfId="4966" priority="10826" operator="equal">
      <formula>"×"</formula>
    </cfRule>
  </conditionalFormatting>
  <conditionalFormatting sqref="AF8:AG8">
    <cfRule type="cellIs" dxfId="4965" priority="10847" operator="equal">
      <formula>1</formula>
    </cfRule>
    <cfRule type="cellIs" dxfId="4964" priority="10848" operator="equal">
      <formula>"×"</formula>
    </cfRule>
  </conditionalFormatting>
  <conditionalFormatting sqref="AF8:AG8">
    <cfRule type="cellIs" dxfId="4963" priority="10843" operator="equal">
      <formula>1</formula>
    </cfRule>
    <cfRule type="cellIs" dxfId="4962" priority="10844" operator="equal">
      <formula>"×"</formula>
    </cfRule>
  </conditionalFormatting>
  <conditionalFormatting sqref="AF8:AG8">
    <cfRule type="cellIs" dxfId="4961" priority="10831" operator="equal">
      <formula>1</formula>
    </cfRule>
    <cfRule type="cellIs" dxfId="4960" priority="10832" operator="equal">
      <formula>"×"</formula>
    </cfRule>
  </conditionalFormatting>
  <conditionalFormatting sqref="AF8:AG8">
    <cfRule type="cellIs" dxfId="4959" priority="10827" operator="equal">
      <formula>1</formula>
    </cfRule>
    <cfRule type="cellIs" dxfId="4958" priority="10828" operator="equal">
      <formula>"×"</formula>
    </cfRule>
  </conditionalFormatting>
  <conditionalFormatting sqref="AH8:AI8">
    <cfRule type="cellIs" dxfId="4957" priority="10793" operator="equal">
      <formula>1</formula>
    </cfRule>
    <cfRule type="cellIs" dxfId="4956" priority="10794" operator="equal">
      <formula>"×"</formula>
    </cfRule>
  </conditionalFormatting>
  <conditionalFormatting sqref="AH8:AI8">
    <cfRule type="cellIs" dxfId="4955" priority="10791" operator="equal">
      <formula>1</formula>
    </cfRule>
    <cfRule type="cellIs" dxfId="4954" priority="10792" operator="equal">
      <formula>"×"</formula>
    </cfRule>
  </conditionalFormatting>
  <conditionalFormatting sqref="AH8:AI8">
    <cfRule type="cellIs" dxfId="4953" priority="10787" operator="equal">
      <formula>1</formula>
    </cfRule>
    <cfRule type="cellIs" dxfId="4952" priority="10788" operator="equal">
      <formula>"×"</formula>
    </cfRule>
  </conditionalFormatting>
  <conditionalFormatting sqref="AH8:AI8">
    <cfRule type="cellIs" dxfId="4951" priority="10789" operator="equal">
      <formula>1</formula>
    </cfRule>
    <cfRule type="cellIs" dxfId="4950" priority="10790" operator="equal">
      <formula>"×"</formula>
    </cfRule>
  </conditionalFormatting>
  <conditionalFormatting sqref="AH8:AI8">
    <cfRule type="cellIs" dxfId="4949" priority="10795" operator="equal">
      <formula>1</formula>
    </cfRule>
    <cfRule type="cellIs" dxfId="4948" priority="10796" operator="equal">
      <formula>"×"</formula>
    </cfRule>
  </conditionalFormatting>
  <conditionalFormatting sqref="AH9">
    <cfRule type="cellIs" dxfId="4947" priority="10785" operator="equal">
      <formula>1</formula>
    </cfRule>
    <cfRule type="cellIs" dxfId="4946" priority="10786" operator="equal">
      <formula>"×"</formula>
    </cfRule>
  </conditionalFormatting>
  <conditionalFormatting sqref="AH9">
    <cfRule type="cellIs" dxfId="4945" priority="10783" operator="equal">
      <formula>1</formula>
    </cfRule>
    <cfRule type="cellIs" dxfId="4944" priority="10784" operator="equal">
      <formula>"×"</formula>
    </cfRule>
  </conditionalFormatting>
  <conditionalFormatting sqref="AH9">
    <cfRule type="cellIs" dxfId="4943" priority="10757" operator="equal">
      <formula>1</formula>
    </cfRule>
    <cfRule type="cellIs" dxfId="4942" priority="10758" operator="equal">
      <formula>"×"</formula>
    </cfRule>
  </conditionalFormatting>
  <conditionalFormatting sqref="AH9">
    <cfRule type="cellIs" dxfId="4941" priority="10755" operator="equal">
      <formula>1</formula>
    </cfRule>
    <cfRule type="cellIs" dxfId="4940" priority="10756" operator="equal">
      <formula>"×"</formula>
    </cfRule>
  </conditionalFormatting>
  <conditionalFormatting sqref="AH9">
    <cfRule type="cellIs" dxfId="4939" priority="10751" operator="equal">
      <formula>1</formula>
    </cfRule>
    <cfRule type="cellIs" dxfId="4938" priority="10752" operator="equal">
      <formula>"×"</formula>
    </cfRule>
  </conditionalFormatting>
  <conditionalFormatting sqref="AH9">
    <cfRule type="cellIs" dxfId="4937" priority="10753" operator="equal">
      <formula>1</formula>
    </cfRule>
    <cfRule type="cellIs" dxfId="4936" priority="10754" operator="equal">
      <formula>"×"</formula>
    </cfRule>
  </conditionalFormatting>
  <conditionalFormatting sqref="AH9">
    <cfRule type="cellIs" dxfId="4935" priority="10781" operator="equal">
      <formula>1</formula>
    </cfRule>
    <cfRule type="cellIs" dxfId="4934" priority="10782" operator="equal">
      <formula>"×"</formula>
    </cfRule>
  </conditionalFormatting>
  <conditionalFormatting sqref="AH9">
    <cfRule type="cellIs" dxfId="4933" priority="10779" operator="equal">
      <formula>1</formula>
    </cfRule>
    <cfRule type="cellIs" dxfId="4932" priority="10780" operator="equal">
      <formula>"×"</formula>
    </cfRule>
  </conditionalFormatting>
  <conditionalFormatting sqref="AH9">
    <cfRule type="cellIs" dxfId="4931" priority="10777" operator="equal">
      <formula>1</formula>
    </cfRule>
    <cfRule type="cellIs" dxfId="4930" priority="10778" operator="equal">
      <formula>"×"</formula>
    </cfRule>
  </conditionalFormatting>
  <conditionalFormatting sqref="AH9">
    <cfRule type="cellIs" dxfId="4929" priority="10775" operator="equal">
      <formula>1</formula>
    </cfRule>
    <cfRule type="cellIs" dxfId="4928" priority="10776" operator="equal">
      <formula>"×"</formula>
    </cfRule>
  </conditionalFormatting>
  <conditionalFormatting sqref="AH9">
    <cfRule type="cellIs" dxfId="4927" priority="10773" operator="equal">
      <formula>1</formula>
    </cfRule>
    <cfRule type="cellIs" dxfId="4926" priority="10774" operator="equal">
      <formula>"×"</formula>
    </cfRule>
  </conditionalFormatting>
  <conditionalFormatting sqref="AH9">
    <cfRule type="cellIs" dxfId="4925" priority="10771" operator="equal">
      <formula>1</formula>
    </cfRule>
    <cfRule type="cellIs" dxfId="4924" priority="10772" operator="equal">
      <formula>"×"</formula>
    </cfRule>
  </conditionalFormatting>
  <conditionalFormatting sqref="AH9">
    <cfRule type="cellIs" dxfId="4923" priority="10769" operator="equal">
      <formula>1</formula>
    </cfRule>
    <cfRule type="cellIs" dxfId="4922" priority="10770" operator="equal">
      <formula>"×"</formula>
    </cfRule>
  </conditionalFormatting>
  <conditionalFormatting sqref="AH9">
    <cfRule type="cellIs" dxfId="4921" priority="10767" operator="equal">
      <formula>1</formula>
    </cfRule>
    <cfRule type="cellIs" dxfId="4920" priority="10768" operator="equal">
      <formula>"×"</formula>
    </cfRule>
  </conditionalFormatting>
  <conditionalFormatting sqref="AH9">
    <cfRule type="cellIs" dxfId="4919" priority="10765" operator="equal">
      <formula>1</formula>
    </cfRule>
    <cfRule type="cellIs" dxfId="4918" priority="10766" operator="equal">
      <formula>"×"</formula>
    </cfRule>
  </conditionalFormatting>
  <conditionalFormatting sqref="AH9">
    <cfRule type="cellIs" dxfId="4917" priority="10763" operator="equal">
      <formula>1</formula>
    </cfRule>
    <cfRule type="cellIs" dxfId="4916" priority="10764" operator="equal">
      <formula>"×"</formula>
    </cfRule>
  </conditionalFormatting>
  <conditionalFormatting sqref="AH9">
    <cfRule type="cellIs" dxfId="4915" priority="10761" operator="equal">
      <formula>1</formula>
    </cfRule>
    <cfRule type="cellIs" dxfId="4914" priority="10762" operator="equal">
      <formula>"×"</formula>
    </cfRule>
  </conditionalFormatting>
  <conditionalFormatting sqref="AH9">
    <cfRule type="cellIs" dxfId="4913" priority="10759" operator="equal">
      <formula>1</formula>
    </cfRule>
    <cfRule type="cellIs" dxfId="4912" priority="10760" operator="equal">
      <formula>"×"</formula>
    </cfRule>
  </conditionalFormatting>
  <conditionalFormatting sqref="AF8">
    <cfRule type="cellIs" dxfId="4911" priority="10735" operator="equal">
      <formula>1</formula>
    </cfRule>
    <cfRule type="cellIs" dxfId="4910" priority="10736" operator="equal">
      <formula>"×"</formula>
    </cfRule>
  </conditionalFormatting>
  <conditionalFormatting sqref="AF8">
    <cfRule type="cellIs" dxfId="4909" priority="10733" operator="equal">
      <formula>1</formula>
    </cfRule>
    <cfRule type="cellIs" dxfId="4908" priority="10734" operator="equal">
      <formula>"×"</formula>
    </cfRule>
  </conditionalFormatting>
  <conditionalFormatting sqref="AI8">
    <cfRule type="cellIs" dxfId="4907" priority="10747" operator="equal">
      <formula>1</formula>
    </cfRule>
    <cfRule type="cellIs" dxfId="4906" priority="10748" operator="equal">
      <formula>"×"</formula>
    </cfRule>
  </conditionalFormatting>
  <conditionalFormatting sqref="AF8:AI8">
    <cfRule type="cellIs" dxfId="4905" priority="10749" operator="equal">
      <formula>1</formula>
    </cfRule>
    <cfRule type="cellIs" dxfId="4904" priority="10750" operator="equal">
      <formula>"×"</formula>
    </cfRule>
  </conditionalFormatting>
  <conditionalFormatting sqref="AF12">
    <cfRule type="cellIs" dxfId="4903" priority="10745" operator="equal">
      <formula>1</formula>
    </cfRule>
    <cfRule type="cellIs" dxfId="4902" priority="10746" operator="equal">
      <formula>"×"</formula>
    </cfRule>
  </conditionalFormatting>
  <conditionalFormatting sqref="AF12">
    <cfRule type="cellIs" dxfId="4901" priority="10743" operator="equal">
      <formula>1</formula>
    </cfRule>
    <cfRule type="cellIs" dxfId="4900" priority="10744" operator="equal">
      <formula>"×"</formula>
    </cfRule>
  </conditionalFormatting>
  <conditionalFormatting sqref="AF12:AI12">
    <cfRule type="cellIs" dxfId="4899" priority="10741" operator="equal">
      <formula>1</formula>
    </cfRule>
    <cfRule type="cellIs" dxfId="4898" priority="10742" operator="equal">
      <formula>"×"</formula>
    </cfRule>
  </conditionalFormatting>
  <conditionalFormatting sqref="AI12">
    <cfRule type="cellIs" dxfId="4897" priority="10739" operator="equal">
      <formula>1</formula>
    </cfRule>
    <cfRule type="cellIs" dxfId="4896" priority="10740" operator="equal">
      <formula>"×"</formula>
    </cfRule>
  </conditionalFormatting>
  <conditionalFormatting sqref="AF12:AI12">
    <cfRule type="cellIs" dxfId="4895" priority="10737" operator="equal">
      <formula>1</formula>
    </cfRule>
    <cfRule type="cellIs" dxfId="4894" priority="10738" operator="equal">
      <formula>"×"</formula>
    </cfRule>
  </conditionalFormatting>
  <conditionalFormatting sqref="AF12">
    <cfRule type="cellIs" dxfId="4893" priority="10695" operator="equal">
      <formula>1</formula>
    </cfRule>
    <cfRule type="cellIs" dxfId="4892" priority="10696" operator="equal">
      <formula>"×"</formula>
    </cfRule>
  </conditionalFormatting>
  <conditionalFormatting sqref="AF12">
    <cfRule type="cellIs" dxfId="4891" priority="10689" operator="equal">
      <formula>1</formula>
    </cfRule>
    <cfRule type="cellIs" dxfId="4890" priority="10690" operator="equal">
      <formula>"×"</formula>
    </cfRule>
  </conditionalFormatting>
  <conditionalFormatting sqref="AF12">
    <cfRule type="cellIs" dxfId="4889" priority="10687" operator="equal">
      <formula>1</formula>
    </cfRule>
    <cfRule type="cellIs" dxfId="4888" priority="10688" operator="equal">
      <formula>"×"</formula>
    </cfRule>
  </conditionalFormatting>
  <conditionalFormatting sqref="AF12">
    <cfRule type="cellIs" dxfId="4887" priority="10685" operator="equal">
      <formula>1</formula>
    </cfRule>
    <cfRule type="cellIs" dxfId="4886" priority="10686" operator="equal">
      <formula>"×"</formula>
    </cfRule>
  </conditionalFormatting>
  <conditionalFormatting sqref="AF12">
    <cfRule type="cellIs" dxfId="4885" priority="10683" operator="equal">
      <formula>1</formula>
    </cfRule>
    <cfRule type="cellIs" dxfId="4884" priority="10684" operator="equal">
      <formula>"×"</formula>
    </cfRule>
  </conditionalFormatting>
  <conditionalFormatting sqref="AH11:AI11">
    <cfRule type="cellIs" dxfId="4883" priority="10681" operator="equal">
      <formula>1</formula>
    </cfRule>
    <cfRule type="cellIs" dxfId="4882" priority="10682" operator="equal">
      <formula>"×"</formula>
    </cfRule>
  </conditionalFormatting>
  <conditionalFormatting sqref="AI11">
    <cfRule type="cellIs" dxfId="4881" priority="10679" operator="equal">
      <formula>1</formula>
    </cfRule>
    <cfRule type="cellIs" dxfId="4880" priority="10680" operator="equal">
      <formula>"×"</formula>
    </cfRule>
  </conditionalFormatting>
  <conditionalFormatting sqref="AI11">
    <cfRule type="cellIs" dxfId="4879" priority="10673" operator="equal">
      <formula>1</formula>
    </cfRule>
    <cfRule type="cellIs" dxfId="4878" priority="10674" operator="equal">
      <formula>"×"</formula>
    </cfRule>
  </conditionalFormatting>
  <conditionalFormatting sqref="AH11:AI11">
    <cfRule type="cellIs" dxfId="4877" priority="10671" operator="equal">
      <formula>1</formula>
    </cfRule>
    <cfRule type="cellIs" dxfId="4876" priority="10672" operator="equal">
      <formula>"×"</formula>
    </cfRule>
  </conditionalFormatting>
  <conditionalFormatting sqref="AF8:AG8">
    <cfRule type="cellIs" dxfId="4875" priority="10645" operator="equal">
      <formula>1</formula>
    </cfRule>
    <cfRule type="cellIs" dxfId="4874" priority="10646" operator="equal">
      <formula>"×"</formula>
    </cfRule>
  </conditionalFormatting>
  <conditionalFormatting sqref="AF8:AG8">
    <cfRule type="cellIs" dxfId="4873" priority="10643" operator="equal">
      <formula>1</formula>
    </cfRule>
    <cfRule type="cellIs" dxfId="4872" priority="10644" operator="equal">
      <formula>"×"</formula>
    </cfRule>
  </conditionalFormatting>
  <conditionalFormatting sqref="AF8:AG8">
    <cfRule type="cellIs" dxfId="4871" priority="10639" operator="equal">
      <formula>1</formula>
    </cfRule>
    <cfRule type="cellIs" dxfId="4870" priority="10640" operator="equal">
      <formula>"×"</formula>
    </cfRule>
  </conditionalFormatting>
  <conditionalFormatting sqref="AF8:AG8">
    <cfRule type="cellIs" dxfId="4869" priority="10641" operator="equal">
      <formula>1</formula>
    </cfRule>
    <cfRule type="cellIs" dxfId="4868" priority="10642" operator="equal">
      <formula>"×"</formula>
    </cfRule>
  </conditionalFormatting>
  <conditionalFormatting sqref="AF8:AG8">
    <cfRule type="cellIs" dxfId="4867" priority="10669" operator="equal">
      <formula>1</formula>
    </cfRule>
    <cfRule type="cellIs" dxfId="4866" priority="10670" operator="equal">
      <formula>"×"</formula>
    </cfRule>
  </conditionalFormatting>
  <conditionalFormatting sqref="AF8:AG8">
    <cfRule type="cellIs" dxfId="4865" priority="10667" operator="equal">
      <formula>1</formula>
    </cfRule>
    <cfRule type="cellIs" dxfId="4864" priority="10668" operator="equal">
      <formula>"×"</formula>
    </cfRule>
  </conditionalFormatting>
  <conditionalFormatting sqref="AF8:AG8">
    <cfRule type="cellIs" dxfId="4863" priority="10665" operator="equal">
      <formula>1</formula>
    </cfRule>
    <cfRule type="cellIs" dxfId="4862" priority="10666" operator="equal">
      <formula>"×"</formula>
    </cfRule>
  </conditionalFormatting>
  <conditionalFormatting sqref="AF8:AG8">
    <cfRule type="cellIs" dxfId="4861" priority="10663" operator="equal">
      <formula>1</formula>
    </cfRule>
    <cfRule type="cellIs" dxfId="4860" priority="10664" operator="equal">
      <formula>"×"</formula>
    </cfRule>
  </conditionalFormatting>
  <conditionalFormatting sqref="AF8:AG8">
    <cfRule type="cellIs" dxfId="4859" priority="10661" operator="equal">
      <formula>1</formula>
    </cfRule>
    <cfRule type="cellIs" dxfId="4858" priority="10662" operator="equal">
      <formula>"×"</formula>
    </cfRule>
  </conditionalFormatting>
  <conditionalFormatting sqref="AF8:AG8">
    <cfRule type="cellIs" dxfId="4857" priority="10659" operator="equal">
      <formula>1</formula>
    </cfRule>
    <cfRule type="cellIs" dxfId="4856" priority="10660" operator="equal">
      <formula>"×"</formula>
    </cfRule>
  </conditionalFormatting>
  <conditionalFormatting sqref="AF8:AG8">
    <cfRule type="cellIs" dxfId="4855" priority="10657" operator="equal">
      <formula>1</formula>
    </cfRule>
    <cfRule type="cellIs" dxfId="4854" priority="10658" operator="equal">
      <formula>"×"</formula>
    </cfRule>
  </conditionalFormatting>
  <conditionalFormatting sqref="AF8:AG8">
    <cfRule type="cellIs" dxfId="4853" priority="10655" operator="equal">
      <formula>1</formula>
    </cfRule>
    <cfRule type="cellIs" dxfId="4852" priority="10656" operator="equal">
      <formula>"×"</formula>
    </cfRule>
  </conditionalFormatting>
  <conditionalFormatting sqref="AF8:AG8">
    <cfRule type="cellIs" dxfId="4851" priority="10653" operator="equal">
      <formula>1</formula>
    </cfRule>
    <cfRule type="cellIs" dxfId="4850" priority="10654" operator="equal">
      <formula>"×"</formula>
    </cfRule>
  </conditionalFormatting>
  <conditionalFormatting sqref="AF8:AG8">
    <cfRule type="cellIs" dxfId="4849" priority="10651" operator="equal">
      <formula>1</formula>
    </cfRule>
    <cfRule type="cellIs" dxfId="4848" priority="10652" operator="equal">
      <formula>"×"</formula>
    </cfRule>
  </conditionalFormatting>
  <conditionalFormatting sqref="AF8:AG8">
    <cfRule type="cellIs" dxfId="4847" priority="10649" operator="equal">
      <formula>1</formula>
    </cfRule>
    <cfRule type="cellIs" dxfId="4846" priority="10650" operator="equal">
      <formula>"×"</formula>
    </cfRule>
  </conditionalFormatting>
  <conditionalFormatting sqref="AF8:AG8">
    <cfRule type="cellIs" dxfId="4845" priority="10647" operator="equal">
      <formula>1</formula>
    </cfRule>
    <cfRule type="cellIs" dxfId="4844" priority="10648" operator="equal">
      <formula>"×"</formula>
    </cfRule>
  </conditionalFormatting>
  <conditionalFormatting sqref="AH8:AI8">
    <cfRule type="cellIs" dxfId="4843" priority="10613" operator="equal">
      <formula>1</formula>
    </cfRule>
    <cfRule type="cellIs" dxfId="4842" priority="10614" operator="equal">
      <formula>"×"</formula>
    </cfRule>
  </conditionalFormatting>
  <conditionalFormatting sqref="AH8:AI8">
    <cfRule type="cellIs" dxfId="4841" priority="10611" operator="equal">
      <formula>1</formula>
    </cfRule>
    <cfRule type="cellIs" dxfId="4840" priority="10612" operator="equal">
      <formula>"×"</formula>
    </cfRule>
  </conditionalFormatting>
  <conditionalFormatting sqref="AH8:AI8">
    <cfRule type="cellIs" dxfId="4839" priority="10607" operator="equal">
      <formula>1</formula>
    </cfRule>
    <cfRule type="cellIs" dxfId="4838" priority="10608" operator="equal">
      <formula>"×"</formula>
    </cfRule>
  </conditionalFormatting>
  <conditionalFormatting sqref="AH8:AI8">
    <cfRule type="cellIs" dxfId="4837" priority="10609" operator="equal">
      <formula>1</formula>
    </cfRule>
    <cfRule type="cellIs" dxfId="4836" priority="10610" operator="equal">
      <formula>"×"</formula>
    </cfRule>
  </conditionalFormatting>
  <conditionalFormatting sqref="AH8:AI8">
    <cfRule type="cellIs" dxfId="4835" priority="10637" operator="equal">
      <formula>1</formula>
    </cfRule>
    <cfRule type="cellIs" dxfId="4834" priority="10638" operator="equal">
      <formula>"×"</formula>
    </cfRule>
  </conditionalFormatting>
  <conditionalFormatting sqref="AH8:AI8">
    <cfRule type="cellIs" dxfId="4833" priority="10635" operator="equal">
      <formula>1</formula>
    </cfRule>
    <cfRule type="cellIs" dxfId="4832" priority="10636" operator="equal">
      <formula>"×"</formula>
    </cfRule>
  </conditionalFormatting>
  <conditionalFormatting sqref="AH8:AI8">
    <cfRule type="cellIs" dxfId="4831" priority="10633" operator="equal">
      <formula>1</formula>
    </cfRule>
    <cfRule type="cellIs" dxfId="4830" priority="10634" operator="equal">
      <formula>"×"</formula>
    </cfRule>
  </conditionalFormatting>
  <conditionalFormatting sqref="AH8:AI8">
    <cfRule type="cellIs" dxfId="4829" priority="10631" operator="equal">
      <formula>1</formula>
    </cfRule>
    <cfRule type="cellIs" dxfId="4828" priority="10632" operator="equal">
      <formula>"×"</formula>
    </cfRule>
  </conditionalFormatting>
  <conditionalFormatting sqref="AH8:AI8">
    <cfRule type="cellIs" dxfId="4827" priority="10629" operator="equal">
      <formula>1</formula>
    </cfRule>
    <cfRule type="cellIs" dxfId="4826" priority="10630" operator="equal">
      <formula>"×"</formula>
    </cfRule>
  </conditionalFormatting>
  <conditionalFormatting sqref="AH8:AI8">
    <cfRule type="cellIs" dxfId="4825" priority="10627" operator="equal">
      <formula>1</formula>
    </cfRule>
    <cfRule type="cellIs" dxfId="4824" priority="10628" operator="equal">
      <formula>"×"</formula>
    </cfRule>
  </conditionalFormatting>
  <conditionalFormatting sqref="AH8:AI8">
    <cfRule type="cellIs" dxfId="4823" priority="10625" operator="equal">
      <formula>1</formula>
    </cfRule>
    <cfRule type="cellIs" dxfId="4822" priority="10626" operator="equal">
      <formula>"×"</formula>
    </cfRule>
  </conditionalFormatting>
  <conditionalFormatting sqref="AH8:AI8">
    <cfRule type="cellIs" dxfId="4821" priority="10623" operator="equal">
      <formula>1</formula>
    </cfRule>
    <cfRule type="cellIs" dxfId="4820" priority="10624" operator="equal">
      <formula>"×"</formula>
    </cfRule>
  </conditionalFormatting>
  <conditionalFormatting sqref="AH8:AI8">
    <cfRule type="cellIs" dxfId="4819" priority="10621" operator="equal">
      <formula>1</formula>
    </cfRule>
    <cfRule type="cellIs" dxfId="4818" priority="10622" operator="equal">
      <formula>"×"</formula>
    </cfRule>
  </conditionalFormatting>
  <conditionalFormatting sqref="AH8:AI8">
    <cfRule type="cellIs" dxfId="4817" priority="10619" operator="equal">
      <formula>1</formula>
    </cfRule>
    <cfRule type="cellIs" dxfId="4816" priority="10620" operator="equal">
      <formula>"×"</formula>
    </cfRule>
  </conditionalFormatting>
  <conditionalFormatting sqref="AH8:AI8">
    <cfRule type="cellIs" dxfId="4815" priority="10617" operator="equal">
      <formula>1</formula>
    </cfRule>
    <cfRule type="cellIs" dxfId="4814" priority="10618" operator="equal">
      <formula>"×"</formula>
    </cfRule>
  </conditionalFormatting>
  <conditionalFormatting sqref="AH8:AI8">
    <cfRule type="cellIs" dxfId="4813" priority="10615" operator="equal">
      <formula>1</formula>
    </cfRule>
    <cfRule type="cellIs" dxfId="4812" priority="10616" operator="equal">
      <formula>"×"</formula>
    </cfRule>
  </conditionalFormatting>
  <conditionalFormatting sqref="AH9">
    <cfRule type="cellIs" dxfId="4811" priority="10605" operator="equal">
      <formula>1</formula>
    </cfRule>
    <cfRule type="cellIs" dxfId="4810" priority="10606" operator="equal">
      <formula>"×"</formula>
    </cfRule>
  </conditionalFormatting>
  <conditionalFormatting sqref="AH9">
    <cfRule type="cellIs" dxfId="4809" priority="10603" operator="equal">
      <formula>1</formula>
    </cfRule>
    <cfRule type="cellIs" dxfId="4808" priority="10604" operator="equal">
      <formula>"×"</formula>
    </cfRule>
  </conditionalFormatting>
  <conditionalFormatting sqref="AH9">
    <cfRule type="cellIs" dxfId="4807" priority="10577" operator="equal">
      <formula>1</formula>
    </cfRule>
    <cfRule type="cellIs" dxfId="4806" priority="10578" operator="equal">
      <formula>"×"</formula>
    </cfRule>
  </conditionalFormatting>
  <conditionalFormatting sqref="AH9">
    <cfRule type="cellIs" dxfId="4805" priority="10575" operator="equal">
      <formula>1</formula>
    </cfRule>
    <cfRule type="cellIs" dxfId="4804" priority="10576" operator="equal">
      <formula>"×"</formula>
    </cfRule>
  </conditionalFormatting>
  <conditionalFormatting sqref="AH9">
    <cfRule type="cellIs" dxfId="4803" priority="10571" operator="equal">
      <formula>1</formula>
    </cfRule>
    <cfRule type="cellIs" dxfId="4802" priority="10572" operator="equal">
      <formula>"×"</formula>
    </cfRule>
  </conditionalFormatting>
  <conditionalFormatting sqref="AH9">
    <cfRule type="cellIs" dxfId="4801" priority="10573" operator="equal">
      <formula>1</formula>
    </cfRule>
    <cfRule type="cellIs" dxfId="4800" priority="10574" operator="equal">
      <formula>"×"</formula>
    </cfRule>
  </conditionalFormatting>
  <conditionalFormatting sqref="AH9">
    <cfRule type="cellIs" dxfId="4799" priority="10601" operator="equal">
      <formula>1</formula>
    </cfRule>
    <cfRule type="cellIs" dxfId="4798" priority="10602" operator="equal">
      <formula>"×"</formula>
    </cfRule>
  </conditionalFormatting>
  <conditionalFormatting sqref="AH9">
    <cfRule type="cellIs" dxfId="4797" priority="10599" operator="equal">
      <formula>1</formula>
    </cfRule>
    <cfRule type="cellIs" dxfId="4796" priority="10600" operator="equal">
      <formula>"×"</formula>
    </cfRule>
  </conditionalFormatting>
  <conditionalFormatting sqref="AH9">
    <cfRule type="cellIs" dxfId="4795" priority="10597" operator="equal">
      <formula>1</formula>
    </cfRule>
    <cfRule type="cellIs" dxfId="4794" priority="10598" operator="equal">
      <formula>"×"</formula>
    </cfRule>
  </conditionalFormatting>
  <conditionalFormatting sqref="AH9">
    <cfRule type="cellIs" dxfId="4793" priority="10595" operator="equal">
      <formula>1</formula>
    </cfRule>
    <cfRule type="cellIs" dxfId="4792" priority="10596" operator="equal">
      <formula>"×"</formula>
    </cfRule>
  </conditionalFormatting>
  <conditionalFormatting sqref="AH9">
    <cfRule type="cellIs" dxfId="4791" priority="10593" operator="equal">
      <formula>1</formula>
    </cfRule>
    <cfRule type="cellIs" dxfId="4790" priority="10594" operator="equal">
      <formula>"×"</formula>
    </cfRule>
  </conditionalFormatting>
  <conditionalFormatting sqref="AH9">
    <cfRule type="cellIs" dxfId="4789" priority="10591" operator="equal">
      <formula>1</formula>
    </cfRule>
    <cfRule type="cellIs" dxfId="4788" priority="10592" operator="equal">
      <formula>"×"</formula>
    </cfRule>
  </conditionalFormatting>
  <conditionalFormatting sqref="AH9">
    <cfRule type="cellIs" dxfId="4787" priority="10589" operator="equal">
      <formula>1</formula>
    </cfRule>
    <cfRule type="cellIs" dxfId="4786" priority="10590" operator="equal">
      <formula>"×"</formula>
    </cfRule>
  </conditionalFormatting>
  <conditionalFormatting sqref="AH9">
    <cfRule type="cellIs" dxfId="4785" priority="10587" operator="equal">
      <formula>1</formula>
    </cfRule>
    <cfRule type="cellIs" dxfId="4784" priority="10588" operator="equal">
      <formula>"×"</formula>
    </cfRule>
  </conditionalFormatting>
  <conditionalFormatting sqref="AH9">
    <cfRule type="cellIs" dxfId="4783" priority="10585" operator="equal">
      <formula>1</formula>
    </cfRule>
    <cfRule type="cellIs" dxfId="4782" priority="10586" operator="equal">
      <formula>"×"</formula>
    </cfRule>
  </conditionalFormatting>
  <conditionalFormatting sqref="AH9">
    <cfRule type="cellIs" dxfId="4781" priority="10583" operator="equal">
      <formula>1</formula>
    </cfRule>
    <cfRule type="cellIs" dxfId="4780" priority="10584" operator="equal">
      <formula>"×"</formula>
    </cfRule>
  </conditionalFormatting>
  <conditionalFormatting sqref="AH9">
    <cfRule type="cellIs" dxfId="4779" priority="10581" operator="equal">
      <formula>1</formula>
    </cfRule>
    <cfRule type="cellIs" dxfId="4778" priority="10582" operator="equal">
      <formula>"×"</formula>
    </cfRule>
  </conditionalFormatting>
  <conditionalFormatting sqref="AH9">
    <cfRule type="cellIs" dxfId="4777" priority="10579" operator="equal">
      <formula>1</formula>
    </cfRule>
    <cfRule type="cellIs" dxfId="4776" priority="10580" operator="equal">
      <formula>"×"</formula>
    </cfRule>
  </conditionalFormatting>
  <conditionalFormatting sqref="AE14">
    <cfRule type="cellIs" dxfId="4775" priority="10565" operator="equal">
      <formula>1</formula>
    </cfRule>
    <cfRule type="cellIs" dxfId="4774" priority="10566" operator="equal">
      <formula>"×"</formula>
    </cfRule>
  </conditionalFormatting>
  <conditionalFormatting sqref="AE8 AE14">
    <cfRule type="cellIs" dxfId="4773" priority="10567" operator="equal">
      <formula>1</formula>
    </cfRule>
    <cfRule type="cellIs" dxfId="4772" priority="10568" operator="equal">
      <formula>"×"</formula>
    </cfRule>
  </conditionalFormatting>
  <conditionalFormatting sqref="AE14">
    <cfRule type="cellIs" dxfId="4771" priority="10563" operator="equal">
      <formula>1</formula>
    </cfRule>
    <cfRule type="cellIs" dxfId="4770" priority="10564" operator="equal">
      <formula>"×"</formula>
    </cfRule>
  </conditionalFormatting>
  <conditionalFormatting sqref="AE14">
    <cfRule type="cellIs" dxfId="4769" priority="10561" operator="equal">
      <formula>1</formula>
    </cfRule>
    <cfRule type="cellIs" dxfId="4768" priority="10562" operator="equal">
      <formula>"×"</formula>
    </cfRule>
  </conditionalFormatting>
  <conditionalFormatting sqref="AE14">
    <cfRule type="cellIs" dxfId="4767" priority="10559" operator="equal">
      <formula>1</formula>
    </cfRule>
    <cfRule type="cellIs" dxfId="4766" priority="10560" operator="equal">
      <formula>"×"</formula>
    </cfRule>
  </conditionalFormatting>
  <conditionalFormatting sqref="AE14">
    <cfRule type="cellIs" dxfId="4765" priority="10557" operator="equal">
      <formula>1</formula>
    </cfRule>
    <cfRule type="cellIs" dxfId="4764" priority="10558" operator="equal">
      <formula>"×"</formula>
    </cfRule>
  </conditionalFormatting>
  <conditionalFormatting sqref="AE14">
    <cfRule type="cellIs" dxfId="4763" priority="10555" operator="equal">
      <formula>1</formula>
    </cfRule>
    <cfRule type="cellIs" dxfId="4762" priority="10556" operator="equal">
      <formula>"×"</formula>
    </cfRule>
  </conditionalFormatting>
  <conditionalFormatting sqref="AE14">
    <cfRule type="cellIs" dxfId="4761" priority="10425" operator="equal">
      <formula>1</formula>
    </cfRule>
    <cfRule type="cellIs" dxfId="4760" priority="10426" operator="equal">
      <formula>"×"</formula>
    </cfRule>
  </conditionalFormatting>
  <conditionalFormatting sqref="AE14">
    <cfRule type="cellIs" dxfId="4759" priority="10405" operator="equal">
      <formula>1</formula>
    </cfRule>
    <cfRule type="cellIs" dxfId="4758" priority="10406" operator="equal">
      <formula>"×"</formula>
    </cfRule>
  </conditionalFormatting>
  <conditionalFormatting sqref="AE14">
    <cfRule type="cellIs" dxfId="4757" priority="10407" operator="equal">
      <formula>1</formula>
    </cfRule>
    <cfRule type="cellIs" dxfId="4756" priority="10408" operator="equal">
      <formula>"×"</formula>
    </cfRule>
  </conditionalFormatting>
  <conditionalFormatting sqref="AD14">
    <cfRule type="cellIs" dxfId="4755" priority="10377" operator="equal">
      <formula>1</formula>
    </cfRule>
    <cfRule type="cellIs" dxfId="4754" priority="10378" operator="equal">
      <formula>"×"</formula>
    </cfRule>
  </conditionalFormatting>
  <conditionalFormatting sqref="AD14">
    <cfRule type="cellIs" dxfId="4753" priority="10375" operator="equal">
      <formula>1</formula>
    </cfRule>
    <cfRule type="cellIs" dxfId="4752" priority="10376" operator="equal">
      <formula>"×"</formula>
    </cfRule>
  </conditionalFormatting>
  <conditionalFormatting sqref="AF18">
    <cfRule type="cellIs" dxfId="4751" priority="10323" operator="equal">
      <formula>1</formula>
    </cfRule>
    <cfRule type="cellIs" dxfId="4750" priority="10324" operator="equal">
      <formula>"×"</formula>
    </cfRule>
  </conditionalFormatting>
  <conditionalFormatting sqref="AH17:AI17">
    <cfRule type="cellIs" dxfId="4749" priority="10289" operator="equal">
      <formula>1</formula>
    </cfRule>
    <cfRule type="cellIs" dxfId="4748" priority="10290" operator="equal">
      <formula>"×"</formula>
    </cfRule>
  </conditionalFormatting>
  <conditionalFormatting sqref="AI17">
    <cfRule type="cellIs" dxfId="4747" priority="10287" operator="equal">
      <formula>1</formula>
    </cfRule>
    <cfRule type="cellIs" dxfId="4746" priority="10288" operator="equal">
      <formula>"×"</formula>
    </cfRule>
  </conditionalFormatting>
  <conditionalFormatting sqref="AH17:AI17">
    <cfRule type="cellIs" dxfId="4745" priority="10285" operator="equal">
      <formula>1</formula>
    </cfRule>
    <cfRule type="cellIs" dxfId="4744" priority="10286" operator="equal">
      <formula>"×"</formula>
    </cfRule>
  </conditionalFormatting>
  <conditionalFormatting sqref="AH17:AI17">
    <cfRule type="cellIs" dxfId="4743" priority="10283" operator="equal">
      <formula>1</formula>
    </cfRule>
    <cfRule type="cellIs" dxfId="4742" priority="10284" operator="equal">
      <formula>"×"</formula>
    </cfRule>
  </conditionalFormatting>
  <conditionalFormatting sqref="AI17">
    <cfRule type="cellIs" dxfId="4741" priority="10281" operator="equal">
      <formula>1</formula>
    </cfRule>
    <cfRule type="cellIs" dxfId="4740" priority="10282" operator="equal">
      <formula>"×"</formula>
    </cfRule>
  </conditionalFormatting>
  <conditionalFormatting sqref="AH17:AI17">
    <cfRule type="cellIs" dxfId="4739" priority="10279" operator="equal">
      <formula>1</formula>
    </cfRule>
    <cfRule type="cellIs" dxfId="4738" priority="10280" operator="equal">
      <formula>"×"</formula>
    </cfRule>
  </conditionalFormatting>
  <conditionalFormatting sqref="AF14:AG14">
    <cfRule type="cellIs" dxfId="4737" priority="10277" operator="equal">
      <formula>1</formula>
    </cfRule>
    <cfRule type="cellIs" dxfId="4736" priority="10278" operator="equal">
      <formula>"×"</formula>
    </cfRule>
  </conditionalFormatting>
  <conditionalFormatting sqref="AF14:AG14">
    <cfRule type="cellIs" dxfId="4735" priority="10275" operator="equal">
      <formula>1</formula>
    </cfRule>
    <cfRule type="cellIs" dxfId="4734" priority="10276" operator="equal">
      <formula>"×"</formula>
    </cfRule>
  </conditionalFormatting>
  <conditionalFormatting sqref="AE8">
    <cfRule type="cellIs" dxfId="4733" priority="6425" operator="equal">
      <formula>1</formula>
    </cfRule>
    <cfRule type="cellIs" dxfId="4732" priority="6426" operator="equal">
      <formula>"×"</formula>
    </cfRule>
  </conditionalFormatting>
  <conditionalFormatting sqref="AE8">
    <cfRule type="cellIs" dxfId="4731" priority="6423" operator="equal">
      <formula>1</formula>
    </cfRule>
    <cfRule type="cellIs" dxfId="4730" priority="6424" operator="equal">
      <formula>"×"</formula>
    </cfRule>
  </conditionalFormatting>
  <conditionalFormatting sqref="AE8">
    <cfRule type="cellIs" dxfId="4729" priority="6421" operator="equal">
      <formula>1</formula>
    </cfRule>
    <cfRule type="cellIs" dxfId="4728" priority="6422" operator="equal">
      <formula>"×"</formula>
    </cfRule>
  </conditionalFormatting>
  <conditionalFormatting sqref="AE8">
    <cfRule type="cellIs" dxfId="4727" priority="6419" operator="equal">
      <formula>1</formula>
    </cfRule>
    <cfRule type="cellIs" dxfId="4726" priority="6420" operator="equal">
      <formula>"×"</formula>
    </cfRule>
  </conditionalFormatting>
  <conditionalFormatting sqref="AE8">
    <cfRule type="cellIs" dxfId="4725" priority="6417" operator="equal">
      <formula>1</formula>
    </cfRule>
    <cfRule type="cellIs" dxfId="4724" priority="6418" operator="equal">
      <formula>"×"</formula>
    </cfRule>
  </conditionalFormatting>
  <conditionalFormatting sqref="AE8">
    <cfRule type="cellIs" dxfId="4723" priority="6415" operator="equal">
      <formula>1</formula>
    </cfRule>
    <cfRule type="cellIs" dxfId="4722" priority="6416" operator="equal">
      <formula>"×"</formula>
    </cfRule>
  </conditionalFormatting>
  <conditionalFormatting sqref="AC14">
    <cfRule type="cellIs" dxfId="4721" priority="6413" operator="equal">
      <formula>1</formula>
    </cfRule>
    <cfRule type="cellIs" dxfId="4720" priority="6414" operator="equal">
      <formula>"×"</formula>
    </cfRule>
  </conditionalFormatting>
  <conditionalFormatting sqref="AD14">
    <cfRule type="cellIs" dxfId="4719" priority="6411" operator="equal">
      <formula>1</formula>
    </cfRule>
    <cfRule type="cellIs" dxfId="4718" priority="6412" operator="equal">
      <formula>"×"</formula>
    </cfRule>
  </conditionalFormatting>
  <conditionalFormatting sqref="AD14">
    <cfRule type="cellIs" dxfId="4717" priority="6385" operator="equal">
      <formula>1</formula>
    </cfRule>
    <cfRule type="cellIs" dxfId="4716" priority="6386" operator="equal">
      <formula>"×"</formula>
    </cfRule>
  </conditionalFormatting>
  <conditionalFormatting sqref="AD14">
    <cfRule type="cellIs" dxfId="4715" priority="6383" operator="equal">
      <formula>1</formula>
    </cfRule>
    <cfRule type="cellIs" dxfId="4714" priority="6384" operator="equal">
      <formula>"×"</formula>
    </cfRule>
  </conditionalFormatting>
  <conditionalFormatting sqref="AD14">
    <cfRule type="cellIs" dxfId="4713" priority="6379" operator="equal">
      <formula>1</formula>
    </cfRule>
    <cfRule type="cellIs" dxfId="4712" priority="6380" operator="equal">
      <formula>"×"</formula>
    </cfRule>
  </conditionalFormatting>
  <conditionalFormatting sqref="AD14">
    <cfRule type="cellIs" dxfId="4711" priority="6381" operator="equal">
      <formula>1</formula>
    </cfRule>
    <cfRule type="cellIs" dxfId="4710" priority="6382" operator="equal">
      <formula>"×"</formula>
    </cfRule>
  </conditionalFormatting>
  <conditionalFormatting sqref="AD14">
    <cfRule type="cellIs" dxfId="4709" priority="6409" operator="equal">
      <formula>1</formula>
    </cfRule>
    <cfRule type="cellIs" dxfId="4708" priority="6410" operator="equal">
      <formula>"×"</formula>
    </cfRule>
  </conditionalFormatting>
  <conditionalFormatting sqref="AD14">
    <cfRule type="cellIs" dxfId="4707" priority="6407" operator="equal">
      <formula>1</formula>
    </cfRule>
    <cfRule type="cellIs" dxfId="4706" priority="6408" operator="equal">
      <formula>"×"</formula>
    </cfRule>
  </conditionalFormatting>
  <conditionalFormatting sqref="AD14">
    <cfRule type="cellIs" dxfId="4705" priority="6405" operator="equal">
      <formula>1</formula>
    </cfRule>
    <cfRule type="cellIs" dxfId="4704" priority="6406" operator="equal">
      <formula>"×"</formula>
    </cfRule>
  </conditionalFormatting>
  <conditionalFormatting sqref="AC14">
    <cfRule type="cellIs" dxfId="4703" priority="6403" operator="equal">
      <formula>1</formula>
    </cfRule>
    <cfRule type="cellIs" dxfId="4702" priority="6404" operator="equal">
      <formula>"×"</formula>
    </cfRule>
  </conditionalFormatting>
  <conditionalFormatting sqref="AD14">
    <cfRule type="cellIs" dxfId="4701" priority="6401" operator="equal">
      <formula>1</formula>
    </cfRule>
    <cfRule type="cellIs" dxfId="4700" priority="6402" operator="equal">
      <formula>"×"</formula>
    </cfRule>
  </conditionalFormatting>
  <conditionalFormatting sqref="AD14">
    <cfRule type="cellIs" dxfId="4699" priority="6399" operator="equal">
      <formula>1</formula>
    </cfRule>
    <cfRule type="cellIs" dxfId="4698" priority="6400" operator="equal">
      <formula>"×"</formula>
    </cfRule>
  </conditionalFormatting>
  <conditionalFormatting sqref="AD14">
    <cfRule type="cellIs" dxfId="4697" priority="6397" operator="equal">
      <formula>1</formula>
    </cfRule>
    <cfRule type="cellIs" dxfId="4696" priority="6398" operator="equal">
      <formula>"×"</formula>
    </cfRule>
  </conditionalFormatting>
  <conditionalFormatting sqref="AD14">
    <cfRule type="cellIs" dxfId="4695" priority="6395" operator="equal">
      <formula>1</formula>
    </cfRule>
    <cfRule type="cellIs" dxfId="4694" priority="6396" operator="equal">
      <formula>"×"</formula>
    </cfRule>
  </conditionalFormatting>
  <conditionalFormatting sqref="AC14">
    <cfRule type="cellIs" dxfId="4693" priority="6393" operator="equal">
      <formula>1</formula>
    </cfRule>
    <cfRule type="cellIs" dxfId="4692" priority="6394" operator="equal">
      <formula>"×"</formula>
    </cfRule>
  </conditionalFormatting>
  <conditionalFormatting sqref="AD14">
    <cfRule type="cellIs" dxfId="4691" priority="6391" operator="equal">
      <formula>1</formula>
    </cfRule>
    <cfRule type="cellIs" dxfId="4690" priority="6392" operator="equal">
      <formula>"×"</formula>
    </cfRule>
  </conditionalFormatting>
  <conditionalFormatting sqref="AD14">
    <cfRule type="cellIs" dxfId="4689" priority="6389" operator="equal">
      <formula>1</formula>
    </cfRule>
    <cfRule type="cellIs" dxfId="4688" priority="6390" operator="equal">
      <formula>"×"</formula>
    </cfRule>
  </conditionalFormatting>
  <conditionalFormatting sqref="AD14">
    <cfRule type="cellIs" dxfId="4687" priority="6387" operator="equal">
      <formula>1</formula>
    </cfRule>
    <cfRule type="cellIs" dxfId="4686" priority="6388" operator="equal">
      <formula>"×"</formula>
    </cfRule>
  </conditionalFormatting>
  <conditionalFormatting sqref="AE8">
    <cfRule type="cellIs" dxfId="4685" priority="6353" operator="equal">
      <formula>1</formula>
    </cfRule>
    <cfRule type="cellIs" dxfId="4684" priority="6354" operator="equal">
      <formula>"×"</formula>
    </cfRule>
  </conditionalFormatting>
  <conditionalFormatting sqref="AE8">
    <cfRule type="cellIs" dxfId="4683" priority="6351" operator="equal">
      <formula>1</formula>
    </cfRule>
    <cfRule type="cellIs" dxfId="4682" priority="6352" operator="equal">
      <formula>"×"</formula>
    </cfRule>
  </conditionalFormatting>
  <conditionalFormatting sqref="AE8">
    <cfRule type="cellIs" dxfId="4681" priority="6347" operator="equal">
      <formula>1</formula>
    </cfRule>
    <cfRule type="cellIs" dxfId="4680" priority="6348" operator="equal">
      <formula>"×"</formula>
    </cfRule>
  </conditionalFormatting>
  <conditionalFormatting sqref="AE8">
    <cfRule type="cellIs" dxfId="4679" priority="6349" operator="equal">
      <formula>1</formula>
    </cfRule>
    <cfRule type="cellIs" dxfId="4678" priority="6350" operator="equal">
      <formula>"×"</formula>
    </cfRule>
  </conditionalFormatting>
  <conditionalFormatting sqref="AC14:AD14">
    <cfRule type="cellIs" dxfId="4677" priority="6377" operator="equal">
      <formula>1</formula>
    </cfRule>
    <cfRule type="cellIs" dxfId="4676" priority="6378" operator="equal">
      <formula>"×"</formula>
    </cfRule>
  </conditionalFormatting>
  <conditionalFormatting sqref="AE8">
    <cfRule type="cellIs" dxfId="4675" priority="6375" operator="equal">
      <formula>1</formula>
    </cfRule>
    <cfRule type="cellIs" dxfId="4674" priority="6376" operator="equal">
      <formula>"×"</formula>
    </cfRule>
  </conditionalFormatting>
  <conditionalFormatting sqref="AE8">
    <cfRule type="cellIs" dxfId="4673" priority="6373" operator="equal">
      <formula>1</formula>
    </cfRule>
    <cfRule type="cellIs" dxfId="4672" priority="6374" operator="equal">
      <formula>"×"</formula>
    </cfRule>
  </conditionalFormatting>
  <conditionalFormatting sqref="AE8">
    <cfRule type="cellIs" dxfId="4671" priority="6371" operator="equal">
      <formula>1</formula>
    </cfRule>
    <cfRule type="cellIs" dxfId="4670" priority="6372" operator="equal">
      <formula>"×"</formula>
    </cfRule>
  </conditionalFormatting>
  <conditionalFormatting sqref="AE8">
    <cfRule type="cellIs" dxfId="4669" priority="6369" operator="equal">
      <formula>1</formula>
    </cfRule>
    <cfRule type="cellIs" dxfId="4668" priority="6370" operator="equal">
      <formula>"×"</formula>
    </cfRule>
  </conditionalFormatting>
  <conditionalFormatting sqref="AE8">
    <cfRule type="cellIs" dxfId="4667" priority="6367" operator="equal">
      <formula>1</formula>
    </cfRule>
    <cfRule type="cellIs" dxfId="4666" priority="6368" operator="equal">
      <formula>"×"</formula>
    </cfRule>
  </conditionalFormatting>
  <conditionalFormatting sqref="AE8">
    <cfRule type="cellIs" dxfId="4665" priority="6365" operator="equal">
      <formula>1</formula>
    </cfRule>
    <cfRule type="cellIs" dxfId="4664" priority="6366" operator="equal">
      <formula>"×"</formula>
    </cfRule>
  </conditionalFormatting>
  <conditionalFormatting sqref="AE8">
    <cfRule type="cellIs" dxfId="4663" priority="6363" operator="equal">
      <formula>1</formula>
    </cfRule>
    <cfRule type="cellIs" dxfId="4662" priority="6364" operator="equal">
      <formula>"×"</formula>
    </cfRule>
  </conditionalFormatting>
  <conditionalFormatting sqref="AE8">
    <cfRule type="cellIs" dxfId="4661" priority="6361" operator="equal">
      <formula>1</formula>
    </cfRule>
    <cfRule type="cellIs" dxfId="4660" priority="6362" operator="equal">
      <formula>"×"</formula>
    </cfRule>
  </conditionalFormatting>
  <conditionalFormatting sqref="AE8">
    <cfRule type="cellIs" dxfId="4659" priority="6359" operator="equal">
      <formula>1</formula>
    </cfRule>
    <cfRule type="cellIs" dxfId="4658" priority="6360" operator="equal">
      <formula>"×"</formula>
    </cfRule>
  </conditionalFormatting>
  <conditionalFormatting sqref="AE8">
    <cfRule type="cellIs" dxfId="4657" priority="6357" operator="equal">
      <formula>1</formula>
    </cfRule>
    <cfRule type="cellIs" dxfId="4656" priority="6358" operator="equal">
      <formula>"×"</formula>
    </cfRule>
  </conditionalFormatting>
  <conditionalFormatting sqref="AE8">
    <cfRule type="cellIs" dxfId="4655" priority="6355" operator="equal">
      <formula>1</formula>
    </cfRule>
    <cfRule type="cellIs" dxfId="4654" priority="6356" operator="equal">
      <formula>"×"</formula>
    </cfRule>
  </conditionalFormatting>
  <conditionalFormatting sqref="AE8">
    <cfRule type="cellIs" dxfId="4653" priority="6345" operator="equal">
      <formula>1</formula>
    </cfRule>
    <cfRule type="cellIs" dxfId="4652" priority="6346" operator="equal">
      <formula>"×"</formula>
    </cfRule>
  </conditionalFormatting>
  <conditionalFormatting sqref="AE8">
    <cfRule type="cellIs" dxfId="4651" priority="6343" operator="equal">
      <formula>1</formula>
    </cfRule>
    <cfRule type="cellIs" dxfId="4650" priority="6344" operator="equal">
      <formula>"×"</formula>
    </cfRule>
  </conditionalFormatting>
  <conditionalFormatting sqref="AD14">
    <cfRule type="cellIs" dxfId="4649" priority="6317" operator="equal">
      <formula>1</formula>
    </cfRule>
    <cfRule type="cellIs" dxfId="4648" priority="6318" operator="equal">
      <formula>"×"</formula>
    </cfRule>
  </conditionalFormatting>
  <conditionalFormatting sqref="AD14">
    <cfRule type="cellIs" dxfId="4647" priority="6315" operator="equal">
      <formula>1</formula>
    </cfRule>
    <cfRule type="cellIs" dxfId="4646" priority="6316" operator="equal">
      <formula>"×"</formula>
    </cfRule>
  </conditionalFormatting>
  <conditionalFormatting sqref="AC14">
    <cfRule type="cellIs" dxfId="4645" priority="6311" operator="equal">
      <formula>1</formula>
    </cfRule>
    <cfRule type="cellIs" dxfId="4644" priority="6312" operator="equal">
      <formula>"×"</formula>
    </cfRule>
  </conditionalFormatting>
  <conditionalFormatting sqref="AD14">
    <cfRule type="cellIs" dxfId="4643" priority="6313" operator="equal">
      <formula>1</formula>
    </cfRule>
    <cfRule type="cellIs" dxfId="4642" priority="6314" operator="equal">
      <formula>"×"</formula>
    </cfRule>
  </conditionalFormatting>
  <conditionalFormatting sqref="AC14">
    <cfRule type="cellIs" dxfId="4641" priority="6341" operator="equal">
      <formula>1</formula>
    </cfRule>
    <cfRule type="cellIs" dxfId="4640" priority="6342" operator="equal">
      <formula>"×"</formula>
    </cfRule>
  </conditionalFormatting>
  <conditionalFormatting sqref="AD14">
    <cfRule type="cellIs" dxfId="4639" priority="6339" operator="equal">
      <formula>1</formula>
    </cfRule>
    <cfRule type="cellIs" dxfId="4638" priority="6340" operator="equal">
      <formula>"×"</formula>
    </cfRule>
  </conditionalFormatting>
  <conditionalFormatting sqref="AD14">
    <cfRule type="cellIs" dxfId="4637" priority="6337" operator="equal">
      <formula>1</formula>
    </cfRule>
    <cfRule type="cellIs" dxfId="4636" priority="6338" operator="equal">
      <formula>"×"</formula>
    </cfRule>
  </conditionalFormatting>
  <conditionalFormatting sqref="AD14">
    <cfRule type="cellIs" dxfId="4635" priority="6335" operator="equal">
      <formula>1</formula>
    </cfRule>
    <cfRule type="cellIs" dxfId="4634" priority="6336" operator="equal">
      <formula>"×"</formula>
    </cfRule>
  </conditionalFormatting>
  <conditionalFormatting sqref="AD14">
    <cfRule type="cellIs" dxfId="4633" priority="6333" operator="equal">
      <formula>1</formula>
    </cfRule>
    <cfRule type="cellIs" dxfId="4632" priority="6334" operator="equal">
      <formula>"×"</formula>
    </cfRule>
  </conditionalFormatting>
  <conditionalFormatting sqref="AC14">
    <cfRule type="cellIs" dxfId="4631" priority="6331" operator="equal">
      <formula>1</formula>
    </cfRule>
    <cfRule type="cellIs" dxfId="4630" priority="6332" operator="equal">
      <formula>"×"</formula>
    </cfRule>
  </conditionalFormatting>
  <conditionalFormatting sqref="AD14">
    <cfRule type="cellIs" dxfId="4629" priority="6329" operator="equal">
      <formula>1</formula>
    </cfRule>
    <cfRule type="cellIs" dxfId="4628" priority="6330" operator="equal">
      <formula>"×"</formula>
    </cfRule>
  </conditionalFormatting>
  <conditionalFormatting sqref="AD14">
    <cfRule type="cellIs" dxfId="4627" priority="6327" operator="equal">
      <formula>1</formula>
    </cfRule>
    <cfRule type="cellIs" dxfId="4626" priority="6328" operator="equal">
      <formula>"×"</formula>
    </cfRule>
  </conditionalFormatting>
  <conditionalFormatting sqref="AD14">
    <cfRule type="cellIs" dxfId="4625" priority="6325" operator="equal">
      <formula>1</formula>
    </cfRule>
    <cfRule type="cellIs" dxfId="4624" priority="6326" operator="equal">
      <formula>"×"</formula>
    </cfRule>
  </conditionalFormatting>
  <conditionalFormatting sqref="AD14">
    <cfRule type="cellIs" dxfId="4623" priority="6323" operator="equal">
      <formula>1</formula>
    </cfRule>
    <cfRule type="cellIs" dxfId="4622" priority="6324" operator="equal">
      <formula>"×"</formula>
    </cfRule>
  </conditionalFormatting>
  <conditionalFormatting sqref="AC14">
    <cfRule type="cellIs" dxfId="4621" priority="6321" operator="equal">
      <formula>1</formula>
    </cfRule>
    <cfRule type="cellIs" dxfId="4620" priority="6322" operator="equal">
      <formula>"×"</formula>
    </cfRule>
  </conditionalFormatting>
  <conditionalFormatting sqref="AD14">
    <cfRule type="cellIs" dxfId="4619" priority="6319" operator="equal">
      <formula>1</formula>
    </cfRule>
    <cfRule type="cellIs" dxfId="4618" priority="6320" operator="equal">
      <formula>"×"</formula>
    </cfRule>
  </conditionalFormatting>
  <conditionalFormatting sqref="Z20">
    <cfRule type="cellIs" dxfId="4617" priority="9817" operator="equal">
      <formula>1</formula>
    </cfRule>
    <cfRule type="cellIs" dxfId="4616" priority="9818" operator="equal">
      <formula>"×"</formula>
    </cfRule>
  </conditionalFormatting>
  <conditionalFormatting sqref="Z26">
    <cfRule type="cellIs" dxfId="4615" priority="9635" operator="equal">
      <formula>1</formula>
    </cfRule>
    <cfRule type="cellIs" dxfId="4614" priority="9636" operator="equal">
      <formula>"×"</formula>
    </cfRule>
  </conditionalFormatting>
  <conditionalFormatting sqref="AF14:AI14">
    <cfRule type="cellIs" dxfId="4613" priority="9629" operator="equal">
      <formula>1</formula>
    </cfRule>
    <cfRule type="cellIs" dxfId="4612" priority="9630" operator="equal">
      <formula>"×"</formula>
    </cfRule>
  </conditionalFormatting>
  <conditionalFormatting sqref="AC14">
    <cfRule type="cellIs" dxfId="4611" priority="9581" operator="equal">
      <formula>1</formula>
    </cfRule>
    <cfRule type="cellIs" dxfId="4610" priority="9582" operator="equal">
      <formula>"×"</formula>
    </cfRule>
  </conditionalFormatting>
  <conditionalFormatting sqref="AF14">
    <cfRule type="cellIs" dxfId="4609" priority="9579" operator="equal">
      <formula>1</formula>
    </cfRule>
    <cfRule type="cellIs" dxfId="4608" priority="9580" operator="equal">
      <formula>"×"</formula>
    </cfRule>
  </conditionalFormatting>
  <conditionalFormatting sqref="AF14">
    <cfRule type="cellIs" dxfId="4607" priority="9577" operator="equal">
      <formula>1</formula>
    </cfRule>
    <cfRule type="cellIs" dxfId="4606" priority="9578" operator="equal">
      <formula>"×"</formula>
    </cfRule>
  </conditionalFormatting>
  <conditionalFormatting sqref="AE14">
    <cfRule type="cellIs" dxfId="4605" priority="9575" operator="equal">
      <formula>1</formula>
    </cfRule>
    <cfRule type="cellIs" dxfId="4604" priority="9576" operator="equal">
      <formula>"×"</formula>
    </cfRule>
  </conditionalFormatting>
  <conditionalFormatting sqref="AD14">
    <cfRule type="cellIs" dxfId="4603" priority="9573" operator="equal">
      <formula>1</formula>
    </cfRule>
    <cfRule type="cellIs" dxfId="4602" priority="9574" operator="equal">
      <formula>"×"</formula>
    </cfRule>
  </conditionalFormatting>
  <conditionalFormatting sqref="AE14">
    <cfRule type="cellIs" dxfId="4601" priority="9571" operator="equal">
      <formula>1</formula>
    </cfRule>
    <cfRule type="cellIs" dxfId="4600" priority="9572" operator="equal">
      <formula>"×"</formula>
    </cfRule>
  </conditionalFormatting>
  <conditionalFormatting sqref="AD14">
    <cfRule type="cellIs" dxfId="4599" priority="9569" operator="equal">
      <formula>1</formula>
    </cfRule>
    <cfRule type="cellIs" dxfId="4598" priority="9570" operator="equal">
      <formula>"×"</formula>
    </cfRule>
  </conditionalFormatting>
  <conditionalFormatting sqref="AD14">
    <cfRule type="cellIs" dxfId="4597" priority="9565" operator="equal">
      <formula>1</formula>
    </cfRule>
    <cfRule type="cellIs" dxfId="4596" priority="9566" operator="equal">
      <formula>"×"</formula>
    </cfRule>
  </conditionalFormatting>
  <conditionalFormatting sqref="AD14">
    <cfRule type="cellIs" dxfId="4595" priority="9567" operator="equal">
      <formula>1</formula>
    </cfRule>
    <cfRule type="cellIs" dxfId="4594" priority="9568" operator="equal">
      <formula>"×"</formula>
    </cfRule>
  </conditionalFormatting>
  <conditionalFormatting sqref="AC14">
    <cfRule type="cellIs" dxfId="4593" priority="9631" operator="equal">
      <formula>1</formula>
    </cfRule>
    <cfRule type="cellIs" dxfId="4592" priority="9632" operator="equal">
      <formula>"×"</formula>
    </cfRule>
  </conditionalFormatting>
  <conditionalFormatting sqref="AI14">
    <cfRule type="cellIs" dxfId="4591" priority="9627" operator="equal">
      <formula>1</formula>
    </cfRule>
    <cfRule type="cellIs" dxfId="4590" priority="9628" operator="equal">
      <formula>"×"</formula>
    </cfRule>
  </conditionalFormatting>
  <conditionalFormatting sqref="AD14">
    <cfRule type="cellIs" dxfId="4589" priority="9625" operator="equal">
      <formula>1</formula>
    </cfRule>
    <cfRule type="cellIs" dxfId="4588" priority="9626" operator="equal">
      <formula>"×"</formula>
    </cfRule>
  </conditionalFormatting>
  <conditionalFormatting sqref="AD14">
    <cfRule type="cellIs" dxfId="4587" priority="9623" operator="equal">
      <formula>1</formula>
    </cfRule>
    <cfRule type="cellIs" dxfId="4586" priority="9624" operator="equal">
      <formula>"×"</formula>
    </cfRule>
  </conditionalFormatting>
  <conditionalFormatting sqref="AD14">
    <cfRule type="cellIs" dxfId="4585" priority="9621" operator="equal">
      <formula>1</formula>
    </cfRule>
    <cfRule type="cellIs" dxfId="4584" priority="9622" operator="equal">
      <formula>"×"</formula>
    </cfRule>
  </conditionalFormatting>
  <conditionalFormatting sqref="AD14">
    <cfRule type="cellIs" dxfId="4583" priority="9619" operator="equal">
      <formula>1</formula>
    </cfRule>
    <cfRule type="cellIs" dxfId="4582" priority="9620" operator="equal">
      <formula>"×"</formula>
    </cfRule>
  </conditionalFormatting>
  <conditionalFormatting sqref="AF18">
    <cfRule type="cellIs" dxfId="4581" priority="9617" operator="equal">
      <formula>1</formula>
    </cfRule>
    <cfRule type="cellIs" dxfId="4580" priority="9618" operator="equal">
      <formula>"×"</formula>
    </cfRule>
  </conditionalFormatting>
  <conditionalFormatting sqref="AF18">
    <cfRule type="cellIs" dxfId="4579" priority="9615" operator="equal">
      <formula>1</formula>
    </cfRule>
    <cfRule type="cellIs" dxfId="4578" priority="9616" operator="equal">
      <formula>"×"</formula>
    </cfRule>
  </conditionalFormatting>
  <conditionalFormatting sqref="AE14">
    <cfRule type="cellIs" dxfId="4577" priority="9613" operator="equal">
      <formula>1</formula>
    </cfRule>
    <cfRule type="cellIs" dxfId="4576" priority="9614" operator="equal">
      <formula>"×"</formula>
    </cfRule>
  </conditionalFormatting>
  <conditionalFormatting sqref="AE14">
    <cfRule type="cellIs" dxfId="4575" priority="9609" operator="equal">
      <formula>1</formula>
    </cfRule>
    <cfRule type="cellIs" dxfId="4574" priority="9610" operator="equal">
      <formula>"×"</formula>
    </cfRule>
  </conditionalFormatting>
  <conditionalFormatting sqref="AD14">
    <cfRule type="cellIs" dxfId="4573" priority="9611" operator="equal">
      <formula>1</formula>
    </cfRule>
    <cfRule type="cellIs" dxfId="4572" priority="9612" operator="equal">
      <formula>"×"</formula>
    </cfRule>
  </conditionalFormatting>
  <conditionalFormatting sqref="AD14">
    <cfRule type="cellIs" dxfId="4571" priority="9607" operator="equal">
      <formula>1</formula>
    </cfRule>
    <cfRule type="cellIs" dxfId="4570" priority="9608" operator="equal">
      <formula>"×"</formula>
    </cfRule>
  </conditionalFormatting>
  <conditionalFormatting sqref="AD14">
    <cfRule type="cellIs" dxfId="4569" priority="9605" operator="equal">
      <formula>1</formula>
    </cfRule>
    <cfRule type="cellIs" dxfId="4568" priority="9606" operator="equal">
      <formula>"×"</formula>
    </cfRule>
  </conditionalFormatting>
  <conditionalFormatting sqref="AD14">
    <cfRule type="cellIs" dxfId="4567" priority="9603" operator="equal">
      <formula>1</formula>
    </cfRule>
    <cfRule type="cellIs" dxfId="4566" priority="9604" operator="equal">
      <formula>"×"</formula>
    </cfRule>
  </conditionalFormatting>
  <conditionalFormatting sqref="AF18:AI18">
    <cfRule type="cellIs" dxfId="4565" priority="9599" operator="equal">
      <formula>1</formula>
    </cfRule>
    <cfRule type="cellIs" dxfId="4564" priority="9600" operator="equal">
      <formula>"×"</formula>
    </cfRule>
  </conditionalFormatting>
  <conditionalFormatting sqref="AI18">
    <cfRule type="cellIs" dxfId="4563" priority="9597" operator="equal">
      <formula>1</formula>
    </cfRule>
    <cfRule type="cellIs" dxfId="4562" priority="9598" operator="equal">
      <formula>"×"</formula>
    </cfRule>
  </conditionalFormatting>
  <conditionalFormatting sqref="AF18:AI18">
    <cfRule type="cellIs" dxfId="4561" priority="9595" operator="equal">
      <formula>1</formula>
    </cfRule>
    <cfRule type="cellIs" dxfId="4560" priority="9596" operator="equal">
      <formula>"×"</formula>
    </cfRule>
  </conditionalFormatting>
  <conditionalFormatting sqref="AE14">
    <cfRule type="cellIs" dxfId="4559" priority="9593" operator="equal">
      <formula>1</formula>
    </cfRule>
    <cfRule type="cellIs" dxfId="4558" priority="9594" operator="equal">
      <formula>"×"</formula>
    </cfRule>
  </conditionalFormatting>
  <conditionalFormatting sqref="AE14">
    <cfRule type="cellIs" dxfId="4557" priority="9589" operator="equal">
      <formula>1</formula>
    </cfRule>
    <cfRule type="cellIs" dxfId="4556" priority="9590" operator="equal">
      <formula>"×"</formula>
    </cfRule>
  </conditionalFormatting>
  <conditionalFormatting sqref="AD14">
    <cfRule type="cellIs" dxfId="4555" priority="9591" operator="equal">
      <formula>1</formula>
    </cfRule>
    <cfRule type="cellIs" dxfId="4554" priority="9592" operator="equal">
      <formula>"×"</formula>
    </cfRule>
  </conditionalFormatting>
  <conditionalFormatting sqref="AD14">
    <cfRule type="cellIs" dxfId="4553" priority="9587" operator="equal">
      <formula>1</formula>
    </cfRule>
    <cfRule type="cellIs" dxfId="4552" priority="9588" operator="equal">
      <formula>"×"</formula>
    </cfRule>
  </conditionalFormatting>
  <conditionalFormatting sqref="AD14">
    <cfRule type="cellIs" dxfId="4551" priority="9585" operator="equal">
      <formula>1</formula>
    </cfRule>
    <cfRule type="cellIs" dxfId="4550" priority="9586" operator="equal">
      <formula>"×"</formula>
    </cfRule>
  </conditionalFormatting>
  <conditionalFormatting sqref="AD14">
    <cfRule type="cellIs" dxfId="4549" priority="9583" operator="equal">
      <formula>1</formula>
    </cfRule>
    <cfRule type="cellIs" dxfId="4548" priority="9584" operator="equal">
      <formula>"×"</formula>
    </cfRule>
  </conditionalFormatting>
  <conditionalFormatting sqref="AF18:AI18">
    <cfRule type="cellIs" dxfId="4547" priority="9561" operator="equal">
      <formula>1</formula>
    </cfRule>
    <cfRule type="cellIs" dxfId="4546" priority="9562" operator="equal">
      <formula>"×"</formula>
    </cfRule>
  </conditionalFormatting>
  <conditionalFormatting sqref="AI18">
    <cfRule type="cellIs" dxfId="4545" priority="9559" operator="equal">
      <formula>1</formula>
    </cfRule>
    <cfRule type="cellIs" dxfId="4544" priority="9560" operator="equal">
      <formula>"×"</formula>
    </cfRule>
  </conditionalFormatting>
  <conditionalFormatting sqref="AF18:AI18">
    <cfRule type="cellIs" dxfId="4543" priority="9557" operator="equal">
      <formula>1</formula>
    </cfRule>
    <cfRule type="cellIs" dxfId="4542" priority="9558" operator="equal">
      <formula>"×"</formula>
    </cfRule>
  </conditionalFormatting>
  <conditionalFormatting sqref="AF18:AI18">
    <cfRule type="cellIs" dxfId="4541" priority="9555" operator="equal">
      <formula>1</formula>
    </cfRule>
    <cfRule type="cellIs" dxfId="4540" priority="9556" operator="equal">
      <formula>"×"</formula>
    </cfRule>
  </conditionalFormatting>
  <conditionalFormatting sqref="AI18">
    <cfRule type="cellIs" dxfId="4539" priority="9553" operator="equal">
      <formula>1</formula>
    </cfRule>
    <cfRule type="cellIs" dxfId="4538" priority="9554" operator="equal">
      <formula>"×"</formula>
    </cfRule>
  </conditionalFormatting>
  <conditionalFormatting sqref="AF19">
    <cfRule type="cellIs" dxfId="4537" priority="9551" operator="equal">
      <formula>1</formula>
    </cfRule>
    <cfRule type="cellIs" dxfId="4536" priority="9552" operator="equal">
      <formula>"×"</formula>
    </cfRule>
  </conditionalFormatting>
  <conditionalFormatting sqref="AF18">
    <cfRule type="cellIs" dxfId="4535" priority="9511" operator="equal">
      <formula>1</formula>
    </cfRule>
    <cfRule type="cellIs" dxfId="4534" priority="9512" operator="equal">
      <formula>"×"</formula>
    </cfRule>
  </conditionalFormatting>
  <conditionalFormatting sqref="AF18">
    <cfRule type="cellIs" dxfId="4533" priority="9509" operator="equal">
      <formula>1</formula>
    </cfRule>
    <cfRule type="cellIs" dxfId="4532" priority="9510" operator="equal">
      <formula>"×"</formula>
    </cfRule>
  </conditionalFormatting>
  <conditionalFormatting sqref="AF18:AI18">
    <cfRule type="cellIs" dxfId="4531" priority="9495" operator="equal">
      <formula>1</formula>
    </cfRule>
    <cfRule type="cellIs" dxfId="4530" priority="9496" operator="equal">
      <formula>"×"</formula>
    </cfRule>
  </conditionalFormatting>
  <conditionalFormatting sqref="AI18">
    <cfRule type="cellIs" dxfId="4529" priority="9493" operator="equal">
      <formula>1</formula>
    </cfRule>
    <cfRule type="cellIs" dxfId="4528" priority="9494" operator="equal">
      <formula>"×"</formula>
    </cfRule>
  </conditionalFormatting>
  <conditionalFormatting sqref="AF18:AI18">
    <cfRule type="cellIs" dxfId="4527" priority="9491" operator="equal">
      <formula>1</formula>
    </cfRule>
    <cfRule type="cellIs" dxfId="4526" priority="9492" operator="equal">
      <formula>"×"</formula>
    </cfRule>
  </conditionalFormatting>
  <conditionalFormatting sqref="AF18">
    <cfRule type="cellIs" dxfId="4525" priority="9507" operator="equal">
      <formula>1</formula>
    </cfRule>
    <cfRule type="cellIs" dxfId="4524" priority="9508" operator="equal">
      <formula>"×"</formula>
    </cfRule>
  </conditionalFormatting>
  <conditionalFormatting sqref="AF18">
    <cfRule type="cellIs" dxfId="4523" priority="9505" operator="equal">
      <formula>1</formula>
    </cfRule>
    <cfRule type="cellIs" dxfId="4522" priority="9506" operator="equal">
      <formula>"×"</formula>
    </cfRule>
  </conditionalFormatting>
  <conditionalFormatting sqref="AI19">
    <cfRule type="cellIs" dxfId="4521" priority="9503" operator="equal">
      <formula>1</formula>
    </cfRule>
    <cfRule type="cellIs" dxfId="4520" priority="9504" operator="equal">
      <formula>"×"</formula>
    </cfRule>
  </conditionalFormatting>
  <conditionalFormatting sqref="AF18">
    <cfRule type="cellIs" dxfId="4519" priority="9501" operator="equal">
      <formula>1</formula>
    </cfRule>
    <cfRule type="cellIs" dxfId="4518" priority="9502" operator="equal">
      <formula>"×"</formula>
    </cfRule>
  </conditionalFormatting>
  <conditionalFormatting sqref="AF18">
    <cfRule type="cellIs" dxfId="4517" priority="9499" operator="equal">
      <formula>1</formula>
    </cfRule>
    <cfRule type="cellIs" dxfId="4516" priority="9500" operator="equal">
      <formula>"×"</formula>
    </cfRule>
  </conditionalFormatting>
  <conditionalFormatting sqref="AI19">
    <cfRule type="cellIs" dxfId="4515" priority="9489" operator="equal">
      <formula>1</formula>
    </cfRule>
    <cfRule type="cellIs" dxfId="4514" priority="9490" operator="equal">
      <formula>"×"</formula>
    </cfRule>
  </conditionalFormatting>
  <conditionalFormatting sqref="AI19">
    <cfRule type="cellIs" dxfId="4513" priority="9487" operator="equal">
      <formula>1</formula>
    </cfRule>
    <cfRule type="cellIs" dxfId="4512" priority="9488" operator="equal">
      <formula>"×"</formula>
    </cfRule>
  </conditionalFormatting>
  <conditionalFormatting sqref="AF18">
    <cfRule type="cellIs" dxfId="4511" priority="9471" operator="equal">
      <formula>1</formula>
    </cfRule>
    <cfRule type="cellIs" dxfId="4510" priority="9472" operator="equal">
      <formula>"×"</formula>
    </cfRule>
  </conditionalFormatting>
  <conditionalFormatting sqref="AF18">
    <cfRule type="cellIs" dxfId="4509" priority="9467" operator="equal">
      <formula>1</formula>
    </cfRule>
    <cfRule type="cellIs" dxfId="4508" priority="9468" operator="equal">
      <formula>"×"</formula>
    </cfRule>
  </conditionalFormatting>
  <conditionalFormatting sqref="AF18">
    <cfRule type="cellIs" dxfId="4507" priority="9469" operator="equal">
      <formula>1</formula>
    </cfRule>
    <cfRule type="cellIs" dxfId="4506" priority="9470" operator="equal">
      <formula>"×"</formula>
    </cfRule>
  </conditionalFormatting>
  <conditionalFormatting sqref="AF18">
    <cfRule type="cellIs" dxfId="4505" priority="9465" operator="equal">
      <formula>1</formula>
    </cfRule>
    <cfRule type="cellIs" dxfId="4504" priority="9466" operator="equal">
      <formula>"×"</formula>
    </cfRule>
  </conditionalFormatting>
  <conditionalFormatting sqref="AF18">
    <cfRule type="cellIs" dxfId="4503" priority="9463" operator="equal">
      <formula>1</formula>
    </cfRule>
    <cfRule type="cellIs" dxfId="4502" priority="9464" operator="equal">
      <formula>"×"</formula>
    </cfRule>
  </conditionalFormatting>
  <conditionalFormatting sqref="AF18">
    <cfRule type="cellIs" dxfId="4501" priority="9461" operator="equal">
      <formula>1</formula>
    </cfRule>
    <cfRule type="cellIs" dxfId="4500" priority="9462" operator="equal">
      <formula>"×"</formula>
    </cfRule>
  </conditionalFormatting>
  <conditionalFormatting sqref="AF18">
    <cfRule type="cellIs" dxfId="4499" priority="9459" operator="equal">
      <formula>1</formula>
    </cfRule>
    <cfRule type="cellIs" dxfId="4498" priority="9460" operator="equal">
      <formula>"×"</formula>
    </cfRule>
  </conditionalFormatting>
  <conditionalFormatting sqref="AI17">
    <cfRule type="cellIs" dxfId="4497" priority="9415" operator="equal">
      <formula>1</formula>
    </cfRule>
    <cfRule type="cellIs" dxfId="4496" priority="9416" operator="equal">
      <formula>"×"</formula>
    </cfRule>
  </conditionalFormatting>
  <conditionalFormatting sqref="AH17:AI17">
    <cfRule type="cellIs" dxfId="4495" priority="9417" operator="equal">
      <formula>1</formula>
    </cfRule>
    <cfRule type="cellIs" dxfId="4494" priority="9418" operator="equal">
      <formula>"×"</formula>
    </cfRule>
  </conditionalFormatting>
  <conditionalFormatting sqref="AH17:AI17">
    <cfRule type="cellIs" dxfId="4493" priority="9413" operator="equal">
      <formula>1</formula>
    </cfRule>
    <cfRule type="cellIs" dxfId="4492" priority="9414" operator="equal">
      <formula>"×"</formula>
    </cfRule>
  </conditionalFormatting>
  <conditionalFormatting sqref="AH17:AI17">
    <cfRule type="cellIs" dxfId="4491" priority="9411" operator="equal">
      <formula>1</formula>
    </cfRule>
    <cfRule type="cellIs" dxfId="4490" priority="9412" operator="equal">
      <formula>"×"</formula>
    </cfRule>
  </conditionalFormatting>
  <conditionalFormatting sqref="AI17">
    <cfRule type="cellIs" dxfId="4489" priority="9409" operator="equal">
      <formula>1</formula>
    </cfRule>
    <cfRule type="cellIs" dxfId="4488" priority="9410" operator="equal">
      <formula>"×"</formula>
    </cfRule>
  </conditionalFormatting>
  <conditionalFormatting sqref="AH17:AI17">
    <cfRule type="cellIs" dxfId="4487" priority="9407" operator="equal">
      <formula>1</formula>
    </cfRule>
    <cfRule type="cellIs" dxfId="4486" priority="9408" operator="equal">
      <formula>"×"</formula>
    </cfRule>
  </conditionalFormatting>
  <conditionalFormatting sqref="AE14:AG14">
    <cfRule type="cellIs" dxfId="4485" priority="9381" operator="equal">
      <formula>1</formula>
    </cfRule>
    <cfRule type="cellIs" dxfId="4484" priority="9382" operator="equal">
      <formula>"×"</formula>
    </cfRule>
  </conditionalFormatting>
  <conditionalFormatting sqref="AE14:AG14">
    <cfRule type="cellIs" dxfId="4483" priority="9379" operator="equal">
      <formula>1</formula>
    </cfRule>
    <cfRule type="cellIs" dxfId="4482" priority="9380" operator="equal">
      <formula>"×"</formula>
    </cfRule>
  </conditionalFormatting>
  <conditionalFormatting sqref="AE14:AG14">
    <cfRule type="cellIs" dxfId="4481" priority="9375" operator="equal">
      <formula>1</formula>
    </cfRule>
    <cfRule type="cellIs" dxfId="4480" priority="9376" operator="equal">
      <formula>"×"</formula>
    </cfRule>
  </conditionalFormatting>
  <conditionalFormatting sqref="AE14:AG14">
    <cfRule type="cellIs" dxfId="4479" priority="9377" operator="equal">
      <formula>1</formula>
    </cfRule>
    <cfRule type="cellIs" dxfId="4478" priority="9378" operator="equal">
      <formula>"×"</formula>
    </cfRule>
  </conditionalFormatting>
  <conditionalFormatting sqref="AE14:AG14">
    <cfRule type="cellIs" dxfId="4477" priority="9405" operator="equal">
      <formula>1</formula>
    </cfRule>
    <cfRule type="cellIs" dxfId="4476" priority="9406" operator="equal">
      <formula>"×"</formula>
    </cfRule>
  </conditionalFormatting>
  <conditionalFormatting sqref="AE14:AG14">
    <cfRule type="cellIs" dxfId="4475" priority="9403" operator="equal">
      <formula>1</formula>
    </cfRule>
    <cfRule type="cellIs" dxfId="4474" priority="9404" operator="equal">
      <formula>"×"</formula>
    </cfRule>
  </conditionalFormatting>
  <conditionalFormatting sqref="AE14:AG14">
    <cfRule type="cellIs" dxfId="4473" priority="9401" operator="equal">
      <formula>1</formula>
    </cfRule>
    <cfRule type="cellIs" dxfId="4472" priority="9402" operator="equal">
      <formula>"×"</formula>
    </cfRule>
  </conditionalFormatting>
  <conditionalFormatting sqref="AE14:AG14">
    <cfRule type="cellIs" dxfId="4471" priority="9399" operator="equal">
      <formula>1</formula>
    </cfRule>
    <cfRule type="cellIs" dxfId="4470" priority="9400" operator="equal">
      <formula>"×"</formula>
    </cfRule>
  </conditionalFormatting>
  <conditionalFormatting sqref="AE14:AG14">
    <cfRule type="cellIs" dxfId="4469" priority="9397" operator="equal">
      <formula>1</formula>
    </cfRule>
    <cfRule type="cellIs" dxfId="4468" priority="9398" operator="equal">
      <formula>"×"</formula>
    </cfRule>
  </conditionalFormatting>
  <conditionalFormatting sqref="AE14:AG14">
    <cfRule type="cellIs" dxfId="4467" priority="9395" operator="equal">
      <formula>1</formula>
    </cfRule>
    <cfRule type="cellIs" dxfId="4466" priority="9396" operator="equal">
      <formula>"×"</formula>
    </cfRule>
  </conditionalFormatting>
  <conditionalFormatting sqref="AE14:AG14">
    <cfRule type="cellIs" dxfId="4465" priority="9393" operator="equal">
      <formula>1</formula>
    </cfRule>
    <cfRule type="cellIs" dxfId="4464" priority="9394" operator="equal">
      <formula>"×"</formula>
    </cfRule>
  </conditionalFormatting>
  <conditionalFormatting sqref="AE14:AG14">
    <cfRule type="cellIs" dxfId="4463" priority="9391" operator="equal">
      <formula>1</formula>
    </cfRule>
    <cfRule type="cellIs" dxfId="4462" priority="9392" operator="equal">
      <formula>"×"</formula>
    </cfRule>
  </conditionalFormatting>
  <conditionalFormatting sqref="AE14:AG14">
    <cfRule type="cellIs" dxfId="4461" priority="9389" operator="equal">
      <formula>1</formula>
    </cfRule>
    <cfRule type="cellIs" dxfId="4460" priority="9390" operator="equal">
      <formula>"×"</formula>
    </cfRule>
  </conditionalFormatting>
  <conditionalFormatting sqref="AE14:AG14">
    <cfRule type="cellIs" dxfId="4459" priority="9387" operator="equal">
      <formula>1</formula>
    </cfRule>
    <cfRule type="cellIs" dxfId="4458" priority="9388" operator="equal">
      <formula>"×"</formula>
    </cfRule>
  </conditionalFormatting>
  <conditionalFormatting sqref="AE14:AG14">
    <cfRule type="cellIs" dxfId="4457" priority="9385" operator="equal">
      <formula>1</formula>
    </cfRule>
    <cfRule type="cellIs" dxfId="4456" priority="9386" operator="equal">
      <formula>"×"</formula>
    </cfRule>
  </conditionalFormatting>
  <conditionalFormatting sqref="AE14:AG14">
    <cfRule type="cellIs" dxfId="4455" priority="9383" operator="equal">
      <formula>1</formula>
    </cfRule>
    <cfRule type="cellIs" dxfId="4454" priority="9384" operator="equal">
      <formula>"×"</formula>
    </cfRule>
  </conditionalFormatting>
  <conditionalFormatting sqref="AH14:AI14">
    <cfRule type="cellIs" dxfId="4453" priority="9349" operator="equal">
      <formula>1</formula>
    </cfRule>
    <cfRule type="cellIs" dxfId="4452" priority="9350" operator="equal">
      <formula>"×"</formula>
    </cfRule>
  </conditionalFormatting>
  <conditionalFormatting sqref="AH14:AI14">
    <cfRule type="cellIs" dxfId="4451" priority="9347" operator="equal">
      <formula>1</formula>
    </cfRule>
    <cfRule type="cellIs" dxfId="4450" priority="9348" operator="equal">
      <formula>"×"</formula>
    </cfRule>
  </conditionalFormatting>
  <conditionalFormatting sqref="AH14:AI14">
    <cfRule type="cellIs" dxfId="4449" priority="9343" operator="equal">
      <formula>1</formula>
    </cfRule>
    <cfRule type="cellIs" dxfId="4448" priority="9344" operator="equal">
      <formula>"×"</formula>
    </cfRule>
  </conditionalFormatting>
  <conditionalFormatting sqref="AH14:AI14">
    <cfRule type="cellIs" dxfId="4447" priority="9345" operator="equal">
      <formula>1</formula>
    </cfRule>
    <cfRule type="cellIs" dxfId="4446" priority="9346" operator="equal">
      <formula>"×"</formula>
    </cfRule>
  </conditionalFormatting>
  <conditionalFormatting sqref="AH14:AI14">
    <cfRule type="cellIs" dxfId="4445" priority="9373" operator="equal">
      <formula>1</formula>
    </cfRule>
    <cfRule type="cellIs" dxfId="4444" priority="9374" operator="equal">
      <formula>"×"</formula>
    </cfRule>
  </conditionalFormatting>
  <conditionalFormatting sqref="AH14:AI14">
    <cfRule type="cellIs" dxfId="4443" priority="9371" operator="equal">
      <formula>1</formula>
    </cfRule>
    <cfRule type="cellIs" dxfId="4442" priority="9372" operator="equal">
      <formula>"×"</formula>
    </cfRule>
  </conditionalFormatting>
  <conditionalFormatting sqref="AH14:AI14">
    <cfRule type="cellIs" dxfId="4441" priority="9369" operator="equal">
      <formula>1</formula>
    </cfRule>
    <cfRule type="cellIs" dxfId="4440" priority="9370" operator="equal">
      <formula>"×"</formula>
    </cfRule>
  </conditionalFormatting>
  <conditionalFormatting sqref="AH14:AI14">
    <cfRule type="cellIs" dxfId="4439" priority="9367" operator="equal">
      <formula>1</formula>
    </cfRule>
    <cfRule type="cellIs" dxfId="4438" priority="9368" operator="equal">
      <formula>"×"</formula>
    </cfRule>
  </conditionalFormatting>
  <conditionalFormatting sqref="AH14:AI14">
    <cfRule type="cellIs" dxfId="4437" priority="9365" operator="equal">
      <formula>1</formula>
    </cfRule>
    <cfRule type="cellIs" dxfId="4436" priority="9366" operator="equal">
      <formula>"×"</formula>
    </cfRule>
  </conditionalFormatting>
  <conditionalFormatting sqref="AH14:AI14">
    <cfRule type="cellIs" dxfId="4435" priority="9363" operator="equal">
      <formula>1</formula>
    </cfRule>
    <cfRule type="cellIs" dxfId="4434" priority="9364" operator="equal">
      <formula>"×"</formula>
    </cfRule>
  </conditionalFormatting>
  <conditionalFormatting sqref="AH14:AI14">
    <cfRule type="cellIs" dxfId="4433" priority="9361" operator="equal">
      <formula>1</formula>
    </cfRule>
    <cfRule type="cellIs" dxfId="4432" priority="9362" operator="equal">
      <formula>"×"</formula>
    </cfRule>
  </conditionalFormatting>
  <conditionalFormatting sqref="AH14:AI14">
    <cfRule type="cellIs" dxfId="4431" priority="9359" operator="equal">
      <formula>1</formula>
    </cfRule>
    <cfRule type="cellIs" dxfId="4430" priority="9360" operator="equal">
      <formula>"×"</formula>
    </cfRule>
  </conditionalFormatting>
  <conditionalFormatting sqref="AH14:AI14">
    <cfRule type="cellIs" dxfId="4429" priority="9357" operator="equal">
      <formula>1</formula>
    </cfRule>
    <cfRule type="cellIs" dxfId="4428" priority="9358" operator="equal">
      <formula>"×"</formula>
    </cfRule>
  </conditionalFormatting>
  <conditionalFormatting sqref="AH14:AI14">
    <cfRule type="cellIs" dxfId="4427" priority="9355" operator="equal">
      <formula>1</formula>
    </cfRule>
    <cfRule type="cellIs" dxfId="4426" priority="9356" operator="equal">
      <formula>"×"</formula>
    </cfRule>
  </conditionalFormatting>
  <conditionalFormatting sqref="AH14:AI14">
    <cfRule type="cellIs" dxfId="4425" priority="9353" operator="equal">
      <formula>1</formula>
    </cfRule>
    <cfRule type="cellIs" dxfId="4424" priority="9354" operator="equal">
      <formula>"×"</formula>
    </cfRule>
  </conditionalFormatting>
  <conditionalFormatting sqref="AH14:AI14">
    <cfRule type="cellIs" dxfId="4423" priority="9351" operator="equal">
      <formula>1</formula>
    </cfRule>
    <cfRule type="cellIs" dxfId="4422" priority="9352" operator="equal">
      <formula>"×"</formula>
    </cfRule>
  </conditionalFormatting>
  <conditionalFormatting sqref="AH15">
    <cfRule type="cellIs" dxfId="4421" priority="9341" operator="equal">
      <formula>1</formula>
    </cfRule>
    <cfRule type="cellIs" dxfId="4420" priority="9342" operator="equal">
      <formula>"×"</formula>
    </cfRule>
  </conditionalFormatting>
  <conditionalFormatting sqref="AH15">
    <cfRule type="cellIs" dxfId="4419" priority="9339" operator="equal">
      <formula>1</formula>
    </cfRule>
    <cfRule type="cellIs" dxfId="4418" priority="9340" operator="equal">
      <formula>"×"</formula>
    </cfRule>
  </conditionalFormatting>
  <conditionalFormatting sqref="AH15">
    <cfRule type="cellIs" dxfId="4417" priority="9313" operator="equal">
      <formula>1</formula>
    </cfRule>
    <cfRule type="cellIs" dxfId="4416" priority="9314" operator="equal">
      <formula>"×"</formula>
    </cfRule>
  </conditionalFormatting>
  <conditionalFormatting sqref="AH15">
    <cfRule type="cellIs" dxfId="4415" priority="9311" operator="equal">
      <formula>1</formula>
    </cfRule>
    <cfRule type="cellIs" dxfId="4414" priority="9312" operator="equal">
      <formula>"×"</formula>
    </cfRule>
  </conditionalFormatting>
  <conditionalFormatting sqref="AH15">
    <cfRule type="cellIs" dxfId="4413" priority="9307" operator="equal">
      <formula>1</formula>
    </cfRule>
    <cfRule type="cellIs" dxfId="4412" priority="9308" operator="equal">
      <formula>"×"</formula>
    </cfRule>
  </conditionalFormatting>
  <conditionalFormatting sqref="AH15">
    <cfRule type="cellIs" dxfId="4411" priority="9309" operator="equal">
      <formula>1</formula>
    </cfRule>
    <cfRule type="cellIs" dxfId="4410" priority="9310" operator="equal">
      <formula>"×"</formula>
    </cfRule>
  </conditionalFormatting>
  <conditionalFormatting sqref="AH15">
    <cfRule type="cellIs" dxfId="4409" priority="9337" operator="equal">
      <formula>1</formula>
    </cfRule>
    <cfRule type="cellIs" dxfId="4408" priority="9338" operator="equal">
      <formula>"×"</formula>
    </cfRule>
  </conditionalFormatting>
  <conditionalFormatting sqref="AH15">
    <cfRule type="cellIs" dxfId="4407" priority="9335" operator="equal">
      <formula>1</formula>
    </cfRule>
    <cfRule type="cellIs" dxfId="4406" priority="9336" operator="equal">
      <formula>"×"</formula>
    </cfRule>
  </conditionalFormatting>
  <conditionalFormatting sqref="AH15">
    <cfRule type="cellIs" dxfId="4405" priority="9333" operator="equal">
      <formula>1</formula>
    </cfRule>
    <cfRule type="cellIs" dxfId="4404" priority="9334" operator="equal">
      <formula>"×"</formula>
    </cfRule>
  </conditionalFormatting>
  <conditionalFormatting sqref="AH15">
    <cfRule type="cellIs" dxfId="4403" priority="9331" operator="equal">
      <formula>1</formula>
    </cfRule>
    <cfRule type="cellIs" dxfId="4402" priority="9332" operator="equal">
      <formula>"×"</formula>
    </cfRule>
  </conditionalFormatting>
  <conditionalFormatting sqref="AH15">
    <cfRule type="cellIs" dxfId="4401" priority="9329" operator="equal">
      <formula>1</formula>
    </cfRule>
    <cfRule type="cellIs" dxfId="4400" priority="9330" operator="equal">
      <formula>"×"</formula>
    </cfRule>
  </conditionalFormatting>
  <conditionalFormatting sqref="AH15">
    <cfRule type="cellIs" dxfId="4399" priority="9327" operator="equal">
      <formula>1</formula>
    </cfRule>
    <cfRule type="cellIs" dxfId="4398" priority="9328" operator="equal">
      <formula>"×"</formula>
    </cfRule>
  </conditionalFormatting>
  <conditionalFormatting sqref="AH15">
    <cfRule type="cellIs" dxfId="4397" priority="9325" operator="equal">
      <formula>1</formula>
    </cfRule>
    <cfRule type="cellIs" dxfId="4396" priority="9326" operator="equal">
      <formula>"×"</formula>
    </cfRule>
  </conditionalFormatting>
  <conditionalFormatting sqref="AH15">
    <cfRule type="cellIs" dxfId="4395" priority="9323" operator="equal">
      <formula>1</formula>
    </cfRule>
    <cfRule type="cellIs" dxfId="4394" priority="9324" operator="equal">
      <formula>"×"</formula>
    </cfRule>
  </conditionalFormatting>
  <conditionalFormatting sqref="AH15">
    <cfRule type="cellIs" dxfId="4393" priority="9321" operator="equal">
      <formula>1</formula>
    </cfRule>
    <cfRule type="cellIs" dxfId="4392" priority="9322" operator="equal">
      <formula>"×"</formula>
    </cfRule>
  </conditionalFormatting>
  <conditionalFormatting sqref="AH15">
    <cfRule type="cellIs" dxfId="4391" priority="9319" operator="equal">
      <formula>1</formula>
    </cfRule>
    <cfRule type="cellIs" dxfId="4390" priority="9320" operator="equal">
      <formula>"×"</formula>
    </cfRule>
  </conditionalFormatting>
  <conditionalFormatting sqref="AH15">
    <cfRule type="cellIs" dxfId="4389" priority="9317" operator="equal">
      <formula>1</formula>
    </cfRule>
    <cfRule type="cellIs" dxfId="4388" priority="9318" operator="equal">
      <formula>"×"</formula>
    </cfRule>
  </conditionalFormatting>
  <conditionalFormatting sqref="AH15">
    <cfRule type="cellIs" dxfId="4387" priority="9315" operator="equal">
      <formula>1</formula>
    </cfRule>
    <cfRule type="cellIs" dxfId="4386" priority="9316" operator="equal">
      <formula>"×"</formula>
    </cfRule>
  </conditionalFormatting>
  <conditionalFormatting sqref="Z20">
    <cfRule type="cellIs" dxfId="4385" priority="9223" operator="equal">
      <formula>1</formula>
    </cfRule>
    <cfRule type="cellIs" dxfId="4384" priority="9224" operator="equal">
      <formula>"×"</formula>
    </cfRule>
  </conditionalFormatting>
  <conditionalFormatting sqref="AF12">
    <cfRule type="cellIs" dxfId="4383" priority="5361" operator="equal">
      <formula>1</formula>
    </cfRule>
    <cfRule type="cellIs" dxfId="4382" priority="5362" operator="equal">
      <formula>"×"</formula>
    </cfRule>
  </conditionalFormatting>
  <conditionalFormatting sqref="AF12">
    <cfRule type="cellIs" dxfId="4381" priority="5359" operator="equal">
      <formula>1</formula>
    </cfRule>
    <cfRule type="cellIs" dxfId="4380" priority="5360" operator="equal">
      <formula>"×"</formula>
    </cfRule>
  </conditionalFormatting>
  <conditionalFormatting sqref="AE14 AF12:AI12">
    <cfRule type="cellIs" dxfId="4379" priority="5355" operator="equal">
      <formula>1</formula>
    </cfRule>
    <cfRule type="cellIs" dxfId="4378" priority="5356" operator="equal">
      <formula>"×"</formula>
    </cfRule>
  </conditionalFormatting>
  <conditionalFormatting sqref="AE14">
    <cfRule type="cellIs" dxfId="4377" priority="5357" operator="equal">
      <formula>1</formula>
    </cfRule>
    <cfRule type="cellIs" dxfId="4376" priority="5358" operator="equal">
      <formula>"×"</formula>
    </cfRule>
  </conditionalFormatting>
  <conditionalFormatting sqref="AF12">
    <cfRule type="cellIs" dxfId="4375" priority="5371" operator="equal">
      <formula>1</formula>
    </cfRule>
    <cfRule type="cellIs" dxfId="4374" priority="5372" operator="equal">
      <formula>"×"</formula>
    </cfRule>
  </conditionalFormatting>
  <conditionalFormatting sqref="AF12">
    <cfRule type="cellIs" dxfId="4373" priority="5369" operator="equal">
      <formula>1</formula>
    </cfRule>
    <cfRule type="cellIs" dxfId="4372" priority="5370" operator="equal">
      <formula>"×"</formula>
    </cfRule>
  </conditionalFormatting>
  <conditionalFormatting sqref="AF12">
    <cfRule type="cellIs" dxfId="4371" priority="5367" operator="equal">
      <formula>1</formula>
    </cfRule>
    <cfRule type="cellIs" dxfId="4370" priority="5368" operator="equal">
      <formula>"×"</formula>
    </cfRule>
  </conditionalFormatting>
  <conditionalFormatting sqref="AF12">
    <cfRule type="cellIs" dxfId="4369" priority="5365" operator="equal">
      <formula>1</formula>
    </cfRule>
    <cfRule type="cellIs" dxfId="4368" priority="5366" operator="equal">
      <formula>"×"</formula>
    </cfRule>
  </conditionalFormatting>
  <conditionalFormatting sqref="AI13">
    <cfRule type="cellIs" dxfId="4367" priority="5363" operator="equal">
      <formula>1</formula>
    </cfRule>
    <cfRule type="cellIs" dxfId="4366" priority="5364" operator="equal">
      <formula>"×"</formula>
    </cfRule>
  </conditionalFormatting>
  <conditionalFormatting sqref="Z26">
    <cfRule type="cellIs" dxfId="4365" priority="8681" operator="equal">
      <formula>1</formula>
    </cfRule>
    <cfRule type="cellIs" dxfId="4364" priority="8682" operator="equal">
      <formula>"×"</formula>
    </cfRule>
  </conditionalFormatting>
  <conditionalFormatting sqref="AF8">
    <cfRule type="cellIs" dxfId="4363" priority="8497" operator="equal">
      <formula>1</formula>
    </cfRule>
    <cfRule type="cellIs" dxfId="4362" priority="8498" operator="equal">
      <formula>"×"</formula>
    </cfRule>
  </conditionalFormatting>
  <conditionalFormatting sqref="AF8">
    <cfRule type="cellIs" dxfId="4361" priority="8495" operator="equal">
      <formula>1</formula>
    </cfRule>
    <cfRule type="cellIs" dxfId="4360" priority="8496" operator="equal">
      <formula>"×"</formula>
    </cfRule>
  </conditionalFormatting>
  <conditionalFormatting sqref="AC16">
    <cfRule type="cellIs" dxfId="4359" priority="8461" operator="equal">
      <formula>1</formula>
    </cfRule>
    <cfRule type="cellIs" dxfId="4358" priority="8462" operator="equal">
      <formula>"×"</formula>
    </cfRule>
  </conditionalFormatting>
  <conditionalFormatting sqref="AD16">
    <cfRule type="cellIs" dxfId="4357" priority="8459" operator="equal">
      <formula>1</formula>
    </cfRule>
    <cfRule type="cellIs" dxfId="4356" priority="8460" operator="equal">
      <formula>"×"</formula>
    </cfRule>
  </conditionalFormatting>
  <conditionalFormatting sqref="AD16">
    <cfRule type="cellIs" dxfId="4355" priority="8457" operator="equal">
      <formula>1</formula>
    </cfRule>
    <cfRule type="cellIs" dxfId="4354" priority="8458" operator="equal">
      <formula>"×"</formula>
    </cfRule>
  </conditionalFormatting>
  <conditionalFormatting sqref="AD16">
    <cfRule type="cellIs" dxfId="4353" priority="8453" operator="equal">
      <formula>1</formula>
    </cfRule>
    <cfRule type="cellIs" dxfId="4352" priority="8454" operator="equal">
      <formula>"×"</formula>
    </cfRule>
  </conditionalFormatting>
  <conditionalFormatting sqref="AD16">
    <cfRule type="cellIs" dxfId="4351" priority="8455" operator="equal">
      <formula>1</formula>
    </cfRule>
    <cfRule type="cellIs" dxfId="4350" priority="8456" operator="equal">
      <formula>"×"</formula>
    </cfRule>
  </conditionalFormatting>
  <conditionalFormatting sqref="AE10">
    <cfRule type="cellIs" dxfId="4349" priority="8493" operator="equal">
      <formula>1</formula>
    </cfRule>
    <cfRule type="cellIs" dxfId="4348" priority="8494" operator="equal">
      <formula>"×"</formula>
    </cfRule>
  </conditionalFormatting>
  <conditionalFormatting sqref="AE10 AF8:AI8">
    <cfRule type="cellIs" dxfId="4347" priority="8491" operator="equal">
      <formula>1</formula>
    </cfRule>
    <cfRule type="cellIs" dxfId="4346" priority="8492" operator="equal">
      <formula>"×"</formula>
    </cfRule>
  </conditionalFormatting>
  <conditionalFormatting sqref="AI8">
    <cfRule type="cellIs" dxfId="4345" priority="8489" operator="equal">
      <formula>1</formula>
    </cfRule>
    <cfRule type="cellIs" dxfId="4344" priority="8490" operator="equal">
      <formula>"×"</formula>
    </cfRule>
  </conditionalFormatting>
  <conditionalFormatting sqref="AE10 AF8:AI8">
    <cfRule type="cellIs" dxfId="4343" priority="8487" operator="equal">
      <formula>1</formula>
    </cfRule>
    <cfRule type="cellIs" dxfId="4342" priority="8488" operator="equal">
      <formula>"×"</formula>
    </cfRule>
  </conditionalFormatting>
  <conditionalFormatting sqref="AE10">
    <cfRule type="cellIs" dxfId="4341" priority="8485" operator="equal">
      <formula>1</formula>
    </cfRule>
    <cfRule type="cellIs" dxfId="4340" priority="8486" operator="equal">
      <formula>"×"</formula>
    </cfRule>
  </conditionalFormatting>
  <conditionalFormatting sqref="AE10 AF8:AI8">
    <cfRule type="cellIs" dxfId="4339" priority="8483" operator="equal">
      <formula>1</formula>
    </cfRule>
    <cfRule type="cellIs" dxfId="4338" priority="8484" operator="equal">
      <formula>"×"</formula>
    </cfRule>
  </conditionalFormatting>
  <conditionalFormatting sqref="AI8">
    <cfRule type="cellIs" dxfId="4337" priority="8481" operator="equal">
      <formula>1</formula>
    </cfRule>
    <cfRule type="cellIs" dxfId="4336" priority="8482" operator="equal">
      <formula>"×"</formula>
    </cfRule>
  </conditionalFormatting>
  <conditionalFormatting sqref="AF8:AI8">
    <cfRule type="cellIs" dxfId="4335" priority="8479" operator="equal">
      <formula>1</formula>
    </cfRule>
    <cfRule type="cellIs" dxfId="4334" priority="8480" operator="equal">
      <formula>"×"</formula>
    </cfRule>
  </conditionalFormatting>
  <conditionalFormatting sqref="AE10 AF8:AI8">
    <cfRule type="cellIs" dxfId="4333" priority="8477" operator="equal">
      <formula>1</formula>
    </cfRule>
    <cfRule type="cellIs" dxfId="4332" priority="8478" operator="equal">
      <formula>"×"</formula>
    </cfRule>
  </conditionalFormatting>
  <conditionalFormatting sqref="AI8">
    <cfRule type="cellIs" dxfId="4331" priority="8475" operator="equal">
      <formula>1</formula>
    </cfRule>
    <cfRule type="cellIs" dxfId="4330" priority="8476" operator="equal">
      <formula>"×"</formula>
    </cfRule>
  </conditionalFormatting>
  <conditionalFormatting sqref="AF9">
    <cfRule type="cellIs" dxfId="4329" priority="8473" operator="equal">
      <formula>1</formula>
    </cfRule>
    <cfRule type="cellIs" dxfId="4328" priority="8474" operator="equal">
      <formula>"×"</formula>
    </cfRule>
  </conditionalFormatting>
  <conditionalFormatting sqref="AC16">
    <cfRule type="cellIs" dxfId="4327" priority="8471" operator="equal">
      <formula>1</formula>
    </cfRule>
    <cfRule type="cellIs" dxfId="4326" priority="8472" operator="equal">
      <formula>"×"</formula>
    </cfRule>
  </conditionalFormatting>
  <conditionalFormatting sqref="AD16">
    <cfRule type="cellIs" dxfId="4325" priority="8469" operator="equal">
      <formula>1</formula>
    </cfRule>
    <cfRule type="cellIs" dxfId="4324" priority="8470" operator="equal">
      <formula>"×"</formula>
    </cfRule>
  </conditionalFormatting>
  <conditionalFormatting sqref="AD16">
    <cfRule type="cellIs" dxfId="4323" priority="8467" operator="equal">
      <formula>1</formula>
    </cfRule>
    <cfRule type="cellIs" dxfId="4322" priority="8468" operator="equal">
      <formula>"×"</formula>
    </cfRule>
  </conditionalFormatting>
  <conditionalFormatting sqref="AD16">
    <cfRule type="cellIs" dxfId="4321" priority="8465" operator="equal">
      <formula>1</formula>
    </cfRule>
    <cfRule type="cellIs" dxfId="4320" priority="8466" operator="equal">
      <formula>"×"</formula>
    </cfRule>
  </conditionalFormatting>
  <conditionalFormatting sqref="AD16">
    <cfRule type="cellIs" dxfId="4319" priority="8463" operator="equal">
      <formula>1</formula>
    </cfRule>
    <cfRule type="cellIs" dxfId="4318" priority="8464" operator="equal">
      <formula>"×"</formula>
    </cfRule>
  </conditionalFormatting>
  <conditionalFormatting sqref="AC16">
    <cfRule type="cellIs" dxfId="4317" priority="8451" operator="equal">
      <formula>1</formula>
    </cfRule>
    <cfRule type="cellIs" dxfId="4316" priority="8452" operator="equal">
      <formula>"×"</formula>
    </cfRule>
  </conditionalFormatting>
  <conditionalFormatting sqref="AD16">
    <cfRule type="cellIs" dxfId="4315" priority="8449" operator="equal">
      <formula>1</formula>
    </cfRule>
    <cfRule type="cellIs" dxfId="4314" priority="8450" operator="equal">
      <formula>"×"</formula>
    </cfRule>
  </conditionalFormatting>
  <conditionalFormatting sqref="AD16">
    <cfRule type="cellIs" dxfId="4313" priority="8447" operator="equal">
      <formula>1</formula>
    </cfRule>
    <cfRule type="cellIs" dxfId="4312" priority="8448" operator="equal">
      <formula>"×"</formula>
    </cfRule>
  </conditionalFormatting>
  <conditionalFormatting sqref="AD16">
    <cfRule type="cellIs" dxfId="4311" priority="8443" operator="equal">
      <formula>1</formula>
    </cfRule>
    <cfRule type="cellIs" dxfId="4310" priority="8444" operator="equal">
      <formula>"×"</formula>
    </cfRule>
  </conditionalFormatting>
  <conditionalFormatting sqref="AD16">
    <cfRule type="cellIs" dxfId="4309" priority="8445" operator="equal">
      <formula>1</formula>
    </cfRule>
    <cfRule type="cellIs" dxfId="4308" priority="8446" operator="equal">
      <formula>"×"</formula>
    </cfRule>
  </conditionalFormatting>
  <conditionalFormatting sqref="AD16">
    <cfRule type="cellIs" dxfId="4307" priority="8441" operator="equal">
      <formula>1</formula>
    </cfRule>
    <cfRule type="cellIs" dxfId="4306" priority="8442" operator="equal">
      <formula>"×"</formula>
    </cfRule>
  </conditionalFormatting>
  <conditionalFormatting sqref="AD16">
    <cfRule type="cellIs" dxfId="4305" priority="8439" operator="equal">
      <formula>1</formula>
    </cfRule>
    <cfRule type="cellIs" dxfId="4304" priority="8440" operator="equal">
      <formula>"×"</formula>
    </cfRule>
  </conditionalFormatting>
  <conditionalFormatting sqref="AD16">
    <cfRule type="cellIs" dxfId="4303" priority="8437" operator="equal">
      <formula>1</formula>
    </cfRule>
    <cfRule type="cellIs" dxfId="4302" priority="8438" operator="equal">
      <formula>"×"</formula>
    </cfRule>
  </conditionalFormatting>
  <conditionalFormatting sqref="AC16:AD16">
    <cfRule type="cellIs" dxfId="4301" priority="8435" operator="equal">
      <formula>1</formula>
    </cfRule>
    <cfRule type="cellIs" dxfId="4300" priority="8436" operator="equal">
      <formula>"×"</formula>
    </cfRule>
  </conditionalFormatting>
  <conditionalFormatting sqref="AE10">
    <cfRule type="cellIs" dxfId="4299" priority="8419" operator="equal">
      <formula>1</formula>
    </cfRule>
    <cfRule type="cellIs" dxfId="4298" priority="8420" operator="equal">
      <formula>"×"</formula>
    </cfRule>
  </conditionalFormatting>
  <conditionalFormatting sqref="AE10 AF8:AI8">
    <cfRule type="cellIs" dxfId="4297" priority="8417" operator="equal">
      <formula>1</formula>
    </cfRule>
    <cfRule type="cellIs" dxfId="4296" priority="8418" operator="equal">
      <formula>"×"</formula>
    </cfRule>
  </conditionalFormatting>
  <conditionalFormatting sqref="AI8">
    <cfRule type="cellIs" dxfId="4295" priority="8415" operator="equal">
      <formula>1</formula>
    </cfRule>
    <cfRule type="cellIs" dxfId="4294" priority="8416" operator="equal">
      <formula>"×"</formula>
    </cfRule>
  </conditionalFormatting>
  <conditionalFormatting sqref="AE10 AF8:AI8">
    <cfRule type="cellIs" dxfId="4293" priority="8413" operator="equal">
      <formula>1</formula>
    </cfRule>
    <cfRule type="cellIs" dxfId="4292" priority="8414" operator="equal">
      <formula>"×"</formula>
    </cfRule>
  </conditionalFormatting>
  <conditionalFormatting sqref="AF8">
    <cfRule type="cellIs" dxfId="4291" priority="8433" operator="equal">
      <formula>1</formula>
    </cfRule>
    <cfRule type="cellIs" dxfId="4290" priority="8434" operator="equal">
      <formula>"×"</formula>
    </cfRule>
  </conditionalFormatting>
  <conditionalFormatting sqref="AF8">
    <cfRule type="cellIs" dxfId="4289" priority="8431" operator="equal">
      <formula>1</formula>
    </cfRule>
    <cfRule type="cellIs" dxfId="4288" priority="8432" operator="equal">
      <formula>"×"</formula>
    </cfRule>
  </conditionalFormatting>
  <conditionalFormatting sqref="AF8">
    <cfRule type="cellIs" dxfId="4287" priority="8429" operator="equal">
      <formula>1</formula>
    </cfRule>
    <cfRule type="cellIs" dxfId="4286" priority="8430" operator="equal">
      <formula>"×"</formula>
    </cfRule>
  </conditionalFormatting>
  <conditionalFormatting sqref="AF8">
    <cfRule type="cellIs" dxfId="4285" priority="8427" operator="equal">
      <formula>1</formula>
    </cfRule>
    <cfRule type="cellIs" dxfId="4284" priority="8428" operator="equal">
      <formula>"×"</formula>
    </cfRule>
  </conditionalFormatting>
  <conditionalFormatting sqref="AI9">
    <cfRule type="cellIs" dxfId="4283" priority="8425" operator="equal">
      <formula>1</formula>
    </cfRule>
    <cfRule type="cellIs" dxfId="4282" priority="8426" operator="equal">
      <formula>"×"</formula>
    </cfRule>
  </conditionalFormatting>
  <conditionalFormatting sqref="AF8">
    <cfRule type="cellIs" dxfId="4281" priority="8423" operator="equal">
      <formula>1</formula>
    </cfRule>
    <cfRule type="cellIs" dxfId="4280" priority="8424" operator="equal">
      <formula>"×"</formula>
    </cfRule>
  </conditionalFormatting>
  <conditionalFormatting sqref="AF8">
    <cfRule type="cellIs" dxfId="4279" priority="8421" operator="equal">
      <formula>1</formula>
    </cfRule>
    <cfRule type="cellIs" dxfId="4278" priority="8422" operator="equal">
      <formula>"×"</formula>
    </cfRule>
  </conditionalFormatting>
  <conditionalFormatting sqref="AI9">
    <cfRule type="cellIs" dxfId="4277" priority="8411" operator="equal">
      <formula>1</formula>
    </cfRule>
    <cfRule type="cellIs" dxfId="4276" priority="8412" operator="equal">
      <formula>"×"</formula>
    </cfRule>
  </conditionalFormatting>
  <conditionalFormatting sqref="AI9">
    <cfRule type="cellIs" dxfId="4275" priority="8409" operator="equal">
      <formula>1</formula>
    </cfRule>
    <cfRule type="cellIs" dxfId="4274" priority="8410" operator="equal">
      <formula>"×"</formula>
    </cfRule>
  </conditionalFormatting>
  <conditionalFormatting sqref="AE10">
    <cfRule type="cellIs" dxfId="4273" priority="8407" operator="equal">
      <formula>1</formula>
    </cfRule>
    <cfRule type="cellIs" dxfId="4272" priority="8408" operator="equal">
      <formula>"×"</formula>
    </cfRule>
  </conditionalFormatting>
  <conditionalFormatting sqref="AE10">
    <cfRule type="cellIs" dxfId="4271" priority="8405" operator="equal">
      <formula>1</formula>
    </cfRule>
    <cfRule type="cellIs" dxfId="4270" priority="8406" operator="equal">
      <formula>"×"</formula>
    </cfRule>
  </conditionalFormatting>
  <conditionalFormatting sqref="AE10">
    <cfRule type="cellIs" dxfId="4269" priority="8403" operator="equal">
      <formula>1</formula>
    </cfRule>
    <cfRule type="cellIs" dxfId="4268" priority="8404" operator="equal">
      <formula>"×"</formula>
    </cfRule>
  </conditionalFormatting>
  <conditionalFormatting sqref="AE10">
    <cfRule type="cellIs" dxfId="4267" priority="8401" operator="equal">
      <formula>1</formula>
    </cfRule>
    <cfRule type="cellIs" dxfId="4266" priority="8402" operator="equal">
      <formula>"×"</formula>
    </cfRule>
  </conditionalFormatting>
  <conditionalFormatting sqref="AE10">
    <cfRule type="cellIs" dxfId="4265" priority="8399" operator="equal">
      <formula>1</formula>
    </cfRule>
    <cfRule type="cellIs" dxfId="4264" priority="8400" operator="equal">
      <formula>"×"</formula>
    </cfRule>
  </conditionalFormatting>
  <conditionalFormatting sqref="AE10">
    <cfRule type="cellIs" dxfId="4263" priority="8397" operator="equal">
      <formula>1</formula>
    </cfRule>
    <cfRule type="cellIs" dxfId="4262" priority="8398" operator="equal">
      <formula>"×"</formula>
    </cfRule>
  </conditionalFormatting>
  <conditionalFormatting sqref="AE10">
    <cfRule type="cellIs" dxfId="4261" priority="8395" operator="equal">
      <formula>1</formula>
    </cfRule>
    <cfRule type="cellIs" dxfId="4260" priority="8396" operator="equal">
      <formula>"×"</formula>
    </cfRule>
  </conditionalFormatting>
  <conditionalFormatting sqref="AE10 AF8">
    <cfRule type="cellIs" dxfId="4259" priority="8393" operator="equal">
      <formula>1</formula>
    </cfRule>
    <cfRule type="cellIs" dxfId="4258" priority="8394" operator="equal">
      <formula>"×"</formula>
    </cfRule>
  </conditionalFormatting>
  <conditionalFormatting sqref="AE10 AF8">
    <cfRule type="cellIs" dxfId="4257" priority="8389" operator="equal">
      <formula>1</formula>
    </cfRule>
    <cfRule type="cellIs" dxfId="4256" priority="8390" operator="equal">
      <formula>"×"</formula>
    </cfRule>
  </conditionalFormatting>
  <conditionalFormatting sqref="AE10 AF8">
    <cfRule type="cellIs" dxfId="4255" priority="8391" operator="equal">
      <formula>1</formula>
    </cfRule>
    <cfRule type="cellIs" dxfId="4254" priority="8392" operator="equal">
      <formula>"×"</formula>
    </cfRule>
  </conditionalFormatting>
  <conditionalFormatting sqref="AE10 AF8">
    <cfRule type="cellIs" dxfId="4253" priority="8387" operator="equal">
      <formula>1</formula>
    </cfRule>
    <cfRule type="cellIs" dxfId="4252" priority="8388" operator="equal">
      <formula>"×"</formula>
    </cfRule>
  </conditionalFormatting>
  <conditionalFormatting sqref="AE10 AF8">
    <cfRule type="cellIs" dxfId="4251" priority="8385" operator="equal">
      <formula>1</formula>
    </cfRule>
    <cfRule type="cellIs" dxfId="4250" priority="8386" operator="equal">
      <formula>"×"</formula>
    </cfRule>
  </conditionalFormatting>
  <conditionalFormatting sqref="AE10 AF8">
    <cfRule type="cellIs" dxfId="4249" priority="8383" operator="equal">
      <formula>1</formula>
    </cfRule>
    <cfRule type="cellIs" dxfId="4248" priority="8384" operator="equal">
      <formula>"×"</formula>
    </cfRule>
  </conditionalFormatting>
  <conditionalFormatting sqref="AE10 AF8">
    <cfRule type="cellIs" dxfId="4247" priority="8381" operator="equal">
      <formula>1</formula>
    </cfRule>
    <cfRule type="cellIs" dxfId="4246" priority="8382" operator="equal">
      <formula>"×"</formula>
    </cfRule>
  </conditionalFormatting>
  <conditionalFormatting sqref="AC16">
    <cfRule type="cellIs" dxfId="4245" priority="8379" operator="equal">
      <formula>1</formula>
    </cfRule>
    <cfRule type="cellIs" dxfId="4244" priority="8380" operator="equal">
      <formula>"×"</formula>
    </cfRule>
  </conditionalFormatting>
  <conditionalFormatting sqref="AD16">
    <cfRule type="cellIs" dxfId="4243" priority="8377" operator="equal">
      <formula>1</formula>
    </cfRule>
    <cfRule type="cellIs" dxfId="4242" priority="8378" operator="equal">
      <formula>"×"</formula>
    </cfRule>
  </conditionalFormatting>
  <conditionalFormatting sqref="AD16">
    <cfRule type="cellIs" dxfId="4241" priority="8375" operator="equal">
      <formula>1</formula>
    </cfRule>
    <cfRule type="cellIs" dxfId="4240" priority="8376" operator="equal">
      <formula>"×"</formula>
    </cfRule>
  </conditionalFormatting>
  <conditionalFormatting sqref="AD16">
    <cfRule type="cellIs" dxfId="4239" priority="8373" operator="equal">
      <formula>1</formula>
    </cfRule>
    <cfRule type="cellIs" dxfId="4238" priority="8374" operator="equal">
      <formula>"×"</formula>
    </cfRule>
  </conditionalFormatting>
  <conditionalFormatting sqref="AD16">
    <cfRule type="cellIs" dxfId="4237" priority="8371" operator="equal">
      <formula>1</formula>
    </cfRule>
    <cfRule type="cellIs" dxfId="4236" priority="8372" operator="equal">
      <formula>"×"</formula>
    </cfRule>
  </conditionalFormatting>
  <conditionalFormatting sqref="AC16">
    <cfRule type="cellIs" dxfId="4235" priority="8369" operator="equal">
      <formula>1</formula>
    </cfRule>
    <cfRule type="cellIs" dxfId="4234" priority="8370" operator="equal">
      <formula>"×"</formula>
    </cfRule>
  </conditionalFormatting>
  <conditionalFormatting sqref="AD16">
    <cfRule type="cellIs" dxfId="4233" priority="8367" operator="equal">
      <formula>1</formula>
    </cfRule>
    <cfRule type="cellIs" dxfId="4232" priority="8368" operator="equal">
      <formula>"×"</formula>
    </cfRule>
  </conditionalFormatting>
  <conditionalFormatting sqref="AD16">
    <cfRule type="cellIs" dxfId="4231" priority="8365" operator="equal">
      <formula>1</formula>
    </cfRule>
    <cfRule type="cellIs" dxfId="4230" priority="8366" operator="equal">
      <formula>"×"</formula>
    </cfRule>
  </conditionalFormatting>
  <conditionalFormatting sqref="AD16">
    <cfRule type="cellIs" dxfId="4229" priority="8363" operator="equal">
      <formula>1</formula>
    </cfRule>
    <cfRule type="cellIs" dxfId="4228" priority="8364" operator="equal">
      <formula>"×"</formula>
    </cfRule>
  </conditionalFormatting>
  <conditionalFormatting sqref="AD16">
    <cfRule type="cellIs" dxfId="4227" priority="8361" operator="equal">
      <formula>1</formula>
    </cfRule>
    <cfRule type="cellIs" dxfId="4226" priority="8362" operator="equal">
      <formula>"×"</formula>
    </cfRule>
  </conditionalFormatting>
  <conditionalFormatting sqref="AC16">
    <cfRule type="cellIs" dxfId="4225" priority="8359" operator="equal">
      <formula>1</formula>
    </cfRule>
    <cfRule type="cellIs" dxfId="4224" priority="8360" operator="equal">
      <formula>"×"</formula>
    </cfRule>
  </conditionalFormatting>
  <conditionalFormatting sqref="AD16">
    <cfRule type="cellIs" dxfId="4223" priority="8357" operator="equal">
      <formula>1</formula>
    </cfRule>
    <cfRule type="cellIs" dxfId="4222" priority="8358" operator="equal">
      <formula>"×"</formula>
    </cfRule>
  </conditionalFormatting>
  <conditionalFormatting sqref="AD16">
    <cfRule type="cellIs" dxfId="4221" priority="8355" operator="equal">
      <formula>1</formula>
    </cfRule>
    <cfRule type="cellIs" dxfId="4220" priority="8356" operator="equal">
      <formula>"×"</formula>
    </cfRule>
  </conditionalFormatting>
  <conditionalFormatting sqref="AD16">
    <cfRule type="cellIs" dxfId="4219" priority="8353" operator="equal">
      <formula>1</formula>
    </cfRule>
    <cfRule type="cellIs" dxfId="4218" priority="8354" operator="equal">
      <formula>"×"</formula>
    </cfRule>
  </conditionalFormatting>
  <conditionalFormatting sqref="AD16">
    <cfRule type="cellIs" dxfId="4217" priority="8351" operator="equal">
      <formula>1</formula>
    </cfRule>
    <cfRule type="cellIs" dxfId="4216" priority="8352" operator="equal">
      <formula>"×"</formula>
    </cfRule>
  </conditionalFormatting>
  <conditionalFormatting sqref="AC16">
    <cfRule type="cellIs" dxfId="4215" priority="8349" operator="equal">
      <formula>1</formula>
    </cfRule>
    <cfRule type="cellIs" dxfId="4214" priority="8350" operator="equal">
      <formula>"×"</formula>
    </cfRule>
  </conditionalFormatting>
  <conditionalFormatting sqref="AD16">
    <cfRule type="cellIs" dxfId="4213" priority="8347" operator="equal">
      <formula>1</formula>
    </cfRule>
    <cfRule type="cellIs" dxfId="4212" priority="8348" operator="equal">
      <formula>"×"</formula>
    </cfRule>
  </conditionalFormatting>
  <conditionalFormatting sqref="AD16">
    <cfRule type="cellIs" dxfId="4211" priority="8345" operator="equal">
      <formula>1</formula>
    </cfRule>
    <cfRule type="cellIs" dxfId="4210" priority="8346" operator="equal">
      <formula>"×"</formula>
    </cfRule>
  </conditionalFormatting>
  <conditionalFormatting sqref="AD16">
    <cfRule type="cellIs" dxfId="4209" priority="8341" operator="equal">
      <formula>1</formula>
    </cfRule>
    <cfRule type="cellIs" dxfId="4208" priority="8342" operator="equal">
      <formula>"×"</formula>
    </cfRule>
  </conditionalFormatting>
  <conditionalFormatting sqref="AD16">
    <cfRule type="cellIs" dxfId="4207" priority="8343" operator="equal">
      <formula>1</formula>
    </cfRule>
    <cfRule type="cellIs" dxfId="4206" priority="8344" operator="equal">
      <formula>"×"</formula>
    </cfRule>
  </conditionalFormatting>
  <conditionalFormatting sqref="AE10">
    <cfRule type="cellIs" dxfId="4205" priority="8327" operator="equal">
      <formula>1</formula>
    </cfRule>
    <cfRule type="cellIs" dxfId="4204" priority="8328" operator="equal">
      <formula>"×"</formula>
    </cfRule>
  </conditionalFormatting>
  <conditionalFormatting sqref="AE10">
    <cfRule type="cellIs" dxfId="4203" priority="8325" operator="equal">
      <formula>1</formula>
    </cfRule>
    <cfRule type="cellIs" dxfId="4202" priority="8326" operator="equal">
      <formula>"×"</formula>
    </cfRule>
  </conditionalFormatting>
  <conditionalFormatting sqref="AE10">
    <cfRule type="cellIs" dxfId="4201" priority="8339" operator="equal">
      <formula>1</formula>
    </cfRule>
    <cfRule type="cellIs" dxfId="4200" priority="8340" operator="equal">
      <formula>"×"</formula>
    </cfRule>
  </conditionalFormatting>
  <conditionalFormatting sqref="AE10">
    <cfRule type="cellIs" dxfId="4199" priority="8337" operator="equal">
      <formula>1</formula>
    </cfRule>
    <cfRule type="cellIs" dxfId="4198" priority="8338" operator="equal">
      <formula>"×"</formula>
    </cfRule>
  </conditionalFormatting>
  <conditionalFormatting sqref="AE10">
    <cfRule type="cellIs" dxfId="4197" priority="8335" operator="equal">
      <formula>1</formula>
    </cfRule>
    <cfRule type="cellIs" dxfId="4196" priority="8336" operator="equal">
      <formula>"×"</formula>
    </cfRule>
  </conditionalFormatting>
  <conditionalFormatting sqref="AE10">
    <cfRule type="cellIs" dxfId="4195" priority="8333" operator="equal">
      <formula>1</formula>
    </cfRule>
    <cfRule type="cellIs" dxfId="4194" priority="8334" operator="equal">
      <formula>"×"</formula>
    </cfRule>
  </conditionalFormatting>
  <conditionalFormatting sqref="AE10">
    <cfRule type="cellIs" dxfId="4193" priority="8323" operator="equal">
      <formula>1</formula>
    </cfRule>
    <cfRule type="cellIs" dxfId="4192" priority="8324" operator="equal">
      <formula>"×"</formula>
    </cfRule>
  </conditionalFormatting>
  <conditionalFormatting sqref="AE10">
    <cfRule type="cellIs" dxfId="4191" priority="8299" operator="equal">
      <formula>1</formula>
    </cfRule>
    <cfRule type="cellIs" dxfId="4190" priority="8300" operator="equal">
      <formula>"×"</formula>
    </cfRule>
  </conditionalFormatting>
  <conditionalFormatting sqref="AE10">
    <cfRule type="cellIs" dxfId="4189" priority="8303" operator="equal">
      <formula>1</formula>
    </cfRule>
    <cfRule type="cellIs" dxfId="4188" priority="8304" operator="equal">
      <formula>"×"</formula>
    </cfRule>
  </conditionalFormatting>
  <conditionalFormatting sqref="AE10">
    <cfRule type="cellIs" dxfId="4187" priority="8301" operator="equal">
      <formula>1</formula>
    </cfRule>
    <cfRule type="cellIs" dxfId="4186" priority="8302" operator="equal">
      <formula>"×"</formula>
    </cfRule>
  </conditionalFormatting>
  <conditionalFormatting sqref="AE10">
    <cfRule type="cellIs" dxfId="4185" priority="8297" operator="equal">
      <formula>1</formula>
    </cfRule>
    <cfRule type="cellIs" dxfId="4184" priority="8298" operator="equal">
      <formula>"×"</formula>
    </cfRule>
  </conditionalFormatting>
  <conditionalFormatting sqref="AE10">
    <cfRule type="cellIs" dxfId="4183" priority="8321" operator="equal">
      <formula>1</formula>
    </cfRule>
    <cfRule type="cellIs" dxfId="4182" priority="8322" operator="equal">
      <formula>"×"</formula>
    </cfRule>
  </conditionalFormatting>
  <conditionalFormatting sqref="AE10">
    <cfRule type="cellIs" dxfId="4181" priority="8319" operator="equal">
      <formula>1</formula>
    </cfRule>
    <cfRule type="cellIs" dxfId="4180" priority="8320" operator="equal">
      <formula>"×"</formula>
    </cfRule>
  </conditionalFormatting>
  <conditionalFormatting sqref="AE10">
    <cfRule type="cellIs" dxfId="4179" priority="8317" operator="equal">
      <formula>1</formula>
    </cfRule>
    <cfRule type="cellIs" dxfId="4178" priority="8318" operator="equal">
      <formula>"×"</formula>
    </cfRule>
  </conditionalFormatting>
  <conditionalFormatting sqref="AE10">
    <cfRule type="cellIs" dxfId="4177" priority="8315" operator="equal">
      <formula>1</formula>
    </cfRule>
    <cfRule type="cellIs" dxfId="4176" priority="8316" operator="equal">
      <formula>"×"</formula>
    </cfRule>
  </conditionalFormatting>
  <conditionalFormatting sqref="AE10">
    <cfRule type="cellIs" dxfId="4175" priority="8305" operator="equal">
      <formula>1</formula>
    </cfRule>
    <cfRule type="cellIs" dxfId="4174" priority="8306" operator="equal">
      <formula>"×"</formula>
    </cfRule>
  </conditionalFormatting>
  <conditionalFormatting sqref="AC10">
    <cfRule type="cellIs" dxfId="4173" priority="8295" operator="equal">
      <formula>1</formula>
    </cfRule>
    <cfRule type="cellIs" dxfId="4172" priority="8296" operator="equal">
      <formula>"×"</formula>
    </cfRule>
  </conditionalFormatting>
  <conditionalFormatting sqref="AD10">
    <cfRule type="cellIs" dxfId="4171" priority="8293" operator="equal">
      <formula>1</formula>
    </cfRule>
    <cfRule type="cellIs" dxfId="4170" priority="8294" operator="equal">
      <formula>"×"</formula>
    </cfRule>
  </conditionalFormatting>
  <conditionalFormatting sqref="AD10">
    <cfRule type="cellIs" dxfId="4169" priority="8291" operator="equal">
      <formula>1</formula>
    </cfRule>
    <cfRule type="cellIs" dxfId="4168" priority="8292" operator="equal">
      <formula>"×"</formula>
    </cfRule>
  </conditionalFormatting>
  <conditionalFormatting sqref="AD10">
    <cfRule type="cellIs" dxfId="4167" priority="8289" operator="equal">
      <formula>1</formula>
    </cfRule>
    <cfRule type="cellIs" dxfId="4166" priority="8290" operator="equal">
      <formula>"×"</formula>
    </cfRule>
  </conditionalFormatting>
  <conditionalFormatting sqref="AD10">
    <cfRule type="cellIs" dxfId="4165" priority="8287" operator="equal">
      <formula>1</formula>
    </cfRule>
    <cfRule type="cellIs" dxfId="4164" priority="8288" operator="equal">
      <formula>"×"</formula>
    </cfRule>
  </conditionalFormatting>
  <conditionalFormatting sqref="AD10">
    <cfRule type="cellIs" dxfId="4163" priority="8285" operator="equal">
      <formula>1</formula>
    </cfRule>
    <cfRule type="cellIs" dxfId="4162" priority="8286" operator="equal">
      <formula>"×"</formula>
    </cfRule>
  </conditionalFormatting>
  <conditionalFormatting sqref="AD10">
    <cfRule type="cellIs" dxfId="4161" priority="8283" operator="equal">
      <formula>1</formula>
    </cfRule>
    <cfRule type="cellIs" dxfId="4160" priority="8284" operator="equal">
      <formula>"×"</formula>
    </cfRule>
  </conditionalFormatting>
  <conditionalFormatting sqref="AD10">
    <cfRule type="cellIs" dxfId="4159" priority="8281" operator="equal">
      <formula>1</formula>
    </cfRule>
    <cfRule type="cellIs" dxfId="4158" priority="8282" operator="equal">
      <formula>"×"</formula>
    </cfRule>
  </conditionalFormatting>
  <conditionalFormatting sqref="AD10">
    <cfRule type="cellIs" dxfId="4157" priority="8279" operator="equal">
      <formula>1</formula>
    </cfRule>
    <cfRule type="cellIs" dxfId="4156" priority="8280" operator="equal">
      <formula>"×"</formula>
    </cfRule>
  </conditionalFormatting>
  <conditionalFormatting sqref="AD10">
    <cfRule type="cellIs" dxfId="4155" priority="8277" operator="equal">
      <formula>1</formula>
    </cfRule>
    <cfRule type="cellIs" dxfId="4154" priority="8278" operator="equal">
      <formula>"×"</formula>
    </cfRule>
  </conditionalFormatting>
  <conditionalFormatting sqref="AD10">
    <cfRule type="cellIs" dxfId="4153" priority="8275" operator="equal">
      <formula>1</formula>
    </cfRule>
    <cfRule type="cellIs" dxfId="4152" priority="8276" operator="equal">
      <formula>"×"</formula>
    </cfRule>
  </conditionalFormatting>
  <conditionalFormatting sqref="AC10:AD10">
    <cfRule type="cellIs" dxfId="4151" priority="8259" operator="equal">
      <formula>1</formula>
    </cfRule>
    <cfRule type="cellIs" dxfId="4150" priority="8260" operator="equal">
      <formula>"×"</formula>
    </cfRule>
  </conditionalFormatting>
  <conditionalFormatting sqref="AB10">
    <cfRule type="cellIs" dxfId="4149" priority="8257" operator="equal">
      <formula>1</formula>
    </cfRule>
    <cfRule type="cellIs" dxfId="4148" priority="8258" operator="equal">
      <formula>"×"</formula>
    </cfRule>
  </conditionalFormatting>
  <conditionalFormatting sqref="AF10">
    <cfRule type="cellIs" dxfId="4147" priority="8241" operator="equal">
      <formula>1</formula>
    </cfRule>
    <cfRule type="cellIs" dxfId="4146" priority="8242" operator="equal">
      <formula>"×"</formula>
    </cfRule>
  </conditionalFormatting>
  <conditionalFormatting sqref="AF10">
    <cfRule type="cellIs" dxfId="4145" priority="8239" operator="equal">
      <formula>1</formula>
    </cfRule>
    <cfRule type="cellIs" dxfId="4144" priority="8240" operator="equal">
      <formula>"×"</formula>
    </cfRule>
  </conditionalFormatting>
  <conditionalFormatting sqref="AI10">
    <cfRule type="cellIs" dxfId="4143" priority="8253" operator="equal">
      <formula>1</formula>
    </cfRule>
    <cfRule type="cellIs" dxfId="4142" priority="8254" operator="equal">
      <formula>"×"</formula>
    </cfRule>
  </conditionalFormatting>
  <conditionalFormatting sqref="AF10:AI10">
    <cfRule type="cellIs" dxfId="4141" priority="8255" operator="equal">
      <formula>1</formula>
    </cfRule>
    <cfRule type="cellIs" dxfId="4140" priority="8256" operator="equal">
      <formula>"×"</formula>
    </cfRule>
  </conditionalFormatting>
  <conditionalFormatting sqref="AF14">
    <cfRule type="cellIs" dxfId="4139" priority="8251" operator="equal">
      <formula>1</formula>
    </cfRule>
    <cfRule type="cellIs" dxfId="4138" priority="8252" operator="equal">
      <formula>"×"</formula>
    </cfRule>
  </conditionalFormatting>
  <conditionalFormatting sqref="AF14">
    <cfRule type="cellIs" dxfId="4137" priority="8249" operator="equal">
      <formula>1</formula>
    </cfRule>
    <cfRule type="cellIs" dxfId="4136" priority="8250" operator="equal">
      <formula>"×"</formula>
    </cfRule>
  </conditionalFormatting>
  <conditionalFormatting sqref="AF14:AI14">
    <cfRule type="cellIs" dxfId="4135" priority="8247" operator="equal">
      <formula>1</formula>
    </cfRule>
    <cfRule type="cellIs" dxfId="4134" priority="8248" operator="equal">
      <formula>"×"</formula>
    </cfRule>
  </conditionalFormatting>
  <conditionalFormatting sqref="AI14">
    <cfRule type="cellIs" dxfId="4133" priority="8245" operator="equal">
      <formula>1</formula>
    </cfRule>
    <cfRule type="cellIs" dxfId="4132" priority="8246" operator="equal">
      <formula>"×"</formula>
    </cfRule>
  </conditionalFormatting>
  <conditionalFormatting sqref="AF14:AI14">
    <cfRule type="cellIs" dxfId="4131" priority="8237" operator="equal">
      <formula>1</formula>
    </cfRule>
    <cfRule type="cellIs" dxfId="4130" priority="8238" operator="equal">
      <formula>"×"</formula>
    </cfRule>
  </conditionalFormatting>
  <conditionalFormatting sqref="AI14">
    <cfRule type="cellIs" dxfId="4129" priority="8235" operator="equal">
      <formula>1</formula>
    </cfRule>
    <cfRule type="cellIs" dxfId="4128" priority="8236" operator="equal">
      <formula>"×"</formula>
    </cfRule>
  </conditionalFormatting>
  <conditionalFormatting sqref="AF14:AI14">
    <cfRule type="cellIs" dxfId="4127" priority="8233" operator="equal">
      <formula>1</formula>
    </cfRule>
    <cfRule type="cellIs" dxfId="4126" priority="8234" operator="equal">
      <formula>"×"</formula>
    </cfRule>
  </conditionalFormatting>
  <conditionalFormatting sqref="AF14:AI14">
    <cfRule type="cellIs" dxfId="4125" priority="8231" operator="equal">
      <formula>1</formula>
    </cfRule>
    <cfRule type="cellIs" dxfId="4124" priority="8232" operator="equal">
      <formula>"×"</formula>
    </cfRule>
  </conditionalFormatting>
  <conditionalFormatting sqref="AI14">
    <cfRule type="cellIs" dxfId="4123" priority="8229" operator="equal">
      <formula>1</formula>
    </cfRule>
    <cfRule type="cellIs" dxfId="4122" priority="8230" operator="equal">
      <formula>"×"</formula>
    </cfRule>
  </conditionalFormatting>
  <conditionalFormatting sqref="AF15">
    <cfRule type="cellIs" dxfId="4121" priority="8227" operator="equal">
      <formula>1</formula>
    </cfRule>
    <cfRule type="cellIs" dxfId="4120" priority="8228" operator="equal">
      <formula>"×"</formula>
    </cfRule>
  </conditionalFormatting>
  <conditionalFormatting sqref="AF14">
    <cfRule type="cellIs" dxfId="4119" priority="8225" operator="equal">
      <formula>1</formula>
    </cfRule>
    <cfRule type="cellIs" dxfId="4118" priority="8226" operator="equal">
      <formula>"×"</formula>
    </cfRule>
  </conditionalFormatting>
  <conditionalFormatting sqref="AF10:AG10">
    <cfRule type="cellIs" dxfId="4117" priority="8167" operator="equal">
      <formula>1</formula>
    </cfRule>
    <cfRule type="cellIs" dxfId="4116" priority="8168" operator="equal">
      <formula>"×"</formula>
    </cfRule>
  </conditionalFormatting>
  <conditionalFormatting sqref="AF10:AG10">
    <cfRule type="cellIs" dxfId="4115" priority="8165" operator="equal">
      <formula>1</formula>
    </cfRule>
    <cfRule type="cellIs" dxfId="4114" priority="8166" operator="equal">
      <formula>"×"</formula>
    </cfRule>
  </conditionalFormatting>
  <conditionalFormatting sqref="AF10:AG10">
    <cfRule type="cellIs" dxfId="4113" priority="8163" operator="equal">
      <formula>1</formula>
    </cfRule>
    <cfRule type="cellIs" dxfId="4112" priority="8164" operator="equal">
      <formula>"×"</formula>
    </cfRule>
  </conditionalFormatting>
  <conditionalFormatting sqref="AF10:AG10">
    <cfRule type="cellIs" dxfId="4111" priority="8161" operator="equal">
      <formula>1</formula>
    </cfRule>
    <cfRule type="cellIs" dxfId="4110" priority="8162" operator="equal">
      <formula>"×"</formula>
    </cfRule>
  </conditionalFormatting>
  <conditionalFormatting sqref="AH10:AI10">
    <cfRule type="cellIs" dxfId="4109" priority="8119" operator="equal">
      <formula>1</formula>
    </cfRule>
    <cfRule type="cellIs" dxfId="4108" priority="8120" operator="equal">
      <formula>"×"</formula>
    </cfRule>
  </conditionalFormatting>
  <conditionalFormatting sqref="AH10:AI10">
    <cfRule type="cellIs" dxfId="4107" priority="8131" operator="equal">
      <formula>1</formula>
    </cfRule>
    <cfRule type="cellIs" dxfId="4106" priority="8132" operator="equal">
      <formula>"×"</formula>
    </cfRule>
  </conditionalFormatting>
  <conditionalFormatting sqref="AH10:AI10">
    <cfRule type="cellIs" dxfId="4105" priority="8129" operator="equal">
      <formula>1</formula>
    </cfRule>
    <cfRule type="cellIs" dxfId="4104" priority="8130" operator="equal">
      <formula>"×"</formula>
    </cfRule>
  </conditionalFormatting>
  <conditionalFormatting sqref="AH10:AI10">
    <cfRule type="cellIs" dxfId="4103" priority="8123" operator="equal">
      <formula>1</formula>
    </cfRule>
    <cfRule type="cellIs" dxfId="4102" priority="8124" operator="equal">
      <formula>"×"</formula>
    </cfRule>
  </conditionalFormatting>
  <conditionalFormatting sqref="AH11">
    <cfRule type="cellIs" dxfId="4101" priority="8083" operator="equal">
      <formula>1</formula>
    </cfRule>
    <cfRule type="cellIs" dxfId="4100" priority="8084" operator="equal">
      <formula>"×"</formula>
    </cfRule>
  </conditionalFormatting>
  <conditionalFormatting sqref="AH11">
    <cfRule type="cellIs" dxfId="4099" priority="8081" operator="equal">
      <formula>1</formula>
    </cfRule>
    <cfRule type="cellIs" dxfId="4098" priority="8082" operator="equal">
      <formula>"×"</formula>
    </cfRule>
  </conditionalFormatting>
  <conditionalFormatting sqref="AH11">
    <cfRule type="cellIs" dxfId="4097" priority="8077" operator="equal">
      <formula>1</formula>
    </cfRule>
    <cfRule type="cellIs" dxfId="4096" priority="8078" operator="equal">
      <formula>"×"</formula>
    </cfRule>
  </conditionalFormatting>
  <conditionalFormatting sqref="AH11">
    <cfRule type="cellIs" dxfId="4095" priority="8079" operator="equal">
      <formula>1</formula>
    </cfRule>
    <cfRule type="cellIs" dxfId="4094" priority="8080" operator="equal">
      <formula>"×"</formula>
    </cfRule>
  </conditionalFormatting>
  <conditionalFormatting sqref="AH11">
    <cfRule type="cellIs" dxfId="4093" priority="8107" operator="equal">
      <formula>1</formula>
    </cfRule>
    <cfRule type="cellIs" dxfId="4092" priority="8108" operator="equal">
      <formula>"×"</formula>
    </cfRule>
  </conditionalFormatting>
  <conditionalFormatting sqref="AH11">
    <cfRule type="cellIs" dxfId="4091" priority="8103" operator="equal">
      <formula>1</formula>
    </cfRule>
    <cfRule type="cellIs" dxfId="4090" priority="8104" operator="equal">
      <formula>"×"</formula>
    </cfRule>
  </conditionalFormatting>
  <conditionalFormatting sqref="AH11">
    <cfRule type="cellIs" dxfId="4089" priority="8101" operator="equal">
      <formula>1</formula>
    </cfRule>
    <cfRule type="cellIs" dxfId="4088" priority="8102" operator="equal">
      <formula>"×"</formula>
    </cfRule>
  </conditionalFormatting>
  <conditionalFormatting sqref="AF16">
    <cfRule type="cellIs" dxfId="4087" priority="8061" operator="equal">
      <formula>1</formula>
    </cfRule>
    <cfRule type="cellIs" dxfId="4086" priority="8062" operator="equal">
      <formula>"×"</formula>
    </cfRule>
  </conditionalFormatting>
  <conditionalFormatting sqref="AF16">
    <cfRule type="cellIs" dxfId="4085" priority="8059" operator="equal">
      <formula>1</formula>
    </cfRule>
    <cfRule type="cellIs" dxfId="4084" priority="8060" operator="equal">
      <formula>"×"</formula>
    </cfRule>
  </conditionalFormatting>
  <conditionalFormatting sqref="AI16">
    <cfRule type="cellIs" dxfId="4083" priority="8073" operator="equal">
      <formula>1</formula>
    </cfRule>
    <cfRule type="cellIs" dxfId="4082" priority="8074" operator="equal">
      <formula>"×"</formula>
    </cfRule>
  </conditionalFormatting>
  <conditionalFormatting sqref="AF16:AI16">
    <cfRule type="cellIs" dxfId="4081" priority="8075" operator="equal">
      <formula>1</formula>
    </cfRule>
    <cfRule type="cellIs" dxfId="4080" priority="8076" operator="equal">
      <formula>"×"</formula>
    </cfRule>
  </conditionalFormatting>
  <conditionalFormatting sqref="AH17">
    <cfRule type="cellIs" dxfId="4079" priority="7931" operator="equal">
      <formula>1</formula>
    </cfRule>
    <cfRule type="cellIs" dxfId="4078" priority="7932" operator="equal">
      <formula>"×"</formula>
    </cfRule>
  </conditionalFormatting>
  <conditionalFormatting sqref="AH17">
    <cfRule type="cellIs" dxfId="4077" priority="7903" operator="equal">
      <formula>1</formula>
    </cfRule>
    <cfRule type="cellIs" dxfId="4076" priority="7904" operator="equal">
      <formula>"×"</formula>
    </cfRule>
  </conditionalFormatting>
  <conditionalFormatting sqref="AH17">
    <cfRule type="cellIs" dxfId="4075" priority="7901" operator="equal">
      <formula>1</formula>
    </cfRule>
    <cfRule type="cellIs" dxfId="4074" priority="7902" operator="equal">
      <formula>"×"</formula>
    </cfRule>
  </conditionalFormatting>
  <conditionalFormatting sqref="AH17">
    <cfRule type="cellIs" dxfId="4073" priority="7897" operator="equal">
      <formula>1</formula>
    </cfRule>
    <cfRule type="cellIs" dxfId="4072" priority="7898" operator="equal">
      <formula>"×"</formula>
    </cfRule>
  </conditionalFormatting>
  <conditionalFormatting sqref="AH17">
    <cfRule type="cellIs" dxfId="4071" priority="7899" operator="equal">
      <formula>1</formula>
    </cfRule>
    <cfRule type="cellIs" dxfId="4070" priority="7900" operator="equal">
      <formula>"×"</formula>
    </cfRule>
  </conditionalFormatting>
  <conditionalFormatting sqref="AH17">
    <cfRule type="cellIs" dxfId="4069" priority="7925" operator="equal">
      <formula>1</formula>
    </cfRule>
    <cfRule type="cellIs" dxfId="4068" priority="7926" operator="equal">
      <formula>"×"</formula>
    </cfRule>
  </conditionalFormatting>
  <conditionalFormatting sqref="AH17">
    <cfRule type="cellIs" dxfId="4067" priority="7923" operator="equal">
      <formula>1</formula>
    </cfRule>
    <cfRule type="cellIs" dxfId="4066" priority="7924" operator="equal">
      <formula>"×"</formula>
    </cfRule>
  </conditionalFormatting>
  <conditionalFormatting sqref="AH17">
    <cfRule type="cellIs" dxfId="4065" priority="7921" operator="equal">
      <formula>1</formula>
    </cfRule>
    <cfRule type="cellIs" dxfId="4064" priority="7922" operator="equal">
      <formula>"×"</formula>
    </cfRule>
  </conditionalFormatting>
  <conditionalFormatting sqref="AH17">
    <cfRule type="cellIs" dxfId="4063" priority="7919" operator="equal">
      <formula>1</formula>
    </cfRule>
    <cfRule type="cellIs" dxfId="4062" priority="7920" operator="equal">
      <formula>"×"</formula>
    </cfRule>
  </conditionalFormatting>
  <conditionalFormatting sqref="AH17">
    <cfRule type="cellIs" dxfId="4061" priority="7917" operator="equal">
      <formula>1</formula>
    </cfRule>
    <cfRule type="cellIs" dxfId="4060" priority="7918" operator="equal">
      <formula>"×"</formula>
    </cfRule>
  </conditionalFormatting>
  <conditionalFormatting sqref="AH17">
    <cfRule type="cellIs" dxfId="4059" priority="7911" operator="equal">
      <formula>1</formula>
    </cfRule>
    <cfRule type="cellIs" dxfId="4058" priority="7912" operator="equal">
      <formula>"×"</formula>
    </cfRule>
  </conditionalFormatting>
  <conditionalFormatting sqref="AH17">
    <cfRule type="cellIs" dxfId="4057" priority="7909" operator="equal">
      <formula>1</formula>
    </cfRule>
    <cfRule type="cellIs" dxfId="4056" priority="7910" operator="equal">
      <formula>"×"</formula>
    </cfRule>
  </conditionalFormatting>
  <conditionalFormatting sqref="AH17">
    <cfRule type="cellIs" dxfId="4055" priority="7907" operator="equal">
      <formula>1</formula>
    </cfRule>
    <cfRule type="cellIs" dxfId="4054" priority="7908" operator="equal">
      <formula>"×"</formula>
    </cfRule>
  </conditionalFormatting>
  <conditionalFormatting sqref="AH17">
    <cfRule type="cellIs" dxfId="4053" priority="7905" operator="equal">
      <formula>1</formula>
    </cfRule>
    <cfRule type="cellIs" dxfId="4052" priority="7906" operator="equal">
      <formula>"×"</formula>
    </cfRule>
  </conditionalFormatting>
  <conditionalFormatting sqref="AC10">
    <cfRule type="cellIs" dxfId="4051" priority="7475" operator="equal">
      <formula>1</formula>
    </cfRule>
    <cfRule type="cellIs" dxfId="4050" priority="7476" operator="equal">
      <formula>"×"</formula>
    </cfRule>
  </conditionalFormatting>
  <conditionalFormatting sqref="AF10">
    <cfRule type="cellIs" dxfId="4049" priority="7473" operator="equal">
      <formula>1</formula>
    </cfRule>
    <cfRule type="cellIs" dxfId="4048" priority="7474" operator="equal">
      <formula>"×"</formula>
    </cfRule>
  </conditionalFormatting>
  <conditionalFormatting sqref="AF10">
    <cfRule type="cellIs" dxfId="4047" priority="7471" operator="equal">
      <formula>1</formula>
    </cfRule>
    <cfRule type="cellIs" dxfId="4046" priority="7472" operator="equal">
      <formula>"×"</formula>
    </cfRule>
  </conditionalFormatting>
  <conditionalFormatting sqref="AE10">
    <cfRule type="cellIs" dxfId="4045" priority="7469" operator="equal">
      <formula>1</formula>
    </cfRule>
    <cfRule type="cellIs" dxfId="4044" priority="7470" operator="equal">
      <formula>"×"</formula>
    </cfRule>
  </conditionalFormatting>
  <conditionalFormatting sqref="AD10">
    <cfRule type="cellIs" dxfId="4043" priority="7467" operator="equal">
      <formula>1</formula>
    </cfRule>
    <cfRule type="cellIs" dxfId="4042" priority="7468" operator="equal">
      <formula>"×"</formula>
    </cfRule>
  </conditionalFormatting>
  <conditionalFormatting sqref="AE10">
    <cfRule type="cellIs" dxfId="4041" priority="7465" operator="equal">
      <formula>1</formula>
    </cfRule>
    <cfRule type="cellIs" dxfId="4040" priority="7466" operator="equal">
      <formula>"×"</formula>
    </cfRule>
  </conditionalFormatting>
  <conditionalFormatting sqref="AD10">
    <cfRule type="cellIs" dxfId="4039" priority="7463" operator="equal">
      <formula>1</formula>
    </cfRule>
    <cfRule type="cellIs" dxfId="4038" priority="7464" operator="equal">
      <formula>"×"</formula>
    </cfRule>
  </conditionalFormatting>
  <conditionalFormatting sqref="AD10">
    <cfRule type="cellIs" dxfId="4037" priority="7459" operator="equal">
      <formula>1</formula>
    </cfRule>
    <cfRule type="cellIs" dxfId="4036" priority="7460" operator="equal">
      <formula>"×"</formula>
    </cfRule>
  </conditionalFormatting>
  <conditionalFormatting sqref="AD10">
    <cfRule type="cellIs" dxfId="4035" priority="7461" operator="equal">
      <formula>1</formula>
    </cfRule>
    <cfRule type="cellIs" dxfId="4034" priority="7462" operator="equal">
      <formula>"×"</formula>
    </cfRule>
  </conditionalFormatting>
  <conditionalFormatting sqref="AC10">
    <cfRule type="cellIs" dxfId="4033" priority="7531" operator="equal">
      <formula>1</formula>
    </cfRule>
    <cfRule type="cellIs" dxfId="4032" priority="7532" operator="equal">
      <formula>"×"</formula>
    </cfRule>
  </conditionalFormatting>
  <conditionalFormatting sqref="AF9:AI9">
    <cfRule type="cellIs" dxfId="4031" priority="7529" operator="equal">
      <formula>1</formula>
    </cfRule>
    <cfRule type="cellIs" dxfId="4030" priority="7530" operator="equal">
      <formula>"×"</formula>
    </cfRule>
  </conditionalFormatting>
  <conditionalFormatting sqref="AI9">
    <cfRule type="cellIs" dxfId="4029" priority="7527" operator="equal">
      <formula>1</formula>
    </cfRule>
    <cfRule type="cellIs" dxfId="4028" priority="7528" operator="equal">
      <formula>"×"</formula>
    </cfRule>
  </conditionalFormatting>
  <conditionalFormatting sqref="AI10">
    <cfRule type="cellIs" dxfId="4027" priority="7525" operator="equal">
      <formula>1</formula>
    </cfRule>
    <cfRule type="cellIs" dxfId="4026" priority="7526" operator="equal">
      <formula>"×"</formula>
    </cfRule>
  </conditionalFormatting>
  <conditionalFormatting sqref="AD10">
    <cfRule type="cellIs" dxfId="4025" priority="7523" operator="equal">
      <formula>1</formula>
    </cfRule>
    <cfRule type="cellIs" dxfId="4024" priority="7524" operator="equal">
      <formula>"×"</formula>
    </cfRule>
  </conditionalFormatting>
  <conditionalFormatting sqref="AD10">
    <cfRule type="cellIs" dxfId="4023" priority="7521" operator="equal">
      <formula>1</formula>
    </cfRule>
    <cfRule type="cellIs" dxfId="4022" priority="7522" operator="equal">
      <formula>"×"</formula>
    </cfRule>
  </conditionalFormatting>
  <conditionalFormatting sqref="AD10">
    <cfRule type="cellIs" dxfId="4021" priority="7519" operator="equal">
      <formula>1</formula>
    </cfRule>
    <cfRule type="cellIs" dxfId="4020" priority="7520" operator="equal">
      <formula>"×"</formula>
    </cfRule>
  </conditionalFormatting>
  <conditionalFormatting sqref="AD10">
    <cfRule type="cellIs" dxfId="4019" priority="7517" operator="equal">
      <formula>1</formula>
    </cfRule>
    <cfRule type="cellIs" dxfId="4018" priority="7518" operator="equal">
      <formula>"×"</formula>
    </cfRule>
  </conditionalFormatting>
  <conditionalFormatting sqref="AF14">
    <cfRule type="cellIs" dxfId="4017" priority="7515" operator="equal">
      <formula>1</formula>
    </cfRule>
    <cfRule type="cellIs" dxfId="4016" priority="7516" operator="equal">
      <formula>"×"</formula>
    </cfRule>
  </conditionalFormatting>
  <conditionalFormatting sqref="AF14">
    <cfRule type="cellIs" dxfId="4015" priority="7513" operator="equal">
      <formula>1</formula>
    </cfRule>
    <cfRule type="cellIs" dxfId="4014" priority="7514" operator="equal">
      <formula>"×"</formula>
    </cfRule>
  </conditionalFormatting>
  <conditionalFormatting sqref="AC7:AC19">
    <cfRule type="cellIs" dxfId="4013" priority="3741" operator="equal">
      <formula>1</formula>
    </cfRule>
    <cfRule type="cellIs" dxfId="4012" priority="3742" operator="equal">
      <formula>"×"</formula>
    </cfRule>
  </conditionalFormatting>
  <conditionalFormatting sqref="AI9">
    <cfRule type="cellIs" dxfId="4011" priority="7511" operator="equal">
      <formula>1</formula>
    </cfRule>
    <cfRule type="cellIs" dxfId="4010" priority="7512" operator="equal">
      <formula>"×"</formula>
    </cfRule>
  </conditionalFormatting>
  <conditionalFormatting sqref="AE10">
    <cfRule type="cellIs" dxfId="4009" priority="7509" operator="equal">
      <formula>1</formula>
    </cfRule>
    <cfRule type="cellIs" dxfId="4008" priority="7510" operator="equal">
      <formula>"×"</formula>
    </cfRule>
  </conditionalFormatting>
  <conditionalFormatting sqref="AE10">
    <cfRule type="cellIs" dxfId="4007" priority="7505" operator="equal">
      <formula>1</formula>
    </cfRule>
    <cfRule type="cellIs" dxfId="4006" priority="7506" operator="equal">
      <formula>"×"</formula>
    </cfRule>
  </conditionalFormatting>
  <conditionalFormatting sqref="AD10">
    <cfRule type="cellIs" dxfId="4005" priority="7507" operator="equal">
      <formula>1</formula>
    </cfRule>
    <cfRule type="cellIs" dxfId="4004" priority="7508" operator="equal">
      <formula>"×"</formula>
    </cfRule>
  </conditionalFormatting>
  <conditionalFormatting sqref="AD10">
    <cfRule type="cellIs" dxfId="4003" priority="7503" operator="equal">
      <formula>1</formula>
    </cfRule>
    <cfRule type="cellIs" dxfId="4002" priority="7504" operator="equal">
      <formula>"×"</formula>
    </cfRule>
  </conditionalFormatting>
  <conditionalFormatting sqref="AD10">
    <cfRule type="cellIs" dxfId="4001" priority="7501" operator="equal">
      <formula>1</formula>
    </cfRule>
    <cfRule type="cellIs" dxfId="4000" priority="7502" operator="equal">
      <formula>"×"</formula>
    </cfRule>
  </conditionalFormatting>
  <conditionalFormatting sqref="AD10">
    <cfRule type="cellIs" dxfId="3999" priority="7499" operator="equal">
      <formula>1</formula>
    </cfRule>
    <cfRule type="cellIs" dxfId="3998" priority="7500" operator="equal">
      <formula>"×"</formula>
    </cfRule>
  </conditionalFormatting>
  <conditionalFormatting sqref="AE16">
    <cfRule type="cellIs" dxfId="3997" priority="7497" operator="equal">
      <formula>1</formula>
    </cfRule>
    <cfRule type="cellIs" dxfId="3996" priority="7498" operator="equal">
      <formula>"×"</formula>
    </cfRule>
  </conditionalFormatting>
  <conditionalFormatting sqref="AE16 AF14:AI14">
    <cfRule type="cellIs" dxfId="3995" priority="7495" operator="equal">
      <formula>1</formula>
    </cfRule>
    <cfRule type="cellIs" dxfId="3994" priority="7496" operator="equal">
      <formula>"×"</formula>
    </cfRule>
  </conditionalFormatting>
  <conditionalFormatting sqref="AI14">
    <cfRule type="cellIs" dxfId="3993" priority="7493" operator="equal">
      <formula>1</formula>
    </cfRule>
    <cfRule type="cellIs" dxfId="3992" priority="7494" operator="equal">
      <formula>"×"</formula>
    </cfRule>
  </conditionalFormatting>
  <conditionalFormatting sqref="AE16 AF14:AI14">
    <cfRule type="cellIs" dxfId="3991" priority="7491" operator="equal">
      <formula>1</formula>
    </cfRule>
    <cfRule type="cellIs" dxfId="3990" priority="7492" operator="equal">
      <formula>"×"</formula>
    </cfRule>
  </conditionalFormatting>
  <conditionalFormatting sqref="AI9">
    <cfRule type="cellIs" dxfId="3989" priority="7489" operator="equal">
      <formula>1</formula>
    </cfRule>
    <cfRule type="cellIs" dxfId="3988" priority="7490" operator="equal">
      <formula>"×"</formula>
    </cfRule>
  </conditionalFormatting>
  <conditionalFormatting sqref="AE10">
    <cfRule type="cellIs" dxfId="3987" priority="7487" operator="equal">
      <formula>1</formula>
    </cfRule>
    <cfRule type="cellIs" dxfId="3986" priority="7488" operator="equal">
      <formula>"×"</formula>
    </cfRule>
  </conditionalFormatting>
  <conditionalFormatting sqref="AE10">
    <cfRule type="cellIs" dxfId="3985" priority="7483" operator="equal">
      <formula>1</formula>
    </cfRule>
    <cfRule type="cellIs" dxfId="3984" priority="7484" operator="equal">
      <formula>"×"</formula>
    </cfRule>
  </conditionalFormatting>
  <conditionalFormatting sqref="AD10">
    <cfRule type="cellIs" dxfId="3983" priority="7485" operator="equal">
      <formula>1</formula>
    </cfRule>
    <cfRule type="cellIs" dxfId="3982" priority="7486" operator="equal">
      <formula>"×"</formula>
    </cfRule>
  </conditionalFormatting>
  <conditionalFormatting sqref="AD10">
    <cfRule type="cellIs" dxfId="3981" priority="7481" operator="equal">
      <formula>1</formula>
    </cfRule>
    <cfRule type="cellIs" dxfId="3980" priority="7482" operator="equal">
      <formula>"×"</formula>
    </cfRule>
  </conditionalFormatting>
  <conditionalFormatting sqref="AD10">
    <cfRule type="cellIs" dxfId="3979" priority="7479" operator="equal">
      <formula>1</formula>
    </cfRule>
    <cfRule type="cellIs" dxfId="3978" priority="7480" operator="equal">
      <formula>"×"</formula>
    </cfRule>
  </conditionalFormatting>
  <conditionalFormatting sqref="AD10">
    <cfRule type="cellIs" dxfId="3977" priority="7477" operator="equal">
      <formula>1</formula>
    </cfRule>
    <cfRule type="cellIs" dxfId="3976" priority="7478" operator="equal">
      <formula>"×"</formula>
    </cfRule>
  </conditionalFormatting>
  <conditionalFormatting sqref="AE16">
    <cfRule type="cellIs" dxfId="3975" priority="7457" operator="equal">
      <formula>1</formula>
    </cfRule>
    <cfRule type="cellIs" dxfId="3974" priority="7458" operator="equal">
      <formula>"×"</formula>
    </cfRule>
  </conditionalFormatting>
  <conditionalFormatting sqref="AE16 AF14:AI14">
    <cfRule type="cellIs" dxfId="3973" priority="7455" operator="equal">
      <formula>1</formula>
    </cfRule>
    <cfRule type="cellIs" dxfId="3972" priority="7456" operator="equal">
      <formula>"×"</formula>
    </cfRule>
  </conditionalFormatting>
  <conditionalFormatting sqref="AI14">
    <cfRule type="cellIs" dxfId="3971" priority="7453" operator="equal">
      <formula>1</formula>
    </cfRule>
    <cfRule type="cellIs" dxfId="3970" priority="7454" operator="equal">
      <formula>"×"</formula>
    </cfRule>
  </conditionalFormatting>
  <conditionalFormatting sqref="AF14:AI14">
    <cfRule type="cellIs" dxfId="3969" priority="7451" operator="equal">
      <formula>1</formula>
    </cfRule>
    <cfRule type="cellIs" dxfId="3968" priority="7452" operator="equal">
      <formula>"×"</formula>
    </cfRule>
  </conditionalFormatting>
  <conditionalFormatting sqref="AE16 AF14:AI14">
    <cfRule type="cellIs" dxfId="3967" priority="7449" operator="equal">
      <formula>1</formula>
    </cfRule>
    <cfRule type="cellIs" dxfId="3966" priority="7450" operator="equal">
      <formula>"×"</formula>
    </cfRule>
  </conditionalFormatting>
  <conditionalFormatting sqref="AI14">
    <cfRule type="cellIs" dxfId="3965" priority="7447" operator="equal">
      <formula>1</formula>
    </cfRule>
    <cfRule type="cellIs" dxfId="3964" priority="7448" operator="equal">
      <formula>"×"</formula>
    </cfRule>
  </conditionalFormatting>
  <conditionalFormatting sqref="AF15">
    <cfRule type="cellIs" dxfId="3963" priority="7445" operator="equal">
      <formula>1</formula>
    </cfRule>
    <cfRule type="cellIs" dxfId="3962" priority="7446" operator="equal">
      <formula>"×"</formula>
    </cfRule>
  </conditionalFormatting>
  <conditionalFormatting sqref="AB8">
    <cfRule type="cellIs" dxfId="3961" priority="3735" operator="equal">
      <formula>1</formula>
    </cfRule>
    <cfRule type="cellIs" dxfId="3960" priority="3736" operator="equal">
      <formula>"×"</formula>
    </cfRule>
  </conditionalFormatting>
  <conditionalFormatting sqref="AD8">
    <cfRule type="cellIs" dxfId="3959" priority="3733" operator="equal">
      <formula>1</formula>
    </cfRule>
    <cfRule type="cellIs" dxfId="3958" priority="3734" operator="equal">
      <formula>"×"</formula>
    </cfRule>
  </conditionalFormatting>
  <conditionalFormatting sqref="AB9">
    <cfRule type="cellIs" dxfId="3957" priority="3731" operator="equal">
      <formula>1</formula>
    </cfRule>
    <cfRule type="cellIs" dxfId="3956" priority="3732" operator="equal">
      <formula>"×"</formula>
    </cfRule>
  </conditionalFormatting>
  <conditionalFormatting sqref="AD10">
    <cfRule type="cellIs" dxfId="3955" priority="3727" operator="equal">
      <formula>1</formula>
    </cfRule>
    <cfRule type="cellIs" dxfId="3954" priority="3728" operator="equal">
      <formula>"×"</formula>
    </cfRule>
  </conditionalFormatting>
  <conditionalFormatting sqref="AB15">
    <cfRule type="cellIs" dxfId="3953" priority="3729" operator="equal">
      <formula>1</formula>
    </cfRule>
    <cfRule type="cellIs" dxfId="3952" priority="3730" operator="equal">
      <formula>"×"</formula>
    </cfRule>
  </conditionalFormatting>
  <conditionalFormatting sqref="AD16">
    <cfRule type="cellIs" dxfId="3951" priority="3725" operator="equal">
      <formula>1</formula>
    </cfRule>
    <cfRule type="cellIs" dxfId="3950" priority="3726" operator="equal">
      <formula>"×"</formula>
    </cfRule>
  </conditionalFormatting>
  <conditionalFormatting sqref="AD16">
    <cfRule type="cellIs" dxfId="3949" priority="3721" operator="equal">
      <formula>1</formula>
    </cfRule>
    <cfRule type="cellIs" dxfId="3948" priority="3722" operator="equal">
      <formula>"×"</formula>
    </cfRule>
  </conditionalFormatting>
  <conditionalFormatting sqref="AE16">
    <cfRule type="cellIs" dxfId="3947" priority="7391" operator="equal">
      <formula>1</formula>
    </cfRule>
    <cfRule type="cellIs" dxfId="3946" priority="7392" operator="equal">
      <formula>"×"</formula>
    </cfRule>
  </conditionalFormatting>
  <conditionalFormatting sqref="AE16 AF14:AI14">
    <cfRule type="cellIs" dxfId="3945" priority="7389" operator="equal">
      <formula>1</formula>
    </cfRule>
    <cfRule type="cellIs" dxfId="3944" priority="7390" operator="equal">
      <formula>"×"</formula>
    </cfRule>
  </conditionalFormatting>
  <conditionalFormatting sqref="AI14">
    <cfRule type="cellIs" dxfId="3943" priority="7387" operator="equal">
      <formula>1</formula>
    </cfRule>
    <cfRule type="cellIs" dxfId="3942" priority="7388" operator="equal">
      <formula>"×"</formula>
    </cfRule>
  </conditionalFormatting>
  <conditionalFormatting sqref="AE16 AF14:AI14">
    <cfRule type="cellIs" dxfId="3941" priority="7385" operator="equal">
      <formula>1</formula>
    </cfRule>
    <cfRule type="cellIs" dxfId="3940" priority="7386" operator="equal">
      <formula>"×"</formula>
    </cfRule>
  </conditionalFormatting>
  <conditionalFormatting sqref="AF14">
    <cfRule type="cellIs" dxfId="3939" priority="7405" operator="equal">
      <formula>1</formula>
    </cfRule>
    <cfRule type="cellIs" dxfId="3938" priority="7406" operator="equal">
      <formula>"×"</formula>
    </cfRule>
  </conditionalFormatting>
  <conditionalFormatting sqref="AF14">
    <cfRule type="cellIs" dxfId="3937" priority="7403" operator="equal">
      <formula>1</formula>
    </cfRule>
    <cfRule type="cellIs" dxfId="3936" priority="7404" operator="equal">
      <formula>"×"</formula>
    </cfRule>
  </conditionalFormatting>
  <conditionalFormatting sqref="AF14">
    <cfRule type="cellIs" dxfId="3935" priority="7401" operator="equal">
      <formula>1</formula>
    </cfRule>
    <cfRule type="cellIs" dxfId="3934" priority="7402" operator="equal">
      <formula>"×"</formula>
    </cfRule>
  </conditionalFormatting>
  <conditionalFormatting sqref="AF14">
    <cfRule type="cellIs" dxfId="3933" priority="7399" operator="equal">
      <formula>1</formula>
    </cfRule>
    <cfRule type="cellIs" dxfId="3932" priority="7400" operator="equal">
      <formula>"×"</formula>
    </cfRule>
  </conditionalFormatting>
  <conditionalFormatting sqref="AI15">
    <cfRule type="cellIs" dxfId="3931" priority="7397" operator="equal">
      <formula>1</formula>
    </cfRule>
    <cfRule type="cellIs" dxfId="3930" priority="7398" operator="equal">
      <formula>"×"</formula>
    </cfRule>
  </conditionalFormatting>
  <conditionalFormatting sqref="AF14">
    <cfRule type="cellIs" dxfId="3929" priority="7395" operator="equal">
      <formula>1</formula>
    </cfRule>
    <cfRule type="cellIs" dxfId="3928" priority="7396" operator="equal">
      <formula>"×"</formula>
    </cfRule>
  </conditionalFormatting>
  <conditionalFormatting sqref="AF14">
    <cfRule type="cellIs" dxfId="3927" priority="7393" operator="equal">
      <formula>1</formula>
    </cfRule>
    <cfRule type="cellIs" dxfId="3926" priority="7394" operator="equal">
      <formula>"×"</formula>
    </cfRule>
  </conditionalFormatting>
  <conditionalFormatting sqref="AI15">
    <cfRule type="cellIs" dxfId="3925" priority="7383" operator="equal">
      <formula>1</formula>
    </cfRule>
    <cfRule type="cellIs" dxfId="3924" priority="7384" operator="equal">
      <formula>"×"</formula>
    </cfRule>
  </conditionalFormatting>
  <conditionalFormatting sqref="AI15">
    <cfRule type="cellIs" dxfId="3923" priority="7381" operator="equal">
      <formula>1</formula>
    </cfRule>
    <cfRule type="cellIs" dxfId="3922" priority="7382" operator="equal">
      <formula>"×"</formula>
    </cfRule>
  </conditionalFormatting>
  <conditionalFormatting sqref="AE16">
    <cfRule type="cellIs" dxfId="3921" priority="7379" operator="equal">
      <formula>1</formula>
    </cfRule>
    <cfRule type="cellIs" dxfId="3920" priority="7380" operator="equal">
      <formula>"×"</formula>
    </cfRule>
  </conditionalFormatting>
  <conditionalFormatting sqref="AE16">
    <cfRule type="cellIs" dxfId="3919" priority="7377" operator="equal">
      <formula>1</formula>
    </cfRule>
    <cfRule type="cellIs" dxfId="3918" priority="7378" operator="equal">
      <formula>"×"</formula>
    </cfRule>
  </conditionalFormatting>
  <conditionalFormatting sqref="AE16">
    <cfRule type="cellIs" dxfId="3917" priority="7375" operator="equal">
      <formula>1</formula>
    </cfRule>
    <cfRule type="cellIs" dxfId="3916" priority="7376" operator="equal">
      <formula>"×"</formula>
    </cfRule>
  </conditionalFormatting>
  <conditionalFormatting sqref="AE16">
    <cfRule type="cellIs" dxfId="3915" priority="7373" operator="equal">
      <formula>1</formula>
    </cfRule>
    <cfRule type="cellIs" dxfId="3914" priority="7374" operator="equal">
      <formula>"×"</formula>
    </cfRule>
  </conditionalFormatting>
  <conditionalFormatting sqref="AE16">
    <cfRule type="cellIs" dxfId="3913" priority="7371" operator="equal">
      <formula>1</formula>
    </cfRule>
    <cfRule type="cellIs" dxfId="3912" priority="7372" operator="equal">
      <formula>"×"</formula>
    </cfRule>
  </conditionalFormatting>
  <conditionalFormatting sqref="AE16">
    <cfRule type="cellIs" dxfId="3911" priority="7369" operator="equal">
      <formula>1</formula>
    </cfRule>
    <cfRule type="cellIs" dxfId="3910" priority="7370" operator="equal">
      <formula>"×"</formula>
    </cfRule>
  </conditionalFormatting>
  <conditionalFormatting sqref="AE16">
    <cfRule type="cellIs" dxfId="3909" priority="7367" operator="equal">
      <formula>1</formula>
    </cfRule>
    <cfRule type="cellIs" dxfId="3908" priority="7368" operator="equal">
      <formula>"×"</formula>
    </cfRule>
  </conditionalFormatting>
  <conditionalFormatting sqref="AE16 AF14">
    <cfRule type="cellIs" dxfId="3907" priority="7365" operator="equal">
      <formula>1</formula>
    </cfRule>
    <cfRule type="cellIs" dxfId="3906" priority="7366" operator="equal">
      <formula>"×"</formula>
    </cfRule>
  </conditionalFormatting>
  <conditionalFormatting sqref="AE16 AF14">
    <cfRule type="cellIs" dxfId="3905" priority="7361" operator="equal">
      <formula>1</formula>
    </cfRule>
    <cfRule type="cellIs" dxfId="3904" priority="7362" operator="equal">
      <formula>"×"</formula>
    </cfRule>
  </conditionalFormatting>
  <conditionalFormatting sqref="AE16 AF14">
    <cfRule type="cellIs" dxfId="3903" priority="7363" operator="equal">
      <formula>1</formula>
    </cfRule>
    <cfRule type="cellIs" dxfId="3902" priority="7364" operator="equal">
      <formula>"×"</formula>
    </cfRule>
  </conditionalFormatting>
  <conditionalFormatting sqref="AE16 AF14">
    <cfRule type="cellIs" dxfId="3901" priority="7359" operator="equal">
      <formula>1</formula>
    </cfRule>
    <cfRule type="cellIs" dxfId="3900" priority="7360" operator="equal">
      <formula>"×"</formula>
    </cfRule>
  </conditionalFormatting>
  <conditionalFormatting sqref="AE16 AF14">
    <cfRule type="cellIs" dxfId="3899" priority="7357" operator="equal">
      <formula>1</formula>
    </cfRule>
    <cfRule type="cellIs" dxfId="3898" priority="7358" operator="equal">
      <formula>"×"</formula>
    </cfRule>
  </conditionalFormatting>
  <conditionalFormatting sqref="AE16 AF14">
    <cfRule type="cellIs" dxfId="3897" priority="7355" operator="equal">
      <formula>1</formula>
    </cfRule>
    <cfRule type="cellIs" dxfId="3896" priority="7356" operator="equal">
      <formula>"×"</formula>
    </cfRule>
  </conditionalFormatting>
  <conditionalFormatting sqref="AE16 AF14">
    <cfRule type="cellIs" dxfId="3895" priority="7353" operator="equal">
      <formula>1</formula>
    </cfRule>
    <cfRule type="cellIs" dxfId="3894" priority="7354" operator="equal">
      <formula>"×"</formula>
    </cfRule>
  </conditionalFormatting>
  <conditionalFormatting sqref="AF20:AF21">
    <cfRule type="cellIs" dxfId="3893" priority="3663" operator="equal">
      <formula>1</formula>
    </cfRule>
    <cfRule type="cellIs" dxfId="3892" priority="3664" operator="equal">
      <formula>"×"</formula>
    </cfRule>
  </conditionalFormatting>
  <conditionalFormatting sqref="AF20:AF21">
    <cfRule type="cellIs" dxfId="3891" priority="3661" operator="equal">
      <formula>1</formula>
    </cfRule>
    <cfRule type="cellIs" dxfId="3890" priority="3662" operator="equal">
      <formula>"×"</formula>
    </cfRule>
  </conditionalFormatting>
  <conditionalFormatting sqref="AG20:AI21">
    <cfRule type="cellIs" dxfId="3889" priority="3659" operator="equal">
      <formula>1</formula>
    </cfRule>
    <cfRule type="cellIs" dxfId="3888" priority="3660" operator="equal">
      <formula>"×"</formula>
    </cfRule>
  </conditionalFormatting>
  <conditionalFormatting sqref="AI20:AI21">
    <cfRule type="cellIs" dxfId="3887" priority="3657" operator="equal">
      <formula>1</formula>
    </cfRule>
    <cfRule type="cellIs" dxfId="3886" priority="3658" operator="equal">
      <formula>"×"</formula>
    </cfRule>
  </conditionalFormatting>
  <conditionalFormatting sqref="AG20:AI21">
    <cfRule type="cellIs" dxfId="3885" priority="3655" operator="equal">
      <formula>1</formula>
    </cfRule>
    <cfRule type="cellIs" dxfId="3884" priority="3656" operator="equal">
      <formula>"×"</formula>
    </cfRule>
  </conditionalFormatting>
  <conditionalFormatting sqref="AG20:AI21">
    <cfRule type="cellIs" dxfId="3883" priority="3653" operator="equal">
      <formula>1</formula>
    </cfRule>
    <cfRule type="cellIs" dxfId="3882" priority="3654" operator="equal">
      <formula>"×"</formula>
    </cfRule>
  </conditionalFormatting>
  <conditionalFormatting sqref="AI20:AI21">
    <cfRule type="cellIs" dxfId="3881" priority="3651" operator="equal">
      <formula>1</formula>
    </cfRule>
    <cfRule type="cellIs" dxfId="3880" priority="3652" operator="equal">
      <formula>"×"</formula>
    </cfRule>
  </conditionalFormatting>
  <conditionalFormatting sqref="AG20:AI21">
    <cfRule type="cellIs" dxfId="3879" priority="3649" operator="equal">
      <formula>1</formula>
    </cfRule>
    <cfRule type="cellIs" dxfId="3878" priority="3650" operator="equal">
      <formula>"×"</formula>
    </cfRule>
  </conditionalFormatting>
  <conditionalFormatting sqref="AF20:AF21">
    <cfRule type="cellIs" dxfId="3877" priority="3647" operator="equal">
      <formula>1</formula>
    </cfRule>
    <cfRule type="cellIs" dxfId="3876" priority="3648" operator="equal">
      <formula>"×"</formula>
    </cfRule>
  </conditionalFormatting>
  <conditionalFormatting sqref="AF20:AF21">
    <cfRule type="cellIs" dxfId="3875" priority="3645" operator="equal">
      <formula>1</formula>
    </cfRule>
    <cfRule type="cellIs" dxfId="3874" priority="3646" operator="equal">
      <formula>"×"</formula>
    </cfRule>
  </conditionalFormatting>
  <conditionalFormatting sqref="AF20:AF21">
    <cfRule type="cellIs" dxfId="3873" priority="3643" operator="equal">
      <formula>1</formula>
    </cfRule>
    <cfRule type="cellIs" dxfId="3872" priority="3644" operator="equal">
      <formula>"×"</formula>
    </cfRule>
  </conditionalFormatting>
  <conditionalFormatting sqref="AF20:AF21">
    <cfRule type="cellIs" dxfId="3871" priority="3641" operator="equal">
      <formula>1</formula>
    </cfRule>
    <cfRule type="cellIs" dxfId="3870" priority="3642" operator="equal">
      <formula>"×"</formula>
    </cfRule>
  </conditionalFormatting>
  <conditionalFormatting sqref="AF20:AF21">
    <cfRule type="cellIs" dxfId="3869" priority="3639" operator="equal">
      <formula>1</formula>
    </cfRule>
    <cfRule type="cellIs" dxfId="3868" priority="3640" operator="equal">
      <formula>"×"</formula>
    </cfRule>
  </conditionalFormatting>
  <conditionalFormatting sqref="AF20:AF21">
    <cfRule type="cellIs" dxfId="3867" priority="3637" operator="equal">
      <formula>1</formula>
    </cfRule>
    <cfRule type="cellIs" dxfId="3866" priority="3638" operator="equal">
      <formula>"×"</formula>
    </cfRule>
  </conditionalFormatting>
  <conditionalFormatting sqref="AF20:AF21">
    <cfRule type="cellIs" dxfId="3865" priority="3635" operator="equal">
      <formula>1</formula>
    </cfRule>
    <cfRule type="cellIs" dxfId="3864" priority="3636" operator="equal">
      <formula>"×"</formula>
    </cfRule>
  </conditionalFormatting>
  <conditionalFormatting sqref="AG20:AI21">
    <cfRule type="cellIs" dxfId="3863" priority="3633" operator="equal">
      <formula>1</formula>
    </cfRule>
    <cfRule type="cellIs" dxfId="3862" priority="3634" operator="equal">
      <formula>"×"</formula>
    </cfRule>
  </conditionalFormatting>
  <conditionalFormatting sqref="AI20:AI21">
    <cfRule type="cellIs" dxfId="3861" priority="3631" operator="equal">
      <formula>1</formula>
    </cfRule>
    <cfRule type="cellIs" dxfId="3860" priority="3632" operator="equal">
      <formula>"×"</formula>
    </cfRule>
  </conditionalFormatting>
  <conditionalFormatting sqref="AG20:AI21">
    <cfRule type="cellIs" dxfId="3859" priority="3629" operator="equal">
      <formula>1</formula>
    </cfRule>
    <cfRule type="cellIs" dxfId="3858" priority="3630" operator="equal">
      <formula>"×"</formula>
    </cfRule>
  </conditionalFormatting>
  <conditionalFormatting sqref="AI20:AI21">
    <cfRule type="cellIs" dxfId="3857" priority="3625" operator="equal">
      <formula>1</formula>
    </cfRule>
    <cfRule type="cellIs" dxfId="3856" priority="3626" operator="equal">
      <formula>"×"</formula>
    </cfRule>
  </conditionalFormatting>
  <conditionalFormatting sqref="AG20:AI21">
    <cfRule type="cellIs" dxfId="3855" priority="3627" operator="equal">
      <formula>1</formula>
    </cfRule>
    <cfRule type="cellIs" dxfId="3854" priority="3628" operator="equal">
      <formula>"×"</formula>
    </cfRule>
  </conditionalFormatting>
  <conditionalFormatting sqref="AH13:AI13">
    <cfRule type="cellIs" dxfId="3853" priority="7311" operator="equal">
      <formula>1</formula>
    </cfRule>
    <cfRule type="cellIs" dxfId="3852" priority="7312" operator="equal">
      <formula>"×"</formula>
    </cfRule>
  </conditionalFormatting>
  <conditionalFormatting sqref="AI13">
    <cfRule type="cellIs" dxfId="3851" priority="7309" operator="equal">
      <formula>1</formula>
    </cfRule>
    <cfRule type="cellIs" dxfId="3850" priority="7310" operator="equal">
      <formula>"×"</formula>
    </cfRule>
  </conditionalFormatting>
  <conditionalFormatting sqref="AH13:AI13">
    <cfRule type="cellIs" dxfId="3849" priority="7307" operator="equal">
      <formula>1</formula>
    </cfRule>
    <cfRule type="cellIs" dxfId="3848" priority="7308" operator="equal">
      <formula>"×"</formula>
    </cfRule>
  </conditionalFormatting>
  <conditionalFormatting sqref="AH13:AI13">
    <cfRule type="cellIs" dxfId="3847" priority="7305" operator="equal">
      <formula>1</formula>
    </cfRule>
    <cfRule type="cellIs" dxfId="3846" priority="7306" operator="equal">
      <formula>"×"</formula>
    </cfRule>
  </conditionalFormatting>
  <conditionalFormatting sqref="AI13">
    <cfRule type="cellIs" dxfId="3845" priority="7303" operator="equal">
      <formula>1</formula>
    </cfRule>
    <cfRule type="cellIs" dxfId="3844" priority="7304" operator="equal">
      <formula>"×"</formula>
    </cfRule>
  </conditionalFormatting>
  <conditionalFormatting sqref="AH13:AI13">
    <cfRule type="cellIs" dxfId="3843" priority="7301" operator="equal">
      <formula>1</formula>
    </cfRule>
    <cfRule type="cellIs" dxfId="3842" priority="7302" operator="equal">
      <formula>"×"</formula>
    </cfRule>
  </conditionalFormatting>
  <conditionalFormatting sqref="AE10:AG10">
    <cfRule type="cellIs" dxfId="3841" priority="7275" operator="equal">
      <formula>1</formula>
    </cfRule>
    <cfRule type="cellIs" dxfId="3840" priority="7276" operator="equal">
      <formula>"×"</formula>
    </cfRule>
  </conditionalFormatting>
  <conditionalFormatting sqref="AE10:AG10">
    <cfRule type="cellIs" dxfId="3839" priority="7273" operator="equal">
      <formula>1</formula>
    </cfRule>
    <cfRule type="cellIs" dxfId="3838" priority="7274" operator="equal">
      <formula>"×"</formula>
    </cfRule>
  </conditionalFormatting>
  <conditionalFormatting sqref="AE10:AG10">
    <cfRule type="cellIs" dxfId="3837" priority="7269" operator="equal">
      <formula>1</formula>
    </cfRule>
    <cfRule type="cellIs" dxfId="3836" priority="7270" operator="equal">
      <formula>"×"</formula>
    </cfRule>
  </conditionalFormatting>
  <conditionalFormatting sqref="AE10:AG10">
    <cfRule type="cellIs" dxfId="3835" priority="7271" operator="equal">
      <formula>1</formula>
    </cfRule>
    <cfRule type="cellIs" dxfId="3834" priority="7272" operator="equal">
      <formula>"×"</formula>
    </cfRule>
  </conditionalFormatting>
  <conditionalFormatting sqref="AE10:AG10">
    <cfRule type="cellIs" dxfId="3833" priority="7299" operator="equal">
      <formula>1</formula>
    </cfRule>
    <cfRule type="cellIs" dxfId="3832" priority="7300" operator="equal">
      <formula>"×"</formula>
    </cfRule>
  </conditionalFormatting>
  <conditionalFormatting sqref="AE10:AG10">
    <cfRule type="cellIs" dxfId="3831" priority="7297" operator="equal">
      <formula>1</formula>
    </cfRule>
    <cfRule type="cellIs" dxfId="3830" priority="7298" operator="equal">
      <formula>"×"</formula>
    </cfRule>
  </conditionalFormatting>
  <conditionalFormatting sqref="AE10:AG10">
    <cfRule type="cellIs" dxfId="3829" priority="7295" operator="equal">
      <formula>1</formula>
    </cfRule>
    <cfRule type="cellIs" dxfId="3828" priority="7296" operator="equal">
      <formula>"×"</formula>
    </cfRule>
  </conditionalFormatting>
  <conditionalFormatting sqref="AE10:AG10">
    <cfRule type="cellIs" dxfId="3827" priority="7293" operator="equal">
      <formula>1</formula>
    </cfRule>
    <cfRule type="cellIs" dxfId="3826" priority="7294" operator="equal">
      <formula>"×"</formula>
    </cfRule>
  </conditionalFormatting>
  <conditionalFormatting sqref="AE10:AG10">
    <cfRule type="cellIs" dxfId="3825" priority="7291" operator="equal">
      <formula>1</formula>
    </cfRule>
    <cfRule type="cellIs" dxfId="3824" priority="7292" operator="equal">
      <formula>"×"</formula>
    </cfRule>
  </conditionalFormatting>
  <conditionalFormatting sqref="AE10:AG10">
    <cfRule type="cellIs" dxfId="3823" priority="7289" operator="equal">
      <formula>1</formula>
    </cfRule>
    <cfRule type="cellIs" dxfId="3822" priority="7290" operator="equal">
      <formula>"×"</formula>
    </cfRule>
  </conditionalFormatting>
  <conditionalFormatting sqref="AE10:AG10">
    <cfRule type="cellIs" dxfId="3821" priority="7287" operator="equal">
      <formula>1</formula>
    </cfRule>
    <cfRule type="cellIs" dxfId="3820" priority="7288" operator="equal">
      <formula>"×"</formula>
    </cfRule>
  </conditionalFormatting>
  <conditionalFormatting sqref="AE10:AG10">
    <cfRule type="cellIs" dxfId="3819" priority="7285" operator="equal">
      <formula>1</formula>
    </cfRule>
    <cfRule type="cellIs" dxfId="3818" priority="7286" operator="equal">
      <formula>"×"</formula>
    </cfRule>
  </conditionalFormatting>
  <conditionalFormatting sqref="AE10:AG10">
    <cfRule type="cellIs" dxfId="3817" priority="7283" operator="equal">
      <formula>1</formula>
    </cfRule>
    <cfRule type="cellIs" dxfId="3816" priority="7284" operator="equal">
      <formula>"×"</formula>
    </cfRule>
  </conditionalFormatting>
  <conditionalFormatting sqref="AE10:AG10">
    <cfRule type="cellIs" dxfId="3815" priority="7281" operator="equal">
      <formula>1</formula>
    </cfRule>
    <cfRule type="cellIs" dxfId="3814" priority="7282" operator="equal">
      <formula>"×"</formula>
    </cfRule>
  </conditionalFormatting>
  <conditionalFormatting sqref="AE10:AG10">
    <cfRule type="cellIs" dxfId="3813" priority="7279" operator="equal">
      <formula>1</formula>
    </cfRule>
    <cfRule type="cellIs" dxfId="3812" priority="7280" operator="equal">
      <formula>"×"</formula>
    </cfRule>
  </conditionalFormatting>
  <conditionalFormatting sqref="AE10:AG10">
    <cfRule type="cellIs" dxfId="3811" priority="7277" operator="equal">
      <formula>1</formula>
    </cfRule>
    <cfRule type="cellIs" dxfId="3810" priority="7278" operator="equal">
      <formula>"×"</formula>
    </cfRule>
  </conditionalFormatting>
  <conditionalFormatting sqref="AH10:AI10">
    <cfRule type="cellIs" dxfId="3809" priority="7243" operator="equal">
      <formula>1</formula>
    </cfRule>
    <cfRule type="cellIs" dxfId="3808" priority="7244" operator="equal">
      <formula>"×"</formula>
    </cfRule>
  </conditionalFormatting>
  <conditionalFormatting sqref="AH10:AI10">
    <cfRule type="cellIs" dxfId="3807" priority="7241" operator="equal">
      <formula>1</formula>
    </cfRule>
    <cfRule type="cellIs" dxfId="3806" priority="7242" operator="equal">
      <formula>"×"</formula>
    </cfRule>
  </conditionalFormatting>
  <conditionalFormatting sqref="AH10:AI10">
    <cfRule type="cellIs" dxfId="3805" priority="7237" operator="equal">
      <formula>1</formula>
    </cfRule>
    <cfRule type="cellIs" dxfId="3804" priority="7238" operator="equal">
      <formula>"×"</formula>
    </cfRule>
  </conditionalFormatting>
  <conditionalFormatting sqref="AH10:AI10">
    <cfRule type="cellIs" dxfId="3803" priority="7239" operator="equal">
      <formula>1</formula>
    </cfRule>
    <cfRule type="cellIs" dxfId="3802" priority="7240" operator="equal">
      <formula>"×"</formula>
    </cfRule>
  </conditionalFormatting>
  <conditionalFormatting sqref="AH10:AI10">
    <cfRule type="cellIs" dxfId="3801" priority="7267" operator="equal">
      <formula>1</formula>
    </cfRule>
    <cfRule type="cellIs" dxfId="3800" priority="7268" operator="equal">
      <formula>"×"</formula>
    </cfRule>
  </conditionalFormatting>
  <conditionalFormatting sqref="AH10:AI10">
    <cfRule type="cellIs" dxfId="3799" priority="7265" operator="equal">
      <formula>1</formula>
    </cfRule>
    <cfRule type="cellIs" dxfId="3798" priority="7266" operator="equal">
      <formula>"×"</formula>
    </cfRule>
  </conditionalFormatting>
  <conditionalFormatting sqref="AH10:AI10">
    <cfRule type="cellIs" dxfId="3797" priority="7263" operator="equal">
      <formula>1</formula>
    </cfRule>
    <cfRule type="cellIs" dxfId="3796" priority="7264" operator="equal">
      <formula>"×"</formula>
    </cfRule>
  </conditionalFormatting>
  <conditionalFormatting sqref="AH10:AI10">
    <cfRule type="cellIs" dxfId="3795" priority="7261" operator="equal">
      <formula>1</formula>
    </cfRule>
    <cfRule type="cellIs" dxfId="3794" priority="7262" operator="equal">
      <formula>"×"</formula>
    </cfRule>
  </conditionalFormatting>
  <conditionalFormatting sqref="AH10:AI10">
    <cfRule type="cellIs" dxfId="3793" priority="7259" operator="equal">
      <formula>1</formula>
    </cfRule>
    <cfRule type="cellIs" dxfId="3792" priority="7260" operator="equal">
      <formula>"×"</formula>
    </cfRule>
  </conditionalFormatting>
  <conditionalFormatting sqref="AH10:AI10">
    <cfRule type="cellIs" dxfId="3791" priority="7257" operator="equal">
      <formula>1</formula>
    </cfRule>
    <cfRule type="cellIs" dxfId="3790" priority="7258" operator="equal">
      <formula>"×"</formula>
    </cfRule>
  </conditionalFormatting>
  <conditionalFormatting sqref="AH10:AI10">
    <cfRule type="cellIs" dxfId="3789" priority="7255" operator="equal">
      <formula>1</formula>
    </cfRule>
    <cfRule type="cellIs" dxfId="3788" priority="7256" operator="equal">
      <formula>"×"</formula>
    </cfRule>
  </conditionalFormatting>
  <conditionalFormatting sqref="AH10:AI10">
    <cfRule type="cellIs" dxfId="3787" priority="7253" operator="equal">
      <formula>1</formula>
    </cfRule>
    <cfRule type="cellIs" dxfId="3786" priority="7254" operator="equal">
      <formula>"×"</formula>
    </cfRule>
  </conditionalFormatting>
  <conditionalFormatting sqref="AH10:AI10">
    <cfRule type="cellIs" dxfId="3785" priority="7251" operator="equal">
      <formula>1</formula>
    </cfRule>
    <cfRule type="cellIs" dxfId="3784" priority="7252" operator="equal">
      <formula>"×"</formula>
    </cfRule>
  </conditionalFormatting>
  <conditionalFormatting sqref="AH10:AI10">
    <cfRule type="cellIs" dxfId="3783" priority="7249" operator="equal">
      <formula>1</formula>
    </cfRule>
    <cfRule type="cellIs" dxfId="3782" priority="7250" operator="equal">
      <formula>"×"</formula>
    </cfRule>
  </conditionalFormatting>
  <conditionalFormatting sqref="AH10:AI10">
    <cfRule type="cellIs" dxfId="3781" priority="7247" operator="equal">
      <formula>1</formula>
    </cfRule>
    <cfRule type="cellIs" dxfId="3780" priority="7248" operator="equal">
      <formula>"×"</formula>
    </cfRule>
  </conditionalFormatting>
  <conditionalFormatting sqref="AH10:AI10">
    <cfRule type="cellIs" dxfId="3779" priority="7245" operator="equal">
      <formula>1</formula>
    </cfRule>
    <cfRule type="cellIs" dxfId="3778" priority="7246" operator="equal">
      <formula>"×"</formula>
    </cfRule>
  </conditionalFormatting>
  <conditionalFormatting sqref="AH11">
    <cfRule type="cellIs" dxfId="3777" priority="7235" operator="equal">
      <formula>1</formula>
    </cfRule>
    <cfRule type="cellIs" dxfId="3776" priority="7236" operator="equal">
      <formula>"×"</formula>
    </cfRule>
  </conditionalFormatting>
  <conditionalFormatting sqref="AH11">
    <cfRule type="cellIs" dxfId="3775" priority="7233" operator="equal">
      <formula>1</formula>
    </cfRule>
    <cfRule type="cellIs" dxfId="3774" priority="7234" operator="equal">
      <formula>"×"</formula>
    </cfRule>
  </conditionalFormatting>
  <conditionalFormatting sqref="AH11">
    <cfRule type="cellIs" dxfId="3773" priority="7207" operator="equal">
      <formula>1</formula>
    </cfRule>
    <cfRule type="cellIs" dxfId="3772" priority="7208" operator="equal">
      <formula>"×"</formula>
    </cfRule>
  </conditionalFormatting>
  <conditionalFormatting sqref="AH11">
    <cfRule type="cellIs" dxfId="3771" priority="7205" operator="equal">
      <formula>1</formula>
    </cfRule>
    <cfRule type="cellIs" dxfId="3770" priority="7206" operator="equal">
      <formula>"×"</formula>
    </cfRule>
  </conditionalFormatting>
  <conditionalFormatting sqref="AH11">
    <cfRule type="cellIs" dxfId="3769" priority="7203" operator="equal">
      <formula>1</formula>
    </cfRule>
    <cfRule type="cellIs" dxfId="3768" priority="7204" operator="equal">
      <formula>"×"</formula>
    </cfRule>
  </conditionalFormatting>
  <conditionalFormatting sqref="AH11">
    <cfRule type="cellIs" dxfId="3767" priority="7231" operator="equal">
      <formula>1</formula>
    </cfRule>
    <cfRule type="cellIs" dxfId="3766" priority="7232" operator="equal">
      <formula>"×"</formula>
    </cfRule>
  </conditionalFormatting>
  <conditionalFormatting sqref="AH11">
    <cfRule type="cellIs" dxfId="3765" priority="7229" operator="equal">
      <formula>1</formula>
    </cfRule>
    <cfRule type="cellIs" dxfId="3764" priority="7230" operator="equal">
      <formula>"×"</formula>
    </cfRule>
  </conditionalFormatting>
  <conditionalFormatting sqref="AH11">
    <cfRule type="cellIs" dxfId="3763" priority="7227" operator="equal">
      <formula>1</formula>
    </cfRule>
    <cfRule type="cellIs" dxfId="3762" priority="7228" operator="equal">
      <formula>"×"</formula>
    </cfRule>
  </conditionalFormatting>
  <conditionalFormatting sqref="AH11">
    <cfRule type="cellIs" dxfId="3761" priority="7225" operator="equal">
      <formula>1</formula>
    </cfRule>
    <cfRule type="cellIs" dxfId="3760" priority="7226" operator="equal">
      <formula>"×"</formula>
    </cfRule>
  </conditionalFormatting>
  <conditionalFormatting sqref="AH11">
    <cfRule type="cellIs" dxfId="3759" priority="7223" operator="equal">
      <formula>1</formula>
    </cfRule>
    <cfRule type="cellIs" dxfId="3758" priority="7224" operator="equal">
      <formula>"×"</formula>
    </cfRule>
  </conditionalFormatting>
  <conditionalFormatting sqref="AH11">
    <cfRule type="cellIs" dxfId="3757" priority="7221" operator="equal">
      <formula>1</formula>
    </cfRule>
    <cfRule type="cellIs" dxfId="3756" priority="7222" operator="equal">
      <formula>"×"</formula>
    </cfRule>
  </conditionalFormatting>
  <conditionalFormatting sqref="AH11">
    <cfRule type="cellIs" dxfId="3755" priority="7219" operator="equal">
      <formula>1</formula>
    </cfRule>
    <cfRule type="cellIs" dxfId="3754" priority="7220" operator="equal">
      <formula>"×"</formula>
    </cfRule>
  </conditionalFormatting>
  <conditionalFormatting sqref="AH11">
    <cfRule type="cellIs" dxfId="3753" priority="7217" operator="equal">
      <formula>1</formula>
    </cfRule>
    <cfRule type="cellIs" dxfId="3752" priority="7218" operator="equal">
      <formula>"×"</formula>
    </cfRule>
  </conditionalFormatting>
  <conditionalFormatting sqref="AH11">
    <cfRule type="cellIs" dxfId="3751" priority="7215" operator="equal">
      <formula>1</formula>
    </cfRule>
    <cfRule type="cellIs" dxfId="3750" priority="7216" operator="equal">
      <formula>"×"</formula>
    </cfRule>
  </conditionalFormatting>
  <conditionalFormatting sqref="AH11">
    <cfRule type="cellIs" dxfId="3749" priority="7213" operator="equal">
      <formula>1</formula>
    </cfRule>
    <cfRule type="cellIs" dxfId="3748" priority="7214" operator="equal">
      <formula>"×"</formula>
    </cfRule>
  </conditionalFormatting>
  <conditionalFormatting sqref="AH11">
    <cfRule type="cellIs" dxfId="3747" priority="7211" operator="equal">
      <formula>1</formula>
    </cfRule>
    <cfRule type="cellIs" dxfId="3746" priority="7212" operator="equal">
      <formula>"×"</formula>
    </cfRule>
  </conditionalFormatting>
  <conditionalFormatting sqref="AH11">
    <cfRule type="cellIs" dxfId="3745" priority="7209" operator="equal">
      <formula>1</formula>
    </cfRule>
    <cfRule type="cellIs" dxfId="3744" priority="7210" operator="equal">
      <formula>"×"</formula>
    </cfRule>
  </conditionalFormatting>
  <conditionalFormatting sqref="AE16">
    <cfRule type="cellIs" dxfId="3743" priority="7187" operator="equal">
      <formula>1</formula>
    </cfRule>
    <cfRule type="cellIs" dxfId="3742" priority="7188" operator="equal">
      <formula>"×"</formula>
    </cfRule>
  </conditionalFormatting>
  <conditionalFormatting sqref="AE16">
    <cfRule type="cellIs" dxfId="3741" priority="7199" operator="equal">
      <formula>1</formula>
    </cfRule>
    <cfRule type="cellIs" dxfId="3740" priority="7200" operator="equal">
      <formula>"×"</formula>
    </cfRule>
  </conditionalFormatting>
  <conditionalFormatting sqref="AE16">
    <cfRule type="cellIs" dxfId="3739" priority="7197" operator="equal">
      <formula>1</formula>
    </cfRule>
    <cfRule type="cellIs" dxfId="3738" priority="7198" operator="equal">
      <formula>"×"</formula>
    </cfRule>
  </conditionalFormatting>
  <conditionalFormatting sqref="AE16">
    <cfRule type="cellIs" dxfId="3737" priority="7195" operator="equal">
      <formula>1</formula>
    </cfRule>
    <cfRule type="cellIs" dxfId="3736" priority="7196" operator="equal">
      <formula>"×"</formula>
    </cfRule>
  </conditionalFormatting>
  <conditionalFormatting sqref="AE16">
    <cfRule type="cellIs" dxfId="3735" priority="7193" operator="equal">
      <formula>1</formula>
    </cfRule>
    <cfRule type="cellIs" dxfId="3734" priority="7194" operator="equal">
      <formula>"×"</formula>
    </cfRule>
  </conditionalFormatting>
  <conditionalFormatting sqref="AE16">
    <cfRule type="cellIs" dxfId="3733" priority="7191" operator="equal">
      <formula>1</formula>
    </cfRule>
    <cfRule type="cellIs" dxfId="3732" priority="7192" operator="equal">
      <formula>"×"</formula>
    </cfRule>
  </conditionalFormatting>
  <conditionalFormatting sqref="AE16">
    <cfRule type="cellIs" dxfId="3731" priority="7189" operator="equal">
      <formula>1</formula>
    </cfRule>
    <cfRule type="cellIs" dxfId="3730" priority="7190" operator="equal">
      <formula>"×"</formula>
    </cfRule>
  </conditionalFormatting>
  <conditionalFormatting sqref="AE16">
    <cfRule type="cellIs" dxfId="3729" priority="7183" operator="equal">
      <formula>1</formula>
    </cfRule>
    <cfRule type="cellIs" dxfId="3728" priority="7184" operator="equal">
      <formula>"×"</formula>
    </cfRule>
  </conditionalFormatting>
  <conditionalFormatting sqref="AE16">
    <cfRule type="cellIs" dxfId="3727" priority="7159" operator="equal">
      <formula>1</formula>
    </cfRule>
    <cfRule type="cellIs" dxfId="3726" priority="7160" operator="equal">
      <formula>"×"</formula>
    </cfRule>
  </conditionalFormatting>
  <conditionalFormatting sqref="AE16">
    <cfRule type="cellIs" dxfId="3725" priority="7163" operator="equal">
      <formula>1</formula>
    </cfRule>
    <cfRule type="cellIs" dxfId="3724" priority="7164" operator="equal">
      <formula>"×"</formula>
    </cfRule>
  </conditionalFormatting>
  <conditionalFormatting sqref="AE16">
    <cfRule type="cellIs" dxfId="3723" priority="7161" operator="equal">
      <formula>1</formula>
    </cfRule>
    <cfRule type="cellIs" dxfId="3722" priority="7162" operator="equal">
      <formula>"×"</formula>
    </cfRule>
  </conditionalFormatting>
  <conditionalFormatting sqref="AE16">
    <cfRule type="cellIs" dxfId="3721" priority="7157" operator="equal">
      <formula>1</formula>
    </cfRule>
    <cfRule type="cellIs" dxfId="3720" priority="7158" operator="equal">
      <formula>"×"</formula>
    </cfRule>
  </conditionalFormatting>
  <conditionalFormatting sqref="AE16">
    <cfRule type="cellIs" dxfId="3719" priority="7181" operator="equal">
      <formula>1</formula>
    </cfRule>
    <cfRule type="cellIs" dxfId="3718" priority="7182" operator="equal">
      <formula>"×"</formula>
    </cfRule>
  </conditionalFormatting>
  <conditionalFormatting sqref="AE16">
    <cfRule type="cellIs" dxfId="3717" priority="7179" operator="equal">
      <formula>1</formula>
    </cfRule>
    <cfRule type="cellIs" dxfId="3716" priority="7180" operator="equal">
      <formula>"×"</formula>
    </cfRule>
  </conditionalFormatting>
  <conditionalFormatting sqref="AE16">
    <cfRule type="cellIs" dxfId="3715" priority="7177" operator="equal">
      <formula>1</formula>
    </cfRule>
    <cfRule type="cellIs" dxfId="3714" priority="7178" operator="equal">
      <formula>"×"</formula>
    </cfRule>
  </conditionalFormatting>
  <conditionalFormatting sqref="AE16">
    <cfRule type="cellIs" dxfId="3713" priority="7175" operator="equal">
      <formula>1</formula>
    </cfRule>
    <cfRule type="cellIs" dxfId="3712" priority="7176" operator="equal">
      <formula>"×"</formula>
    </cfRule>
  </conditionalFormatting>
  <conditionalFormatting sqref="AE16">
    <cfRule type="cellIs" dxfId="3711" priority="7173" operator="equal">
      <formula>1</formula>
    </cfRule>
    <cfRule type="cellIs" dxfId="3710" priority="7174" operator="equal">
      <formula>"×"</formula>
    </cfRule>
  </conditionalFormatting>
  <conditionalFormatting sqref="AE16">
    <cfRule type="cellIs" dxfId="3709" priority="7171" operator="equal">
      <formula>1</formula>
    </cfRule>
    <cfRule type="cellIs" dxfId="3708" priority="7172" operator="equal">
      <formula>"×"</formula>
    </cfRule>
  </conditionalFormatting>
  <conditionalFormatting sqref="AE16">
    <cfRule type="cellIs" dxfId="3707" priority="7169" operator="equal">
      <formula>1</formula>
    </cfRule>
    <cfRule type="cellIs" dxfId="3706" priority="7170" operator="equal">
      <formula>"×"</formula>
    </cfRule>
  </conditionalFormatting>
  <conditionalFormatting sqref="AE16">
    <cfRule type="cellIs" dxfId="3705" priority="7167" operator="equal">
      <formula>1</formula>
    </cfRule>
    <cfRule type="cellIs" dxfId="3704" priority="7168" operator="equal">
      <formula>"×"</formula>
    </cfRule>
  </conditionalFormatting>
  <conditionalFormatting sqref="AE16">
    <cfRule type="cellIs" dxfId="3703" priority="7165" operator="equal">
      <formula>1</formula>
    </cfRule>
    <cfRule type="cellIs" dxfId="3702" priority="7166" operator="equal">
      <formula>"×"</formula>
    </cfRule>
  </conditionalFormatting>
  <conditionalFormatting sqref="AC16">
    <cfRule type="cellIs" dxfId="3701" priority="7129" operator="equal">
      <formula>1</formula>
    </cfRule>
    <cfRule type="cellIs" dxfId="3700" priority="7130" operator="equal">
      <formula>"×"</formula>
    </cfRule>
  </conditionalFormatting>
  <conditionalFormatting sqref="AD16">
    <cfRule type="cellIs" dxfId="3699" priority="7127" operator="equal">
      <formula>1</formula>
    </cfRule>
    <cfRule type="cellIs" dxfId="3698" priority="7128" operator="equal">
      <formula>"×"</formula>
    </cfRule>
  </conditionalFormatting>
  <conditionalFormatting sqref="AD16">
    <cfRule type="cellIs" dxfId="3697" priority="7125" operator="equal">
      <formula>1</formula>
    </cfRule>
    <cfRule type="cellIs" dxfId="3696" priority="7126" operator="equal">
      <formula>"×"</formula>
    </cfRule>
  </conditionalFormatting>
  <conditionalFormatting sqref="AD16">
    <cfRule type="cellIs" dxfId="3695" priority="7121" operator="equal">
      <formula>1</formula>
    </cfRule>
    <cfRule type="cellIs" dxfId="3694" priority="7122" operator="equal">
      <formula>"×"</formula>
    </cfRule>
  </conditionalFormatting>
  <conditionalFormatting sqref="AD16">
    <cfRule type="cellIs" dxfId="3693" priority="7123" operator="equal">
      <formula>1</formula>
    </cfRule>
    <cfRule type="cellIs" dxfId="3692" priority="7124" operator="equal">
      <formula>"×"</formula>
    </cfRule>
  </conditionalFormatting>
  <conditionalFormatting sqref="AC16">
    <cfRule type="cellIs" dxfId="3691" priority="7155" operator="equal">
      <formula>1</formula>
    </cfRule>
    <cfRule type="cellIs" dxfId="3690" priority="7156" operator="equal">
      <formula>"×"</formula>
    </cfRule>
  </conditionalFormatting>
  <conditionalFormatting sqref="AD16">
    <cfRule type="cellIs" dxfId="3689" priority="7153" operator="equal">
      <formula>1</formula>
    </cfRule>
    <cfRule type="cellIs" dxfId="3688" priority="7154" operator="equal">
      <formula>"×"</formula>
    </cfRule>
  </conditionalFormatting>
  <conditionalFormatting sqref="AD16">
    <cfRule type="cellIs" dxfId="3687" priority="7151" operator="equal">
      <formula>1</formula>
    </cfRule>
    <cfRule type="cellIs" dxfId="3686" priority="7152" operator="equal">
      <formula>"×"</formula>
    </cfRule>
  </conditionalFormatting>
  <conditionalFormatting sqref="AD16">
    <cfRule type="cellIs" dxfId="3685" priority="7149" operator="equal">
      <formula>1</formula>
    </cfRule>
    <cfRule type="cellIs" dxfId="3684" priority="7150" operator="equal">
      <formula>"×"</formula>
    </cfRule>
  </conditionalFormatting>
  <conditionalFormatting sqref="AD16">
    <cfRule type="cellIs" dxfId="3683" priority="7147" operator="equal">
      <formula>1</formula>
    </cfRule>
    <cfRule type="cellIs" dxfId="3682" priority="7148" operator="equal">
      <formula>"×"</formula>
    </cfRule>
  </conditionalFormatting>
  <conditionalFormatting sqref="AD16">
    <cfRule type="cellIs" dxfId="3681" priority="7145" operator="equal">
      <formula>1</formula>
    </cfRule>
    <cfRule type="cellIs" dxfId="3680" priority="7146" operator="equal">
      <formula>"×"</formula>
    </cfRule>
  </conditionalFormatting>
  <conditionalFormatting sqref="AD16">
    <cfRule type="cellIs" dxfId="3679" priority="7143" operator="equal">
      <formula>1</formula>
    </cfRule>
    <cfRule type="cellIs" dxfId="3678" priority="7144" operator="equal">
      <formula>"×"</formula>
    </cfRule>
  </conditionalFormatting>
  <conditionalFormatting sqref="AD16">
    <cfRule type="cellIs" dxfId="3677" priority="7141" operator="equal">
      <formula>1</formula>
    </cfRule>
    <cfRule type="cellIs" dxfId="3676" priority="7142" operator="equal">
      <formula>"×"</formula>
    </cfRule>
  </conditionalFormatting>
  <conditionalFormatting sqref="AD16">
    <cfRule type="cellIs" dxfId="3675" priority="7139" operator="equal">
      <formula>1</formula>
    </cfRule>
    <cfRule type="cellIs" dxfId="3674" priority="7140" operator="equal">
      <formula>"×"</formula>
    </cfRule>
  </conditionalFormatting>
  <conditionalFormatting sqref="AD16">
    <cfRule type="cellIs" dxfId="3673" priority="7137" operator="equal">
      <formula>1</formula>
    </cfRule>
    <cfRule type="cellIs" dxfId="3672" priority="7138" operator="equal">
      <formula>"×"</formula>
    </cfRule>
  </conditionalFormatting>
  <conditionalFormatting sqref="AD16">
    <cfRule type="cellIs" dxfId="3671" priority="7135" operator="equal">
      <formula>1</formula>
    </cfRule>
    <cfRule type="cellIs" dxfId="3670" priority="7136" operator="equal">
      <formula>"×"</formula>
    </cfRule>
  </conditionalFormatting>
  <conditionalFormatting sqref="AD16">
    <cfRule type="cellIs" dxfId="3669" priority="7133" operator="equal">
      <formula>1</formula>
    </cfRule>
    <cfRule type="cellIs" dxfId="3668" priority="7134" operator="equal">
      <formula>"×"</formula>
    </cfRule>
  </conditionalFormatting>
  <conditionalFormatting sqref="AD16">
    <cfRule type="cellIs" dxfId="3667" priority="7131" operator="equal">
      <formula>1</formula>
    </cfRule>
    <cfRule type="cellIs" dxfId="3666" priority="7132" operator="equal">
      <formula>"×"</formula>
    </cfRule>
  </conditionalFormatting>
  <conditionalFormatting sqref="AC16:AD16">
    <cfRule type="cellIs" dxfId="3665" priority="7119" operator="equal">
      <formula>1</formula>
    </cfRule>
    <cfRule type="cellIs" dxfId="3664" priority="7120" operator="equal">
      <formula>"×"</formula>
    </cfRule>
  </conditionalFormatting>
  <conditionalFormatting sqref="AB16">
    <cfRule type="cellIs" dxfId="3663" priority="7117" operator="equal">
      <formula>1</formula>
    </cfRule>
    <cfRule type="cellIs" dxfId="3662" priority="7118" operator="equal">
      <formula>"×"</formula>
    </cfRule>
  </conditionalFormatting>
  <conditionalFormatting sqref="AF16">
    <cfRule type="cellIs" dxfId="3661" priority="7101" operator="equal">
      <formula>1</formula>
    </cfRule>
    <cfRule type="cellIs" dxfId="3660" priority="7102" operator="equal">
      <formula>"×"</formula>
    </cfRule>
  </conditionalFormatting>
  <conditionalFormatting sqref="AF16">
    <cfRule type="cellIs" dxfId="3659" priority="7099" operator="equal">
      <formula>1</formula>
    </cfRule>
    <cfRule type="cellIs" dxfId="3658" priority="7100" operator="equal">
      <formula>"×"</formula>
    </cfRule>
  </conditionalFormatting>
  <conditionalFormatting sqref="AI16">
    <cfRule type="cellIs" dxfId="3657" priority="7113" operator="equal">
      <formula>1</formula>
    </cfRule>
    <cfRule type="cellIs" dxfId="3656" priority="7114" operator="equal">
      <formula>"×"</formula>
    </cfRule>
  </conditionalFormatting>
  <conditionalFormatting sqref="AF16:AI16">
    <cfRule type="cellIs" dxfId="3655" priority="7115" operator="equal">
      <formula>1</formula>
    </cfRule>
    <cfRule type="cellIs" dxfId="3654" priority="7116" operator="equal">
      <formula>"×"</formula>
    </cfRule>
  </conditionalFormatting>
  <conditionalFormatting sqref="AG20:AI21">
    <cfRule type="cellIs" dxfId="3653" priority="3423" operator="equal">
      <formula>1</formula>
    </cfRule>
    <cfRule type="cellIs" dxfId="3652" priority="3424" operator="equal">
      <formula>"×"</formula>
    </cfRule>
  </conditionalFormatting>
  <conditionalFormatting sqref="AI20:AI21">
    <cfRule type="cellIs" dxfId="3651" priority="3421" operator="equal">
      <formula>1</formula>
    </cfRule>
    <cfRule type="cellIs" dxfId="3650" priority="3422" operator="equal">
      <formula>"×"</formula>
    </cfRule>
  </conditionalFormatting>
  <conditionalFormatting sqref="AI20:AI21">
    <cfRule type="cellIs" dxfId="3649" priority="3419" operator="equal">
      <formula>1</formula>
    </cfRule>
    <cfRule type="cellIs" dxfId="3648" priority="3420" operator="equal">
      <formula>"×"</formula>
    </cfRule>
  </conditionalFormatting>
  <conditionalFormatting sqref="AI20:AI21">
    <cfRule type="cellIs" dxfId="3647" priority="3417" operator="equal">
      <formula>1</formula>
    </cfRule>
    <cfRule type="cellIs" dxfId="3646" priority="3418" operator="equal">
      <formula>"×"</formula>
    </cfRule>
  </conditionalFormatting>
  <conditionalFormatting sqref="AI20:AI21">
    <cfRule type="cellIs" dxfId="3645" priority="3415" operator="equal">
      <formula>1</formula>
    </cfRule>
    <cfRule type="cellIs" dxfId="3644" priority="3416" operator="equal">
      <formula>"×"</formula>
    </cfRule>
  </conditionalFormatting>
  <conditionalFormatting sqref="AF20:AF21">
    <cfRule type="cellIs" dxfId="3643" priority="3409" operator="equal">
      <formula>1</formula>
    </cfRule>
    <cfRule type="cellIs" dxfId="3642" priority="3410" operator="equal">
      <formula>"×"</formula>
    </cfRule>
  </conditionalFormatting>
  <conditionalFormatting sqref="AF20:AF21">
    <cfRule type="cellIs" dxfId="3641" priority="3407" operator="equal">
      <formula>1</formula>
    </cfRule>
    <cfRule type="cellIs" dxfId="3640" priority="3408" operator="equal">
      <formula>"×"</formula>
    </cfRule>
  </conditionalFormatting>
  <conditionalFormatting sqref="AF20:AI21">
    <cfRule type="cellIs" dxfId="3639" priority="3405" operator="equal">
      <formula>1</formula>
    </cfRule>
    <cfRule type="cellIs" dxfId="3638" priority="3406" operator="equal">
      <formula>"×"</formula>
    </cfRule>
  </conditionalFormatting>
  <conditionalFormatting sqref="AI20">
    <cfRule type="cellIs" dxfId="3637" priority="3403" operator="equal">
      <formula>1</formula>
    </cfRule>
    <cfRule type="cellIs" dxfId="3636" priority="3404" operator="equal">
      <formula>"×"</formula>
    </cfRule>
  </conditionalFormatting>
  <conditionalFormatting sqref="AF20:AI21">
    <cfRule type="cellIs" dxfId="3635" priority="3401" operator="equal">
      <formula>1</formula>
    </cfRule>
    <cfRule type="cellIs" dxfId="3634" priority="3402" operator="equal">
      <formula>"×"</formula>
    </cfRule>
  </conditionalFormatting>
  <conditionalFormatting sqref="AF20:AI21">
    <cfRule type="cellIs" dxfId="3633" priority="3399" operator="equal">
      <formula>1</formula>
    </cfRule>
    <cfRule type="cellIs" dxfId="3632" priority="3400" operator="equal">
      <formula>"×"</formula>
    </cfRule>
  </conditionalFormatting>
  <conditionalFormatting sqref="AE20:AE21">
    <cfRule type="cellIs" dxfId="3631" priority="3383" operator="equal">
      <formula>1</formula>
    </cfRule>
    <cfRule type="cellIs" dxfId="3630" priority="3384" operator="equal">
      <formula>"×"</formula>
    </cfRule>
  </conditionalFormatting>
  <conditionalFormatting sqref="AE20:AE21">
    <cfRule type="cellIs" dxfId="3629" priority="3381" operator="equal">
      <formula>1</formula>
    </cfRule>
    <cfRule type="cellIs" dxfId="3628" priority="3382" operator="equal">
      <formula>"×"</formula>
    </cfRule>
  </conditionalFormatting>
  <conditionalFormatting sqref="AE20:AE21">
    <cfRule type="cellIs" dxfId="3627" priority="3379" operator="equal">
      <formula>1</formula>
    </cfRule>
    <cfRule type="cellIs" dxfId="3626" priority="3380" operator="equal">
      <formula>"×"</formula>
    </cfRule>
  </conditionalFormatting>
  <conditionalFormatting sqref="AI20">
    <cfRule type="cellIs" dxfId="3625" priority="3397" operator="equal">
      <formula>1</formula>
    </cfRule>
    <cfRule type="cellIs" dxfId="3624" priority="3398" operator="equal">
      <formula>"×"</formula>
    </cfRule>
  </conditionalFormatting>
  <conditionalFormatting sqref="AF20:AI21">
    <cfRule type="cellIs" dxfId="3623" priority="3395" operator="equal">
      <formula>1</formula>
    </cfRule>
    <cfRule type="cellIs" dxfId="3622" priority="3396" operator="equal">
      <formula>"×"</formula>
    </cfRule>
  </conditionalFormatting>
  <conditionalFormatting sqref="AF20:AI21">
    <cfRule type="cellIs" dxfId="3621" priority="3393" operator="equal">
      <formula>1</formula>
    </cfRule>
    <cfRule type="cellIs" dxfId="3620" priority="3394" operator="equal">
      <formula>"×"</formula>
    </cfRule>
  </conditionalFormatting>
  <conditionalFormatting sqref="AI20">
    <cfRule type="cellIs" dxfId="3619" priority="3391" operator="equal">
      <formula>1</formula>
    </cfRule>
    <cfRule type="cellIs" dxfId="3618" priority="3392" operator="equal">
      <formula>"×"</formula>
    </cfRule>
  </conditionalFormatting>
  <conditionalFormatting sqref="AE20:AE21">
    <cfRule type="cellIs" dxfId="3617" priority="3389" operator="equal">
      <formula>1</formula>
    </cfRule>
    <cfRule type="cellIs" dxfId="3616" priority="3390" operator="equal">
      <formula>"×"</formula>
    </cfRule>
  </conditionalFormatting>
  <conditionalFormatting sqref="AE20:AE21">
    <cfRule type="cellIs" dxfId="3615" priority="3387" operator="equal">
      <formula>1</formula>
    </cfRule>
    <cfRule type="cellIs" dxfId="3614" priority="3388" operator="equal">
      <formula>"×"</formula>
    </cfRule>
  </conditionalFormatting>
  <conditionalFormatting sqref="AE20:AE21">
    <cfRule type="cellIs" dxfId="3613" priority="3385" operator="equal">
      <formula>1</formula>
    </cfRule>
    <cfRule type="cellIs" dxfId="3612" priority="3386" operator="equal">
      <formula>"×"</formula>
    </cfRule>
  </conditionalFormatting>
  <conditionalFormatting sqref="AE20:AE21">
    <cfRule type="cellIs" dxfId="3611" priority="3377" operator="equal">
      <formula>1</formula>
    </cfRule>
    <cfRule type="cellIs" dxfId="3610" priority="3378" operator="equal">
      <formula>"×"</formula>
    </cfRule>
  </conditionalFormatting>
  <conditionalFormatting sqref="AE20:AE21">
    <cfRule type="cellIs" dxfId="3609" priority="3375" operator="equal">
      <formula>1</formula>
    </cfRule>
    <cfRule type="cellIs" dxfId="3608" priority="3376" operator="equal">
      <formula>"×"</formula>
    </cfRule>
  </conditionalFormatting>
  <conditionalFormatting sqref="AE20:AE21">
    <cfRule type="cellIs" dxfId="3607" priority="3373" operator="equal">
      <formula>1</formula>
    </cfRule>
    <cfRule type="cellIs" dxfId="3606" priority="3374" operator="equal">
      <formula>"×"</formula>
    </cfRule>
  </conditionalFormatting>
  <conditionalFormatting sqref="AE20:AE21">
    <cfRule type="cellIs" dxfId="3605" priority="3369" operator="equal">
      <formula>1</formula>
    </cfRule>
    <cfRule type="cellIs" dxfId="3604" priority="3370" operator="equal">
      <formula>"×"</formula>
    </cfRule>
  </conditionalFormatting>
  <conditionalFormatting sqref="AE20:AE21">
    <cfRule type="cellIs" dxfId="3603" priority="3371" operator="equal">
      <formula>1</formula>
    </cfRule>
    <cfRule type="cellIs" dxfId="3602" priority="3372" operator="equal">
      <formula>"×"</formula>
    </cfRule>
  </conditionalFormatting>
  <conditionalFormatting sqref="AE20:AE21">
    <cfRule type="cellIs" dxfId="3601" priority="3367" operator="equal">
      <formula>1</formula>
    </cfRule>
    <cfRule type="cellIs" dxfId="3600" priority="3368" operator="equal">
      <formula>"×"</formula>
    </cfRule>
  </conditionalFormatting>
  <conditionalFormatting sqref="AE20:AE21">
    <cfRule type="cellIs" dxfId="3599" priority="3365" operator="equal">
      <formula>1</formula>
    </cfRule>
    <cfRule type="cellIs" dxfId="3598" priority="3366" operator="equal">
      <formula>"×"</formula>
    </cfRule>
  </conditionalFormatting>
  <conditionalFormatting sqref="AE20:AE21">
    <cfRule type="cellIs" dxfId="3597" priority="3363" operator="equal">
      <formula>1</formula>
    </cfRule>
    <cfRule type="cellIs" dxfId="3596" priority="3364" operator="equal">
      <formula>"×"</formula>
    </cfRule>
  </conditionalFormatting>
  <conditionalFormatting sqref="AE20:AE21">
    <cfRule type="cellIs" dxfId="3595" priority="3361" operator="equal">
      <formula>1</formula>
    </cfRule>
    <cfRule type="cellIs" dxfId="3594" priority="3362" operator="equal">
      <formula>"×"</formula>
    </cfRule>
  </conditionalFormatting>
  <conditionalFormatting sqref="AH19:AI19">
    <cfRule type="cellIs" dxfId="3593" priority="7047" operator="equal">
      <formula>1</formula>
    </cfRule>
    <cfRule type="cellIs" dxfId="3592" priority="7048" operator="equal">
      <formula>"×"</formula>
    </cfRule>
  </conditionalFormatting>
  <conditionalFormatting sqref="AI19">
    <cfRule type="cellIs" dxfId="3591" priority="7045" operator="equal">
      <formula>1</formula>
    </cfRule>
    <cfRule type="cellIs" dxfId="3590" priority="7046" operator="equal">
      <formula>"×"</formula>
    </cfRule>
  </conditionalFormatting>
  <conditionalFormatting sqref="AH19:AI19">
    <cfRule type="cellIs" dxfId="3589" priority="7043" operator="equal">
      <formula>1</formula>
    </cfRule>
    <cfRule type="cellIs" dxfId="3588" priority="7044" operator="equal">
      <formula>"×"</formula>
    </cfRule>
  </conditionalFormatting>
  <conditionalFormatting sqref="AH19:AI19">
    <cfRule type="cellIs" dxfId="3587" priority="7041" operator="equal">
      <formula>1</formula>
    </cfRule>
    <cfRule type="cellIs" dxfId="3586" priority="7042" operator="equal">
      <formula>"×"</formula>
    </cfRule>
  </conditionalFormatting>
  <conditionalFormatting sqref="AI19">
    <cfRule type="cellIs" dxfId="3585" priority="7039" operator="equal">
      <formula>1</formula>
    </cfRule>
    <cfRule type="cellIs" dxfId="3584" priority="7040" operator="equal">
      <formula>"×"</formula>
    </cfRule>
  </conditionalFormatting>
  <conditionalFormatting sqref="AH19:AI19">
    <cfRule type="cellIs" dxfId="3583" priority="7037" operator="equal">
      <formula>1</formula>
    </cfRule>
    <cfRule type="cellIs" dxfId="3582" priority="7038" operator="equal">
      <formula>"×"</formula>
    </cfRule>
  </conditionalFormatting>
  <conditionalFormatting sqref="AF16:AG16">
    <cfRule type="cellIs" dxfId="3581" priority="7011" operator="equal">
      <formula>1</formula>
    </cfRule>
    <cfRule type="cellIs" dxfId="3580" priority="7012" operator="equal">
      <formula>"×"</formula>
    </cfRule>
  </conditionalFormatting>
  <conditionalFormatting sqref="AF16:AG16">
    <cfRule type="cellIs" dxfId="3579" priority="7009" operator="equal">
      <formula>1</formula>
    </cfRule>
    <cfRule type="cellIs" dxfId="3578" priority="7010" operator="equal">
      <formula>"×"</formula>
    </cfRule>
  </conditionalFormatting>
  <conditionalFormatting sqref="AF16:AG16">
    <cfRule type="cellIs" dxfId="3577" priority="7005" operator="equal">
      <formula>1</formula>
    </cfRule>
    <cfRule type="cellIs" dxfId="3576" priority="7006" operator="equal">
      <formula>"×"</formula>
    </cfRule>
  </conditionalFormatting>
  <conditionalFormatting sqref="AF16:AG16">
    <cfRule type="cellIs" dxfId="3575" priority="7007" operator="equal">
      <formula>1</formula>
    </cfRule>
    <cfRule type="cellIs" dxfId="3574" priority="7008" operator="equal">
      <formula>"×"</formula>
    </cfRule>
  </conditionalFormatting>
  <conditionalFormatting sqref="AF16:AG16">
    <cfRule type="cellIs" dxfId="3573" priority="7035" operator="equal">
      <formula>1</formula>
    </cfRule>
    <cfRule type="cellIs" dxfId="3572" priority="7036" operator="equal">
      <formula>"×"</formula>
    </cfRule>
  </conditionalFormatting>
  <conditionalFormatting sqref="AF16:AG16">
    <cfRule type="cellIs" dxfId="3571" priority="7033" operator="equal">
      <formula>1</formula>
    </cfRule>
    <cfRule type="cellIs" dxfId="3570" priority="7034" operator="equal">
      <formula>"×"</formula>
    </cfRule>
  </conditionalFormatting>
  <conditionalFormatting sqref="AF16:AG16">
    <cfRule type="cellIs" dxfId="3569" priority="7031" operator="equal">
      <formula>1</formula>
    </cfRule>
    <cfRule type="cellIs" dxfId="3568" priority="7032" operator="equal">
      <formula>"×"</formula>
    </cfRule>
  </conditionalFormatting>
  <conditionalFormatting sqref="AF16:AG16">
    <cfRule type="cellIs" dxfId="3567" priority="7029" operator="equal">
      <formula>1</formula>
    </cfRule>
    <cfRule type="cellIs" dxfId="3566" priority="7030" operator="equal">
      <formula>"×"</formula>
    </cfRule>
  </conditionalFormatting>
  <conditionalFormatting sqref="AF16:AG16">
    <cfRule type="cellIs" dxfId="3565" priority="7027" operator="equal">
      <formula>1</formula>
    </cfRule>
    <cfRule type="cellIs" dxfId="3564" priority="7028" operator="equal">
      <formula>"×"</formula>
    </cfRule>
  </conditionalFormatting>
  <conditionalFormatting sqref="AF16:AG16">
    <cfRule type="cellIs" dxfId="3563" priority="7025" operator="equal">
      <formula>1</formula>
    </cfRule>
    <cfRule type="cellIs" dxfId="3562" priority="7026" operator="equal">
      <formula>"×"</formula>
    </cfRule>
  </conditionalFormatting>
  <conditionalFormatting sqref="AF16:AG16">
    <cfRule type="cellIs" dxfId="3561" priority="7023" operator="equal">
      <formula>1</formula>
    </cfRule>
    <cfRule type="cellIs" dxfId="3560" priority="7024" operator="equal">
      <formula>"×"</formula>
    </cfRule>
  </conditionalFormatting>
  <conditionalFormatting sqref="AF16:AG16">
    <cfRule type="cellIs" dxfId="3559" priority="7021" operator="equal">
      <formula>1</formula>
    </cfRule>
    <cfRule type="cellIs" dxfId="3558" priority="7022" operator="equal">
      <formula>"×"</formula>
    </cfRule>
  </conditionalFormatting>
  <conditionalFormatting sqref="AF16:AG16">
    <cfRule type="cellIs" dxfId="3557" priority="7019" operator="equal">
      <formula>1</formula>
    </cfRule>
    <cfRule type="cellIs" dxfId="3556" priority="7020" operator="equal">
      <formula>"×"</formula>
    </cfRule>
  </conditionalFormatting>
  <conditionalFormatting sqref="AF16:AG16">
    <cfRule type="cellIs" dxfId="3555" priority="7017" operator="equal">
      <formula>1</formula>
    </cfRule>
    <cfRule type="cellIs" dxfId="3554" priority="7018" operator="equal">
      <formula>"×"</formula>
    </cfRule>
  </conditionalFormatting>
  <conditionalFormatting sqref="AF16:AG16">
    <cfRule type="cellIs" dxfId="3553" priority="7015" operator="equal">
      <formula>1</formula>
    </cfRule>
    <cfRule type="cellIs" dxfId="3552" priority="7016" operator="equal">
      <formula>"×"</formula>
    </cfRule>
  </conditionalFormatting>
  <conditionalFormatting sqref="AF16:AG16">
    <cfRule type="cellIs" dxfId="3551" priority="7013" operator="equal">
      <formula>1</formula>
    </cfRule>
    <cfRule type="cellIs" dxfId="3550" priority="7014" operator="equal">
      <formula>"×"</formula>
    </cfRule>
  </conditionalFormatting>
  <conditionalFormatting sqref="AH16:AI16">
    <cfRule type="cellIs" dxfId="3549" priority="6979" operator="equal">
      <formula>1</formula>
    </cfRule>
    <cfRule type="cellIs" dxfId="3548" priority="6980" operator="equal">
      <formula>"×"</formula>
    </cfRule>
  </conditionalFormatting>
  <conditionalFormatting sqref="AH16:AI16">
    <cfRule type="cellIs" dxfId="3547" priority="6977" operator="equal">
      <formula>1</formula>
    </cfRule>
    <cfRule type="cellIs" dxfId="3546" priority="6978" operator="equal">
      <formula>"×"</formula>
    </cfRule>
  </conditionalFormatting>
  <conditionalFormatting sqref="AH16:AI16">
    <cfRule type="cellIs" dxfId="3545" priority="6973" operator="equal">
      <formula>1</formula>
    </cfRule>
    <cfRule type="cellIs" dxfId="3544" priority="6974" operator="equal">
      <formula>"×"</formula>
    </cfRule>
  </conditionalFormatting>
  <conditionalFormatting sqref="AH16:AI16">
    <cfRule type="cellIs" dxfId="3543" priority="6975" operator="equal">
      <formula>1</formula>
    </cfRule>
    <cfRule type="cellIs" dxfId="3542" priority="6976" operator="equal">
      <formula>"×"</formula>
    </cfRule>
  </conditionalFormatting>
  <conditionalFormatting sqref="AH16:AI16">
    <cfRule type="cellIs" dxfId="3541" priority="7003" operator="equal">
      <formula>1</formula>
    </cfRule>
    <cfRule type="cellIs" dxfId="3540" priority="7004" operator="equal">
      <formula>"×"</formula>
    </cfRule>
  </conditionalFormatting>
  <conditionalFormatting sqref="AH16:AI16">
    <cfRule type="cellIs" dxfId="3539" priority="7001" operator="equal">
      <formula>1</formula>
    </cfRule>
    <cfRule type="cellIs" dxfId="3538" priority="7002" operator="equal">
      <formula>"×"</formula>
    </cfRule>
  </conditionalFormatting>
  <conditionalFormatting sqref="AH16:AI16">
    <cfRule type="cellIs" dxfId="3537" priority="6999" operator="equal">
      <formula>1</formula>
    </cfRule>
    <cfRule type="cellIs" dxfId="3536" priority="7000" operator="equal">
      <formula>"×"</formula>
    </cfRule>
  </conditionalFormatting>
  <conditionalFormatting sqref="AH16:AI16">
    <cfRule type="cellIs" dxfId="3535" priority="6997" operator="equal">
      <formula>1</formula>
    </cfRule>
    <cfRule type="cellIs" dxfId="3534" priority="6998" operator="equal">
      <formula>"×"</formula>
    </cfRule>
  </conditionalFormatting>
  <conditionalFormatting sqref="AH16:AI16">
    <cfRule type="cellIs" dxfId="3533" priority="6995" operator="equal">
      <formula>1</formula>
    </cfRule>
    <cfRule type="cellIs" dxfId="3532" priority="6996" operator="equal">
      <formula>"×"</formula>
    </cfRule>
  </conditionalFormatting>
  <conditionalFormatting sqref="AH16:AI16">
    <cfRule type="cellIs" dxfId="3531" priority="6993" operator="equal">
      <formula>1</formula>
    </cfRule>
    <cfRule type="cellIs" dxfId="3530" priority="6994" operator="equal">
      <formula>"×"</formula>
    </cfRule>
  </conditionalFormatting>
  <conditionalFormatting sqref="AH16:AI16">
    <cfRule type="cellIs" dxfId="3529" priority="6991" operator="equal">
      <formula>1</formula>
    </cfRule>
    <cfRule type="cellIs" dxfId="3528" priority="6992" operator="equal">
      <formula>"×"</formula>
    </cfRule>
  </conditionalFormatting>
  <conditionalFormatting sqref="AH16:AI16">
    <cfRule type="cellIs" dxfId="3527" priority="6989" operator="equal">
      <formula>1</formula>
    </cfRule>
    <cfRule type="cellIs" dxfId="3526" priority="6990" operator="equal">
      <formula>"×"</formula>
    </cfRule>
  </conditionalFormatting>
  <conditionalFormatting sqref="AH16:AI16">
    <cfRule type="cellIs" dxfId="3525" priority="6987" operator="equal">
      <formula>1</formula>
    </cfRule>
    <cfRule type="cellIs" dxfId="3524" priority="6988" operator="equal">
      <formula>"×"</formula>
    </cfRule>
  </conditionalFormatting>
  <conditionalFormatting sqref="AH16:AI16">
    <cfRule type="cellIs" dxfId="3523" priority="6985" operator="equal">
      <formula>1</formula>
    </cfRule>
    <cfRule type="cellIs" dxfId="3522" priority="6986" operator="equal">
      <formula>"×"</formula>
    </cfRule>
  </conditionalFormatting>
  <conditionalFormatting sqref="AH16:AI16">
    <cfRule type="cellIs" dxfId="3521" priority="6983" operator="equal">
      <formula>1</formula>
    </cfRule>
    <cfRule type="cellIs" dxfId="3520" priority="6984" operator="equal">
      <formula>"×"</formula>
    </cfRule>
  </conditionalFormatting>
  <conditionalFormatting sqref="AH16:AI16">
    <cfRule type="cellIs" dxfId="3519" priority="6981" operator="equal">
      <formula>1</formula>
    </cfRule>
    <cfRule type="cellIs" dxfId="3518" priority="6982" operator="equal">
      <formula>"×"</formula>
    </cfRule>
  </conditionalFormatting>
  <conditionalFormatting sqref="AH17">
    <cfRule type="cellIs" dxfId="3517" priority="6971" operator="equal">
      <formula>1</formula>
    </cfRule>
    <cfRule type="cellIs" dxfId="3516" priority="6972" operator="equal">
      <formula>"×"</formula>
    </cfRule>
  </conditionalFormatting>
  <conditionalFormatting sqref="AH17">
    <cfRule type="cellIs" dxfId="3515" priority="6969" operator="equal">
      <formula>1</formula>
    </cfRule>
    <cfRule type="cellIs" dxfId="3514" priority="6970" operator="equal">
      <formula>"×"</formula>
    </cfRule>
  </conditionalFormatting>
  <conditionalFormatting sqref="AH17">
    <cfRule type="cellIs" dxfId="3513" priority="6943" operator="equal">
      <formula>1</formula>
    </cfRule>
    <cfRule type="cellIs" dxfId="3512" priority="6944" operator="equal">
      <formula>"×"</formula>
    </cfRule>
  </conditionalFormatting>
  <conditionalFormatting sqref="AH17">
    <cfRule type="cellIs" dxfId="3511" priority="6941" operator="equal">
      <formula>1</formula>
    </cfRule>
    <cfRule type="cellIs" dxfId="3510" priority="6942" operator="equal">
      <formula>"×"</formula>
    </cfRule>
  </conditionalFormatting>
  <conditionalFormatting sqref="AH17">
    <cfRule type="cellIs" dxfId="3509" priority="6937" operator="equal">
      <formula>1</formula>
    </cfRule>
    <cfRule type="cellIs" dxfId="3508" priority="6938" operator="equal">
      <formula>"×"</formula>
    </cfRule>
  </conditionalFormatting>
  <conditionalFormatting sqref="AH17">
    <cfRule type="cellIs" dxfId="3507" priority="6939" operator="equal">
      <formula>1</formula>
    </cfRule>
    <cfRule type="cellIs" dxfId="3506" priority="6940" operator="equal">
      <formula>"×"</formula>
    </cfRule>
  </conditionalFormatting>
  <conditionalFormatting sqref="AH17">
    <cfRule type="cellIs" dxfId="3505" priority="6967" operator="equal">
      <formula>1</formula>
    </cfRule>
    <cfRule type="cellIs" dxfId="3504" priority="6968" operator="equal">
      <formula>"×"</formula>
    </cfRule>
  </conditionalFormatting>
  <conditionalFormatting sqref="AH17">
    <cfRule type="cellIs" dxfId="3503" priority="6965" operator="equal">
      <formula>1</formula>
    </cfRule>
    <cfRule type="cellIs" dxfId="3502" priority="6966" operator="equal">
      <formula>"×"</formula>
    </cfRule>
  </conditionalFormatting>
  <conditionalFormatting sqref="AH17">
    <cfRule type="cellIs" dxfId="3501" priority="6963" operator="equal">
      <formula>1</formula>
    </cfRule>
    <cfRule type="cellIs" dxfId="3500" priority="6964" operator="equal">
      <formula>"×"</formula>
    </cfRule>
  </conditionalFormatting>
  <conditionalFormatting sqref="AH17">
    <cfRule type="cellIs" dxfId="3499" priority="6961" operator="equal">
      <formula>1</formula>
    </cfRule>
    <cfRule type="cellIs" dxfId="3498" priority="6962" operator="equal">
      <formula>"×"</formula>
    </cfRule>
  </conditionalFormatting>
  <conditionalFormatting sqref="AH17">
    <cfRule type="cellIs" dxfId="3497" priority="6959" operator="equal">
      <formula>1</formula>
    </cfRule>
    <cfRule type="cellIs" dxfId="3496" priority="6960" operator="equal">
      <formula>"×"</formula>
    </cfRule>
  </conditionalFormatting>
  <conditionalFormatting sqref="AH17">
    <cfRule type="cellIs" dxfId="3495" priority="6957" operator="equal">
      <formula>1</formula>
    </cfRule>
    <cfRule type="cellIs" dxfId="3494" priority="6958" operator="equal">
      <formula>"×"</formula>
    </cfRule>
  </conditionalFormatting>
  <conditionalFormatting sqref="AH17">
    <cfRule type="cellIs" dxfId="3493" priority="6955" operator="equal">
      <formula>1</formula>
    </cfRule>
    <cfRule type="cellIs" dxfId="3492" priority="6956" operator="equal">
      <formula>"×"</formula>
    </cfRule>
  </conditionalFormatting>
  <conditionalFormatting sqref="AH17">
    <cfRule type="cellIs" dxfId="3491" priority="6953" operator="equal">
      <formula>1</formula>
    </cfRule>
    <cfRule type="cellIs" dxfId="3490" priority="6954" operator="equal">
      <formula>"×"</formula>
    </cfRule>
  </conditionalFormatting>
  <conditionalFormatting sqref="AH17">
    <cfRule type="cellIs" dxfId="3489" priority="6951" operator="equal">
      <formula>1</formula>
    </cfRule>
    <cfRule type="cellIs" dxfId="3488" priority="6952" operator="equal">
      <formula>"×"</formula>
    </cfRule>
  </conditionalFormatting>
  <conditionalFormatting sqref="AH17">
    <cfRule type="cellIs" dxfId="3487" priority="6949" operator="equal">
      <formula>1</formula>
    </cfRule>
    <cfRule type="cellIs" dxfId="3486" priority="6950" operator="equal">
      <formula>"×"</formula>
    </cfRule>
  </conditionalFormatting>
  <conditionalFormatting sqref="AH17">
    <cfRule type="cellIs" dxfId="3485" priority="6947" operator="equal">
      <formula>1</formula>
    </cfRule>
    <cfRule type="cellIs" dxfId="3484" priority="6948" operator="equal">
      <formula>"×"</formula>
    </cfRule>
  </conditionalFormatting>
  <conditionalFormatting sqref="AH17">
    <cfRule type="cellIs" dxfId="3483" priority="6945" operator="equal">
      <formula>1</formula>
    </cfRule>
    <cfRule type="cellIs" dxfId="3482" priority="6946" operator="equal">
      <formula>"×"</formula>
    </cfRule>
  </conditionalFormatting>
  <conditionalFormatting sqref="AB20:AI25">
    <cfRule type="cellIs" dxfId="3481" priority="3233" operator="equal">
      <formula>1</formula>
    </cfRule>
    <cfRule type="cellIs" dxfId="3480" priority="3234" operator="equal">
      <formula>"×"</formula>
    </cfRule>
  </conditionalFormatting>
  <conditionalFormatting sqref="AB20:AI25">
    <cfRule type="cellIs" dxfId="3479" priority="3231" operator="equal">
      <formula>1</formula>
    </cfRule>
    <cfRule type="cellIs" dxfId="3478" priority="3232" operator="equal">
      <formula>"×"</formula>
    </cfRule>
  </conditionalFormatting>
  <conditionalFormatting sqref="AB20:AI25">
    <cfRule type="cellIs" dxfId="3477" priority="3245" operator="equal">
      <formula>1</formula>
    </cfRule>
    <cfRule type="cellIs" dxfId="3476" priority="3246" operator="equal">
      <formula>"×"</formula>
    </cfRule>
  </conditionalFormatting>
  <conditionalFormatting sqref="AB20:AI25">
    <cfRule type="cellIs" dxfId="3475" priority="3247" operator="equal">
      <formula>1</formula>
    </cfRule>
    <cfRule type="cellIs" dxfId="3474" priority="3248" operator="equal">
      <formula>"×"</formula>
    </cfRule>
  </conditionalFormatting>
  <conditionalFormatting sqref="AF20:AF21">
    <cfRule type="cellIs" dxfId="3473" priority="3179" operator="equal">
      <formula>1</formula>
    </cfRule>
    <cfRule type="cellIs" dxfId="3472" priority="3180" operator="equal">
      <formula>"×"</formula>
    </cfRule>
  </conditionalFormatting>
  <conditionalFormatting sqref="AF20:AF21">
    <cfRule type="cellIs" dxfId="3471" priority="3177" operator="equal">
      <formula>1</formula>
    </cfRule>
    <cfRule type="cellIs" dxfId="3470" priority="3178" operator="equal">
      <formula>"×"</formula>
    </cfRule>
  </conditionalFormatting>
  <conditionalFormatting sqref="AG20:AI21">
    <cfRule type="cellIs" dxfId="3469" priority="3175" operator="equal">
      <formula>1</formula>
    </cfRule>
    <cfRule type="cellIs" dxfId="3468" priority="3176" operator="equal">
      <formula>"×"</formula>
    </cfRule>
  </conditionalFormatting>
  <conditionalFormatting sqref="AI20:AI21">
    <cfRule type="cellIs" dxfId="3467" priority="3173" operator="equal">
      <formula>1</formula>
    </cfRule>
    <cfRule type="cellIs" dxfId="3466" priority="3174" operator="equal">
      <formula>"×"</formula>
    </cfRule>
  </conditionalFormatting>
  <conditionalFormatting sqref="AF20:AI21">
    <cfRule type="cellIs" dxfId="3465" priority="3143" operator="equal">
      <formula>1</formula>
    </cfRule>
    <cfRule type="cellIs" dxfId="3464" priority="3144" operator="equal">
      <formula>"×"</formula>
    </cfRule>
  </conditionalFormatting>
  <conditionalFormatting sqref="AF20:AI21">
    <cfRule type="cellIs" dxfId="3463" priority="3141" operator="equal">
      <formula>1</formula>
    </cfRule>
    <cfRule type="cellIs" dxfId="3462" priority="3142" operator="equal">
      <formula>"×"</formula>
    </cfRule>
  </conditionalFormatting>
  <conditionalFormatting sqref="AF20:AI21">
    <cfRule type="cellIs" dxfId="3461" priority="3137" operator="equal">
      <formula>1</formula>
    </cfRule>
    <cfRule type="cellIs" dxfId="3460" priority="3138" operator="equal">
      <formula>"×"</formula>
    </cfRule>
  </conditionalFormatting>
  <conditionalFormatting sqref="AI20">
    <cfRule type="cellIs" dxfId="3459" priority="3139" operator="equal">
      <formula>1</formula>
    </cfRule>
    <cfRule type="cellIs" dxfId="3458" priority="3140" operator="equal">
      <formula>"×"</formula>
    </cfRule>
  </conditionalFormatting>
  <conditionalFormatting sqref="AI20:AI21">
    <cfRule type="cellIs" dxfId="3457" priority="3153" operator="equal">
      <formula>1</formula>
    </cfRule>
    <cfRule type="cellIs" dxfId="3456" priority="3154" operator="equal">
      <formula>"×"</formula>
    </cfRule>
  </conditionalFormatting>
  <conditionalFormatting sqref="AF20:AF21">
    <cfRule type="cellIs" dxfId="3455" priority="3151" operator="equal">
      <formula>1</formula>
    </cfRule>
    <cfRule type="cellIs" dxfId="3454" priority="3152" operator="equal">
      <formula>"×"</formula>
    </cfRule>
  </conditionalFormatting>
  <conditionalFormatting sqref="AF20:AF21">
    <cfRule type="cellIs" dxfId="3453" priority="3149" operator="equal">
      <formula>1</formula>
    </cfRule>
    <cfRule type="cellIs" dxfId="3452" priority="3150" operator="equal">
      <formula>"×"</formula>
    </cfRule>
  </conditionalFormatting>
  <conditionalFormatting sqref="AF20:AI21">
    <cfRule type="cellIs" dxfId="3451" priority="3147" operator="equal">
      <formula>1</formula>
    </cfRule>
    <cfRule type="cellIs" dxfId="3450" priority="3148" operator="equal">
      <formula>"×"</formula>
    </cfRule>
  </conditionalFormatting>
  <conditionalFormatting sqref="AI20">
    <cfRule type="cellIs" dxfId="3449" priority="3145" operator="equal">
      <formula>1</formula>
    </cfRule>
    <cfRule type="cellIs" dxfId="3448" priority="3146" operator="equal">
      <formula>"×"</formula>
    </cfRule>
  </conditionalFormatting>
  <conditionalFormatting sqref="AF21">
    <cfRule type="cellIs" dxfId="3447" priority="3111" operator="equal">
      <formula>1</formula>
    </cfRule>
    <cfRule type="cellIs" dxfId="3446" priority="3112" operator="equal">
      <formula>"×"</formula>
    </cfRule>
  </conditionalFormatting>
  <conditionalFormatting sqref="AF21">
    <cfRule type="cellIs" dxfId="3445" priority="3109" operator="equal">
      <formula>1</formula>
    </cfRule>
    <cfRule type="cellIs" dxfId="3444" priority="3110" operator="equal">
      <formula>"×"</formula>
    </cfRule>
  </conditionalFormatting>
  <conditionalFormatting sqref="AF21">
    <cfRule type="cellIs" dxfId="3443" priority="3105" operator="equal">
      <formula>1</formula>
    </cfRule>
    <cfRule type="cellIs" dxfId="3442" priority="3106" operator="equal">
      <formula>"×"</formula>
    </cfRule>
  </conditionalFormatting>
  <conditionalFormatting sqref="AF21">
    <cfRule type="cellIs" dxfId="3441" priority="3107" operator="equal">
      <formula>1</formula>
    </cfRule>
    <cfRule type="cellIs" dxfId="3440" priority="3108" operator="equal">
      <formula>"×"</formula>
    </cfRule>
  </conditionalFormatting>
  <conditionalFormatting sqref="AF20:AI21">
    <cfRule type="cellIs" dxfId="3439" priority="3135" operator="equal">
      <formula>1</formula>
    </cfRule>
    <cfRule type="cellIs" dxfId="3438" priority="3136" operator="equal">
      <formula>"×"</formula>
    </cfRule>
  </conditionalFormatting>
  <conditionalFormatting sqref="AI20">
    <cfRule type="cellIs" dxfId="3437" priority="3133" operator="equal">
      <formula>1</formula>
    </cfRule>
    <cfRule type="cellIs" dxfId="3436" priority="3134" operator="equal">
      <formula>"×"</formula>
    </cfRule>
  </conditionalFormatting>
  <conditionalFormatting sqref="AF20:AI21">
    <cfRule type="cellIs" dxfId="3435" priority="3131" operator="equal">
      <formula>1</formula>
    </cfRule>
    <cfRule type="cellIs" dxfId="3434" priority="3132" operator="equal">
      <formula>"×"</formula>
    </cfRule>
  </conditionalFormatting>
  <conditionalFormatting sqref="AF21:AI21">
    <cfRule type="cellIs" dxfId="3433" priority="3129" operator="equal">
      <formula>1</formula>
    </cfRule>
    <cfRule type="cellIs" dxfId="3432" priority="3130" operator="equal">
      <formula>"×"</formula>
    </cfRule>
  </conditionalFormatting>
  <conditionalFormatting sqref="AI21">
    <cfRule type="cellIs" dxfId="3431" priority="3127" operator="equal">
      <formula>1</formula>
    </cfRule>
    <cfRule type="cellIs" dxfId="3430" priority="3128" operator="equal">
      <formula>"×"</formula>
    </cfRule>
  </conditionalFormatting>
  <conditionalFormatting sqref="AF21:AI21">
    <cfRule type="cellIs" dxfId="3429" priority="3125" operator="equal">
      <formula>1</formula>
    </cfRule>
    <cfRule type="cellIs" dxfId="3428" priority="3126" operator="equal">
      <formula>"×"</formula>
    </cfRule>
  </conditionalFormatting>
  <conditionalFormatting sqref="AG20:AI22 AH23:AI24">
    <cfRule type="cellIs" dxfId="3427" priority="3123" operator="equal">
      <formula>1</formula>
    </cfRule>
    <cfRule type="cellIs" dxfId="3426" priority="3124" operator="equal">
      <formula>"×"</formula>
    </cfRule>
  </conditionalFormatting>
  <conditionalFormatting sqref="AI20:AI24">
    <cfRule type="cellIs" dxfId="3425" priority="3121" operator="equal">
      <formula>1</formula>
    </cfRule>
    <cfRule type="cellIs" dxfId="3424" priority="3122" operator="equal">
      <formula>"×"</formula>
    </cfRule>
  </conditionalFormatting>
  <conditionalFormatting sqref="AG20:AI22 AH23:AI24">
    <cfRule type="cellIs" dxfId="3423" priority="3119" operator="equal">
      <formula>1</formula>
    </cfRule>
    <cfRule type="cellIs" dxfId="3422" priority="3120" operator="equal">
      <formula>"×"</formula>
    </cfRule>
  </conditionalFormatting>
  <conditionalFormatting sqref="AH20:AI25 AG23:AG25">
    <cfRule type="cellIs" dxfId="3421" priority="3117" operator="equal">
      <formula>1</formula>
    </cfRule>
    <cfRule type="cellIs" dxfId="3420" priority="3118" operator="equal">
      <formula>"×"</formula>
    </cfRule>
  </conditionalFormatting>
  <conditionalFormatting sqref="AI20:AI25">
    <cfRule type="cellIs" dxfId="3419" priority="3115" operator="equal">
      <formula>1</formula>
    </cfRule>
    <cfRule type="cellIs" dxfId="3418" priority="3116" operator="equal">
      <formula>"×"</formula>
    </cfRule>
  </conditionalFormatting>
  <conditionalFormatting sqref="AH20:AI25 AG23:AG25">
    <cfRule type="cellIs" dxfId="3417" priority="3113" operator="equal">
      <formula>1</formula>
    </cfRule>
    <cfRule type="cellIs" dxfId="3416" priority="3114" operator="equal">
      <formula>"×"</formula>
    </cfRule>
  </conditionalFormatting>
  <conditionalFormatting sqref="AF21">
    <cfRule type="cellIs" dxfId="3415" priority="3103" operator="equal">
      <formula>1</formula>
    </cfRule>
    <cfRule type="cellIs" dxfId="3414" priority="3104" operator="equal">
      <formula>"×"</formula>
    </cfRule>
  </conditionalFormatting>
  <conditionalFormatting sqref="AF21">
    <cfRule type="cellIs" dxfId="3413" priority="3101" operator="equal">
      <formula>1</formula>
    </cfRule>
    <cfRule type="cellIs" dxfId="3412" priority="3102" operator="equal">
      <formula>"×"</formula>
    </cfRule>
  </conditionalFormatting>
  <conditionalFormatting sqref="AF21">
    <cfRule type="cellIs" dxfId="3411" priority="3075" operator="equal">
      <formula>1</formula>
    </cfRule>
    <cfRule type="cellIs" dxfId="3410" priority="3076" operator="equal">
      <formula>"×"</formula>
    </cfRule>
  </conditionalFormatting>
  <conditionalFormatting sqref="AF21">
    <cfRule type="cellIs" dxfId="3409" priority="3073" operator="equal">
      <formula>1</formula>
    </cfRule>
    <cfRule type="cellIs" dxfId="3408" priority="3074" operator="equal">
      <formula>"×"</formula>
    </cfRule>
  </conditionalFormatting>
  <conditionalFormatting sqref="AF21">
    <cfRule type="cellIs" dxfId="3407" priority="3069" operator="equal">
      <formula>1</formula>
    </cfRule>
    <cfRule type="cellIs" dxfId="3406" priority="3070" operator="equal">
      <formula>"×"</formula>
    </cfRule>
  </conditionalFormatting>
  <conditionalFormatting sqref="AF21">
    <cfRule type="cellIs" dxfId="3405" priority="3071" operator="equal">
      <formula>1</formula>
    </cfRule>
    <cfRule type="cellIs" dxfId="3404" priority="3072" operator="equal">
      <formula>"×"</formula>
    </cfRule>
  </conditionalFormatting>
  <conditionalFormatting sqref="AF21">
    <cfRule type="cellIs" dxfId="3403" priority="3099" operator="equal">
      <formula>1</formula>
    </cfRule>
    <cfRule type="cellIs" dxfId="3402" priority="3100" operator="equal">
      <formula>"×"</formula>
    </cfRule>
  </conditionalFormatting>
  <conditionalFormatting sqref="AF21">
    <cfRule type="cellIs" dxfId="3401" priority="3097" operator="equal">
      <formula>1</formula>
    </cfRule>
    <cfRule type="cellIs" dxfId="3400" priority="3098" operator="equal">
      <formula>"×"</formula>
    </cfRule>
  </conditionalFormatting>
  <conditionalFormatting sqref="AF21">
    <cfRule type="cellIs" dxfId="3399" priority="3095" operator="equal">
      <formula>1</formula>
    </cfRule>
    <cfRule type="cellIs" dxfId="3398" priority="3096" operator="equal">
      <formula>"×"</formula>
    </cfRule>
  </conditionalFormatting>
  <conditionalFormatting sqref="AF21">
    <cfRule type="cellIs" dxfId="3397" priority="3093" operator="equal">
      <formula>1</formula>
    </cfRule>
    <cfRule type="cellIs" dxfId="3396" priority="3094" operator="equal">
      <formula>"×"</formula>
    </cfRule>
  </conditionalFormatting>
  <conditionalFormatting sqref="AF21">
    <cfRule type="cellIs" dxfId="3395" priority="3091" operator="equal">
      <formula>1</formula>
    </cfRule>
    <cfRule type="cellIs" dxfId="3394" priority="3092" operator="equal">
      <formula>"×"</formula>
    </cfRule>
  </conditionalFormatting>
  <conditionalFormatting sqref="AF21">
    <cfRule type="cellIs" dxfId="3393" priority="3089" operator="equal">
      <formula>1</formula>
    </cfRule>
    <cfRule type="cellIs" dxfId="3392" priority="3090" operator="equal">
      <formula>"×"</formula>
    </cfRule>
  </conditionalFormatting>
  <conditionalFormatting sqref="AF21">
    <cfRule type="cellIs" dxfId="3391" priority="3087" operator="equal">
      <formula>1</formula>
    </cfRule>
    <cfRule type="cellIs" dxfId="3390" priority="3088" operator="equal">
      <formula>"×"</formula>
    </cfRule>
  </conditionalFormatting>
  <conditionalFormatting sqref="AF21">
    <cfRule type="cellIs" dxfId="3389" priority="3085" operator="equal">
      <formula>1</formula>
    </cfRule>
    <cfRule type="cellIs" dxfId="3388" priority="3086" operator="equal">
      <formula>"×"</formula>
    </cfRule>
  </conditionalFormatting>
  <conditionalFormatting sqref="AF21">
    <cfRule type="cellIs" dxfId="3387" priority="3083" operator="equal">
      <formula>1</formula>
    </cfRule>
    <cfRule type="cellIs" dxfId="3386" priority="3084" operator="equal">
      <formula>"×"</formula>
    </cfRule>
  </conditionalFormatting>
  <conditionalFormatting sqref="AF21">
    <cfRule type="cellIs" dxfId="3385" priority="3081" operator="equal">
      <formula>1</formula>
    </cfRule>
    <cfRule type="cellIs" dxfId="3384" priority="3082" operator="equal">
      <formula>"×"</formula>
    </cfRule>
  </conditionalFormatting>
  <conditionalFormatting sqref="AF21">
    <cfRule type="cellIs" dxfId="3383" priority="3079" operator="equal">
      <formula>1</formula>
    </cfRule>
    <cfRule type="cellIs" dxfId="3382" priority="3080" operator="equal">
      <formula>"×"</formula>
    </cfRule>
  </conditionalFormatting>
  <conditionalFormatting sqref="AF21">
    <cfRule type="cellIs" dxfId="3381" priority="3077" operator="equal">
      <formula>1</formula>
    </cfRule>
    <cfRule type="cellIs" dxfId="3380" priority="3078" operator="equal">
      <formula>"×"</formula>
    </cfRule>
  </conditionalFormatting>
  <conditionalFormatting sqref="AF20:AF25">
    <cfRule type="cellIs" dxfId="3379" priority="2905" operator="equal">
      <formula>1</formula>
    </cfRule>
    <cfRule type="cellIs" dxfId="3378" priority="2906" operator="equal">
      <formula>"×"</formula>
    </cfRule>
  </conditionalFormatting>
  <conditionalFormatting sqref="AF21:AG21">
    <cfRule type="cellIs" dxfId="3377" priority="2739" operator="equal">
      <formula>1</formula>
    </cfRule>
    <cfRule type="cellIs" dxfId="3376" priority="2740" operator="equal">
      <formula>"×"</formula>
    </cfRule>
  </conditionalFormatting>
  <conditionalFormatting sqref="AD14">
    <cfRule type="cellIs" dxfId="3375" priority="6309" operator="equal">
      <formula>1</formula>
    </cfRule>
    <cfRule type="cellIs" dxfId="3374" priority="6310" operator="equal">
      <formula>"×"</formula>
    </cfRule>
  </conditionalFormatting>
  <conditionalFormatting sqref="AD14">
    <cfRule type="cellIs" dxfId="3373" priority="6307" operator="equal">
      <formula>1</formula>
    </cfRule>
    <cfRule type="cellIs" dxfId="3372" priority="6308" operator="equal">
      <formula>"×"</formula>
    </cfRule>
  </conditionalFormatting>
  <conditionalFormatting sqref="AD14">
    <cfRule type="cellIs" dxfId="3371" priority="6303" operator="equal">
      <formula>1</formula>
    </cfRule>
    <cfRule type="cellIs" dxfId="3370" priority="6304" operator="equal">
      <formula>"×"</formula>
    </cfRule>
  </conditionalFormatting>
  <conditionalFormatting sqref="AD14">
    <cfRule type="cellIs" dxfId="3369" priority="6305" operator="equal">
      <formula>1</formula>
    </cfRule>
    <cfRule type="cellIs" dxfId="3368" priority="6306" operator="equal">
      <formula>"×"</formula>
    </cfRule>
  </conditionalFormatting>
  <conditionalFormatting sqref="AE8">
    <cfRule type="cellIs" dxfId="3367" priority="6289" operator="equal">
      <formula>1</formula>
    </cfRule>
    <cfRule type="cellIs" dxfId="3366" priority="6290" operator="equal">
      <formula>"×"</formula>
    </cfRule>
  </conditionalFormatting>
  <conditionalFormatting sqref="AE8">
    <cfRule type="cellIs" dxfId="3365" priority="6287" operator="equal">
      <formula>1</formula>
    </cfRule>
    <cfRule type="cellIs" dxfId="3364" priority="6288" operator="equal">
      <formula>"×"</formula>
    </cfRule>
  </conditionalFormatting>
  <conditionalFormatting sqref="AE8">
    <cfRule type="cellIs" dxfId="3363" priority="6301" operator="equal">
      <formula>1</formula>
    </cfRule>
    <cfRule type="cellIs" dxfId="3362" priority="6302" operator="equal">
      <formula>"×"</formula>
    </cfRule>
  </conditionalFormatting>
  <conditionalFormatting sqref="AE8">
    <cfRule type="cellIs" dxfId="3361" priority="6299" operator="equal">
      <formula>1</formula>
    </cfRule>
    <cfRule type="cellIs" dxfId="3360" priority="6300" operator="equal">
      <formula>"×"</formula>
    </cfRule>
  </conditionalFormatting>
  <conditionalFormatting sqref="AE8">
    <cfRule type="cellIs" dxfId="3359" priority="6297" operator="equal">
      <formula>1</formula>
    </cfRule>
    <cfRule type="cellIs" dxfId="3358" priority="6298" operator="equal">
      <formula>"×"</formula>
    </cfRule>
  </conditionalFormatting>
  <conditionalFormatting sqref="AE8">
    <cfRule type="cellIs" dxfId="3357" priority="6295" operator="equal">
      <formula>1</formula>
    </cfRule>
    <cfRule type="cellIs" dxfId="3356" priority="6296" operator="equal">
      <formula>"×"</formula>
    </cfRule>
  </conditionalFormatting>
  <conditionalFormatting sqref="AE8">
    <cfRule type="cellIs" dxfId="3355" priority="6293" operator="equal">
      <formula>1</formula>
    </cfRule>
    <cfRule type="cellIs" dxfId="3354" priority="6294" operator="equal">
      <formula>"×"</formula>
    </cfRule>
  </conditionalFormatting>
  <conditionalFormatting sqref="AE8">
    <cfRule type="cellIs" dxfId="3353" priority="6291" operator="equal">
      <formula>1</formula>
    </cfRule>
    <cfRule type="cellIs" dxfId="3352" priority="6292" operator="equal">
      <formula>"×"</formula>
    </cfRule>
  </conditionalFormatting>
  <conditionalFormatting sqref="AE8">
    <cfRule type="cellIs" dxfId="3351" priority="6285" operator="equal">
      <formula>1</formula>
    </cfRule>
    <cfRule type="cellIs" dxfId="3350" priority="6286" operator="equal">
      <formula>"×"</formula>
    </cfRule>
  </conditionalFormatting>
  <conditionalFormatting sqref="AE8">
    <cfRule type="cellIs" dxfId="3349" priority="6261" operator="equal">
      <formula>1</formula>
    </cfRule>
    <cfRule type="cellIs" dxfId="3348" priority="6262" operator="equal">
      <formula>"×"</formula>
    </cfRule>
  </conditionalFormatting>
  <conditionalFormatting sqref="AE8">
    <cfRule type="cellIs" dxfId="3347" priority="6265" operator="equal">
      <formula>1</formula>
    </cfRule>
    <cfRule type="cellIs" dxfId="3346" priority="6266" operator="equal">
      <formula>"×"</formula>
    </cfRule>
  </conditionalFormatting>
  <conditionalFormatting sqref="AE8">
    <cfRule type="cellIs" dxfId="3345" priority="6263" operator="equal">
      <formula>1</formula>
    </cfRule>
    <cfRule type="cellIs" dxfId="3344" priority="6264" operator="equal">
      <formula>"×"</formula>
    </cfRule>
  </conditionalFormatting>
  <conditionalFormatting sqref="AE8">
    <cfRule type="cellIs" dxfId="3343" priority="6259" operator="equal">
      <formula>1</formula>
    </cfRule>
    <cfRule type="cellIs" dxfId="3342" priority="6260" operator="equal">
      <formula>"×"</formula>
    </cfRule>
  </conditionalFormatting>
  <conditionalFormatting sqref="AE8">
    <cfRule type="cellIs" dxfId="3341" priority="6283" operator="equal">
      <formula>1</formula>
    </cfRule>
    <cfRule type="cellIs" dxfId="3340" priority="6284" operator="equal">
      <formula>"×"</formula>
    </cfRule>
  </conditionalFormatting>
  <conditionalFormatting sqref="AE8">
    <cfRule type="cellIs" dxfId="3339" priority="6281" operator="equal">
      <formula>1</formula>
    </cfRule>
    <cfRule type="cellIs" dxfId="3338" priority="6282" operator="equal">
      <formula>"×"</formula>
    </cfRule>
  </conditionalFormatting>
  <conditionalFormatting sqref="AE8">
    <cfRule type="cellIs" dxfId="3337" priority="6279" operator="equal">
      <formula>1</formula>
    </cfRule>
    <cfRule type="cellIs" dxfId="3336" priority="6280" operator="equal">
      <formula>"×"</formula>
    </cfRule>
  </conditionalFormatting>
  <conditionalFormatting sqref="AE8">
    <cfRule type="cellIs" dxfId="3335" priority="6277" operator="equal">
      <formula>1</formula>
    </cfRule>
    <cfRule type="cellIs" dxfId="3334" priority="6278" operator="equal">
      <formula>"×"</formula>
    </cfRule>
  </conditionalFormatting>
  <conditionalFormatting sqref="AE8">
    <cfRule type="cellIs" dxfId="3333" priority="6275" operator="equal">
      <formula>1</formula>
    </cfRule>
    <cfRule type="cellIs" dxfId="3332" priority="6276" operator="equal">
      <formula>"×"</formula>
    </cfRule>
  </conditionalFormatting>
  <conditionalFormatting sqref="AE8">
    <cfRule type="cellIs" dxfId="3331" priority="6273" operator="equal">
      <formula>1</formula>
    </cfRule>
    <cfRule type="cellIs" dxfId="3330" priority="6274" operator="equal">
      <formula>"×"</formula>
    </cfRule>
  </conditionalFormatting>
  <conditionalFormatting sqref="AE8">
    <cfRule type="cellIs" dxfId="3329" priority="6271" operator="equal">
      <formula>1</formula>
    </cfRule>
    <cfRule type="cellIs" dxfId="3328" priority="6272" operator="equal">
      <formula>"×"</formula>
    </cfRule>
  </conditionalFormatting>
  <conditionalFormatting sqref="AE8">
    <cfRule type="cellIs" dxfId="3327" priority="6269" operator="equal">
      <formula>1</formula>
    </cfRule>
    <cfRule type="cellIs" dxfId="3326" priority="6270" operator="equal">
      <formula>"×"</formula>
    </cfRule>
  </conditionalFormatting>
  <conditionalFormatting sqref="AE8">
    <cfRule type="cellIs" dxfId="3325" priority="6267" operator="equal">
      <formula>1</formula>
    </cfRule>
    <cfRule type="cellIs" dxfId="3324" priority="6268" operator="equal">
      <formula>"×"</formula>
    </cfRule>
  </conditionalFormatting>
  <conditionalFormatting sqref="AC8">
    <cfRule type="cellIs" dxfId="3323" priority="6231" operator="equal">
      <formula>1</formula>
    </cfRule>
    <cfRule type="cellIs" dxfId="3322" priority="6232" operator="equal">
      <formula>"×"</formula>
    </cfRule>
  </conditionalFormatting>
  <conditionalFormatting sqref="AD8">
    <cfRule type="cellIs" dxfId="3321" priority="6229" operator="equal">
      <formula>1</formula>
    </cfRule>
    <cfRule type="cellIs" dxfId="3320" priority="6230" operator="equal">
      <formula>"×"</formula>
    </cfRule>
  </conditionalFormatting>
  <conditionalFormatting sqref="AD8">
    <cfRule type="cellIs" dxfId="3319" priority="6227" operator="equal">
      <formula>1</formula>
    </cfRule>
    <cfRule type="cellIs" dxfId="3318" priority="6228" operator="equal">
      <formula>"×"</formula>
    </cfRule>
  </conditionalFormatting>
  <conditionalFormatting sqref="AD8">
    <cfRule type="cellIs" dxfId="3317" priority="6225" operator="equal">
      <formula>1</formula>
    </cfRule>
    <cfRule type="cellIs" dxfId="3316" priority="6226" operator="equal">
      <formula>"×"</formula>
    </cfRule>
  </conditionalFormatting>
  <conditionalFormatting sqref="AC8">
    <cfRule type="cellIs" dxfId="3315" priority="6257" operator="equal">
      <formula>1</formula>
    </cfRule>
    <cfRule type="cellIs" dxfId="3314" priority="6258" operator="equal">
      <formula>"×"</formula>
    </cfRule>
  </conditionalFormatting>
  <conditionalFormatting sqref="AD8">
    <cfRule type="cellIs" dxfId="3313" priority="6255" operator="equal">
      <formula>1</formula>
    </cfRule>
    <cfRule type="cellIs" dxfId="3312" priority="6256" operator="equal">
      <formula>"×"</formula>
    </cfRule>
  </conditionalFormatting>
  <conditionalFormatting sqref="AD8">
    <cfRule type="cellIs" dxfId="3311" priority="6253" operator="equal">
      <formula>1</formula>
    </cfRule>
    <cfRule type="cellIs" dxfId="3310" priority="6254" operator="equal">
      <formula>"×"</formula>
    </cfRule>
  </conditionalFormatting>
  <conditionalFormatting sqref="AD8">
    <cfRule type="cellIs" dxfId="3309" priority="6245" operator="equal">
      <formula>1</formula>
    </cfRule>
    <cfRule type="cellIs" dxfId="3308" priority="6246" operator="equal">
      <formula>"×"</formula>
    </cfRule>
  </conditionalFormatting>
  <conditionalFormatting sqref="AD8">
    <cfRule type="cellIs" dxfId="3307" priority="6243" operator="equal">
      <formula>1</formula>
    </cfRule>
    <cfRule type="cellIs" dxfId="3306" priority="6244" operator="equal">
      <formula>"×"</formula>
    </cfRule>
  </conditionalFormatting>
  <conditionalFormatting sqref="AD8">
    <cfRule type="cellIs" dxfId="3305" priority="6241" operator="equal">
      <formula>1</formula>
    </cfRule>
    <cfRule type="cellIs" dxfId="3304" priority="6242" operator="equal">
      <formula>"×"</formula>
    </cfRule>
  </conditionalFormatting>
  <conditionalFormatting sqref="AD8">
    <cfRule type="cellIs" dxfId="3303" priority="6239" operator="equal">
      <formula>1</formula>
    </cfRule>
    <cfRule type="cellIs" dxfId="3302" priority="6240" operator="equal">
      <formula>"×"</formula>
    </cfRule>
  </conditionalFormatting>
  <conditionalFormatting sqref="AD8">
    <cfRule type="cellIs" dxfId="3301" priority="6237" operator="equal">
      <formula>1</formula>
    </cfRule>
    <cfRule type="cellIs" dxfId="3300" priority="6238" operator="equal">
      <formula>"×"</formula>
    </cfRule>
  </conditionalFormatting>
  <conditionalFormatting sqref="AD8">
    <cfRule type="cellIs" dxfId="3299" priority="6235" operator="equal">
      <formula>1</formula>
    </cfRule>
    <cfRule type="cellIs" dxfId="3298" priority="6236" operator="equal">
      <formula>"×"</formula>
    </cfRule>
  </conditionalFormatting>
  <conditionalFormatting sqref="AD8">
    <cfRule type="cellIs" dxfId="3297" priority="6233" operator="equal">
      <formula>1</formula>
    </cfRule>
    <cfRule type="cellIs" dxfId="3296" priority="6234" operator="equal">
      <formula>"×"</formula>
    </cfRule>
  </conditionalFormatting>
  <conditionalFormatting sqref="AI12">
    <cfRule type="cellIs" dxfId="3295" priority="6207" operator="equal">
      <formula>1</formula>
    </cfRule>
    <cfRule type="cellIs" dxfId="3294" priority="6208" operator="equal">
      <formula>"×"</formula>
    </cfRule>
  </conditionalFormatting>
  <conditionalFormatting sqref="AF12:AI12">
    <cfRule type="cellIs" dxfId="3293" priority="6193" operator="equal">
      <formula>1</formula>
    </cfRule>
    <cfRule type="cellIs" dxfId="3292" priority="6194" operator="equal">
      <formula>"×"</formula>
    </cfRule>
  </conditionalFormatting>
  <conditionalFormatting sqref="AI12">
    <cfRule type="cellIs" dxfId="3291" priority="6191" operator="equal">
      <formula>1</formula>
    </cfRule>
    <cfRule type="cellIs" dxfId="3290" priority="6192" operator="equal">
      <formula>"×"</formula>
    </cfRule>
  </conditionalFormatting>
  <conditionalFormatting sqref="AF13">
    <cfRule type="cellIs" dxfId="3289" priority="6189" operator="equal">
      <formula>1</formula>
    </cfRule>
    <cfRule type="cellIs" dxfId="3288" priority="6190" operator="equal">
      <formula>"×"</formula>
    </cfRule>
  </conditionalFormatting>
  <conditionalFormatting sqref="AF12:AI12">
    <cfRule type="cellIs" dxfId="3287" priority="6173" operator="equal">
      <formula>1</formula>
    </cfRule>
    <cfRule type="cellIs" dxfId="3286" priority="6174" operator="equal">
      <formula>"×"</formula>
    </cfRule>
  </conditionalFormatting>
  <conditionalFormatting sqref="AI12">
    <cfRule type="cellIs" dxfId="3285" priority="6171" operator="equal">
      <formula>1</formula>
    </cfRule>
    <cfRule type="cellIs" dxfId="3284" priority="6172" operator="equal">
      <formula>"×"</formula>
    </cfRule>
  </conditionalFormatting>
  <conditionalFormatting sqref="AF12:AI12">
    <cfRule type="cellIs" dxfId="3283" priority="6169" operator="equal">
      <formula>1</formula>
    </cfRule>
    <cfRule type="cellIs" dxfId="3282" priority="6170" operator="equal">
      <formula>"×"</formula>
    </cfRule>
  </conditionalFormatting>
  <conditionalFormatting sqref="AF12">
    <cfRule type="cellIs" dxfId="3281" priority="6187" operator="equal">
      <formula>1</formula>
    </cfRule>
    <cfRule type="cellIs" dxfId="3280" priority="6188" operator="equal">
      <formula>"×"</formula>
    </cfRule>
  </conditionalFormatting>
  <conditionalFormatting sqref="AF12">
    <cfRule type="cellIs" dxfId="3279" priority="6185" operator="equal">
      <formula>1</formula>
    </cfRule>
    <cfRule type="cellIs" dxfId="3278" priority="6186" operator="equal">
      <formula>"×"</formula>
    </cfRule>
  </conditionalFormatting>
  <conditionalFormatting sqref="AF12">
    <cfRule type="cellIs" dxfId="3277" priority="6183" operator="equal">
      <formula>1</formula>
    </cfRule>
    <cfRule type="cellIs" dxfId="3276" priority="6184" operator="equal">
      <formula>"×"</formula>
    </cfRule>
  </conditionalFormatting>
  <conditionalFormatting sqref="AF12">
    <cfRule type="cellIs" dxfId="3275" priority="6181" operator="equal">
      <formula>1</formula>
    </cfRule>
    <cfRule type="cellIs" dxfId="3274" priority="6182" operator="equal">
      <formula>"×"</formula>
    </cfRule>
  </conditionalFormatting>
  <conditionalFormatting sqref="AI13">
    <cfRule type="cellIs" dxfId="3273" priority="6179" operator="equal">
      <formula>1</formula>
    </cfRule>
    <cfRule type="cellIs" dxfId="3272" priority="6180" operator="equal">
      <formula>"×"</formula>
    </cfRule>
  </conditionalFormatting>
  <conditionalFormatting sqref="AF12">
    <cfRule type="cellIs" dxfId="3271" priority="6177" operator="equal">
      <formula>1</formula>
    </cfRule>
    <cfRule type="cellIs" dxfId="3270" priority="6178" operator="equal">
      <formula>"×"</formula>
    </cfRule>
  </conditionalFormatting>
  <conditionalFormatting sqref="AF12">
    <cfRule type="cellIs" dxfId="3269" priority="6175" operator="equal">
      <formula>1</formula>
    </cfRule>
    <cfRule type="cellIs" dxfId="3268" priority="6176" operator="equal">
      <formula>"×"</formula>
    </cfRule>
  </conditionalFormatting>
  <conditionalFormatting sqref="AI13">
    <cfRule type="cellIs" dxfId="3267" priority="6167" operator="equal">
      <formula>1</formula>
    </cfRule>
    <cfRule type="cellIs" dxfId="3266" priority="6168" operator="equal">
      <formula>"×"</formula>
    </cfRule>
  </conditionalFormatting>
  <conditionalFormatting sqref="AI13">
    <cfRule type="cellIs" dxfId="3265" priority="6165" operator="equal">
      <formula>1</formula>
    </cfRule>
    <cfRule type="cellIs" dxfId="3264" priority="6166" operator="equal">
      <formula>"×"</formula>
    </cfRule>
  </conditionalFormatting>
  <conditionalFormatting sqref="AF12">
    <cfRule type="cellIs" dxfId="3263" priority="6163" operator="equal">
      <formula>1</formula>
    </cfRule>
    <cfRule type="cellIs" dxfId="3262" priority="6164" operator="equal">
      <formula>"×"</formula>
    </cfRule>
  </conditionalFormatting>
  <conditionalFormatting sqref="AF12">
    <cfRule type="cellIs" dxfId="3261" priority="6159" operator="equal">
      <formula>1</formula>
    </cfRule>
    <cfRule type="cellIs" dxfId="3260" priority="6160" operator="equal">
      <formula>"×"</formula>
    </cfRule>
  </conditionalFormatting>
  <conditionalFormatting sqref="AF12">
    <cfRule type="cellIs" dxfId="3259" priority="6161" operator="equal">
      <formula>1</formula>
    </cfRule>
    <cfRule type="cellIs" dxfId="3258" priority="6162" operator="equal">
      <formula>"×"</formula>
    </cfRule>
  </conditionalFormatting>
  <conditionalFormatting sqref="AF12">
    <cfRule type="cellIs" dxfId="3257" priority="6157" operator="equal">
      <formula>1</formula>
    </cfRule>
    <cfRule type="cellIs" dxfId="3256" priority="6158" operator="equal">
      <formula>"×"</formula>
    </cfRule>
  </conditionalFormatting>
  <conditionalFormatting sqref="AF12">
    <cfRule type="cellIs" dxfId="3255" priority="6155" operator="equal">
      <formula>1</formula>
    </cfRule>
    <cfRule type="cellIs" dxfId="3254" priority="6156" operator="equal">
      <formula>"×"</formula>
    </cfRule>
  </conditionalFormatting>
  <conditionalFormatting sqref="AF12">
    <cfRule type="cellIs" dxfId="3253" priority="6153" operator="equal">
      <formula>1</formula>
    </cfRule>
    <cfRule type="cellIs" dxfId="3252" priority="6154" operator="equal">
      <formula>"×"</formula>
    </cfRule>
  </conditionalFormatting>
  <conditionalFormatting sqref="AF12">
    <cfRule type="cellIs" dxfId="3251" priority="6151" operator="equal">
      <formula>1</formula>
    </cfRule>
    <cfRule type="cellIs" dxfId="3250" priority="6152" operator="equal">
      <formula>"×"</formula>
    </cfRule>
  </conditionalFormatting>
  <conditionalFormatting sqref="AH11:AI11">
    <cfRule type="cellIs" dxfId="3249" priority="6149" operator="equal">
      <formula>1</formula>
    </cfRule>
    <cfRule type="cellIs" dxfId="3248" priority="6150" operator="equal">
      <formula>"×"</formula>
    </cfRule>
  </conditionalFormatting>
  <conditionalFormatting sqref="AI11">
    <cfRule type="cellIs" dxfId="3247" priority="6147" operator="equal">
      <formula>1</formula>
    </cfRule>
    <cfRule type="cellIs" dxfId="3246" priority="6148" operator="equal">
      <formula>"×"</formula>
    </cfRule>
  </conditionalFormatting>
  <conditionalFormatting sqref="AH11:AI11">
    <cfRule type="cellIs" dxfId="3245" priority="6145" operator="equal">
      <formula>1</formula>
    </cfRule>
    <cfRule type="cellIs" dxfId="3244" priority="6146" operator="equal">
      <formula>"×"</formula>
    </cfRule>
  </conditionalFormatting>
  <conditionalFormatting sqref="AH11:AI11">
    <cfRule type="cellIs" dxfId="3243" priority="6143" operator="equal">
      <formula>1</formula>
    </cfRule>
    <cfRule type="cellIs" dxfId="3242" priority="6144" operator="equal">
      <formula>"×"</formula>
    </cfRule>
  </conditionalFormatting>
  <conditionalFormatting sqref="AI11">
    <cfRule type="cellIs" dxfId="3241" priority="6141" operator="equal">
      <formula>1</formula>
    </cfRule>
    <cfRule type="cellIs" dxfId="3240" priority="6142" operator="equal">
      <formula>"×"</formula>
    </cfRule>
  </conditionalFormatting>
  <conditionalFormatting sqref="AH11:AI11">
    <cfRule type="cellIs" dxfId="3239" priority="6139" operator="equal">
      <formula>1</formula>
    </cfRule>
    <cfRule type="cellIs" dxfId="3238" priority="6140" operator="equal">
      <formula>"×"</formula>
    </cfRule>
  </conditionalFormatting>
  <conditionalFormatting sqref="AF8:AG8">
    <cfRule type="cellIs" dxfId="3237" priority="6113" operator="equal">
      <formula>1</formula>
    </cfRule>
    <cfRule type="cellIs" dxfId="3236" priority="6114" operator="equal">
      <formula>"×"</formula>
    </cfRule>
  </conditionalFormatting>
  <conditionalFormatting sqref="AF8:AG8">
    <cfRule type="cellIs" dxfId="3235" priority="6111" operator="equal">
      <formula>1</formula>
    </cfRule>
    <cfRule type="cellIs" dxfId="3234" priority="6112" operator="equal">
      <formula>"×"</formula>
    </cfRule>
  </conditionalFormatting>
  <conditionalFormatting sqref="AF8:AG8">
    <cfRule type="cellIs" dxfId="3233" priority="6107" operator="equal">
      <formula>1</formula>
    </cfRule>
    <cfRule type="cellIs" dxfId="3232" priority="6108" operator="equal">
      <formula>"×"</formula>
    </cfRule>
  </conditionalFormatting>
  <conditionalFormatting sqref="AF8:AG8">
    <cfRule type="cellIs" dxfId="3231" priority="6109" operator="equal">
      <formula>1</formula>
    </cfRule>
    <cfRule type="cellIs" dxfId="3230" priority="6110" operator="equal">
      <formula>"×"</formula>
    </cfRule>
  </conditionalFormatting>
  <conditionalFormatting sqref="AF8:AG8">
    <cfRule type="cellIs" dxfId="3229" priority="6137" operator="equal">
      <formula>1</formula>
    </cfRule>
    <cfRule type="cellIs" dxfId="3228" priority="6138" operator="equal">
      <formula>"×"</formula>
    </cfRule>
  </conditionalFormatting>
  <conditionalFormatting sqref="AF8:AG8">
    <cfRule type="cellIs" dxfId="3227" priority="6135" operator="equal">
      <formula>1</formula>
    </cfRule>
    <cfRule type="cellIs" dxfId="3226" priority="6136" operator="equal">
      <formula>"×"</formula>
    </cfRule>
  </conditionalFormatting>
  <conditionalFormatting sqref="AF8:AG8">
    <cfRule type="cellIs" dxfId="3225" priority="6133" operator="equal">
      <formula>1</formula>
    </cfRule>
    <cfRule type="cellIs" dxfId="3224" priority="6134" operator="equal">
      <formula>"×"</formula>
    </cfRule>
  </conditionalFormatting>
  <conditionalFormatting sqref="AF8:AG8">
    <cfRule type="cellIs" dxfId="3223" priority="6131" operator="equal">
      <formula>1</formula>
    </cfRule>
    <cfRule type="cellIs" dxfId="3222" priority="6132" operator="equal">
      <formula>"×"</formula>
    </cfRule>
  </conditionalFormatting>
  <conditionalFormatting sqref="AF8:AG8">
    <cfRule type="cellIs" dxfId="3221" priority="6129" operator="equal">
      <formula>1</formula>
    </cfRule>
    <cfRule type="cellIs" dxfId="3220" priority="6130" operator="equal">
      <formula>"×"</formula>
    </cfRule>
  </conditionalFormatting>
  <conditionalFormatting sqref="AF8:AG8">
    <cfRule type="cellIs" dxfId="3219" priority="6127" operator="equal">
      <formula>1</formula>
    </cfRule>
    <cfRule type="cellIs" dxfId="3218" priority="6128" operator="equal">
      <formula>"×"</formula>
    </cfRule>
  </conditionalFormatting>
  <conditionalFormatting sqref="AF8:AG8">
    <cfRule type="cellIs" dxfId="3217" priority="6125" operator="equal">
      <formula>1</formula>
    </cfRule>
    <cfRule type="cellIs" dxfId="3216" priority="6126" operator="equal">
      <formula>"×"</formula>
    </cfRule>
  </conditionalFormatting>
  <conditionalFormatting sqref="AF8:AG8">
    <cfRule type="cellIs" dxfId="3215" priority="6123" operator="equal">
      <formula>1</formula>
    </cfRule>
    <cfRule type="cellIs" dxfId="3214" priority="6124" operator="equal">
      <formula>"×"</formula>
    </cfRule>
  </conditionalFormatting>
  <conditionalFormatting sqref="AF8:AG8">
    <cfRule type="cellIs" dxfId="3213" priority="6121" operator="equal">
      <formula>1</formula>
    </cfRule>
    <cfRule type="cellIs" dxfId="3212" priority="6122" operator="equal">
      <formula>"×"</formula>
    </cfRule>
  </conditionalFormatting>
  <conditionalFormatting sqref="AF8:AG8">
    <cfRule type="cellIs" dxfId="3211" priority="6119" operator="equal">
      <formula>1</formula>
    </cfRule>
    <cfRule type="cellIs" dxfId="3210" priority="6120" operator="equal">
      <formula>"×"</formula>
    </cfRule>
  </conditionalFormatting>
  <conditionalFormatting sqref="AF8:AG8">
    <cfRule type="cellIs" dxfId="3209" priority="6117" operator="equal">
      <formula>1</formula>
    </cfRule>
    <cfRule type="cellIs" dxfId="3208" priority="6118" operator="equal">
      <formula>"×"</formula>
    </cfRule>
  </conditionalFormatting>
  <conditionalFormatting sqref="AF8:AG8">
    <cfRule type="cellIs" dxfId="3207" priority="6115" operator="equal">
      <formula>1</formula>
    </cfRule>
    <cfRule type="cellIs" dxfId="3206" priority="6116" operator="equal">
      <formula>"×"</formula>
    </cfRule>
  </conditionalFormatting>
  <conditionalFormatting sqref="AH8:AI8">
    <cfRule type="cellIs" dxfId="3205" priority="6081" operator="equal">
      <formula>1</formula>
    </cfRule>
    <cfRule type="cellIs" dxfId="3204" priority="6082" operator="equal">
      <formula>"×"</formula>
    </cfRule>
  </conditionalFormatting>
  <conditionalFormatting sqref="AH8:AI8">
    <cfRule type="cellIs" dxfId="3203" priority="6079" operator="equal">
      <formula>1</formula>
    </cfRule>
    <cfRule type="cellIs" dxfId="3202" priority="6080" operator="equal">
      <formula>"×"</formula>
    </cfRule>
  </conditionalFormatting>
  <conditionalFormatting sqref="AH8:AI8">
    <cfRule type="cellIs" dxfId="3201" priority="6075" operator="equal">
      <formula>1</formula>
    </cfRule>
    <cfRule type="cellIs" dxfId="3200" priority="6076" operator="equal">
      <formula>"×"</formula>
    </cfRule>
  </conditionalFormatting>
  <conditionalFormatting sqref="AH8:AI8">
    <cfRule type="cellIs" dxfId="3199" priority="6077" operator="equal">
      <formula>1</formula>
    </cfRule>
    <cfRule type="cellIs" dxfId="3198" priority="6078" operator="equal">
      <formula>"×"</formula>
    </cfRule>
  </conditionalFormatting>
  <conditionalFormatting sqref="AH8:AI8">
    <cfRule type="cellIs" dxfId="3197" priority="6105" operator="equal">
      <formula>1</formula>
    </cfRule>
    <cfRule type="cellIs" dxfId="3196" priority="6106" operator="equal">
      <formula>"×"</formula>
    </cfRule>
  </conditionalFormatting>
  <conditionalFormatting sqref="AH8:AI8">
    <cfRule type="cellIs" dxfId="3195" priority="6103" operator="equal">
      <formula>1</formula>
    </cfRule>
    <cfRule type="cellIs" dxfId="3194" priority="6104" operator="equal">
      <formula>"×"</formula>
    </cfRule>
  </conditionalFormatting>
  <conditionalFormatting sqref="AH8:AI8">
    <cfRule type="cellIs" dxfId="3193" priority="6101" operator="equal">
      <formula>1</formula>
    </cfRule>
    <cfRule type="cellIs" dxfId="3192" priority="6102" operator="equal">
      <formula>"×"</formula>
    </cfRule>
  </conditionalFormatting>
  <conditionalFormatting sqref="AH8:AI8">
    <cfRule type="cellIs" dxfId="3191" priority="6099" operator="equal">
      <formula>1</formula>
    </cfRule>
    <cfRule type="cellIs" dxfId="3190" priority="6100" operator="equal">
      <formula>"×"</formula>
    </cfRule>
  </conditionalFormatting>
  <conditionalFormatting sqref="AH8:AI8">
    <cfRule type="cellIs" dxfId="3189" priority="6097" operator="equal">
      <formula>1</formula>
    </cfRule>
    <cfRule type="cellIs" dxfId="3188" priority="6098" operator="equal">
      <formula>"×"</formula>
    </cfRule>
  </conditionalFormatting>
  <conditionalFormatting sqref="AH8:AI8">
    <cfRule type="cellIs" dxfId="3187" priority="6095" operator="equal">
      <formula>1</formula>
    </cfRule>
    <cfRule type="cellIs" dxfId="3186" priority="6096" operator="equal">
      <formula>"×"</formula>
    </cfRule>
  </conditionalFormatting>
  <conditionalFormatting sqref="AH8:AI8">
    <cfRule type="cellIs" dxfId="3185" priority="6093" operator="equal">
      <formula>1</formula>
    </cfRule>
    <cfRule type="cellIs" dxfId="3184" priority="6094" operator="equal">
      <formula>"×"</formula>
    </cfRule>
  </conditionalFormatting>
  <conditionalFormatting sqref="AH8:AI8">
    <cfRule type="cellIs" dxfId="3183" priority="6091" operator="equal">
      <formula>1</formula>
    </cfRule>
    <cfRule type="cellIs" dxfId="3182" priority="6092" operator="equal">
      <formula>"×"</formula>
    </cfRule>
  </conditionalFormatting>
  <conditionalFormatting sqref="AH8:AI8">
    <cfRule type="cellIs" dxfId="3181" priority="6089" operator="equal">
      <formula>1</formula>
    </cfRule>
    <cfRule type="cellIs" dxfId="3180" priority="6090" operator="equal">
      <formula>"×"</formula>
    </cfRule>
  </conditionalFormatting>
  <conditionalFormatting sqref="AH8:AI8">
    <cfRule type="cellIs" dxfId="3179" priority="6087" operator="equal">
      <formula>1</formula>
    </cfRule>
    <cfRule type="cellIs" dxfId="3178" priority="6088" operator="equal">
      <formula>"×"</formula>
    </cfRule>
  </conditionalFormatting>
  <conditionalFormatting sqref="AH8:AI8">
    <cfRule type="cellIs" dxfId="3177" priority="6085" operator="equal">
      <formula>1</formula>
    </cfRule>
    <cfRule type="cellIs" dxfId="3176" priority="6086" operator="equal">
      <formula>"×"</formula>
    </cfRule>
  </conditionalFormatting>
  <conditionalFormatting sqref="AH8:AI8">
    <cfRule type="cellIs" dxfId="3175" priority="6083" operator="equal">
      <formula>1</formula>
    </cfRule>
    <cfRule type="cellIs" dxfId="3174" priority="6084" operator="equal">
      <formula>"×"</formula>
    </cfRule>
  </conditionalFormatting>
  <conditionalFormatting sqref="AH9">
    <cfRule type="cellIs" dxfId="3173" priority="6073" operator="equal">
      <formula>1</formula>
    </cfRule>
    <cfRule type="cellIs" dxfId="3172" priority="6074" operator="equal">
      <formula>"×"</formula>
    </cfRule>
  </conditionalFormatting>
  <conditionalFormatting sqref="AH9">
    <cfRule type="cellIs" dxfId="3171" priority="6071" operator="equal">
      <formula>1</formula>
    </cfRule>
    <cfRule type="cellIs" dxfId="3170" priority="6072" operator="equal">
      <formula>"×"</formula>
    </cfRule>
  </conditionalFormatting>
  <conditionalFormatting sqref="AH9">
    <cfRule type="cellIs" dxfId="3169" priority="6045" operator="equal">
      <formula>1</formula>
    </cfRule>
    <cfRule type="cellIs" dxfId="3168" priority="6046" operator="equal">
      <formula>"×"</formula>
    </cfRule>
  </conditionalFormatting>
  <conditionalFormatting sqref="AH9">
    <cfRule type="cellIs" dxfId="3167" priority="6043" operator="equal">
      <formula>1</formula>
    </cfRule>
    <cfRule type="cellIs" dxfId="3166" priority="6044" operator="equal">
      <formula>"×"</formula>
    </cfRule>
  </conditionalFormatting>
  <conditionalFormatting sqref="AH9">
    <cfRule type="cellIs" dxfId="3165" priority="6039" operator="equal">
      <formula>1</formula>
    </cfRule>
    <cfRule type="cellIs" dxfId="3164" priority="6040" operator="equal">
      <formula>"×"</formula>
    </cfRule>
  </conditionalFormatting>
  <conditionalFormatting sqref="AH9">
    <cfRule type="cellIs" dxfId="3163" priority="6041" operator="equal">
      <formula>1</formula>
    </cfRule>
    <cfRule type="cellIs" dxfId="3162" priority="6042" operator="equal">
      <formula>"×"</formula>
    </cfRule>
  </conditionalFormatting>
  <conditionalFormatting sqref="AH9">
    <cfRule type="cellIs" dxfId="3161" priority="6069" operator="equal">
      <formula>1</formula>
    </cfRule>
    <cfRule type="cellIs" dxfId="3160" priority="6070" operator="equal">
      <formula>"×"</formula>
    </cfRule>
  </conditionalFormatting>
  <conditionalFormatting sqref="AH9">
    <cfRule type="cellIs" dxfId="3159" priority="6067" operator="equal">
      <formula>1</formula>
    </cfRule>
    <cfRule type="cellIs" dxfId="3158" priority="6068" operator="equal">
      <formula>"×"</formula>
    </cfRule>
  </conditionalFormatting>
  <conditionalFormatting sqref="AH9">
    <cfRule type="cellIs" dxfId="3157" priority="6065" operator="equal">
      <formula>1</formula>
    </cfRule>
    <cfRule type="cellIs" dxfId="3156" priority="6066" operator="equal">
      <formula>"×"</formula>
    </cfRule>
  </conditionalFormatting>
  <conditionalFormatting sqref="AH9">
    <cfRule type="cellIs" dxfId="3155" priority="6063" operator="equal">
      <formula>1</formula>
    </cfRule>
    <cfRule type="cellIs" dxfId="3154" priority="6064" operator="equal">
      <formula>"×"</formula>
    </cfRule>
  </conditionalFormatting>
  <conditionalFormatting sqref="AH9">
    <cfRule type="cellIs" dxfId="3153" priority="6061" operator="equal">
      <formula>1</formula>
    </cfRule>
    <cfRule type="cellIs" dxfId="3152" priority="6062" operator="equal">
      <formula>"×"</formula>
    </cfRule>
  </conditionalFormatting>
  <conditionalFormatting sqref="AH9">
    <cfRule type="cellIs" dxfId="3151" priority="6059" operator="equal">
      <formula>1</formula>
    </cfRule>
    <cfRule type="cellIs" dxfId="3150" priority="6060" operator="equal">
      <formula>"×"</formula>
    </cfRule>
  </conditionalFormatting>
  <conditionalFormatting sqref="AH9">
    <cfRule type="cellIs" dxfId="3149" priority="6057" operator="equal">
      <formula>1</formula>
    </cfRule>
    <cfRule type="cellIs" dxfId="3148" priority="6058" operator="equal">
      <formula>"×"</formula>
    </cfRule>
  </conditionalFormatting>
  <conditionalFormatting sqref="AH9">
    <cfRule type="cellIs" dxfId="3147" priority="6055" operator="equal">
      <formula>1</formula>
    </cfRule>
    <cfRule type="cellIs" dxfId="3146" priority="6056" operator="equal">
      <formula>"×"</formula>
    </cfRule>
  </conditionalFormatting>
  <conditionalFormatting sqref="AH9">
    <cfRule type="cellIs" dxfId="3145" priority="6053" operator="equal">
      <formula>1</formula>
    </cfRule>
    <cfRule type="cellIs" dxfId="3144" priority="6054" operator="equal">
      <formula>"×"</formula>
    </cfRule>
  </conditionalFormatting>
  <conditionalFormatting sqref="AH9">
    <cfRule type="cellIs" dxfId="3143" priority="6051" operator="equal">
      <formula>1</formula>
    </cfRule>
    <cfRule type="cellIs" dxfId="3142" priority="6052" operator="equal">
      <formula>"×"</formula>
    </cfRule>
  </conditionalFormatting>
  <conditionalFormatting sqref="AH9">
    <cfRule type="cellIs" dxfId="3141" priority="6049" operator="equal">
      <formula>1</formula>
    </cfRule>
    <cfRule type="cellIs" dxfId="3140" priority="6050" operator="equal">
      <formula>"×"</formula>
    </cfRule>
  </conditionalFormatting>
  <conditionalFormatting sqref="AH9">
    <cfRule type="cellIs" dxfId="3139" priority="6047" operator="equal">
      <formula>1</formula>
    </cfRule>
    <cfRule type="cellIs" dxfId="3138" priority="6048" operator="equal">
      <formula>"×"</formula>
    </cfRule>
  </conditionalFormatting>
  <conditionalFormatting sqref="AF14">
    <cfRule type="cellIs" dxfId="3137" priority="6023" operator="equal">
      <formula>1</formula>
    </cfRule>
    <cfRule type="cellIs" dxfId="3136" priority="6024" operator="equal">
      <formula>"×"</formula>
    </cfRule>
  </conditionalFormatting>
  <conditionalFormatting sqref="AF14">
    <cfRule type="cellIs" dxfId="3135" priority="6021" operator="equal">
      <formula>1</formula>
    </cfRule>
    <cfRule type="cellIs" dxfId="3134" priority="6022" operator="equal">
      <formula>"×"</formula>
    </cfRule>
  </conditionalFormatting>
  <conditionalFormatting sqref="AI14">
    <cfRule type="cellIs" dxfId="3133" priority="6035" operator="equal">
      <formula>1</formula>
    </cfRule>
    <cfRule type="cellIs" dxfId="3132" priority="6036" operator="equal">
      <formula>"×"</formula>
    </cfRule>
  </conditionalFormatting>
  <conditionalFormatting sqref="AF14:AI14">
    <cfRule type="cellIs" dxfId="3131" priority="6037" operator="equal">
      <formula>1</formula>
    </cfRule>
    <cfRule type="cellIs" dxfId="3130" priority="6038" operator="equal">
      <formula>"×"</formula>
    </cfRule>
  </conditionalFormatting>
  <conditionalFormatting sqref="AF18">
    <cfRule type="cellIs" dxfId="3129" priority="6033" operator="equal">
      <formula>1</formula>
    </cfRule>
    <cfRule type="cellIs" dxfId="3128" priority="6034" operator="equal">
      <formula>"×"</formula>
    </cfRule>
  </conditionalFormatting>
  <conditionalFormatting sqref="AF18">
    <cfRule type="cellIs" dxfId="3127" priority="6031" operator="equal">
      <formula>1</formula>
    </cfRule>
    <cfRule type="cellIs" dxfId="3126" priority="6032" operator="equal">
      <formula>"×"</formula>
    </cfRule>
  </conditionalFormatting>
  <conditionalFormatting sqref="AF18:AI18">
    <cfRule type="cellIs" dxfId="3125" priority="6029" operator="equal">
      <formula>1</formula>
    </cfRule>
    <cfRule type="cellIs" dxfId="3124" priority="6030" operator="equal">
      <formula>"×"</formula>
    </cfRule>
  </conditionalFormatting>
  <conditionalFormatting sqref="AI18">
    <cfRule type="cellIs" dxfId="3123" priority="6027" operator="equal">
      <formula>1</formula>
    </cfRule>
    <cfRule type="cellIs" dxfId="3122" priority="6028" operator="equal">
      <formula>"×"</formula>
    </cfRule>
  </conditionalFormatting>
  <conditionalFormatting sqref="AF18:AI18">
    <cfRule type="cellIs" dxfId="3121" priority="6025" operator="equal">
      <formula>1</formula>
    </cfRule>
    <cfRule type="cellIs" dxfId="3120" priority="6026" operator="equal">
      <formula>"×"</formula>
    </cfRule>
  </conditionalFormatting>
  <conditionalFormatting sqref="AF18:AI18">
    <cfRule type="cellIs" dxfId="3119" priority="6019" operator="equal">
      <formula>1</formula>
    </cfRule>
    <cfRule type="cellIs" dxfId="3118" priority="6020" operator="equal">
      <formula>"×"</formula>
    </cfRule>
  </conditionalFormatting>
  <conditionalFormatting sqref="AI18">
    <cfRule type="cellIs" dxfId="3117" priority="6017" operator="equal">
      <formula>1</formula>
    </cfRule>
    <cfRule type="cellIs" dxfId="3116" priority="6018" operator="equal">
      <formula>"×"</formula>
    </cfRule>
  </conditionalFormatting>
  <conditionalFormatting sqref="AF18:AI18">
    <cfRule type="cellIs" dxfId="3115" priority="6015" operator="equal">
      <formula>1</formula>
    </cfRule>
    <cfRule type="cellIs" dxfId="3114" priority="6016" operator="equal">
      <formula>"×"</formula>
    </cfRule>
  </conditionalFormatting>
  <conditionalFormatting sqref="AF18:AI18">
    <cfRule type="cellIs" dxfId="3113" priority="6013" operator="equal">
      <formula>1</formula>
    </cfRule>
    <cfRule type="cellIs" dxfId="3112" priority="6014" operator="equal">
      <formula>"×"</formula>
    </cfRule>
  </conditionalFormatting>
  <conditionalFormatting sqref="AI18">
    <cfRule type="cellIs" dxfId="3111" priority="6011" operator="equal">
      <formula>1</formula>
    </cfRule>
    <cfRule type="cellIs" dxfId="3110" priority="6012" operator="equal">
      <formula>"×"</formula>
    </cfRule>
  </conditionalFormatting>
  <conditionalFormatting sqref="AF19">
    <cfRule type="cellIs" dxfId="3109" priority="6009" operator="equal">
      <formula>1</formula>
    </cfRule>
    <cfRule type="cellIs" dxfId="3108" priority="6010" operator="equal">
      <formula>"×"</formula>
    </cfRule>
  </conditionalFormatting>
  <conditionalFormatting sqref="AF18:AI18">
    <cfRule type="cellIs" dxfId="3107" priority="5993" operator="equal">
      <formula>1</formula>
    </cfRule>
    <cfRule type="cellIs" dxfId="3106" priority="5994" operator="equal">
      <formula>"×"</formula>
    </cfRule>
  </conditionalFormatting>
  <conditionalFormatting sqref="AI18">
    <cfRule type="cellIs" dxfId="3105" priority="5991" operator="equal">
      <formula>1</formula>
    </cfRule>
    <cfRule type="cellIs" dxfId="3104" priority="5992" operator="equal">
      <formula>"×"</formula>
    </cfRule>
  </conditionalFormatting>
  <conditionalFormatting sqref="AF18">
    <cfRule type="cellIs" dxfId="3103" priority="6007" operator="equal">
      <formula>1</formula>
    </cfRule>
    <cfRule type="cellIs" dxfId="3102" priority="6008" operator="equal">
      <formula>"×"</formula>
    </cfRule>
  </conditionalFormatting>
  <conditionalFormatting sqref="AF18">
    <cfRule type="cellIs" dxfId="3101" priority="6005" operator="equal">
      <formula>1</formula>
    </cfRule>
    <cfRule type="cellIs" dxfId="3100" priority="6006" operator="equal">
      <formula>"×"</formula>
    </cfRule>
  </conditionalFormatting>
  <conditionalFormatting sqref="AF18">
    <cfRule type="cellIs" dxfId="3099" priority="6003" operator="equal">
      <formula>1</formula>
    </cfRule>
    <cfRule type="cellIs" dxfId="3098" priority="6004" operator="equal">
      <formula>"×"</formula>
    </cfRule>
  </conditionalFormatting>
  <conditionalFormatting sqref="AF18">
    <cfRule type="cellIs" dxfId="3097" priority="6001" operator="equal">
      <formula>1</formula>
    </cfRule>
    <cfRule type="cellIs" dxfId="3096" priority="6002" operator="equal">
      <formula>"×"</formula>
    </cfRule>
  </conditionalFormatting>
  <conditionalFormatting sqref="AI19">
    <cfRule type="cellIs" dxfId="3095" priority="5999" operator="equal">
      <formula>1</formula>
    </cfRule>
    <cfRule type="cellIs" dxfId="3094" priority="6000" operator="equal">
      <formula>"×"</formula>
    </cfRule>
  </conditionalFormatting>
  <conditionalFormatting sqref="AF18">
    <cfRule type="cellIs" dxfId="3093" priority="5997" operator="equal">
      <formula>1</formula>
    </cfRule>
    <cfRule type="cellIs" dxfId="3092" priority="5998" operator="equal">
      <formula>"×"</formula>
    </cfRule>
  </conditionalFormatting>
  <conditionalFormatting sqref="AF18">
    <cfRule type="cellIs" dxfId="3091" priority="5995" operator="equal">
      <formula>1</formula>
    </cfRule>
    <cfRule type="cellIs" dxfId="3090" priority="5996" operator="equal">
      <formula>"×"</formula>
    </cfRule>
  </conditionalFormatting>
  <conditionalFormatting sqref="AI19">
    <cfRule type="cellIs" dxfId="3089" priority="5985" operator="equal">
      <formula>1</formula>
    </cfRule>
    <cfRule type="cellIs" dxfId="3088" priority="5986" operator="equal">
      <formula>"×"</formula>
    </cfRule>
  </conditionalFormatting>
  <conditionalFormatting sqref="AF18">
    <cfRule type="cellIs" dxfId="3087" priority="5983" operator="equal">
      <formula>1</formula>
    </cfRule>
    <cfRule type="cellIs" dxfId="3086" priority="5984" operator="equal">
      <formula>"×"</formula>
    </cfRule>
  </conditionalFormatting>
  <conditionalFormatting sqref="AF18">
    <cfRule type="cellIs" dxfId="3085" priority="5971" operator="equal">
      <formula>1</formula>
    </cfRule>
    <cfRule type="cellIs" dxfId="3084" priority="5972" operator="equal">
      <formula>"×"</formula>
    </cfRule>
  </conditionalFormatting>
  <conditionalFormatting sqref="AH17:AI17">
    <cfRule type="cellIs" dxfId="3083" priority="5969" operator="equal">
      <formula>1</formula>
    </cfRule>
    <cfRule type="cellIs" dxfId="3082" priority="5970" operator="equal">
      <formula>"×"</formula>
    </cfRule>
  </conditionalFormatting>
  <conditionalFormatting sqref="AI17">
    <cfRule type="cellIs" dxfId="3081" priority="5967" operator="equal">
      <formula>1</formula>
    </cfRule>
    <cfRule type="cellIs" dxfId="3080" priority="5968" operator="equal">
      <formula>"×"</formula>
    </cfRule>
  </conditionalFormatting>
  <conditionalFormatting sqref="AH17:AI17">
    <cfRule type="cellIs" dxfId="3079" priority="5965" operator="equal">
      <formula>1</formula>
    </cfRule>
    <cfRule type="cellIs" dxfId="3078" priority="5966" operator="equal">
      <formula>"×"</formula>
    </cfRule>
  </conditionalFormatting>
  <conditionalFormatting sqref="AH17:AI17">
    <cfRule type="cellIs" dxfId="3077" priority="5963" operator="equal">
      <formula>1</formula>
    </cfRule>
    <cfRule type="cellIs" dxfId="3076" priority="5964" operator="equal">
      <formula>"×"</formula>
    </cfRule>
  </conditionalFormatting>
  <conditionalFormatting sqref="AI17">
    <cfRule type="cellIs" dxfId="3075" priority="5961" operator="equal">
      <formula>1</formula>
    </cfRule>
    <cfRule type="cellIs" dxfId="3074" priority="5962" operator="equal">
      <formula>"×"</formula>
    </cfRule>
  </conditionalFormatting>
  <conditionalFormatting sqref="AH17:AI17">
    <cfRule type="cellIs" dxfId="3073" priority="5959" operator="equal">
      <formula>1</formula>
    </cfRule>
    <cfRule type="cellIs" dxfId="3072" priority="5960" operator="equal">
      <formula>"×"</formula>
    </cfRule>
  </conditionalFormatting>
  <conditionalFormatting sqref="AF14:AG14">
    <cfRule type="cellIs" dxfId="3071" priority="5933" operator="equal">
      <formula>1</formula>
    </cfRule>
    <cfRule type="cellIs" dxfId="3070" priority="5934" operator="equal">
      <formula>"×"</formula>
    </cfRule>
  </conditionalFormatting>
  <conditionalFormatting sqref="AF14:AG14">
    <cfRule type="cellIs" dxfId="3069" priority="5929" operator="equal">
      <formula>1</formula>
    </cfRule>
    <cfRule type="cellIs" dxfId="3068" priority="5930" operator="equal">
      <formula>"×"</formula>
    </cfRule>
  </conditionalFormatting>
  <conditionalFormatting sqref="AF14:AG14">
    <cfRule type="cellIs" dxfId="3067" priority="5957" operator="equal">
      <formula>1</formula>
    </cfRule>
    <cfRule type="cellIs" dxfId="3066" priority="5958" operator="equal">
      <formula>"×"</formula>
    </cfRule>
  </conditionalFormatting>
  <conditionalFormatting sqref="AF14:AG14">
    <cfRule type="cellIs" dxfId="3065" priority="5955" operator="equal">
      <formula>1</formula>
    </cfRule>
    <cfRule type="cellIs" dxfId="3064" priority="5956" operator="equal">
      <formula>"×"</formula>
    </cfRule>
  </conditionalFormatting>
  <conditionalFormatting sqref="AF14:AG14">
    <cfRule type="cellIs" dxfId="3063" priority="5953" operator="equal">
      <formula>1</formula>
    </cfRule>
    <cfRule type="cellIs" dxfId="3062" priority="5954" operator="equal">
      <formula>"×"</formula>
    </cfRule>
  </conditionalFormatting>
  <conditionalFormatting sqref="AF14:AG14">
    <cfRule type="cellIs" dxfId="3061" priority="5951" operator="equal">
      <formula>1</formula>
    </cfRule>
    <cfRule type="cellIs" dxfId="3060" priority="5952" operator="equal">
      <formula>"×"</formula>
    </cfRule>
  </conditionalFormatting>
  <conditionalFormatting sqref="AF14:AG14">
    <cfRule type="cellIs" dxfId="3059" priority="5949" operator="equal">
      <formula>1</formula>
    </cfRule>
    <cfRule type="cellIs" dxfId="3058" priority="5950" operator="equal">
      <formula>"×"</formula>
    </cfRule>
  </conditionalFormatting>
  <conditionalFormatting sqref="AF14:AG14">
    <cfRule type="cellIs" dxfId="3057" priority="5947" operator="equal">
      <formula>1</formula>
    </cfRule>
    <cfRule type="cellIs" dxfId="3056" priority="5948" operator="equal">
      <formula>"×"</formula>
    </cfRule>
  </conditionalFormatting>
  <conditionalFormatting sqref="AF14:AG14">
    <cfRule type="cellIs" dxfId="3055" priority="5945" operator="equal">
      <formula>1</formula>
    </cfRule>
    <cfRule type="cellIs" dxfId="3054" priority="5946" operator="equal">
      <formula>"×"</formula>
    </cfRule>
  </conditionalFormatting>
  <conditionalFormatting sqref="AF14:AG14">
    <cfRule type="cellIs" dxfId="3053" priority="5943" operator="equal">
      <formula>1</formula>
    </cfRule>
    <cfRule type="cellIs" dxfId="3052" priority="5944" operator="equal">
      <formula>"×"</formula>
    </cfRule>
  </conditionalFormatting>
  <conditionalFormatting sqref="AF14:AG14">
    <cfRule type="cellIs" dxfId="3051" priority="5941" operator="equal">
      <formula>1</formula>
    </cfRule>
    <cfRule type="cellIs" dxfId="3050" priority="5942" operator="equal">
      <formula>"×"</formula>
    </cfRule>
  </conditionalFormatting>
  <conditionalFormatting sqref="AF14:AG14">
    <cfRule type="cellIs" dxfId="3049" priority="5939" operator="equal">
      <formula>1</formula>
    </cfRule>
    <cfRule type="cellIs" dxfId="3048" priority="5940" operator="equal">
      <formula>"×"</formula>
    </cfRule>
  </conditionalFormatting>
  <conditionalFormatting sqref="AF14:AG14">
    <cfRule type="cellIs" dxfId="3047" priority="5937" operator="equal">
      <formula>1</formula>
    </cfRule>
    <cfRule type="cellIs" dxfId="3046" priority="5938" operator="equal">
      <formula>"×"</formula>
    </cfRule>
  </conditionalFormatting>
  <conditionalFormatting sqref="AF14:AG14">
    <cfRule type="cellIs" dxfId="3045" priority="5935" operator="equal">
      <formula>1</formula>
    </cfRule>
    <cfRule type="cellIs" dxfId="3044" priority="5936" operator="equal">
      <formula>"×"</formula>
    </cfRule>
  </conditionalFormatting>
  <conditionalFormatting sqref="AH14:AI14">
    <cfRule type="cellIs" dxfId="3043" priority="5897" operator="equal">
      <formula>1</formula>
    </cfRule>
    <cfRule type="cellIs" dxfId="3042" priority="5898" operator="equal">
      <formula>"×"</formula>
    </cfRule>
  </conditionalFormatting>
  <conditionalFormatting sqref="AH14:AI14">
    <cfRule type="cellIs" dxfId="3041" priority="5919" operator="equal">
      <formula>1</formula>
    </cfRule>
    <cfRule type="cellIs" dxfId="3040" priority="5920" operator="equal">
      <formula>"×"</formula>
    </cfRule>
  </conditionalFormatting>
  <conditionalFormatting sqref="AF20:AF23">
    <cfRule type="cellIs" dxfId="3039" priority="1831" operator="equal">
      <formula>1</formula>
    </cfRule>
    <cfRule type="cellIs" dxfId="3038" priority="1832" operator="equal">
      <formula>"×"</formula>
    </cfRule>
  </conditionalFormatting>
  <conditionalFormatting sqref="AF20:AF23">
    <cfRule type="cellIs" dxfId="3037" priority="1829" operator="equal">
      <formula>1</formula>
    </cfRule>
    <cfRule type="cellIs" dxfId="3036" priority="1830" operator="equal">
      <formula>"×"</formula>
    </cfRule>
  </conditionalFormatting>
  <conditionalFormatting sqref="AF20:AF23">
    <cfRule type="cellIs" dxfId="3035" priority="1827" operator="equal">
      <formula>1</formula>
    </cfRule>
    <cfRule type="cellIs" dxfId="3034" priority="1828" operator="equal">
      <formula>"×"</formula>
    </cfRule>
  </conditionalFormatting>
  <conditionalFormatting sqref="AF20:AF23">
    <cfRule type="cellIs" dxfId="3033" priority="1825" operator="equal">
      <formula>1</formula>
    </cfRule>
    <cfRule type="cellIs" dxfId="3032" priority="1826" operator="equal">
      <formula>"×"</formula>
    </cfRule>
  </conditionalFormatting>
  <conditionalFormatting sqref="AF20:AF23">
    <cfRule type="cellIs" dxfId="3031" priority="1823" operator="equal">
      <formula>1</formula>
    </cfRule>
    <cfRule type="cellIs" dxfId="3030" priority="1824" operator="equal">
      <formula>"×"</formula>
    </cfRule>
  </conditionalFormatting>
  <conditionalFormatting sqref="AF20:AF23">
    <cfRule type="cellIs" dxfId="3029" priority="1821" operator="equal">
      <formula>1</formula>
    </cfRule>
    <cfRule type="cellIs" dxfId="3028" priority="1822" operator="equal">
      <formula>"×"</formula>
    </cfRule>
  </conditionalFormatting>
  <conditionalFormatting sqref="AI23">
    <cfRule type="cellIs" dxfId="3027" priority="1703" operator="equal">
      <formula>1</formula>
    </cfRule>
    <cfRule type="cellIs" dxfId="3026" priority="1704" operator="equal">
      <formula>"×"</formula>
    </cfRule>
  </conditionalFormatting>
  <conditionalFormatting sqref="AF23">
    <cfRule type="cellIs" dxfId="3025" priority="1701" operator="equal">
      <formula>1</formula>
    </cfRule>
    <cfRule type="cellIs" dxfId="3024" priority="1702" operator="equal">
      <formula>"×"</formula>
    </cfRule>
  </conditionalFormatting>
  <conditionalFormatting sqref="AF23">
    <cfRule type="cellIs" dxfId="3023" priority="1699" operator="equal">
      <formula>1</formula>
    </cfRule>
    <cfRule type="cellIs" dxfId="3022" priority="1700" operator="equal">
      <formula>"×"</formula>
    </cfRule>
  </conditionalFormatting>
  <conditionalFormatting sqref="AF23">
    <cfRule type="cellIs" dxfId="3021" priority="1697" operator="equal">
      <formula>1</formula>
    </cfRule>
    <cfRule type="cellIs" dxfId="3020" priority="1698" operator="equal">
      <formula>"×"</formula>
    </cfRule>
  </conditionalFormatting>
  <conditionalFormatting sqref="AF23">
    <cfRule type="cellIs" dxfId="3019" priority="1693" operator="equal">
      <formula>1</formula>
    </cfRule>
    <cfRule type="cellIs" dxfId="3018" priority="1694" operator="equal">
      <formula>"×"</formula>
    </cfRule>
  </conditionalFormatting>
  <conditionalFormatting sqref="AF23">
    <cfRule type="cellIs" dxfId="3017" priority="1695" operator="equal">
      <formula>1</formula>
    </cfRule>
    <cfRule type="cellIs" dxfId="3016" priority="1696" operator="equal">
      <formula>"×"</formula>
    </cfRule>
  </conditionalFormatting>
  <conditionalFormatting sqref="AF23">
    <cfRule type="cellIs" dxfId="3015" priority="1691" operator="equal">
      <formula>1</formula>
    </cfRule>
    <cfRule type="cellIs" dxfId="3014" priority="1692" operator="equal">
      <formula>"×"</formula>
    </cfRule>
  </conditionalFormatting>
  <conditionalFormatting sqref="AF23:AI23">
    <cfRule type="cellIs" dxfId="3013" priority="1689" operator="equal">
      <formula>1</formula>
    </cfRule>
    <cfRule type="cellIs" dxfId="3012" priority="1690" operator="equal">
      <formula>"×"</formula>
    </cfRule>
  </conditionalFormatting>
  <conditionalFormatting sqref="AF23:AI23">
    <cfRule type="cellIs" dxfId="3011" priority="1685" operator="equal">
      <formula>1</formula>
    </cfRule>
    <cfRule type="cellIs" dxfId="3010" priority="1686" operator="equal">
      <formula>"×"</formula>
    </cfRule>
  </conditionalFormatting>
  <conditionalFormatting sqref="AI12">
    <cfRule type="cellIs" dxfId="3009" priority="5353" operator="equal">
      <formula>1</formula>
    </cfRule>
    <cfRule type="cellIs" dxfId="3008" priority="5354" operator="equal">
      <formula>"×"</formula>
    </cfRule>
  </conditionalFormatting>
  <conditionalFormatting sqref="AE14 AF12:AI12">
    <cfRule type="cellIs" dxfId="3007" priority="5351" operator="equal">
      <formula>1</formula>
    </cfRule>
    <cfRule type="cellIs" dxfId="3006" priority="5352" operator="equal">
      <formula>"×"</formula>
    </cfRule>
  </conditionalFormatting>
  <conditionalFormatting sqref="AI13">
    <cfRule type="cellIs" dxfId="3005" priority="5349" operator="equal">
      <formula>1</formula>
    </cfRule>
    <cfRule type="cellIs" dxfId="3004" priority="5350" operator="equal">
      <formula>"×"</formula>
    </cfRule>
  </conditionalFormatting>
  <conditionalFormatting sqref="AI13">
    <cfRule type="cellIs" dxfId="3003" priority="5347" operator="equal">
      <formula>1</formula>
    </cfRule>
    <cfRule type="cellIs" dxfId="3002" priority="5348" operator="equal">
      <formula>"×"</formula>
    </cfRule>
  </conditionalFormatting>
  <conditionalFormatting sqref="AE14">
    <cfRule type="cellIs" dxfId="3001" priority="5345" operator="equal">
      <formula>1</formula>
    </cfRule>
    <cfRule type="cellIs" dxfId="3000" priority="5346" operator="equal">
      <formula>"×"</formula>
    </cfRule>
  </conditionalFormatting>
  <conditionalFormatting sqref="AE14">
    <cfRule type="cellIs" dxfId="2999" priority="5343" operator="equal">
      <formula>1</formula>
    </cfRule>
    <cfRule type="cellIs" dxfId="2998" priority="5344" operator="equal">
      <formula>"×"</formula>
    </cfRule>
  </conditionalFormatting>
  <conditionalFormatting sqref="AF22:AG22">
    <cfRule type="cellIs" dxfId="2997" priority="1163" operator="equal">
      <formula>1</formula>
    </cfRule>
    <cfRule type="cellIs" dxfId="2996" priority="1164" operator="equal">
      <formula>"×"</formula>
    </cfRule>
  </conditionalFormatting>
  <conditionalFormatting sqref="AF22:AG22">
    <cfRule type="cellIs" dxfId="2995" priority="1161" operator="equal">
      <formula>1</formula>
    </cfRule>
    <cfRule type="cellIs" dxfId="2994" priority="1162" operator="equal">
      <formula>"×"</formula>
    </cfRule>
  </conditionalFormatting>
  <conditionalFormatting sqref="AH22:AI22">
    <cfRule type="cellIs" dxfId="2993" priority="1159" operator="equal">
      <formula>1</formula>
    </cfRule>
    <cfRule type="cellIs" dxfId="2992" priority="1160" operator="equal">
      <formula>"×"</formula>
    </cfRule>
  </conditionalFormatting>
  <conditionalFormatting sqref="AH22:AI22">
    <cfRule type="cellIs" dxfId="2991" priority="1155" operator="equal">
      <formula>1</formula>
    </cfRule>
    <cfRule type="cellIs" dxfId="2990" priority="1156" operator="equal">
      <formula>"×"</formula>
    </cfRule>
  </conditionalFormatting>
  <conditionalFormatting sqref="AH22:AI22">
    <cfRule type="cellIs" dxfId="2989" priority="1153" operator="equal">
      <formula>1</formula>
    </cfRule>
    <cfRule type="cellIs" dxfId="2988" priority="1154" operator="equal">
      <formula>"×"</formula>
    </cfRule>
  </conditionalFormatting>
  <conditionalFormatting sqref="AH22:AI22">
    <cfRule type="cellIs" dxfId="2987" priority="1151" operator="equal">
      <formula>1</formula>
    </cfRule>
    <cfRule type="cellIs" dxfId="2986" priority="1152" operator="equal">
      <formula>"×"</formula>
    </cfRule>
  </conditionalFormatting>
  <conditionalFormatting sqref="AH22:AI22">
    <cfRule type="cellIs" dxfId="2985" priority="1149" operator="equal">
      <formula>1</formula>
    </cfRule>
    <cfRule type="cellIs" dxfId="2984" priority="1150" operator="equal">
      <formula>"×"</formula>
    </cfRule>
  </conditionalFormatting>
  <conditionalFormatting sqref="AH22:AI22">
    <cfRule type="cellIs" dxfId="2983" priority="1147" operator="equal">
      <formula>1</formula>
    </cfRule>
    <cfRule type="cellIs" dxfId="2982" priority="1148" operator="equal">
      <formula>"×"</formula>
    </cfRule>
  </conditionalFormatting>
  <conditionalFormatting sqref="AH22:AI22">
    <cfRule type="cellIs" dxfId="2981" priority="1145" operator="equal">
      <formula>1</formula>
    </cfRule>
    <cfRule type="cellIs" dxfId="2980" priority="1146" operator="equal">
      <formula>"×"</formula>
    </cfRule>
  </conditionalFormatting>
  <conditionalFormatting sqref="AH22:AI22">
    <cfRule type="cellIs" dxfId="2979" priority="1143" operator="equal">
      <formula>1</formula>
    </cfRule>
    <cfRule type="cellIs" dxfId="2978" priority="1144" operator="equal">
      <formula>"×"</formula>
    </cfRule>
  </conditionalFormatting>
  <conditionalFormatting sqref="AH22:AI22">
    <cfRule type="cellIs" dxfId="2977" priority="1141" operator="equal">
      <formula>1</formula>
    </cfRule>
    <cfRule type="cellIs" dxfId="2976" priority="1142" operator="equal">
      <formula>"×"</formula>
    </cfRule>
  </conditionalFormatting>
  <conditionalFormatting sqref="AH22:AI22">
    <cfRule type="cellIs" dxfId="2975" priority="1139" operator="equal">
      <formula>1</formula>
    </cfRule>
    <cfRule type="cellIs" dxfId="2974" priority="1140" operator="equal">
      <formula>"×"</formula>
    </cfRule>
  </conditionalFormatting>
  <conditionalFormatting sqref="AH22:AI22">
    <cfRule type="cellIs" dxfId="2973" priority="1137" operator="equal">
      <formula>1</formula>
    </cfRule>
    <cfRule type="cellIs" dxfId="2972" priority="1138" operator="equal">
      <formula>"×"</formula>
    </cfRule>
  </conditionalFormatting>
  <conditionalFormatting sqref="AH22:AI22">
    <cfRule type="cellIs" dxfId="2971" priority="1135" operator="equal">
      <formula>1</formula>
    </cfRule>
    <cfRule type="cellIs" dxfId="2970" priority="1136" operator="equal">
      <formula>"×"</formula>
    </cfRule>
  </conditionalFormatting>
  <conditionalFormatting sqref="AH23">
    <cfRule type="cellIs" dxfId="2969" priority="1109" operator="equal">
      <formula>1</formula>
    </cfRule>
    <cfRule type="cellIs" dxfId="2968" priority="1110" operator="equal">
      <formula>"×"</formula>
    </cfRule>
  </conditionalFormatting>
  <conditionalFormatting sqref="AH23">
    <cfRule type="cellIs" dxfId="2967" priority="1107" operator="equal">
      <formula>1</formula>
    </cfRule>
    <cfRule type="cellIs" dxfId="2966" priority="1108" operator="equal">
      <formula>"×"</formula>
    </cfRule>
  </conditionalFormatting>
  <conditionalFormatting sqref="AH23">
    <cfRule type="cellIs" dxfId="2965" priority="1103" operator="equal">
      <formula>1</formula>
    </cfRule>
    <cfRule type="cellIs" dxfId="2964" priority="1104" operator="equal">
      <formula>"×"</formula>
    </cfRule>
  </conditionalFormatting>
  <conditionalFormatting sqref="AH23">
    <cfRule type="cellIs" dxfId="2963" priority="1105" operator="equal">
      <formula>1</formula>
    </cfRule>
    <cfRule type="cellIs" dxfId="2962" priority="1106" operator="equal">
      <formula>"×"</formula>
    </cfRule>
  </conditionalFormatting>
  <conditionalFormatting sqref="AH22:AI22">
    <cfRule type="cellIs" dxfId="2961" priority="1133" operator="equal">
      <formula>1</formula>
    </cfRule>
    <cfRule type="cellIs" dxfId="2960" priority="1134" operator="equal">
      <formula>"×"</formula>
    </cfRule>
  </conditionalFormatting>
  <conditionalFormatting sqref="AH22:AI22">
    <cfRule type="cellIs" dxfId="2959" priority="1131" operator="equal">
      <formula>1</formula>
    </cfRule>
    <cfRule type="cellIs" dxfId="2958" priority="1132" operator="equal">
      <formula>"×"</formula>
    </cfRule>
  </conditionalFormatting>
  <conditionalFormatting sqref="AH22:AI22">
    <cfRule type="cellIs" dxfId="2957" priority="1129" operator="equal">
      <formula>1</formula>
    </cfRule>
    <cfRule type="cellIs" dxfId="2956" priority="1130" operator="equal">
      <formula>"×"</formula>
    </cfRule>
  </conditionalFormatting>
  <conditionalFormatting sqref="AH23">
    <cfRule type="cellIs" dxfId="2955" priority="1127" operator="equal">
      <formula>1</formula>
    </cfRule>
    <cfRule type="cellIs" dxfId="2954" priority="1128" operator="equal">
      <formula>"×"</formula>
    </cfRule>
  </conditionalFormatting>
  <conditionalFormatting sqref="AH23">
    <cfRule type="cellIs" dxfId="2953" priority="1125" operator="equal">
      <formula>1</formula>
    </cfRule>
    <cfRule type="cellIs" dxfId="2952" priority="1126" operator="equal">
      <formula>"×"</formula>
    </cfRule>
  </conditionalFormatting>
  <conditionalFormatting sqref="AH23">
    <cfRule type="cellIs" dxfId="2951" priority="1123" operator="equal">
      <formula>1</formula>
    </cfRule>
    <cfRule type="cellIs" dxfId="2950" priority="1124" operator="equal">
      <formula>"×"</formula>
    </cfRule>
  </conditionalFormatting>
  <conditionalFormatting sqref="AH23">
    <cfRule type="cellIs" dxfId="2949" priority="1121" operator="equal">
      <formula>1</formula>
    </cfRule>
    <cfRule type="cellIs" dxfId="2948" priority="1122" operator="equal">
      <formula>"×"</formula>
    </cfRule>
  </conditionalFormatting>
  <conditionalFormatting sqref="AH23">
    <cfRule type="cellIs" dxfId="2947" priority="1119" operator="equal">
      <formula>1</formula>
    </cfRule>
    <cfRule type="cellIs" dxfId="2946" priority="1120" operator="equal">
      <formula>"×"</formula>
    </cfRule>
  </conditionalFormatting>
  <conditionalFormatting sqref="AH23">
    <cfRule type="cellIs" dxfId="2945" priority="1117" operator="equal">
      <formula>1</formula>
    </cfRule>
    <cfRule type="cellIs" dxfId="2944" priority="1118" operator="equal">
      <formula>"×"</formula>
    </cfRule>
  </conditionalFormatting>
  <conditionalFormatting sqref="AH23">
    <cfRule type="cellIs" dxfId="2943" priority="1115" operator="equal">
      <formula>1</formula>
    </cfRule>
    <cfRule type="cellIs" dxfId="2942" priority="1116" operator="equal">
      <formula>"×"</formula>
    </cfRule>
  </conditionalFormatting>
  <conditionalFormatting sqref="AH23">
    <cfRule type="cellIs" dxfId="2941" priority="1113" operator="equal">
      <formula>1</formula>
    </cfRule>
    <cfRule type="cellIs" dxfId="2940" priority="1114" operator="equal">
      <formula>"×"</formula>
    </cfRule>
  </conditionalFormatting>
  <conditionalFormatting sqref="AH23">
    <cfRule type="cellIs" dxfId="2939" priority="1111" operator="equal">
      <formula>1</formula>
    </cfRule>
    <cfRule type="cellIs" dxfId="2938" priority="1112" operator="equal">
      <formula>"×"</formula>
    </cfRule>
  </conditionalFormatting>
  <conditionalFormatting sqref="AF22">
    <cfRule type="cellIs" dxfId="2937" priority="1075" operator="equal">
      <formula>1</formula>
    </cfRule>
    <cfRule type="cellIs" dxfId="2936" priority="1076" operator="equal">
      <formula>"×"</formula>
    </cfRule>
  </conditionalFormatting>
  <conditionalFormatting sqref="AF22">
    <cfRule type="cellIs" dxfId="2935" priority="1071" operator="equal">
      <formula>1</formula>
    </cfRule>
    <cfRule type="cellIs" dxfId="2934" priority="1072" operator="equal">
      <formula>"×"</formula>
    </cfRule>
  </conditionalFormatting>
  <conditionalFormatting sqref="AF22">
    <cfRule type="cellIs" dxfId="2933" priority="1073" operator="equal">
      <formula>1</formula>
    </cfRule>
    <cfRule type="cellIs" dxfId="2932" priority="1074" operator="equal">
      <formula>"×"</formula>
    </cfRule>
  </conditionalFormatting>
  <conditionalFormatting sqref="AH23">
    <cfRule type="cellIs" dxfId="2931" priority="1101" operator="equal">
      <formula>1</formula>
    </cfRule>
    <cfRule type="cellIs" dxfId="2930" priority="1102" operator="equal">
      <formula>"×"</formula>
    </cfRule>
  </conditionalFormatting>
  <conditionalFormatting sqref="AH23">
    <cfRule type="cellIs" dxfId="2929" priority="1095" operator="equal">
      <formula>1</formula>
    </cfRule>
    <cfRule type="cellIs" dxfId="2928" priority="1096" operator="equal">
      <formula>"×"</formula>
    </cfRule>
  </conditionalFormatting>
  <conditionalFormatting sqref="AH23">
    <cfRule type="cellIs" dxfId="2927" priority="1093" operator="equal">
      <formula>1</formula>
    </cfRule>
    <cfRule type="cellIs" dxfId="2926" priority="1094" operator="equal">
      <formula>"×"</formula>
    </cfRule>
  </conditionalFormatting>
  <conditionalFormatting sqref="AF22:AI22">
    <cfRule type="cellIs" dxfId="2925" priority="1091" operator="equal">
      <formula>1</formula>
    </cfRule>
    <cfRule type="cellIs" dxfId="2924" priority="1092" operator="equal">
      <formula>"×"</formula>
    </cfRule>
  </conditionalFormatting>
  <conditionalFormatting sqref="AF22:AI22">
    <cfRule type="cellIs" dxfId="2923" priority="1089" operator="equal">
      <formula>1</formula>
    </cfRule>
    <cfRule type="cellIs" dxfId="2922" priority="1090" operator="equal">
      <formula>"×"</formula>
    </cfRule>
  </conditionalFormatting>
  <conditionalFormatting sqref="AF22">
    <cfRule type="cellIs" dxfId="2921" priority="1083" operator="equal">
      <formula>1</formula>
    </cfRule>
    <cfRule type="cellIs" dxfId="2920" priority="1084" operator="equal">
      <formula>"×"</formula>
    </cfRule>
  </conditionalFormatting>
  <conditionalFormatting sqref="AF22">
    <cfRule type="cellIs" dxfId="2919" priority="1081" operator="equal">
      <formula>1</formula>
    </cfRule>
    <cfRule type="cellIs" dxfId="2918" priority="1082" operator="equal">
      <formula>"×"</formula>
    </cfRule>
  </conditionalFormatting>
  <conditionalFormatting sqref="AF22">
    <cfRule type="cellIs" dxfId="2917" priority="1069" operator="equal">
      <formula>1</formula>
    </cfRule>
    <cfRule type="cellIs" dxfId="2916" priority="1070" operator="equal">
      <formula>"×"</formula>
    </cfRule>
  </conditionalFormatting>
  <conditionalFormatting sqref="AF22">
    <cfRule type="cellIs" dxfId="2915" priority="1067" operator="equal">
      <formula>1</formula>
    </cfRule>
    <cfRule type="cellIs" dxfId="2914" priority="1068" operator="equal">
      <formula>"×"</formula>
    </cfRule>
  </conditionalFormatting>
  <conditionalFormatting sqref="AF22">
    <cfRule type="cellIs" dxfId="2913" priority="1065" operator="equal">
      <formula>1</formula>
    </cfRule>
    <cfRule type="cellIs" dxfId="2912" priority="1066" operator="equal">
      <formula>"×"</formula>
    </cfRule>
  </conditionalFormatting>
  <conditionalFormatting sqref="AF22">
    <cfRule type="cellIs" dxfId="2911" priority="1063" operator="equal">
      <formula>1</formula>
    </cfRule>
    <cfRule type="cellIs" dxfId="2910" priority="1064" operator="equal">
      <formula>"×"</formula>
    </cfRule>
  </conditionalFormatting>
  <conditionalFormatting sqref="AF22">
    <cfRule type="cellIs" dxfId="2909" priority="1061" operator="equal">
      <formula>1</formula>
    </cfRule>
    <cfRule type="cellIs" dxfId="2908" priority="1062" operator="equal">
      <formula>"×"</formula>
    </cfRule>
  </conditionalFormatting>
  <conditionalFormatting sqref="AF22">
    <cfRule type="cellIs" dxfId="2907" priority="1057" operator="equal">
      <formula>1</formula>
    </cfRule>
    <cfRule type="cellIs" dxfId="2906" priority="1058" operator="equal">
      <formula>"×"</formula>
    </cfRule>
  </conditionalFormatting>
  <conditionalFormatting sqref="AF22">
    <cfRule type="cellIs" dxfId="2905" priority="1055" operator="equal">
      <formula>1</formula>
    </cfRule>
    <cfRule type="cellIs" dxfId="2904" priority="1056" operator="equal">
      <formula>"×"</formula>
    </cfRule>
  </conditionalFormatting>
  <conditionalFormatting sqref="AF22">
    <cfRule type="cellIs" dxfId="2903" priority="1053" operator="equal">
      <formula>1</formula>
    </cfRule>
    <cfRule type="cellIs" dxfId="2902" priority="1054" operator="equal">
      <formula>"×"</formula>
    </cfRule>
  </conditionalFormatting>
  <conditionalFormatting sqref="AF22">
    <cfRule type="cellIs" dxfId="2901" priority="1051" operator="equal">
      <formula>1</formula>
    </cfRule>
    <cfRule type="cellIs" dxfId="2900" priority="1052" operator="equal">
      <formula>"×"</formula>
    </cfRule>
  </conditionalFormatting>
  <conditionalFormatting sqref="AF22">
    <cfRule type="cellIs" dxfId="2899" priority="1049" operator="equal">
      <formula>1</formula>
    </cfRule>
    <cfRule type="cellIs" dxfId="2898" priority="1050" operator="equal">
      <formula>"×"</formula>
    </cfRule>
  </conditionalFormatting>
  <conditionalFormatting sqref="AF22">
    <cfRule type="cellIs" dxfId="2897" priority="1047" operator="equal">
      <formula>1</formula>
    </cfRule>
    <cfRule type="cellIs" dxfId="2896" priority="1048" operator="equal">
      <formula>"×"</formula>
    </cfRule>
  </conditionalFormatting>
  <conditionalFormatting sqref="AF22">
    <cfRule type="cellIs" dxfId="2895" priority="1045" operator="equal">
      <formula>1</formula>
    </cfRule>
    <cfRule type="cellIs" dxfId="2894" priority="1046" operator="equal">
      <formula>"×"</formula>
    </cfRule>
  </conditionalFormatting>
  <conditionalFormatting sqref="AF22">
    <cfRule type="cellIs" dxfId="2893" priority="1043" operator="equal">
      <formula>1</formula>
    </cfRule>
    <cfRule type="cellIs" dxfId="2892" priority="1044" operator="equal">
      <formula>"×"</formula>
    </cfRule>
  </conditionalFormatting>
  <conditionalFormatting sqref="AH23:AI23">
    <cfRule type="cellIs" dxfId="2891" priority="853" operator="equal">
      <formula>1</formula>
    </cfRule>
    <cfRule type="cellIs" dxfId="2890" priority="854" operator="equal">
      <formula>"×"</formula>
    </cfRule>
  </conditionalFormatting>
  <conditionalFormatting sqref="AB6:AB7">
    <cfRule type="cellIs" dxfId="2889" priority="3819" operator="equal">
      <formula>1</formula>
    </cfRule>
    <cfRule type="cellIs" dxfId="2888" priority="3820" operator="equal">
      <formula>"×"</formula>
    </cfRule>
  </conditionalFormatting>
  <conditionalFormatting sqref="AC6">
    <cfRule type="cellIs" dxfId="2887" priority="3817" operator="equal">
      <formula>1</formula>
    </cfRule>
    <cfRule type="cellIs" dxfId="2886" priority="3818" operator="equal">
      <formula>"×"</formula>
    </cfRule>
  </conditionalFormatting>
  <conditionalFormatting sqref="AD24">
    <cfRule type="cellIs" dxfId="2885" priority="23" operator="equal">
      <formula>1</formula>
    </cfRule>
    <cfRule type="cellIs" dxfId="2884" priority="24" operator="equal">
      <formula>"×"</formula>
    </cfRule>
  </conditionalFormatting>
  <conditionalFormatting sqref="AD14">
    <cfRule type="cellIs" dxfId="2883" priority="3713" operator="equal">
      <formula>1</formula>
    </cfRule>
    <cfRule type="cellIs" dxfId="2882" priority="3714" operator="equal">
      <formula>"×"</formula>
    </cfRule>
  </conditionalFormatting>
  <conditionalFormatting sqref="AD8">
    <cfRule type="cellIs" dxfId="2881" priority="3715" operator="equal">
      <formula>1</formula>
    </cfRule>
    <cfRule type="cellIs" dxfId="2880" priority="3716" operator="equal">
      <formula>"×"</formula>
    </cfRule>
  </conditionalFormatting>
  <conditionalFormatting sqref="AC6">
    <cfRule type="cellIs" dxfId="2879" priority="3815" operator="equal">
      <formula>1</formula>
    </cfRule>
    <cfRule type="cellIs" dxfId="2878" priority="3816" operator="equal">
      <formula>"×"</formula>
    </cfRule>
  </conditionalFormatting>
  <conditionalFormatting sqref="AC6">
    <cfRule type="cellIs" dxfId="2877" priority="3813" operator="equal">
      <formula>1</formula>
    </cfRule>
    <cfRule type="cellIs" dxfId="2876" priority="3814" operator="equal">
      <formula>"×"</formula>
    </cfRule>
  </conditionalFormatting>
  <conditionalFormatting sqref="AC6">
    <cfRule type="cellIs" dxfId="2875" priority="3811" operator="equal">
      <formula>1</formula>
    </cfRule>
    <cfRule type="cellIs" dxfId="2874" priority="3812" operator="equal">
      <formula>"×"</formula>
    </cfRule>
  </conditionalFormatting>
  <conditionalFormatting sqref="AC6">
    <cfRule type="cellIs" dxfId="2873" priority="3809" operator="equal">
      <formula>1</formula>
    </cfRule>
    <cfRule type="cellIs" dxfId="2872" priority="3810" operator="equal">
      <formula>"×"</formula>
    </cfRule>
  </conditionalFormatting>
  <conditionalFormatting sqref="AB8">
    <cfRule type="cellIs" dxfId="2871" priority="3807" operator="equal">
      <formula>1</formula>
    </cfRule>
    <cfRule type="cellIs" dxfId="2870" priority="3808" operator="equal">
      <formula>"×"</formula>
    </cfRule>
  </conditionalFormatting>
  <conditionalFormatting sqref="AB10:AB13">
    <cfRule type="cellIs" dxfId="2869" priority="3805" operator="equal">
      <formula>1</formula>
    </cfRule>
    <cfRule type="cellIs" dxfId="2868" priority="3806" operator="equal">
      <formula>"×"</formula>
    </cfRule>
  </conditionalFormatting>
  <conditionalFormatting sqref="AB13:AB15">
    <cfRule type="cellIs" dxfId="2867" priority="3803" operator="equal">
      <formula>1</formula>
    </cfRule>
    <cfRule type="cellIs" dxfId="2866" priority="3804" operator="equal">
      <formula>"×"</formula>
    </cfRule>
  </conditionalFormatting>
  <conditionalFormatting sqref="AD14">
    <cfRule type="cellIs" dxfId="2865" priority="3709" operator="equal">
      <formula>1</formula>
    </cfRule>
    <cfRule type="cellIs" dxfId="2864" priority="3710" operator="equal">
      <formula>"×"</formula>
    </cfRule>
  </conditionalFormatting>
  <conditionalFormatting sqref="AB14">
    <cfRule type="cellIs" dxfId="2863" priority="3801" operator="equal">
      <formula>1</formula>
    </cfRule>
    <cfRule type="cellIs" dxfId="2862" priority="3802" operator="equal">
      <formula>"×"</formula>
    </cfRule>
  </conditionalFormatting>
  <conditionalFormatting sqref="AD15">
    <cfRule type="cellIs" dxfId="2861" priority="3795" operator="equal">
      <formula>1</formula>
    </cfRule>
    <cfRule type="cellIs" dxfId="2860" priority="3796" operator="equal">
      <formula>"×"</formula>
    </cfRule>
  </conditionalFormatting>
  <conditionalFormatting sqref="AD9">
    <cfRule type="cellIs" dxfId="2859" priority="3797" operator="equal">
      <formula>1</formula>
    </cfRule>
    <cfRule type="cellIs" dxfId="2858" priority="3798" operator="equal">
      <formula>"×"</formula>
    </cfRule>
  </conditionalFormatting>
  <conditionalFormatting sqref="AH20:AI20">
    <cfRule type="cellIs" dxfId="2857" priority="105" operator="equal">
      <formula>1</formula>
    </cfRule>
    <cfRule type="cellIs" dxfId="2856" priority="106" operator="equal">
      <formula>"×"</formula>
    </cfRule>
  </conditionalFormatting>
  <conditionalFormatting sqref="AD8:AD13">
    <cfRule type="cellIs" dxfId="2855" priority="3791" operator="equal">
      <formula>1</formula>
    </cfRule>
    <cfRule type="cellIs" dxfId="2854" priority="3792" operator="equal">
      <formula>"×"</formula>
    </cfRule>
  </conditionalFormatting>
  <conditionalFormatting sqref="AD13:AD15">
    <cfRule type="cellIs" dxfId="2853" priority="3789" operator="equal">
      <formula>1</formula>
    </cfRule>
    <cfRule type="cellIs" dxfId="2852" priority="3790" operator="equal">
      <formula>"×"</formula>
    </cfRule>
  </conditionalFormatting>
  <conditionalFormatting sqref="AD15">
    <cfRule type="cellIs" dxfId="2851" priority="3787" operator="equal">
      <formula>1</formula>
    </cfRule>
    <cfRule type="cellIs" dxfId="2850" priority="3788" operator="equal">
      <formula>"×"</formula>
    </cfRule>
  </conditionalFormatting>
  <conditionalFormatting sqref="AH20:AI20">
    <cfRule type="cellIs" dxfId="2849" priority="97" operator="equal">
      <formula>1</formula>
    </cfRule>
    <cfRule type="cellIs" dxfId="2848" priority="98" operator="equal">
      <formula>"×"</formula>
    </cfRule>
  </conditionalFormatting>
  <conditionalFormatting sqref="AD7">
    <cfRule type="cellIs" dxfId="2847" priority="3779" operator="equal">
      <formula>1</formula>
    </cfRule>
    <cfRule type="cellIs" dxfId="2846" priority="3780" operator="equal">
      <formula>"×"</formula>
    </cfRule>
  </conditionalFormatting>
  <conditionalFormatting sqref="AD13">
    <cfRule type="cellIs" dxfId="2845" priority="3777" operator="equal">
      <formula>1</formula>
    </cfRule>
    <cfRule type="cellIs" dxfId="2844" priority="3778" operator="equal">
      <formula>"×"</formula>
    </cfRule>
  </conditionalFormatting>
  <conditionalFormatting sqref="AD19">
    <cfRule type="cellIs" dxfId="2843" priority="3775" operator="equal">
      <formula>1</formula>
    </cfRule>
    <cfRule type="cellIs" dxfId="2842" priority="3776" operator="equal">
      <formula>"×"</formula>
    </cfRule>
  </conditionalFormatting>
  <conditionalFormatting sqref="AD11:AD13">
    <cfRule type="cellIs" dxfId="2841" priority="3773" operator="equal">
      <formula>1</formula>
    </cfRule>
    <cfRule type="cellIs" dxfId="2840" priority="3774" operator="equal">
      <formula>"×"</formula>
    </cfRule>
  </conditionalFormatting>
  <conditionalFormatting sqref="AD13">
    <cfRule type="cellIs" dxfId="2839" priority="3771" operator="equal">
      <formula>1</formula>
    </cfRule>
    <cfRule type="cellIs" dxfId="2838" priority="3772" operator="equal">
      <formula>"×"</formula>
    </cfRule>
  </conditionalFormatting>
  <conditionalFormatting sqref="AD19">
    <cfRule type="cellIs" dxfId="2837" priority="3769" operator="equal">
      <formula>1</formula>
    </cfRule>
    <cfRule type="cellIs" dxfId="2836" priority="3770" operator="equal">
      <formula>"×"</formula>
    </cfRule>
  </conditionalFormatting>
  <conditionalFormatting sqref="AH21">
    <cfRule type="cellIs" dxfId="2835" priority="79" operator="equal">
      <formula>1</formula>
    </cfRule>
    <cfRule type="cellIs" dxfId="2834" priority="80" operator="equal">
      <formula>"×"</formula>
    </cfRule>
  </conditionalFormatting>
  <conditionalFormatting sqref="AC20:AC24">
    <cfRule type="cellIs" dxfId="2833" priority="35" operator="equal">
      <formula>1</formula>
    </cfRule>
    <cfRule type="cellIs" dxfId="2832" priority="36" operator="equal">
      <formula>"×"</formula>
    </cfRule>
  </conditionalFormatting>
  <conditionalFormatting sqref="AC20:AC24">
    <cfRule type="cellIs" dxfId="2831" priority="31" operator="equal">
      <formula>1</formula>
    </cfRule>
    <cfRule type="cellIs" dxfId="2830" priority="32" operator="equal">
      <formula>"×"</formula>
    </cfRule>
  </conditionalFormatting>
  <conditionalFormatting sqref="AD20">
    <cfRule type="cellIs" dxfId="2829" priority="19" operator="equal">
      <formula>1</formula>
    </cfRule>
    <cfRule type="cellIs" dxfId="2828" priority="20" operator="equal">
      <formula>"×"</formula>
    </cfRule>
  </conditionalFormatting>
  <conditionalFormatting sqref="AD20">
    <cfRule type="cellIs" dxfId="2827" priority="3687" operator="equal">
      <formula>1</formula>
    </cfRule>
    <cfRule type="cellIs" dxfId="2826" priority="3688" operator="equal">
      <formula>"×"</formula>
    </cfRule>
  </conditionalFormatting>
  <conditionalFormatting sqref="AC20:AC25">
    <cfRule type="cellIs" dxfId="2825" priority="3685" operator="equal">
      <formula>1</formula>
    </cfRule>
    <cfRule type="cellIs" dxfId="2824" priority="3686" operator="equal">
      <formula>"×"</formula>
    </cfRule>
  </conditionalFormatting>
  <conditionalFormatting sqref="AF20:AI20">
    <cfRule type="cellIs" dxfId="2823" priority="1429" operator="equal">
      <formula>1</formula>
    </cfRule>
    <cfRule type="cellIs" dxfId="2822" priority="1430" operator="equal">
      <formula>"×"</formula>
    </cfRule>
  </conditionalFormatting>
  <conditionalFormatting sqref="AI20">
    <cfRule type="cellIs" dxfId="2821" priority="1427" operator="equal">
      <formula>1</formula>
    </cfRule>
    <cfRule type="cellIs" dxfId="2820" priority="1428" operator="equal">
      <formula>"×"</formula>
    </cfRule>
  </conditionalFormatting>
  <conditionalFormatting sqref="AF20:AI20">
    <cfRule type="cellIs" dxfId="2819" priority="1425" operator="equal">
      <formula>1</formula>
    </cfRule>
    <cfRule type="cellIs" dxfId="2818" priority="1426" operator="equal">
      <formula>"×"</formula>
    </cfRule>
  </conditionalFormatting>
  <conditionalFormatting sqref="AF20:AI20">
    <cfRule type="cellIs" dxfId="2817" priority="1419" operator="equal">
      <formula>1</formula>
    </cfRule>
    <cfRule type="cellIs" dxfId="2816" priority="1420" operator="equal">
      <formula>"×"</formula>
    </cfRule>
  </conditionalFormatting>
  <conditionalFormatting sqref="AF20:AI20">
    <cfRule type="cellIs" dxfId="2815" priority="1417" operator="equal">
      <formula>1</formula>
    </cfRule>
    <cfRule type="cellIs" dxfId="2814" priority="1418" operator="equal">
      <formula>"×"</formula>
    </cfRule>
  </conditionalFormatting>
  <conditionalFormatting sqref="AI20">
    <cfRule type="cellIs" dxfId="2813" priority="1415" operator="equal">
      <formula>1</formula>
    </cfRule>
    <cfRule type="cellIs" dxfId="2812" priority="1416" operator="equal">
      <formula>"×"</formula>
    </cfRule>
  </conditionalFormatting>
  <conditionalFormatting sqref="AI20">
    <cfRule type="cellIs" dxfId="2811" priority="1367" operator="equal">
      <formula>1</formula>
    </cfRule>
    <cfRule type="cellIs" dxfId="2810" priority="1368" operator="equal">
      <formula>"×"</formula>
    </cfRule>
  </conditionalFormatting>
  <conditionalFormatting sqref="AF20:AI20">
    <cfRule type="cellIs" dxfId="2809" priority="1363" operator="equal">
      <formula>1</formula>
    </cfRule>
    <cfRule type="cellIs" dxfId="2808" priority="1364" operator="equal">
      <formula>"×"</formula>
    </cfRule>
  </conditionalFormatting>
  <conditionalFormatting sqref="AI20">
    <cfRule type="cellIs" dxfId="2807" priority="1361" operator="equal">
      <formula>1</formula>
    </cfRule>
    <cfRule type="cellIs" dxfId="2806" priority="1362" operator="equal">
      <formula>"×"</formula>
    </cfRule>
  </conditionalFormatting>
  <conditionalFormatting sqref="AF20:AI20">
    <cfRule type="cellIs" dxfId="2805" priority="1359" operator="equal">
      <formula>1</formula>
    </cfRule>
    <cfRule type="cellIs" dxfId="2804" priority="1360" operator="equal">
      <formula>"×"</formula>
    </cfRule>
  </conditionalFormatting>
  <conditionalFormatting sqref="AI20">
    <cfRule type="cellIs" dxfId="2803" priority="1355" operator="equal">
      <formula>1</formula>
    </cfRule>
    <cfRule type="cellIs" dxfId="2802" priority="1356" operator="equal">
      <formula>"×"</formula>
    </cfRule>
  </conditionalFormatting>
  <conditionalFormatting sqref="AF20:AI20">
    <cfRule type="cellIs" dxfId="2801" priority="1357" operator="equal">
      <formula>1</formula>
    </cfRule>
    <cfRule type="cellIs" dxfId="2800" priority="1358" operator="equal">
      <formula>"×"</formula>
    </cfRule>
  </conditionalFormatting>
  <conditionalFormatting sqref="AF21">
    <cfRule type="cellIs" dxfId="2799" priority="1353" operator="equal">
      <formula>1</formula>
    </cfRule>
    <cfRule type="cellIs" dxfId="2798" priority="1354" operator="equal">
      <formula>"×"</formula>
    </cfRule>
  </conditionalFormatting>
  <conditionalFormatting sqref="AF20">
    <cfRule type="cellIs" dxfId="2797" priority="1351" operator="equal">
      <formula>1</formula>
    </cfRule>
    <cfRule type="cellIs" dxfId="2796" priority="1352" operator="equal">
      <formula>"×"</formula>
    </cfRule>
  </conditionalFormatting>
  <conditionalFormatting sqref="AF20">
    <cfRule type="cellIs" dxfId="2795" priority="1349" operator="equal">
      <formula>1</formula>
    </cfRule>
    <cfRule type="cellIs" dxfId="2794" priority="1350" operator="equal">
      <formula>"×"</formula>
    </cfRule>
  </conditionalFormatting>
  <conditionalFormatting sqref="AF24:AI24">
    <cfRule type="cellIs" dxfId="2793" priority="177" operator="equal">
      <formula>1</formula>
    </cfRule>
    <cfRule type="cellIs" dxfId="2792" priority="178" operator="equal">
      <formula>"×"</formula>
    </cfRule>
  </conditionalFormatting>
  <conditionalFormatting sqref="AF24">
    <cfRule type="cellIs" dxfId="2791" priority="175" operator="equal">
      <formula>1</formula>
    </cfRule>
    <cfRule type="cellIs" dxfId="2790" priority="176" operator="equal">
      <formula>"×"</formula>
    </cfRule>
  </conditionalFormatting>
  <conditionalFormatting sqref="AF24">
    <cfRule type="cellIs" dxfId="2789" priority="173" operator="equal">
      <formula>1</formula>
    </cfRule>
    <cfRule type="cellIs" dxfId="2788" priority="174" operator="equal">
      <formula>"×"</formula>
    </cfRule>
  </conditionalFormatting>
  <conditionalFormatting sqref="AF24">
    <cfRule type="cellIs" dxfId="2787" priority="171" operator="equal">
      <formula>1</formula>
    </cfRule>
    <cfRule type="cellIs" dxfId="2786" priority="172" operator="equal">
      <formula>"×"</formula>
    </cfRule>
  </conditionalFormatting>
  <conditionalFormatting sqref="AF24">
    <cfRule type="cellIs" dxfId="2785" priority="169" operator="equal">
      <formula>1</formula>
    </cfRule>
    <cfRule type="cellIs" dxfId="2784" priority="170" operator="equal">
      <formula>"×"</formula>
    </cfRule>
  </conditionalFormatting>
  <conditionalFormatting sqref="AF24">
    <cfRule type="cellIs" dxfId="2783" priority="167" operator="equal">
      <formula>1</formula>
    </cfRule>
    <cfRule type="cellIs" dxfId="2782" priority="168" operator="equal">
      <formula>"×"</formula>
    </cfRule>
  </conditionalFormatting>
  <conditionalFormatting sqref="AG20:AH21">
    <cfRule type="cellIs" dxfId="2781" priority="3683" operator="equal">
      <formula>1</formula>
    </cfRule>
    <cfRule type="cellIs" dxfId="2780" priority="3684" operator="equal">
      <formula>"×"</formula>
    </cfRule>
  </conditionalFormatting>
  <conditionalFormatting sqref="AF20:AI21">
    <cfRule type="cellIs" dxfId="2779" priority="3681" operator="equal">
      <formula>1</formula>
    </cfRule>
    <cfRule type="cellIs" dxfId="2778" priority="3682" operator="equal">
      <formula>"×"</formula>
    </cfRule>
  </conditionalFormatting>
  <conditionalFormatting sqref="AG20:AI21">
    <cfRule type="cellIs" dxfId="2777" priority="3679" operator="equal">
      <formula>1</formula>
    </cfRule>
    <cfRule type="cellIs" dxfId="2776" priority="3680" operator="equal">
      <formula>"×"</formula>
    </cfRule>
  </conditionalFormatting>
  <conditionalFormatting sqref="AI20:AI21">
    <cfRule type="cellIs" dxfId="2775" priority="3677" operator="equal">
      <formula>1</formula>
    </cfRule>
    <cfRule type="cellIs" dxfId="2774" priority="3678" operator="equal">
      <formula>"×"</formula>
    </cfRule>
  </conditionalFormatting>
  <conditionalFormatting sqref="AG20:AI21">
    <cfRule type="cellIs" dxfId="2773" priority="3675" operator="equal">
      <formula>1</formula>
    </cfRule>
    <cfRule type="cellIs" dxfId="2772" priority="3676" operator="equal">
      <formula>"×"</formula>
    </cfRule>
  </conditionalFormatting>
  <conditionalFormatting sqref="AF20">
    <cfRule type="cellIs" dxfId="2771" priority="3673" operator="equal">
      <formula>1</formula>
    </cfRule>
    <cfRule type="cellIs" dxfId="2770" priority="3674" operator="equal">
      <formula>"×"</formula>
    </cfRule>
  </conditionalFormatting>
  <conditionalFormatting sqref="AF20:AF21">
    <cfRule type="cellIs" dxfId="2769" priority="3671" operator="equal">
      <formula>1</formula>
    </cfRule>
    <cfRule type="cellIs" dxfId="2768" priority="3672" operator="equal">
      <formula>"×"</formula>
    </cfRule>
  </conditionalFormatting>
  <conditionalFormatting sqref="AF20:AF21">
    <cfRule type="cellIs" dxfId="2767" priority="3669" operator="equal">
      <formula>1</formula>
    </cfRule>
    <cfRule type="cellIs" dxfId="2766" priority="3670" operator="equal">
      <formula>"×"</formula>
    </cfRule>
  </conditionalFormatting>
  <conditionalFormatting sqref="AF20:AF21">
    <cfRule type="cellIs" dxfId="2765" priority="3667" operator="equal">
      <formula>1</formula>
    </cfRule>
    <cfRule type="cellIs" dxfId="2764" priority="3668" operator="equal">
      <formula>"×"</formula>
    </cfRule>
  </conditionalFormatting>
  <conditionalFormatting sqref="AF20:AF21">
    <cfRule type="cellIs" dxfId="2763" priority="3665" operator="equal">
      <formula>1</formula>
    </cfRule>
    <cfRule type="cellIs" dxfId="2762" priority="3666" operator="equal">
      <formula>"×"</formula>
    </cfRule>
  </conditionalFormatting>
  <conditionalFormatting sqref="AG20:AI21">
    <cfRule type="cellIs" dxfId="2761" priority="3623" operator="equal">
      <formula>1</formula>
    </cfRule>
    <cfRule type="cellIs" dxfId="2760" priority="3624" operator="equal">
      <formula>"×"</formula>
    </cfRule>
  </conditionalFormatting>
  <conditionalFormatting sqref="AI20:AI21">
    <cfRule type="cellIs" dxfId="2759" priority="3621" operator="equal">
      <formula>1</formula>
    </cfRule>
    <cfRule type="cellIs" dxfId="2758" priority="3622" operator="equal">
      <formula>"×"</formula>
    </cfRule>
  </conditionalFormatting>
  <conditionalFormatting sqref="AI20:AI21">
    <cfRule type="cellIs" dxfId="2757" priority="3619" operator="equal">
      <formula>1</formula>
    </cfRule>
    <cfRule type="cellIs" dxfId="2756" priority="3620" operator="equal">
      <formula>"×"</formula>
    </cfRule>
  </conditionalFormatting>
  <conditionalFormatting sqref="AI20:AI21">
    <cfRule type="cellIs" dxfId="2755" priority="3617" operator="equal">
      <formula>1</formula>
    </cfRule>
    <cfRule type="cellIs" dxfId="2754" priority="3618" operator="equal">
      <formula>"×"</formula>
    </cfRule>
  </conditionalFormatting>
  <conditionalFormatting sqref="AI20:AI21">
    <cfRule type="cellIs" dxfId="2753" priority="3615" operator="equal">
      <formula>1</formula>
    </cfRule>
    <cfRule type="cellIs" dxfId="2752" priority="3616" operator="equal">
      <formula>"×"</formula>
    </cfRule>
  </conditionalFormatting>
  <conditionalFormatting sqref="AI20:AI21">
    <cfRule type="cellIs" dxfId="2751" priority="3613" operator="equal">
      <formula>1</formula>
    </cfRule>
    <cfRule type="cellIs" dxfId="2750" priority="3614" operator="equal">
      <formula>"×"</formula>
    </cfRule>
  </conditionalFormatting>
  <conditionalFormatting sqref="AI20:AI21">
    <cfRule type="cellIs" dxfId="2749" priority="3611" operator="equal">
      <formula>1</formula>
    </cfRule>
    <cfRule type="cellIs" dxfId="2748" priority="3612" operator="equal">
      <formula>"×"</formula>
    </cfRule>
  </conditionalFormatting>
  <conditionalFormatting sqref="AF20:AF21">
    <cfRule type="cellIs" dxfId="2747" priority="3609" operator="equal">
      <formula>1</formula>
    </cfRule>
    <cfRule type="cellIs" dxfId="2746" priority="3610" operator="equal">
      <formula>"×"</formula>
    </cfRule>
  </conditionalFormatting>
  <conditionalFormatting sqref="AF20:AF21">
    <cfRule type="cellIs" dxfId="2745" priority="3607" operator="equal">
      <formula>1</formula>
    </cfRule>
    <cfRule type="cellIs" dxfId="2744" priority="3608" operator="equal">
      <formula>"×"</formula>
    </cfRule>
  </conditionalFormatting>
  <conditionalFormatting sqref="AF20:AI21">
    <cfRule type="cellIs" dxfId="2743" priority="3605" operator="equal">
      <formula>1</formula>
    </cfRule>
    <cfRule type="cellIs" dxfId="2742" priority="3606" operator="equal">
      <formula>"×"</formula>
    </cfRule>
  </conditionalFormatting>
  <conditionalFormatting sqref="AI20">
    <cfRule type="cellIs" dxfId="2741" priority="3603" operator="equal">
      <formula>1</formula>
    </cfRule>
    <cfRule type="cellIs" dxfId="2740" priority="3604" operator="equal">
      <formula>"×"</formula>
    </cfRule>
  </conditionalFormatting>
  <conditionalFormatting sqref="AF20:AI21">
    <cfRule type="cellIs" dxfId="2739" priority="3601" operator="equal">
      <formula>1</formula>
    </cfRule>
    <cfRule type="cellIs" dxfId="2738" priority="3602" operator="equal">
      <formula>"×"</formula>
    </cfRule>
  </conditionalFormatting>
  <conditionalFormatting sqref="AF20:AI21">
    <cfRule type="cellIs" dxfId="2737" priority="3599" operator="equal">
      <formula>1</formula>
    </cfRule>
    <cfRule type="cellIs" dxfId="2736" priority="3600" operator="equal">
      <formula>"×"</formula>
    </cfRule>
  </conditionalFormatting>
  <conditionalFormatting sqref="AI20">
    <cfRule type="cellIs" dxfId="2735" priority="3597" operator="equal">
      <formula>1</formula>
    </cfRule>
    <cfRule type="cellIs" dxfId="2734" priority="3598" operator="equal">
      <formula>"×"</formula>
    </cfRule>
  </conditionalFormatting>
  <conditionalFormatting sqref="AF20:AI21">
    <cfRule type="cellIs" dxfId="2733" priority="3595" operator="equal">
      <formula>1</formula>
    </cfRule>
    <cfRule type="cellIs" dxfId="2732" priority="3596" operator="equal">
      <formula>"×"</formula>
    </cfRule>
  </conditionalFormatting>
  <conditionalFormatting sqref="AF20:AI21">
    <cfRule type="cellIs" dxfId="2731" priority="3593" operator="equal">
      <formula>1</formula>
    </cfRule>
    <cfRule type="cellIs" dxfId="2730" priority="3594" operator="equal">
      <formula>"×"</formula>
    </cfRule>
  </conditionalFormatting>
  <conditionalFormatting sqref="AI20">
    <cfRule type="cellIs" dxfId="2729" priority="3591" operator="equal">
      <formula>1</formula>
    </cfRule>
    <cfRule type="cellIs" dxfId="2728" priority="3592" operator="equal">
      <formula>"×"</formula>
    </cfRule>
  </conditionalFormatting>
  <conditionalFormatting sqref="AF20:AI21">
    <cfRule type="cellIs" dxfId="2727" priority="3589" operator="equal">
      <formula>1</formula>
    </cfRule>
    <cfRule type="cellIs" dxfId="2726" priority="3590" operator="equal">
      <formula>"×"</formula>
    </cfRule>
  </conditionalFormatting>
  <conditionalFormatting sqref="AC20:AC25">
    <cfRule type="cellIs" dxfId="2725" priority="3563" operator="equal">
      <formula>1</formula>
    </cfRule>
    <cfRule type="cellIs" dxfId="2724" priority="3564" operator="equal">
      <formula>"×"</formula>
    </cfRule>
  </conditionalFormatting>
  <conditionalFormatting sqref="AD20:AD25">
    <cfRule type="cellIs" dxfId="2723" priority="3561" operator="equal">
      <formula>1</formula>
    </cfRule>
    <cfRule type="cellIs" dxfId="2722" priority="3562" operator="equal">
      <formula>"×"</formula>
    </cfRule>
  </conditionalFormatting>
  <conditionalFormatting sqref="AD20:AD25">
    <cfRule type="cellIs" dxfId="2721" priority="3559" operator="equal">
      <formula>1</formula>
    </cfRule>
    <cfRule type="cellIs" dxfId="2720" priority="3560" operator="equal">
      <formula>"×"</formula>
    </cfRule>
  </conditionalFormatting>
  <conditionalFormatting sqref="AD20:AD25">
    <cfRule type="cellIs" dxfId="2719" priority="3555" operator="equal">
      <formula>1</formula>
    </cfRule>
    <cfRule type="cellIs" dxfId="2718" priority="3556" operator="equal">
      <formula>"×"</formula>
    </cfRule>
  </conditionalFormatting>
  <conditionalFormatting sqref="AD20:AD25">
    <cfRule type="cellIs" dxfId="2717" priority="3557" operator="equal">
      <formula>1</formula>
    </cfRule>
    <cfRule type="cellIs" dxfId="2716" priority="3558" operator="equal">
      <formula>"×"</formula>
    </cfRule>
  </conditionalFormatting>
  <conditionalFormatting sqref="AC20:AD25">
    <cfRule type="cellIs" dxfId="2715" priority="3587" operator="equal">
      <formula>1</formula>
    </cfRule>
    <cfRule type="cellIs" dxfId="2714" priority="3588" operator="equal">
      <formula>"×"</formula>
    </cfRule>
  </conditionalFormatting>
  <conditionalFormatting sqref="AC20:AD25">
    <cfRule type="cellIs" dxfId="2713" priority="3585" operator="equal">
      <formula>1</formula>
    </cfRule>
    <cfRule type="cellIs" dxfId="2712" priority="3586" operator="equal">
      <formula>"×"</formula>
    </cfRule>
  </conditionalFormatting>
  <conditionalFormatting sqref="AC20:AD25">
    <cfRule type="cellIs" dxfId="2711" priority="3583" operator="equal">
      <formula>1</formula>
    </cfRule>
    <cfRule type="cellIs" dxfId="2710" priority="3584" operator="equal">
      <formula>"×"</formula>
    </cfRule>
  </conditionalFormatting>
  <conditionalFormatting sqref="AC20:AD25">
    <cfRule type="cellIs" dxfId="2709" priority="3581" operator="equal">
      <formula>1</formula>
    </cfRule>
    <cfRule type="cellIs" dxfId="2708" priority="3582" operator="equal">
      <formula>"×"</formula>
    </cfRule>
  </conditionalFormatting>
  <conditionalFormatting sqref="AC20:AD25">
    <cfRule type="cellIs" dxfId="2707" priority="3579" operator="equal">
      <formula>1</formula>
    </cfRule>
    <cfRule type="cellIs" dxfId="2706" priority="3580" operator="equal">
      <formula>"×"</formula>
    </cfRule>
  </conditionalFormatting>
  <conditionalFormatting sqref="AC20:AD25">
    <cfRule type="cellIs" dxfId="2705" priority="3577" operator="equal">
      <formula>1</formula>
    </cfRule>
    <cfRule type="cellIs" dxfId="2704" priority="3578" operator="equal">
      <formula>"×"</formula>
    </cfRule>
  </conditionalFormatting>
  <conditionalFormatting sqref="AC20:AD25">
    <cfRule type="cellIs" dxfId="2703" priority="3575" operator="equal">
      <formula>1</formula>
    </cfRule>
    <cfRule type="cellIs" dxfId="2702" priority="3576" operator="equal">
      <formula>"×"</formula>
    </cfRule>
  </conditionalFormatting>
  <conditionalFormatting sqref="AC20:AC25">
    <cfRule type="cellIs" dxfId="2701" priority="3573" operator="equal">
      <formula>1</formula>
    </cfRule>
    <cfRule type="cellIs" dxfId="2700" priority="3574" operator="equal">
      <formula>"×"</formula>
    </cfRule>
  </conditionalFormatting>
  <conditionalFormatting sqref="AD20:AD25">
    <cfRule type="cellIs" dxfId="2699" priority="3571" operator="equal">
      <formula>1</formula>
    </cfRule>
    <cfRule type="cellIs" dxfId="2698" priority="3572" operator="equal">
      <formula>"×"</formula>
    </cfRule>
  </conditionalFormatting>
  <conditionalFormatting sqref="AD20:AD25">
    <cfRule type="cellIs" dxfId="2697" priority="3569" operator="equal">
      <formula>1</formula>
    </cfRule>
    <cfRule type="cellIs" dxfId="2696" priority="3570" operator="equal">
      <formula>"×"</formula>
    </cfRule>
  </conditionalFormatting>
  <conditionalFormatting sqref="AD20:AD25">
    <cfRule type="cellIs" dxfId="2695" priority="3567" operator="equal">
      <formula>1</formula>
    </cfRule>
    <cfRule type="cellIs" dxfId="2694" priority="3568" operator="equal">
      <formula>"×"</formula>
    </cfRule>
  </conditionalFormatting>
  <conditionalFormatting sqref="AD20:AD25">
    <cfRule type="cellIs" dxfId="2693" priority="3565" operator="equal">
      <formula>1</formula>
    </cfRule>
    <cfRule type="cellIs" dxfId="2692" priority="3566" operator="equal">
      <formula>"×"</formula>
    </cfRule>
  </conditionalFormatting>
  <conditionalFormatting sqref="AC20:AC25">
    <cfRule type="cellIs" dxfId="2691" priority="3553" operator="equal">
      <formula>1</formula>
    </cfRule>
    <cfRule type="cellIs" dxfId="2690" priority="3554" operator="equal">
      <formula>"×"</formula>
    </cfRule>
  </conditionalFormatting>
  <conditionalFormatting sqref="AD20:AD25">
    <cfRule type="cellIs" dxfId="2689" priority="3551" operator="equal">
      <formula>1</formula>
    </cfRule>
    <cfRule type="cellIs" dxfId="2688" priority="3552" operator="equal">
      <formula>"×"</formula>
    </cfRule>
  </conditionalFormatting>
  <conditionalFormatting sqref="AD20:AD25">
    <cfRule type="cellIs" dxfId="2687" priority="3549" operator="equal">
      <formula>1</formula>
    </cfRule>
    <cfRule type="cellIs" dxfId="2686" priority="3550" operator="equal">
      <formula>"×"</formula>
    </cfRule>
  </conditionalFormatting>
  <conditionalFormatting sqref="AD20:AD25">
    <cfRule type="cellIs" dxfId="2685" priority="3545" operator="equal">
      <formula>1</formula>
    </cfRule>
    <cfRule type="cellIs" dxfId="2684" priority="3546" operator="equal">
      <formula>"×"</formula>
    </cfRule>
  </conditionalFormatting>
  <conditionalFormatting sqref="AD20:AD25">
    <cfRule type="cellIs" dxfId="2683" priority="3547" operator="equal">
      <formula>1</formula>
    </cfRule>
    <cfRule type="cellIs" dxfId="2682" priority="3548" operator="equal">
      <formula>"×"</formula>
    </cfRule>
  </conditionalFormatting>
  <conditionalFormatting sqref="AD20:AD25">
    <cfRule type="cellIs" dxfId="2681" priority="3543" operator="equal">
      <formula>1</formula>
    </cfRule>
    <cfRule type="cellIs" dxfId="2680" priority="3544" operator="equal">
      <formula>"×"</formula>
    </cfRule>
  </conditionalFormatting>
  <conditionalFormatting sqref="AD20:AD25">
    <cfRule type="cellIs" dxfId="2679" priority="3541" operator="equal">
      <formula>1</formula>
    </cfRule>
    <cfRule type="cellIs" dxfId="2678" priority="3542" operator="equal">
      <formula>"×"</formula>
    </cfRule>
  </conditionalFormatting>
  <conditionalFormatting sqref="AD20:AD25">
    <cfRule type="cellIs" dxfId="2677" priority="3539" operator="equal">
      <formula>1</formula>
    </cfRule>
    <cfRule type="cellIs" dxfId="2676" priority="3540" operator="equal">
      <formula>"×"</formula>
    </cfRule>
  </conditionalFormatting>
  <conditionalFormatting sqref="AC20:AD25">
    <cfRule type="cellIs" dxfId="2675" priority="3537" operator="equal">
      <formula>1</formula>
    </cfRule>
    <cfRule type="cellIs" dxfId="2674" priority="3538" operator="equal">
      <formula>"×"</formula>
    </cfRule>
  </conditionalFormatting>
  <conditionalFormatting sqref="AC20:AC25">
    <cfRule type="cellIs" dxfId="2673" priority="3535" operator="equal">
      <formula>1</formula>
    </cfRule>
    <cfRule type="cellIs" dxfId="2672" priority="3536" operator="equal">
      <formula>"×"</formula>
    </cfRule>
  </conditionalFormatting>
  <conditionalFormatting sqref="AD20:AD25">
    <cfRule type="cellIs" dxfId="2671" priority="3533" operator="equal">
      <formula>1</formula>
    </cfRule>
    <cfRule type="cellIs" dxfId="2670" priority="3534" operator="equal">
      <formula>"×"</formula>
    </cfRule>
  </conditionalFormatting>
  <conditionalFormatting sqref="AD20:AD25">
    <cfRule type="cellIs" dxfId="2669" priority="3531" operator="equal">
      <formula>1</formula>
    </cfRule>
    <cfRule type="cellIs" dxfId="2668" priority="3532" operator="equal">
      <formula>"×"</formula>
    </cfRule>
  </conditionalFormatting>
  <conditionalFormatting sqref="AD20:AD25">
    <cfRule type="cellIs" dxfId="2667" priority="3529" operator="equal">
      <formula>1</formula>
    </cfRule>
    <cfRule type="cellIs" dxfId="2666" priority="3530" operator="equal">
      <formula>"×"</formula>
    </cfRule>
  </conditionalFormatting>
  <conditionalFormatting sqref="AD20:AD25">
    <cfRule type="cellIs" dxfId="2665" priority="3527" operator="equal">
      <formula>1</formula>
    </cfRule>
    <cfRule type="cellIs" dxfId="2664" priority="3528" operator="equal">
      <formula>"×"</formula>
    </cfRule>
  </conditionalFormatting>
  <conditionalFormatting sqref="AC20:AC25">
    <cfRule type="cellIs" dxfId="2663" priority="3525" operator="equal">
      <formula>1</formula>
    </cfRule>
    <cfRule type="cellIs" dxfId="2662" priority="3526" operator="equal">
      <formula>"×"</formula>
    </cfRule>
  </conditionalFormatting>
  <conditionalFormatting sqref="AD20:AD25">
    <cfRule type="cellIs" dxfId="2661" priority="3523" operator="equal">
      <formula>1</formula>
    </cfRule>
    <cfRule type="cellIs" dxfId="2660" priority="3524" operator="equal">
      <formula>"×"</formula>
    </cfRule>
  </conditionalFormatting>
  <conditionalFormatting sqref="AD20:AD25">
    <cfRule type="cellIs" dxfId="2659" priority="3521" operator="equal">
      <formula>1</formula>
    </cfRule>
    <cfRule type="cellIs" dxfId="2658" priority="3522" operator="equal">
      <formula>"×"</formula>
    </cfRule>
  </conditionalFormatting>
  <conditionalFormatting sqref="AD20:AD25">
    <cfRule type="cellIs" dxfId="2657" priority="3519" operator="equal">
      <formula>1</formula>
    </cfRule>
    <cfRule type="cellIs" dxfId="2656" priority="3520" operator="equal">
      <formula>"×"</formula>
    </cfRule>
  </conditionalFormatting>
  <conditionalFormatting sqref="AD20:AD25">
    <cfRule type="cellIs" dxfId="2655" priority="3517" operator="equal">
      <formula>1</formula>
    </cfRule>
    <cfRule type="cellIs" dxfId="2654" priority="3518" operator="equal">
      <formula>"×"</formula>
    </cfRule>
  </conditionalFormatting>
  <conditionalFormatting sqref="AC20:AC25">
    <cfRule type="cellIs" dxfId="2653" priority="3515" operator="equal">
      <formula>1</formula>
    </cfRule>
    <cfRule type="cellIs" dxfId="2652" priority="3516" operator="equal">
      <formula>"×"</formula>
    </cfRule>
  </conditionalFormatting>
  <conditionalFormatting sqref="AD20:AD25">
    <cfRule type="cellIs" dxfId="2651" priority="3513" operator="equal">
      <formula>1</formula>
    </cfRule>
    <cfRule type="cellIs" dxfId="2650" priority="3514" operator="equal">
      <formula>"×"</formula>
    </cfRule>
  </conditionalFormatting>
  <conditionalFormatting sqref="AD20:AD25">
    <cfRule type="cellIs" dxfId="2649" priority="3511" operator="equal">
      <formula>1</formula>
    </cfRule>
    <cfRule type="cellIs" dxfId="2648" priority="3512" operator="equal">
      <formula>"×"</formula>
    </cfRule>
  </conditionalFormatting>
  <conditionalFormatting sqref="AD20:AD25">
    <cfRule type="cellIs" dxfId="2647" priority="3509" operator="equal">
      <formula>1</formula>
    </cfRule>
    <cfRule type="cellIs" dxfId="2646" priority="3510" operator="equal">
      <formula>"×"</formula>
    </cfRule>
  </conditionalFormatting>
  <conditionalFormatting sqref="AD20:AD25">
    <cfRule type="cellIs" dxfId="2645" priority="3507" operator="equal">
      <formula>1</formula>
    </cfRule>
    <cfRule type="cellIs" dxfId="2644" priority="3508" operator="equal">
      <formula>"×"</formula>
    </cfRule>
  </conditionalFormatting>
  <conditionalFormatting sqref="AC20:AC25">
    <cfRule type="cellIs" dxfId="2643" priority="3505" operator="equal">
      <formula>1</formula>
    </cfRule>
    <cfRule type="cellIs" dxfId="2642" priority="3506" operator="equal">
      <formula>"×"</formula>
    </cfRule>
  </conditionalFormatting>
  <conditionalFormatting sqref="AD20:AD25">
    <cfRule type="cellIs" dxfId="2641" priority="3503" operator="equal">
      <formula>1</formula>
    </cfRule>
    <cfRule type="cellIs" dxfId="2640" priority="3504" operator="equal">
      <formula>"×"</formula>
    </cfRule>
  </conditionalFormatting>
  <conditionalFormatting sqref="AD20:AD25">
    <cfRule type="cellIs" dxfId="2639" priority="3501" operator="equal">
      <formula>1</formula>
    </cfRule>
    <cfRule type="cellIs" dxfId="2638" priority="3502" operator="equal">
      <formula>"×"</formula>
    </cfRule>
  </conditionalFormatting>
  <conditionalFormatting sqref="AD20:AD25">
    <cfRule type="cellIs" dxfId="2637" priority="3497" operator="equal">
      <formula>1</formula>
    </cfRule>
    <cfRule type="cellIs" dxfId="2636" priority="3498" operator="equal">
      <formula>"×"</formula>
    </cfRule>
  </conditionalFormatting>
  <conditionalFormatting sqref="AD20:AD25">
    <cfRule type="cellIs" dxfId="2635" priority="3499" operator="equal">
      <formula>1</formula>
    </cfRule>
    <cfRule type="cellIs" dxfId="2634" priority="3500" operator="equal">
      <formula>"×"</formula>
    </cfRule>
  </conditionalFormatting>
  <conditionalFormatting sqref="AC20:AD25">
    <cfRule type="cellIs" dxfId="2633" priority="3495" operator="equal">
      <formula>1</formula>
    </cfRule>
    <cfRule type="cellIs" dxfId="2632" priority="3496" operator="equal">
      <formula>"×"</formula>
    </cfRule>
  </conditionalFormatting>
  <conditionalFormatting sqref="AB20:AD25">
    <cfRule type="cellIs" dxfId="2631" priority="3493" operator="equal">
      <formula>1</formula>
    </cfRule>
    <cfRule type="cellIs" dxfId="2630" priority="3494" operator="equal">
      <formula>"×"</formula>
    </cfRule>
  </conditionalFormatting>
  <conditionalFormatting sqref="AF20:AI21">
    <cfRule type="cellIs" dxfId="2629" priority="3491" operator="equal">
      <formula>1</formula>
    </cfRule>
    <cfRule type="cellIs" dxfId="2628" priority="3492" operator="equal">
      <formula>"×"</formula>
    </cfRule>
  </conditionalFormatting>
  <conditionalFormatting sqref="AF20:AI21">
    <cfRule type="cellIs" dxfId="2627" priority="3489" operator="equal">
      <formula>1</formula>
    </cfRule>
    <cfRule type="cellIs" dxfId="2626" priority="3490" operator="equal">
      <formula>"×"</formula>
    </cfRule>
  </conditionalFormatting>
  <conditionalFormatting sqref="AC20:AC21">
    <cfRule type="cellIs" dxfId="2625" priority="3487" operator="equal">
      <formula>1</formula>
    </cfRule>
    <cfRule type="cellIs" dxfId="2624" priority="3488" operator="equal">
      <formula>"×"</formula>
    </cfRule>
  </conditionalFormatting>
  <conditionalFormatting sqref="AB20:AD21 AC22:AC25">
    <cfRule type="cellIs" dxfId="2623" priority="3485" operator="equal">
      <formula>1</formula>
    </cfRule>
    <cfRule type="cellIs" dxfId="2622" priority="3486" operator="equal">
      <formula>"×"</formula>
    </cfRule>
  </conditionalFormatting>
  <conditionalFormatting sqref="AD20">
    <cfRule type="cellIs" dxfId="2621" priority="3483" operator="equal">
      <formula>1</formula>
    </cfRule>
    <cfRule type="cellIs" dxfId="2620" priority="3484" operator="equal">
      <formula>"×"</formula>
    </cfRule>
  </conditionalFormatting>
  <conditionalFormatting sqref="AG20:AH21">
    <cfRule type="cellIs" dxfId="2619" priority="3481" operator="equal">
      <formula>1</formula>
    </cfRule>
    <cfRule type="cellIs" dxfId="2618" priority="3482" operator="equal">
      <formula>"×"</formula>
    </cfRule>
  </conditionalFormatting>
  <conditionalFormatting sqref="AG20:AI21">
    <cfRule type="cellIs" dxfId="2617" priority="3479" operator="equal">
      <formula>1</formula>
    </cfRule>
    <cfRule type="cellIs" dxfId="2616" priority="3480" operator="equal">
      <formula>"×"</formula>
    </cfRule>
  </conditionalFormatting>
  <conditionalFormatting sqref="AI20:AI21">
    <cfRule type="cellIs" dxfId="2615" priority="3477" operator="equal">
      <formula>1</formula>
    </cfRule>
    <cfRule type="cellIs" dxfId="2614" priority="3478" operator="equal">
      <formula>"×"</formula>
    </cfRule>
  </conditionalFormatting>
  <conditionalFormatting sqref="AG20:AI21">
    <cfRule type="cellIs" dxfId="2613" priority="3475" operator="equal">
      <formula>1</formula>
    </cfRule>
    <cfRule type="cellIs" dxfId="2612" priority="3476" operator="equal">
      <formula>"×"</formula>
    </cfRule>
  </conditionalFormatting>
  <conditionalFormatting sqref="AF20">
    <cfRule type="cellIs" dxfId="2611" priority="3473" operator="equal">
      <formula>1</formula>
    </cfRule>
    <cfRule type="cellIs" dxfId="2610" priority="3474" operator="equal">
      <formula>"×"</formula>
    </cfRule>
  </conditionalFormatting>
  <conditionalFormatting sqref="AF20:AF21">
    <cfRule type="cellIs" dxfId="2609" priority="3471" operator="equal">
      <formula>1</formula>
    </cfRule>
    <cfRule type="cellIs" dxfId="2608" priority="3472" operator="equal">
      <formula>"×"</formula>
    </cfRule>
  </conditionalFormatting>
  <conditionalFormatting sqref="AF20:AF21">
    <cfRule type="cellIs" dxfId="2607" priority="3469" operator="equal">
      <formula>1</formula>
    </cfRule>
    <cfRule type="cellIs" dxfId="2606" priority="3470" operator="equal">
      <formula>"×"</formula>
    </cfRule>
  </conditionalFormatting>
  <conditionalFormatting sqref="AF20:AF21">
    <cfRule type="cellIs" dxfId="2605" priority="3467" operator="equal">
      <formula>1</formula>
    </cfRule>
    <cfRule type="cellIs" dxfId="2604" priority="3468" operator="equal">
      <formula>"×"</formula>
    </cfRule>
  </conditionalFormatting>
  <conditionalFormatting sqref="AF20:AF21">
    <cfRule type="cellIs" dxfId="2603" priority="3465" operator="equal">
      <formula>1</formula>
    </cfRule>
    <cfRule type="cellIs" dxfId="2602" priority="3466" operator="equal">
      <formula>"×"</formula>
    </cfRule>
  </conditionalFormatting>
  <conditionalFormatting sqref="AF20:AF21">
    <cfRule type="cellIs" dxfId="2601" priority="3463" operator="equal">
      <formula>1</formula>
    </cfRule>
    <cfRule type="cellIs" dxfId="2600" priority="3464" operator="equal">
      <formula>"×"</formula>
    </cfRule>
  </conditionalFormatting>
  <conditionalFormatting sqref="AF20:AF21">
    <cfRule type="cellIs" dxfId="2599" priority="3461" operator="equal">
      <formula>1</formula>
    </cfRule>
    <cfRule type="cellIs" dxfId="2598" priority="3462" operator="equal">
      <formula>"×"</formula>
    </cfRule>
  </conditionalFormatting>
  <conditionalFormatting sqref="AG20:AI21">
    <cfRule type="cellIs" dxfId="2597" priority="3459" operator="equal">
      <formula>1</formula>
    </cfRule>
    <cfRule type="cellIs" dxfId="2596" priority="3460" operator="equal">
      <formula>"×"</formula>
    </cfRule>
  </conditionalFormatting>
  <conditionalFormatting sqref="AI20:AI21">
    <cfRule type="cellIs" dxfId="2595" priority="3457" operator="equal">
      <formula>1</formula>
    </cfRule>
    <cfRule type="cellIs" dxfId="2594" priority="3458" operator="equal">
      <formula>"×"</formula>
    </cfRule>
  </conditionalFormatting>
  <conditionalFormatting sqref="AG20:AI21">
    <cfRule type="cellIs" dxfId="2593" priority="3455" operator="equal">
      <formula>1</formula>
    </cfRule>
    <cfRule type="cellIs" dxfId="2592" priority="3456" operator="equal">
      <formula>"×"</formula>
    </cfRule>
  </conditionalFormatting>
  <conditionalFormatting sqref="AG20:AI21">
    <cfRule type="cellIs" dxfId="2591" priority="3453" operator="equal">
      <formula>1</formula>
    </cfRule>
    <cfRule type="cellIs" dxfId="2590" priority="3454" operator="equal">
      <formula>"×"</formula>
    </cfRule>
  </conditionalFormatting>
  <conditionalFormatting sqref="AI20:AI21">
    <cfRule type="cellIs" dxfId="2589" priority="3451" operator="equal">
      <formula>1</formula>
    </cfRule>
    <cfRule type="cellIs" dxfId="2588" priority="3452" operator="equal">
      <formula>"×"</formula>
    </cfRule>
  </conditionalFormatting>
  <conditionalFormatting sqref="AG20:AI21">
    <cfRule type="cellIs" dxfId="2587" priority="3449" operator="equal">
      <formula>1</formula>
    </cfRule>
    <cfRule type="cellIs" dxfId="2586" priority="3450" operator="equal">
      <formula>"×"</formula>
    </cfRule>
  </conditionalFormatting>
  <conditionalFormatting sqref="AF20:AF21">
    <cfRule type="cellIs" dxfId="2585" priority="3447" operator="equal">
      <formula>1</formula>
    </cfRule>
    <cfRule type="cellIs" dxfId="2584" priority="3448" operator="equal">
      <formula>"×"</formula>
    </cfRule>
  </conditionalFormatting>
  <conditionalFormatting sqref="AF20:AF21">
    <cfRule type="cellIs" dxfId="2583" priority="3445" operator="equal">
      <formula>1</formula>
    </cfRule>
    <cfRule type="cellIs" dxfId="2582" priority="3446" operator="equal">
      <formula>"×"</formula>
    </cfRule>
  </conditionalFormatting>
  <conditionalFormatting sqref="AF20:AF21">
    <cfRule type="cellIs" dxfId="2581" priority="3443" operator="equal">
      <formula>1</formula>
    </cfRule>
    <cfRule type="cellIs" dxfId="2580" priority="3444" operator="equal">
      <formula>"×"</formula>
    </cfRule>
  </conditionalFormatting>
  <conditionalFormatting sqref="AF20:AF21">
    <cfRule type="cellIs" dxfId="2579" priority="3441" operator="equal">
      <formula>1</formula>
    </cfRule>
    <cfRule type="cellIs" dxfId="2578" priority="3442" operator="equal">
      <formula>"×"</formula>
    </cfRule>
  </conditionalFormatting>
  <conditionalFormatting sqref="AF20:AF21">
    <cfRule type="cellIs" dxfId="2577" priority="3439" operator="equal">
      <formula>1</formula>
    </cfRule>
    <cfRule type="cellIs" dxfId="2576" priority="3440" operator="equal">
      <formula>"×"</formula>
    </cfRule>
  </conditionalFormatting>
  <conditionalFormatting sqref="AF20:AF21">
    <cfRule type="cellIs" dxfId="2575" priority="3437" operator="equal">
      <formula>1</formula>
    </cfRule>
    <cfRule type="cellIs" dxfId="2574" priority="3438" operator="equal">
      <formula>"×"</formula>
    </cfRule>
  </conditionalFormatting>
  <conditionalFormatting sqref="AF20:AF21">
    <cfRule type="cellIs" dxfId="2573" priority="3435" operator="equal">
      <formula>1</formula>
    </cfRule>
    <cfRule type="cellIs" dxfId="2572" priority="3436" operator="equal">
      <formula>"×"</formula>
    </cfRule>
  </conditionalFormatting>
  <conditionalFormatting sqref="AG20:AI21">
    <cfRule type="cellIs" dxfId="2571" priority="3433" operator="equal">
      <formula>1</formula>
    </cfRule>
    <cfRule type="cellIs" dxfId="2570" priority="3434" operator="equal">
      <formula>"×"</formula>
    </cfRule>
  </conditionalFormatting>
  <conditionalFormatting sqref="AG20:AI21">
    <cfRule type="cellIs" dxfId="2569" priority="3429" operator="equal">
      <formula>1</formula>
    </cfRule>
    <cfRule type="cellIs" dxfId="2568" priority="3430" operator="equal">
      <formula>"×"</formula>
    </cfRule>
  </conditionalFormatting>
  <conditionalFormatting sqref="AI20:AI21">
    <cfRule type="cellIs" dxfId="2567" priority="3431" operator="equal">
      <formula>1</formula>
    </cfRule>
    <cfRule type="cellIs" dxfId="2566" priority="3432" operator="equal">
      <formula>"×"</formula>
    </cfRule>
  </conditionalFormatting>
  <conditionalFormatting sqref="AG20:AI21">
    <cfRule type="cellIs" dxfId="2565" priority="3427" operator="equal">
      <formula>1</formula>
    </cfRule>
    <cfRule type="cellIs" dxfId="2564" priority="3428" operator="equal">
      <formula>"×"</formula>
    </cfRule>
  </conditionalFormatting>
  <conditionalFormatting sqref="AI20:AI21">
    <cfRule type="cellIs" dxfId="2563" priority="3425" operator="equal">
      <formula>1</formula>
    </cfRule>
    <cfRule type="cellIs" dxfId="2562" priority="3426" operator="equal">
      <formula>"×"</formula>
    </cfRule>
  </conditionalFormatting>
  <conditionalFormatting sqref="AI20:AI21">
    <cfRule type="cellIs" dxfId="2561" priority="3413" operator="equal">
      <formula>1</formula>
    </cfRule>
    <cfRule type="cellIs" dxfId="2560" priority="3414" operator="equal">
      <formula>"×"</formula>
    </cfRule>
  </conditionalFormatting>
  <conditionalFormatting sqref="AI20:AI21">
    <cfRule type="cellIs" dxfId="2559" priority="3411" operator="equal">
      <formula>1</formula>
    </cfRule>
    <cfRule type="cellIs" dxfId="2558" priority="3412" operator="equal">
      <formula>"×"</formula>
    </cfRule>
  </conditionalFormatting>
  <conditionalFormatting sqref="AD20">
    <cfRule type="cellIs" dxfId="2557" priority="559" operator="equal">
      <formula>1</formula>
    </cfRule>
    <cfRule type="cellIs" dxfId="2556" priority="560" operator="equal">
      <formula>"×"</formula>
    </cfRule>
  </conditionalFormatting>
  <conditionalFormatting sqref="AD20:AE20">
    <cfRule type="cellIs" dxfId="2555" priority="557" operator="equal">
      <formula>1</formula>
    </cfRule>
    <cfRule type="cellIs" dxfId="2554" priority="558" operator="equal">
      <formula>"×"</formula>
    </cfRule>
  </conditionalFormatting>
  <conditionalFormatting sqref="AB20:AC20">
    <cfRule type="cellIs" dxfId="2553" priority="565" operator="equal">
      <formula>1</formula>
    </cfRule>
    <cfRule type="cellIs" dxfId="2552" priority="566" operator="equal">
      <formula>"×"</formula>
    </cfRule>
  </conditionalFormatting>
  <conditionalFormatting sqref="AD20:AE20">
    <cfRule type="cellIs" dxfId="2551" priority="563" operator="equal">
      <formula>1</formula>
    </cfRule>
    <cfRule type="cellIs" dxfId="2550" priority="564" operator="equal">
      <formula>"×"</formula>
    </cfRule>
  </conditionalFormatting>
  <conditionalFormatting sqref="AD20:AE20">
    <cfRule type="cellIs" dxfId="2549" priority="561" operator="equal">
      <formula>1</formula>
    </cfRule>
    <cfRule type="cellIs" dxfId="2548" priority="562" operator="equal">
      <formula>"×"</formula>
    </cfRule>
  </conditionalFormatting>
  <conditionalFormatting sqref="AF20 AF24">
    <cfRule type="cellIs" dxfId="2547" priority="539" operator="equal">
      <formula>1</formula>
    </cfRule>
    <cfRule type="cellIs" dxfId="2546" priority="540" operator="equal">
      <formula>"×"</formula>
    </cfRule>
  </conditionalFormatting>
  <conditionalFormatting sqref="AF20 AF24">
    <cfRule type="cellIs" dxfId="2545" priority="537" operator="equal">
      <formula>1</formula>
    </cfRule>
    <cfRule type="cellIs" dxfId="2544" priority="538" operator="equal">
      <formula>"×"</formula>
    </cfRule>
  </conditionalFormatting>
  <conditionalFormatting sqref="AF20 AF24">
    <cfRule type="cellIs" dxfId="2543" priority="533" operator="equal">
      <formula>1</formula>
    </cfRule>
    <cfRule type="cellIs" dxfId="2542" priority="534" operator="equal">
      <formula>"×"</formula>
    </cfRule>
  </conditionalFormatting>
  <conditionalFormatting sqref="AF20 AF24">
    <cfRule type="cellIs" dxfId="2541" priority="535" operator="equal">
      <formula>1</formula>
    </cfRule>
    <cfRule type="cellIs" dxfId="2540" priority="536" operator="equal">
      <formula>"×"</formula>
    </cfRule>
  </conditionalFormatting>
  <conditionalFormatting sqref="AB20:AE20">
    <cfRule type="cellIs" dxfId="2539" priority="555" operator="equal">
      <formula>1</formula>
    </cfRule>
    <cfRule type="cellIs" dxfId="2538" priority="556" operator="equal">
      <formula>"×"</formula>
    </cfRule>
  </conditionalFormatting>
  <conditionalFormatting sqref="AF20:AI20 AF24:AI24">
    <cfRule type="cellIs" dxfId="2537" priority="553" operator="equal">
      <formula>1</formula>
    </cfRule>
    <cfRule type="cellIs" dxfId="2536" priority="554" operator="equal">
      <formula>"×"</formula>
    </cfRule>
  </conditionalFormatting>
  <conditionalFormatting sqref="AF20 AF24">
    <cfRule type="cellIs" dxfId="2535" priority="551" operator="equal">
      <formula>1</formula>
    </cfRule>
    <cfRule type="cellIs" dxfId="2534" priority="552" operator="equal">
      <formula>"×"</formula>
    </cfRule>
  </conditionalFormatting>
  <conditionalFormatting sqref="AF20 AF24">
    <cfRule type="cellIs" dxfId="2533" priority="549" operator="equal">
      <formula>1</formula>
    </cfRule>
    <cfRule type="cellIs" dxfId="2532" priority="550" operator="equal">
      <formula>"×"</formula>
    </cfRule>
  </conditionalFormatting>
  <conditionalFormatting sqref="AF20 AF24">
    <cfRule type="cellIs" dxfId="2531" priority="547" operator="equal">
      <formula>1</formula>
    </cfRule>
    <cfRule type="cellIs" dxfId="2530" priority="548" operator="equal">
      <formula>"×"</formula>
    </cfRule>
  </conditionalFormatting>
  <conditionalFormatting sqref="AF20 AF24">
    <cfRule type="cellIs" dxfId="2529" priority="545" operator="equal">
      <formula>1</formula>
    </cfRule>
    <cfRule type="cellIs" dxfId="2528" priority="546" operator="equal">
      <formula>"×"</formula>
    </cfRule>
  </conditionalFormatting>
  <conditionalFormatting sqref="AF20 AF24">
    <cfRule type="cellIs" dxfId="2527" priority="543" operator="equal">
      <formula>1</formula>
    </cfRule>
    <cfRule type="cellIs" dxfId="2526" priority="544" operator="equal">
      <formula>"×"</formula>
    </cfRule>
  </conditionalFormatting>
  <conditionalFormatting sqref="AF20 AF24">
    <cfRule type="cellIs" dxfId="2525" priority="541" operator="equal">
      <formula>1</formula>
    </cfRule>
    <cfRule type="cellIs" dxfId="2524" priority="542" operator="equal">
      <formula>"×"</formula>
    </cfRule>
  </conditionalFormatting>
  <conditionalFormatting sqref="AF20 AF24">
    <cfRule type="cellIs" dxfId="2523" priority="531" operator="equal">
      <formula>1</formula>
    </cfRule>
    <cfRule type="cellIs" dxfId="2522" priority="532" operator="equal">
      <formula>"×"</formula>
    </cfRule>
  </conditionalFormatting>
  <conditionalFormatting sqref="AF20 AF24">
    <cfRule type="cellIs" dxfId="2521" priority="529" operator="equal">
      <formula>1</formula>
    </cfRule>
    <cfRule type="cellIs" dxfId="2520" priority="530" operator="equal">
      <formula>"×"</formula>
    </cfRule>
  </conditionalFormatting>
  <conditionalFormatting sqref="AF20 AF24">
    <cfRule type="cellIs" dxfId="2519" priority="525" operator="equal">
      <formula>1</formula>
    </cfRule>
    <cfRule type="cellIs" dxfId="2518" priority="526" operator="equal">
      <formula>"×"</formula>
    </cfRule>
  </conditionalFormatting>
  <conditionalFormatting sqref="AF20 AF24">
    <cfRule type="cellIs" dxfId="2517" priority="527" operator="equal">
      <formula>1</formula>
    </cfRule>
    <cfRule type="cellIs" dxfId="2516" priority="528" operator="equal">
      <formula>"×"</formula>
    </cfRule>
  </conditionalFormatting>
  <conditionalFormatting sqref="AF20 AF24">
    <cfRule type="cellIs" dxfId="2515" priority="523" operator="equal">
      <formula>1</formula>
    </cfRule>
    <cfRule type="cellIs" dxfId="2514" priority="524" operator="equal">
      <formula>"×"</formula>
    </cfRule>
  </conditionalFormatting>
  <conditionalFormatting sqref="AF20 AF24:AI24">
    <cfRule type="cellIs" dxfId="2513" priority="521" operator="equal">
      <formula>1</formula>
    </cfRule>
    <cfRule type="cellIs" dxfId="2512" priority="522" operator="equal">
      <formula>"×"</formula>
    </cfRule>
  </conditionalFormatting>
  <conditionalFormatting sqref="AF20 AF24:AI24">
    <cfRule type="cellIs" dxfId="2511" priority="519" operator="equal">
      <formula>1</formula>
    </cfRule>
    <cfRule type="cellIs" dxfId="2510" priority="520" operator="equal">
      <formula>"×"</formula>
    </cfRule>
  </conditionalFormatting>
  <conditionalFormatting sqref="AF20 AF24:AI24">
    <cfRule type="cellIs" dxfId="2509" priority="517" operator="equal">
      <formula>1</formula>
    </cfRule>
    <cfRule type="cellIs" dxfId="2508" priority="518" operator="equal">
      <formula>"×"</formula>
    </cfRule>
  </conditionalFormatting>
  <conditionalFormatting sqref="AF20 AF24:AI24">
    <cfRule type="cellIs" dxfId="2507" priority="515" operator="equal">
      <formula>1</formula>
    </cfRule>
    <cfRule type="cellIs" dxfId="2506" priority="516" operator="equal">
      <formula>"×"</formula>
    </cfRule>
  </conditionalFormatting>
  <conditionalFormatting sqref="AF20 AF24:AI24">
    <cfRule type="cellIs" dxfId="2505" priority="513" operator="equal">
      <formula>1</formula>
    </cfRule>
    <cfRule type="cellIs" dxfId="2504" priority="514" operator="equal">
      <formula>"×"</formula>
    </cfRule>
  </conditionalFormatting>
  <conditionalFormatting sqref="AG24:AH24">
    <cfRule type="cellIs" dxfId="2503" priority="511" operator="equal">
      <formula>1</formula>
    </cfRule>
    <cfRule type="cellIs" dxfId="2502" priority="512" operator="equal">
      <formula>"×"</formula>
    </cfRule>
  </conditionalFormatting>
  <conditionalFormatting sqref="AF20:AI20">
    <cfRule type="cellIs" dxfId="2501" priority="509" operator="equal">
      <formula>1</formula>
    </cfRule>
    <cfRule type="cellIs" dxfId="2500" priority="510" operator="equal">
      <formula>"×"</formula>
    </cfRule>
  </conditionalFormatting>
  <conditionalFormatting sqref="AI20">
    <cfRule type="cellIs" dxfId="2499" priority="507" operator="equal">
      <formula>1</formula>
    </cfRule>
    <cfRule type="cellIs" dxfId="2498" priority="508" operator="equal">
      <formula>"×"</formula>
    </cfRule>
  </conditionalFormatting>
  <conditionalFormatting sqref="AF24:AI24">
    <cfRule type="cellIs" dxfId="2497" priority="483" operator="equal">
      <formula>1</formula>
    </cfRule>
    <cfRule type="cellIs" dxfId="2496" priority="484" operator="equal">
      <formula>"×"</formula>
    </cfRule>
  </conditionalFormatting>
  <conditionalFormatting sqref="AI24">
    <cfRule type="cellIs" dxfId="2495" priority="481" operator="equal">
      <formula>1</formula>
    </cfRule>
    <cfRule type="cellIs" dxfId="2494" priority="482" operator="equal">
      <formula>"×"</formula>
    </cfRule>
  </conditionalFormatting>
  <conditionalFormatting sqref="AF20 AF24">
    <cfRule type="cellIs" dxfId="2493" priority="479" operator="equal">
      <formula>1</formula>
    </cfRule>
    <cfRule type="cellIs" dxfId="2492" priority="480" operator="equal">
      <formula>"×"</formula>
    </cfRule>
  </conditionalFormatting>
  <conditionalFormatting sqref="AF20:AI20 AF24:AI24">
    <cfRule type="cellIs" dxfId="2491" priority="505" operator="equal">
      <formula>1</formula>
    </cfRule>
    <cfRule type="cellIs" dxfId="2490" priority="506" operator="equal">
      <formula>"×"</formula>
    </cfRule>
  </conditionalFormatting>
  <conditionalFormatting sqref="AF24">
    <cfRule type="cellIs" dxfId="2489" priority="503" operator="equal">
      <formula>1</formula>
    </cfRule>
    <cfRule type="cellIs" dxfId="2488" priority="504" operator="equal">
      <formula>"×"</formula>
    </cfRule>
  </conditionalFormatting>
  <conditionalFormatting sqref="AF24">
    <cfRule type="cellIs" dxfId="2487" priority="501" operator="equal">
      <formula>1</formula>
    </cfRule>
    <cfRule type="cellIs" dxfId="2486" priority="502" operator="equal">
      <formula>"×"</formula>
    </cfRule>
  </conditionalFormatting>
  <conditionalFormatting sqref="AF24:AI24">
    <cfRule type="cellIs" dxfId="2485" priority="499" operator="equal">
      <formula>1</formula>
    </cfRule>
    <cfRule type="cellIs" dxfId="2484" priority="500" operator="equal">
      <formula>"×"</formula>
    </cfRule>
  </conditionalFormatting>
  <conditionalFormatting sqref="AI24">
    <cfRule type="cellIs" dxfId="2483" priority="497" operator="equal">
      <formula>1</formula>
    </cfRule>
    <cfRule type="cellIs" dxfId="2482" priority="498" operator="equal">
      <formula>"×"</formula>
    </cfRule>
  </conditionalFormatting>
  <conditionalFormatting sqref="AF24:AI24">
    <cfRule type="cellIs" dxfId="2481" priority="495" operator="equal">
      <formula>1</formula>
    </cfRule>
    <cfRule type="cellIs" dxfId="2480" priority="496" operator="equal">
      <formula>"×"</formula>
    </cfRule>
  </conditionalFormatting>
  <conditionalFormatting sqref="AF20">
    <cfRule type="cellIs" dxfId="2479" priority="493" operator="equal">
      <formula>1</formula>
    </cfRule>
    <cfRule type="cellIs" dxfId="2478" priority="494" operator="equal">
      <formula>"×"</formula>
    </cfRule>
  </conditionalFormatting>
  <conditionalFormatting sqref="AF20">
    <cfRule type="cellIs" dxfId="2477" priority="491" operator="equal">
      <formula>1</formula>
    </cfRule>
    <cfRule type="cellIs" dxfId="2476" priority="492" operator="equal">
      <formula>"×"</formula>
    </cfRule>
  </conditionalFormatting>
  <conditionalFormatting sqref="AF24:AI24">
    <cfRule type="cellIs" dxfId="2475" priority="489" operator="equal">
      <formula>1</formula>
    </cfRule>
    <cfRule type="cellIs" dxfId="2474" priority="490" operator="equal">
      <formula>"×"</formula>
    </cfRule>
  </conditionalFormatting>
  <conditionalFormatting sqref="AI24">
    <cfRule type="cellIs" dxfId="2473" priority="487" operator="equal">
      <formula>1</formula>
    </cfRule>
    <cfRule type="cellIs" dxfId="2472" priority="488" operator="equal">
      <formula>"×"</formula>
    </cfRule>
  </conditionalFormatting>
  <conditionalFormatting sqref="AF24:AI24">
    <cfRule type="cellIs" dxfId="2471" priority="485" operator="equal">
      <formula>1</formula>
    </cfRule>
    <cfRule type="cellIs" dxfId="2470" priority="486" operator="equal">
      <formula>"×"</formula>
    </cfRule>
  </conditionalFormatting>
  <conditionalFormatting sqref="AF20 AF24">
    <cfRule type="cellIs" dxfId="2469" priority="477" operator="equal">
      <formula>1</formula>
    </cfRule>
    <cfRule type="cellIs" dxfId="2468" priority="478" operator="equal">
      <formula>"×"</formula>
    </cfRule>
  </conditionalFormatting>
  <conditionalFormatting sqref="AF20 AF24">
    <cfRule type="cellIs" dxfId="2467" priority="475" operator="equal">
      <formula>1</formula>
    </cfRule>
    <cfRule type="cellIs" dxfId="2466" priority="476" operator="equal">
      <formula>"×"</formula>
    </cfRule>
  </conditionalFormatting>
  <conditionalFormatting sqref="AF20 AF24">
    <cfRule type="cellIs" dxfId="2465" priority="473" operator="equal">
      <formula>1</formula>
    </cfRule>
    <cfRule type="cellIs" dxfId="2464" priority="474" operator="equal">
      <formula>"×"</formula>
    </cfRule>
  </conditionalFormatting>
  <conditionalFormatting sqref="AF20 AF24">
    <cfRule type="cellIs" dxfId="2463" priority="471" operator="equal">
      <formula>1</formula>
    </cfRule>
    <cfRule type="cellIs" dxfId="2462" priority="472" operator="equal">
      <formula>"×"</formula>
    </cfRule>
  </conditionalFormatting>
  <conditionalFormatting sqref="AF20 AF24">
    <cfRule type="cellIs" dxfId="2461" priority="469" operator="equal">
      <formula>1</formula>
    </cfRule>
    <cfRule type="cellIs" dxfId="2460" priority="470" operator="equal">
      <formula>"×"</formula>
    </cfRule>
  </conditionalFormatting>
  <conditionalFormatting sqref="AG24:AI24">
    <cfRule type="cellIs" dxfId="2459" priority="467" operator="equal">
      <formula>1</formula>
    </cfRule>
    <cfRule type="cellIs" dxfId="2458" priority="468" operator="equal">
      <formula>"×"</formula>
    </cfRule>
  </conditionalFormatting>
  <conditionalFormatting sqref="AG24:AI24">
    <cfRule type="cellIs" dxfId="2457" priority="463" operator="equal">
      <formula>1</formula>
    </cfRule>
    <cfRule type="cellIs" dxfId="2456" priority="464" operator="equal">
      <formula>"×"</formula>
    </cfRule>
  </conditionalFormatting>
  <conditionalFormatting sqref="AI24">
    <cfRule type="cellIs" dxfId="2455" priority="465" operator="equal">
      <formula>1</formula>
    </cfRule>
    <cfRule type="cellIs" dxfId="2454" priority="466" operator="equal">
      <formula>"×"</formula>
    </cfRule>
  </conditionalFormatting>
  <conditionalFormatting sqref="AG24:AI24">
    <cfRule type="cellIs" dxfId="2453" priority="461" operator="equal">
      <formula>1</formula>
    </cfRule>
    <cfRule type="cellIs" dxfId="2452" priority="462" operator="equal">
      <formula>"×"</formula>
    </cfRule>
  </conditionalFormatting>
  <conditionalFormatting sqref="AI24">
    <cfRule type="cellIs" dxfId="2451" priority="459" operator="equal">
      <formula>1</formula>
    </cfRule>
    <cfRule type="cellIs" dxfId="2450" priority="460" operator="equal">
      <formula>"×"</formula>
    </cfRule>
  </conditionalFormatting>
  <conditionalFormatting sqref="AG24:AI24">
    <cfRule type="cellIs" dxfId="2449" priority="457" operator="equal">
      <formula>1</formula>
    </cfRule>
    <cfRule type="cellIs" dxfId="2448" priority="458" operator="equal">
      <formula>"×"</formula>
    </cfRule>
  </conditionalFormatting>
  <conditionalFormatting sqref="AF20 AF24">
    <cfRule type="cellIs" dxfId="2447" priority="455" operator="equal">
      <formula>1</formula>
    </cfRule>
    <cfRule type="cellIs" dxfId="2446" priority="456" operator="equal">
      <formula>"×"</formula>
    </cfRule>
  </conditionalFormatting>
  <conditionalFormatting sqref="AF20 AF24">
    <cfRule type="cellIs" dxfId="2445" priority="453" operator="equal">
      <formula>1</formula>
    </cfRule>
    <cfRule type="cellIs" dxfId="2444" priority="454" operator="equal">
      <formula>"×"</formula>
    </cfRule>
  </conditionalFormatting>
  <conditionalFormatting sqref="AF20 AF24">
    <cfRule type="cellIs" dxfId="2443" priority="451" operator="equal">
      <formula>1</formula>
    </cfRule>
    <cfRule type="cellIs" dxfId="2442" priority="452" operator="equal">
      <formula>"×"</formula>
    </cfRule>
  </conditionalFormatting>
  <conditionalFormatting sqref="AF20 AF24">
    <cfRule type="cellIs" dxfId="2441" priority="449" operator="equal">
      <formula>1</formula>
    </cfRule>
    <cfRule type="cellIs" dxfId="2440" priority="450" operator="equal">
      <formula>"×"</formula>
    </cfRule>
  </conditionalFormatting>
  <conditionalFormatting sqref="AF20 AF24">
    <cfRule type="cellIs" dxfId="2439" priority="447" operator="equal">
      <formula>1</formula>
    </cfRule>
    <cfRule type="cellIs" dxfId="2438" priority="448" operator="equal">
      <formula>"×"</formula>
    </cfRule>
  </conditionalFormatting>
  <conditionalFormatting sqref="AF20 AF24">
    <cfRule type="cellIs" dxfId="2437" priority="445" operator="equal">
      <formula>1</formula>
    </cfRule>
    <cfRule type="cellIs" dxfId="2436" priority="446" operator="equal">
      <formula>"×"</formula>
    </cfRule>
  </conditionalFormatting>
  <conditionalFormatting sqref="AF20 AF24">
    <cfRule type="cellIs" dxfId="2435" priority="443" operator="equal">
      <formula>1</formula>
    </cfRule>
    <cfRule type="cellIs" dxfId="2434" priority="444" operator="equal">
      <formula>"×"</formula>
    </cfRule>
  </conditionalFormatting>
  <conditionalFormatting sqref="AG24:AI24">
    <cfRule type="cellIs" dxfId="2433" priority="441" operator="equal">
      <formula>1</formula>
    </cfRule>
    <cfRule type="cellIs" dxfId="2432" priority="442" operator="equal">
      <formula>"×"</formula>
    </cfRule>
  </conditionalFormatting>
  <conditionalFormatting sqref="AF24">
    <cfRule type="cellIs" dxfId="2431" priority="415" operator="equal">
      <formula>1</formula>
    </cfRule>
    <cfRule type="cellIs" dxfId="2430" priority="416" operator="equal">
      <formula>"×"</formula>
    </cfRule>
  </conditionalFormatting>
  <conditionalFormatting sqref="AF20 AF24">
    <cfRule type="cellIs" dxfId="2429" priority="413" operator="equal">
      <formula>1</formula>
    </cfRule>
    <cfRule type="cellIs" dxfId="2428" priority="414" operator="equal">
      <formula>"×"</formula>
    </cfRule>
  </conditionalFormatting>
  <conditionalFormatting sqref="AF24">
    <cfRule type="cellIs" dxfId="2427" priority="409" operator="equal">
      <formula>1</formula>
    </cfRule>
    <cfRule type="cellIs" dxfId="2426" priority="410" operator="equal">
      <formula>"×"</formula>
    </cfRule>
  </conditionalFormatting>
  <conditionalFormatting sqref="AF20 AF24">
    <cfRule type="cellIs" dxfId="2425" priority="411" operator="equal">
      <formula>1</formula>
    </cfRule>
    <cfRule type="cellIs" dxfId="2424" priority="412" operator="equal">
      <formula>"×"</formula>
    </cfRule>
  </conditionalFormatting>
  <conditionalFormatting sqref="AI24">
    <cfRule type="cellIs" dxfId="2423" priority="439" operator="equal">
      <formula>1</formula>
    </cfRule>
    <cfRule type="cellIs" dxfId="2422" priority="440" operator="equal">
      <formula>"×"</formula>
    </cfRule>
  </conditionalFormatting>
  <conditionalFormatting sqref="AG24:AI24">
    <cfRule type="cellIs" dxfId="2421" priority="437" operator="equal">
      <formula>1</formula>
    </cfRule>
    <cfRule type="cellIs" dxfId="2420" priority="438" operator="equal">
      <formula>"×"</formula>
    </cfRule>
  </conditionalFormatting>
  <conditionalFormatting sqref="AG24:AI24">
    <cfRule type="cellIs" dxfId="2419" priority="435" operator="equal">
      <formula>1</formula>
    </cfRule>
    <cfRule type="cellIs" dxfId="2418" priority="436" operator="equal">
      <formula>"×"</formula>
    </cfRule>
  </conditionalFormatting>
  <conditionalFormatting sqref="AI24">
    <cfRule type="cellIs" dxfId="2417" priority="433" operator="equal">
      <formula>1</formula>
    </cfRule>
    <cfRule type="cellIs" dxfId="2416" priority="434" operator="equal">
      <formula>"×"</formula>
    </cfRule>
  </conditionalFormatting>
  <conditionalFormatting sqref="AG24:AI24">
    <cfRule type="cellIs" dxfId="2415" priority="431" operator="equal">
      <formula>1</formula>
    </cfRule>
    <cfRule type="cellIs" dxfId="2414" priority="432" operator="equal">
      <formula>"×"</formula>
    </cfRule>
  </conditionalFormatting>
  <conditionalFormatting sqref="AI24">
    <cfRule type="cellIs" dxfId="2413" priority="429" operator="equal">
      <formula>1</formula>
    </cfRule>
    <cfRule type="cellIs" dxfId="2412" priority="430" operator="equal">
      <formula>"×"</formula>
    </cfRule>
  </conditionalFormatting>
  <conditionalFormatting sqref="AI24">
    <cfRule type="cellIs" dxfId="2411" priority="427" operator="equal">
      <formula>1</formula>
    </cfRule>
    <cfRule type="cellIs" dxfId="2410" priority="428" operator="equal">
      <formula>"×"</formula>
    </cfRule>
  </conditionalFormatting>
  <conditionalFormatting sqref="AI24">
    <cfRule type="cellIs" dxfId="2409" priority="425" operator="equal">
      <formula>1</formula>
    </cfRule>
    <cfRule type="cellIs" dxfId="2408" priority="426" operator="equal">
      <formula>"×"</formula>
    </cfRule>
  </conditionalFormatting>
  <conditionalFormatting sqref="AI24">
    <cfRule type="cellIs" dxfId="2407" priority="423" operator="equal">
      <formula>1</formula>
    </cfRule>
    <cfRule type="cellIs" dxfId="2406" priority="424" operator="equal">
      <formula>"×"</formula>
    </cfRule>
  </conditionalFormatting>
  <conditionalFormatting sqref="AI24">
    <cfRule type="cellIs" dxfId="2405" priority="421" operator="equal">
      <formula>1</formula>
    </cfRule>
    <cfRule type="cellIs" dxfId="2404" priority="422" operator="equal">
      <formula>"×"</formula>
    </cfRule>
  </conditionalFormatting>
  <conditionalFormatting sqref="AI24">
    <cfRule type="cellIs" dxfId="2403" priority="419" operator="equal">
      <formula>1</formula>
    </cfRule>
    <cfRule type="cellIs" dxfId="2402" priority="420" operator="equal">
      <formula>"×"</formula>
    </cfRule>
  </conditionalFormatting>
  <conditionalFormatting sqref="AF24">
    <cfRule type="cellIs" dxfId="2401" priority="417" operator="equal">
      <formula>1</formula>
    </cfRule>
    <cfRule type="cellIs" dxfId="2400" priority="418" operator="equal">
      <formula>"×"</formula>
    </cfRule>
  </conditionalFormatting>
  <conditionalFormatting sqref="AF24">
    <cfRule type="cellIs" dxfId="2399" priority="383" operator="equal">
      <formula>1</formula>
    </cfRule>
    <cfRule type="cellIs" dxfId="2398" priority="384" operator="equal">
      <formula>"×"</formula>
    </cfRule>
  </conditionalFormatting>
  <conditionalFormatting sqref="AF24">
    <cfRule type="cellIs" dxfId="2397" priority="381" operator="equal">
      <formula>1</formula>
    </cfRule>
    <cfRule type="cellIs" dxfId="2396" priority="382" operator="equal">
      <formula>"×"</formula>
    </cfRule>
  </conditionalFormatting>
  <conditionalFormatting sqref="AF24">
    <cfRule type="cellIs" dxfId="2395" priority="377" operator="equal">
      <formula>1</formula>
    </cfRule>
    <cfRule type="cellIs" dxfId="2394" priority="378" operator="equal">
      <formula>"×"</formula>
    </cfRule>
  </conditionalFormatting>
  <conditionalFormatting sqref="AF24">
    <cfRule type="cellIs" dxfId="2393" priority="379" operator="equal">
      <formula>1</formula>
    </cfRule>
    <cfRule type="cellIs" dxfId="2392" priority="380" operator="equal">
      <formula>"×"</formula>
    </cfRule>
  </conditionalFormatting>
  <conditionalFormatting sqref="AF24">
    <cfRule type="cellIs" dxfId="2391" priority="407" operator="equal">
      <formula>1</formula>
    </cfRule>
    <cfRule type="cellIs" dxfId="2390" priority="408" operator="equal">
      <formula>"×"</formula>
    </cfRule>
  </conditionalFormatting>
  <conditionalFormatting sqref="AF20 AF24:AI24">
    <cfRule type="cellIs" dxfId="2389" priority="405" operator="equal">
      <formula>1</formula>
    </cfRule>
    <cfRule type="cellIs" dxfId="2388" priority="406" operator="equal">
      <formula>"×"</formula>
    </cfRule>
  </conditionalFormatting>
  <conditionalFormatting sqref="AF20 AF24:AI24">
    <cfRule type="cellIs" dxfId="2387" priority="403" operator="equal">
      <formula>1</formula>
    </cfRule>
    <cfRule type="cellIs" dxfId="2386" priority="404" operator="equal">
      <formula>"×"</formula>
    </cfRule>
  </conditionalFormatting>
  <conditionalFormatting sqref="AF24">
    <cfRule type="cellIs" dxfId="2385" priority="401" operator="equal">
      <formula>1</formula>
    </cfRule>
    <cfRule type="cellIs" dxfId="2384" priority="402" operator="equal">
      <formula>"×"</formula>
    </cfRule>
  </conditionalFormatting>
  <conditionalFormatting sqref="AF24">
    <cfRule type="cellIs" dxfId="2383" priority="399" operator="equal">
      <formula>1</formula>
    </cfRule>
    <cfRule type="cellIs" dxfId="2382" priority="400" operator="equal">
      <formula>"×"</formula>
    </cfRule>
  </conditionalFormatting>
  <conditionalFormatting sqref="AF24:AI24">
    <cfRule type="cellIs" dxfId="2381" priority="397" operator="equal">
      <formula>1</formula>
    </cfRule>
    <cfRule type="cellIs" dxfId="2380" priority="398" operator="equal">
      <formula>"×"</formula>
    </cfRule>
  </conditionalFormatting>
  <conditionalFormatting sqref="AI24">
    <cfRule type="cellIs" dxfId="2379" priority="395" operator="equal">
      <formula>1</formula>
    </cfRule>
    <cfRule type="cellIs" dxfId="2378" priority="396" operator="equal">
      <formula>"×"</formula>
    </cfRule>
  </conditionalFormatting>
  <conditionalFormatting sqref="AF24:AI24">
    <cfRule type="cellIs" dxfId="2377" priority="393" operator="equal">
      <formula>1</formula>
    </cfRule>
    <cfRule type="cellIs" dxfId="2376" priority="394" operator="equal">
      <formula>"×"</formula>
    </cfRule>
  </conditionalFormatting>
  <conditionalFormatting sqref="AF20 AF24:AI24">
    <cfRule type="cellIs" dxfId="2375" priority="391" operator="equal">
      <formula>1</formula>
    </cfRule>
    <cfRule type="cellIs" dxfId="2374" priority="392" operator="equal">
      <formula>"×"</formula>
    </cfRule>
  </conditionalFormatting>
  <conditionalFormatting sqref="AF20 AF24:AI24">
    <cfRule type="cellIs" dxfId="2373" priority="389" operator="equal">
      <formula>1</formula>
    </cfRule>
    <cfRule type="cellIs" dxfId="2372" priority="390" operator="equal">
      <formula>"×"</formula>
    </cfRule>
  </conditionalFormatting>
  <conditionalFormatting sqref="AF20 AF24:AI24">
    <cfRule type="cellIs" dxfId="2371" priority="387" operator="equal">
      <formula>1</formula>
    </cfRule>
    <cfRule type="cellIs" dxfId="2370" priority="388" operator="equal">
      <formula>"×"</formula>
    </cfRule>
  </conditionalFormatting>
  <conditionalFormatting sqref="AF24">
    <cfRule type="cellIs" dxfId="2369" priority="385" operator="equal">
      <formula>1</formula>
    </cfRule>
    <cfRule type="cellIs" dxfId="2368" priority="386" operator="equal">
      <formula>"×"</formula>
    </cfRule>
  </conditionalFormatting>
  <conditionalFormatting sqref="AF24">
    <cfRule type="cellIs" dxfId="2367" priority="375" operator="equal">
      <formula>1</formula>
    </cfRule>
    <cfRule type="cellIs" dxfId="2366" priority="376" operator="equal">
      <formula>"×"</formula>
    </cfRule>
  </conditionalFormatting>
  <conditionalFormatting sqref="AF24">
    <cfRule type="cellIs" dxfId="2365" priority="373" operator="equal">
      <formula>1</formula>
    </cfRule>
    <cfRule type="cellIs" dxfId="2364" priority="374" operator="equal">
      <formula>"×"</formula>
    </cfRule>
  </conditionalFormatting>
  <conditionalFormatting sqref="AF20:AG20">
    <cfRule type="cellIs" dxfId="2363" priority="347" operator="equal">
      <formula>1</formula>
    </cfRule>
    <cfRule type="cellIs" dxfId="2362" priority="348" operator="equal">
      <formula>"×"</formula>
    </cfRule>
  </conditionalFormatting>
  <conditionalFormatting sqref="AF20:AG20">
    <cfRule type="cellIs" dxfId="2361" priority="345" operator="equal">
      <formula>1</formula>
    </cfRule>
    <cfRule type="cellIs" dxfId="2360" priority="346" operator="equal">
      <formula>"×"</formula>
    </cfRule>
  </conditionalFormatting>
  <conditionalFormatting sqref="AF20:AG20">
    <cfRule type="cellIs" dxfId="2359" priority="341" operator="equal">
      <formula>1</formula>
    </cfRule>
    <cfRule type="cellIs" dxfId="2358" priority="342" operator="equal">
      <formula>"×"</formula>
    </cfRule>
  </conditionalFormatting>
  <conditionalFormatting sqref="AF20:AG20">
    <cfRule type="cellIs" dxfId="2357" priority="343" operator="equal">
      <formula>1</formula>
    </cfRule>
    <cfRule type="cellIs" dxfId="2356" priority="344" operator="equal">
      <formula>"×"</formula>
    </cfRule>
  </conditionalFormatting>
  <conditionalFormatting sqref="AH23:AI23">
    <cfRule type="cellIs" dxfId="2355" priority="371" operator="equal">
      <formula>1</formula>
    </cfRule>
    <cfRule type="cellIs" dxfId="2354" priority="372" operator="equal">
      <formula>"×"</formula>
    </cfRule>
  </conditionalFormatting>
  <conditionalFormatting sqref="AI23">
    <cfRule type="cellIs" dxfId="2353" priority="369" operator="equal">
      <formula>1</formula>
    </cfRule>
    <cfRule type="cellIs" dxfId="2352" priority="370" operator="equal">
      <formula>"×"</formula>
    </cfRule>
  </conditionalFormatting>
  <conditionalFormatting sqref="AH23:AI23">
    <cfRule type="cellIs" dxfId="2351" priority="367" operator="equal">
      <formula>1</formula>
    </cfRule>
    <cfRule type="cellIs" dxfId="2350" priority="368" operator="equal">
      <formula>"×"</formula>
    </cfRule>
  </conditionalFormatting>
  <conditionalFormatting sqref="AH23:AI23">
    <cfRule type="cellIs" dxfId="2349" priority="365" operator="equal">
      <formula>1</formula>
    </cfRule>
    <cfRule type="cellIs" dxfId="2348" priority="366" operator="equal">
      <formula>"×"</formula>
    </cfRule>
  </conditionalFormatting>
  <conditionalFormatting sqref="AI23">
    <cfRule type="cellIs" dxfId="2347" priority="363" operator="equal">
      <formula>1</formula>
    </cfRule>
    <cfRule type="cellIs" dxfId="2346" priority="364" operator="equal">
      <formula>"×"</formula>
    </cfRule>
  </conditionalFormatting>
  <conditionalFormatting sqref="AH23:AI23">
    <cfRule type="cellIs" dxfId="2345" priority="361" operator="equal">
      <formula>1</formula>
    </cfRule>
    <cfRule type="cellIs" dxfId="2344" priority="362" operator="equal">
      <formula>"×"</formula>
    </cfRule>
  </conditionalFormatting>
  <conditionalFormatting sqref="AF20:AG20">
    <cfRule type="cellIs" dxfId="2343" priority="359" operator="equal">
      <formula>1</formula>
    </cfRule>
    <cfRule type="cellIs" dxfId="2342" priority="360" operator="equal">
      <formula>"×"</formula>
    </cfRule>
  </conditionalFormatting>
  <conditionalFormatting sqref="AF20:AG20">
    <cfRule type="cellIs" dxfId="2341" priority="357" operator="equal">
      <formula>1</formula>
    </cfRule>
    <cfRule type="cellIs" dxfId="2340" priority="358" operator="equal">
      <formula>"×"</formula>
    </cfRule>
  </conditionalFormatting>
  <conditionalFormatting sqref="AF20:AG20">
    <cfRule type="cellIs" dxfId="2339" priority="355" operator="equal">
      <formula>1</formula>
    </cfRule>
    <cfRule type="cellIs" dxfId="2338" priority="356" operator="equal">
      <formula>"×"</formula>
    </cfRule>
  </conditionalFormatting>
  <conditionalFormatting sqref="AF20:AG20">
    <cfRule type="cellIs" dxfId="2337" priority="353" operator="equal">
      <formula>1</formula>
    </cfRule>
    <cfRule type="cellIs" dxfId="2336" priority="354" operator="equal">
      <formula>"×"</formula>
    </cfRule>
  </conditionalFormatting>
  <conditionalFormatting sqref="AF20:AG20">
    <cfRule type="cellIs" dxfId="2335" priority="351" operator="equal">
      <formula>1</formula>
    </cfRule>
    <cfRule type="cellIs" dxfId="2334" priority="352" operator="equal">
      <formula>"×"</formula>
    </cfRule>
  </conditionalFormatting>
  <conditionalFormatting sqref="AF20:AG20">
    <cfRule type="cellIs" dxfId="2333" priority="349" operator="equal">
      <formula>1</formula>
    </cfRule>
    <cfRule type="cellIs" dxfId="2332" priority="350" operator="equal">
      <formula>"×"</formula>
    </cfRule>
  </conditionalFormatting>
  <conditionalFormatting sqref="AF20:AG20">
    <cfRule type="cellIs" dxfId="2331" priority="331" operator="equal">
      <formula>1</formula>
    </cfRule>
    <cfRule type="cellIs" dxfId="2330" priority="332" operator="equal">
      <formula>"×"</formula>
    </cfRule>
  </conditionalFormatting>
  <conditionalFormatting sqref="AF20:AG20">
    <cfRule type="cellIs" dxfId="2329" priority="329" operator="equal">
      <formula>1</formula>
    </cfRule>
    <cfRule type="cellIs" dxfId="2328" priority="330" operator="equal">
      <formula>"×"</formula>
    </cfRule>
  </conditionalFormatting>
  <conditionalFormatting sqref="AF20:AG20">
    <cfRule type="cellIs" dxfId="2327" priority="339" operator="equal">
      <formula>1</formula>
    </cfRule>
    <cfRule type="cellIs" dxfId="2326" priority="340" operator="equal">
      <formula>"×"</formula>
    </cfRule>
  </conditionalFormatting>
  <conditionalFormatting sqref="AF20:AG20">
    <cfRule type="cellIs" dxfId="2325" priority="337" operator="equal">
      <formula>1</formula>
    </cfRule>
    <cfRule type="cellIs" dxfId="2324" priority="338" operator="equal">
      <formula>"×"</formula>
    </cfRule>
  </conditionalFormatting>
  <conditionalFormatting sqref="AF20:AG20">
    <cfRule type="cellIs" dxfId="2323" priority="335" operator="equal">
      <formula>1</formula>
    </cfRule>
    <cfRule type="cellIs" dxfId="2322" priority="336" operator="equal">
      <formula>"×"</formula>
    </cfRule>
  </conditionalFormatting>
  <conditionalFormatting sqref="AF20:AG20">
    <cfRule type="cellIs" dxfId="2321" priority="333" operator="equal">
      <formula>1</formula>
    </cfRule>
    <cfRule type="cellIs" dxfId="2320" priority="334" operator="equal">
      <formula>"×"</formula>
    </cfRule>
  </conditionalFormatting>
  <conditionalFormatting sqref="AH20:AI20">
    <cfRule type="cellIs" dxfId="2319" priority="327" operator="equal">
      <formula>1</formula>
    </cfRule>
    <cfRule type="cellIs" dxfId="2318" priority="328" operator="equal">
      <formula>"×"</formula>
    </cfRule>
  </conditionalFormatting>
  <conditionalFormatting sqref="AH20:AI20">
    <cfRule type="cellIs" dxfId="2317" priority="325" operator="equal">
      <formula>1</formula>
    </cfRule>
    <cfRule type="cellIs" dxfId="2316" priority="326" operator="equal">
      <formula>"×"</formula>
    </cfRule>
  </conditionalFormatting>
  <conditionalFormatting sqref="AH20:AI20">
    <cfRule type="cellIs" dxfId="2315" priority="323" operator="equal">
      <formula>1</formula>
    </cfRule>
    <cfRule type="cellIs" dxfId="2314" priority="324" operator="equal">
      <formula>"×"</formula>
    </cfRule>
  </conditionalFormatting>
  <conditionalFormatting sqref="AH20:AI20">
    <cfRule type="cellIs" dxfId="2313" priority="321" operator="equal">
      <formula>1</formula>
    </cfRule>
    <cfRule type="cellIs" dxfId="2312" priority="322" operator="equal">
      <formula>"×"</formula>
    </cfRule>
  </conditionalFormatting>
  <conditionalFormatting sqref="AH20:AI20">
    <cfRule type="cellIs" dxfId="2311" priority="319" operator="equal">
      <formula>1</formula>
    </cfRule>
    <cfRule type="cellIs" dxfId="2310" priority="320" operator="equal">
      <formula>"×"</formula>
    </cfRule>
  </conditionalFormatting>
  <conditionalFormatting sqref="AH20:AI20">
    <cfRule type="cellIs" dxfId="2309" priority="317" operator="equal">
      <formula>1</formula>
    </cfRule>
    <cfRule type="cellIs" dxfId="2308" priority="318" operator="equal">
      <formula>"×"</formula>
    </cfRule>
  </conditionalFormatting>
  <conditionalFormatting sqref="AH20:AI20">
    <cfRule type="cellIs" dxfId="2307" priority="315" operator="equal">
      <formula>1</formula>
    </cfRule>
    <cfRule type="cellIs" dxfId="2306" priority="316" operator="equal">
      <formula>"×"</formula>
    </cfRule>
  </conditionalFormatting>
  <conditionalFormatting sqref="AH20:AI20">
    <cfRule type="cellIs" dxfId="2305" priority="313" operator="equal">
      <formula>1</formula>
    </cfRule>
    <cfRule type="cellIs" dxfId="2304" priority="314" operator="equal">
      <formula>"×"</formula>
    </cfRule>
  </conditionalFormatting>
  <conditionalFormatting sqref="AH20:AI20">
    <cfRule type="cellIs" dxfId="2303" priority="311" operator="equal">
      <formula>1</formula>
    </cfRule>
    <cfRule type="cellIs" dxfId="2302" priority="312" operator="equal">
      <formula>"×"</formula>
    </cfRule>
  </conditionalFormatting>
  <conditionalFormatting sqref="AH20:AI20">
    <cfRule type="cellIs" dxfId="2301" priority="309" operator="equal">
      <formula>1</formula>
    </cfRule>
    <cfRule type="cellIs" dxfId="2300" priority="310" operator="equal">
      <formula>"×"</formula>
    </cfRule>
  </conditionalFormatting>
  <conditionalFormatting sqref="AH20:AI20">
    <cfRule type="cellIs" dxfId="2299" priority="307" operator="equal">
      <formula>1</formula>
    </cfRule>
    <cfRule type="cellIs" dxfId="2298" priority="308" operator="equal">
      <formula>"×"</formula>
    </cfRule>
  </conditionalFormatting>
  <conditionalFormatting sqref="AH20:AI20">
    <cfRule type="cellIs" dxfId="2297" priority="305" operator="equal">
      <formula>1</formula>
    </cfRule>
    <cfRule type="cellIs" dxfId="2296" priority="306" operator="equal">
      <formula>"×"</formula>
    </cfRule>
  </conditionalFormatting>
  <conditionalFormatting sqref="AH20:AI20">
    <cfRule type="cellIs" dxfId="2295" priority="303" operator="equal">
      <formula>1</formula>
    </cfRule>
    <cfRule type="cellIs" dxfId="2294" priority="304" operator="equal">
      <formula>"×"</formula>
    </cfRule>
  </conditionalFormatting>
  <conditionalFormatting sqref="AH20:AI20">
    <cfRule type="cellIs" dxfId="2293" priority="301" operator="equal">
      <formula>1</formula>
    </cfRule>
    <cfRule type="cellIs" dxfId="2292" priority="302" operator="equal">
      <formula>"×"</formula>
    </cfRule>
  </conditionalFormatting>
  <conditionalFormatting sqref="AH20:AI20">
    <cfRule type="cellIs" dxfId="2291" priority="299" operator="equal">
      <formula>1</formula>
    </cfRule>
    <cfRule type="cellIs" dxfId="2290" priority="300" operator="equal">
      <formula>"×"</formula>
    </cfRule>
  </conditionalFormatting>
  <conditionalFormatting sqref="AH20:AI20">
    <cfRule type="cellIs" dxfId="2289" priority="297" operator="equal">
      <formula>1</formula>
    </cfRule>
    <cfRule type="cellIs" dxfId="2288" priority="298" operator="equal">
      <formula>"×"</formula>
    </cfRule>
  </conditionalFormatting>
  <conditionalFormatting sqref="AH21">
    <cfRule type="cellIs" dxfId="2287" priority="295" operator="equal">
      <formula>1</formula>
    </cfRule>
    <cfRule type="cellIs" dxfId="2286" priority="296" operator="equal">
      <formula>"×"</formula>
    </cfRule>
  </conditionalFormatting>
  <conditionalFormatting sqref="AH21">
    <cfRule type="cellIs" dxfId="2285" priority="293" operator="equal">
      <formula>1</formula>
    </cfRule>
    <cfRule type="cellIs" dxfId="2284" priority="294" operator="equal">
      <formula>"×"</formula>
    </cfRule>
  </conditionalFormatting>
  <conditionalFormatting sqref="AH21">
    <cfRule type="cellIs" dxfId="2283" priority="291" operator="equal">
      <formula>1</formula>
    </cfRule>
    <cfRule type="cellIs" dxfId="2282" priority="292" operator="equal">
      <formula>"×"</formula>
    </cfRule>
  </conditionalFormatting>
  <conditionalFormatting sqref="AH21">
    <cfRule type="cellIs" dxfId="2281" priority="289" operator="equal">
      <formula>1</formula>
    </cfRule>
    <cfRule type="cellIs" dxfId="2280" priority="290" operator="equal">
      <formula>"×"</formula>
    </cfRule>
  </conditionalFormatting>
  <conditionalFormatting sqref="AH21">
    <cfRule type="cellIs" dxfId="2279" priority="287" operator="equal">
      <formula>1</formula>
    </cfRule>
    <cfRule type="cellIs" dxfId="2278" priority="288" operator="equal">
      <formula>"×"</formula>
    </cfRule>
  </conditionalFormatting>
  <conditionalFormatting sqref="AH21">
    <cfRule type="cellIs" dxfId="2277" priority="261" operator="equal">
      <formula>1</formula>
    </cfRule>
    <cfRule type="cellIs" dxfId="2276" priority="262" operator="equal">
      <formula>"×"</formula>
    </cfRule>
  </conditionalFormatting>
  <conditionalFormatting sqref="AG24:AH24">
    <cfRule type="cellIs" dxfId="2275" priority="259" operator="equal">
      <formula>1</formula>
    </cfRule>
    <cfRule type="cellIs" dxfId="2274" priority="260" operator="equal">
      <formula>"×"</formula>
    </cfRule>
  </conditionalFormatting>
  <conditionalFormatting sqref="AI20">
    <cfRule type="cellIs" dxfId="2273" priority="255" operator="equal">
      <formula>1</formula>
    </cfRule>
    <cfRule type="cellIs" dxfId="2272" priority="256" operator="equal">
      <formula>"×"</formula>
    </cfRule>
  </conditionalFormatting>
  <conditionalFormatting sqref="AF20:AI20">
    <cfRule type="cellIs" dxfId="2271" priority="257" operator="equal">
      <formula>1</formula>
    </cfRule>
    <cfRule type="cellIs" dxfId="2270" priority="258" operator="equal">
      <formula>"×"</formula>
    </cfRule>
  </conditionalFormatting>
  <conditionalFormatting sqref="AH21">
    <cfRule type="cellIs" dxfId="2269" priority="285" operator="equal">
      <formula>1</formula>
    </cfRule>
    <cfRule type="cellIs" dxfId="2268" priority="286" operator="equal">
      <formula>"×"</formula>
    </cfRule>
  </conditionalFormatting>
  <conditionalFormatting sqref="AH21">
    <cfRule type="cellIs" dxfId="2267" priority="283" operator="equal">
      <formula>1</formula>
    </cfRule>
    <cfRule type="cellIs" dxfId="2266" priority="284" operator="equal">
      <formula>"×"</formula>
    </cfRule>
  </conditionalFormatting>
  <conditionalFormatting sqref="AH21">
    <cfRule type="cellIs" dxfId="2265" priority="281" operator="equal">
      <formula>1</formula>
    </cfRule>
    <cfRule type="cellIs" dxfId="2264" priority="282" operator="equal">
      <formula>"×"</formula>
    </cfRule>
  </conditionalFormatting>
  <conditionalFormatting sqref="AH21">
    <cfRule type="cellIs" dxfId="2263" priority="279" operator="equal">
      <formula>1</formula>
    </cfRule>
    <cfRule type="cellIs" dxfId="2262" priority="280" operator="equal">
      <formula>"×"</formula>
    </cfRule>
  </conditionalFormatting>
  <conditionalFormatting sqref="AH21">
    <cfRule type="cellIs" dxfId="2261" priority="277" operator="equal">
      <formula>1</formula>
    </cfRule>
    <cfRule type="cellIs" dxfId="2260" priority="278" operator="equal">
      <formula>"×"</formula>
    </cfRule>
  </conditionalFormatting>
  <conditionalFormatting sqref="AH21">
    <cfRule type="cellIs" dxfId="2259" priority="275" operator="equal">
      <formula>1</formula>
    </cfRule>
    <cfRule type="cellIs" dxfId="2258" priority="276" operator="equal">
      <formula>"×"</formula>
    </cfRule>
  </conditionalFormatting>
  <conditionalFormatting sqref="AH21">
    <cfRule type="cellIs" dxfId="2257" priority="273" operator="equal">
      <formula>1</formula>
    </cfRule>
    <cfRule type="cellIs" dxfId="2256" priority="274" operator="equal">
      <formula>"×"</formula>
    </cfRule>
  </conditionalFormatting>
  <conditionalFormatting sqref="AH21">
    <cfRule type="cellIs" dxfId="2255" priority="271" operator="equal">
      <formula>1</formula>
    </cfRule>
    <cfRule type="cellIs" dxfId="2254" priority="272" operator="equal">
      <formula>"×"</formula>
    </cfRule>
  </conditionalFormatting>
  <conditionalFormatting sqref="AH21">
    <cfRule type="cellIs" dxfId="2253" priority="269" operator="equal">
      <formula>1</formula>
    </cfRule>
    <cfRule type="cellIs" dxfId="2252" priority="270" operator="equal">
      <formula>"×"</formula>
    </cfRule>
  </conditionalFormatting>
  <conditionalFormatting sqref="AH21">
    <cfRule type="cellIs" dxfId="2251" priority="267" operator="equal">
      <formula>1</formula>
    </cfRule>
    <cfRule type="cellIs" dxfId="2250" priority="268" operator="equal">
      <formula>"×"</formula>
    </cfRule>
  </conditionalFormatting>
  <conditionalFormatting sqref="AH21">
    <cfRule type="cellIs" dxfId="2249" priority="265" operator="equal">
      <formula>1</formula>
    </cfRule>
    <cfRule type="cellIs" dxfId="2248" priority="266" operator="equal">
      <formula>"×"</formula>
    </cfRule>
  </conditionalFormatting>
  <conditionalFormatting sqref="AH21">
    <cfRule type="cellIs" dxfId="2247" priority="263" operator="equal">
      <formula>1</formula>
    </cfRule>
    <cfRule type="cellIs" dxfId="2246" priority="264" operator="equal">
      <formula>"×"</formula>
    </cfRule>
  </conditionalFormatting>
  <conditionalFormatting sqref="AF24">
    <cfRule type="cellIs" dxfId="2245" priority="253" operator="equal">
      <formula>1</formula>
    </cfRule>
    <cfRule type="cellIs" dxfId="2244" priority="254" operator="equal">
      <formula>"×"</formula>
    </cfRule>
  </conditionalFormatting>
  <conditionalFormatting sqref="AF24">
    <cfRule type="cellIs" dxfId="2243" priority="251" operator="equal">
      <formula>1</formula>
    </cfRule>
    <cfRule type="cellIs" dxfId="2242" priority="252" operator="equal">
      <formula>"×"</formula>
    </cfRule>
  </conditionalFormatting>
  <conditionalFormatting sqref="AF24:AI24">
    <cfRule type="cellIs" dxfId="2241" priority="249" operator="equal">
      <formula>1</formula>
    </cfRule>
    <cfRule type="cellIs" dxfId="2240" priority="250" operator="equal">
      <formula>"×"</formula>
    </cfRule>
  </conditionalFormatting>
  <conditionalFormatting sqref="AI24">
    <cfRule type="cellIs" dxfId="2239" priority="247" operator="equal">
      <formula>1</formula>
    </cfRule>
    <cfRule type="cellIs" dxfId="2238" priority="248" operator="equal">
      <formula>"×"</formula>
    </cfRule>
  </conditionalFormatting>
  <conditionalFormatting sqref="AF24:AI24">
    <cfRule type="cellIs" dxfId="2237" priority="245" operator="equal">
      <formula>1</formula>
    </cfRule>
    <cfRule type="cellIs" dxfId="2236" priority="246" operator="equal">
      <formula>"×"</formula>
    </cfRule>
  </conditionalFormatting>
  <conditionalFormatting sqref="AF20">
    <cfRule type="cellIs" dxfId="2235" priority="243" operator="equal">
      <formula>1</formula>
    </cfRule>
    <cfRule type="cellIs" dxfId="2234" priority="244" operator="equal">
      <formula>"×"</formula>
    </cfRule>
  </conditionalFormatting>
  <conditionalFormatting sqref="AF20">
    <cfRule type="cellIs" dxfId="2233" priority="241" operator="equal">
      <formula>1</formula>
    </cfRule>
    <cfRule type="cellIs" dxfId="2232" priority="242" operator="equal">
      <formula>"×"</formula>
    </cfRule>
  </conditionalFormatting>
  <conditionalFormatting sqref="AF24:AI24">
    <cfRule type="cellIs" dxfId="2231" priority="239" operator="equal">
      <formula>1</formula>
    </cfRule>
    <cfRule type="cellIs" dxfId="2230" priority="240" operator="equal">
      <formula>"×"</formula>
    </cfRule>
  </conditionalFormatting>
  <conditionalFormatting sqref="AI24">
    <cfRule type="cellIs" dxfId="2229" priority="237" operator="equal">
      <formula>1</formula>
    </cfRule>
    <cfRule type="cellIs" dxfId="2228" priority="238" operator="equal">
      <formula>"×"</formula>
    </cfRule>
  </conditionalFormatting>
  <conditionalFormatting sqref="AF24:AI24">
    <cfRule type="cellIs" dxfId="2227" priority="235" operator="equal">
      <formula>1</formula>
    </cfRule>
    <cfRule type="cellIs" dxfId="2226" priority="236" operator="equal">
      <formula>"×"</formula>
    </cfRule>
  </conditionalFormatting>
  <conditionalFormatting sqref="AF24:AI24">
    <cfRule type="cellIs" dxfId="2225" priority="233" operator="equal">
      <formula>1</formula>
    </cfRule>
    <cfRule type="cellIs" dxfId="2224" priority="234" operator="equal">
      <formula>"×"</formula>
    </cfRule>
  </conditionalFormatting>
  <conditionalFormatting sqref="AI24">
    <cfRule type="cellIs" dxfId="2223" priority="231" operator="equal">
      <formula>1</formula>
    </cfRule>
    <cfRule type="cellIs" dxfId="2222" priority="232" operator="equal">
      <formula>"×"</formula>
    </cfRule>
  </conditionalFormatting>
  <conditionalFormatting sqref="AG24:AI24">
    <cfRule type="cellIs" dxfId="2221" priority="229" operator="equal">
      <formula>1</formula>
    </cfRule>
    <cfRule type="cellIs" dxfId="2220" priority="230" operator="equal">
      <formula>"×"</formula>
    </cfRule>
  </conditionalFormatting>
  <conditionalFormatting sqref="AI24">
    <cfRule type="cellIs" dxfId="2219" priority="227" operator="equal">
      <formula>1</formula>
    </cfRule>
    <cfRule type="cellIs" dxfId="2218" priority="228" operator="equal">
      <formula>"×"</formula>
    </cfRule>
  </conditionalFormatting>
  <conditionalFormatting sqref="AG24:AI24">
    <cfRule type="cellIs" dxfId="2217" priority="225" operator="equal">
      <formula>1</formula>
    </cfRule>
    <cfRule type="cellIs" dxfId="2216" priority="226" operator="equal">
      <formula>"×"</formula>
    </cfRule>
  </conditionalFormatting>
  <conditionalFormatting sqref="AG24:AI24">
    <cfRule type="cellIs" dxfId="2215" priority="223" operator="equal">
      <formula>1</formula>
    </cfRule>
    <cfRule type="cellIs" dxfId="2214" priority="224" operator="equal">
      <formula>"×"</formula>
    </cfRule>
  </conditionalFormatting>
  <conditionalFormatting sqref="AI24">
    <cfRule type="cellIs" dxfId="2213" priority="221" operator="equal">
      <formula>1</formula>
    </cfRule>
    <cfRule type="cellIs" dxfId="2212" priority="222" operator="equal">
      <formula>"×"</formula>
    </cfRule>
  </conditionalFormatting>
  <conditionalFormatting sqref="AG24:AI24">
    <cfRule type="cellIs" dxfId="2211" priority="219" operator="equal">
      <formula>1</formula>
    </cfRule>
    <cfRule type="cellIs" dxfId="2210" priority="220" operator="equal">
      <formula>"×"</formula>
    </cfRule>
  </conditionalFormatting>
  <conditionalFormatting sqref="AG24:AI24">
    <cfRule type="cellIs" dxfId="2209" priority="217" operator="equal">
      <formula>1</formula>
    </cfRule>
    <cfRule type="cellIs" dxfId="2208" priority="218" operator="equal">
      <formula>"×"</formula>
    </cfRule>
  </conditionalFormatting>
  <conditionalFormatting sqref="AI24">
    <cfRule type="cellIs" dxfId="2207" priority="215" operator="equal">
      <formula>1</formula>
    </cfRule>
    <cfRule type="cellIs" dxfId="2206" priority="216" operator="equal">
      <formula>"×"</formula>
    </cfRule>
  </conditionalFormatting>
  <conditionalFormatting sqref="AG24:AI24">
    <cfRule type="cellIs" dxfId="2205" priority="213" operator="equal">
      <formula>1</formula>
    </cfRule>
    <cfRule type="cellIs" dxfId="2204" priority="214" operator="equal">
      <formula>"×"</formula>
    </cfRule>
  </conditionalFormatting>
  <conditionalFormatting sqref="AG24:AI24">
    <cfRule type="cellIs" dxfId="2203" priority="207" operator="equal">
      <formula>1</formula>
    </cfRule>
    <cfRule type="cellIs" dxfId="2202" priority="208" operator="equal">
      <formula>"×"</formula>
    </cfRule>
  </conditionalFormatting>
  <conditionalFormatting sqref="AI24">
    <cfRule type="cellIs" dxfId="2201" priority="205" operator="equal">
      <formula>1</formula>
    </cfRule>
    <cfRule type="cellIs" dxfId="2200" priority="206" operator="equal">
      <formula>"×"</formula>
    </cfRule>
  </conditionalFormatting>
  <conditionalFormatting sqref="AI24">
    <cfRule type="cellIs" dxfId="2199" priority="203" operator="equal">
      <formula>1</formula>
    </cfRule>
    <cfRule type="cellIs" dxfId="2198" priority="204" operator="equal">
      <formula>"×"</formula>
    </cfRule>
  </conditionalFormatting>
  <conditionalFormatting sqref="AG24:AI24">
    <cfRule type="cellIs" dxfId="2197" priority="211" operator="equal">
      <formula>1</formula>
    </cfRule>
    <cfRule type="cellIs" dxfId="2196" priority="212" operator="equal">
      <formula>"×"</formula>
    </cfRule>
  </conditionalFormatting>
  <conditionalFormatting sqref="AI24">
    <cfRule type="cellIs" dxfId="2195" priority="209" operator="equal">
      <formula>1</formula>
    </cfRule>
    <cfRule type="cellIs" dxfId="2194" priority="210" operator="equal">
      <formula>"×"</formula>
    </cfRule>
  </conditionalFormatting>
  <conditionalFormatting sqref="AI24">
    <cfRule type="cellIs" dxfId="2193" priority="201" operator="equal">
      <formula>1</formula>
    </cfRule>
    <cfRule type="cellIs" dxfId="2192" priority="202" operator="equal">
      <formula>"×"</formula>
    </cfRule>
  </conditionalFormatting>
  <conditionalFormatting sqref="AI24">
    <cfRule type="cellIs" dxfId="2191" priority="199" operator="equal">
      <formula>1</formula>
    </cfRule>
    <cfRule type="cellIs" dxfId="2190" priority="200" operator="equal">
      <formula>"×"</formula>
    </cfRule>
  </conditionalFormatting>
  <conditionalFormatting sqref="AI24">
    <cfRule type="cellIs" dxfId="2189" priority="197" operator="equal">
      <formula>1</formula>
    </cfRule>
    <cfRule type="cellIs" dxfId="2188" priority="198" operator="equal">
      <formula>"×"</formula>
    </cfRule>
  </conditionalFormatting>
  <conditionalFormatting sqref="AI24">
    <cfRule type="cellIs" dxfId="2187" priority="195" operator="equal">
      <formula>1</formula>
    </cfRule>
    <cfRule type="cellIs" dxfId="2186" priority="196" operator="equal">
      <formula>"×"</formula>
    </cfRule>
  </conditionalFormatting>
  <conditionalFormatting sqref="AF24">
    <cfRule type="cellIs" dxfId="2185" priority="193" operator="equal">
      <formula>1</formula>
    </cfRule>
    <cfRule type="cellIs" dxfId="2184" priority="194" operator="equal">
      <formula>"×"</formula>
    </cfRule>
  </conditionalFormatting>
  <conditionalFormatting sqref="AF24">
    <cfRule type="cellIs" dxfId="2183" priority="191" operator="equal">
      <formula>1</formula>
    </cfRule>
    <cfRule type="cellIs" dxfId="2182" priority="192" operator="equal">
      <formula>"×"</formula>
    </cfRule>
  </conditionalFormatting>
  <conditionalFormatting sqref="AF24">
    <cfRule type="cellIs" dxfId="2181" priority="189" operator="equal">
      <formula>1</formula>
    </cfRule>
    <cfRule type="cellIs" dxfId="2180" priority="190" operator="equal">
      <formula>"×"</formula>
    </cfRule>
  </conditionalFormatting>
  <conditionalFormatting sqref="AF24">
    <cfRule type="cellIs" dxfId="2179" priority="187" operator="equal">
      <formula>1</formula>
    </cfRule>
    <cfRule type="cellIs" dxfId="2178" priority="188" operator="equal">
      <formula>"×"</formula>
    </cfRule>
  </conditionalFormatting>
  <conditionalFormatting sqref="AF24">
    <cfRule type="cellIs" dxfId="2177" priority="185" operator="equal">
      <formula>1</formula>
    </cfRule>
    <cfRule type="cellIs" dxfId="2176" priority="186" operator="equal">
      <formula>"×"</formula>
    </cfRule>
  </conditionalFormatting>
  <conditionalFormatting sqref="AF24">
    <cfRule type="cellIs" dxfId="2175" priority="183" operator="equal">
      <formula>1</formula>
    </cfRule>
    <cfRule type="cellIs" dxfId="2174" priority="184" operator="equal">
      <formula>"×"</formula>
    </cfRule>
  </conditionalFormatting>
  <conditionalFormatting sqref="AI24">
    <cfRule type="cellIs" dxfId="2173" priority="179" operator="equal">
      <formula>1</formula>
    </cfRule>
    <cfRule type="cellIs" dxfId="2172" priority="180" operator="equal">
      <formula>"×"</formula>
    </cfRule>
  </conditionalFormatting>
  <conditionalFormatting sqref="AF24:AI24">
    <cfRule type="cellIs" dxfId="2171" priority="181" operator="equal">
      <formula>1</formula>
    </cfRule>
    <cfRule type="cellIs" dxfId="2170" priority="182" operator="equal">
      <formula>"×"</formula>
    </cfRule>
  </conditionalFormatting>
  <conditionalFormatting sqref="AH23:AI23">
    <cfRule type="cellIs" dxfId="2169" priority="155" operator="equal">
      <formula>1</formula>
    </cfRule>
    <cfRule type="cellIs" dxfId="2168" priority="156" operator="equal">
      <formula>"×"</formula>
    </cfRule>
  </conditionalFormatting>
  <conditionalFormatting sqref="AI23">
    <cfRule type="cellIs" dxfId="2167" priority="153" operator="equal">
      <formula>1</formula>
    </cfRule>
    <cfRule type="cellIs" dxfId="2166" priority="154" operator="equal">
      <formula>"×"</formula>
    </cfRule>
  </conditionalFormatting>
  <conditionalFormatting sqref="AF24">
    <cfRule type="cellIs" dxfId="2165" priority="165" operator="equal">
      <formula>1</formula>
    </cfRule>
    <cfRule type="cellIs" dxfId="2164" priority="166" operator="equal">
      <formula>"×"</formula>
    </cfRule>
  </conditionalFormatting>
  <conditionalFormatting sqref="AF24">
    <cfRule type="cellIs" dxfId="2163" priority="163" operator="equal">
      <formula>1</formula>
    </cfRule>
    <cfRule type="cellIs" dxfId="2162" priority="164" operator="equal">
      <formula>"×"</formula>
    </cfRule>
  </conditionalFormatting>
  <conditionalFormatting sqref="AH23:AI23">
    <cfRule type="cellIs" dxfId="2161" priority="161" operator="equal">
      <formula>1</formula>
    </cfRule>
    <cfRule type="cellIs" dxfId="2160" priority="162" operator="equal">
      <formula>"×"</formula>
    </cfRule>
  </conditionalFormatting>
  <conditionalFormatting sqref="AI23">
    <cfRule type="cellIs" dxfId="2159" priority="159" operator="equal">
      <formula>1</formula>
    </cfRule>
    <cfRule type="cellIs" dxfId="2158" priority="160" operator="equal">
      <formula>"×"</formula>
    </cfRule>
  </conditionalFormatting>
  <conditionalFormatting sqref="AH23:AI23">
    <cfRule type="cellIs" dxfId="2157" priority="157" operator="equal">
      <formula>1</formula>
    </cfRule>
    <cfRule type="cellIs" dxfId="2156" priority="158" operator="equal">
      <formula>"×"</formula>
    </cfRule>
  </conditionalFormatting>
  <conditionalFormatting sqref="AH23:AI23">
    <cfRule type="cellIs" dxfId="2155" priority="151" operator="equal">
      <formula>1</formula>
    </cfRule>
    <cfRule type="cellIs" dxfId="2154" priority="152" operator="equal">
      <formula>"×"</formula>
    </cfRule>
  </conditionalFormatting>
  <conditionalFormatting sqref="AF20:AG20">
    <cfRule type="cellIs" dxfId="2153" priority="127" operator="equal">
      <formula>1</formula>
    </cfRule>
    <cfRule type="cellIs" dxfId="2152" priority="128" operator="equal">
      <formula>"×"</formula>
    </cfRule>
  </conditionalFormatting>
  <conditionalFormatting sqref="AF20:AG20">
    <cfRule type="cellIs" dxfId="2151" priority="131" operator="equal">
      <formula>1</formula>
    </cfRule>
    <cfRule type="cellIs" dxfId="2150" priority="132" operator="equal">
      <formula>"×"</formula>
    </cfRule>
  </conditionalFormatting>
  <conditionalFormatting sqref="AF20:AG20">
    <cfRule type="cellIs" dxfId="2149" priority="129" operator="equal">
      <formula>1</formula>
    </cfRule>
    <cfRule type="cellIs" dxfId="2148" priority="130" operator="equal">
      <formula>"×"</formula>
    </cfRule>
  </conditionalFormatting>
  <conditionalFormatting sqref="AF20:AG20">
    <cfRule type="cellIs" dxfId="2147" priority="125" operator="equal">
      <formula>1</formula>
    </cfRule>
    <cfRule type="cellIs" dxfId="2146" priority="126" operator="equal">
      <formula>"×"</formula>
    </cfRule>
  </conditionalFormatting>
  <conditionalFormatting sqref="AF20:AG20">
    <cfRule type="cellIs" dxfId="2145" priority="149" operator="equal">
      <formula>1</formula>
    </cfRule>
    <cfRule type="cellIs" dxfId="2144" priority="150" operator="equal">
      <formula>"×"</formula>
    </cfRule>
  </conditionalFormatting>
  <conditionalFormatting sqref="AF20:AG20">
    <cfRule type="cellIs" dxfId="2143" priority="147" operator="equal">
      <formula>1</formula>
    </cfRule>
    <cfRule type="cellIs" dxfId="2142" priority="148" operator="equal">
      <formula>"×"</formula>
    </cfRule>
  </conditionalFormatting>
  <conditionalFormatting sqref="AF20:AG20">
    <cfRule type="cellIs" dxfId="2141" priority="145" operator="equal">
      <formula>1</formula>
    </cfRule>
    <cfRule type="cellIs" dxfId="2140" priority="146" operator="equal">
      <formula>"×"</formula>
    </cfRule>
  </conditionalFormatting>
  <conditionalFormatting sqref="AF20:AG20">
    <cfRule type="cellIs" dxfId="2139" priority="143" operator="equal">
      <formula>1</formula>
    </cfRule>
    <cfRule type="cellIs" dxfId="2138" priority="144" operator="equal">
      <formula>"×"</formula>
    </cfRule>
  </conditionalFormatting>
  <conditionalFormatting sqref="AF20:AG20">
    <cfRule type="cellIs" dxfId="2137" priority="141" operator="equal">
      <formula>1</formula>
    </cfRule>
    <cfRule type="cellIs" dxfId="2136" priority="142" operator="equal">
      <formula>"×"</formula>
    </cfRule>
  </conditionalFormatting>
  <conditionalFormatting sqref="AF20:AG20">
    <cfRule type="cellIs" dxfId="2135" priority="139" operator="equal">
      <formula>1</formula>
    </cfRule>
    <cfRule type="cellIs" dxfId="2134" priority="140" operator="equal">
      <formula>"×"</formula>
    </cfRule>
  </conditionalFormatting>
  <conditionalFormatting sqref="AF20:AG20">
    <cfRule type="cellIs" dxfId="2133" priority="137" operator="equal">
      <formula>1</formula>
    </cfRule>
    <cfRule type="cellIs" dxfId="2132" priority="138" operator="equal">
      <formula>"×"</formula>
    </cfRule>
  </conditionalFormatting>
  <conditionalFormatting sqref="AF20:AG20">
    <cfRule type="cellIs" dxfId="2131" priority="135" operator="equal">
      <formula>1</formula>
    </cfRule>
    <cfRule type="cellIs" dxfId="2130" priority="136" operator="equal">
      <formula>"×"</formula>
    </cfRule>
  </conditionalFormatting>
  <conditionalFormatting sqref="AF20:AG20">
    <cfRule type="cellIs" dxfId="2129" priority="133" operator="equal">
      <formula>1</formula>
    </cfRule>
    <cfRule type="cellIs" dxfId="2128" priority="134" operator="equal">
      <formula>"×"</formula>
    </cfRule>
  </conditionalFormatting>
  <conditionalFormatting sqref="AE20:AE21">
    <cfRule type="cellIs" dxfId="2127" priority="3359" operator="equal">
      <formula>1</formula>
    </cfRule>
    <cfRule type="cellIs" dxfId="2126" priority="3360" operator="equal">
      <formula>"×"</formula>
    </cfRule>
  </conditionalFormatting>
  <conditionalFormatting sqref="AE20:AE21">
    <cfRule type="cellIs" dxfId="2125" priority="3357" operator="equal">
      <formula>1</formula>
    </cfRule>
    <cfRule type="cellIs" dxfId="2124" priority="3358" operator="equal">
      <formula>"×"</formula>
    </cfRule>
  </conditionalFormatting>
  <conditionalFormatting sqref="AE20:AE21">
    <cfRule type="cellIs" dxfId="2123" priority="3353" operator="equal">
      <formula>1</formula>
    </cfRule>
    <cfRule type="cellIs" dxfId="2122" priority="3354" operator="equal">
      <formula>"×"</formula>
    </cfRule>
  </conditionalFormatting>
  <conditionalFormatting sqref="AE20:AE21">
    <cfRule type="cellIs" dxfId="2121" priority="3355" operator="equal">
      <formula>1</formula>
    </cfRule>
    <cfRule type="cellIs" dxfId="2120" priority="3356" operator="equal">
      <formula>"×"</formula>
    </cfRule>
  </conditionalFormatting>
  <conditionalFormatting sqref="AE20:AE21">
    <cfRule type="cellIs" dxfId="2119" priority="3351" operator="equal">
      <formula>1</formula>
    </cfRule>
    <cfRule type="cellIs" dxfId="2118" priority="3352" operator="equal">
      <formula>"×"</formula>
    </cfRule>
  </conditionalFormatting>
  <conditionalFormatting sqref="AE20:AE21">
    <cfRule type="cellIs" dxfId="2117" priority="3349" operator="equal">
      <formula>1</formula>
    </cfRule>
    <cfRule type="cellIs" dxfId="2116" priority="3350" operator="equal">
      <formula>"×"</formula>
    </cfRule>
  </conditionalFormatting>
  <conditionalFormatting sqref="AE20:AE21">
    <cfRule type="cellIs" dxfId="2115" priority="3347" operator="equal">
      <formula>1</formula>
    </cfRule>
    <cfRule type="cellIs" dxfId="2114" priority="3348" operator="equal">
      <formula>"×"</formula>
    </cfRule>
  </conditionalFormatting>
  <conditionalFormatting sqref="AE20:AE21">
    <cfRule type="cellIs" dxfId="2113" priority="3345" operator="equal">
      <formula>1</formula>
    </cfRule>
    <cfRule type="cellIs" dxfId="2112" priority="3346" operator="equal">
      <formula>"×"</formula>
    </cfRule>
  </conditionalFormatting>
  <conditionalFormatting sqref="AE20:AE21">
    <cfRule type="cellIs" dxfId="2111" priority="3343" operator="equal">
      <formula>1</formula>
    </cfRule>
    <cfRule type="cellIs" dxfId="2110" priority="3344" operator="equal">
      <formula>"×"</formula>
    </cfRule>
  </conditionalFormatting>
  <conditionalFormatting sqref="AE20:AE21">
    <cfRule type="cellIs" dxfId="2109" priority="3341" operator="equal">
      <formula>1</formula>
    </cfRule>
    <cfRule type="cellIs" dxfId="2108" priority="3342" operator="equal">
      <formula>"×"</formula>
    </cfRule>
  </conditionalFormatting>
  <conditionalFormatting sqref="AE20:AE21">
    <cfRule type="cellIs" dxfId="2107" priority="3339" operator="equal">
      <formula>1</formula>
    </cfRule>
    <cfRule type="cellIs" dxfId="2106" priority="3340" operator="equal">
      <formula>"×"</formula>
    </cfRule>
  </conditionalFormatting>
  <conditionalFormatting sqref="AE20:AE21">
    <cfRule type="cellIs" dxfId="2105" priority="3337" operator="equal">
      <formula>1</formula>
    </cfRule>
    <cfRule type="cellIs" dxfId="2104" priority="3338" operator="equal">
      <formula>"×"</formula>
    </cfRule>
  </conditionalFormatting>
  <conditionalFormatting sqref="AE20:AE21">
    <cfRule type="cellIs" dxfId="2103" priority="3335" operator="equal">
      <formula>1</formula>
    </cfRule>
    <cfRule type="cellIs" dxfId="2102" priority="3336" operator="equal">
      <formula>"×"</formula>
    </cfRule>
  </conditionalFormatting>
  <conditionalFormatting sqref="AE20:AE21">
    <cfRule type="cellIs" dxfId="2101" priority="3333" operator="equal">
      <formula>1</formula>
    </cfRule>
    <cfRule type="cellIs" dxfId="2100" priority="3334" operator="equal">
      <formula>"×"</formula>
    </cfRule>
  </conditionalFormatting>
  <conditionalFormatting sqref="AE20:AE21">
    <cfRule type="cellIs" dxfId="2099" priority="3331" operator="equal">
      <formula>1</formula>
    </cfRule>
    <cfRule type="cellIs" dxfId="2098" priority="3332" operator="equal">
      <formula>"×"</formula>
    </cfRule>
  </conditionalFormatting>
  <conditionalFormatting sqref="AE20:AE21">
    <cfRule type="cellIs" dxfId="2097" priority="3329" operator="equal">
      <formula>1</formula>
    </cfRule>
    <cfRule type="cellIs" dxfId="2096" priority="3330" operator="equal">
      <formula>"×"</formula>
    </cfRule>
  </conditionalFormatting>
  <conditionalFormatting sqref="AE20:AE21">
    <cfRule type="cellIs" dxfId="2095" priority="3327" operator="equal">
      <formula>1</formula>
    </cfRule>
    <cfRule type="cellIs" dxfId="2094" priority="3328" operator="equal">
      <formula>"×"</formula>
    </cfRule>
  </conditionalFormatting>
  <conditionalFormatting sqref="AE20:AE21">
    <cfRule type="cellIs" dxfId="2093" priority="3325" operator="equal">
      <formula>1</formula>
    </cfRule>
    <cfRule type="cellIs" dxfId="2092" priority="3326" operator="equal">
      <formula>"×"</formula>
    </cfRule>
  </conditionalFormatting>
  <conditionalFormatting sqref="AE20:AE21">
    <cfRule type="cellIs" dxfId="2091" priority="3323" operator="equal">
      <formula>1</formula>
    </cfRule>
    <cfRule type="cellIs" dxfId="2090" priority="3324" operator="equal">
      <formula>"×"</formula>
    </cfRule>
  </conditionalFormatting>
  <conditionalFormatting sqref="AE20:AE21">
    <cfRule type="cellIs" dxfId="2089" priority="3321" operator="equal">
      <formula>1</formula>
    </cfRule>
    <cfRule type="cellIs" dxfId="2088" priority="3322" operator="equal">
      <formula>"×"</formula>
    </cfRule>
  </conditionalFormatting>
  <conditionalFormatting sqref="AE20:AE21">
    <cfRule type="cellIs" dxfId="2087" priority="3319" operator="equal">
      <formula>1</formula>
    </cfRule>
    <cfRule type="cellIs" dxfId="2086" priority="3320" operator="equal">
      <formula>"×"</formula>
    </cfRule>
  </conditionalFormatting>
  <conditionalFormatting sqref="AE20:AE21">
    <cfRule type="cellIs" dxfId="2085" priority="3317" operator="equal">
      <formula>1</formula>
    </cfRule>
    <cfRule type="cellIs" dxfId="2084" priority="3318" operator="equal">
      <formula>"×"</formula>
    </cfRule>
  </conditionalFormatting>
  <conditionalFormatting sqref="AE20:AE21">
    <cfRule type="cellIs" dxfId="2083" priority="3313" operator="equal">
      <formula>1</formula>
    </cfRule>
    <cfRule type="cellIs" dxfId="2082" priority="3314" operator="equal">
      <formula>"×"</formula>
    </cfRule>
  </conditionalFormatting>
  <conditionalFormatting sqref="AE20:AE21">
    <cfRule type="cellIs" dxfId="2081" priority="3315" operator="equal">
      <formula>1</formula>
    </cfRule>
    <cfRule type="cellIs" dxfId="2080" priority="3316" operator="equal">
      <formula>"×"</formula>
    </cfRule>
  </conditionalFormatting>
  <conditionalFormatting sqref="AE20:AE21">
    <cfRule type="cellIs" dxfId="2079" priority="3311" operator="equal">
      <formula>1</formula>
    </cfRule>
    <cfRule type="cellIs" dxfId="2078" priority="3312" operator="equal">
      <formula>"×"</formula>
    </cfRule>
  </conditionalFormatting>
  <conditionalFormatting sqref="AE20:AE21">
    <cfRule type="cellIs" dxfId="2077" priority="3309" operator="equal">
      <formula>1</formula>
    </cfRule>
    <cfRule type="cellIs" dxfId="2076" priority="3310" operator="equal">
      <formula>"×"</formula>
    </cfRule>
  </conditionalFormatting>
  <conditionalFormatting sqref="AB20:AI25">
    <cfRule type="cellIs" dxfId="2075" priority="3285" operator="equal">
      <formula>1</formula>
    </cfRule>
    <cfRule type="cellIs" dxfId="2074" priority="3286" operator="equal">
      <formula>"×"</formula>
    </cfRule>
  </conditionalFormatting>
  <conditionalFormatting sqref="AB20:AI25">
    <cfRule type="cellIs" dxfId="2073" priority="3283" operator="equal">
      <formula>1</formula>
    </cfRule>
    <cfRule type="cellIs" dxfId="2072" priority="3284" operator="equal">
      <formula>"×"</formula>
    </cfRule>
  </conditionalFormatting>
  <conditionalFormatting sqref="AB20:AI25">
    <cfRule type="cellIs" dxfId="2071" priority="3279" operator="equal">
      <formula>1</formula>
    </cfRule>
    <cfRule type="cellIs" dxfId="2070" priority="3280" operator="equal">
      <formula>"×"</formula>
    </cfRule>
  </conditionalFormatting>
  <conditionalFormatting sqref="AB20:AI25">
    <cfRule type="cellIs" dxfId="2069" priority="3281" operator="equal">
      <formula>1</formula>
    </cfRule>
    <cfRule type="cellIs" dxfId="2068" priority="3282" operator="equal">
      <formula>"×"</formula>
    </cfRule>
  </conditionalFormatting>
  <conditionalFormatting sqref="AB20:AI25">
    <cfRule type="cellIs" dxfId="2067" priority="3307" operator="equal">
      <formula>1</formula>
    </cfRule>
    <cfRule type="cellIs" dxfId="2066" priority="3308" operator="equal">
      <formula>"×"</formula>
    </cfRule>
  </conditionalFormatting>
  <conditionalFormatting sqref="AB20:AI25">
    <cfRule type="cellIs" dxfId="2065" priority="3305" operator="equal">
      <formula>1</formula>
    </cfRule>
    <cfRule type="cellIs" dxfId="2064" priority="3306" operator="equal">
      <formula>"×"</formula>
    </cfRule>
  </conditionalFormatting>
  <conditionalFormatting sqref="AB20:AI25">
    <cfRule type="cellIs" dxfId="2063" priority="3303" operator="equal">
      <formula>1</formula>
    </cfRule>
    <cfRule type="cellIs" dxfId="2062" priority="3304" operator="equal">
      <formula>"×"</formula>
    </cfRule>
  </conditionalFormatting>
  <conditionalFormatting sqref="AB20:AI25">
    <cfRule type="cellIs" dxfId="2061" priority="3301" operator="equal">
      <formula>1</formula>
    </cfRule>
    <cfRule type="cellIs" dxfId="2060" priority="3302" operator="equal">
      <formula>"×"</formula>
    </cfRule>
  </conditionalFormatting>
  <conditionalFormatting sqref="AB20:AI25">
    <cfRule type="cellIs" dxfId="2059" priority="3299" operator="equal">
      <formula>1</formula>
    </cfRule>
    <cfRule type="cellIs" dxfId="2058" priority="3300" operator="equal">
      <formula>"×"</formula>
    </cfRule>
  </conditionalFormatting>
  <conditionalFormatting sqref="AB20:AI25">
    <cfRule type="cellIs" dxfId="2057" priority="3297" operator="equal">
      <formula>1</formula>
    </cfRule>
    <cfRule type="cellIs" dxfId="2056" priority="3298" operator="equal">
      <formula>"×"</formula>
    </cfRule>
  </conditionalFormatting>
  <conditionalFormatting sqref="AB20:AI25">
    <cfRule type="cellIs" dxfId="2055" priority="3295" operator="equal">
      <formula>1</formula>
    </cfRule>
    <cfRule type="cellIs" dxfId="2054" priority="3296" operator="equal">
      <formula>"×"</formula>
    </cfRule>
  </conditionalFormatting>
  <conditionalFormatting sqref="AB20:AI25">
    <cfRule type="cellIs" dxfId="2053" priority="3293" operator="equal">
      <formula>1</formula>
    </cfRule>
    <cfRule type="cellIs" dxfId="2052" priority="3294" operator="equal">
      <formula>"×"</formula>
    </cfRule>
  </conditionalFormatting>
  <conditionalFormatting sqref="AB20:AI25">
    <cfRule type="cellIs" dxfId="2051" priority="3291" operator="equal">
      <formula>1</formula>
    </cfRule>
    <cfRule type="cellIs" dxfId="2050" priority="3292" operator="equal">
      <formula>"×"</formula>
    </cfRule>
  </conditionalFormatting>
  <conditionalFormatting sqref="AB20:AI25">
    <cfRule type="cellIs" dxfId="2049" priority="3289" operator="equal">
      <formula>1</formula>
    </cfRule>
    <cfRule type="cellIs" dxfId="2048" priority="3290" operator="equal">
      <formula>"×"</formula>
    </cfRule>
  </conditionalFormatting>
  <conditionalFormatting sqref="AB20:AI25">
    <cfRule type="cellIs" dxfId="2047" priority="3287" operator="equal">
      <formula>1</formula>
    </cfRule>
    <cfRule type="cellIs" dxfId="2046" priority="3288" operator="equal">
      <formula>"×"</formula>
    </cfRule>
  </conditionalFormatting>
  <conditionalFormatting sqref="AB20:AI25">
    <cfRule type="cellIs" dxfId="2045" priority="3277" operator="equal">
      <formula>1</formula>
    </cfRule>
    <cfRule type="cellIs" dxfId="2044" priority="3278" operator="equal">
      <formula>"×"</formula>
    </cfRule>
  </conditionalFormatting>
  <conditionalFormatting sqref="AB20:AI25">
    <cfRule type="cellIs" dxfId="2043" priority="3275" operator="equal">
      <formula>1</formula>
    </cfRule>
    <cfRule type="cellIs" dxfId="2042" priority="3276" operator="equal">
      <formula>"×"</formula>
    </cfRule>
  </conditionalFormatting>
  <conditionalFormatting sqref="AB20:AI25">
    <cfRule type="cellIs" dxfId="2041" priority="3271" operator="equal">
      <formula>1</formula>
    </cfRule>
    <cfRule type="cellIs" dxfId="2040" priority="3272" operator="equal">
      <formula>"×"</formula>
    </cfRule>
  </conditionalFormatting>
  <conditionalFormatting sqref="AB20:AI25">
    <cfRule type="cellIs" dxfId="2039" priority="3273" operator="equal">
      <formula>1</formula>
    </cfRule>
    <cfRule type="cellIs" dxfId="2038" priority="3274" operator="equal">
      <formula>"×"</formula>
    </cfRule>
  </conditionalFormatting>
  <conditionalFormatting sqref="AB20:AI25">
    <cfRule type="cellIs" dxfId="2037" priority="3269" operator="equal">
      <formula>1</formula>
    </cfRule>
    <cfRule type="cellIs" dxfId="2036" priority="3270" operator="equal">
      <formula>"×"</formula>
    </cfRule>
  </conditionalFormatting>
  <conditionalFormatting sqref="AB20:AI25">
    <cfRule type="cellIs" dxfId="2035" priority="3267" operator="equal">
      <formula>1</formula>
    </cfRule>
    <cfRule type="cellIs" dxfId="2034" priority="3268" operator="equal">
      <formula>"×"</formula>
    </cfRule>
  </conditionalFormatting>
  <conditionalFormatting sqref="AB20:AI25">
    <cfRule type="cellIs" dxfId="2033" priority="3265" operator="equal">
      <formula>1</formula>
    </cfRule>
    <cfRule type="cellIs" dxfId="2032" priority="3266" operator="equal">
      <formula>"×"</formula>
    </cfRule>
  </conditionalFormatting>
  <conditionalFormatting sqref="AB20:AI25">
    <cfRule type="cellIs" dxfId="2031" priority="3263" operator="equal">
      <formula>1</formula>
    </cfRule>
    <cfRule type="cellIs" dxfId="2030" priority="3264" operator="equal">
      <formula>"×"</formula>
    </cfRule>
  </conditionalFormatting>
  <conditionalFormatting sqref="AB20:AI25">
    <cfRule type="cellIs" dxfId="2029" priority="3261" operator="equal">
      <formula>1</formula>
    </cfRule>
    <cfRule type="cellIs" dxfId="2028" priority="3262" operator="equal">
      <formula>"×"</formula>
    </cfRule>
  </conditionalFormatting>
  <conditionalFormatting sqref="AB20:AI25">
    <cfRule type="cellIs" dxfId="2027" priority="3259" operator="equal">
      <formula>1</formula>
    </cfRule>
    <cfRule type="cellIs" dxfId="2026" priority="3260" operator="equal">
      <formula>"×"</formula>
    </cfRule>
  </conditionalFormatting>
  <conditionalFormatting sqref="AB20:AI25">
    <cfRule type="cellIs" dxfId="2025" priority="3257" operator="equal">
      <formula>1</formula>
    </cfRule>
    <cfRule type="cellIs" dxfId="2024" priority="3258" operator="equal">
      <formula>"×"</formula>
    </cfRule>
  </conditionalFormatting>
  <conditionalFormatting sqref="AB20:AI25">
    <cfRule type="cellIs" dxfId="2023" priority="3255" operator="equal">
      <formula>1</formula>
    </cfRule>
    <cfRule type="cellIs" dxfId="2022" priority="3256" operator="equal">
      <formula>"×"</formula>
    </cfRule>
  </conditionalFormatting>
  <conditionalFormatting sqref="AB20:AI25">
    <cfRule type="cellIs" dxfId="2021" priority="3253" operator="equal">
      <formula>1</formula>
    </cfRule>
    <cfRule type="cellIs" dxfId="2020" priority="3254" operator="equal">
      <formula>"×"</formula>
    </cfRule>
  </conditionalFormatting>
  <conditionalFormatting sqref="AB20:AI25">
    <cfRule type="cellIs" dxfId="2019" priority="3251" operator="equal">
      <formula>1</formula>
    </cfRule>
    <cfRule type="cellIs" dxfId="2018" priority="3252" operator="equal">
      <formula>"×"</formula>
    </cfRule>
  </conditionalFormatting>
  <conditionalFormatting sqref="AB20:AI25">
    <cfRule type="cellIs" dxfId="2017" priority="3249" operator="equal">
      <formula>1</formula>
    </cfRule>
    <cfRule type="cellIs" dxfId="2016" priority="3250" operator="equal">
      <formula>"×"</formula>
    </cfRule>
  </conditionalFormatting>
  <conditionalFormatting sqref="AB20:AI25">
    <cfRule type="cellIs" dxfId="2015" priority="3243" operator="equal">
      <formula>1</formula>
    </cfRule>
    <cfRule type="cellIs" dxfId="2014" priority="3244" operator="equal">
      <formula>"×"</formula>
    </cfRule>
  </conditionalFormatting>
  <conditionalFormatting sqref="AB20:AI25">
    <cfRule type="cellIs" dxfId="2013" priority="3241" operator="equal">
      <formula>1</formula>
    </cfRule>
    <cfRule type="cellIs" dxfId="2012" priority="3242" operator="equal">
      <formula>"×"</formula>
    </cfRule>
  </conditionalFormatting>
  <conditionalFormatting sqref="AB20:AI25">
    <cfRule type="cellIs" dxfId="2011" priority="3239" operator="equal">
      <formula>1</formula>
    </cfRule>
    <cfRule type="cellIs" dxfId="2010" priority="3240" operator="equal">
      <formula>"×"</formula>
    </cfRule>
  </conditionalFormatting>
  <conditionalFormatting sqref="AB20:AI25">
    <cfRule type="cellIs" dxfId="2009" priority="3237" operator="equal">
      <formula>1</formula>
    </cfRule>
    <cfRule type="cellIs" dxfId="2008" priority="3238" operator="equal">
      <formula>"×"</formula>
    </cfRule>
  </conditionalFormatting>
  <conditionalFormatting sqref="AB20:AI25">
    <cfRule type="cellIs" dxfId="2007" priority="3235" operator="equal">
      <formula>1</formula>
    </cfRule>
    <cfRule type="cellIs" dxfId="2006" priority="3236" operator="equal">
      <formula>"×"</formula>
    </cfRule>
  </conditionalFormatting>
  <conditionalFormatting sqref="AB20:AI25">
    <cfRule type="cellIs" dxfId="2005" priority="3229" operator="equal">
      <formula>1</formula>
    </cfRule>
    <cfRule type="cellIs" dxfId="2004" priority="3230" operator="equal">
      <formula>"×"</formula>
    </cfRule>
  </conditionalFormatting>
  <conditionalFormatting sqref="AB20:AI25">
    <cfRule type="cellIs" dxfId="2003" priority="3227" operator="equal">
      <formula>1</formula>
    </cfRule>
    <cfRule type="cellIs" dxfId="2002" priority="3228" operator="equal">
      <formula>"×"</formula>
    </cfRule>
  </conditionalFormatting>
  <conditionalFormatting sqref="AG20:AH21">
    <cfRule type="cellIs" dxfId="2001" priority="3225" operator="equal">
      <formula>1</formula>
    </cfRule>
    <cfRule type="cellIs" dxfId="2000" priority="3226" operator="equal">
      <formula>"×"</formula>
    </cfRule>
  </conditionalFormatting>
  <conditionalFormatting sqref="AF20:AI21">
    <cfRule type="cellIs" dxfId="1999" priority="3223" operator="equal">
      <formula>1</formula>
    </cfRule>
    <cfRule type="cellIs" dxfId="1998" priority="3224" operator="equal">
      <formula>"×"</formula>
    </cfRule>
  </conditionalFormatting>
  <conditionalFormatting sqref="AG20:AI21">
    <cfRule type="cellIs" dxfId="1997" priority="3221" operator="equal">
      <formula>1</formula>
    </cfRule>
    <cfRule type="cellIs" dxfId="1996" priority="3222" operator="equal">
      <formula>"×"</formula>
    </cfRule>
  </conditionalFormatting>
  <conditionalFormatting sqref="AI20:AI21">
    <cfRule type="cellIs" dxfId="1995" priority="3219" operator="equal">
      <formula>1</formula>
    </cfRule>
    <cfRule type="cellIs" dxfId="1994" priority="3220" operator="equal">
      <formula>"×"</formula>
    </cfRule>
  </conditionalFormatting>
  <conditionalFormatting sqref="AG20:AI21">
    <cfRule type="cellIs" dxfId="1993" priority="3217" operator="equal">
      <formula>1</formula>
    </cfRule>
    <cfRule type="cellIs" dxfId="1992" priority="3218" operator="equal">
      <formula>"×"</formula>
    </cfRule>
  </conditionalFormatting>
  <conditionalFormatting sqref="AF20">
    <cfRule type="cellIs" dxfId="1991" priority="3215" operator="equal">
      <formula>1</formula>
    </cfRule>
    <cfRule type="cellIs" dxfId="1990" priority="3216" operator="equal">
      <formula>"×"</formula>
    </cfRule>
  </conditionalFormatting>
  <conditionalFormatting sqref="AF20:AF21">
    <cfRule type="cellIs" dxfId="1989" priority="3213" operator="equal">
      <formula>1</formula>
    </cfRule>
    <cfRule type="cellIs" dxfId="1988" priority="3214" operator="equal">
      <formula>"×"</formula>
    </cfRule>
  </conditionalFormatting>
  <conditionalFormatting sqref="AF20:AF21">
    <cfRule type="cellIs" dxfId="1987" priority="3211" operator="equal">
      <formula>1</formula>
    </cfRule>
    <cfRule type="cellIs" dxfId="1986" priority="3212" operator="equal">
      <formula>"×"</formula>
    </cfRule>
  </conditionalFormatting>
  <conditionalFormatting sqref="AF20:AF21">
    <cfRule type="cellIs" dxfId="1985" priority="3209" operator="equal">
      <formula>1</formula>
    </cfRule>
    <cfRule type="cellIs" dxfId="1984" priority="3210" operator="equal">
      <formula>"×"</formula>
    </cfRule>
  </conditionalFormatting>
  <conditionalFormatting sqref="AF20:AF21">
    <cfRule type="cellIs" dxfId="1983" priority="3207" operator="equal">
      <formula>1</formula>
    </cfRule>
    <cfRule type="cellIs" dxfId="1982" priority="3208" operator="equal">
      <formula>"×"</formula>
    </cfRule>
  </conditionalFormatting>
  <conditionalFormatting sqref="AF20:AF21">
    <cfRule type="cellIs" dxfId="1981" priority="3205" operator="equal">
      <formula>1</formula>
    </cfRule>
    <cfRule type="cellIs" dxfId="1980" priority="3206" operator="equal">
      <formula>"×"</formula>
    </cfRule>
  </conditionalFormatting>
  <conditionalFormatting sqref="AF20:AF21">
    <cfRule type="cellIs" dxfId="1979" priority="3203" operator="equal">
      <formula>1</formula>
    </cfRule>
    <cfRule type="cellIs" dxfId="1978" priority="3204" operator="equal">
      <formula>"×"</formula>
    </cfRule>
  </conditionalFormatting>
  <conditionalFormatting sqref="AG20:AI21">
    <cfRule type="cellIs" dxfId="1977" priority="3201" operator="equal">
      <formula>1</formula>
    </cfRule>
    <cfRule type="cellIs" dxfId="1976" priority="3202" operator="equal">
      <formula>"×"</formula>
    </cfRule>
  </conditionalFormatting>
  <conditionalFormatting sqref="AI20:AI21">
    <cfRule type="cellIs" dxfId="1975" priority="3199" operator="equal">
      <formula>1</formula>
    </cfRule>
    <cfRule type="cellIs" dxfId="1974" priority="3200" operator="equal">
      <formula>"×"</formula>
    </cfRule>
  </conditionalFormatting>
  <conditionalFormatting sqref="AG20:AI21">
    <cfRule type="cellIs" dxfId="1973" priority="3197" operator="equal">
      <formula>1</formula>
    </cfRule>
    <cfRule type="cellIs" dxfId="1972" priority="3198" operator="equal">
      <formula>"×"</formula>
    </cfRule>
  </conditionalFormatting>
  <conditionalFormatting sqref="AG20:AI21">
    <cfRule type="cellIs" dxfId="1971" priority="3195" operator="equal">
      <formula>1</formula>
    </cfRule>
    <cfRule type="cellIs" dxfId="1970" priority="3196" operator="equal">
      <formula>"×"</formula>
    </cfRule>
  </conditionalFormatting>
  <conditionalFormatting sqref="AI20:AI21">
    <cfRule type="cellIs" dxfId="1969" priority="3193" operator="equal">
      <formula>1</formula>
    </cfRule>
    <cfRule type="cellIs" dxfId="1968" priority="3194" operator="equal">
      <formula>"×"</formula>
    </cfRule>
  </conditionalFormatting>
  <conditionalFormatting sqref="AG20:AI21">
    <cfRule type="cellIs" dxfId="1967" priority="3191" operator="equal">
      <formula>1</formula>
    </cfRule>
    <cfRule type="cellIs" dxfId="1966" priority="3192" operator="equal">
      <formula>"×"</formula>
    </cfRule>
  </conditionalFormatting>
  <conditionalFormatting sqref="AF20:AF21">
    <cfRule type="cellIs" dxfId="1965" priority="3189" operator="equal">
      <formula>1</formula>
    </cfRule>
    <cfRule type="cellIs" dxfId="1964" priority="3190" operator="equal">
      <formula>"×"</formula>
    </cfRule>
  </conditionalFormatting>
  <conditionalFormatting sqref="AF20:AF21">
    <cfRule type="cellIs" dxfId="1963" priority="3187" operator="equal">
      <formula>1</formula>
    </cfRule>
    <cfRule type="cellIs" dxfId="1962" priority="3188" operator="equal">
      <formula>"×"</formula>
    </cfRule>
  </conditionalFormatting>
  <conditionalFormatting sqref="AF20:AF21">
    <cfRule type="cellIs" dxfId="1961" priority="3185" operator="equal">
      <formula>1</formula>
    </cfRule>
    <cfRule type="cellIs" dxfId="1960" priority="3186" operator="equal">
      <formula>"×"</formula>
    </cfRule>
  </conditionalFormatting>
  <conditionalFormatting sqref="AF20:AF21">
    <cfRule type="cellIs" dxfId="1959" priority="3183" operator="equal">
      <formula>1</formula>
    </cfRule>
    <cfRule type="cellIs" dxfId="1958" priority="3184" operator="equal">
      <formula>"×"</formula>
    </cfRule>
  </conditionalFormatting>
  <conditionalFormatting sqref="AF20:AF21">
    <cfRule type="cellIs" dxfId="1957" priority="3181" operator="equal">
      <formula>1</formula>
    </cfRule>
    <cfRule type="cellIs" dxfId="1956" priority="3182" operator="equal">
      <formula>"×"</formula>
    </cfRule>
  </conditionalFormatting>
  <conditionalFormatting sqref="AH24:AI24">
    <cfRule type="cellIs" dxfId="1955" priority="3067" operator="equal">
      <formula>1</formula>
    </cfRule>
    <cfRule type="cellIs" dxfId="1954" priority="3068" operator="equal">
      <formula>"×"</formula>
    </cfRule>
  </conditionalFormatting>
  <conditionalFormatting sqref="AI24">
    <cfRule type="cellIs" dxfId="1953" priority="3065" operator="equal">
      <formula>1</formula>
    </cfRule>
    <cfRule type="cellIs" dxfId="1952" priority="3066" operator="equal">
      <formula>"×"</formula>
    </cfRule>
  </conditionalFormatting>
  <conditionalFormatting sqref="AH24:AI24">
    <cfRule type="cellIs" dxfId="1951" priority="3063" operator="equal">
      <formula>1</formula>
    </cfRule>
    <cfRule type="cellIs" dxfId="1950" priority="3064" operator="equal">
      <formula>"×"</formula>
    </cfRule>
  </conditionalFormatting>
  <conditionalFormatting sqref="AH24:AI24">
    <cfRule type="cellIs" dxfId="1949" priority="3061" operator="equal">
      <formula>1</formula>
    </cfRule>
    <cfRule type="cellIs" dxfId="1948" priority="3062" operator="equal">
      <formula>"×"</formula>
    </cfRule>
  </conditionalFormatting>
  <conditionalFormatting sqref="AI24">
    <cfRule type="cellIs" dxfId="1947" priority="3059" operator="equal">
      <formula>1</formula>
    </cfRule>
    <cfRule type="cellIs" dxfId="1946" priority="3060" operator="equal">
      <formula>"×"</formula>
    </cfRule>
  </conditionalFormatting>
  <conditionalFormatting sqref="AH24:AI24">
    <cfRule type="cellIs" dxfId="1945" priority="3057" operator="equal">
      <formula>1</formula>
    </cfRule>
    <cfRule type="cellIs" dxfId="1944" priority="3058" operator="equal">
      <formula>"×"</formula>
    </cfRule>
  </conditionalFormatting>
  <conditionalFormatting sqref="AF20:AI25">
    <cfRule type="cellIs" dxfId="1943" priority="3055" operator="equal">
      <formula>1</formula>
    </cfRule>
    <cfRule type="cellIs" dxfId="1942" priority="3056" operator="equal">
      <formula>"×"</formula>
    </cfRule>
  </conditionalFormatting>
  <conditionalFormatting sqref="AF21:AG21">
    <cfRule type="cellIs" dxfId="1941" priority="3029" operator="equal">
      <formula>1</formula>
    </cfRule>
    <cfRule type="cellIs" dxfId="1940" priority="3030" operator="equal">
      <formula>"×"</formula>
    </cfRule>
  </conditionalFormatting>
  <conditionalFormatting sqref="AF21:AG21">
    <cfRule type="cellIs" dxfId="1939" priority="3027" operator="equal">
      <formula>1</formula>
    </cfRule>
    <cfRule type="cellIs" dxfId="1938" priority="3028" operator="equal">
      <formula>"×"</formula>
    </cfRule>
  </conditionalFormatting>
  <conditionalFormatting sqref="AF21:AG21">
    <cfRule type="cellIs" dxfId="1937" priority="3023" operator="equal">
      <formula>1</formula>
    </cfRule>
    <cfRule type="cellIs" dxfId="1936" priority="3024" operator="equal">
      <formula>"×"</formula>
    </cfRule>
  </conditionalFormatting>
  <conditionalFormatting sqref="AF21:AG21">
    <cfRule type="cellIs" dxfId="1935" priority="3025" operator="equal">
      <formula>1</formula>
    </cfRule>
    <cfRule type="cellIs" dxfId="1934" priority="3026" operator="equal">
      <formula>"×"</formula>
    </cfRule>
  </conditionalFormatting>
  <conditionalFormatting sqref="AF21:AG21">
    <cfRule type="cellIs" dxfId="1933" priority="3053" operator="equal">
      <formula>1</formula>
    </cfRule>
    <cfRule type="cellIs" dxfId="1932" priority="3054" operator="equal">
      <formula>"×"</formula>
    </cfRule>
  </conditionalFormatting>
  <conditionalFormatting sqref="AF21:AG21">
    <cfRule type="cellIs" dxfId="1931" priority="3051" operator="equal">
      <formula>1</formula>
    </cfRule>
    <cfRule type="cellIs" dxfId="1930" priority="3052" operator="equal">
      <formula>"×"</formula>
    </cfRule>
  </conditionalFormatting>
  <conditionalFormatting sqref="AF21:AG21">
    <cfRule type="cellIs" dxfId="1929" priority="3049" operator="equal">
      <formula>1</formula>
    </cfRule>
    <cfRule type="cellIs" dxfId="1928" priority="3050" operator="equal">
      <formula>"×"</formula>
    </cfRule>
  </conditionalFormatting>
  <conditionalFormatting sqref="AF21:AG21">
    <cfRule type="cellIs" dxfId="1927" priority="3047" operator="equal">
      <formula>1</formula>
    </cfRule>
    <cfRule type="cellIs" dxfId="1926" priority="3048" operator="equal">
      <formula>"×"</formula>
    </cfRule>
  </conditionalFormatting>
  <conditionalFormatting sqref="AF21:AG21">
    <cfRule type="cellIs" dxfId="1925" priority="3045" operator="equal">
      <formula>1</formula>
    </cfRule>
    <cfRule type="cellIs" dxfId="1924" priority="3046" operator="equal">
      <formula>"×"</formula>
    </cfRule>
  </conditionalFormatting>
  <conditionalFormatting sqref="AF21:AG21">
    <cfRule type="cellIs" dxfId="1923" priority="3043" operator="equal">
      <formula>1</formula>
    </cfRule>
    <cfRule type="cellIs" dxfId="1922" priority="3044" operator="equal">
      <formula>"×"</formula>
    </cfRule>
  </conditionalFormatting>
  <conditionalFormatting sqref="AF21:AG21">
    <cfRule type="cellIs" dxfId="1921" priority="3041" operator="equal">
      <formula>1</formula>
    </cfRule>
    <cfRule type="cellIs" dxfId="1920" priority="3042" operator="equal">
      <formula>"×"</formula>
    </cfRule>
  </conditionalFormatting>
  <conditionalFormatting sqref="AF21:AG21">
    <cfRule type="cellIs" dxfId="1919" priority="3039" operator="equal">
      <formula>1</formula>
    </cfRule>
    <cfRule type="cellIs" dxfId="1918" priority="3040" operator="equal">
      <formula>"×"</formula>
    </cfRule>
  </conditionalFormatting>
  <conditionalFormatting sqref="AF21:AG21">
    <cfRule type="cellIs" dxfId="1917" priority="3037" operator="equal">
      <formula>1</formula>
    </cfRule>
    <cfRule type="cellIs" dxfId="1916" priority="3038" operator="equal">
      <formula>"×"</formula>
    </cfRule>
  </conditionalFormatting>
  <conditionalFormatting sqref="AF21:AG21">
    <cfRule type="cellIs" dxfId="1915" priority="3035" operator="equal">
      <formula>1</formula>
    </cfRule>
    <cfRule type="cellIs" dxfId="1914" priority="3036" operator="equal">
      <formula>"×"</formula>
    </cfRule>
  </conditionalFormatting>
  <conditionalFormatting sqref="AF21:AG21">
    <cfRule type="cellIs" dxfId="1913" priority="3033" operator="equal">
      <formula>1</formula>
    </cfRule>
    <cfRule type="cellIs" dxfId="1912" priority="3034" operator="equal">
      <formula>"×"</formula>
    </cfRule>
  </conditionalFormatting>
  <conditionalFormatting sqref="AF21:AG21">
    <cfRule type="cellIs" dxfId="1911" priority="3031" operator="equal">
      <formula>1</formula>
    </cfRule>
    <cfRule type="cellIs" dxfId="1910" priority="3032" operator="equal">
      <formula>"×"</formula>
    </cfRule>
  </conditionalFormatting>
  <conditionalFormatting sqref="AH21:AI21">
    <cfRule type="cellIs" dxfId="1909" priority="2997" operator="equal">
      <formula>1</formula>
    </cfRule>
    <cfRule type="cellIs" dxfId="1908" priority="2998" operator="equal">
      <formula>"×"</formula>
    </cfRule>
  </conditionalFormatting>
  <conditionalFormatting sqref="AH21:AI21">
    <cfRule type="cellIs" dxfId="1907" priority="2995" operator="equal">
      <formula>1</formula>
    </cfRule>
    <cfRule type="cellIs" dxfId="1906" priority="2996" operator="equal">
      <formula>"×"</formula>
    </cfRule>
  </conditionalFormatting>
  <conditionalFormatting sqref="AH21:AI21">
    <cfRule type="cellIs" dxfId="1905" priority="2991" operator="equal">
      <formula>1</formula>
    </cfRule>
    <cfRule type="cellIs" dxfId="1904" priority="2992" operator="equal">
      <formula>"×"</formula>
    </cfRule>
  </conditionalFormatting>
  <conditionalFormatting sqref="AH21:AI21">
    <cfRule type="cellIs" dxfId="1903" priority="2993" operator="equal">
      <formula>1</formula>
    </cfRule>
    <cfRule type="cellIs" dxfId="1902" priority="2994" operator="equal">
      <formula>"×"</formula>
    </cfRule>
  </conditionalFormatting>
  <conditionalFormatting sqref="AH21:AI21">
    <cfRule type="cellIs" dxfId="1901" priority="3021" operator="equal">
      <formula>1</formula>
    </cfRule>
    <cfRule type="cellIs" dxfId="1900" priority="3022" operator="equal">
      <formula>"×"</formula>
    </cfRule>
  </conditionalFormatting>
  <conditionalFormatting sqref="AH21:AI21">
    <cfRule type="cellIs" dxfId="1899" priority="3019" operator="equal">
      <formula>1</formula>
    </cfRule>
    <cfRule type="cellIs" dxfId="1898" priority="3020" operator="equal">
      <formula>"×"</formula>
    </cfRule>
  </conditionalFormatting>
  <conditionalFormatting sqref="AH21:AI21">
    <cfRule type="cellIs" dxfId="1897" priority="3017" operator="equal">
      <formula>1</formula>
    </cfRule>
    <cfRule type="cellIs" dxfId="1896" priority="3018" operator="equal">
      <formula>"×"</formula>
    </cfRule>
  </conditionalFormatting>
  <conditionalFormatting sqref="AH21:AI21">
    <cfRule type="cellIs" dxfId="1895" priority="3015" operator="equal">
      <formula>1</formula>
    </cfRule>
    <cfRule type="cellIs" dxfId="1894" priority="3016" operator="equal">
      <formula>"×"</formula>
    </cfRule>
  </conditionalFormatting>
  <conditionalFormatting sqref="AH21:AI21">
    <cfRule type="cellIs" dxfId="1893" priority="3013" operator="equal">
      <formula>1</formula>
    </cfRule>
    <cfRule type="cellIs" dxfId="1892" priority="3014" operator="equal">
      <formula>"×"</formula>
    </cfRule>
  </conditionalFormatting>
  <conditionalFormatting sqref="AH21:AI21">
    <cfRule type="cellIs" dxfId="1891" priority="3011" operator="equal">
      <formula>1</formula>
    </cfRule>
    <cfRule type="cellIs" dxfId="1890" priority="3012" operator="equal">
      <formula>"×"</formula>
    </cfRule>
  </conditionalFormatting>
  <conditionalFormatting sqref="AH21:AI21">
    <cfRule type="cellIs" dxfId="1889" priority="3009" operator="equal">
      <formula>1</formula>
    </cfRule>
    <cfRule type="cellIs" dxfId="1888" priority="3010" operator="equal">
      <formula>"×"</formula>
    </cfRule>
  </conditionalFormatting>
  <conditionalFormatting sqref="AH21:AI21">
    <cfRule type="cellIs" dxfId="1887" priority="3007" operator="equal">
      <formula>1</formula>
    </cfRule>
    <cfRule type="cellIs" dxfId="1886" priority="3008" operator="equal">
      <formula>"×"</formula>
    </cfRule>
  </conditionalFormatting>
  <conditionalFormatting sqref="AH21:AI21">
    <cfRule type="cellIs" dxfId="1885" priority="3005" operator="equal">
      <formula>1</formula>
    </cfRule>
    <cfRule type="cellIs" dxfId="1884" priority="3006" operator="equal">
      <formula>"×"</formula>
    </cfRule>
  </conditionalFormatting>
  <conditionalFormatting sqref="AH21:AI21">
    <cfRule type="cellIs" dxfId="1883" priority="3003" operator="equal">
      <formula>1</formula>
    </cfRule>
    <cfRule type="cellIs" dxfId="1882" priority="3004" operator="equal">
      <formula>"×"</formula>
    </cfRule>
  </conditionalFormatting>
  <conditionalFormatting sqref="AH21:AI21">
    <cfRule type="cellIs" dxfId="1881" priority="3001" operator="equal">
      <formula>1</formula>
    </cfRule>
    <cfRule type="cellIs" dxfId="1880" priority="3002" operator="equal">
      <formula>"×"</formula>
    </cfRule>
  </conditionalFormatting>
  <conditionalFormatting sqref="AH21:AI21">
    <cfRule type="cellIs" dxfId="1879" priority="2999" operator="equal">
      <formula>1</formula>
    </cfRule>
    <cfRule type="cellIs" dxfId="1878" priority="3000" operator="equal">
      <formula>"×"</formula>
    </cfRule>
  </conditionalFormatting>
  <conditionalFormatting sqref="AH22">
    <cfRule type="cellIs" dxfId="1877" priority="2989" operator="equal">
      <formula>1</formula>
    </cfRule>
    <cfRule type="cellIs" dxfId="1876" priority="2990" operator="equal">
      <formula>"×"</formula>
    </cfRule>
  </conditionalFormatting>
  <conditionalFormatting sqref="AH22">
    <cfRule type="cellIs" dxfId="1875" priority="2987" operator="equal">
      <formula>1</formula>
    </cfRule>
    <cfRule type="cellIs" dxfId="1874" priority="2988" operator="equal">
      <formula>"×"</formula>
    </cfRule>
  </conditionalFormatting>
  <conditionalFormatting sqref="AH22">
    <cfRule type="cellIs" dxfId="1873" priority="2961" operator="equal">
      <formula>1</formula>
    </cfRule>
    <cfRule type="cellIs" dxfId="1872" priority="2962" operator="equal">
      <formula>"×"</formula>
    </cfRule>
  </conditionalFormatting>
  <conditionalFormatting sqref="AH22">
    <cfRule type="cellIs" dxfId="1871" priority="2959" operator="equal">
      <formula>1</formula>
    </cfRule>
    <cfRule type="cellIs" dxfId="1870" priority="2960" operator="equal">
      <formula>"×"</formula>
    </cfRule>
  </conditionalFormatting>
  <conditionalFormatting sqref="AH22">
    <cfRule type="cellIs" dxfId="1869" priority="2955" operator="equal">
      <formula>1</formula>
    </cfRule>
    <cfRule type="cellIs" dxfId="1868" priority="2956" operator="equal">
      <formula>"×"</formula>
    </cfRule>
  </conditionalFormatting>
  <conditionalFormatting sqref="AH22">
    <cfRule type="cellIs" dxfId="1867" priority="2957" operator="equal">
      <formula>1</formula>
    </cfRule>
    <cfRule type="cellIs" dxfId="1866" priority="2958" operator="equal">
      <formula>"×"</formula>
    </cfRule>
  </conditionalFormatting>
  <conditionalFormatting sqref="AH22">
    <cfRule type="cellIs" dxfId="1865" priority="2985" operator="equal">
      <formula>1</formula>
    </cfRule>
    <cfRule type="cellIs" dxfId="1864" priority="2986" operator="equal">
      <formula>"×"</formula>
    </cfRule>
  </conditionalFormatting>
  <conditionalFormatting sqref="AH22">
    <cfRule type="cellIs" dxfId="1863" priority="2983" operator="equal">
      <formula>1</formula>
    </cfRule>
    <cfRule type="cellIs" dxfId="1862" priority="2984" operator="equal">
      <formula>"×"</formula>
    </cfRule>
  </conditionalFormatting>
  <conditionalFormatting sqref="AH22">
    <cfRule type="cellIs" dxfId="1861" priority="2981" operator="equal">
      <formula>1</formula>
    </cfRule>
    <cfRule type="cellIs" dxfId="1860" priority="2982" operator="equal">
      <formula>"×"</formula>
    </cfRule>
  </conditionalFormatting>
  <conditionalFormatting sqref="AH22">
    <cfRule type="cellIs" dxfId="1859" priority="2979" operator="equal">
      <formula>1</formula>
    </cfRule>
    <cfRule type="cellIs" dxfId="1858" priority="2980" operator="equal">
      <formula>"×"</formula>
    </cfRule>
  </conditionalFormatting>
  <conditionalFormatting sqref="AH22">
    <cfRule type="cellIs" dxfId="1857" priority="2977" operator="equal">
      <formula>1</formula>
    </cfRule>
    <cfRule type="cellIs" dxfId="1856" priority="2978" operator="equal">
      <formula>"×"</formula>
    </cfRule>
  </conditionalFormatting>
  <conditionalFormatting sqref="AH22">
    <cfRule type="cellIs" dxfId="1855" priority="2975" operator="equal">
      <formula>1</formula>
    </cfRule>
    <cfRule type="cellIs" dxfId="1854" priority="2976" operator="equal">
      <formula>"×"</formula>
    </cfRule>
  </conditionalFormatting>
  <conditionalFormatting sqref="AH22">
    <cfRule type="cellIs" dxfId="1853" priority="2973" operator="equal">
      <formula>1</formula>
    </cfRule>
    <cfRule type="cellIs" dxfId="1852" priority="2974" operator="equal">
      <formula>"×"</formula>
    </cfRule>
  </conditionalFormatting>
  <conditionalFormatting sqref="AH22">
    <cfRule type="cellIs" dxfId="1851" priority="2971" operator="equal">
      <formula>1</formula>
    </cfRule>
    <cfRule type="cellIs" dxfId="1850" priority="2972" operator="equal">
      <formula>"×"</formula>
    </cfRule>
  </conditionalFormatting>
  <conditionalFormatting sqref="AH22">
    <cfRule type="cellIs" dxfId="1849" priority="2969" operator="equal">
      <formula>1</formula>
    </cfRule>
    <cfRule type="cellIs" dxfId="1848" priority="2970" operator="equal">
      <formula>"×"</formula>
    </cfRule>
  </conditionalFormatting>
  <conditionalFormatting sqref="AH22">
    <cfRule type="cellIs" dxfId="1847" priority="2967" operator="equal">
      <formula>1</formula>
    </cfRule>
    <cfRule type="cellIs" dxfId="1846" priority="2968" operator="equal">
      <formula>"×"</formula>
    </cfRule>
  </conditionalFormatting>
  <conditionalFormatting sqref="AH22">
    <cfRule type="cellIs" dxfId="1845" priority="2965" operator="equal">
      <formula>1</formula>
    </cfRule>
    <cfRule type="cellIs" dxfId="1844" priority="2966" operator="equal">
      <formula>"×"</formula>
    </cfRule>
  </conditionalFormatting>
  <conditionalFormatting sqref="AH22">
    <cfRule type="cellIs" dxfId="1843" priority="2963" operator="equal">
      <formula>1</formula>
    </cfRule>
    <cfRule type="cellIs" dxfId="1842" priority="2964" operator="equal">
      <formula>"×"</formula>
    </cfRule>
  </conditionalFormatting>
  <conditionalFormatting sqref="AF20:AF25">
    <cfRule type="cellIs" dxfId="1841" priority="2945" operator="equal">
      <formula>1</formula>
    </cfRule>
    <cfRule type="cellIs" dxfId="1840" priority="2946" operator="equal">
      <formula>"×"</formula>
    </cfRule>
  </conditionalFormatting>
  <conditionalFormatting sqref="AF20:AF25">
    <cfRule type="cellIs" dxfId="1839" priority="2943" operator="equal">
      <formula>1</formula>
    </cfRule>
    <cfRule type="cellIs" dxfId="1838" priority="2944" operator="equal">
      <formula>"×"</formula>
    </cfRule>
  </conditionalFormatting>
  <conditionalFormatting sqref="AF20:AG25">
    <cfRule type="cellIs" dxfId="1837" priority="2953" operator="equal">
      <formula>1</formula>
    </cfRule>
    <cfRule type="cellIs" dxfId="1836" priority="2954" operator="equal">
      <formula>"×"</formula>
    </cfRule>
  </conditionalFormatting>
  <conditionalFormatting sqref="AF20:AG25">
    <cfRule type="cellIs" dxfId="1835" priority="2951" operator="equal">
      <formula>1</formula>
    </cfRule>
    <cfRule type="cellIs" dxfId="1834" priority="2952" operator="equal">
      <formula>"×"</formula>
    </cfRule>
  </conditionalFormatting>
  <conditionalFormatting sqref="AG20:AG25">
    <cfRule type="cellIs" dxfId="1833" priority="2949" operator="equal">
      <formula>1</formula>
    </cfRule>
    <cfRule type="cellIs" dxfId="1832" priority="2950" operator="equal">
      <formula>"×"</formula>
    </cfRule>
  </conditionalFormatting>
  <conditionalFormatting sqref="AG20:AG25">
    <cfRule type="cellIs" dxfId="1831" priority="2947" operator="equal">
      <formula>1</formula>
    </cfRule>
    <cfRule type="cellIs" dxfId="1830" priority="2948" operator="equal">
      <formula>"×"</formula>
    </cfRule>
  </conditionalFormatting>
  <conditionalFormatting sqref="AF20:AF25">
    <cfRule type="cellIs" dxfId="1829" priority="2941" operator="equal">
      <formula>1</formula>
    </cfRule>
    <cfRule type="cellIs" dxfId="1828" priority="2942" operator="equal">
      <formula>"×"</formula>
    </cfRule>
  </conditionalFormatting>
  <conditionalFormatting sqref="AF20:AF25">
    <cfRule type="cellIs" dxfId="1827" priority="2939" operator="equal">
      <formula>1</formula>
    </cfRule>
    <cfRule type="cellIs" dxfId="1826" priority="2940" operator="equal">
      <formula>"×"</formula>
    </cfRule>
  </conditionalFormatting>
  <conditionalFormatting sqref="AF20:AF25">
    <cfRule type="cellIs" dxfId="1825" priority="2937" operator="equal">
      <formula>1</formula>
    </cfRule>
    <cfRule type="cellIs" dxfId="1824" priority="2938" operator="equal">
      <formula>"×"</formula>
    </cfRule>
  </conditionalFormatting>
  <conditionalFormatting sqref="AF20:AF25">
    <cfRule type="cellIs" dxfId="1823" priority="2935" operator="equal">
      <formula>1</formula>
    </cfRule>
    <cfRule type="cellIs" dxfId="1822" priority="2936" operator="equal">
      <formula>"×"</formula>
    </cfRule>
  </conditionalFormatting>
  <conditionalFormatting sqref="AF20:AF25">
    <cfRule type="cellIs" dxfId="1821" priority="2933" operator="equal">
      <formula>1</formula>
    </cfRule>
    <cfRule type="cellIs" dxfId="1820" priority="2934" operator="equal">
      <formula>"×"</formula>
    </cfRule>
  </conditionalFormatting>
  <conditionalFormatting sqref="AF20:AF25">
    <cfRule type="cellIs" dxfId="1819" priority="2931" operator="equal">
      <formula>1</formula>
    </cfRule>
    <cfRule type="cellIs" dxfId="1818" priority="2932" operator="equal">
      <formula>"×"</formula>
    </cfRule>
  </conditionalFormatting>
  <conditionalFormatting sqref="AF20:AF25">
    <cfRule type="cellIs" dxfId="1817" priority="2929" operator="equal">
      <formula>1</formula>
    </cfRule>
    <cfRule type="cellIs" dxfId="1816" priority="2930" operator="equal">
      <formula>"×"</formula>
    </cfRule>
  </conditionalFormatting>
  <conditionalFormatting sqref="AF20:AF25">
    <cfRule type="cellIs" dxfId="1815" priority="2927" operator="equal">
      <formula>1</formula>
    </cfRule>
    <cfRule type="cellIs" dxfId="1814" priority="2928" operator="equal">
      <formula>"×"</formula>
    </cfRule>
  </conditionalFormatting>
  <conditionalFormatting sqref="AF20:AF25">
    <cfRule type="cellIs" dxfId="1813" priority="2925" operator="equal">
      <formula>1</formula>
    </cfRule>
    <cfRule type="cellIs" dxfId="1812" priority="2926" operator="equal">
      <formula>"×"</formula>
    </cfRule>
  </conditionalFormatting>
  <conditionalFormatting sqref="AF20:AF25">
    <cfRule type="cellIs" dxfId="1811" priority="2923" operator="equal">
      <formula>1</formula>
    </cfRule>
    <cfRule type="cellIs" dxfId="1810" priority="2924" operator="equal">
      <formula>"×"</formula>
    </cfRule>
  </conditionalFormatting>
  <conditionalFormatting sqref="AF20:AF25">
    <cfRule type="cellIs" dxfId="1809" priority="2921" operator="equal">
      <formula>1</formula>
    </cfRule>
    <cfRule type="cellIs" dxfId="1808" priority="2922" operator="equal">
      <formula>"×"</formula>
    </cfRule>
  </conditionalFormatting>
  <conditionalFormatting sqref="AF20:AF25">
    <cfRule type="cellIs" dxfId="1807" priority="2919" operator="equal">
      <formula>1</formula>
    </cfRule>
    <cfRule type="cellIs" dxfId="1806" priority="2920" operator="equal">
      <formula>"×"</formula>
    </cfRule>
  </conditionalFormatting>
  <conditionalFormatting sqref="AF20:AF25">
    <cfRule type="cellIs" dxfId="1805" priority="2917" operator="equal">
      <formula>1</formula>
    </cfRule>
    <cfRule type="cellIs" dxfId="1804" priority="2918" operator="equal">
      <formula>"×"</formula>
    </cfRule>
  </conditionalFormatting>
  <conditionalFormatting sqref="AF20:AF25">
    <cfRule type="cellIs" dxfId="1803" priority="2915" operator="equal">
      <formula>1</formula>
    </cfRule>
    <cfRule type="cellIs" dxfId="1802" priority="2916" operator="equal">
      <formula>"×"</formula>
    </cfRule>
  </conditionalFormatting>
  <conditionalFormatting sqref="AF20:AF25">
    <cfRule type="cellIs" dxfId="1801" priority="2913" operator="equal">
      <formula>1</formula>
    </cfRule>
    <cfRule type="cellIs" dxfId="1800" priority="2914" operator="equal">
      <formula>"×"</formula>
    </cfRule>
  </conditionalFormatting>
  <conditionalFormatting sqref="AF20:AF25">
    <cfRule type="cellIs" dxfId="1799" priority="2911" operator="equal">
      <formula>1</formula>
    </cfRule>
    <cfRule type="cellIs" dxfId="1798" priority="2912" operator="equal">
      <formula>"×"</formula>
    </cfRule>
  </conditionalFormatting>
  <conditionalFormatting sqref="AF20:AF25">
    <cfRule type="cellIs" dxfId="1797" priority="2909" operator="equal">
      <formula>1</formula>
    </cfRule>
    <cfRule type="cellIs" dxfId="1796" priority="2910" operator="equal">
      <formula>"×"</formula>
    </cfRule>
  </conditionalFormatting>
  <conditionalFormatting sqref="AF20:AF25">
    <cfRule type="cellIs" dxfId="1795" priority="2907" operator="equal">
      <formula>1</formula>
    </cfRule>
    <cfRule type="cellIs" dxfId="1794" priority="2908" operator="equal">
      <formula>"×"</formula>
    </cfRule>
  </conditionalFormatting>
  <conditionalFormatting sqref="AF20:AF25">
    <cfRule type="cellIs" dxfId="1793" priority="2903" operator="equal">
      <formula>1</formula>
    </cfRule>
    <cfRule type="cellIs" dxfId="1792" priority="2904" operator="equal">
      <formula>"×"</formula>
    </cfRule>
  </conditionalFormatting>
  <conditionalFormatting sqref="AF20:AG25">
    <cfRule type="cellIs" dxfId="1791" priority="2901" operator="equal">
      <formula>1</formula>
    </cfRule>
    <cfRule type="cellIs" dxfId="1790" priority="2902" operator="equal">
      <formula>"×"</formula>
    </cfRule>
  </conditionalFormatting>
  <conditionalFormatting sqref="AF20:AG25">
    <cfRule type="cellIs" dxfId="1789" priority="2875" operator="equal">
      <formula>1</formula>
    </cfRule>
    <cfRule type="cellIs" dxfId="1788" priority="2876" operator="equal">
      <formula>"×"</formula>
    </cfRule>
  </conditionalFormatting>
  <conditionalFormatting sqref="AF20:AG25">
    <cfRule type="cellIs" dxfId="1787" priority="2873" operator="equal">
      <formula>1</formula>
    </cfRule>
    <cfRule type="cellIs" dxfId="1786" priority="2874" operator="equal">
      <formula>"×"</formula>
    </cfRule>
  </conditionalFormatting>
  <conditionalFormatting sqref="AF20:AG25">
    <cfRule type="cellIs" dxfId="1785" priority="2869" operator="equal">
      <formula>1</formula>
    </cfRule>
    <cfRule type="cellIs" dxfId="1784" priority="2870" operator="equal">
      <formula>"×"</formula>
    </cfRule>
  </conditionalFormatting>
  <conditionalFormatting sqref="AF20:AG25">
    <cfRule type="cellIs" dxfId="1783" priority="2871" operator="equal">
      <formula>1</formula>
    </cfRule>
    <cfRule type="cellIs" dxfId="1782" priority="2872" operator="equal">
      <formula>"×"</formula>
    </cfRule>
  </conditionalFormatting>
  <conditionalFormatting sqref="AF20:AG25">
    <cfRule type="cellIs" dxfId="1781" priority="2899" operator="equal">
      <formula>1</formula>
    </cfRule>
    <cfRule type="cellIs" dxfId="1780" priority="2900" operator="equal">
      <formula>"×"</formula>
    </cfRule>
  </conditionalFormatting>
  <conditionalFormatting sqref="AF20:AG25">
    <cfRule type="cellIs" dxfId="1779" priority="2897" operator="equal">
      <formula>1</formula>
    </cfRule>
    <cfRule type="cellIs" dxfId="1778" priority="2898" operator="equal">
      <formula>"×"</formula>
    </cfRule>
  </conditionalFormatting>
  <conditionalFormatting sqref="AF20:AG25">
    <cfRule type="cellIs" dxfId="1777" priority="2895" operator="equal">
      <formula>1</formula>
    </cfRule>
    <cfRule type="cellIs" dxfId="1776" priority="2896" operator="equal">
      <formula>"×"</formula>
    </cfRule>
  </conditionalFormatting>
  <conditionalFormatting sqref="AF20:AG25">
    <cfRule type="cellIs" dxfId="1775" priority="2893" operator="equal">
      <formula>1</formula>
    </cfRule>
    <cfRule type="cellIs" dxfId="1774" priority="2894" operator="equal">
      <formula>"×"</formula>
    </cfRule>
  </conditionalFormatting>
  <conditionalFormatting sqref="AF20:AG25">
    <cfRule type="cellIs" dxfId="1773" priority="2891" operator="equal">
      <formula>1</formula>
    </cfRule>
    <cfRule type="cellIs" dxfId="1772" priority="2892" operator="equal">
      <formula>"×"</formula>
    </cfRule>
  </conditionalFormatting>
  <conditionalFormatting sqref="AF20:AG25">
    <cfRule type="cellIs" dxfId="1771" priority="2889" operator="equal">
      <formula>1</formula>
    </cfRule>
    <cfRule type="cellIs" dxfId="1770" priority="2890" operator="equal">
      <formula>"×"</formula>
    </cfRule>
  </conditionalFormatting>
  <conditionalFormatting sqref="AF20:AG25">
    <cfRule type="cellIs" dxfId="1769" priority="2887" operator="equal">
      <formula>1</formula>
    </cfRule>
    <cfRule type="cellIs" dxfId="1768" priority="2888" operator="equal">
      <formula>"×"</formula>
    </cfRule>
  </conditionalFormatting>
  <conditionalFormatting sqref="AF20:AG25">
    <cfRule type="cellIs" dxfId="1767" priority="2885" operator="equal">
      <formula>1</formula>
    </cfRule>
    <cfRule type="cellIs" dxfId="1766" priority="2886" operator="equal">
      <formula>"×"</formula>
    </cfRule>
  </conditionalFormatting>
  <conditionalFormatting sqref="AF20:AG25">
    <cfRule type="cellIs" dxfId="1765" priority="2883" operator="equal">
      <formula>1</formula>
    </cfRule>
    <cfRule type="cellIs" dxfId="1764" priority="2884" operator="equal">
      <formula>"×"</formula>
    </cfRule>
  </conditionalFormatting>
  <conditionalFormatting sqref="AF20:AG25">
    <cfRule type="cellIs" dxfId="1763" priority="2881" operator="equal">
      <formula>1</formula>
    </cfRule>
    <cfRule type="cellIs" dxfId="1762" priority="2882" operator="equal">
      <formula>"×"</formula>
    </cfRule>
  </conditionalFormatting>
  <conditionalFormatting sqref="AF20:AG25">
    <cfRule type="cellIs" dxfId="1761" priority="2879" operator="equal">
      <formula>1</formula>
    </cfRule>
    <cfRule type="cellIs" dxfId="1760" priority="2880" operator="equal">
      <formula>"×"</formula>
    </cfRule>
  </conditionalFormatting>
  <conditionalFormatting sqref="AF20:AG25">
    <cfRule type="cellIs" dxfId="1759" priority="2877" operator="equal">
      <formula>1</formula>
    </cfRule>
    <cfRule type="cellIs" dxfId="1758" priority="2878" operator="equal">
      <formula>"×"</formula>
    </cfRule>
  </conditionalFormatting>
  <conditionalFormatting sqref="AF21:AI21">
    <cfRule type="cellIs" dxfId="1757" priority="2867" operator="equal">
      <formula>1</formula>
    </cfRule>
    <cfRule type="cellIs" dxfId="1756" priority="2868" operator="equal">
      <formula>"×"</formula>
    </cfRule>
  </conditionalFormatting>
  <conditionalFormatting sqref="AF20:AI25">
    <cfRule type="cellIs" dxfId="1755" priority="2865" operator="equal">
      <formula>1</formula>
    </cfRule>
    <cfRule type="cellIs" dxfId="1754" priority="2866" operator="equal">
      <formula>"×"</formula>
    </cfRule>
  </conditionalFormatting>
  <conditionalFormatting sqref="AC20:AC25">
    <cfRule type="cellIs" dxfId="1753" priority="2863" operator="equal">
      <formula>1</formula>
    </cfRule>
    <cfRule type="cellIs" dxfId="1752" priority="2864" operator="equal">
      <formula>"×"</formula>
    </cfRule>
  </conditionalFormatting>
  <conditionalFormatting sqref="AB20:AD25">
    <cfRule type="cellIs" dxfId="1751" priority="2861" operator="equal">
      <formula>1</formula>
    </cfRule>
    <cfRule type="cellIs" dxfId="1750" priority="2862" operator="equal">
      <formula>"×"</formula>
    </cfRule>
  </conditionalFormatting>
  <conditionalFormatting sqref="AE20:AE21">
    <cfRule type="cellIs" dxfId="1749" priority="2859" operator="equal">
      <formula>1</formula>
    </cfRule>
    <cfRule type="cellIs" dxfId="1748" priority="2860" operator="equal">
      <formula>"×"</formula>
    </cfRule>
  </conditionalFormatting>
  <conditionalFormatting sqref="AE20:AE21">
    <cfRule type="cellIs" dxfId="1747" priority="2857" operator="equal">
      <formula>1</formula>
    </cfRule>
    <cfRule type="cellIs" dxfId="1746" priority="2858" operator="equal">
      <formula>"×"</formula>
    </cfRule>
  </conditionalFormatting>
  <conditionalFormatting sqref="AE20:AE21">
    <cfRule type="cellIs" dxfId="1745" priority="2855" operator="equal">
      <formula>1</formula>
    </cfRule>
    <cfRule type="cellIs" dxfId="1744" priority="2856" operator="equal">
      <formula>"×"</formula>
    </cfRule>
  </conditionalFormatting>
  <conditionalFormatting sqref="AE20:AE21">
    <cfRule type="cellIs" dxfId="1743" priority="2853" operator="equal">
      <formula>1</formula>
    </cfRule>
    <cfRule type="cellIs" dxfId="1742" priority="2854" operator="equal">
      <formula>"×"</formula>
    </cfRule>
  </conditionalFormatting>
  <conditionalFormatting sqref="AE20:AE21">
    <cfRule type="cellIs" dxfId="1741" priority="2851" operator="equal">
      <formula>1</formula>
    </cfRule>
    <cfRule type="cellIs" dxfId="1740" priority="2852" operator="equal">
      <formula>"×"</formula>
    </cfRule>
  </conditionalFormatting>
  <conditionalFormatting sqref="AE20:AE21">
    <cfRule type="cellIs" dxfId="1739" priority="2849" operator="equal">
      <formula>1</formula>
    </cfRule>
    <cfRule type="cellIs" dxfId="1738" priority="2850" operator="equal">
      <formula>"×"</formula>
    </cfRule>
  </conditionalFormatting>
  <conditionalFormatting sqref="AE20:AE21">
    <cfRule type="cellIs" dxfId="1737" priority="2847" operator="equal">
      <formula>1</formula>
    </cfRule>
    <cfRule type="cellIs" dxfId="1736" priority="2848" operator="equal">
      <formula>"×"</formula>
    </cfRule>
  </conditionalFormatting>
  <conditionalFormatting sqref="AE20:AE21">
    <cfRule type="cellIs" dxfId="1735" priority="2845" operator="equal">
      <formula>1</formula>
    </cfRule>
    <cfRule type="cellIs" dxfId="1734" priority="2846" operator="equal">
      <formula>"×"</formula>
    </cfRule>
  </conditionalFormatting>
  <conditionalFormatting sqref="AE20:AE21">
    <cfRule type="cellIs" dxfId="1733" priority="2843" operator="equal">
      <formula>1</formula>
    </cfRule>
    <cfRule type="cellIs" dxfId="1732" priority="2844" operator="equal">
      <formula>"×"</formula>
    </cfRule>
  </conditionalFormatting>
  <conditionalFormatting sqref="AE20:AE21">
    <cfRule type="cellIs" dxfId="1731" priority="2841" operator="equal">
      <formula>1</formula>
    </cfRule>
    <cfRule type="cellIs" dxfId="1730" priority="2842" operator="equal">
      <formula>"×"</formula>
    </cfRule>
  </conditionalFormatting>
  <conditionalFormatting sqref="AE20:AE21">
    <cfRule type="cellIs" dxfId="1729" priority="2839" operator="equal">
      <formula>1</formula>
    </cfRule>
    <cfRule type="cellIs" dxfId="1728" priority="2840" operator="equal">
      <formula>"×"</formula>
    </cfRule>
  </conditionalFormatting>
  <conditionalFormatting sqref="AE20:AE21">
    <cfRule type="cellIs" dxfId="1727" priority="2837" operator="equal">
      <formula>1</formula>
    </cfRule>
    <cfRule type="cellIs" dxfId="1726" priority="2838" operator="equal">
      <formula>"×"</formula>
    </cfRule>
  </conditionalFormatting>
  <conditionalFormatting sqref="AE20:AE21">
    <cfRule type="cellIs" dxfId="1725" priority="2835" operator="equal">
      <formula>1</formula>
    </cfRule>
    <cfRule type="cellIs" dxfId="1724" priority="2836" operator="equal">
      <formula>"×"</formula>
    </cfRule>
  </conditionalFormatting>
  <conditionalFormatting sqref="AE20:AE21">
    <cfRule type="cellIs" dxfId="1723" priority="2833" operator="equal">
      <formula>1</formula>
    </cfRule>
    <cfRule type="cellIs" dxfId="1722" priority="2834" operator="equal">
      <formula>"×"</formula>
    </cfRule>
  </conditionalFormatting>
  <conditionalFormatting sqref="AE20:AE21">
    <cfRule type="cellIs" dxfId="1721" priority="2831" operator="equal">
      <formula>1</formula>
    </cfRule>
    <cfRule type="cellIs" dxfId="1720" priority="2832" operator="equal">
      <formula>"×"</formula>
    </cfRule>
  </conditionalFormatting>
  <conditionalFormatting sqref="AE20:AE21">
    <cfRule type="cellIs" dxfId="1719" priority="2829" operator="equal">
      <formula>1</formula>
    </cfRule>
    <cfRule type="cellIs" dxfId="1718" priority="2830" operator="equal">
      <formula>"×"</formula>
    </cfRule>
  </conditionalFormatting>
  <conditionalFormatting sqref="AE20:AE21">
    <cfRule type="cellIs" dxfId="1717" priority="2827" operator="equal">
      <formula>1</formula>
    </cfRule>
    <cfRule type="cellIs" dxfId="1716" priority="2828" operator="equal">
      <formula>"×"</formula>
    </cfRule>
  </conditionalFormatting>
  <conditionalFormatting sqref="AE20:AE21">
    <cfRule type="cellIs" dxfId="1715" priority="2825" operator="equal">
      <formula>1</formula>
    </cfRule>
    <cfRule type="cellIs" dxfId="1714" priority="2826" operator="equal">
      <formula>"×"</formula>
    </cfRule>
  </conditionalFormatting>
  <conditionalFormatting sqref="AD20:AD25 AC20:AC22">
    <cfRule type="cellIs" dxfId="1713" priority="2823" operator="equal">
      <formula>1</formula>
    </cfRule>
    <cfRule type="cellIs" dxfId="1712" priority="2824" operator="equal">
      <formula>"×"</formula>
    </cfRule>
  </conditionalFormatting>
  <conditionalFormatting sqref="AF21">
    <cfRule type="cellIs" dxfId="1711" priority="2805" operator="equal">
      <formula>1</formula>
    </cfRule>
    <cfRule type="cellIs" dxfId="1710" priority="2806" operator="equal">
      <formula>"×"</formula>
    </cfRule>
  </conditionalFormatting>
  <conditionalFormatting sqref="AF21">
    <cfRule type="cellIs" dxfId="1709" priority="2803" operator="equal">
      <formula>1</formula>
    </cfRule>
    <cfRule type="cellIs" dxfId="1708" priority="2804" operator="equal">
      <formula>"×"</formula>
    </cfRule>
  </conditionalFormatting>
  <conditionalFormatting sqref="AI21">
    <cfRule type="cellIs" dxfId="1707" priority="2819" operator="equal">
      <formula>1</formula>
    </cfRule>
    <cfRule type="cellIs" dxfId="1706" priority="2820" operator="equal">
      <formula>"×"</formula>
    </cfRule>
  </conditionalFormatting>
  <conditionalFormatting sqref="AF21:AI21">
    <cfRule type="cellIs" dxfId="1705" priority="2821" operator="equal">
      <formula>1</formula>
    </cfRule>
    <cfRule type="cellIs" dxfId="1704" priority="2822" operator="equal">
      <formula>"×"</formula>
    </cfRule>
  </conditionalFormatting>
  <conditionalFormatting sqref="AG20:AI22 AH23:AI24">
    <cfRule type="cellIs" dxfId="1703" priority="2817" operator="equal">
      <formula>1</formula>
    </cfRule>
    <cfRule type="cellIs" dxfId="1702" priority="2818" operator="equal">
      <formula>"×"</formula>
    </cfRule>
  </conditionalFormatting>
  <conditionalFormatting sqref="AI20:AI24">
    <cfRule type="cellIs" dxfId="1701" priority="2815" operator="equal">
      <formula>1</formula>
    </cfRule>
    <cfRule type="cellIs" dxfId="1700" priority="2816" operator="equal">
      <formula>"×"</formula>
    </cfRule>
  </conditionalFormatting>
  <conditionalFormatting sqref="AG20:AI22 AH23:AI24">
    <cfRule type="cellIs" dxfId="1699" priority="2813" operator="equal">
      <formula>1</formula>
    </cfRule>
    <cfRule type="cellIs" dxfId="1698" priority="2814" operator="equal">
      <formula>"×"</formula>
    </cfRule>
  </conditionalFormatting>
  <conditionalFormatting sqref="AH20:AI25 AG23:AG25">
    <cfRule type="cellIs" dxfId="1697" priority="2811" operator="equal">
      <formula>1</formula>
    </cfRule>
    <cfRule type="cellIs" dxfId="1696" priority="2812" operator="equal">
      <formula>"×"</formula>
    </cfRule>
  </conditionalFormatting>
  <conditionalFormatting sqref="AI20:AI25">
    <cfRule type="cellIs" dxfId="1695" priority="2809" operator="equal">
      <formula>1</formula>
    </cfRule>
    <cfRule type="cellIs" dxfId="1694" priority="2810" operator="equal">
      <formula>"×"</formula>
    </cfRule>
  </conditionalFormatting>
  <conditionalFormatting sqref="AH20:AI25 AG23:AG25">
    <cfRule type="cellIs" dxfId="1693" priority="2807" operator="equal">
      <formula>1</formula>
    </cfRule>
    <cfRule type="cellIs" dxfId="1692" priority="2808" operator="equal">
      <formula>"×"</formula>
    </cfRule>
  </conditionalFormatting>
  <conditionalFormatting sqref="AF21">
    <cfRule type="cellIs" dxfId="1691" priority="2801" operator="equal">
      <formula>1</formula>
    </cfRule>
    <cfRule type="cellIs" dxfId="1690" priority="2802" operator="equal">
      <formula>"×"</formula>
    </cfRule>
  </conditionalFormatting>
  <conditionalFormatting sqref="AF21">
    <cfRule type="cellIs" dxfId="1689" priority="2799" operator="equal">
      <formula>1</formula>
    </cfRule>
    <cfRule type="cellIs" dxfId="1688" priority="2800" operator="equal">
      <formula>"×"</formula>
    </cfRule>
  </conditionalFormatting>
  <conditionalFormatting sqref="AF21">
    <cfRule type="cellIs" dxfId="1687" priority="2797" operator="equal">
      <formula>1</formula>
    </cfRule>
    <cfRule type="cellIs" dxfId="1686" priority="2798" operator="equal">
      <formula>"×"</formula>
    </cfRule>
  </conditionalFormatting>
  <conditionalFormatting sqref="AF21">
    <cfRule type="cellIs" dxfId="1685" priority="2795" operator="equal">
      <formula>1</formula>
    </cfRule>
    <cfRule type="cellIs" dxfId="1684" priority="2796" operator="equal">
      <formula>"×"</formula>
    </cfRule>
  </conditionalFormatting>
  <conditionalFormatting sqref="AF21">
    <cfRule type="cellIs" dxfId="1683" priority="2793" operator="equal">
      <formula>1</formula>
    </cfRule>
    <cfRule type="cellIs" dxfId="1682" priority="2794" operator="equal">
      <formula>"×"</formula>
    </cfRule>
  </conditionalFormatting>
  <conditionalFormatting sqref="AF21">
    <cfRule type="cellIs" dxfId="1681" priority="2791" operator="equal">
      <formula>1</formula>
    </cfRule>
    <cfRule type="cellIs" dxfId="1680" priority="2792" operator="equal">
      <formula>"×"</formula>
    </cfRule>
  </conditionalFormatting>
  <conditionalFormatting sqref="AF21">
    <cfRule type="cellIs" dxfId="1679" priority="2789" operator="equal">
      <formula>1</formula>
    </cfRule>
    <cfRule type="cellIs" dxfId="1678" priority="2790" operator="equal">
      <formula>"×"</formula>
    </cfRule>
  </conditionalFormatting>
  <conditionalFormatting sqref="AF21">
    <cfRule type="cellIs" dxfId="1677" priority="2787" operator="equal">
      <formula>1</formula>
    </cfRule>
    <cfRule type="cellIs" dxfId="1676" priority="2788" operator="equal">
      <formula>"×"</formula>
    </cfRule>
  </conditionalFormatting>
  <conditionalFormatting sqref="AF21">
    <cfRule type="cellIs" dxfId="1675" priority="2785" operator="equal">
      <formula>1</formula>
    </cfRule>
    <cfRule type="cellIs" dxfId="1674" priority="2786" operator="equal">
      <formula>"×"</formula>
    </cfRule>
  </conditionalFormatting>
  <conditionalFormatting sqref="AF21">
    <cfRule type="cellIs" dxfId="1673" priority="2783" operator="equal">
      <formula>1</formula>
    </cfRule>
    <cfRule type="cellIs" dxfId="1672" priority="2784" operator="equal">
      <formula>"×"</formula>
    </cfRule>
  </conditionalFormatting>
  <conditionalFormatting sqref="AF21">
    <cfRule type="cellIs" dxfId="1671" priority="2781" operator="equal">
      <formula>1</formula>
    </cfRule>
    <cfRule type="cellIs" dxfId="1670" priority="2782" operator="equal">
      <formula>"×"</formula>
    </cfRule>
  </conditionalFormatting>
  <conditionalFormatting sqref="AF21">
    <cfRule type="cellIs" dxfId="1669" priority="2779" operator="equal">
      <formula>1</formula>
    </cfRule>
    <cfRule type="cellIs" dxfId="1668" priority="2780" operator="equal">
      <formula>"×"</formula>
    </cfRule>
  </conditionalFormatting>
  <conditionalFormatting sqref="AF21">
    <cfRule type="cellIs" dxfId="1667" priority="2777" operator="equal">
      <formula>1</formula>
    </cfRule>
    <cfRule type="cellIs" dxfId="1666" priority="2778" operator="equal">
      <formula>"×"</formula>
    </cfRule>
  </conditionalFormatting>
  <conditionalFormatting sqref="AF21">
    <cfRule type="cellIs" dxfId="1665" priority="2775" operator="equal">
      <formula>1</formula>
    </cfRule>
    <cfRule type="cellIs" dxfId="1664" priority="2776" operator="equal">
      <formula>"×"</formula>
    </cfRule>
  </conditionalFormatting>
  <conditionalFormatting sqref="AF21">
    <cfRule type="cellIs" dxfId="1663" priority="2773" operator="equal">
      <formula>1</formula>
    </cfRule>
    <cfRule type="cellIs" dxfId="1662" priority="2774" operator="equal">
      <formula>"×"</formula>
    </cfRule>
  </conditionalFormatting>
  <conditionalFormatting sqref="AF21">
    <cfRule type="cellIs" dxfId="1661" priority="2771" operator="equal">
      <formula>1</formula>
    </cfRule>
    <cfRule type="cellIs" dxfId="1660" priority="2772" operator="equal">
      <formula>"×"</formula>
    </cfRule>
  </conditionalFormatting>
  <conditionalFormatting sqref="AF21">
    <cfRule type="cellIs" dxfId="1659" priority="2769" operator="equal">
      <formula>1</formula>
    </cfRule>
    <cfRule type="cellIs" dxfId="1658" priority="2770" operator="equal">
      <formula>"×"</formula>
    </cfRule>
  </conditionalFormatting>
  <conditionalFormatting sqref="AF21">
    <cfRule type="cellIs" dxfId="1657" priority="2767" operator="equal">
      <formula>1</formula>
    </cfRule>
    <cfRule type="cellIs" dxfId="1656" priority="2768" operator="equal">
      <formula>"×"</formula>
    </cfRule>
  </conditionalFormatting>
  <conditionalFormatting sqref="AF21">
    <cfRule type="cellIs" dxfId="1655" priority="2765" operator="equal">
      <formula>1</formula>
    </cfRule>
    <cfRule type="cellIs" dxfId="1654" priority="2766" operator="equal">
      <formula>"×"</formula>
    </cfRule>
  </conditionalFormatting>
  <conditionalFormatting sqref="AF21">
    <cfRule type="cellIs" dxfId="1653" priority="2763" operator="equal">
      <formula>1</formula>
    </cfRule>
    <cfRule type="cellIs" dxfId="1652" priority="2764" operator="equal">
      <formula>"×"</formula>
    </cfRule>
  </conditionalFormatting>
  <conditionalFormatting sqref="AH24:AI24">
    <cfRule type="cellIs" dxfId="1651" priority="2761" operator="equal">
      <formula>1</formula>
    </cfRule>
    <cfRule type="cellIs" dxfId="1650" priority="2762" operator="equal">
      <formula>"×"</formula>
    </cfRule>
  </conditionalFormatting>
  <conditionalFormatting sqref="AI24">
    <cfRule type="cellIs" dxfId="1649" priority="2759" operator="equal">
      <formula>1</formula>
    </cfRule>
    <cfRule type="cellIs" dxfId="1648" priority="2760" operator="equal">
      <formula>"×"</formula>
    </cfRule>
  </conditionalFormatting>
  <conditionalFormatting sqref="AH24:AI24">
    <cfRule type="cellIs" dxfId="1647" priority="2757" operator="equal">
      <formula>1</formula>
    </cfRule>
    <cfRule type="cellIs" dxfId="1646" priority="2758" operator="equal">
      <formula>"×"</formula>
    </cfRule>
  </conditionalFormatting>
  <conditionalFormatting sqref="AH24:AI24">
    <cfRule type="cellIs" dxfId="1645" priority="2755" operator="equal">
      <formula>1</formula>
    </cfRule>
    <cfRule type="cellIs" dxfId="1644" priority="2756" operator="equal">
      <formula>"×"</formula>
    </cfRule>
  </conditionalFormatting>
  <conditionalFormatting sqref="AI24">
    <cfRule type="cellIs" dxfId="1643" priority="2753" operator="equal">
      <formula>1</formula>
    </cfRule>
    <cfRule type="cellIs" dxfId="1642" priority="2754" operator="equal">
      <formula>"×"</formula>
    </cfRule>
  </conditionalFormatting>
  <conditionalFormatting sqref="AH24:AI24">
    <cfRule type="cellIs" dxfId="1641" priority="2751" operator="equal">
      <formula>1</formula>
    </cfRule>
    <cfRule type="cellIs" dxfId="1640" priority="2752" operator="equal">
      <formula>"×"</formula>
    </cfRule>
  </conditionalFormatting>
  <conditionalFormatting sqref="AF21:AG21">
    <cfRule type="cellIs" dxfId="1639" priority="2725" operator="equal">
      <formula>1</formula>
    </cfRule>
    <cfRule type="cellIs" dxfId="1638" priority="2726" operator="equal">
      <formula>"×"</formula>
    </cfRule>
  </conditionalFormatting>
  <conditionalFormatting sqref="AF21:AG21">
    <cfRule type="cellIs" dxfId="1637" priority="2723" operator="equal">
      <formula>1</formula>
    </cfRule>
    <cfRule type="cellIs" dxfId="1636" priority="2724" operator="equal">
      <formula>"×"</formula>
    </cfRule>
  </conditionalFormatting>
  <conditionalFormatting sqref="AF21:AG21">
    <cfRule type="cellIs" dxfId="1635" priority="2719" operator="equal">
      <formula>1</formula>
    </cfRule>
    <cfRule type="cellIs" dxfId="1634" priority="2720" operator="equal">
      <formula>"×"</formula>
    </cfRule>
  </conditionalFormatting>
  <conditionalFormatting sqref="AF21:AG21">
    <cfRule type="cellIs" dxfId="1633" priority="2721" operator="equal">
      <formula>1</formula>
    </cfRule>
    <cfRule type="cellIs" dxfId="1632" priority="2722" operator="equal">
      <formula>"×"</formula>
    </cfRule>
  </conditionalFormatting>
  <conditionalFormatting sqref="AF21:AG21">
    <cfRule type="cellIs" dxfId="1631" priority="2749" operator="equal">
      <formula>1</formula>
    </cfRule>
    <cfRule type="cellIs" dxfId="1630" priority="2750" operator="equal">
      <formula>"×"</formula>
    </cfRule>
  </conditionalFormatting>
  <conditionalFormatting sqref="AF21:AG21">
    <cfRule type="cellIs" dxfId="1629" priority="2747" operator="equal">
      <formula>1</formula>
    </cfRule>
    <cfRule type="cellIs" dxfId="1628" priority="2748" operator="equal">
      <formula>"×"</formula>
    </cfRule>
  </conditionalFormatting>
  <conditionalFormatting sqref="AF21:AG21">
    <cfRule type="cellIs" dxfId="1627" priority="2745" operator="equal">
      <formula>1</formula>
    </cfRule>
    <cfRule type="cellIs" dxfId="1626" priority="2746" operator="equal">
      <formula>"×"</formula>
    </cfRule>
  </conditionalFormatting>
  <conditionalFormatting sqref="AF21:AG21">
    <cfRule type="cellIs" dxfId="1625" priority="2743" operator="equal">
      <formula>1</formula>
    </cfRule>
    <cfRule type="cellIs" dxfId="1624" priority="2744" operator="equal">
      <formula>"×"</formula>
    </cfRule>
  </conditionalFormatting>
  <conditionalFormatting sqref="AF21:AG21">
    <cfRule type="cellIs" dxfId="1623" priority="2741" operator="equal">
      <formula>1</formula>
    </cfRule>
    <cfRule type="cellIs" dxfId="1622" priority="2742" operator="equal">
      <formula>"×"</formula>
    </cfRule>
  </conditionalFormatting>
  <conditionalFormatting sqref="AF21:AG21">
    <cfRule type="cellIs" dxfId="1621" priority="2737" operator="equal">
      <formula>1</formula>
    </cfRule>
    <cfRule type="cellIs" dxfId="1620" priority="2738" operator="equal">
      <formula>"×"</formula>
    </cfRule>
  </conditionalFormatting>
  <conditionalFormatting sqref="AF21:AG21">
    <cfRule type="cellIs" dxfId="1619" priority="2735" operator="equal">
      <formula>1</formula>
    </cfRule>
    <cfRule type="cellIs" dxfId="1618" priority="2736" operator="equal">
      <formula>"×"</formula>
    </cfRule>
  </conditionalFormatting>
  <conditionalFormatting sqref="AF21:AG21">
    <cfRule type="cellIs" dxfId="1617" priority="2733" operator="equal">
      <formula>1</formula>
    </cfRule>
    <cfRule type="cellIs" dxfId="1616" priority="2734" operator="equal">
      <formula>"×"</formula>
    </cfRule>
  </conditionalFormatting>
  <conditionalFormatting sqref="AF21:AG21">
    <cfRule type="cellIs" dxfId="1615" priority="2731" operator="equal">
      <formula>1</formula>
    </cfRule>
    <cfRule type="cellIs" dxfId="1614" priority="2732" operator="equal">
      <formula>"×"</formula>
    </cfRule>
  </conditionalFormatting>
  <conditionalFormatting sqref="AF21:AG21">
    <cfRule type="cellIs" dxfId="1613" priority="2729" operator="equal">
      <formula>1</formula>
    </cfRule>
    <cfRule type="cellIs" dxfId="1612" priority="2730" operator="equal">
      <formula>"×"</formula>
    </cfRule>
  </conditionalFormatting>
  <conditionalFormatting sqref="AF21:AG21">
    <cfRule type="cellIs" dxfId="1611" priority="2727" operator="equal">
      <formula>1</formula>
    </cfRule>
    <cfRule type="cellIs" dxfId="1610" priority="2728" operator="equal">
      <formula>"×"</formula>
    </cfRule>
  </conditionalFormatting>
  <conditionalFormatting sqref="AH21:AI21">
    <cfRule type="cellIs" dxfId="1609" priority="2693" operator="equal">
      <formula>1</formula>
    </cfRule>
    <cfRule type="cellIs" dxfId="1608" priority="2694" operator="equal">
      <formula>"×"</formula>
    </cfRule>
  </conditionalFormatting>
  <conditionalFormatting sqref="AH21:AI21">
    <cfRule type="cellIs" dxfId="1607" priority="2691" operator="equal">
      <formula>1</formula>
    </cfRule>
    <cfRule type="cellIs" dxfId="1606" priority="2692" operator="equal">
      <formula>"×"</formula>
    </cfRule>
  </conditionalFormatting>
  <conditionalFormatting sqref="AH21:AI21">
    <cfRule type="cellIs" dxfId="1605" priority="2687" operator="equal">
      <formula>1</formula>
    </cfRule>
    <cfRule type="cellIs" dxfId="1604" priority="2688" operator="equal">
      <formula>"×"</formula>
    </cfRule>
  </conditionalFormatting>
  <conditionalFormatting sqref="AH21:AI21">
    <cfRule type="cellIs" dxfId="1603" priority="2689" operator="equal">
      <formula>1</formula>
    </cfRule>
    <cfRule type="cellIs" dxfId="1602" priority="2690" operator="equal">
      <formula>"×"</formula>
    </cfRule>
  </conditionalFormatting>
  <conditionalFormatting sqref="AH21:AI21">
    <cfRule type="cellIs" dxfId="1601" priority="2717" operator="equal">
      <formula>1</formula>
    </cfRule>
    <cfRule type="cellIs" dxfId="1600" priority="2718" operator="equal">
      <formula>"×"</formula>
    </cfRule>
  </conditionalFormatting>
  <conditionalFormatting sqref="AH21:AI21">
    <cfRule type="cellIs" dxfId="1599" priority="2715" operator="equal">
      <formula>1</formula>
    </cfRule>
    <cfRule type="cellIs" dxfId="1598" priority="2716" operator="equal">
      <formula>"×"</formula>
    </cfRule>
  </conditionalFormatting>
  <conditionalFormatting sqref="AH21:AI21">
    <cfRule type="cellIs" dxfId="1597" priority="2713" operator="equal">
      <formula>1</formula>
    </cfRule>
    <cfRule type="cellIs" dxfId="1596" priority="2714" operator="equal">
      <formula>"×"</formula>
    </cfRule>
  </conditionalFormatting>
  <conditionalFormatting sqref="AH21:AI21">
    <cfRule type="cellIs" dxfId="1595" priority="2711" operator="equal">
      <formula>1</formula>
    </cfRule>
    <cfRule type="cellIs" dxfId="1594" priority="2712" operator="equal">
      <formula>"×"</formula>
    </cfRule>
  </conditionalFormatting>
  <conditionalFormatting sqref="AH21:AI21">
    <cfRule type="cellIs" dxfId="1593" priority="2709" operator="equal">
      <formula>1</formula>
    </cfRule>
    <cfRule type="cellIs" dxfId="1592" priority="2710" operator="equal">
      <formula>"×"</formula>
    </cfRule>
  </conditionalFormatting>
  <conditionalFormatting sqref="AH21:AI21">
    <cfRule type="cellIs" dxfId="1591" priority="2707" operator="equal">
      <formula>1</formula>
    </cfRule>
    <cfRule type="cellIs" dxfId="1590" priority="2708" operator="equal">
      <formula>"×"</formula>
    </cfRule>
  </conditionalFormatting>
  <conditionalFormatting sqref="AH21:AI21">
    <cfRule type="cellIs" dxfId="1589" priority="2705" operator="equal">
      <formula>1</formula>
    </cfRule>
    <cfRule type="cellIs" dxfId="1588" priority="2706" operator="equal">
      <formula>"×"</formula>
    </cfRule>
  </conditionalFormatting>
  <conditionalFormatting sqref="AH21:AI21">
    <cfRule type="cellIs" dxfId="1587" priority="2703" operator="equal">
      <formula>1</formula>
    </cfRule>
    <cfRule type="cellIs" dxfId="1586" priority="2704" operator="equal">
      <formula>"×"</formula>
    </cfRule>
  </conditionalFormatting>
  <conditionalFormatting sqref="AH21:AI21">
    <cfRule type="cellIs" dxfId="1585" priority="2701" operator="equal">
      <formula>1</formula>
    </cfRule>
    <cfRule type="cellIs" dxfId="1584" priority="2702" operator="equal">
      <formula>"×"</formula>
    </cfRule>
  </conditionalFormatting>
  <conditionalFormatting sqref="AH21:AI21">
    <cfRule type="cellIs" dxfId="1583" priority="2699" operator="equal">
      <formula>1</formula>
    </cfRule>
    <cfRule type="cellIs" dxfId="1582" priority="2700" operator="equal">
      <formula>"×"</formula>
    </cfRule>
  </conditionalFormatting>
  <conditionalFormatting sqref="AH21:AI21">
    <cfRule type="cellIs" dxfId="1581" priority="2697" operator="equal">
      <formula>1</formula>
    </cfRule>
    <cfRule type="cellIs" dxfId="1580" priority="2698" operator="equal">
      <formula>"×"</formula>
    </cfRule>
  </conditionalFormatting>
  <conditionalFormatting sqref="AH21:AI21">
    <cfRule type="cellIs" dxfId="1579" priority="2695" operator="equal">
      <formula>1</formula>
    </cfRule>
    <cfRule type="cellIs" dxfId="1578" priority="2696" operator="equal">
      <formula>"×"</formula>
    </cfRule>
  </conditionalFormatting>
  <conditionalFormatting sqref="AH22">
    <cfRule type="cellIs" dxfId="1577" priority="2685" operator="equal">
      <formula>1</formula>
    </cfRule>
    <cfRule type="cellIs" dxfId="1576" priority="2686" operator="equal">
      <formula>"×"</formula>
    </cfRule>
  </conditionalFormatting>
  <conditionalFormatting sqref="AH22">
    <cfRule type="cellIs" dxfId="1575" priority="2683" operator="equal">
      <formula>1</formula>
    </cfRule>
    <cfRule type="cellIs" dxfId="1574" priority="2684" operator="equal">
      <formula>"×"</formula>
    </cfRule>
  </conditionalFormatting>
  <conditionalFormatting sqref="AH22">
    <cfRule type="cellIs" dxfId="1573" priority="2657" operator="equal">
      <formula>1</formula>
    </cfRule>
    <cfRule type="cellIs" dxfId="1572" priority="2658" operator="equal">
      <formula>"×"</formula>
    </cfRule>
  </conditionalFormatting>
  <conditionalFormatting sqref="AH22">
    <cfRule type="cellIs" dxfId="1571" priority="2655" operator="equal">
      <formula>1</formula>
    </cfRule>
    <cfRule type="cellIs" dxfId="1570" priority="2656" operator="equal">
      <formula>"×"</formula>
    </cfRule>
  </conditionalFormatting>
  <conditionalFormatting sqref="AH22">
    <cfRule type="cellIs" dxfId="1569" priority="2651" operator="equal">
      <formula>1</formula>
    </cfRule>
    <cfRule type="cellIs" dxfId="1568" priority="2652" operator="equal">
      <formula>"×"</formula>
    </cfRule>
  </conditionalFormatting>
  <conditionalFormatting sqref="AH22">
    <cfRule type="cellIs" dxfId="1567" priority="2653" operator="equal">
      <formula>1</formula>
    </cfRule>
    <cfRule type="cellIs" dxfId="1566" priority="2654" operator="equal">
      <formula>"×"</formula>
    </cfRule>
  </conditionalFormatting>
  <conditionalFormatting sqref="AH22">
    <cfRule type="cellIs" dxfId="1565" priority="2681" operator="equal">
      <formula>1</formula>
    </cfRule>
    <cfRule type="cellIs" dxfId="1564" priority="2682" operator="equal">
      <formula>"×"</formula>
    </cfRule>
  </conditionalFormatting>
  <conditionalFormatting sqref="AH22">
    <cfRule type="cellIs" dxfId="1563" priority="2679" operator="equal">
      <formula>1</formula>
    </cfRule>
    <cfRule type="cellIs" dxfId="1562" priority="2680" operator="equal">
      <formula>"×"</formula>
    </cfRule>
  </conditionalFormatting>
  <conditionalFormatting sqref="AH22">
    <cfRule type="cellIs" dxfId="1561" priority="2677" operator="equal">
      <formula>1</formula>
    </cfRule>
    <cfRule type="cellIs" dxfId="1560" priority="2678" operator="equal">
      <formula>"×"</formula>
    </cfRule>
  </conditionalFormatting>
  <conditionalFormatting sqref="AH22">
    <cfRule type="cellIs" dxfId="1559" priority="2675" operator="equal">
      <formula>1</formula>
    </cfRule>
    <cfRule type="cellIs" dxfId="1558" priority="2676" operator="equal">
      <formula>"×"</formula>
    </cfRule>
  </conditionalFormatting>
  <conditionalFormatting sqref="AH22">
    <cfRule type="cellIs" dxfId="1557" priority="2673" operator="equal">
      <formula>1</formula>
    </cfRule>
    <cfRule type="cellIs" dxfId="1556" priority="2674" operator="equal">
      <formula>"×"</formula>
    </cfRule>
  </conditionalFormatting>
  <conditionalFormatting sqref="AH22">
    <cfRule type="cellIs" dxfId="1555" priority="2671" operator="equal">
      <formula>1</formula>
    </cfRule>
    <cfRule type="cellIs" dxfId="1554" priority="2672" operator="equal">
      <formula>"×"</formula>
    </cfRule>
  </conditionalFormatting>
  <conditionalFormatting sqref="AH22">
    <cfRule type="cellIs" dxfId="1553" priority="2669" operator="equal">
      <formula>1</formula>
    </cfRule>
    <cfRule type="cellIs" dxfId="1552" priority="2670" operator="equal">
      <formula>"×"</formula>
    </cfRule>
  </conditionalFormatting>
  <conditionalFormatting sqref="AH22">
    <cfRule type="cellIs" dxfId="1551" priority="2667" operator="equal">
      <formula>1</formula>
    </cfRule>
    <cfRule type="cellIs" dxfId="1550" priority="2668" operator="equal">
      <formula>"×"</formula>
    </cfRule>
  </conditionalFormatting>
  <conditionalFormatting sqref="AH22">
    <cfRule type="cellIs" dxfId="1549" priority="2665" operator="equal">
      <formula>1</formula>
    </cfRule>
    <cfRule type="cellIs" dxfId="1548" priority="2666" operator="equal">
      <formula>"×"</formula>
    </cfRule>
  </conditionalFormatting>
  <conditionalFormatting sqref="AH22">
    <cfRule type="cellIs" dxfId="1547" priority="2663" operator="equal">
      <formula>1</formula>
    </cfRule>
    <cfRule type="cellIs" dxfId="1546" priority="2664" operator="equal">
      <formula>"×"</formula>
    </cfRule>
  </conditionalFormatting>
  <conditionalFormatting sqref="AH22">
    <cfRule type="cellIs" dxfId="1545" priority="2661" operator="equal">
      <formula>1</formula>
    </cfRule>
    <cfRule type="cellIs" dxfId="1544" priority="2662" operator="equal">
      <formula>"×"</formula>
    </cfRule>
  </conditionalFormatting>
  <conditionalFormatting sqref="AH22">
    <cfRule type="cellIs" dxfId="1543" priority="2659" operator="equal">
      <formula>1</formula>
    </cfRule>
    <cfRule type="cellIs" dxfId="1542" priority="2660" operator="equal">
      <formula>"×"</formula>
    </cfRule>
  </conditionalFormatting>
  <conditionalFormatting sqref="AF20:AF25">
    <cfRule type="cellIs" dxfId="1541" priority="2641" operator="equal">
      <formula>1</formula>
    </cfRule>
    <cfRule type="cellIs" dxfId="1540" priority="2642" operator="equal">
      <formula>"×"</formula>
    </cfRule>
  </conditionalFormatting>
  <conditionalFormatting sqref="AF20:AF25">
    <cfRule type="cellIs" dxfId="1539" priority="2639" operator="equal">
      <formula>1</formula>
    </cfRule>
    <cfRule type="cellIs" dxfId="1538" priority="2640" operator="equal">
      <formula>"×"</formula>
    </cfRule>
  </conditionalFormatting>
  <conditionalFormatting sqref="AF20:AG25">
    <cfRule type="cellIs" dxfId="1537" priority="2649" operator="equal">
      <formula>1</formula>
    </cfRule>
    <cfRule type="cellIs" dxfId="1536" priority="2650" operator="equal">
      <formula>"×"</formula>
    </cfRule>
  </conditionalFormatting>
  <conditionalFormatting sqref="AF20:AG25">
    <cfRule type="cellIs" dxfId="1535" priority="2647" operator="equal">
      <formula>1</formula>
    </cfRule>
    <cfRule type="cellIs" dxfId="1534" priority="2648" operator="equal">
      <formula>"×"</formula>
    </cfRule>
  </conditionalFormatting>
  <conditionalFormatting sqref="AG20:AG25">
    <cfRule type="cellIs" dxfId="1533" priority="2645" operator="equal">
      <formula>1</formula>
    </cfRule>
    <cfRule type="cellIs" dxfId="1532" priority="2646" operator="equal">
      <formula>"×"</formula>
    </cfRule>
  </conditionalFormatting>
  <conditionalFormatting sqref="AG20:AG25">
    <cfRule type="cellIs" dxfId="1531" priority="2643" operator="equal">
      <formula>1</formula>
    </cfRule>
    <cfRule type="cellIs" dxfId="1530" priority="2644" operator="equal">
      <formula>"×"</formula>
    </cfRule>
  </conditionalFormatting>
  <conditionalFormatting sqref="AF20:AF25">
    <cfRule type="cellIs" dxfId="1529" priority="2637" operator="equal">
      <formula>1</formula>
    </cfRule>
    <cfRule type="cellIs" dxfId="1528" priority="2638" operator="equal">
      <formula>"×"</formula>
    </cfRule>
  </conditionalFormatting>
  <conditionalFormatting sqref="AF20:AF25">
    <cfRule type="cellIs" dxfId="1527" priority="2635" operator="equal">
      <formula>1</formula>
    </cfRule>
    <cfRule type="cellIs" dxfId="1526" priority="2636" operator="equal">
      <formula>"×"</formula>
    </cfRule>
  </conditionalFormatting>
  <conditionalFormatting sqref="AF20:AF25">
    <cfRule type="cellIs" dxfId="1525" priority="2633" operator="equal">
      <formula>1</formula>
    </cfRule>
    <cfRule type="cellIs" dxfId="1524" priority="2634" operator="equal">
      <formula>"×"</formula>
    </cfRule>
  </conditionalFormatting>
  <conditionalFormatting sqref="AF20:AF25">
    <cfRule type="cellIs" dxfId="1523" priority="2631" operator="equal">
      <formula>1</formula>
    </cfRule>
    <cfRule type="cellIs" dxfId="1522" priority="2632" operator="equal">
      <formula>"×"</formula>
    </cfRule>
  </conditionalFormatting>
  <conditionalFormatting sqref="AF20:AF25">
    <cfRule type="cellIs" dxfId="1521" priority="2629" operator="equal">
      <formula>1</formula>
    </cfRule>
    <cfRule type="cellIs" dxfId="1520" priority="2630" operator="equal">
      <formula>"×"</formula>
    </cfRule>
  </conditionalFormatting>
  <conditionalFormatting sqref="AF20:AF25">
    <cfRule type="cellIs" dxfId="1519" priority="2627" operator="equal">
      <formula>1</formula>
    </cfRule>
    <cfRule type="cellIs" dxfId="1518" priority="2628" operator="equal">
      <formula>"×"</formula>
    </cfRule>
  </conditionalFormatting>
  <conditionalFormatting sqref="AF20:AF25">
    <cfRule type="cellIs" dxfId="1517" priority="2625" operator="equal">
      <formula>1</formula>
    </cfRule>
    <cfRule type="cellIs" dxfId="1516" priority="2626" operator="equal">
      <formula>"×"</formula>
    </cfRule>
  </conditionalFormatting>
  <conditionalFormatting sqref="AF20:AF25">
    <cfRule type="cellIs" dxfId="1515" priority="2623" operator="equal">
      <formula>1</formula>
    </cfRule>
    <cfRule type="cellIs" dxfId="1514" priority="2624" operator="equal">
      <formula>"×"</formula>
    </cfRule>
  </conditionalFormatting>
  <conditionalFormatting sqref="AF20:AF25">
    <cfRule type="cellIs" dxfId="1513" priority="2621" operator="equal">
      <formula>1</formula>
    </cfRule>
    <cfRule type="cellIs" dxfId="1512" priority="2622" operator="equal">
      <formula>"×"</formula>
    </cfRule>
  </conditionalFormatting>
  <conditionalFormatting sqref="AF20:AF25">
    <cfRule type="cellIs" dxfId="1511" priority="2619" operator="equal">
      <formula>1</formula>
    </cfRule>
    <cfRule type="cellIs" dxfId="1510" priority="2620" operator="equal">
      <formula>"×"</formula>
    </cfRule>
  </conditionalFormatting>
  <conditionalFormatting sqref="AF20:AF25">
    <cfRule type="cellIs" dxfId="1509" priority="2617" operator="equal">
      <formula>1</formula>
    </cfRule>
    <cfRule type="cellIs" dxfId="1508" priority="2618" operator="equal">
      <formula>"×"</formula>
    </cfRule>
  </conditionalFormatting>
  <conditionalFormatting sqref="AF20:AF25">
    <cfRule type="cellIs" dxfId="1507" priority="2615" operator="equal">
      <formula>1</formula>
    </cfRule>
    <cfRule type="cellIs" dxfId="1506" priority="2616" operator="equal">
      <formula>"×"</formula>
    </cfRule>
  </conditionalFormatting>
  <conditionalFormatting sqref="AF20:AF25">
    <cfRule type="cellIs" dxfId="1505" priority="2613" operator="equal">
      <formula>1</formula>
    </cfRule>
    <cfRule type="cellIs" dxfId="1504" priority="2614" operator="equal">
      <formula>"×"</formula>
    </cfRule>
  </conditionalFormatting>
  <conditionalFormatting sqref="AF20:AF25">
    <cfRule type="cellIs" dxfId="1503" priority="2611" operator="equal">
      <formula>1</formula>
    </cfRule>
    <cfRule type="cellIs" dxfId="1502" priority="2612" operator="equal">
      <formula>"×"</formula>
    </cfRule>
  </conditionalFormatting>
  <conditionalFormatting sqref="AF20:AF25">
    <cfRule type="cellIs" dxfId="1501" priority="2609" operator="equal">
      <formula>1</formula>
    </cfRule>
    <cfRule type="cellIs" dxfId="1500" priority="2610" operator="equal">
      <formula>"×"</formula>
    </cfRule>
  </conditionalFormatting>
  <conditionalFormatting sqref="AF20:AF25">
    <cfRule type="cellIs" dxfId="1499" priority="2607" operator="equal">
      <formula>1</formula>
    </cfRule>
    <cfRule type="cellIs" dxfId="1498" priority="2608" operator="equal">
      <formula>"×"</formula>
    </cfRule>
  </conditionalFormatting>
  <conditionalFormatting sqref="AF20:AF25">
    <cfRule type="cellIs" dxfId="1497" priority="2605" operator="equal">
      <formula>1</formula>
    </cfRule>
    <cfRule type="cellIs" dxfId="1496" priority="2606" operator="equal">
      <formula>"×"</formula>
    </cfRule>
  </conditionalFormatting>
  <conditionalFormatting sqref="AF20:AF25">
    <cfRule type="cellIs" dxfId="1495" priority="2603" operator="equal">
      <formula>1</formula>
    </cfRule>
    <cfRule type="cellIs" dxfId="1494" priority="2604" operator="equal">
      <formula>"×"</formula>
    </cfRule>
  </conditionalFormatting>
  <conditionalFormatting sqref="AF20:AF25">
    <cfRule type="cellIs" dxfId="1493" priority="2601" operator="equal">
      <formula>1</formula>
    </cfRule>
    <cfRule type="cellIs" dxfId="1492" priority="2602" operator="equal">
      <formula>"×"</formula>
    </cfRule>
  </conditionalFormatting>
  <conditionalFormatting sqref="AF20:AF25">
    <cfRule type="cellIs" dxfId="1491" priority="2599" operator="equal">
      <formula>1</formula>
    </cfRule>
    <cfRule type="cellIs" dxfId="1490" priority="2600" operator="equal">
      <formula>"×"</formula>
    </cfRule>
  </conditionalFormatting>
  <conditionalFormatting sqref="AF20:AG25">
    <cfRule type="cellIs" dxfId="1489" priority="2597" operator="equal">
      <formula>1</formula>
    </cfRule>
    <cfRule type="cellIs" dxfId="1488" priority="2598" operator="equal">
      <formula>"×"</formula>
    </cfRule>
  </conditionalFormatting>
  <conditionalFormatting sqref="AF20:AG25">
    <cfRule type="cellIs" dxfId="1487" priority="2571" operator="equal">
      <formula>1</formula>
    </cfRule>
    <cfRule type="cellIs" dxfId="1486" priority="2572" operator="equal">
      <formula>"×"</formula>
    </cfRule>
  </conditionalFormatting>
  <conditionalFormatting sqref="AF20:AG25">
    <cfRule type="cellIs" dxfId="1485" priority="2569" operator="equal">
      <formula>1</formula>
    </cfRule>
    <cfRule type="cellIs" dxfId="1484" priority="2570" operator="equal">
      <formula>"×"</formula>
    </cfRule>
  </conditionalFormatting>
  <conditionalFormatting sqref="AF20:AG25">
    <cfRule type="cellIs" dxfId="1483" priority="2565" operator="equal">
      <formula>1</formula>
    </cfRule>
    <cfRule type="cellIs" dxfId="1482" priority="2566" operator="equal">
      <formula>"×"</formula>
    </cfRule>
  </conditionalFormatting>
  <conditionalFormatting sqref="AF20:AG25">
    <cfRule type="cellIs" dxfId="1481" priority="2567" operator="equal">
      <formula>1</formula>
    </cfRule>
    <cfRule type="cellIs" dxfId="1480" priority="2568" operator="equal">
      <formula>"×"</formula>
    </cfRule>
  </conditionalFormatting>
  <conditionalFormatting sqref="AF20:AG25">
    <cfRule type="cellIs" dxfId="1479" priority="2595" operator="equal">
      <formula>1</formula>
    </cfRule>
    <cfRule type="cellIs" dxfId="1478" priority="2596" operator="equal">
      <formula>"×"</formula>
    </cfRule>
  </conditionalFormatting>
  <conditionalFormatting sqref="AF20:AG25">
    <cfRule type="cellIs" dxfId="1477" priority="2593" operator="equal">
      <formula>1</formula>
    </cfRule>
    <cfRule type="cellIs" dxfId="1476" priority="2594" operator="equal">
      <formula>"×"</formula>
    </cfRule>
  </conditionalFormatting>
  <conditionalFormatting sqref="AF20:AG25">
    <cfRule type="cellIs" dxfId="1475" priority="2591" operator="equal">
      <formula>1</formula>
    </cfRule>
    <cfRule type="cellIs" dxfId="1474" priority="2592" operator="equal">
      <formula>"×"</formula>
    </cfRule>
  </conditionalFormatting>
  <conditionalFormatting sqref="AF20:AG25">
    <cfRule type="cellIs" dxfId="1473" priority="2589" operator="equal">
      <formula>1</formula>
    </cfRule>
    <cfRule type="cellIs" dxfId="1472" priority="2590" operator="equal">
      <formula>"×"</formula>
    </cfRule>
  </conditionalFormatting>
  <conditionalFormatting sqref="AF20:AG25">
    <cfRule type="cellIs" dxfId="1471" priority="2587" operator="equal">
      <formula>1</formula>
    </cfRule>
    <cfRule type="cellIs" dxfId="1470" priority="2588" operator="equal">
      <formula>"×"</formula>
    </cfRule>
  </conditionalFormatting>
  <conditionalFormatting sqref="AF20:AG25">
    <cfRule type="cellIs" dxfId="1469" priority="2585" operator="equal">
      <formula>1</formula>
    </cfRule>
    <cfRule type="cellIs" dxfId="1468" priority="2586" operator="equal">
      <formula>"×"</formula>
    </cfRule>
  </conditionalFormatting>
  <conditionalFormatting sqref="AF20:AG25">
    <cfRule type="cellIs" dxfId="1467" priority="2583" operator="equal">
      <formula>1</formula>
    </cfRule>
    <cfRule type="cellIs" dxfId="1466" priority="2584" operator="equal">
      <formula>"×"</formula>
    </cfRule>
  </conditionalFormatting>
  <conditionalFormatting sqref="AF20:AG25">
    <cfRule type="cellIs" dxfId="1465" priority="2581" operator="equal">
      <formula>1</formula>
    </cfRule>
    <cfRule type="cellIs" dxfId="1464" priority="2582" operator="equal">
      <formula>"×"</formula>
    </cfRule>
  </conditionalFormatting>
  <conditionalFormatting sqref="AF20:AG25">
    <cfRule type="cellIs" dxfId="1463" priority="2579" operator="equal">
      <formula>1</formula>
    </cfRule>
    <cfRule type="cellIs" dxfId="1462" priority="2580" operator="equal">
      <formula>"×"</formula>
    </cfRule>
  </conditionalFormatting>
  <conditionalFormatting sqref="AF20:AG25">
    <cfRule type="cellIs" dxfId="1461" priority="2577" operator="equal">
      <formula>1</formula>
    </cfRule>
    <cfRule type="cellIs" dxfId="1460" priority="2578" operator="equal">
      <formula>"×"</formula>
    </cfRule>
  </conditionalFormatting>
  <conditionalFormatting sqref="AF20:AG25">
    <cfRule type="cellIs" dxfId="1459" priority="2575" operator="equal">
      <formula>1</formula>
    </cfRule>
    <cfRule type="cellIs" dxfId="1458" priority="2576" operator="equal">
      <formula>"×"</formula>
    </cfRule>
  </conditionalFormatting>
  <conditionalFormatting sqref="AF20:AG25">
    <cfRule type="cellIs" dxfId="1457" priority="2573" operator="equal">
      <formula>1</formula>
    </cfRule>
    <cfRule type="cellIs" dxfId="1456" priority="2574" operator="equal">
      <formula>"×"</formula>
    </cfRule>
  </conditionalFormatting>
  <conditionalFormatting sqref="AB21:AD21">
    <cfRule type="cellIs" dxfId="1455" priority="2563" operator="equal">
      <formula>1</formula>
    </cfRule>
    <cfRule type="cellIs" dxfId="1454" priority="2564" operator="equal">
      <formula>"×"</formula>
    </cfRule>
  </conditionalFormatting>
  <conditionalFormatting sqref="AE20:AE25">
    <cfRule type="cellIs" dxfId="1453" priority="2539" operator="equal">
      <formula>1</formula>
    </cfRule>
    <cfRule type="cellIs" dxfId="1452" priority="2540" operator="equal">
      <formula>"×"</formula>
    </cfRule>
  </conditionalFormatting>
  <conditionalFormatting sqref="AE20:AE25">
    <cfRule type="cellIs" dxfId="1451" priority="2537" operator="equal">
      <formula>1</formula>
    </cfRule>
    <cfRule type="cellIs" dxfId="1450" priority="2538" operator="equal">
      <formula>"×"</formula>
    </cfRule>
  </conditionalFormatting>
  <conditionalFormatting sqref="AE20:AE25">
    <cfRule type="cellIs" dxfId="1449" priority="2533" operator="equal">
      <formula>1</formula>
    </cfRule>
    <cfRule type="cellIs" dxfId="1448" priority="2534" operator="equal">
      <formula>"×"</formula>
    </cfRule>
  </conditionalFormatting>
  <conditionalFormatting sqref="AE20:AE25">
    <cfRule type="cellIs" dxfId="1447" priority="2535" operator="equal">
      <formula>1</formula>
    </cfRule>
    <cfRule type="cellIs" dxfId="1446" priority="2536" operator="equal">
      <formula>"×"</formula>
    </cfRule>
  </conditionalFormatting>
  <conditionalFormatting sqref="AE20:AE25">
    <cfRule type="cellIs" dxfId="1445" priority="2561" operator="equal">
      <formula>1</formula>
    </cfRule>
    <cfRule type="cellIs" dxfId="1444" priority="2562" operator="equal">
      <formula>"×"</formula>
    </cfRule>
  </conditionalFormatting>
  <conditionalFormatting sqref="AE20:AE25">
    <cfRule type="cellIs" dxfId="1443" priority="2559" operator="equal">
      <formula>1</formula>
    </cfRule>
    <cfRule type="cellIs" dxfId="1442" priority="2560" operator="equal">
      <formula>"×"</formula>
    </cfRule>
  </conditionalFormatting>
  <conditionalFormatting sqref="AE20:AE25">
    <cfRule type="cellIs" dxfId="1441" priority="2557" operator="equal">
      <formula>1</formula>
    </cfRule>
    <cfRule type="cellIs" dxfId="1440" priority="2558" operator="equal">
      <formula>"×"</formula>
    </cfRule>
  </conditionalFormatting>
  <conditionalFormatting sqref="AE20:AE25">
    <cfRule type="cellIs" dxfId="1439" priority="2555" operator="equal">
      <formula>1</formula>
    </cfRule>
    <cfRule type="cellIs" dxfId="1438" priority="2556" operator="equal">
      <formula>"×"</formula>
    </cfRule>
  </conditionalFormatting>
  <conditionalFormatting sqref="AE20:AE25">
    <cfRule type="cellIs" dxfId="1437" priority="2553" operator="equal">
      <formula>1</formula>
    </cfRule>
    <cfRule type="cellIs" dxfId="1436" priority="2554" operator="equal">
      <formula>"×"</formula>
    </cfRule>
  </conditionalFormatting>
  <conditionalFormatting sqref="AE20:AE25">
    <cfRule type="cellIs" dxfId="1435" priority="2551" operator="equal">
      <formula>1</formula>
    </cfRule>
    <cfRule type="cellIs" dxfId="1434" priority="2552" operator="equal">
      <formula>"×"</formula>
    </cfRule>
  </conditionalFormatting>
  <conditionalFormatting sqref="AE20:AE25">
    <cfRule type="cellIs" dxfId="1433" priority="2549" operator="equal">
      <formula>1</formula>
    </cfRule>
    <cfRule type="cellIs" dxfId="1432" priority="2550" operator="equal">
      <formula>"×"</formula>
    </cfRule>
  </conditionalFormatting>
  <conditionalFormatting sqref="AE20:AE25">
    <cfRule type="cellIs" dxfId="1431" priority="2547" operator="equal">
      <formula>1</formula>
    </cfRule>
    <cfRule type="cellIs" dxfId="1430" priority="2548" operator="equal">
      <formula>"×"</formula>
    </cfRule>
  </conditionalFormatting>
  <conditionalFormatting sqref="AE20:AE25">
    <cfRule type="cellIs" dxfId="1429" priority="2545" operator="equal">
      <formula>1</formula>
    </cfRule>
    <cfRule type="cellIs" dxfId="1428" priority="2546" operator="equal">
      <formula>"×"</formula>
    </cfRule>
  </conditionalFormatting>
  <conditionalFormatting sqref="AE20:AE25">
    <cfRule type="cellIs" dxfId="1427" priority="2543" operator="equal">
      <formula>1</formula>
    </cfRule>
    <cfRule type="cellIs" dxfId="1426" priority="2544" operator="equal">
      <formula>"×"</formula>
    </cfRule>
  </conditionalFormatting>
  <conditionalFormatting sqref="AE20:AE25">
    <cfRule type="cellIs" dxfId="1425" priority="2541" operator="equal">
      <formula>1</formula>
    </cfRule>
    <cfRule type="cellIs" dxfId="1424" priority="2542" operator="equal">
      <formula>"×"</formula>
    </cfRule>
  </conditionalFormatting>
  <conditionalFormatting sqref="AE20:AE25">
    <cfRule type="cellIs" dxfId="1423" priority="2531" operator="equal">
      <formula>1</formula>
    </cfRule>
    <cfRule type="cellIs" dxfId="1422" priority="2532" operator="equal">
      <formula>"×"</formula>
    </cfRule>
  </conditionalFormatting>
  <conditionalFormatting sqref="AE20:AE25">
    <cfRule type="cellIs" dxfId="1421" priority="2529" operator="equal">
      <formula>1</formula>
    </cfRule>
    <cfRule type="cellIs" dxfId="1420" priority="2530" operator="equal">
      <formula>"×"</formula>
    </cfRule>
  </conditionalFormatting>
  <conditionalFormatting sqref="AE20:AE25">
    <cfRule type="cellIs" dxfId="1419" priority="2525" operator="equal">
      <formula>1</formula>
    </cfRule>
    <cfRule type="cellIs" dxfId="1418" priority="2526" operator="equal">
      <formula>"×"</formula>
    </cfRule>
  </conditionalFormatting>
  <conditionalFormatting sqref="AE20:AE25">
    <cfRule type="cellIs" dxfId="1417" priority="2527" operator="equal">
      <formula>1</formula>
    </cfRule>
    <cfRule type="cellIs" dxfId="1416" priority="2528" operator="equal">
      <formula>"×"</formula>
    </cfRule>
  </conditionalFormatting>
  <conditionalFormatting sqref="AE20:AE25">
    <cfRule type="cellIs" dxfId="1415" priority="2523" operator="equal">
      <formula>1</formula>
    </cfRule>
    <cfRule type="cellIs" dxfId="1414" priority="2524" operator="equal">
      <formula>"×"</formula>
    </cfRule>
  </conditionalFormatting>
  <conditionalFormatting sqref="AE20:AE25">
    <cfRule type="cellIs" dxfId="1413" priority="2521" operator="equal">
      <formula>1</formula>
    </cfRule>
    <cfRule type="cellIs" dxfId="1412" priority="2522" operator="equal">
      <formula>"×"</formula>
    </cfRule>
  </conditionalFormatting>
  <conditionalFormatting sqref="AE20:AE25">
    <cfRule type="cellIs" dxfId="1411" priority="2519" operator="equal">
      <formula>1</formula>
    </cfRule>
    <cfRule type="cellIs" dxfId="1410" priority="2520" operator="equal">
      <formula>"×"</formula>
    </cfRule>
  </conditionalFormatting>
  <conditionalFormatting sqref="AE20:AE25">
    <cfRule type="cellIs" dxfId="1409" priority="2517" operator="equal">
      <formula>1</formula>
    </cfRule>
    <cfRule type="cellIs" dxfId="1408" priority="2518" operator="equal">
      <formula>"×"</formula>
    </cfRule>
  </conditionalFormatting>
  <conditionalFormatting sqref="AE20:AE25">
    <cfRule type="cellIs" dxfId="1407" priority="2515" operator="equal">
      <formula>1</formula>
    </cfRule>
    <cfRule type="cellIs" dxfId="1406" priority="2516" operator="equal">
      <formula>"×"</formula>
    </cfRule>
  </conditionalFormatting>
  <conditionalFormatting sqref="AE20:AE25">
    <cfRule type="cellIs" dxfId="1405" priority="2513" operator="equal">
      <formula>1</formula>
    </cfRule>
    <cfRule type="cellIs" dxfId="1404" priority="2514" operator="equal">
      <formula>"×"</formula>
    </cfRule>
  </conditionalFormatting>
  <conditionalFormatting sqref="AE20:AE25">
    <cfRule type="cellIs" dxfId="1403" priority="2511" operator="equal">
      <formula>1</formula>
    </cfRule>
    <cfRule type="cellIs" dxfId="1402" priority="2512" operator="equal">
      <formula>"×"</formula>
    </cfRule>
  </conditionalFormatting>
  <conditionalFormatting sqref="AE20:AE25">
    <cfRule type="cellIs" dxfId="1401" priority="2509" operator="equal">
      <formula>1</formula>
    </cfRule>
    <cfRule type="cellIs" dxfId="1400" priority="2510" operator="equal">
      <formula>"×"</formula>
    </cfRule>
  </conditionalFormatting>
  <conditionalFormatting sqref="AE20:AE25">
    <cfRule type="cellIs" dxfId="1399" priority="2507" operator="equal">
      <formula>1</formula>
    </cfRule>
    <cfRule type="cellIs" dxfId="1398" priority="2508" operator="equal">
      <formula>"×"</formula>
    </cfRule>
  </conditionalFormatting>
  <conditionalFormatting sqref="AE20:AE25">
    <cfRule type="cellIs" dxfId="1397" priority="2505" operator="equal">
      <formula>1</formula>
    </cfRule>
    <cfRule type="cellIs" dxfId="1396" priority="2506" operator="equal">
      <formula>"×"</formula>
    </cfRule>
  </conditionalFormatting>
  <conditionalFormatting sqref="AE20:AE25">
    <cfRule type="cellIs" dxfId="1395" priority="2503" operator="equal">
      <formula>1</formula>
    </cfRule>
    <cfRule type="cellIs" dxfId="1394" priority="2504" operator="equal">
      <formula>"×"</formula>
    </cfRule>
  </conditionalFormatting>
  <conditionalFormatting sqref="AE20:AE25">
    <cfRule type="cellIs" dxfId="1393" priority="2501" operator="equal">
      <formula>1</formula>
    </cfRule>
    <cfRule type="cellIs" dxfId="1392" priority="2502" operator="equal">
      <formula>"×"</formula>
    </cfRule>
  </conditionalFormatting>
  <conditionalFormatting sqref="AE20:AE25">
    <cfRule type="cellIs" dxfId="1391" priority="2499" operator="equal">
      <formula>1</formula>
    </cfRule>
    <cfRule type="cellIs" dxfId="1390" priority="2500" operator="equal">
      <formula>"×"</formula>
    </cfRule>
  </conditionalFormatting>
  <conditionalFormatting sqref="AE20:AE25">
    <cfRule type="cellIs" dxfId="1389" priority="2497" operator="equal">
      <formula>1</formula>
    </cfRule>
    <cfRule type="cellIs" dxfId="1388" priority="2498" operator="equal">
      <formula>"×"</formula>
    </cfRule>
  </conditionalFormatting>
  <conditionalFormatting sqref="AE20:AE25">
    <cfRule type="cellIs" dxfId="1387" priority="2495" operator="equal">
      <formula>1</formula>
    </cfRule>
    <cfRule type="cellIs" dxfId="1386" priority="2496" operator="equal">
      <formula>"×"</formula>
    </cfRule>
  </conditionalFormatting>
  <conditionalFormatting sqref="AE20:AE25">
    <cfRule type="cellIs" dxfId="1385" priority="2493" operator="equal">
      <formula>1</formula>
    </cfRule>
    <cfRule type="cellIs" dxfId="1384" priority="2494" operator="equal">
      <formula>"×"</formula>
    </cfRule>
  </conditionalFormatting>
  <conditionalFormatting sqref="AE20:AE25">
    <cfRule type="cellIs" dxfId="1383" priority="2491" operator="equal">
      <formula>1</formula>
    </cfRule>
    <cfRule type="cellIs" dxfId="1382" priority="2492" operator="equal">
      <formula>"×"</formula>
    </cfRule>
  </conditionalFormatting>
  <conditionalFormatting sqref="AE20:AE25">
    <cfRule type="cellIs" dxfId="1381" priority="2489" operator="equal">
      <formula>1</formula>
    </cfRule>
    <cfRule type="cellIs" dxfId="1380" priority="2490" operator="equal">
      <formula>"×"</formula>
    </cfRule>
  </conditionalFormatting>
  <conditionalFormatting sqref="AE20:AE25">
    <cfRule type="cellIs" dxfId="1379" priority="2485" operator="equal">
      <formula>1</formula>
    </cfRule>
    <cfRule type="cellIs" dxfId="1378" priority="2486" operator="equal">
      <formula>"×"</formula>
    </cfRule>
  </conditionalFormatting>
  <conditionalFormatting sqref="AE20:AE25">
    <cfRule type="cellIs" dxfId="1377" priority="2487" operator="equal">
      <formula>1</formula>
    </cfRule>
    <cfRule type="cellIs" dxfId="1376" priority="2488" operator="equal">
      <formula>"×"</formula>
    </cfRule>
  </conditionalFormatting>
  <conditionalFormatting sqref="AE20:AE25">
    <cfRule type="cellIs" dxfId="1375" priority="2483" operator="equal">
      <formula>1</formula>
    </cfRule>
    <cfRule type="cellIs" dxfId="1374" priority="2484" operator="equal">
      <formula>"×"</formula>
    </cfRule>
  </conditionalFormatting>
  <conditionalFormatting sqref="AE20:AE25">
    <cfRule type="cellIs" dxfId="1373" priority="2481" operator="equal">
      <formula>1</formula>
    </cfRule>
    <cfRule type="cellIs" dxfId="1372" priority="2482" operator="equal">
      <formula>"×"</formula>
    </cfRule>
  </conditionalFormatting>
  <conditionalFormatting sqref="AD24">
    <cfRule type="cellIs" dxfId="1371" priority="2479" operator="equal">
      <formula>1</formula>
    </cfRule>
    <cfRule type="cellIs" dxfId="1370" priority="2480" operator="equal">
      <formula>"×"</formula>
    </cfRule>
  </conditionalFormatting>
  <conditionalFormatting sqref="AG23:AH25">
    <cfRule type="cellIs" dxfId="1369" priority="2477" operator="equal">
      <formula>1</formula>
    </cfRule>
    <cfRule type="cellIs" dxfId="1368" priority="2478" operator="equal">
      <formula>"×"</formula>
    </cfRule>
  </conditionalFormatting>
  <conditionalFormatting sqref="AF20:AI20 AF23:AI25">
    <cfRule type="cellIs" dxfId="1367" priority="2475" operator="equal">
      <formula>1</formula>
    </cfRule>
    <cfRule type="cellIs" dxfId="1366" priority="2476" operator="equal">
      <formula>"×"</formula>
    </cfRule>
  </conditionalFormatting>
  <conditionalFormatting sqref="AF23">
    <cfRule type="cellIs" dxfId="1365" priority="2473" operator="equal">
      <formula>1</formula>
    </cfRule>
    <cfRule type="cellIs" dxfId="1364" priority="2474" operator="equal">
      <formula>"×"</formula>
    </cfRule>
  </conditionalFormatting>
  <conditionalFormatting sqref="AF23">
    <cfRule type="cellIs" dxfId="1363" priority="2471" operator="equal">
      <formula>1</formula>
    </cfRule>
    <cfRule type="cellIs" dxfId="1362" priority="2472" operator="equal">
      <formula>"×"</formula>
    </cfRule>
  </conditionalFormatting>
  <conditionalFormatting sqref="AF23:AI23">
    <cfRule type="cellIs" dxfId="1361" priority="2469" operator="equal">
      <formula>1</formula>
    </cfRule>
    <cfRule type="cellIs" dxfId="1360" priority="2470" operator="equal">
      <formula>"×"</formula>
    </cfRule>
  </conditionalFormatting>
  <conditionalFormatting sqref="AI23">
    <cfRule type="cellIs" dxfId="1359" priority="2467" operator="equal">
      <formula>1</formula>
    </cfRule>
    <cfRule type="cellIs" dxfId="1358" priority="2468" operator="equal">
      <formula>"×"</formula>
    </cfRule>
  </conditionalFormatting>
  <conditionalFormatting sqref="AF23:AI23">
    <cfRule type="cellIs" dxfId="1357" priority="2465" operator="equal">
      <formula>1</formula>
    </cfRule>
    <cfRule type="cellIs" dxfId="1356" priority="2466" operator="equal">
      <formula>"×"</formula>
    </cfRule>
  </conditionalFormatting>
  <conditionalFormatting sqref="AF23:AI23">
    <cfRule type="cellIs" dxfId="1355" priority="2463" operator="equal">
      <formula>1</formula>
    </cfRule>
    <cfRule type="cellIs" dxfId="1354" priority="2464" operator="equal">
      <formula>"×"</formula>
    </cfRule>
  </conditionalFormatting>
  <conditionalFormatting sqref="AI23">
    <cfRule type="cellIs" dxfId="1353" priority="2461" operator="equal">
      <formula>1</formula>
    </cfRule>
    <cfRule type="cellIs" dxfId="1352" priority="2462" operator="equal">
      <formula>"×"</formula>
    </cfRule>
  </conditionalFormatting>
  <conditionalFormatting sqref="AF23:AI23">
    <cfRule type="cellIs" dxfId="1351" priority="2459" operator="equal">
      <formula>1</formula>
    </cfRule>
    <cfRule type="cellIs" dxfId="1350" priority="2460" operator="equal">
      <formula>"×"</formula>
    </cfRule>
  </conditionalFormatting>
  <conditionalFormatting sqref="AF23:AI23">
    <cfRule type="cellIs" dxfId="1349" priority="2457" operator="equal">
      <formula>1</formula>
    </cfRule>
    <cfRule type="cellIs" dxfId="1348" priority="2458" operator="equal">
      <formula>"×"</formula>
    </cfRule>
  </conditionalFormatting>
  <conditionalFormatting sqref="AI23">
    <cfRule type="cellIs" dxfId="1347" priority="2455" operator="equal">
      <formula>1</formula>
    </cfRule>
    <cfRule type="cellIs" dxfId="1346" priority="2456" operator="equal">
      <formula>"×"</formula>
    </cfRule>
  </conditionalFormatting>
  <conditionalFormatting sqref="AF24">
    <cfRule type="cellIs" dxfId="1345" priority="2453" operator="equal">
      <formula>1</formula>
    </cfRule>
    <cfRule type="cellIs" dxfId="1344" priority="2454" operator="equal">
      <formula>"×"</formula>
    </cfRule>
  </conditionalFormatting>
  <conditionalFormatting sqref="AF20 AF23:AF25">
    <cfRule type="cellIs" dxfId="1343" priority="2451" operator="equal">
      <formula>1</formula>
    </cfRule>
    <cfRule type="cellIs" dxfId="1342" priority="2452" operator="equal">
      <formula>"×"</formula>
    </cfRule>
  </conditionalFormatting>
  <conditionalFormatting sqref="AF20 AF23:AF25">
    <cfRule type="cellIs" dxfId="1341" priority="2449" operator="equal">
      <formula>1</formula>
    </cfRule>
    <cfRule type="cellIs" dxfId="1340" priority="2450" operator="equal">
      <formula>"×"</formula>
    </cfRule>
  </conditionalFormatting>
  <conditionalFormatting sqref="AF20 AF23:AF25">
    <cfRule type="cellIs" dxfId="1339" priority="2447" operator="equal">
      <formula>1</formula>
    </cfRule>
    <cfRule type="cellIs" dxfId="1338" priority="2448" operator="equal">
      <formula>"×"</formula>
    </cfRule>
  </conditionalFormatting>
  <conditionalFormatting sqref="AF20 AF23:AF25">
    <cfRule type="cellIs" dxfId="1337" priority="2445" operator="equal">
      <formula>1</formula>
    </cfRule>
    <cfRule type="cellIs" dxfId="1336" priority="2446" operator="equal">
      <formula>"×"</formula>
    </cfRule>
  </conditionalFormatting>
  <conditionalFormatting sqref="AF20 AF23:AF25">
    <cfRule type="cellIs" dxfId="1335" priority="2443" operator="equal">
      <formula>1</formula>
    </cfRule>
    <cfRule type="cellIs" dxfId="1334" priority="2444" operator="equal">
      <formula>"×"</formula>
    </cfRule>
  </conditionalFormatting>
  <conditionalFormatting sqref="AF20 AF23:AF25">
    <cfRule type="cellIs" dxfId="1333" priority="2441" operator="equal">
      <formula>1</formula>
    </cfRule>
    <cfRule type="cellIs" dxfId="1332" priority="2442" operator="equal">
      <formula>"×"</formula>
    </cfRule>
  </conditionalFormatting>
  <conditionalFormatting sqref="AG23:AI25">
    <cfRule type="cellIs" dxfId="1331" priority="2439" operator="equal">
      <formula>1</formula>
    </cfRule>
    <cfRule type="cellIs" dxfId="1330" priority="2440" operator="equal">
      <formula>"×"</formula>
    </cfRule>
  </conditionalFormatting>
  <conditionalFormatting sqref="AI23:AI25">
    <cfRule type="cellIs" dxfId="1329" priority="2437" operator="equal">
      <formula>1</formula>
    </cfRule>
    <cfRule type="cellIs" dxfId="1328" priority="2438" operator="equal">
      <formula>"×"</formula>
    </cfRule>
  </conditionalFormatting>
  <conditionalFormatting sqref="AG23:AI25">
    <cfRule type="cellIs" dxfId="1327" priority="2435" operator="equal">
      <formula>1</formula>
    </cfRule>
    <cfRule type="cellIs" dxfId="1326" priority="2436" operator="equal">
      <formula>"×"</formula>
    </cfRule>
  </conditionalFormatting>
  <conditionalFormatting sqref="AG23:AI25">
    <cfRule type="cellIs" dxfId="1325" priority="2433" operator="equal">
      <formula>1</formula>
    </cfRule>
    <cfRule type="cellIs" dxfId="1324" priority="2434" operator="equal">
      <formula>"×"</formula>
    </cfRule>
  </conditionalFormatting>
  <conditionalFormatting sqref="AI23:AI25">
    <cfRule type="cellIs" dxfId="1323" priority="2431" operator="equal">
      <formula>1</formula>
    </cfRule>
    <cfRule type="cellIs" dxfId="1322" priority="2432" operator="equal">
      <formula>"×"</formula>
    </cfRule>
  </conditionalFormatting>
  <conditionalFormatting sqref="AG23:AI25">
    <cfRule type="cellIs" dxfId="1321" priority="2429" operator="equal">
      <formula>1</formula>
    </cfRule>
    <cfRule type="cellIs" dxfId="1320" priority="2430" operator="equal">
      <formula>"×"</formula>
    </cfRule>
  </conditionalFormatting>
  <conditionalFormatting sqref="AF20 AF23:AF25">
    <cfRule type="cellIs" dxfId="1319" priority="2427" operator="equal">
      <formula>1</formula>
    </cfRule>
    <cfRule type="cellIs" dxfId="1318" priority="2428" operator="equal">
      <formula>"×"</formula>
    </cfRule>
  </conditionalFormatting>
  <conditionalFormatting sqref="AF20 AF23:AF25">
    <cfRule type="cellIs" dxfId="1317" priority="2425" operator="equal">
      <formula>1</formula>
    </cfRule>
    <cfRule type="cellIs" dxfId="1316" priority="2426" operator="equal">
      <formula>"×"</formula>
    </cfRule>
  </conditionalFormatting>
  <conditionalFormatting sqref="AF20 AF23:AF25">
    <cfRule type="cellIs" dxfId="1315" priority="2423" operator="equal">
      <formula>1</formula>
    </cfRule>
    <cfRule type="cellIs" dxfId="1314" priority="2424" operator="equal">
      <formula>"×"</formula>
    </cfRule>
  </conditionalFormatting>
  <conditionalFormatting sqref="AF20 AF23:AF25">
    <cfRule type="cellIs" dxfId="1313" priority="2421" operator="equal">
      <formula>1</formula>
    </cfRule>
    <cfRule type="cellIs" dxfId="1312" priority="2422" operator="equal">
      <formula>"×"</formula>
    </cfRule>
  </conditionalFormatting>
  <conditionalFormatting sqref="AF20 AF23:AF25">
    <cfRule type="cellIs" dxfId="1311" priority="2419" operator="equal">
      <formula>1</formula>
    </cfRule>
    <cfRule type="cellIs" dxfId="1310" priority="2420" operator="equal">
      <formula>"×"</formula>
    </cfRule>
  </conditionalFormatting>
  <conditionalFormatting sqref="AF20 AF23:AF25">
    <cfRule type="cellIs" dxfId="1309" priority="2417" operator="equal">
      <formula>1</formula>
    </cfRule>
    <cfRule type="cellIs" dxfId="1308" priority="2418" operator="equal">
      <formula>"×"</formula>
    </cfRule>
  </conditionalFormatting>
  <conditionalFormatting sqref="AF20 AF23:AF25">
    <cfRule type="cellIs" dxfId="1307" priority="2415" operator="equal">
      <formula>1</formula>
    </cfRule>
    <cfRule type="cellIs" dxfId="1306" priority="2416" operator="equal">
      <formula>"×"</formula>
    </cfRule>
  </conditionalFormatting>
  <conditionalFormatting sqref="AG23:AI25">
    <cfRule type="cellIs" dxfId="1305" priority="2413" operator="equal">
      <formula>1</formula>
    </cfRule>
    <cfRule type="cellIs" dxfId="1304" priority="2414" operator="equal">
      <formula>"×"</formula>
    </cfRule>
  </conditionalFormatting>
  <conditionalFormatting sqref="AG23:AI25">
    <cfRule type="cellIs" dxfId="1303" priority="2409" operator="equal">
      <formula>1</formula>
    </cfRule>
    <cfRule type="cellIs" dxfId="1302" priority="2410" operator="equal">
      <formula>"×"</formula>
    </cfRule>
  </conditionalFormatting>
  <conditionalFormatting sqref="AI23:AI25">
    <cfRule type="cellIs" dxfId="1301" priority="2411" operator="equal">
      <formula>1</formula>
    </cfRule>
    <cfRule type="cellIs" dxfId="1300" priority="2412" operator="equal">
      <formula>"×"</formula>
    </cfRule>
  </conditionalFormatting>
  <conditionalFormatting sqref="AG23:AI25">
    <cfRule type="cellIs" dxfId="1299" priority="2407" operator="equal">
      <formula>1</formula>
    </cfRule>
    <cfRule type="cellIs" dxfId="1298" priority="2408" operator="equal">
      <formula>"×"</formula>
    </cfRule>
  </conditionalFormatting>
  <conditionalFormatting sqref="AI23:AI25">
    <cfRule type="cellIs" dxfId="1297" priority="2405" operator="equal">
      <formula>1</formula>
    </cfRule>
    <cfRule type="cellIs" dxfId="1296" priority="2406" operator="equal">
      <formula>"×"</formula>
    </cfRule>
  </conditionalFormatting>
  <conditionalFormatting sqref="AG23:AI25">
    <cfRule type="cellIs" dxfId="1295" priority="2403" operator="equal">
      <formula>1</formula>
    </cfRule>
    <cfRule type="cellIs" dxfId="1294" priority="2404" operator="equal">
      <formula>"×"</formula>
    </cfRule>
  </conditionalFormatting>
  <conditionalFormatting sqref="AI23:AI25">
    <cfRule type="cellIs" dxfId="1293" priority="2401" operator="equal">
      <formula>1</formula>
    </cfRule>
    <cfRule type="cellIs" dxfId="1292" priority="2402" operator="equal">
      <formula>"×"</formula>
    </cfRule>
  </conditionalFormatting>
  <conditionalFormatting sqref="AI23:AI25">
    <cfRule type="cellIs" dxfId="1291" priority="2399" operator="equal">
      <formula>1</formula>
    </cfRule>
    <cfRule type="cellIs" dxfId="1290" priority="2400" operator="equal">
      <formula>"×"</formula>
    </cfRule>
  </conditionalFormatting>
  <conditionalFormatting sqref="AI23:AI25">
    <cfRule type="cellIs" dxfId="1289" priority="2397" operator="equal">
      <formula>1</formula>
    </cfRule>
    <cfRule type="cellIs" dxfId="1288" priority="2398" operator="equal">
      <formula>"×"</formula>
    </cfRule>
  </conditionalFormatting>
  <conditionalFormatting sqref="AI23:AI25">
    <cfRule type="cellIs" dxfId="1287" priority="2395" operator="equal">
      <formula>1</formula>
    </cfRule>
    <cfRule type="cellIs" dxfId="1286" priority="2396" operator="equal">
      <formula>"×"</formula>
    </cfRule>
  </conditionalFormatting>
  <conditionalFormatting sqref="AI23:AI25">
    <cfRule type="cellIs" dxfId="1285" priority="2393" operator="equal">
      <formula>1</formula>
    </cfRule>
    <cfRule type="cellIs" dxfId="1284" priority="2394" operator="equal">
      <formula>"×"</formula>
    </cfRule>
  </conditionalFormatting>
  <conditionalFormatting sqref="AI23:AI25">
    <cfRule type="cellIs" dxfId="1283" priority="2391" operator="equal">
      <formula>1</formula>
    </cfRule>
    <cfRule type="cellIs" dxfId="1282" priority="2392" operator="equal">
      <formula>"×"</formula>
    </cfRule>
  </conditionalFormatting>
  <conditionalFormatting sqref="AF23:AI23">
    <cfRule type="cellIs" dxfId="1281" priority="2367" operator="equal">
      <formula>1</formula>
    </cfRule>
    <cfRule type="cellIs" dxfId="1280" priority="2368" operator="equal">
      <formula>"×"</formula>
    </cfRule>
  </conditionalFormatting>
  <conditionalFormatting sqref="AI23">
    <cfRule type="cellIs" dxfId="1279" priority="2365" operator="equal">
      <formula>1</formula>
    </cfRule>
    <cfRule type="cellIs" dxfId="1278" priority="2366" operator="equal">
      <formula>"×"</formula>
    </cfRule>
  </conditionalFormatting>
  <conditionalFormatting sqref="AF23:AI23">
    <cfRule type="cellIs" dxfId="1277" priority="2363" operator="equal">
      <formula>1</formula>
    </cfRule>
    <cfRule type="cellIs" dxfId="1276" priority="2364" operator="equal">
      <formula>"×"</formula>
    </cfRule>
  </conditionalFormatting>
  <conditionalFormatting sqref="AF23">
    <cfRule type="cellIs" dxfId="1275" priority="2389" operator="equal">
      <formula>1</formula>
    </cfRule>
    <cfRule type="cellIs" dxfId="1274" priority="2390" operator="equal">
      <formula>"×"</formula>
    </cfRule>
  </conditionalFormatting>
  <conditionalFormatting sqref="AF23">
    <cfRule type="cellIs" dxfId="1273" priority="2387" operator="equal">
      <formula>1</formula>
    </cfRule>
    <cfRule type="cellIs" dxfId="1272" priority="2388" operator="equal">
      <formula>"×"</formula>
    </cfRule>
  </conditionalFormatting>
  <conditionalFormatting sqref="AF20 AF23:AF25">
    <cfRule type="cellIs" dxfId="1271" priority="2385" operator="equal">
      <formula>1</formula>
    </cfRule>
    <cfRule type="cellIs" dxfId="1270" priority="2386" operator="equal">
      <formula>"×"</formula>
    </cfRule>
  </conditionalFormatting>
  <conditionalFormatting sqref="AF20 AF23:AF25">
    <cfRule type="cellIs" dxfId="1269" priority="2383" operator="equal">
      <formula>1</formula>
    </cfRule>
    <cfRule type="cellIs" dxfId="1268" priority="2384" operator="equal">
      <formula>"×"</formula>
    </cfRule>
  </conditionalFormatting>
  <conditionalFormatting sqref="AF23">
    <cfRule type="cellIs" dxfId="1267" priority="2381" operator="equal">
      <formula>1</formula>
    </cfRule>
    <cfRule type="cellIs" dxfId="1266" priority="2382" operator="equal">
      <formula>"×"</formula>
    </cfRule>
  </conditionalFormatting>
  <conditionalFormatting sqref="AF23">
    <cfRule type="cellIs" dxfId="1265" priority="2379" operator="equal">
      <formula>1</formula>
    </cfRule>
    <cfRule type="cellIs" dxfId="1264" priority="2380" operator="equal">
      <formula>"×"</formula>
    </cfRule>
  </conditionalFormatting>
  <conditionalFormatting sqref="AF20 AF23:AI25">
    <cfRule type="cellIs" dxfId="1263" priority="2377" operator="equal">
      <formula>1</formula>
    </cfRule>
    <cfRule type="cellIs" dxfId="1262" priority="2378" operator="equal">
      <formula>"×"</formula>
    </cfRule>
  </conditionalFormatting>
  <conditionalFormatting sqref="AI24">
    <cfRule type="cellIs" dxfId="1261" priority="2375" operator="equal">
      <formula>1</formula>
    </cfRule>
    <cfRule type="cellIs" dxfId="1260" priority="2376" operator="equal">
      <formula>"×"</formula>
    </cfRule>
  </conditionalFormatting>
  <conditionalFormatting sqref="AF20 AF23:AI25">
    <cfRule type="cellIs" dxfId="1259" priority="2373" operator="equal">
      <formula>1</formula>
    </cfRule>
    <cfRule type="cellIs" dxfId="1258" priority="2374" operator="equal">
      <formula>"×"</formula>
    </cfRule>
  </conditionalFormatting>
  <conditionalFormatting sqref="AF23">
    <cfRule type="cellIs" dxfId="1257" priority="2371" operator="equal">
      <formula>1</formula>
    </cfRule>
    <cfRule type="cellIs" dxfId="1256" priority="2372" operator="equal">
      <formula>"×"</formula>
    </cfRule>
  </conditionalFormatting>
  <conditionalFormatting sqref="AF23">
    <cfRule type="cellIs" dxfId="1255" priority="2369" operator="equal">
      <formula>1</formula>
    </cfRule>
    <cfRule type="cellIs" dxfId="1254" priority="2370" operator="equal">
      <formula>"×"</formula>
    </cfRule>
  </conditionalFormatting>
  <conditionalFormatting sqref="AF20 AF23:AI25">
    <cfRule type="cellIs" dxfId="1253" priority="2361" operator="equal">
      <formula>1</formula>
    </cfRule>
    <cfRule type="cellIs" dxfId="1252" priority="2362" operator="equal">
      <formula>"×"</formula>
    </cfRule>
  </conditionalFormatting>
  <conditionalFormatting sqref="AI24">
    <cfRule type="cellIs" dxfId="1251" priority="2359" operator="equal">
      <formula>1</formula>
    </cfRule>
    <cfRule type="cellIs" dxfId="1250" priority="2360" operator="equal">
      <formula>"×"</formula>
    </cfRule>
  </conditionalFormatting>
  <conditionalFormatting sqref="AF20 AF23:AI25">
    <cfRule type="cellIs" dxfId="1249" priority="2357" operator="equal">
      <formula>1</formula>
    </cfRule>
    <cfRule type="cellIs" dxfId="1248" priority="2358" operator="equal">
      <formula>"×"</formula>
    </cfRule>
  </conditionalFormatting>
  <conditionalFormatting sqref="AF20 AF23:AI25">
    <cfRule type="cellIs" dxfId="1247" priority="2355" operator="equal">
      <formula>1</formula>
    </cfRule>
    <cfRule type="cellIs" dxfId="1246" priority="2356" operator="equal">
      <formula>"×"</formula>
    </cfRule>
  </conditionalFormatting>
  <conditionalFormatting sqref="AI24">
    <cfRule type="cellIs" dxfId="1245" priority="2353" operator="equal">
      <formula>1</formula>
    </cfRule>
    <cfRule type="cellIs" dxfId="1244" priority="2354" operator="equal">
      <formula>"×"</formula>
    </cfRule>
  </conditionalFormatting>
  <conditionalFormatting sqref="AF23">
    <cfRule type="cellIs" dxfId="1243" priority="2351" operator="equal">
      <formula>1</formula>
    </cfRule>
    <cfRule type="cellIs" dxfId="1242" priority="2352" operator="equal">
      <formula>"×"</formula>
    </cfRule>
  </conditionalFormatting>
  <conditionalFormatting sqref="AF23">
    <cfRule type="cellIs" dxfId="1241" priority="2347" operator="equal">
      <formula>1</formula>
    </cfRule>
    <cfRule type="cellIs" dxfId="1240" priority="2348" operator="equal">
      <formula>"×"</formula>
    </cfRule>
  </conditionalFormatting>
  <conditionalFormatting sqref="AF23">
    <cfRule type="cellIs" dxfId="1239" priority="2349" operator="equal">
      <formula>1</formula>
    </cfRule>
    <cfRule type="cellIs" dxfId="1238" priority="2350" operator="equal">
      <formula>"×"</formula>
    </cfRule>
  </conditionalFormatting>
  <conditionalFormatting sqref="AF23">
    <cfRule type="cellIs" dxfId="1237" priority="2345" operator="equal">
      <formula>1</formula>
    </cfRule>
    <cfRule type="cellIs" dxfId="1236" priority="2346" operator="equal">
      <formula>"×"</formula>
    </cfRule>
  </conditionalFormatting>
  <conditionalFormatting sqref="AF23">
    <cfRule type="cellIs" dxfId="1235" priority="2343" operator="equal">
      <formula>1</formula>
    </cfRule>
    <cfRule type="cellIs" dxfId="1234" priority="2344" operator="equal">
      <formula>"×"</formula>
    </cfRule>
  </conditionalFormatting>
  <conditionalFormatting sqref="AF23">
    <cfRule type="cellIs" dxfId="1233" priority="2341" operator="equal">
      <formula>1</formula>
    </cfRule>
    <cfRule type="cellIs" dxfId="1232" priority="2342" operator="equal">
      <formula>"×"</formula>
    </cfRule>
  </conditionalFormatting>
  <conditionalFormatting sqref="AF23">
    <cfRule type="cellIs" dxfId="1231" priority="2339" operator="equal">
      <formula>1</formula>
    </cfRule>
    <cfRule type="cellIs" dxfId="1230" priority="2340" operator="equal">
      <formula>"×"</formula>
    </cfRule>
  </conditionalFormatting>
  <conditionalFormatting sqref="AH22:AI22">
    <cfRule type="cellIs" dxfId="1229" priority="2337" operator="equal">
      <formula>1</formula>
    </cfRule>
    <cfRule type="cellIs" dxfId="1228" priority="2338" operator="equal">
      <formula>"×"</formula>
    </cfRule>
  </conditionalFormatting>
  <conditionalFormatting sqref="AI22">
    <cfRule type="cellIs" dxfId="1227" priority="2335" operator="equal">
      <formula>1</formula>
    </cfRule>
    <cfRule type="cellIs" dxfId="1226" priority="2336" operator="equal">
      <formula>"×"</formula>
    </cfRule>
  </conditionalFormatting>
  <conditionalFormatting sqref="AH22:AI22">
    <cfRule type="cellIs" dxfId="1225" priority="2333" operator="equal">
      <formula>1</formula>
    </cfRule>
    <cfRule type="cellIs" dxfId="1224" priority="2334" operator="equal">
      <formula>"×"</formula>
    </cfRule>
  </conditionalFormatting>
  <conditionalFormatting sqref="AH22:AI22">
    <cfRule type="cellIs" dxfId="1223" priority="2331" operator="equal">
      <formula>1</formula>
    </cfRule>
    <cfRule type="cellIs" dxfId="1222" priority="2332" operator="equal">
      <formula>"×"</formula>
    </cfRule>
  </conditionalFormatting>
  <conditionalFormatting sqref="AI22">
    <cfRule type="cellIs" dxfId="1221" priority="2329" operator="equal">
      <formula>1</formula>
    </cfRule>
    <cfRule type="cellIs" dxfId="1220" priority="2330" operator="equal">
      <formula>"×"</formula>
    </cfRule>
  </conditionalFormatting>
  <conditionalFormatting sqref="AH22:AI22">
    <cfRule type="cellIs" dxfId="1219" priority="2327" operator="equal">
      <formula>1</formula>
    </cfRule>
    <cfRule type="cellIs" dxfId="1218" priority="2328" operator="equal">
      <formula>"×"</formula>
    </cfRule>
  </conditionalFormatting>
  <conditionalFormatting sqref="AH20">
    <cfRule type="cellIs" dxfId="1217" priority="2325" operator="equal">
      <formula>1</formula>
    </cfRule>
    <cfRule type="cellIs" dxfId="1216" priority="2326" operator="equal">
      <formula>"×"</formula>
    </cfRule>
  </conditionalFormatting>
  <conditionalFormatting sqref="AH20">
    <cfRule type="cellIs" dxfId="1215" priority="2323" operator="equal">
      <formula>1</formula>
    </cfRule>
    <cfRule type="cellIs" dxfId="1214" priority="2324" operator="equal">
      <formula>"×"</formula>
    </cfRule>
  </conditionalFormatting>
  <conditionalFormatting sqref="AH20">
    <cfRule type="cellIs" dxfId="1213" priority="2297" operator="equal">
      <formula>1</formula>
    </cfRule>
    <cfRule type="cellIs" dxfId="1212" priority="2298" operator="equal">
      <formula>"×"</formula>
    </cfRule>
  </conditionalFormatting>
  <conditionalFormatting sqref="AH20">
    <cfRule type="cellIs" dxfId="1211" priority="2295" operator="equal">
      <formula>1</formula>
    </cfRule>
    <cfRule type="cellIs" dxfId="1210" priority="2296" operator="equal">
      <formula>"×"</formula>
    </cfRule>
  </conditionalFormatting>
  <conditionalFormatting sqref="AH20">
    <cfRule type="cellIs" dxfId="1209" priority="2291" operator="equal">
      <formula>1</formula>
    </cfRule>
    <cfRule type="cellIs" dxfId="1208" priority="2292" operator="equal">
      <formula>"×"</formula>
    </cfRule>
  </conditionalFormatting>
  <conditionalFormatting sqref="AH20">
    <cfRule type="cellIs" dxfId="1207" priority="2293" operator="equal">
      <formula>1</formula>
    </cfRule>
    <cfRule type="cellIs" dxfId="1206" priority="2294" operator="equal">
      <formula>"×"</formula>
    </cfRule>
  </conditionalFormatting>
  <conditionalFormatting sqref="AH20">
    <cfRule type="cellIs" dxfId="1205" priority="2321" operator="equal">
      <formula>1</formula>
    </cfRule>
    <cfRule type="cellIs" dxfId="1204" priority="2322" operator="equal">
      <formula>"×"</formula>
    </cfRule>
  </conditionalFormatting>
  <conditionalFormatting sqref="AH20">
    <cfRule type="cellIs" dxfId="1203" priority="2319" operator="equal">
      <formula>1</formula>
    </cfRule>
    <cfRule type="cellIs" dxfId="1202" priority="2320" operator="equal">
      <formula>"×"</formula>
    </cfRule>
  </conditionalFormatting>
  <conditionalFormatting sqref="AH20">
    <cfRule type="cellIs" dxfId="1201" priority="2317" operator="equal">
      <formula>1</formula>
    </cfRule>
    <cfRule type="cellIs" dxfId="1200" priority="2318" operator="equal">
      <formula>"×"</formula>
    </cfRule>
  </conditionalFormatting>
  <conditionalFormatting sqref="AH20">
    <cfRule type="cellIs" dxfId="1199" priority="2315" operator="equal">
      <formula>1</formula>
    </cfRule>
    <cfRule type="cellIs" dxfId="1198" priority="2316" operator="equal">
      <formula>"×"</formula>
    </cfRule>
  </conditionalFormatting>
  <conditionalFormatting sqref="AH20">
    <cfRule type="cellIs" dxfId="1197" priority="2313" operator="equal">
      <formula>1</formula>
    </cfRule>
    <cfRule type="cellIs" dxfId="1196" priority="2314" operator="equal">
      <formula>"×"</formula>
    </cfRule>
  </conditionalFormatting>
  <conditionalFormatting sqref="AH20">
    <cfRule type="cellIs" dxfId="1195" priority="2311" operator="equal">
      <formula>1</formula>
    </cfRule>
    <cfRule type="cellIs" dxfId="1194" priority="2312" operator="equal">
      <formula>"×"</formula>
    </cfRule>
  </conditionalFormatting>
  <conditionalFormatting sqref="AH20">
    <cfRule type="cellIs" dxfId="1193" priority="2309" operator="equal">
      <formula>1</formula>
    </cfRule>
    <cfRule type="cellIs" dxfId="1192" priority="2310" operator="equal">
      <formula>"×"</formula>
    </cfRule>
  </conditionalFormatting>
  <conditionalFormatting sqref="AH20">
    <cfRule type="cellIs" dxfId="1191" priority="2307" operator="equal">
      <formula>1</formula>
    </cfRule>
    <cfRule type="cellIs" dxfId="1190" priority="2308" operator="equal">
      <formula>"×"</formula>
    </cfRule>
  </conditionalFormatting>
  <conditionalFormatting sqref="AH20">
    <cfRule type="cellIs" dxfId="1189" priority="2305" operator="equal">
      <formula>1</formula>
    </cfRule>
    <cfRule type="cellIs" dxfId="1188" priority="2306" operator="equal">
      <formula>"×"</formula>
    </cfRule>
  </conditionalFormatting>
  <conditionalFormatting sqref="AH20">
    <cfRule type="cellIs" dxfId="1187" priority="2303" operator="equal">
      <formula>1</formula>
    </cfRule>
    <cfRule type="cellIs" dxfId="1186" priority="2304" operator="equal">
      <formula>"×"</formula>
    </cfRule>
  </conditionalFormatting>
  <conditionalFormatting sqref="AH20">
    <cfRule type="cellIs" dxfId="1185" priority="2301" operator="equal">
      <formula>1</formula>
    </cfRule>
    <cfRule type="cellIs" dxfId="1184" priority="2302" operator="equal">
      <formula>"×"</formula>
    </cfRule>
  </conditionalFormatting>
  <conditionalFormatting sqref="AH20">
    <cfRule type="cellIs" dxfId="1183" priority="2299" operator="equal">
      <formula>1</formula>
    </cfRule>
    <cfRule type="cellIs" dxfId="1182" priority="2300" operator="equal">
      <formula>"×"</formula>
    </cfRule>
  </conditionalFormatting>
  <conditionalFormatting sqref="AF20:AI20 AF23:AI25">
    <cfRule type="cellIs" dxfId="1181" priority="2289" operator="equal">
      <formula>1</formula>
    </cfRule>
    <cfRule type="cellIs" dxfId="1180" priority="2290" operator="equal">
      <formula>"×"</formula>
    </cfRule>
  </conditionalFormatting>
  <conditionalFormatting sqref="AG23:AH25">
    <cfRule type="cellIs" dxfId="1179" priority="2287" operator="equal">
      <formula>1</formula>
    </cfRule>
    <cfRule type="cellIs" dxfId="1178" priority="2288" operator="equal">
      <formula>"×"</formula>
    </cfRule>
  </conditionalFormatting>
  <conditionalFormatting sqref="AF23">
    <cfRule type="cellIs" dxfId="1177" priority="2285" operator="equal">
      <formula>1</formula>
    </cfRule>
    <cfRule type="cellIs" dxfId="1176" priority="2286" operator="equal">
      <formula>"×"</formula>
    </cfRule>
  </conditionalFormatting>
  <conditionalFormatting sqref="AF23">
    <cfRule type="cellIs" dxfId="1175" priority="2283" operator="equal">
      <formula>1</formula>
    </cfRule>
    <cfRule type="cellIs" dxfId="1174" priority="2284" operator="equal">
      <formula>"×"</formula>
    </cfRule>
  </conditionalFormatting>
  <conditionalFormatting sqref="AF23:AI23">
    <cfRule type="cellIs" dxfId="1173" priority="2281" operator="equal">
      <formula>1</formula>
    </cfRule>
    <cfRule type="cellIs" dxfId="1172" priority="2282" operator="equal">
      <formula>"×"</formula>
    </cfRule>
  </conditionalFormatting>
  <conditionalFormatting sqref="AI23">
    <cfRule type="cellIs" dxfId="1171" priority="2279" operator="equal">
      <formula>1</formula>
    </cfRule>
    <cfRule type="cellIs" dxfId="1170" priority="2280" operator="equal">
      <formula>"×"</formula>
    </cfRule>
  </conditionalFormatting>
  <conditionalFormatting sqref="AF23:AI23">
    <cfRule type="cellIs" dxfId="1169" priority="2277" operator="equal">
      <formula>1</formula>
    </cfRule>
    <cfRule type="cellIs" dxfId="1168" priority="2278" operator="equal">
      <formula>"×"</formula>
    </cfRule>
  </conditionalFormatting>
  <conditionalFormatting sqref="AF23:AI23">
    <cfRule type="cellIs" dxfId="1167" priority="2275" operator="equal">
      <formula>1</formula>
    </cfRule>
    <cfRule type="cellIs" dxfId="1166" priority="2276" operator="equal">
      <formula>"×"</formula>
    </cfRule>
  </conditionalFormatting>
  <conditionalFormatting sqref="AI23">
    <cfRule type="cellIs" dxfId="1165" priority="2273" operator="equal">
      <formula>1</formula>
    </cfRule>
    <cfRule type="cellIs" dxfId="1164" priority="2274" operator="equal">
      <formula>"×"</formula>
    </cfRule>
  </conditionalFormatting>
  <conditionalFormatting sqref="AF23:AI23">
    <cfRule type="cellIs" dxfId="1163" priority="2271" operator="equal">
      <formula>1</formula>
    </cfRule>
    <cfRule type="cellIs" dxfId="1162" priority="2272" operator="equal">
      <formula>"×"</formula>
    </cfRule>
  </conditionalFormatting>
  <conditionalFormatting sqref="AF23:AI23">
    <cfRule type="cellIs" dxfId="1161" priority="2269" operator="equal">
      <formula>1</formula>
    </cfRule>
    <cfRule type="cellIs" dxfId="1160" priority="2270" operator="equal">
      <formula>"×"</formula>
    </cfRule>
  </conditionalFormatting>
  <conditionalFormatting sqref="AI23">
    <cfRule type="cellIs" dxfId="1159" priority="2267" operator="equal">
      <formula>1</formula>
    </cfRule>
    <cfRule type="cellIs" dxfId="1158" priority="2268" operator="equal">
      <formula>"×"</formula>
    </cfRule>
  </conditionalFormatting>
  <conditionalFormatting sqref="AF24">
    <cfRule type="cellIs" dxfId="1157" priority="2265" operator="equal">
      <formula>1</formula>
    </cfRule>
    <cfRule type="cellIs" dxfId="1156" priority="2266" operator="equal">
      <formula>"×"</formula>
    </cfRule>
  </conditionalFormatting>
  <conditionalFormatting sqref="AF20 AF23:AF25">
    <cfRule type="cellIs" dxfId="1155" priority="2263" operator="equal">
      <formula>1</formula>
    </cfRule>
    <cfRule type="cellIs" dxfId="1154" priority="2264" operator="equal">
      <formula>"×"</formula>
    </cfRule>
  </conditionalFormatting>
  <conditionalFormatting sqref="AF20 AF23:AF25">
    <cfRule type="cellIs" dxfId="1153" priority="2261" operator="equal">
      <formula>1</formula>
    </cfRule>
    <cfRule type="cellIs" dxfId="1152" priority="2262" operator="equal">
      <formula>"×"</formula>
    </cfRule>
  </conditionalFormatting>
  <conditionalFormatting sqref="AF20 AF23:AF25">
    <cfRule type="cellIs" dxfId="1151" priority="2259" operator="equal">
      <formula>1</formula>
    </cfRule>
    <cfRule type="cellIs" dxfId="1150" priority="2260" operator="equal">
      <formula>"×"</formula>
    </cfRule>
  </conditionalFormatting>
  <conditionalFormatting sqref="AF20 AF23:AF25">
    <cfRule type="cellIs" dxfId="1149" priority="2257" operator="equal">
      <formula>1</formula>
    </cfRule>
    <cfRule type="cellIs" dxfId="1148" priority="2258" operator="equal">
      <formula>"×"</formula>
    </cfRule>
  </conditionalFormatting>
  <conditionalFormatting sqref="AF20 AF23:AF25">
    <cfRule type="cellIs" dxfId="1147" priority="2255" operator="equal">
      <formula>1</formula>
    </cfRule>
    <cfRule type="cellIs" dxfId="1146" priority="2256" operator="equal">
      <formula>"×"</formula>
    </cfRule>
  </conditionalFormatting>
  <conditionalFormatting sqref="AF20 AF23:AF25">
    <cfRule type="cellIs" dxfId="1145" priority="2253" operator="equal">
      <formula>1</formula>
    </cfRule>
    <cfRule type="cellIs" dxfId="1144" priority="2254" operator="equal">
      <formula>"×"</formula>
    </cfRule>
  </conditionalFormatting>
  <conditionalFormatting sqref="AG23:AI25">
    <cfRule type="cellIs" dxfId="1143" priority="2251" operator="equal">
      <formula>1</formula>
    </cfRule>
    <cfRule type="cellIs" dxfId="1142" priority="2252" operator="equal">
      <formula>"×"</formula>
    </cfRule>
  </conditionalFormatting>
  <conditionalFormatting sqref="AI23:AI25">
    <cfRule type="cellIs" dxfId="1141" priority="2249" operator="equal">
      <formula>1</formula>
    </cfRule>
    <cfRule type="cellIs" dxfId="1140" priority="2250" operator="equal">
      <formula>"×"</formula>
    </cfRule>
  </conditionalFormatting>
  <conditionalFormatting sqref="AG23:AI25">
    <cfRule type="cellIs" dxfId="1139" priority="2247" operator="equal">
      <formula>1</formula>
    </cfRule>
    <cfRule type="cellIs" dxfId="1138" priority="2248" operator="equal">
      <formula>"×"</formula>
    </cfRule>
  </conditionalFormatting>
  <conditionalFormatting sqref="AG23:AI25">
    <cfRule type="cellIs" dxfId="1137" priority="2245" operator="equal">
      <formula>1</formula>
    </cfRule>
    <cfRule type="cellIs" dxfId="1136" priority="2246" operator="equal">
      <formula>"×"</formula>
    </cfRule>
  </conditionalFormatting>
  <conditionalFormatting sqref="AI23:AI25">
    <cfRule type="cellIs" dxfId="1135" priority="2243" operator="equal">
      <formula>1</formula>
    </cfRule>
    <cfRule type="cellIs" dxfId="1134" priority="2244" operator="equal">
      <formula>"×"</formula>
    </cfRule>
  </conditionalFormatting>
  <conditionalFormatting sqref="AG23:AI25">
    <cfRule type="cellIs" dxfId="1133" priority="2241" operator="equal">
      <formula>1</formula>
    </cfRule>
    <cfRule type="cellIs" dxfId="1132" priority="2242" operator="equal">
      <formula>"×"</formula>
    </cfRule>
  </conditionalFormatting>
  <conditionalFormatting sqref="AF20 AF23:AF25">
    <cfRule type="cellIs" dxfId="1131" priority="2239" operator="equal">
      <formula>1</formula>
    </cfRule>
    <cfRule type="cellIs" dxfId="1130" priority="2240" operator="equal">
      <formula>"×"</formula>
    </cfRule>
  </conditionalFormatting>
  <conditionalFormatting sqref="AF20 AF23:AF25">
    <cfRule type="cellIs" dxfId="1129" priority="2237" operator="equal">
      <formula>1</formula>
    </cfRule>
    <cfRule type="cellIs" dxfId="1128" priority="2238" operator="equal">
      <formula>"×"</formula>
    </cfRule>
  </conditionalFormatting>
  <conditionalFormatting sqref="AF20 AF23:AF25">
    <cfRule type="cellIs" dxfId="1127" priority="2235" operator="equal">
      <formula>1</formula>
    </cfRule>
    <cfRule type="cellIs" dxfId="1126" priority="2236" operator="equal">
      <formula>"×"</formula>
    </cfRule>
  </conditionalFormatting>
  <conditionalFormatting sqref="AF20 AF23:AF25">
    <cfRule type="cellIs" dxfId="1125" priority="2233" operator="equal">
      <formula>1</formula>
    </cfRule>
    <cfRule type="cellIs" dxfId="1124" priority="2234" operator="equal">
      <formula>"×"</formula>
    </cfRule>
  </conditionalFormatting>
  <conditionalFormatting sqref="AF20 AF23:AF25">
    <cfRule type="cellIs" dxfId="1123" priority="2231" operator="equal">
      <formula>1</formula>
    </cfRule>
    <cfRule type="cellIs" dxfId="1122" priority="2232" operator="equal">
      <formula>"×"</formula>
    </cfRule>
  </conditionalFormatting>
  <conditionalFormatting sqref="AF20 AF23:AF25">
    <cfRule type="cellIs" dxfId="1121" priority="2229" operator="equal">
      <formula>1</formula>
    </cfRule>
    <cfRule type="cellIs" dxfId="1120" priority="2230" operator="equal">
      <formula>"×"</formula>
    </cfRule>
  </conditionalFormatting>
  <conditionalFormatting sqref="AF20 AF23:AF25">
    <cfRule type="cellIs" dxfId="1119" priority="2227" operator="equal">
      <formula>1</formula>
    </cfRule>
    <cfRule type="cellIs" dxfId="1118" priority="2228" operator="equal">
      <formula>"×"</formula>
    </cfRule>
  </conditionalFormatting>
  <conditionalFormatting sqref="AG23:AI25">
    <cfRule type="cellIs" dxfId="1117" priority="2225" operator="equal">
      <formula>1</formula>
    </cfRule>
    <cfRule type="cellIs" dxfId="1116" priority="2226" operator="equal">
      <formula>"×"</formula>
    </cfRule>
  </conditionalFormatting>
  <conditionalFormatting sqref="AG23:AI25">
    <cfRule type="cellIs" dxfId="1115" priority="2221" operator="equal">
      <formula>1</formula>
    </cfRule>
    <cfRule type="cellIs" dxfId="1114" priority="2222" operator="equal">
      <formula>"×"</formula>
    </cfRule>
  </conditionalFormatting>
  <conditionalFormatting sqref="AI23:AI25">
    <cfRule type="cellIs" dxfId="1113" priority="2223" operator="equal">
      <formula>1</formula>
    </cfRule>
    <cfRule type="cellIs" dxfId="1112" priority="2224" operator="equal">
      <formula>"×"</formula>
    </cfRule>
  </conditionalFormatting>
  <conditionalFormatting sqref="AG23:AI25">
    <cfRule type="cellIs" dxfId="1111" priority="2219" operator="equal">
      <formula>1</formula>
    </cfRule>
    <cfRule type="cellIs" dxfId="1110" priority="2220" operator="equal">
      <formula>"×"</formula>
    </cfRule>
  </conditionalFormatting>
  <conditionalFormatting sqref="AI23:AI25">
    <cfRule type="cellIs" dxfId="1109" priority="2217" operator="equal">
      <formula>1</formula>
    </cfRule>
    <cfRule type="cellIs" dxfId="1108" priority="2218" operator="equal">
      <formula>"×"</formula>
    </cfRule>
  </conditionalFormatting>
  <conditionalFormatting sqref="AG23:AI25">
    <cfRule type="cellIs" dxfId="1107" priority="2215" operator="equal">
      <formula>1</formula>
    </cfRule>
    <cfRule type="cellIs" dxfId="1106" priority="2216" operator="equal">
      <formula>"×"</formula>
    </cfRule>
  </conditionalFormatting>
  <conditionalFormatting sqref="AI23:AI25">
    <cfRule type="cellIs" dxfId="1105" priority="2213" operator="equal">
      <formula>1</formula>
    </cfRule>
    <cfRule type="cellIs" dxfId="1104" priority="2214" operator="equal">
      <formula>"×"</formula>
    </cfRule>
  </conditionalFormatting>
  <conditionalFormatting sqref="AI23:AI25">
    <cfRule type="cellIs" dxfId="1103" priority="2211" operator="equal">
      <formula>1</formula>
    </cfRule>
    <cfRule type="cellIs" dxfId="1102" priority="2212" operator="equal">
      <formula>"×"</formula>
    </cfRule>
  </conditionalFormatting>
  <conditionalFormatting sqref="AI23:AI25">
    <cfRule type="cellIs" dxfId="1101" priority="2209" operator="equal">
      <formula>1</formula>
    </cfRule>
    <cfRule type="cellIs" dxfId="1100" priority="2210" operator="equal">
      <formula>"×"</formula>
    </cfRule>
  </conditionalFormatting>
  <conditionalFormatting sqref="AI23:AI25">
    <cfRule type="cellIs" dxfId="1099" priority="2207" operator="equal">
      <formula>1</formula>
    </cfRule>
    <cfRule type="cellIs" dxfId="1098" priority="2208" operator="equal">
      <formula>"×"</formula>
    </cfRule>
  </conditionalFormatting>
  <conditionalFormatting sqref="AI23:AI25">
    <cfRule type="cellIs" dxfId="1097" priority="2205" operator="equal">
      <formula>1</formula>
    </cfRule>
    <cfRule type="cellIs" dxfId="1096" priority="2206" operator="equal">
      <formula>"×"</formula>
    </cfRule>
  </conditionalFormatting>
  <conditionalFormatting sqref="AI23:AI25">
    <cfRule type="cellIs" dxfId="1095" priority="2203" operator="equal">
      <formula>1</formula>
    </cfRule>
    <cfRule type="cellIs" dxfId="1094" priority="2204" operator="equal">
      <formula>"×"</formula>
    </cfRule>
  </conditionalFormatting>
  <conditionalFormatting sqref="AF23:AI23">
    <cfRule type="cellIs" dxfId="1093" priority="2179" operator="equal">
      <formula>1</formula>
    </cfRule>
    <cfRule type="cellIs" dxfId="1092" priority="2180" operator="equal">
      <formula>"×"</formula>
    </cfRule>
  </conditionalFormatting>
  <conditionalFormatting sqref="AI23">
    <cfRule type="cellIs" dxfId="1091" priority="2177" operator="equal">
      <formula>1</formula>
    </cfRule>
    <cfRule type="cellIs" dxfId="1090" priority="2178" operator="equal">
      <formula>"×"</formula>
    </cfRule>
  </conditionalFormatting>
  <conditionalFormatting sqref="AF23:AI23">
    <cfRule type="cellIs" dxfId="1089" priority="2175" operator="equal">
      <formula>1</formula>
    </cfRule>
    <cfRule type="cellIs" dxfId="1088" priority="2176" operator="equal">
      <formula>"×"</formula>
    </cfRule>
  </conditionalFormatting>
  <conditionalFormatting sqref="AF23">
    <cfRule type="cellIs" dxfId="1087" priority="2201" operator="equal">
      <formula>1</formula>
    </cfRule>
    <cfRule type="cellIs" dxfId="1086" priority="2202" operator="equal">
      <formula>"×"</formula>
    </cfRule>
  </conditionalFormatting>
  <conditionalFormatting sqref="AF23">
    <cfRule type="cellIs" dxfId="1085" priority="2199" operator="equal">
      <formula>1</formula>
    </cfRule>
    <cfRule type="cellIs" dxfId="1084" priority="2200" operator="equal">
      <formula>"×"</formula>
    </cfRule>
  </conditionalFormatting>
  <conditionalFormatting sqref="AF20 AF23:AF25">
    <cfRule type="cellIs" dxfId="1083" priority="2197" operator="equal">
      <formula>1</formula>
    </cfRule>
    <cfRule type="cellIs" dxfId="1082" priority="2198" operator="equal">
      <formula>"×"</formula>
    </cfRule>
  </conditionalFormatting>
  <conditionalFormatting sqref="AF20 AF23:AF25">
    <cfRule type="cellIs" dxfId="1081" priority="2195" operator="equal">
      <formula>1</formula>
    </cfRule>
    <cfRule type="cellIs" dxfId="1080" priority="2196" operator="equal">
      <formula>"×"</formula>
    </cfRule>
  </conditionalFormatting>
  <conditionalFormatting sqref="AF23">
    <cfRule type="cellIs" dxfId="1079" priority="2193" operator="equal">
      <formula>1</formula>
    </cfRule>
    <cfRule type="cellIs" dxfId="1078" priority="2194" operator="equal">
      <formula>"×"</formula>
    </cfRule>
  </conditionalFormatting>
  <conditionalFormatting sqref="AF23">
    <cfRule type="cellIs" dxfId="1077" priority="2191" operator="equal">
      <formula>1</formula>
    </cfRule>
    <cfRule type="cellIs" dxfId="1076" priority="2192" operator="equal">
      <formula>"×"</formula>
    </cfRule>
  </conditionalFormatting>
  <conditionalFormatting sqref="AF20 AF23:AI25">
    <cfRule type="cellIs" dxfId="1075" priority="2189" operator="equal">
      <formula>1</formula>
    </cfRule>
    <cfRule type="cellIs" dxfId="1074" priority="2190" operator="equal">
      <formula>"×"</formula>
    </cfRule>
  </conditionalFormatting>
  <conditionalFormatting sqref="AI24">
    <cfRule type="cellIs" dxfId="1073" priority="2187" operator="equal">
      <formula>1</formula>
    </cfRule>
    <cfRule type="cellIs" dxfId="1072" priority="2188" operator="equal">
      <formula>"×"</formula>
    </cfRule>
  </conditionalFormatting>
  <conditionalFormatting sqref="AF20 AF23:AI25">
    <cfRule type="cellIs" dxfId="1071" priority="2185" operator="equal">
      <formula>1</formula>
    </cfRule>
    <cfRule type="cellIs" dxfId="1070" priority="2186" operator="equal">
      <formula>"×"</formula>
    </cfRule>
  </conditionalFormatting>
  <conditionalFormatting sqref="AF23">
    <cfRule type="cellIs" dxfId="1069" priority="2183" operator="equal">
      <formula>1</formula>
    </cfRule>
    <cfRule type="cellIs" dxfId="1068" priority="2184" operator="equal">
      <formula>"×"</formula>
    </cfRule>
  </conditionalFormatting>
  <conditionalFormatting sqref="AF23">
    <cfRule type="cellIs" dxfId="1067" priority="2181" operator="equal">
      <formula>1</formula>
    </cfRule>
    <cfRule type="cellIs" dxfId="1066" priority="2182" operator="equal">
      <formula>"×"</formula>
    </cfRule>
  </conditionalFormatting>
  <conditionalFormatting sqref="AF20 AF23:AI25">
    <cfRule type="cellIs" dxfId="1065" priority="2173" operator="equal">
      <formula>1</formula>
    </cfRule>
    <cfRule type="cellIs" dxfId="1064" priority="2174" operator="equal">
      <formula>"×"</formula>
    </cfRule>
  </conditionalFormatting>
  <conditionalFormatting sqref="AI24">
    <cfRule type="cellIs" dxfId="1063" priority="2171" operator="equal">
      <formula>1</formula>
    </cfRule>
    <cfRule type="cellIs" dxfId="1062" priority="2172" operator="equal">
      <formula>"×"</formula>
    </cfRule>
  </conditionalFormatting>
  <conditionalFormatting sqref="AF20">
    <cfRule type="cellIs" dxfId="1061" priority="1313" operator="equal">
      <formula>1</formula>
    </cfRule>
    <cfRule type="cellIs" dxfId="1060" priority="1314" operator="equal">
      <formula>"×"</formula>
    </cfRule>
  </conditionalFormatting>
  <conditionalFormatting sqref="AF20">
    <cfRule type="cellIs" dxfId="1059" priority="1311" operator="equal">
      <formula>1</formula>
    </cfRule>
    <cfRule type="cellIs" dxfId="1058" priority="1312" operator="equal">
      <formula>"×"</formula>
    </cfRule>
  </conditionalFormatting>
  <conditionalFormatting sqref="AF20:AI20">
    <cfRule type="cellIs" dxfId="1057" priority="1309" operator="equal">
      <formula>1</formula>
    </cfRule>
    <cfRule type="cellIs" dxfId="1056" priority="1310" operator="equal">
      <formula>"×"</formula>
    </cfRule>
  </conditionalFormatting>
  <conditionalFormatting sqref="AI20">
    <cfRule type="cellIs" dxfId="1055" priority="1307" operator="equal">
      <formula>1</formula>
    </cfRule>
    <cfRule type="cellIs" dxfId="1054" priority="1308" operator="equal">
      <formula>"×"</formula>
    </cfRule>
  </conditionalFormatting>
  <conditionalFormatting sqref="AF20:AI20">
    <cfRule type="cellIs" dxfId="1053" priority="1305" operator="equal">
      <formula>1</formula>
    </cfRule>
    <cfRule type="cellIs" dxfId="1052" priority="1306" operator="equal">
      <formula>"×"</formula>
    </cfRule>
  </conditionalFormatting>
  <conditionalFormatting sqref="AF21">
    <cfRule type="cellIs" dxfId="1051" priority="1293" operator="equal">
      <formula>1</formula>
    </cfRule>
    <cfRule type="cellIs" dxfId="1050" priority="1294" operator="equal">
      <formula>"×"</formula>
    </cfRule>
  </conditionalFormatting>
  <conditionalFormatting sqref="AF20">
    <cfRule type="cellIs" dxfId="1049" priority="1291" operator="equal">
      <formula>1</formula>
    </cfRule>
    <cfRule type="cellIs" dxfId="1048" priority="1292" operator="equal">
      <formula>"×"</formula>
    </cfRule>
  </conditionalFormatting>
  <conditionalFormatting sqref="AF20">
    <cfRule type="cellIs" dxfId="1047" priority="1289" operator="equal">
      <formula>1</formula>
    </cfRule>
    <cfRule type="cellIs" dxfId="1046" priority="1290" operator="equal">
      <formula>"×"</formula>
    </cfRule>
  </conditionalFormatting>
  <conditionalFormatting sqref="AF20:AI20">
    <cfRule type="cellIs" dxfId="1045" priority="1303" operator="equal">
      <formula>1</formula>
    </cfRule>
    <cfRule type="cellIs" dxfId="1044" priority="1304" operator="equal">
      <formula>"×"</formula>
    </cfRule>
  </conditionalFormatting>
  <conditionalFormatting sqref="AI20">
    <cfRule type="cellIs" dxfId="1043" priority="1301" operator="equal">
      <formula>1</formula>
    </cfRule>
    <cfRule type="cellIs" dxfId="1042" priority="1302" operator="equal">
      <formula>"×"</formula>
    </cfRule>
  </conditionalFormatting>
  <conditionalFormatting sqref="AF20:AI20">
    <cfRule type="cellIs" dxfId="1041" priority="1299" operator="equal">
      <formula>1</formula>
    </cfRule>
    <cfRule type="cellIs" dxfId="1040" priority="1300" operator="equal">
      <formula>"×"</formula>
    </cfRule>
  </conditionalFormatting>
  <conditionalFormatting sqref="AF20:AI20">
    <cfRule type="cellIs" dxfId="1039" priority="1297" operator="equal">
      <formula>1</formula>
    </cfRule>
    <cfRule type="cellIs" dxfId="1038" priority="1298" operator="equal">
      <formula>"×"</formula>
    </cfRule>
  </conditionalFormatting>
  <conditionalFormatting sqref="AI20">
    <cfRule type="cellIs" dxfId="1037" priority="1295" operator="equal">
      <formula>1</formula>
    </cfRule>
    <cfRule type="cellIs" dxfId="1036" priority="1296" operator="equal">
      <formula>"×"</formula>
    </cfRule>
  </conditionalFormatting>
  <conditionalFormatting sqref="AF20">
    <cfRule type="cellIs" dxfId="1035" priority="1287" operator="equal">
      <formula>1</formula>
    </cfRule>
    <cfRule type="cellIs" dxfId="1034" priority="1288" operator="equal">
      <formula>"×"</formula>
    </cfRule>
  </conditionalFormatting>
  <conditionalFormatting sqref="AF20">
    <cfRule type="cellIs" dxfId="1033" priority="1285" operator="equal">
      <formula>1</formula>
    </cfRule>
    <cfRule type="cellIs" dxfId="1032" priority="1286" operator="equal">
      <formula>"×"</formula>
    </cfRule>
  </conditionalFormatting>
  <conditionalFormatting sqref="AI21">
    <cfRule type="cellIs" dxfId="1031" priority="1283" operator="equal">
      <formula>1</formula>
    </cfRule>
    <cfRule type="cellIs" dxfId="1030" priority="1284" operator="equal">
      <formula>"×"</formula>
    </cfRule>
  </conditionalFormatting>
  <conditionalFormatting sqref="AF20">
    <cfRule type="cellIs" dxfId="1029" priority="1279" operator="equal">
      <formula>1</formula>
    </cfRule>
    <cfRule type="cellIs" dxfId="1028" priority="1280" operator="equal">
      <formula>"×"</formula>
    </cfRule>
  </conditionalFormatting>
  <conditionalFormatting sqref="AF20">
    <cfRule type="cellIs" dxfId="1027" priority="1281" operator="equal">
      <formula>1</formula>
    </cfRule>
    <cfRule type="cellIs" dxfId="1026" priority="1282" operator="equal">
      <formula>"×"</formula>
    </cfRule>
  </conditionalFormatting>
  <conditionalFormatting sqref="AF20:AI20">
    <cfRule type="cellIs" dxfId="1025" priority="1277" operator="equal">
      <formula>1</formula>
    </cfRule>
    <cfRule type="cellIs" dxfId="1024" priority="1278" operator="equal">
      <formula>"×"</formula>
    </cfRule>
  </conditionalFormatting>
  <conditionalFormatting sqref="AI20">
    <cfRule type="cellIs" dxfId="1023" priority="1275" operator="equal">
      <formula>1</formula>
    </cfRule>
    <cfRule type="cellIs" dxfId="1022" priority="1276" operator="equal">
      <formula>"×"</formula>
    </cfRule>
  </conditionalFormatting>
  <conditionalFormatting sqref="AF20:AI20">
    <cfRule type="cellIs" dxfId="1021" priority="1273" operator="equal">
      <formula>1</formula>
    </cfRule>
    <cfRule type="cellIs" dxfId="1020" priority="1274" operator="equal">
      <formula>"×"</formula>
    </cfRule>
  </conditionalFormatting>
  <conditionalFormatting sqref="AI21">
    <cfRule type="cellIs" dxfId="1019" priority="1271" operator="equal">
      <formula>1</formula>
    </cfRule>
    <cfRule type="cellIs" dxfId="1018" priority="1272" operator="equal">
      <formula>"×"</formula>
    </cfRule>
  </conditionalFormatting>
  <conditionalFormatting sqref="AI21">
    <cfRule type="cellIs" dxfId="1017" priority="1269" operator="equal">
      <formula>1</formula>
    </cfRule>
    <cfRule type="cellIs" dxfId="1016" priority="1270" operator="equal">
      <formula>"×"</formula>
    </cfRule>
  </conditionalFormatting>
  <conditionalFormatting sqref="AF20">
    <cfRule type="cellIs" dxfId="1015" priority="1267" operator="equal">
      <formula>1</formula>
    </cfRule>
    <cfRule type="cellIs" dxfId="1014" priority="1268" operator="equal">
      <formula>"×"</formula>
    </cfRule>
  </conditionalFormatting>
  <conditionalFormatting sqref="AF20">
    <cfRule type="cellIs" dxfId="1013" priority="1265" operator="equal">
      <formula>1</formula>
    </cfRule>
    <cfRule type="cellIs" dxfId="1012" priority="1266" operator="equal">
      <formula>"×"</formula>
    </cfRule>
  </conditionalFormatting>
  <conditionalFormatting sqref="AF20">
    <cfRule type="cellIs" dxfId="1011" priority="1263" operator="equal">
      <formula>1</formula>
    </cfRule>
    <cfRule type="cellIs" dxfId="1010" priority="1264" operator="equal">
      <formula>"×"</formula>
    </cfRule>
  </conditionalFormatting>
  <conditionalFormatting sqref="AF20">
    <cfRule type="cellIs" dxfId="1009" priority="1261" operator="equal">
      <formula>1</formula>
    </cfRule>
    <cfRule type="cellIs" dxfId="1008" priority="1262" operator="equal">
      <formula>"×"</formula>
    </cfRule>
  </conditionalFormatting>
  <conditionalFormatting sqref="AF20">
    <cfRule type="cellIs" dxfId="1007" priority="1259" operator="equal">
      <formula>1</formula>
    </cfRule>
    <cfRule type="cellIs" dxfId="1006" priority="1260" operator="equal">
      <formula>"×"</formula>
    </cfRule>
  </conditionalFormatting>
  <conditionalFormatting sqref="AF20">
    <cfRule type="cellIs" dxfId="1005" priority="1257" operator="equal">
      <formula>1</formula>
    </cfRule>
    <cfRule type="cellIs" dxfId="1004" priority="1258" operator="equal">
      <formula>"×"</formula>
    </cfRule>
  </conditionalFormatting>
  <conditionalFormatting sqref="AF20">
    <cfRule type="cellIs" dxfId="1003" priority="1255" operator="equal">
      <formula>1</formula>
    </cfRule>
    <cfRule type="cellIs" dxfId="1002" priority="1256" operator="equal">
      <formula>"×"</formula>
    </cfRule>
  </conditionalFormatting>
  <conditionalFormatting sqref="AF22:AI22">
    <cfRule type="cellIs" dxfId="1001" priority="1253" operator="equal">
      <formula>1</formula>
    </cfRule>
    <cfRule type="cellIs" dxfId="1000" priority="1254" operator="equal">
      <formula>"×"</formula>
    </cfRule>
  </conditionalFormatting>
  <conditionalFormatting sqref="AI22">
    <cfRule type="cellIs" dxfId="999" priority="1251" operator="equal">
      <formula>1</formula>
    </cfRule>
    <cfRule type="cellIs" dxfId="998" priority="1252" operator="equal">
      <formula>"×"</formula>
    </cfRule>
  </conditionalFormatting>
  <conditionalFormatting sqref="AF22:AI22">
    <cfRule type="cellIs" dxfId="997" priority="1249" operator="equal">
      <formula>1</formula>
    </cfRule>
    <cfRule type="cellIs" dxfId="996" priority="1250" operator="equal">
      <formula>"×"</formula>
    </cfRule>
  </conditionalFormatting>
  <conditionalFormatting sqref="AF22">
    <cfRule type="cellIs" dxfId="995" priority="1247" operator="equal">
      <formula>1</formula>
    </cfRule>
    <cfRule type="cellIs" dxfId="994" priority="1248" operator="equal">
      <formula>"×"</formula>
    </cfRule>
  </conditionalFormatting>
  <conditionalFormatting sqref="AF22">
    <cfRule type="cellIs" dxfId="993" priority="1245" operator="equal">
      <formula>1</formula>
    </cfRule>
    <cfRule type="cellIs" dxfId="992" priority="1246" operator="equal">
      <formula>"×"</formula>
    </cfRule>
  </conditionalFormatting>
  <conditionalFormatting sqref="AF22">
    <cfRule type="cellIs" dxfId="991" priority="1243" operator="equal">
      <formula>1</formula>
    </cfRule>
    <cfRule type="cellIs" dxfId="990" priority="1244" operator="equal">
      <formula>"×"</formula>
    </cfRule>
  </conditionalFormatting>
  <conditionalFormatting sqref="AF22">
    <cfRule type="cellIs" dxfId="989" priority="1241" operator="equal">
      <formula>1</formula>
    </cfRule>
    <cfRule type="cellIs" dxfId="988" priority="1242" operator="equal">
      <formula>"×"</formula>
    </cfRule>
  </conditionalFormatting>
  <conditionalFormatting sqref="AF22">
    <cfRule type="cellIs" dxfId="987" priority="1239" operator="equal">
      <formula>1</formula>
    </cfRule>
    <cfRule type="cellIs" dxfId="986" priority="1240" operator="equal">
      <formula>"×"</formula>
    </cfRule>
  </conditionalFormatting>
  <conditionalFormatting sqref="AF22">
    <cfRule type="cellIs" dxfId="985" priority="1237" operator="equal">
      <formula>1</formula>
    </cfRule>
    <cfRule type="cellIs" dxfId="984" priority="1238" operator="equal">
      <formula>"×"</formula>
    </cfRule>
  </conditionalFormatting>
  <conditionalFormatting sqref="AF22">
    <cfRule type="cellIs" dxfId="983" priority="1235" operator="equal">
      <formula>1</formula>
    </cfRule>
    <cfRule type="cellIs" dxfId="982" priority="1236" operator="equal">
      <formula>"×"</formula>
    </cfRule>
  </conditionalFormatting>
  <conditionalFormatting sqref="AF22">
    <cfRule type="cellIs" dxfId="981" priority="1233" operator="equal">
      <formula>1</formula>
    </cfRule>
    <cfRule type="cellIs" dxfId="980" priority="1234" operator="equal">
      <formula>"×"</formula>
    </cfRule>
  </conditionalFormatting>
  <conditionalFormatting sqref="AF22">
    <cfRule type="cellIs" dxfId="979" priority="1231" operator="equal">
      <formula>1</formula>
    </cfRule>
    <cfRule type="cellIs" dxfId="978" priority="1232" operator="equal">
      <formula>"×"</formula>
    </cfRule>
  </conditionalFormatting>
  <conditionalFormatting sqref="AF22">
    <cfRule type="cellIs" dxfId="977" priority="1229" operator="equal">
      <formula>1</formula>
    </cfRule>
    <cfRule type="cellIs" dxfId="976" priority="1230" operator="equal">
      <formula>"×"</formula>
    </cfRule>
  </conditionalFormatting>
  <conditionalFormatting sqref="AF22">
    <cfRule type="cellIs" dxfId="975" priority="1227" operator="equal">
      <formula>1</formula>
    </cfRule>
    <cfRule type="cellIs" dxfId="974" priority="1228" operator="equal">
      <formula>"×"</formula>
    </cfRule>
  </conditionalFormatting>
  <conditionalFormatting sqref="AF22">
    <cfRule type="cellIs" dxfId="973" priority="1225" operator="equal">
      <formula>1</formula>
    </cfRule>
    <cfRule type="cellIs" dxfId="972" priority="1226" operator="equal">
      <formula>"×"</formula>
    </cfRule>
  </conditionalFormatting>
  <conditionalFormatting sqref="AF22">
    <cfRule type="cellIs" dxfId="971" priority="1223" operator="equal">
      <formula>1</formula>
    </cfRule>
    <cfRule type="cellIs" dxfId="970" priority="1224" operator="equal">
      <formula>"×"</formula>
    </cfRule>
  </conditionalFormatting>
  <conditionalFormatting sqref="AF22">
    <cfRule type="cellIs" dxfId="969" priority="1221" operator="equal">
      <formula>1</formula>
    </cfRule>
    <cfRule type="cellIs" dxfId="968" priority="1222" operator="equal">
      <formula>"×"</formula>
    </cfRule>
  </conditionalFormatting>
  <conditionalFormatting sqref="AF22">
    <cfRule type="cellIs" dxfId="967" priority="1219" operator="equal">
      <formula>1</formula>
    </cfRule>
    <cfRule type="cellIs" dxfId="966" priority="1220" operator="equal">
      <formula>"×"</formula>
    </cfRule>
  </conditionalFormatting>
  <conditionalFormatting sqref="AF22">
    <cfRule type="cellIs" dxfId="965" priority="1217" operator="equal">
      <formula>1</formula>
    </cfRule>
    <cfRule type="cellIs" dxfId="964" priority="1218" operator="equal">
      <formula>"×"</formula>
    </cfRule>
  </conditionalFormatting>
  <conditionalFormatting sqref="AF22">
    <cfRule type="cellIs" dxfId="963" priority="1215" operator="equal">
      <formula>1</formula>
    </cfRule>
    <cfRule type="cellIs" dxfId="962" priority="1216" operator="equal">
      <formula>"×"</formula>
    </cfRule>
  </conditionalFormatting>
  <conditionalFormatting sqref="AF23">
    <cfRule type="cellIs" dxfId="961" priority="1989" operator="equal">
      <formula>1</formula>
    </cfRule>
    <cfRule type="cellIs" dxfId="960" priority="1990" operator="equal">
      <formula>"×"</formula>
    </cfRule>
  </conditionalFormatting>
  <conditionalFormatting sqref="AF20:AG23">
    <cfRule type="cellIs" dxfId="959" priority="1805" operator="equal">
      <formula>1</formula>
    </cfRule>
    <cfRule type="cellIs" dxfId="958" priority="1806" operator="equal">
      <formula>"×"</formula>
    </cfRule>
  </conditionalFormatting>
  <conditionalFormatting sqref="AF20:AG23">
    <cfRule type="cellIs" dxfId="957" priority="1779" operator="equal">
      <formula>1</formula>
    </cfRule>
    <cfRule type="cellIs" dxfId="956" priority="1780" operator="equal">
      <formula>"×"</formula>
    </cfRule>
  </conditionalFormatting>
  <conditionalFormatting sqref="AF20:AG23">
    <cfRule type="cellIs" dxfId="955" priority="1777" operator="equal">
      <formula>1</formula>
    </cfRule>
    <cfRule type="cellIs" dxfId="954" priority="1778" operator="equal">
      <formula>"×"</formula>
    </cfRule>
  </conditionalFormatting>
  <conditionalFormatting sqref="AF20:AG23">
    <cfRule type="cellIs" dxfId="953" priority="1773" operator="equal">
      <formula>1</formula>
    </cfRule>
    <cfRule type="cellIs" dxfId="952" priority="1774" operator="equal">
      <formula>"×"</formula>
    </cfRule>
  </conditionalFormatting>
  <conditionalFormatting sqref="AF20:AG23">
    <cfRule type="cellIs" dxfId="951" priority="1775" operator="equal">
      <formula>1</formula>
    </cfRule>
    <cfRule type="cellIs" dxfId="950" priority="1776" operator="equal">
      <formula>"×"</formula>
    </cfRule>
  </conditionalFormatting>
  <conditionalFormatting sqref="AF20:AG23">
    <cfRule type="cellIs" dxfId="949" priority="1803" operator="equal">
      <formula>1</formula>
    </cfRule>
    <cfRule type="cellIs" dxfId="948" priority="1804" operator="equal">
      <formula>"×"</formula>
    </cfRule>
  </conditionalFormatting>
  <conditionalFormatting sqref="AF20:AG23">
    <cfRule type="cellIs" dxfId="947" priority="1801" operator="equal">
      <formula>1</formula>
    </cfRule>
    <cfRule type="cellIs" dxfId="946" priority="1802" operator="equal">
      <formula>"×"</formula>
    </cfRule>
  </conditionalFormatting>
  <conditionalFormatting sqref="AF20:AG23">
    <cfRule type="cellIs" dxfId="945" priority="1799" operator="equal">
      <formula>1</formula>
    </cfRule>
    <cfRule type="cellIs" dxfId="944" priority="1800" operator="equal">
      <formula>"×"</formula>
    </cfRule>
  </conditionalFormatting>
  <conditionalFormatting sqref="AF20:AG23">
    <cfRule type="cellIs" dxfId="943" priority="1797" operator="equal">
      <formula>1</formula>
    </cfRule>
    <cfRule type="cellIs" dxfId="942" priority="1798" operator="equal">
      <formula>"×"</formula>
    </cfRule>
  </conditionalFormatting>
  <conditionalFormatting sqref="AF20:AG23">
    <cfRule type="cellIs" dxfId="941" priority="1795" operator="equal">
      <formula>1</formula>
    </cfRule>
    <cfRule type="cellIs" dxfId="940" priority="1796" operator="equal">
      <formula>"×"</formula>
    </cfRule>
  </conditionalFormatting>
  <conditionalFormatting sqref="AF20:AG23">
    <cfRule type="cellIs" dxfId="939" priority="1793" operator="equal">
      <formula>1</formula>
    </cfRule>
    <cfRule type="cellIs" dxfId="938" priority="1794" operator="equal">
      <formula>"×"</formula>
    </cfRule>
  </conditionalFormatting>
  <conditionalFormatting sqref="AF20:AG23">
    <cfRule type="cellIs" dxfId="937" priority="1791" operator="equal">
      <formula>1</formula>
    </cfRule>
    <cfRule type="cellIs" dxfId="936" priority="1792" operator="equal">
      <formula>"×"</formula>
    </cfRule>
  </conditionalFormatting>
  <conditionalFormatting sqref="AF20:AG23">
    <cfRule type="cellIs" dxfId="935" priority="1789" operator="equal">
      <formula>1</formula>
    </cfRule>
    <cfRule type="cellIs" dxfId="934" priority="1790" operator="equal">
      <formula>"×"</formula>
    </cfRule>
  </conditionalFormatting>
  <conditionalFormatting sqref="AF20:AG23">
    <cfRule type="cellIs" dxfId="933" priority="1787" operator="equal">
      <formula>1</formula>
    </cfRule>
    <cfRule type="cellIs" dxfId="932" priority="1788" operator="equal">
      <formula>"×"</formula>
    </cfRule>
  </conditionalFormatting>
  <conditionalFormatting sqref="AF20:AG23">
    <cfRule type="cellIs" dxfId="931" priority="1785" operator="equal">
      <formula>1</formula>
    </cfRule>
    <cfRule type="cellIs" dxfId="930" priority="1786" operator="equal">
      <formula>"×"</formula>
    </cfRule>
  </conditionalFormatting>
  <conditionalFormatting sqref="AF20:AG23">
    <cfRule type="cellIs" dxfId="929" priority="1783" operator="equal">
      <formula>1</formula>
    </cfRule>
    <cfRule type="cellIs" dxfId="928" priority="1784" operator="equal">
      <formula>"×"</formula>
    </cfRule>
  </conditionalFormatting>
  <conditionalFormatting sqref="AF20:AG23">
    <cfRule type="cellIs" dxfId="927" priority="1781" operator="equal">
      <formula>1</formula>
    </cfRule>
    <cfRule type="cellIs" dxfId="926" priority="1782" operator="equal">
      <formula>"×"</formula>
    </cfRule>
  </conditionalFormatting>
  <conditionalFormatting sqref="AG23:AH23">
    <cfRule type="cellIs" dxfId="925" priority="1771" operator="equal">
      <formula>1</formula>
    </cfRule>
    <cfRule type="cellIs" dxfId="924" priority="1772" operator="equal">
      <formula>"×"</formula>
    </cfRule>
  </conditionalFormatting>
  <conditionalFormatting sqref="AG20:AI20 AH21:AI22">
    <cfRule type="cellIs" dxfId="923" priority="1769" operator="equal">
      <formula>1</formula>
    </cfRule>
    <cfRule type="cellIs" dxfId="922" priority="1770" operator="equal">
      <formula>"×"</formula>
    </cfRule>
  </conditionalFormatting>
  <conditionalFormatting sqref="AI20:AI22">
    <cfRule type="cellIs" dxfId="921" priority="1767" operator="equal">
      <formula>1</formula>
    </cfRule>
    <cfRule type="cellIs" dxfId="920" priority="1768" operator="equal">
      <formula>"×"</formula>
    </cfRule>
  </conditionalFormatting>
  <conditionalFormatting sqref="AG20:AI20 AH21:AI22">
    <cfRule type="cellIs" dxfId="919" priority="1765" operator="equal">
      <formula>1</formula>
    </cfRule>
    <cfRule type="cellIs" dxfId="918" priority="1766" operator="equal">
      <formula>"×"</formula>
    </cfRule>
  </conditionalFormatting>
  <conditionalFormatting sqref="AH20:AI22 AG23:AI24">
    <cfRule type="cellIs" dxfId="917" priority="1763" operator="equal">
      <formula>1</formula>
    </cfRule>
    <cfRule type="cellIs" dxfId="916" priority="1764" operator="equal">
      <formula>"×"</formula>
    </cfRule>
  </conditionalFormatting>
  <conditionalFormatting sqref="AI20:AI24">
    <cfRule type="cellIs" dxfId="915" priority="1761" operator="equal">
      <formula>1</formula>
    </cfRule>
    <cfRule type="cellIs" dxfId="914" priority="1762" operator="equal">
      <formula>"×"</formula>
    </cfRule>
  </conditionalFormatting>
  <conditionalFormatting sqref="AH20:AI22 AG23:AI24">
    <cfRule type="cellIs" dxfId="913" priority="1759" operator="equal">
      <formula>1</formula>
    </cfRule>
    <cfRule type="cellIs" dxfId="912" priority="1760" operator="equal">
      <formula>"×"</formula>
    </cfRule>
  </conditionalFormatting>
  <conditionalFormatting sqref="AF23">
    <cfRule type="cellIs" dxfId="911" priority="1757" operator="equal">
      <formula>1</formula>
    </cfRule>
    <cfRule type="cellIs" dxfId="910" priority="1758" operator="equal">
      <formula>"×"</formula>
    </cfRule>
  </conditionalFormatting>
  <conditionalFormatting sqref="AF23">
    <cfRule type="cellIs" dxfId="909" priority="1755" operator="equal">
      <formula>1</formula>
    </cfRule>
    <cfRule type="cellIs" dxfId="908" priority="1756" operator="equal">
      <formula>"×"</formula>
    </cfRule>
  </conditionalFormatting>
  <conditionalFormatting sqref="AF23:AI23">
    <cfRule type="cellIs" dxfId="907" priority="1753" operator="equal">
      <formula>1</formula>
    </cfRule>
    <cfRule type="cellIs" dxfId="906" priority="1754" operator="equal">
      <formula>"×"</formula>
    </cfRule>
  </conditionalFormatting>
  <conditionalFormatting sqref="AI23">
    <cfRule type="cellIs" dxfId="905" priority="1751" operator="equal">
      <formula>1</formula>
    </cfRule>
    <cfRule type="cellIs" dxfId="904" priority="1752" operator="equal">
      <formula>"×"</formula>
    </cfRule>
  </conditionalFormatting>
  <conditionalFormatting sqref="AF23:AI23">
    <cfRule type="cellIs" dxfId="903" priority="1749" operator="equal">
      <formula>1</formula>
    </cfRule>
    <cfRule type="cellIs" dxfId="902" priority="1750" operator="equal">
      <formula>"×"</formula>
    </cfRule>
  </conditionalFormatting>
  <conditionalFormatting sqref="AF23:AI23">
    <cfRule type="cellIs" dxfId="901" priority="1747" operator="equal">
      <formula>1</formula>
    </cfRule>
    <cfRule type="cellIs" dxfId="900" priority="1748" operator="equal">
      <formula>"×"</formula>
    </cfRule>
  </conditionalFormatting>
  <conditionalFormatting sqref="AI23">
    <cfRule type="cellIs" dxfId="899" priority="1745" operator="equal">
      <formula>1</formula>
    </cfRule>
    <cfRule type="cellIs" dxfId="898" priority="1746" operator="equal">
      <formula>"×"</formula>
    </cfRule>
  </conditionalFormatting>
  <conditionalFormatting sqref="AF23:AI23">
    <cfRule type="cellIs" dxfId="897" priority="1743" operator="equal">
      <formula>1</formula>
    </cfRule>
    <cfRule type="cellIs" dxfId="896" priority="1744" operator="equal">
      <formula>"×"</formula>
    </cfRule>
  </conditionalFormatting>
  <conditionalFormatting sqref="AF23:AI23">
    <cfRule type="cellIs" dxfId="895" priority="1741" operator="equal">
      <formula>1</formula>
    </cfRule>
    <cfRule type="cellIs" dxfId="894" priority="1742" operator="equal">
      <formula>"×"</formula>
    </cfRule>
  </conditionalFormatting>
  <conditionalFormatting sqref="AI23">
    <cfRule type="cellIs" dxfId="893" priority="1739" operator="equal">
      <formula>1</formula>
    </cfRule>
    <cfRule type="cellIs" dxfId="892" priority="1740" operator="equal">
      <formula>"×"</formula>
    </cfRule>
  </conditionalFormatting>
  <conditionalFormatting sqref="AG23:AI23">
    <cfRule type="cellIs" dxfId="891" priority="1737" operator="equal">
      <formula>1</formula>
    </cfRule>
    <cfRule type="cellIs" dxfId="890" priority="1738" operator="equal">
      <formula>"×"</formula>
    </cfRule>
  </conditionalFormatting>
  <conditionalFormatting sqref="AI23">
    <cfRule type="cellIs" dxfId="889" priority="1735" operator="equal">
      <formula>1</formula>
    </cfRule>
    <cfRule type="cellIs" dxfId="888" priority="1736" operator="equal">
      <formula>"×"</formula>
    </cfRule>
  </conditionalFormatting>
  <conditionalFormatting sqref="AG23:AI23">
    <cfRule type="cellIs" dxfId="887" priority="1733" operator="equal">
      <formula>1</formula>
    </cfRule>
    <cfRule type="cellIs" dxfId="886" priority="1734" operator="equal">
      <formula>"×"</formula>
    </cfRule>
  </conditionalFormatting>
  <conditionalFormatting sqref="AG23:AI23">
    <cfRule type="cellIs" dxfId="885" priority="1731" operator="equal">
      <formula>1</formula>
    </cfRule>
    <cfRule type="cellIs" dxfId="884" priority="1732" operator="equal">
      <formula>"×"</formula>
    </cfRule>
  </conditionalFormatting>
  <conditionalFormatting sqref="AI23">
    <cfRule type="cellIs" dxfId="883" priority="1729" operator="equal">
      <formula>1</formula>
    </cfRule>
    <cfRule type="cellIs" dxfId="882" priority="1730" operator="equal">
      <formula>"×"</formula>
    </cfRule>
  </conditionalFormatting>
  <conditionalFormatting sqref="AG23:AI23">
    <cfRule type="cellIs" dxfId="881" priority="1727" operator="equal">
      <formula>1</formula>
    </cfRule>
    <cfRule type="cellIs" dxfId="880" priority="1728" operator="equal">
      <formula>"×"</formula>
    </cfRule>
  </conditionalFormatting>
  <conditionalFormatting sqref="AG23:AI23">
    <cfRule type="cellIs" dxfId="879" priority="1725" operator="equal">
      <formula>1</formula>
    </cfRule>
    <cfRule type="cellIs" dxfId="878" priority="1726" operator="equal">
      <formula>"×"</formula>
    </cfRule>
  </conditionalFormatting>
  <conditionalFormatting sqref="AI23">
    <cfRule type="cellIs" dxfId="877" priority="1723" operator="equal">
      <formula>1</formula>
    </cfRule>
    <cfRule type="cellIs" dxfId="876" priority="1724" operator="equal">
      <formula>"×"</formula>
    </cfRule>
  </conditionalFormatting>
  <conditionalFormatting sqref="AF23">
    <cfRule type="cellIs" dxfId="875" priority="1683" operator="equal">
      <formula>1</formula>
    </cfRule>
    <cfRule type="cellIs" dxfId="874" priority="1684" operator="equal">
      <formula>"×"</formula>
    </cfRule>
  </conditionalFormatting>
  <conditionalFormatting sqref="AF23">
    <cfRule type="cellIs" dxfId="873" priority="1679" operator="equal">
      <formula>1</formula>
    </cfRule>
    <cfRule type="cellIs" dxfId="872" priority="1680" operator="equal">
      <formula>"×"</formula>
    </cfRule>
  </conditionalFormatting>
  <conditionalFormatting sqref="AF23">
    <cfRule type="cellIs" dxfId="871" priority="1681" operator="equal">
      <formula>1</formula>
    </cfRule>
    <cfRule type="cellIs" dxfId="870" priority="1682" operator="equal">
      <formula>"×"</formula>
    </cfRule>
  </conditionalFormatting>
  <conditionalFormatting sqref="AF23">
    <cfRule type="cellIs" dxfId="869" priority="1677" operator="equal">
      <formula>1</formula>
    </cfRule>
    <cfRule type="cellIs" dxfId="868" priority="1678" operator="equal">
      <formula>"×"</formula>
    </cfRule>
  </conditionalFormatting>
  <conditionalFormatting sqref="AF23">
    <cfRule type="cellIs" dxfId="867" priority="1675" operator="equal">
      <formula>1</formula>
    </cfRule>
    <cfRule type="cellIs" dxfId="866" priority="1676" operator="equal">
      <formula>"×"</formula>
    </cfRule>
  </conditionalFormatting>
  <conditionalFormatting sqref="AF23">
    <cfRule type="cellIs" dxfId="865" priority="1673" operator="equal">
      <formula>1</formula>
    </cfRule>
    <cfRule type="cellIs" dxfId="864" priority="1674" operator="equal">
      <formula>"×"</formula>
    </cfRule>
  </conditionalFormatting>
  <conditionalFormatting sqref="AF23">
    <cfRule type="cellIs" dxfId="863" priority="1671" operator="equal">
      <formula>1</formula>
    </cfRule>
    <cfRule type="cellIs" dxfId="862" priority="1672" operator="equal">
      <formula>"×"</formula>
    </cfRule>
  </conditionalFormatting>
  <conditionalFormatting sqref="AH22:AI22">
    <cfRule type="cellIs" dxfId="861" priority="1669" operator="equal">
      <formula>1</formula>
    </cfRule>
    <cfRule type="cellIs" dxfId="860" priority="1670" operator="equal">
      <formula>"×"</formula>
    </cfRule>
  </conditionalFormatting>
  <conditionalFormatting sqref="AI22">
    <cfRule type="cellIs" dxfId="859" priority="1667" operator="equal">
      <formula>1</formula>
    </cfRule>
    <cfRule type="cellIs" dxfId="858" priority="1668" operator="equal">
      <formula>"×"</formula>
    </cfRule>
  </conditionalFormatting>
  <conditionalFormatting sqref="AH22:AI22">
    <cfRule type="cellIs" dxfId="857" priority="1665" operator="equal">
      <formula>1</formula>
    </cfRule>
    <cfRule type="cellIs" dxfId="856" priority="1666" operator="equal">
      <formula>"×"</formula>
    </cfRule>
  </conditionalFormatting>
  <conditionalFormatting sqref="AH22:AI22">
    <cfRule type="cellIs" dxfId="855" priority="1663" operator="equal">
      <formula>1</formula>
    </cfRule>
    <cfRule type="cellIs" dxfId="854" priority="1664" operator="equal">
      <formula>"×"</formula>
    </cfRule>
  </conditionalFormatting>
  <conditionalFormatting sqref="AI22">
    <cfRule type="cellIs" dxfId="853" priority="1661" operator="equal">
      <formula>1</formula>
    </cfRule>
    <cfRule type="cellIs" dxfId="852" priority="1662" operator="equal">
      <formula>"×"</formula>
    </cfRule>
  </conditionalFormatting>
  <conditionalFormatting sqref="AH22:AI22">
    <cfRule type="cellIs" dxfId="851" priority="1659" operator="equal">
      <formula>1</formula>
    </cfRule>
    <cfRule type="cellIs" dxfId="850" priority="1660" operator="equal">
      <formula>"×"</formula>
    </cfRule>
  </conditionalFormatting>
  <conditionalFormatting sqref="AH20">
    <cfRule type="cellIs" dxfId="849" priority="1657" operator="equal">
      <formula>1</formula>
    </cfRule>
    <cfRule type="cellIs" dxfId="848" priority="1658" operator="equal">
      <formula>"×"</formula>
    </cfRule>
  </conditionalFormatting>
  <conditionalFormatting sqref="AH20">
    <cfRule type="cellIs" dxfId="847" priority="1655" operator="equal">
      <formula>1</formula>
    </cfRule>
    <cfRule type="cellIs" dxfId="846" priority="1656" operator="equal">
      <formula>"×"</formula>
    </cfRule>
  </conditionalFormatting>
  <conditionalFormatting sqref="AH20">
    <cfRule type="cellIs" dxfId="845" priority="1653" operator="equal">
      <formula>1</formula>
    </cfRule>
    <cfRule type="cellIs" dxfId="844" priority="1654" operator="equal">
      <formula>"×"</formula>
    </cfRule>
  </conditionalFormatting>
  <conditionalFormatting sqref="AH20">
    <cfRule type="cellIs" dxfId="843" priority="1651" operator="equal">
      <formula>1</formula>
    </cfRule>
    <cfRule type="cellIs" dxfId="842" priority="1652" operator="equal">
      <formula>"×"</formula>
    </cfRule>
  </conditionalFormatting>
  <conditionalFormatting sqref="AH20">
    <cfRule type="cellIs" dxfId="841" priority="1649" operator="equal">
      <formula>1</formula>
    </cfRule>
    <cfRule type="cellIs" dxfId="840" priority="1650" operator="equal">
      <formula>"×"</formula>
    </cfRule>
  </conditionalFormatting>
  <conditionalFormatting sqref="AH20">
    <cfRule type="cellIs" dxfId="839" priority="1647" operator="equal">
      <formula>1</formula>
    </cfRule>
    <cfRule type="cellIs" dxfId="838" priority="1648" operator="equal">
      <formula>"×"</formula>
    </cfRule>
  </conditionalFormatting>
  <conditionalFormatting sqref="AH20">
    <cfRule type="cellIs" dxfId="837" priority="1645" operator="equal">
      <formula>1</formula>
    </cfRule>
    <cfRule type="cellIs" dxfId="836" priority="1646" operator="equal">
      <formula>"×"</formula>
    </cfRule>
  </conditionalFormatting>
  <conditionalFormatting sqref="AH20">
    <cfRule type="cellIs" dxfId="835" priority="1643" operator="equal">
      <formula>1</formula>
    </cfRule>
    <cfRule type="cellIs" dxfId="834" priority="1644" operator="equal">
      <formula>"×"</formula>
    </cfRule>
  </conditionalFormatting>
  <conditionalFormatting sqref="AH20">
    <cfRule type="cellIs" dxfId="833" priority="1641" operator="equal">
      <formula>1</formula>
    </cfRule>
    <cfRule type="cellIs" dxfId="832" priority="1642" operator="equal">
      <formula>"×"</formula>
    </cfRule>
  </conditionalFormatting>
  <conditionalFormatting sqref="AH20">
    <cfRule type="cellIs" dxfId="831" priority="1639" operator="equal">
      <formula>1</formula>
    </cfRule>
    <cfRule type="cellIs" dxfId="830" priority="1640" operator="equal">
      <formula>"×"</formula>
    </cfRule>
  </conditionalFormatting>
  <conditionalFormatting sqref="AH20">
    <cfRule type="cellIs" dxfId="829" priority="1637" operator="equal">
      <formula>1</formula>
    </cfRule>
    <cfRule type="cellIs" dxfId="828" priority="1638" operator="equal">
      <formula>"×"</formula>
    </cfRule>
  </conditionalFormatting>
  <conditionalFormatting sqref="AH20">
    <cfRule type="cellIs" dxfId="827" priority="1635" operator="equal">
      <formula>1</formula>
    </cfRule>
    <cfRule type="cellIs" dxfId="826" priority="1636" operator="equal">
      <formula>"×"</formula>
    </cfRule>
  </conditionalFormatting>
  <conditionalFormatting sqref="AH20">
    <cfRule type="cellIs" dxfId="825" priority="1633" operator="equal">
      <formula>1</formula>
    </cfRule>
    <cfRule type="cellIs" dxfId="824" priority="1634" operator="equal">
      <formula>"×"</formula>
    </cfRule>
  </conditionalFormatting>
  <conditionalFormatting sqref="AH20">
    <cfRule type="cellIs" dxfId="823" priority="1631" operator="equal">
      <formula>1</formula>
    </cfRule>
    <cfRule type="cellIs" dxfId="822" priority="1632" operator="equal">
      <formula>"×"</formula>
    </cfRule>
  </conditionalFormatting>
  <conditionalFormatting sqref="AF20:AF23">
    <cfRule type="cellIs" dxfId="821" priority="1589" operator="equal">
      <formula>1</formula>
    </cfRule>
    <cfRule type="cellIs" dxfId="820" priority="1590" operator="equal">
      <formula>"×"</formula>
    </cfRule>
  </conditionalFormatting>
  <conditionalFormatting sqref="AF20:AF23">
    <cfRule type="cellIs" dxfId="819" priority="1587" operator="equal">
      <formula>1</formula>
    </cfRule>
    <cfRule type="cellIs" dxfId="818" priority="1588" operator="equal">
      <formula>"×"</formula>
    </cfRule>
  </conditionalFormatting>
  <conditionalFormatting sqref="AF20:AF23">
    <cfRule type="cellIs" dxfId="817" priority="1585" operator="equal">
      <formula>1</formula>
    </cfRule>
    <cfRule type="cellIs" dxfId="816" priority="1586" operator="equal">
      <formula>"×"</formula>
    </cfRule>
  </conditionalFormatting>
  <conditionalFormatting sqref="AF20:AF23">
    <cfRule type="cellIs" dxfId="815" priority="1583" operator="equal">
      <formula>1</formula>
    </cfRule>
    <cfRule type="cellIs" dxfId="814" priority="1584" operator="equal">
      <formula>"×"</formula>
    </cfRule>
  </conditionalFormatting>
  <conditionalFormatting sqref="AF20:AF23">
    <cfRule type="cellIs" dxfId="813" priority="1581" operator="equal">
      <formula>1</formula>
    </cfRule>
    <cfRule type="cellIs" dxfId="812" priority="1582" operator="equal">
      <formula>"×"</formula>
    </cfRule>
  </conditionalFormatting>
  <conditionalFormatting sqref="AF20:AF23">
    <cfRule type="cellIs" dxfId="811" priority="1579" operator="equal">
      <formula>1</formula>
    </cfRule>
    <cfRule type="cellIs" dxfId="810" priority="1580" operator="equal">
      <formula>"×"</formula>
    </cfRule>
  </conditionalFormatting>
  <conditionalFormatting sqref="AF20:AF23">
    <cfRule type="cellIs" dxfId="809" priority="1577" operator="equal">
      <formula>1</formula>
    </cfRule>
    <cfRule type="cellIs" dxfId="808" priority="1578" operator="equal">
      <formula>"×"</formula>
    </cfRule>
  </conditionalFormatting>
  <conditionalFormatting sqref="AF20:AF23">
    <cfRule type="cellIs" dxfId="807" priority="1575" operator="equal">
      <formula>1</formula>
    </cfRule>
    <cfRule type="cellIs" dxfId="806" priority="1576" operator="equal">
      <formula>"×"</formula>
    </cfRule>
  </conditionalFormatting>
  <conditionalFormatting sqref="AF20:AF23">
    <cfRule type="cellIs" dxfId="805" priority="1573" operator="equal">
      <formula>1</formula>
    </cfRule>
    <cfRule type="cellIs" dxfId="804" priority="1574" operator="equal">
      <formula>"×"</formula>
    </cfRule>
  </conditionalFormatting>
  <conditionalFormatting sqref="AF20:AF23">
    <cfRule type="cellIs" dxfId="803" priority="1571" operator="equal">
      <formula>1</formula>
    </cfRule>
    <cfRule type="cellIs" dxfId="802" priority="1572" operator="equal">
      <formula>"×"</formula>
    </cfRule>
  </conditionalFormatting>
  <conditionalFormatting sqref="AF20:AG23">
    <cfRule type="cellIs" dxfId="801" priority="1569" operator="equal">
      <formula>1</formula>
    </cfRule>
    <cfRule type="cellIs" dxfId="800" priority="1570" operator="equal">
      <formula>"×"</formula>
    </cfRule>
  </conditionalFormatting>
  <conditionalFormatting sqref="AF20:AG23">
    <cfRule type="cellIs" dxfId="799" priority="1543" operator="equal">
      <formula>1</formula>
    </cfRule>
    <cfRule type="cellIs" dxfId="798" priority="1544" operator="equal">
      <formula>"×"</formula>
    </cfRule>
  </conditionalFormatting>
  <conditionalFormatting sqref="AF20:AG23">
    <cfRule type="cellIs" dxfId="797" priority="1541" operator="equal">
      <formula>1</formula>
    </cfRule>
    <cfRule type="cellIs" dxfId="796" priority="1542" operator="equal">
      <formula>"×"</formula>
    </cfRule>
  </conditionalFormatting>
  <conditionalFormatting sqref="AF20:AG23">
    <cfRule type="cellIs" dxfId="795" priority="1537" operator="equal">
      <formula>1</formula>
    </cfRule>
    <cfRule type="cellIs" dxfId="794" priority="1538" operator="equal">
      <formula>"×"</formula>
    </cfRule>
  </conditionalFormatting>
  <conditionalFormatting sqref="AF20:AG23">
    <cfRule type="cellIs" dxfId="793" priority="1539" operator="equal">
      <formula>1</formula>
    </cfRule>
    <cfRule type="cellIs" dxfId="792" priority="1540" operator="equal">
      <formula>"×"</formula>
    </cfRule>
  </conditionalFormatting>
  <conditionalFormatting sqref="AF20:AG23">
    <cfRule type="cellIs" dxfId="791" priority="1567" operator="equal">
      <formula>1</formula>
    </cfRule>
    <cfRule type="cellIs" dxfId="790" priority="1568" operator="equal">
      <formula>"×"</formula>
    </cfRule>
  </conditionalFormatting>
  <conditionalFormatting sqref="AF20:AG23">
    <cfRule type="cellIs" dxfId="789" priority="1565" operator="equal">
      <formula>1</formula>
    </cfRule>
    <cfRule type="cellIs" dxfId="788" priority="1566" operator="equal">
      <formula>"×"</formula>
    </cfRule>
  </conditionalFormatting>
  <conditionalFormatting sqref="AF20:AG23">
    <cfRule type="cellIs" dxfId="787" priority="1563" operator="equal">
      <formula>1</formula>
    </cfRule>
    <cfRule type="cellIs" dxfId="786" priority="1564" operator="equal">
      <formula>"×"</formula>
    </cfRule>
  </conditionalFormatting>
  <conditionalFormatting sqref="AF20:AG23">
    <cfRule type="cellIs" dxfId="785" priority="1561" operator="equal">
      <formula>1</formula>
    </cfRule>
    <cfRule type="cellIs" dxfId="784" priority="1562" operator="equal">
      <formula>"×"</formula>
    </cfRule>
  </conditionalFormatting>
  <conditionalFormatting sqref="AF20:AG23">
    <cfRule type="cellIs" dxfId="783" priority="1559" operator="equal">
      <formula>1</formula>
    </cfRule>
    <cfRule type="cellIs" dxfId="782" priority="1560" operator="equal">
      <formula>"×"</formula>
    </cfRule>
  </conditionalFormatting>
  <conditionalFormatting sqref="AF20:AG23">
    <cfRule type="cellIs" dxfId="781" priority="1557" operator="equal">
      <formula>1</formula>
    </cfRule>
    <cfRule type="cellIs" dxfId="780" priority="1558" operator="equal">
      <formula>"×"</formula>
    </cfRule>
  </conditionalFormatting>
  <conditionalFormatting sqref="AF20:AG23">
    <cfRule type="cellIs" dxfId="779" priority="1555" operator="equal">
      <formula>1</formula>
    </cfRule>
    <cfRule type="cellIs" dxfId="778" priority="1556" operator="equal">
      <formula>"×"</formula>
    </cfRule>
  </conditionalFormatting>
  <conditionalFormatting sqref="AF20:AG23">
    <cfRule type="cellIs" dxfId="777" priority="1553" operator="equal">
      <formula>1</formula>
    </cfRule>
    <cfRule type="cellIs" dxfId="776" priority="1554" operator="equal">
      <formula>"×"</formula>
    </cfRule>
  </conditionalFormatting>
  <conditionalFormatting sqref="AF20:AG23">
    <cfRule type="cellIs" dxfId="775" priority="1551" operator="equal">
      <formula>1</formula>
    </cfRule>
    <cfRule type="cellIs" dxfId="774" priority="1552" operator="equal">
      <formula>"×"</formula>
    </cfRule>
  </conditionalFormatting>
  <conditionalFormatting sqref="AF20:AG23">
    <cfRule type="cellIs" dxfId="773" priority="1549" operator="equal">
      <formula>1</formula>
    </cfRule>
    <cfRule type="cellIs" dxfId="772" priority="1550" operator="equal">
      <formula>"×"</formula>
    </cfRule>
  </conditionalFormatting>
  <conditionalFormatting sqref="AF20:AG23">
    <cfRule type="cellIs" dxfId="771" priority="1547" operator="equal">
      <formula>1</formula>
    </cfRule>
    <cfRule type="cellIs" dxfId="770" priority="1548" operator="equal">
      <formula>"×"</formula>
    </cfRule>
  </conditionalFormatting>
  <conditionalFormatting sqref="AF20:AG23">
    <cfRule type="cellIs" dxfId="769" priority="1545" operator="equal">
      <formula>1</formula>
    </cfRule>
    <cfRule type="cellIs" dxfId="768" priority="1546" operator="equal">
      <formula>"×"</formula>
    </cfRule>
  </conditionalFormatting>
  <conditionalFormatting sqref="AB25:AI25">
    <cfRule type="cellIs" dxfId="767" priority="1535" operator="equal">
      <formula>1</formula>
    </cfRule>
    <cfRule type="cellIs" dxfId="766" priority="1536" operator="equal">
      <formula>"×"</formula>
    </cfRule>
  </conditionalFormatting>
  <conditionalFormatting sqref="AB25:AI25">
    <cfRule type="cellIs" dxfId="765" priority="1511" operator="equal">
      <formula>1</formula>
    </cfRule>
    <cfRule type="cellIs" dxfId="764" priority="1512" operator="equal">
      <formula>"×"</formula>
    </cfRule>
  </conditionalFormatting>
  <conditionalFormatting sqref="AB25:AI25">
    <cfRule type="cellIs" dxfId="763" priority="1509" operator="equal">
      <formula>1</formula>
    </cfRule>
    <cfRule type="cellIs" dxfId="762" priority="1510" operator="equal">
      <formula>"×"</formula>
    </cfRule>
  </conditionalFormatting>
  <conditionalFormatting sqref="AB25:AI25">
    <cfRule type="cellIs" dxfId="761" priority="1505" operator="equal">
      <formula>1</formula>
    </cfRule>
    <cfRule type="cellIs" dxfId="760" priority="1506" operator="equal">
      <formula>"×"</formula>
    </cfRule>
  </conditionalFormatting>
  <conditionalFormatting sqref="AB25:AI25">
    <cfRule type="cellIs" dxfId="759" priority="1507" operator="equal">
      <formula>1</formula>
    </cfRule>
    <cfRule type="cellIs" dxfId="758" priority="1508" operator="equal">
      <formula>"×"</formula>
    </cfRule>
  </conditionalFormatting>
  <conditionalFormatting sqref="AB25:AI25">
    <cfRule type="cellIs" dxfId="757" priority="1533" operator="equal">
      <formula>1</formula>
    </cfRule>
    <cfRule type="cellIs" dxfId="756" priority="1534" operator="equal">
      <formula>"×"</formula>
    </cfRule>
  </conditionalFormatting>
  <conditionalFormatting sqref="AB25:AI25">
    <cfRule type="cellIs" dxfId="755" priority="1531" operator="equal">
      <formula>1</formula>
    </cfRule>
    <cfRule type="cellIs" dxfId="754" priority="1532" operator="equal">
      <formula>"×"</formula>
    </cfRule>
  </conditionalFormatting>
  <conditionalFormatting sqref="AB25:AI25">
    <cfRule type="cellIs" dxfId="753" priority="1529" operator="equal">
      <formula>1</formula>
    </cfRule>
    <cfRule type="cellIs" dxfId="752" priority="1530" operator="equal">
      <formula>"×"</formula>
    </cfRule>
  </conditionalFormatting>
  <conditionalFormatting sqref="AB25:AI25">
    <cfRule type="cellIs" dxfId="751" priority="1527" operator="equal">
      <formula>1</formula>
    </cfRule>
    <cfRule type="cellIs" dxfId="750" priority="1528" operator="equal">
      <formula>"×"</formula>
    </cfRule>
  </conditionalFormatting>
  <conditionalFormatting sqref="AB25:AI25">
    <cfRule type="cellIs" dxfId="749" priority="1525" operator="equal">
      <formula>1</formula>
    </cfRule>
    <cfRule type="cellIs" dxfId="748" priority="1526" operator="equal">
      <formula>"×"</formula>
    </cfRule>
  </conditionalFormatting>
  <conditionalFormatting sqref="AB25:AI25">
    <cfRule type="cellIs" dxfId="747" priority="1523" operator="equal">
      <formula>1</formula>
    </cfRule>
    <cfRule type="cellIs" dxfId="746" priority="1524" operator="equal">
      <formula>"×"</formula>
    </cfRule>
  </conditionalFormatting>
  <conditionalFormatting sqref="AB25:AI25">
    <cfRule type="cellIs" dxfId="745" priority="1521" operator="equal">
      <formula>1</formula>
    </cfRule>
    <cfRule type="cellIs" dxfId="744" priority="1522" operator="equal">
      <formula>"×"</formula>
    </cfRule>
  </conditionalFormatting>
  <conditionalFormatting sqref="AB25:AI25">
    <cfRule type="cellIs" dxfId="743" priority="1519" operator="equal">
      <formula>1</formula>
    </cfRule>
    <cfRule type="cellIs" dxfId="742" priority="1520" operator="equal">
      <formula>"×"</formula>
    </cfRule>
  </conditionalFormatting>
  <conditionalFormatting sqref="AB25:AI25">
    <cfRule type="cellIs" dxfId="741" priority="1517" operator="equal">
      <formula>1</formula>
    </cfRule>
    <cfRule type="cellIs" dxfId="740" priority="1518" operator="equal">
      <formula>"×"</formula>
    </cfRule>
  </conditionalFormatting>
  <conditionalFormatting sqref="AB25:AI25">
    <cfRule type="cellIs" dxfId="739" priority="1515" operator="equal">
      <formula>1</formula>
    </cfRule>
    <cfRule type="cellIs" dxfId="738" priority="1516" operator="equal">
      <formula>"×"</formula>
    </cfRule>
  </conditionalFormatting>
  <conditionalFormatting sqref="AB25:AI25">
    <cfRule type="cellIs" dxfId="737" priority="1513" operator="equal">
      <formula>1</formula>
    </cfRule>
    <cfRule type="cellIs" dxfId="736" priority="1514" operator="equal">
      <formula>"×"</formula>
    </cfRule>
  </conditionalFormatting>
  <conditionalFormatting sqref="AB25:AI25">
    <cfRule type="cellIs" dxfId="735" priority="1503" operator="equal">
      <formula>1</formula>
    </cfRule>
    <cfRule type="cellIs" dxfId="734" priority="1504" operator="equal">
      <formula>"×"</formula>
    </cfRule>
  </conditionalFormatting>
  <conditionalFormatting sqref="AB25:AI25">
    <cfRule type="cellIs" dxfId="733" priority="1501" operator="equal">
      <formula>1</formula>
    </cfRule>
    <cfRule type="cellIs" dxfId="732" priority="1502" operator="equal">
      <formula>"×"</formula>
    </cfRule>
  </conditionalFormatting>
  <conditionalFormatting sqref="AB25:AI25">
    <cfRule type="cellIs" dxfId="731" priority="1497" operator="equal">
      <formula>1</formula>
    </cfRule>
    <cfRule type="cellIs" dxfId="730" priority="1498" operator="equal">
      <formula>"×"</formula>
    </cfRule>
  </conditionalFormatting>
  <conditionalFormatting sqref="AB25:AI25">
    <cfRule type="cellIs" dxfId="729" priority="1499" operator="equal">
      <formula>1</formula>
    </cfRule>
    <cfRule type="cellIs" dxfId="728" priority="1500" operator="equal">
      <formula>"×"</formula>
    </cfRule>
  </conditionalFormatting>
  <conditionalFormatting sqref="AB25:AI25">
    <cfRule type="cellIs" dxfId="727" priority="1495" operator="equal">
      <formula>1</formula>
    </cfRule>
    <cfRule type="cellIs" dxfId="726" priority="1496" operator="equal">
      <formula>"×"</formula>
    </cfRule>
  </conditionalFormatting>
  <conditionalFormatting sqref="AB25:AI25">
    <cfRule type="cellIs" dxfId="725" priority="1493" operator="equal">
      <formula>1</formula>
    </cfRule>
    <cfRule type="cellIs" dxfId="724" priority="1494" operator="equal">
      <formula>"×"</formula>
    </cfRule>
  </conditionalFormatting>
  <conditionalFormatting sqref="AB25:AI25">
    <cfRule type="cellIs" dxfId="723" priority="1491" operator="equal">
      <formula>1</formula>
    </cfRule>
    <cfRule type="cellIs" dxfId="722" priority="1492" operator="equal">
      <formula>"×"</formula>
    </cfRule>
  </conditionalFormatting>
  <conditionalFormatting sqref="AB25:AI25">
    <cfRule type="cellIs" dxfId="721" priority="1489" operator="equal">
      <formula>1</formula>
    </cfRule>
    <cfRule type="cellIs" dxfId="720" priority="1490" operator="equal">
      <formula>"×"</formula>
    </cfRule>
  </conditionalFormatting>
  <conditionalFormatting sqref="AB25:AI25">
    <cfRule type="cellIs" dxfId="719" priority="1487" operator="equal">
      <formula>1</formula>
    </cfRule>
    <cfRule type="cellIs" dxfId="718" priority="1488" operator="equal">
      <formula>"×"</formula>
    </cfRule>
  </conditionalFormatting>
  <conditionalFormatting sqref="AB25:AI25">
    <cfRule type="cellIs" dxfId="717" priority="1485" operator="equal">
      <formula>1</formula>
    </cfRule>
    <cfRule type="cellIs" dxfId="716" priority="1486" operator="equal">
      <formula>"×"</formula>
    </cfRule>
  </conditionalFormatting>
  <conditionalFormatting sqref="AB25:AI25">
    <cfRule type="cellIs" dxfId="715" priority="1483" operator="equal">
      <formula>1</formula>
    </cfRule>
    <cfRule type="cellIs" dxfId="714" priority="1484" operator="equal">
      <formula>"×"</formula>
    </cfRule>
  </conditionalFormatting>
  <conditionalFormatting sqref="AB25:AI25">
    <cfRule type="cellIs" dxfId="713" priority="1481" operator="equal">
      <formula>1</formula>
    </cfRule>
    <cfRule type="cellIs" dxfId="712" priority="1482" operator="equal">
      <formula>"×"</formula>
    </cfRule>
  </conditionalFormatting>
  <conditionalFormatting sqref="AB25:AI25">
    <cfRule type="cellIs" dxfId="711" priority="1479" operator="equal">
      <formula>1</formula>
    </cfRule>
    <cfRule type="cellIs" dxfId="710" priority="1480" operator="equal">
      <formula>"×"</formula>
    </cfRule>
  </conditionalFormatting>
  <conditionalFormatting sqref="AB25:AI25">
    <cfRule type="cellIs" dxfId="709" priority="1477" operator="equal">
      <formula>1</formula>
    </cfRule>
    <cfRule type="cellIs" dxfId="708" priority="1478" operator="equal">
      <formula>"×"</formula>
    </cfRule>
  </conditionalFormatting>
  <conditionalFormatting sqref="AB25:AI25">
    <cfRule type="cellIs" dxfId="707" priority="1475" operator="equal">
      <formula>1</formula>
    </cfRule>
    <cfRule type="cellIs" dxfId="706" priority="1476" operator="equal">
      <formula>"×"</formula>
    </cfRule>
  </conditionalFormatting>
  <conditionalFormatting sqref="AB25:AI25">
    <cfRule type="cellIs" dxfId="705" priority="1473" operator="equal">
      <formula>1</formula>
    </cfRule>
    <cfRule type="cellIs" dxfId="704" priority="1474" operator="equal">
      <formula>"×"</formula>
    </cfRule>
  </conditionalFormatting>
  <conditionalFormatting sqref="AB25:AI25">
    <cfRule type="cellIs" dxfId="703" priority="1471" operator="equal">
      <formula>1</formula>
    </cfRule>
    <cfRule type="cellIs" dxfId="702" priority="1472" operator="equal">
      <formula>"×"</formula>
    </cfRule>
  </conditionalFormatting>
  <conditionalFormatting sqref="AB25:AI25">
    <cfRule type="cellIs" dxfId="701" priority="1469" operator="equal">
      <formula>1</formula>
    </cfRule>
    <cfRule type="cellIs" dxfId="700" priority="1470" operator="equal">
      <formula>"×"</formula>
    </cfRule>
  </conditionalFormatting>
  <conditionalFormatting sqref="AB25:AI25">
    <cfRule type="cellIs" dxfId="699" priority="1467" operator="equal">
      <formula>1</formula>
    </cfRule>
    <cfRule type="cellIs" dxfId="698" priority="1468" operator="equal">
      <formula>"×"</formula>
    </cfRule>
  </conditionalFormatting>
  <conditionalFormatting sqref="AB25:AI25">
    <cfRule type="cellIs" dxfId="697" priority="1465" operator="equal">
      <formula>1</formula>
    </cfRule>
    <cfRule type="cellIs" dxfId="696" priority="1466" operator="equal">
      <formula>"×"</formula>
    </cfRule>
  </conditionalFormatting>
  <conditionalFormatting sqref="AB25:AI25">
    <cfRule type="cellIs" dxfId="695" priority="1463" operator="equal">
      <formula>1</formula>
    </cfRule>
    <cfRule type="cellIs" dxfId="694" priority="1464" operator="equal">
      <formula>"×"</formula>
    </cfRule>
  </conditionalFormatting>
  <conditionalFormatting sqref="AB25:AI25">
    <cfRule type="cellIs" dxfId="693" priority="1461" operator="equal">
      <formula>1</formula>
    </cfRule>
    <cfRule type="cellIs" dxfId="692" priority="1462" operator="equal">
      <formula>"×"</formula>
    </cfRule>
  </conditionalFormatting>
  <conditionalFormatting sqref="AB25:AI25">
    <cfRule type="cellIs" dxfId="691" priority="1457" operator="equal">
      <formula>1</formula>
    </cfRule>
    <cfRule type="cellIs" dxfId="690" priority="1458" operator="equal">
      <formula>"×"</formula>
    </cfRule>
  </conditionalFormatting>
  <conditionalFormatting sqref="AB25:AI25">
    <cfRule type="cellIs" dxfId="689" priority="1459" operator="equal">
      <formula>1</formula>
    </cfRule>
    <cfRule type="cellIs" dxfId="688" priority="1460" operator="equal">
      <formula>"×"</formula>
    </cfRule>
  </conditionalFormatting>
  <conditionalFormatting sqref="AB25:AI25">
    <cfRule type="cellIs" dxfId="687" priority="1455" operator="equal">
      <formula>1</formula>
    </cfRule>
    <cfRule type="cellIs" dxfId="686" priority="1456" operator="equal">
      <formula>"×"</formula>
    </cfRule>
  </conditionalFormatting>
  <conditionalFormatting sqref="AB25:AI25">
    <cfRule type="cellIs" dxfId="685" priority="1453" operator="equal">
      <formula>1</formula>
    </cfRule>
    <cfRule type="cellIs" dxfId="684" priority="1454" operator="equal">
      <formula>"×"</formula>
    </cfRule>
  </conditionalFormatting>
  <conditionalFormatting sqref="AB25:AI25">
    <cfRule type="cellIs" dxfId="683" priority="1451" operator="equal">
      <formula>1</formula>
    </cfRule>
    <cfRule type="cellIs" dxfId="682" priority="1452" operator="equal">
      <formula>"×"</formula>
    </cfRule>
  </conditionalFormatting>
  <conditionalFormatting sqref="AB25:AI25">
    <cfRule type="cellIs" dxfId="681" priority="1449" operator="equal">
      <formula>1</formula>
    </cfRule>
    <cfRule type="cellIs" dxfId="680" priority="1450" operator="equal">
      <formula>"×"</formula>
    </cfRule>
  </conditionalFormatting>
  <conditionalFormatting sqref="AB24">
    <cfRule type="cellIs" dxfId="679" priority="1447" operator="equal">
      <formula>1</formula>
    </cfRule>
    <cfRule type="cellIs" dxfId="678" priority="1448" operator="equal">
      <formula>"×"</formula>
    </cfRule>
  </conditionalFormatting>
  <conditionalFormatting sqref="AB24">
    <cfRule type="cellIs" dxfId="677" priority="1445" operator="equal">
      <formula>1</formula>
    </cfRule>
    <cfRule type="cellIs" dxfId="676" priority="1446" operator="equal">
      <formula>"×"</formula>
    </cfRule>
  </conditionalFormatting>
  <conditionalFormatting sqref="AC24">
    <cfRule type="cellIs" dxfId="675" priority="1443" operator="equal">
      <formula>1</formula>
    </cfRule>
    <cfRule type="cellIs" dxfId="674" priority="1444" operator="equal">
      <formula>"×"</formula>
    </cfRule>
  </conditionalFormatting>
  <conditionalFormatting sqref="AC24">
    <cfRule type="cellIs" dxfId="673" priority="1441" operator="equal">
      <formula>1</formula>
    </cfRule>
    <cfRule type="cellIs" dxfId="672" priority="1442" operator="equal">
      <formula>"×"</formula>
    </cfRule>
  </conditionalFormatting>
  <conditionalFormatting sqref="AC24">
    <cfRule type="cellIs" dxfId="671" priority="1439" operator="equal">
      <formula>1</formula>
    </cfRule>
    <cfRule type="cellIs" dxfId="670" priority="1440" operator="equal">
      <formula>"×"</formula>
    </cfRule>
  </conditionalFormatting>
  <conditionalFormatting sqref="AC24">
    <cfRule type="cellIs" dxfId="669" priority="1437" operator="equal">
      <formula>1</formula>
    </cfRule>
    <cfRule type="cellIs" dxfId="668" priority="1438" operator="equal">
      <formula>"×"</formula>
    </cfRule>
  </conditionalFormatting>
  <conditionalFormatting sqref="AD21">
    <cfRule type="cellIs" dxfId="667" priority="1435" operator="equal">
      <formula>1</formula>
    </cfRule>
    <cfRule type="cellIs" dxfId="666" priority="1436" operator="equal">
      <formula>"×"</formula>
    </cfRule>
  </conditionalFormatting>
  <conditionalFormatting sqref="AF20">
    <cfRule type="cellIs" dxfId="665" priority="1433" operator="equal">
      <formula>1</formula>
    </cfRule>
    <cfRule type="cellIs" dxfId="664" priority="1434" operator="equal">
      <formula>"×"</formula>
    </cfRule>
  </conditionalFormatting>
  <conditionalFormatting sqref="AF20">
    <cfRule type="cellIs" dxfId="663" priority="1431" operator="equal">
      <formula>1</formula>
    </cfRule>
    <cfRule type="cellIs" dxfId="662" priority="1432" operator="equal">
      <formula>"×"</formula>
    </cfRule>
  </conditionalFormatting>
  <conditionalFormatting sqref="AF20:AI20">
    <cfRule type="cellIs" dxfId="661" priority="1423" operator="equal">
      <formula>1</formula>
    </cfRule>
    <cfRule type="cellIs" dxfId="660" priority="1424" operator="equal">
      <formula>"×"</formula>
    </cfRule>
  </conditionalFormatting>
  <conditionalFormatting sqref="AI20">
    <cfRule type="cellIs" dxfId="659" priority="1421" operator="equal">
      <formula>1</formula>
    </cfRule>
    <cfRule type="cellIs" dxfId="658" priority="1422" operator="equal">
      <formula>"×"</formula>
    </cfRule>
  </conditionalFormatting>
  <conditionalFormatting sqref="AF21">
    <cfRule type="cellIs" dxfId="657" priority="1413" operator="equal">
      <formula>1</formula>
    </cfRule>
    <cfRule type="cellIs" dxfId="656" priority="1414" operator="equal">
      <formula>"×"</formula>
    </cfRule>
  </conditionalFormatting>
  <conditionalFormatting sqref="AF20:AI20">
    <cfRule type="cellIs" dxfId="655" priority="1397" operator="equal">
      <formula>1</formula>
    </cfRule>
    <cfRule type="cellIs" dxfId="654" priority="1398" operator="equal">
      <formula>"×"</formula>
    </cfRule>
  </conditionalFormatting>
  <conditionalFormatting sqref="AI20">
    <cfRule type="cellIs" dxfId="653" priority="1395" operator="equal">
      <formula>1</formula>
    </cfRule>
    <cfRule type="cellIs" dxfId="652" priority="1396" operator="equal">
      <formula>"×"</formula>
    </cfRule>
  </conditionalFormatting>
  <conditionalFormatting sqref="AF20:AI20">
    <cfRule type="cellIs" dxfId="651" priority="1393" operator="equal">
      <formula>1</formula>
    </cfRule>
    <cfRule type="cellIs" dxfId="650" priority="1394" operator="equal">
      <formula>"×"</formula>
    </cfRule>
  </conditionalFormatting>
  <conditionalFormatting sqref="AF20">
    <cfRule type="cellIs" dxfId="649" priority="1411" operator="equal">
      <formula>1</formula>
    </cfRule>
    <cfRule type="cellIs" dxfId="648" priority="1412" operator="equal">
      <formula>"×"</formula>
    </cfRule>
  </conditionalFormatting>
  <conditionalFormatting sqref="AF20">
    <cfRule type="cellIs" dxfId="647" priority="1409" operator="equal">
      <formula>1</formula>
    </cfRule>
    <cfRule type="cellIs" dxfId="646" priority="1410" operator="equal">
      <formula>"×"</formula>
    </cfRule>
  </conditionalFormatting>
  <conditionalFormatting sqref="AF20">
    <cfRule type="cellIs" dxfId="645" priority="1407" operator="equal">
      <formula>1</formula>
    </cfRule>
    <cfRule type="cellIs" dxfId="644" priority="1408" operator="equal">
      <formula>"×"</formula>
    </cfRule>
  </conditionalFormatting>
  <conditionalFormatting sqref="AF20">
    <cfRule type="cellIs" dxfId="643" priority="1405" operator="equal">
      <formula>1</formula>
    </cfRule>
    <cfRule type="cellIs" dxfId="642" priority="1406" operator="equal">
      <formula>"×"</formula>
    </cfRule>
  </conditionalFormatting>
  <conditionalFormatting sqref="AI21">
    <cfRule type="cellIs" dxfId="641" priority="1403" operator="equal">
      <formula>1</formula>
    </cfRule>
    <cfRule type="cellIs" dxfId="640" priority="1404" operator="equal">
      <formula>"×"</formula>
    </cfRule>
  </conditionalFormatting>
  <conditionalFormatting sqref="AF20">
    <cfRule type="cellIs" dxfId="639" priority="1401" operator="equal">
      <formula>1</formula>
    </cfRule>
    <cfRule type="cellIs" dxfId="638" priority="1402" operator="equal">
      <formula>"×"</formula>
    </cfRule>
  </conditionalFormatting>
  <conditionalFormatting sqref="AF20">
    <cfRule type="cellIs" dxfId="637" priority="1399" operator="equal">
      <formula>1</formula>
    </cfRule>
    <cfRule type="cellIs" dxfId="636" priority="1400" operator="equal">
      <formula>"×"</formula>
    </cfRule>
  </conditionalFormatting>
  <conditionalFormatting sqref="AI21">
    <cfRule type="cellIs" dxfId="635" priority="1391" operator="equal">
      <formula>1</formula>
    </cfRule>
    <cfRule type="cellIs" dxfId="634" priority="1392" operator="equal">
      <formula>"×"</formula>
    </cfRule>
  </conditionalFormatting>
  <conditionalFormatting sqref="AI21">
    <cfRule type="cellIs" dxfId="633" priority="1389" operator="equal">
      <formula>1</formula>
    </cfRule>
    <cfRule type="cellIs" dxfId="632" priority="1390" operator="equal">
      <formula>"×"</formula>
    </cfRule>
  </conditionalFormatting>
  <conditionalFormatting sqref="AF20">
    <cfRule type="cellIs" dxfId="631" priority="1387" operator="equal">
      <formula>1</formula>
    </cfRule>
    <cfRule type="cellIs" dxfId="630" priority="1388" operator="equal">
      <formula>"×"</formula>
    </cfRule>
  </conditionalFormatting>
  <conditionalFormatting sqref="AF20">
    <cfRule type="cellIs" dxfId="629" priority="1383" operator="equal">
      <formula>1</formula>
    </cfRule>
    <cfRule type="cellIs" dxfId="628" priority="1384" operator="equal">
      <formula>"×"</formula>
    </cfRule>
  </conditionalFormatting>
  <conditionalFormatting sqref="AF20">
    <cfRule type="cellIs" dxfId="627" priority="1385" operator="equal">
      <formula>1</formula>
    </cfRule>
    <cfRule type="cellIs" dxfId="626" priority="1386" operator="equal">
      <formula>"×"</formula>
    </cfRule>
  </conditionalFormatting>
  <conditionalFormatting sqref="AF20">
    <cfRule type="cellIs" dxfId="625" priority="1381" operator="equal">
      <formula>1</formula>
    </cfRule>
    <cfRule type="cellIs" dxfId="624" priority="1382" operator="equal">
      <formula>"×"</formula>
    </cfRule>
  </conditionalFormatting>
  <conditionalFormatting sqref="AF20">
    <cfRule type="cellIs" dxfId="623" priority="1379" operator="equal">
      <formula>1</formula>
    </cfRule>
    <cfRule type="cellIs" dxfId="622" priority="1380" operator="equal">
      <formula>"×"</formula>
    </cfRule>
  </conditionalFormatting>
  <conditionalFormatting sqref="AF20">
    <cfRule type="cellIs" dxfId="621" priority="1377" operator="equal">
      <formula>1</formula>
    </cfRule>
    <cfRule type="cellIs" dxfId="620" priority="1378" operator="equal">
      <formula>"×"</formula>
    </cfRule>
  </conditionalFormatting>
  <conditionalFormatting sqref="AF20">
    <cfRule type="cellIs" dxfId="619" priority="1375" operator="equal">
      <formula>1</formula>
    </cfRule>
    <cfRule type="cellIs" dxfId="618" priority="1376" operator="equal">
      <formula>"×"</formula>
    </cfRule>
  </conditionalFormatting>
  <conditionalFormatting sqref="AF20">
    <cfRule type="cellIs" dxfId="617" priority="1373" operator="equal">
      <formula>1</formula>
    </cfRule>
    <cfRule type="cellIs" dxfId="616" priority="1374" operator="equal">
      <formula>"×"</formula>
    </cfRule>
  </conditionalFormatting>
  <conditionalFormatting sqref="AF20">
    <cfRule type="cellIs" dxfId="615" priority="1371" operator="equal">
      <formula>1</formula>
    </cfRule>
    <cfRule type="cellIs" dxfId="614" priority="1372" operator="equal">
      <formula>"×"</formula>
    </cfRule>
  </conditionalFormatting>
  <conditionalFormatting sqref="AF20:AI20">
    <cfRule type="cellIs" dxfId="613" priority="1369" operator="equal">
      <formula>1</formula>
    </cfRule>
    <cfRule type="cellIs" dxfId="612" priority="1370" operator="equal">
      <formula>"×"</formula>
    </cfRule>
  </conditionalFormatting>
  <conditionalFormatting sqref="AF20:AI20">
    <cfRule type="cellIs" dxfId="611" priority="1365" operator="equal">
      <formula>1</formula>
    </cfRule>
    <cfRule type="cellIs" dxfId="610" priority="1366" operator="equal">
      <formula>"×"</formula>
    </cfRule>
  </conditionalFormatting>
  <conditionalFormatting sqref="AF20:AI20">
    <cfRule type="cellIs" dxfId="609" priority="1337" operator="equal">
      <formula>1</formula>
    </cfRule>
    <cfRule type="cellIs" dxfId="608" priority="1338" operator="equal">
      <formula>"×"</formula>
    </cfRule>
  </conditionalFormatting>
  <conditionalFormatting sqref="AI20">
    <cfRule type="cellIs" dxfId="607" priority="1335" operator="equal">
      <formula>1</formula>
    </cfRule>
    <cfRule type="cellIs" dxfId="606" priority="1336" operator="equal">
      <formula>"×"</formula>
    </cfRule>
  </conditionalFormatting>
  <conditionalFormatting sqref="AF20:AI20">
    <cfRule type="cellIs" dxfId="605" priority="1333" operator="equal">
      <formula>1</formula>
    </cfRule>
    <cfRule type="cellIs" dxfId="604" priority="1334" operator="equal">
      <formula>"×"</formula>
    </cfRule>
  </conditionalFormatting>
  <conditionalFormatting sqref="AF20">
    <cfRule type="cellIs" dxfId="603" priority="1347" operator="equal">
      <formula>1</formula>
    </cfRule>
    <cfRule type="cellIs" dxfId="602" priority="1348" operator="equal">
      <formula>"×"</formula>
    </cfRule>
  </conditionalFormatting>
  <conditionalFormatting sqref="AF20">
    <cfRule type="cellIs" dxfId="601" priority="1345" operator="equal">
      <formula>1</formula>
    </cfRule>
    <cfRule type="cellIs" dxfId="600" priority="1346" operator="equal">
      <formula>"×"</formula>
    </cfRule>
  </conditionalFormatting>
  <conditionalFormatting sqref="AI21">
    <cfRule type="cellIs" dxfId="599" priority="1343" operator="equal">
      <formula>1</formula>
    </cfRule>
    <cfRule type="cellIs" dxfId="598" priority="1344" operator="equal">
      <formula>"×"</formula>
    </cfRule>
  </conditionalFormatting>
  <conditionalFormatting sqref="AF20">
    <cfRule type="cellIs" dxfId="597" priority="1341" operator="equal">
      <formula>1</formula>
    </cfRule>
    <cfRule type="cellIs" dxfId="596" priority="1342" operator="equal">
      <formula>"×"</formula>
    </cfRule>
  </conditionalFormatting>
  <conditionalFormatting sqref="AF20">
    <cfRule type="cellIs" dxfId="595" priority="1339" operator="equal">
      <formula>1</formula>
    </cfRule>
    <cfRule type="cellIs" dxfId="594" priority="1340" operator="equal">
      <formula>"×"</formula>
    </cfRule>
  </conditionalFormatting>
  <conditionalFormatting sqref="AI21">
    <cfRule type="cellIs" dxfId="593" priority="1331" operator="equal">
      <formula>1</formula>
    </cfRule>
    <cfRule type="cellIs" dxfId="592" priority="1332" operator="equal">
      <formula>"×"</formula>
    </cfRule>
  </conditionalFormatting>
  <conditionalFormatting sqref="AI21">
    <cfRule type="cellIs" dxfId="591" priority="1329" operator="equal">
      <formula>1</formula>
    </cfRule>
    <cfRule type="cellIs" dxfId="590" priority="1330" operator="equal">
      <formula>"×"</formula>
    </cfRule>
  </conditionalFormatting>
  <conditionalFormatting sqref="AF20">
    <cfRule type="cellIs" dxfId="589" priority="1327" operator="equal">
      <formula>1</formula>
    </cfRule>
    <cfRule type="cellIs" dxfId="588" priority="1328" operator="equal">
      <formula>"×"</formula>
    </cfRule>
  </conditionalFormatting>
  <conditionalFormatting sqref="AF20">
    <cfRule type="cellIs" dxfId="587" priority="1323" operator="equal">
      <formula>1</formula>
    </cfRule>
    <cfRule type="cellIs" dxfId="586" priority="1324" operator="equal">
      <formula>"×"</formula>
    </cfRule>
  </conditionalFormatting>
  <conditionalFormatting sqref="AF20">
    <cfRule type="cellIs" dxfId="585" priority="1325" operator="equal">
      <formula>1</formula>
    </cfRule>
    <cfRule type="cellIs" dxfId="584" priority="1326" operator="equal">
      <formula>"×"</formula>
    </cfRule>
  </conditionalFormatting>
  <conditionalFormatting sqref="AF20">
    <cfRule type="cellIs" dxfId="583" priority="1321" operator="equal">
      <formula>1</formula>
    </cfRule>
    <cfRule type="cellIs" dxfId="582" priority="1322" operator="equal">
      <formula>"×"</formula>
    </cfRule>
  </conditionalFormatting>
  <conditionalFormatting sqref="AF20">
    <cfRule type="cellIs" dxfId="581" priority="1319" operator="equal">
      <formula>1</formula>
    </cfRule>
    <cfRule type="cellIs" dxfId="580" priority="1320" operator="equal">
      <formula>"×"</formula>
    </cfRule>
  </conditionalFormatting>
  <conditionalFormatting sqref="AF20">
    <cfRule type="cellIs" dxfId="579" priority="1317" operator="equal">
      <formula>1</formula>
    </cfRule>
    <cfRule type="cellIs" dxfId="578" priority="1318" operator="equal">
      <formula>"×"</formula>
    </cfRule>
  </conditionalFormatting>
  <conditionalFormatting sqref="AF20">
    <cfRule type="cellIs" dxfId="577" priority="1315" operator="equal">
      <formula>1</formula>
    </cfRule>
    <cfRule type="cellIs" dxfId="576" priority="1316" operator="equal">
      <formula>"×"</formula>
    </cfRule>
  </conditionalFormatting>
  <conditionalFormatting sqref="AI25">
    <cfRule type="cellIs" dxfId="575" priority="1033" operator="equal">
      <formula>1</formula>
    </cfRule>
    <cfRule type="cellIs" dxfId="574" priority="1034" operator="equal">
      <formula>"×"</formula>
    </cfRule>
  </conditionalFormatting>
  <conditionalFormatting sqref="AH25:AI25">
    <cfRule type="cellIs" dxfId="573" priority="1031" operator="equal">
      <formula>1</formula>
    </cfRule>
    <cfRule type="cellIs" dxfId="572" priority="1032" operator="equal">
      <formula>"×"</formula>
    </cfRule>
  </conditionalFormatting>
  <conditionalFormatting sqref="AF22:AG22">
    <cfRule type="cellIs" dxfId="571" priority="1005" operator="equal">
      <formula>1</formula>
    </cfRule>
    <cfRule type="cellIs" dxfId="570" priority="1006" operator="equal">
      <formula>"×"</formula>
    </cfRule>
  </conditionalFormatting>
  <conditionalFormatting sqref="AF22:AG22">
    <cfRule type="cellIs" dxfId="569" priority="1003" operator="equal">
      <formula>1</formula>
    </cfRule>
    <cfRule type="cellIs" dxfId="568" priority="1004" operator="equal">
      <formula>"×"</formula>
    </cfRule>
  </conditionalFormatting>
  <conditionalFormatting sqref="AF22:AG22">
    <cfRule type="cellIs" dxfId="567" priority="999" operator="equal">
      <formula>1</formula>
    </cfRule>
    <cfRule type="cellIs" dxfId="566" priority="1000" operator="equal">
      <formula>"×"</formula>
    </cfRule>
  </conditionalFormatting>
  <conditionalFormatting sqref="AF22:AG22">
    <cfRule type="cellIs" dxfId="565" priority="1001" operator="equal">
      <formula>1</formula>
    </cfRule>
    <cfRule type="cellIs" dxfId="564" priority="1002" operator="equal">
      <formula>"×"</formula>
    </cfRule>
  </conditionalFormatting>
  <conditionalFormatting sqref="AF22:AG22">
    <cfRule type="cellIs" dxfId="563" priority="1029" operator="equal">
      <formula>1</formula>
    </cfRule>
    <cfRule type="cellIs" dxfId="562" priority="1030" operator="equal">
      <formula>"×"</formula>
    </cfRule>
  </conditionalFormatting>
  <conditionalFormatting sqref="AF22:AG22">
    <cfRule type="cellIs" dxfId="561" priority="1027" operator="equal">
      <formula>1</formula>
    </cfRule>
    <cfRule type="cellIs" dxfId="560" priority="1028" operator="equal">
      <formula>"×"</formula>
    </cfRule>
  </conditionalFormatting>
  <conditionalFormatting sqref="AF22:AG22">
    <cfRule type="cellIs" dxfId="559" priority="1025" operator="equal">
      <formula>1</formula>
    </cfRule>
    <cfRule type="cellIs" dxfId="558" priority="1026" operator="equal">
      <formula>"×"</formula>
    </cfRule>
  </conditionalFormatting>
  <conditionalFormatting sqref="AF22:AG22">
    <cfRule type="cellIs" dxfId="557" priority="1023" operator="equal">
      <formula>1</formula>
    </cfRule>
    <cfRule type="cellIs" dxfId="556" priority="1024" operator="equal">
      <formula>"×"</formula>
    </cfRule>
  </conditionalFormatting>
  <conditionalFormatting sqref="AF22:AG22">
    <cfRule type="cellIs" dxfId="555" priority="1021" operator="equal">
      <formula>1</formula>
    </cfRule>
    <cfRule type="cellIs" dxfId="554" priority="1022" operator="equal">
      <formula>"×"</formula>
    </cfRule>
  </conditionalFormatting>
  <conditionalFormatting sqref="AF22:AG22">
    <cfRule type="cellIs" dxfId="553" priority="1019" operator="equal">
      <formula>1</formula>
    </cfRule>
    <cfRule type="cellIs" dxfId="552" priority="1020" operator="equal">
      <formula>"×"</formula>
    </cfRule>
  </conditionalFormatting>
  <conditionalFormatting sqref="AF22:AG22">
    <cfRule type="cellIs" dxfId="551" priority="1017" operator="equal">
      <formula>1</formula>
    </cfRule>
    <cfRule type="cellIs" dxfId="550" priority="1018" operator="equal">
      <formula>"×"</formula>
    </cfRule>
  </conditionalFormatting>
  <conditionalFormatting sqref="AF22:AG22">
    <cfRule type="cellIs" dxfId="549" priority="1015" operator="equal">
      <formula>1</formula>
    </cfRule>
    <cfRule type="cellIs" dxfId="548" priority="1016" operator="equal">
      <formula>"×"</formula>
    </cfRule>
  </conditionalFormatting>
  <conditionalFormatting sqref="AF22:AG22">
    <cfRule type="cellIs" dxfId="547" priority="1013" operator="equal">
      <formula>1</formula>
    </cfRule>
    <cfRule type="cellIs" dxfId="546" priority="1014" operator="equal">
      <formula>"×"</formula>
    </cfRule>
  </conditionalFormatting>
  <conditionalFormatting sqref="AF22:AG22">
    <cfRule type="cellIs" dxfId="545" priority="1011" operator="equal">
      <formula>1</formula>
    </cfRule>
    <cfRule type="cellIs" dxfId="544" priority="1012" operator="equal">
      <formula>"×"</formula>
    </cfRule>
  </conditionalFormatting>
  <conditionalFormatting sqref="AF22:AG22">
    <cfRule type="cellIs" dxfId="543" priority="1009" operator="equal">
      <formula>1</formula>
    </cfRule>
    <cfRule type="cellIs" dxfId="542" priority="1010" operator="equal">
      <formula>"×"</formula>
    </cfRule>
  </conditionalFormatting>
  <conditionalFormatting sqref="AF22:AG22">
    <cfRule type="cellIs" dxfId="541" priority="1007" operator="equal">
      <formula>1</formula>
    </cfRule>
    <cfRule type="cellIs" dxfId="540" priority="1008" operator="equal">
      <formula>"×"</formula>
    </cfRule>
  </conditionalFormatting>
  <conditionalFormatting sqref="AH22:AI22">
    <cfRule type="cellIs" dxfId="539" priority="973" operator="equal">
      <formula>1</formula>
    </cfRule>
    <cfRule type="cellIs" dxfId="538" priority="974" operator="equal">
      <formula>"×"</formula>
    </cfRule>
  </conditionalFormatting>
  <conditionalFormatting sqref="AH22:AI22">
    <cfRule type="cellIs" dxfId="537" priority="971" operator="equal">
      <formula>1</formula>
    </cfRule>
    <cfRule type="cellIs" dxfId="536" priority="972" operator="equal">
      <formula>"×"</formula>
    </cfRule>
  </conditionalFormatting>
  <conditionalFormatting sqref="AH22:AI22">
    <cfRule type="cellIs" dxfId="535" priority="967" operator="equal">
      <formula>1</formula>
    </cfRule>
    <cfRule type="cellIs" dxfId="534" priority="968" operator="equal">
      <formula>"×"</formula>
    </cfRule>
  </conditionalFormatting>
  <conditionalFormatting sqref="AH22:AI22">
    <cfRule type="cellIs" dxfId="533" priority="969" operator="equal">
      <formula>1</formula>
    </cfRule>
    <cfRule type="cellIs" dxfId="532" priority="970" operator="equal">
      <formula>"×"</formula>
    </cfRule>
  </conditionalFormatting>
  <conditionalFormatting sqref="AH22:AI22">
    <cfRule type="cellIs" dxfId="531" priority="997" operator="equal">
      <formula>1</formula>
    </cfRule>
    <cfRule type="cellIs" dxfId="530" priority="998" operator="equal">
      <formula>"×"</formula>
    </cfRule>
  </conditionalFormatting>
  <conditionalFormatting sqref="AH22:AI22">
    <cfRule type="cellIs" dxfId="529" priority="995" operator="equal">
      <formula>1</formula>
    </cfRule>
    <cfRule type="cellIs" dxfId="528" priority="996" operator="equal">
      <formula>"×"</formula>
    </cfRule>
  </conditionalFormatting>
  <conditionalFormatting sqref="AH22:AI22">
    <cfRule type="cellIs" dxfId="527" priority="993" operator="equal">
      <formula>1</formula>
    </cfRule>
    <cfRule type="cellIs" dxfId="526" priority="994" operator="equal">
      <formula>"×"</formula>
    </cfRule>
  </conditionalFormatting>
  <conditionalFormatting sqref="AH22:AI22">
    <cfRule type="cellIs" dxfId="525" priority="991" operator="equal">
      <formula>1</formula>
    </cfRule>
    <cfRule type="cellIs" dxfId="524" priority="992" operator="equal">
      <formula>"×"</formula>
    </cfRule>
  </conditionalFormatting>
  <conditionalFormatting sqref="AH22:AI22">
    <cfRule type="cellIs" dxfId="523" priority="989" operator="equal">
      <formula>1</formula>
    </cfRule>
    <cfRule type="cellIs" dxfId="522" priority="990" operator="equal">
      <formula>"×"</formula>
    </cfRule>
  </conditionalFormatting>
  <conditionalFormatting sqref="AH22:AI22">
    <cfRule type="cellIs" dxfId="521" priority="987" operator="equal">
      <formula>1</formula>
    </cfRule>
    <cfRule type="cellIs" dxfId="520" priority="988" operator="equal">
      <formula>"×"</formula>
    </cfRule>
  </conditionalFormatting>
  <conditionalFormatting sqref="AH22:AI22">
    <cfRule type="cellIs" dxfId="519" priority="985" operator="equal">
      <formula>1</formula>
    </cfRule>
    <cfRule type="cellIs" dxfId="518" priority="986" operator="equal">
      <formula>"×"</formula>
    </cfRule>
  </conditionalFormatting>
  <conditionalFormatting sqref="AH22:AI22">
    <cfRule type="cellIs" dxfId="517" priority="983" operator="equal">
      <formula>1</formula>
    </cfRule>
    <cfRule type="cellIs" dxfId="516" priority="984" operator="equal">
      <formula>"×"</formula>
    </cfRule>
  </conditionalFormatting>
  <conditionalFormatting sqref="AH22:AI22">
    <cfRule type="cellIs" dxfId="515" priority="981" operator="equal">
      <formula>1</formula>
    </cfRule>
    <cfRule type="cellIs" dxfId="514" priority="982" operator="equal">
      <formula>"×"</formula>
    </cfRule>
  </conditionalFormatting>
  <conditionalFormatting sqref="AH22:AI22">
    <cfRule type="cellIs" dxfId="513" priority="979" operator="equal">
      <formula>1</formula>
    </cfRule>
    <cfRule type="cellIs" dxfId="512" priority="980" operator="equal">
      <formula>"×"</formula>
    </cfRule>
  </conditionalFormatting>
  <conditionalFormatting sqref="AH22:AI22">
    <cfRule type="cellIs" dxfId="511" priority="977" operator="equal">
      <formula>1</formula>
    </cfRule>
    <cfRule type="cellIs" dxfId="510" priority="978" operator="equal">
      <formula>"×"</formula>
    </cfRule>
  </conditionalFormatting>
  <conditionalFormatting sqref="AH22:AI22">
    <cfRule type="cellIs" dxfId="509" priority="975" operator="equal">
      <formula>1</formula>
    </cfRule>
    <cfRule type="cellIs" dxfId="508" priority="976" operator="equal">
      <formula>"×"</formula>
    </cfRule>
  </conditionalFormatting>
  <conditionalFormatting sqref="AH23">
    <cfRule type="cellIs" dxfId="507" priority="965" operator="equal">
      <formula>1</formula>
    </cfRule>
    <cfRule type="cellIs" dxfId="506" priority="966" operator="equal">
      <formula>"×"</formula>
    </cfRule>
  </conditionalFormatting>
  <conditionalFormatting sqref="AH23">
    <cfRule type="cellIs" dxfId="505" priority="963" operator="equal">
      <formula>1</formula>
    </cfRule>
    <cfRule type="cellIs" dxfId="504" priority="964" operator="equal">
      <formula>"×"</formula>
    </cfRule>
  </conditionalFormatting>
  <conditionalFormatting sqref="AH23">
    <cfRule type="cellIs" dxfId="503" priority="937" operator="equal">
      <formula>1</formula>
    </cfRule>
    <cfRule type="cellIs" dxfId="502" priority="938" operator="equal">
      <formula>"×"</formula>
    </cfRule>
  </conditionalFormatting>
  <conditionalFormatting sqref="AH23">
    <cfRule type="cellIs" dxfId="501" priority="935" operator="equal">
      <formula>1</formula>
    </cfRule>
    <cfRule type="cellIs" dxfId="500" priority="936" operator="equal">
      <formula>"×"</formula>
    </cfRule>
  </conditionalFormatting>
  <conditionalFormatting sqref="AH23">
    <cfRule type="cellIs" dxfId="499" priority="931" operator="equal">
      <formula>1</formula>
    </cfRule>
    <cfRule type="cellIs" dxfId="498" priority="932" operator="equal">
      <formula>"×"</formula>
    </cfRule>
  </conditionalFormatting>
  <conditionalFormatting sqref="AH23">
    <cfRule type="cellIs" dxfId="497" priority="933" operator="equal">
      <formula>1</formula>
    </cfRule>
    <cfRule type="cellIs" dxfId="496" priority="934" operator="equal">
      <formula>"×"</formula>
    </cfRule>
  </conditionalFormatting>
  <conditionalFormatting sqref="AH23">
    <cfRule type="cellIs" dxfId="495" priority="961" operator="equal">
      <formula>1</formula>
    </cfRule>
    <cfRule type="cellIs" dxfId="494" priority="962" operator="equal">
      <formula>"×"</formula>
    </cfRule>
  </conditionalFormatting>
  <conditionalFormatting sqref="AH23">
    <cfRule type="cellIs" dxfId="493" priority="959" operator="equal">
      <formula>1</formula>
    </cfRule>
    <cfRule type="cellIs" dxfId="492" priority="960" operator="equal">
      <formula>"×"</formula>
    </cfRule>
  </conditionalFormatting>
  <conditionalFormatting sqref="AH23">
    <cfRule type="cellIs" dxfId="491" priority="957" operator="equal">
      <formula>1</formula>
    </cfRule>
    <cfRule type="cellIs" dxfId="490" priority="958" operator="equal">
      <formula>"×"</formula>
    </cfRule>
  </conditionalFormatting>
  <conditionalFormatting sqref="AH23">
    <cfRule type="cellIs" dxfId="489" priority="955" operator="equal">
      <formula>1</formula>
    </cfRule>
    <cfRule type="cellIs" dxfId="488" priority="956" operator="equal">
      <formula>"×"</formula>
    </cfRule>
  </conditionalFormatting>
  <conditionalFormatting sqref="AH23">
    <cfRule type="cellIs" dxfId="487" priority="953" operator="equal">
      <formula>1</formula>
    </cfRule>
    <cfRule type="cellIs" dxfId="486" priority="954" operator="equal">
      <formula>"×"</formula>
    </cfRule>
  </conditionalFormatting>
  <conditionalFormatting sqref="AH23">
    <cfRule type="cellIs" dxfId="485" priority="951" operator="equal">
      <formula>1</formula>
    </cfRule>
    <cfRule type="cellIs" dxfId="484" priority="952" operator="equal">
      <formula>"×"</formula>
    </cfRule>
  </conditionalFormatting>
  <conditionalFormatting sqref="AH23">
    <cfRule type="cellIs" dxfId="483" priority="949" operator="equal">
      <formula>1</formula>
    </cfRule>
    <cfRule type="cellIs" dxfId="482" priority="950" operator="equal">
      <formula>"×"</formula>
    </cfRule>
  </conditionalFormatting>
  <conditionalFormatting sqref="AH23">
    <cfRule type="cellIs" dxfId="481" priority="947" operator="equal">
      <formula>1</formula>
    </cfRule>
    <cfRule type="cellIs" dxfId="480" priority="948" operator="equal">
      <formula>"×"</formula>
    </cfRule>
  </conditionalFormatting>
  <conditionalFormatting sqref="AH23">
    <cfRule type="cellIs" dxfId="479" priority="945" operator="equal">
      <formula>1</formula>
    </cfRule>
    <cfRule type="cellIs" dxfId="478" priority="946" operator="equal">
      <formula>"×"</formula>
    </cfRule>
  </conditionalFormatting>
  <conditionalFormatting sqref="AH23">
    <cfRule type="cellIs" dxfId="477" priority="943" operator="equal">
      <formula>1</formula>
    </cfRule>
    <cfRule type="cellIs" dxfId="476" priority="944" operator="equal">
      <formula>"×"</formula>
    </cfRule>
  </conditionalFormatting>
  <conditionalFormatting sqref="AH23">
    <cfRule type="cellIs" dxfId="475" priority="941" operator="equal">
      <formula>1</formula>
    </cfRule>
    <cfRule type="cellIs" dxfId="474" priority="942" operator="equal">
      <formula>"×"</formula>
    </cfRule>
  </conditionalFormatting>
  <conditionalFormatting sqref="AH23">
    <cfRule type="cellIs" dxfId="473" priority="939" operator="equal">
      <formula>1</formula>
    </cfRule>
    <cfRule type="cellIs" dxfId="472" priority="940" operator="equal">
      <formula>"×"</formula>
    </cfRule>
  </conditionalFormatting>
  <conditionalFormatting sqref="AB22:AD22">
    <cfRule type="cellIs" dxfId="471" priority="929" operator="equal">
      <formula>1</formula>
    </cfRule>
    <cfRule type="cellIs" dxfId="470" priority="930" operator="equal">
      <formula>"×"</formula>
    </cfRule>
  </conditionalFormatting>
  <conditionalFormatting sqref="AD25">
    <cfRule type="cellIs" dxfId="469" priority="927" operator="equal">
      <formula>1</formula>
    </cfRule>
    <cfRule type="cellIs" dxfId="468" priority="928" operator="equal">
      <formula>"×"</formula>
    </cfRule>
  </conditionalFormatting>
  <conditionalFormatting sqref="AF20">
    <cfRule type="cellIs" dxfId="467" priority="911" operator="equal">
      <formula>1</formula>
    </cfRule>
    <cfRule type="cellIs" dxfId="466" priority="912" operator="equal">
      <formula>"×"</formula>
    </cfRule>
  </conditionalFormatting>
  <conditionalFormatting sqref="AF20">
    <cfRule type="cellIs" dxfId="465" priority="909" operator="equal">
      <formula>1</formula>
    </cfRule>
    <cfRule type="cellIs" dxfId="464" priority="910" operator="equal">
      <formula>"×"</formula>
    </cfRule>
  </conditionalFormatting>
  <conditionalFormatting sqref="AI20">
    <cfRule type="cellIs" dxfId="463" priority="923" operator="equal">
      <formula>1</formula>
    </cfRule>
    <cfRule type="cellIs" dxfId="462" priority="924" operator="equal">
      <formula>"×"</formula>
    </cfRule>
  </conditionalFormatting>
  <conditionalFormatting sqref="AF20:AI20">
    <cfRule type="cellIs" dxfId="461" priority="925" operator="equal">
      <formula>1</formula>
    </cfRule>
    <cfRule type="cellIs" dxfId="460" priority="926" operator="equal">
      <formula>"×"</formula>
    </cfRule>
  </conditionalFormatting>
  <conditionalFormatting sqref="AF24">
    <cfRule type="cellIs" dxfId="459" priority="921" operator="equal">
      <formula>1</formula>
    </cfRule>
    <cfRule type="cellIs" dxfId="458" priority="922" operator="equal">
      <formula>"×"</formula>
    </cfRule>
  </conditionalFormatting>
  <conditionalFormatting sqref="AF24">
    <cfRule type="cellIs" dxfId="457" priority="919" operator="equal">
      <formula>1</formula>
    </cfRule>
    <cfRule type="cellIs" dxfId="456" priority="920" operator="equal">
      <formula>"×"</formula>
    </cfRule>
  </conditionalFormatting>
  <conditionalFormatting sqref="AF24:AI24">
    <cfRule type="cellIs" dxfId="455" priority="917" operator="equal">
      <formula>1</formula>
    </cfRule>
    <cfRule type="cellIs" dxfId="454" priority="918" operator="equal">
      <formula>"×"</formula>
    </cfRule>
  </conditionalFormatting>
  <conditionalFormatting sqref="AI24">
    <cfRule type="cellIs" dxfId="453" priority="915" operator="equal">
      <formula>1</formula>
    </cfRule>
    <cfRule type="cellIs" dxfId="452" priority="916" operator="equal">
      <formula>"×"</formula>
    </cfRule>
  </conditionalFormatting>
  <conditionalFormatting sqref="AF24:AI24">
    <cfRule type="cellIs" dxfId="451" priority="913" operator="equal">
      <formula>1</formula>
    </cfRule>
    <cfRule type="cellIs" dxfId="450" priority="914" operator="equal">
      <formula>"×"</formula>
    </cfRule>
  </conditionalFormatting>
  <conditionalFormatting sqref="AF24:AI24">
    <cfRule type="cellIs" dxfId="449" priority="907" operator="equal">
      <formula>1</formula>
    </cfRule>
    <cfRule type="cellIs" dxfId="448" priority="908" operator="equal">
      <formula>"×"</formula>
    </cfRule>
  </conditionalFormatting>
  <conditionalFormatting sqref="AI24">
    <cfRule type="cellIs" dxfId="447" priority="905" operator="equal">
      <formula>1</formula>
    </cfRule>
    <cfRule type="cellIs" dxfId="446" priority="906" operator="equal">
      <formula>"×"</formula>
    </cfRule>
  </conditionalFormatting>
  <conditionalFormatting sqref="AF24:AI24">
    <cfRule type="cellIs" dxfId="445" priority="903" operator="equal">
      <formula>1</formula>
    </cfRule>
    <cfRule type="cellIs" dxfId="444" priority="904" operator="equal">
      <formula>"×"</formula>
    </cfRule>
  </conditionalFormatting>
  <conditionalFormatting sqref="AF24:AI24">
    <cfRule type="cellIs" dxfId="443" priority="901" operator="equal">
      <formula>1</formula>
    </cfRule>
    <cfRule type="cellIs" dxfId="442" priority="902" operator="equal">
      <formula>"×"</formula>
    </cfRule>
  </conditionalFormatting>
  <conditionalFormatting sqref="AI24">
    <cfRule type="cellIs" dxfId="441" priority="899" operator="equal">
      <formula>1</formula>
    </cfRule>
    <cfRule type="cellIs" dxfId="440" priority="900" operator="equal">
      <formula>"×"</formula>
    </cfRule>
  </conditionalFormatting>
  <conditionalFormatting sqref="AF25">
    <cfRule type="cellIs" dxfId="439" priority="897" operator="equal">
      <formula>1</formula>
    </cfRule>
    <cfRule type="cellIs" dxfId="438" priority="898" operator="equal">
      <formula>"×"</formula>
    </cfRule>
  </conditionalFormatting>
  <conditionalFormatting sqref="AF24:AI24">
    <cfRule type="cellIs" dxfId="437" priority="881" operator="equal">
      <formula>1</formula>
    </cfRule>
    <cfRule type="cellIs" dxfId="436" priority="882" operator="equal">
      <formula>"×"</formula>
    </cfRule>
  </conditionalFormatting>
  <conditionalFormatting sqref="AI24">
    <cfRule type="cellIs" dxfId="435" priority="879" operator="equal">
      <formula>1</formula>
    </cfRule>
    <cfRule type="cellIs" dxfId="434" priority="880" operator="equal">
      <formula>"×"</formula>
    </cfRule>
  </conditionalFormatting>
  <conditionalFormatting sqref="AF24:AI24">
    <cfRule type="cellIs" dxfId="433" priority="877" operator="equal">
      <formula>1</formula>
    </cfRule>
    <cfRule type="cellIs" dxfId="432" priority="878" operator="equal">
      <formula>"×"</formula>
    </cfRule>
  </conditionalFormatting>
  <conditionalFormatting sqref="AF24">
    <cfRule type="cellIs" dxfId="431" priority="895" operator="equal">
      <formula>1</formula>
    </cfRule>
    <cfRule type="cellIs" dxfId="430" priority="896" operator="equal">
      <formula>"×"</formula>
    </cfRule>
  </conditionalFormatting>
  <conditionalFormatting sqref="AF24">
    <cfRule type="cellIs" dxfId="429" priority="893" operator="equal">
      <formula>1</formula>
    </cfRule>
    <cfRule type="cellIs" dxfId="428" priority="894" operator="equal">
      <formula>"×"</formula>
    </cfRule>
  </conditionalFormatting>
  <conditionalFormatting sqref="AF24">
    <cfRule type="cellIs" dxfId="427" priority="891" operator="equal">
      <formula>1</formula>
    </cfRule>
    <cfRule type="cellIs" dxfId="426" priority="892" operator="equal">
      <formula>"×"</formula>
    </cfRule>
  </conditionalFormatting>
  <conditionalFormatting sqref="AF24">
    <cfRule type="cellIs" dxfId="425" priority="889" operator="equal">
      <formula>1</formula>
    </cfRule>
    <cfRule type="cellIs" dxfId="424" priority="890" operator="equal">
      <formula>"×"</formula>
    </cfRule>
  </conditionalFormatting>
  <conditionalFormatting sqref="AI25">
    <cfRule type="cellIs" dxfId="423" priority="887" operator="equal">
      <formula>1</formula>
    </cfRule>
    <cfRule type="cellIs" dxfId="422" priority="888" operator="equal">
      <formula>"×"</formula>
    </cfRule>
  </conditionalFormatting>
  <conditionalFormatting sqref="AF24">
    <cfRule type="cellIs" dxfId="421" priority="885" operator="equal">
      <formula>1</formula>
    </cfRule>
    <cfRule type="cellIs" dxfId="420" priority="886" operator="equal">
      <formula>"×"</formula>
    </cfRule>
  </conditionalFormatting>
  <conditionalFormatting sqref="AF24">
    <cfRule type="cellIs" dxfId="419" priority="883" operator="equal">
      <formula>1</formula>
    </cfRule>
    <cfRule type="cellIs" dxfId="418" priority="884" operator="equal">
      <formula>"×"</formula>
    </cfRule>
  </conditionalFormatting>
  <conditionalFormatting sqref="AI25">
    <cfRule type="cellIs" dxfId="417" priority="875" operator="equal">
      <formula>1</formula>
    </cfRule>
    <cfRule type="cellIs" dxfId="416" priority="876" operator="equal">
      <formula>"×"</formula>
    </cfRule>
  </conditionalFormatting>
  <conditionalFormatting sqref="AI25">
    <cfRule type="cellIs" dxfId="415" priority="873" operator="equal">
      <formula>1</formula>
    </cfRule>
    <cfRule type="cellIs" dxfId="414" priority="874" operator="equal">
      <formula>"×"</formula>
    </cfRule>
  </conditionalFormatting>
  <conditionalFormatting sqref="AF24">
    <cfRule type="cellIs" dxfId="413" priority="871" operator="equal">
      <formula>1</formula>
    </cfRule>
    <cfRule type="cellIs" dxfId="412" priority="872" operator="equal">
      <formula>"×"</formula>
    </cfRule>
  </conditionalFormatting>
  <conditionalFormatting sqref="AF24">
    <cfRule type="cellIs" dxfId="411" priority="867" operator="equal">
      <formula>1</formula>
    </cfRule>
    <cfRule type="cellIs" dxfId="410" priority="868" operator="equal">
      <formula>"×"</formula>
    </cfRule>
  </conditionalFormatting>
  <conditionalFormatting sqref="AF24">
    <cfRule type="cellIs" dxfId="409" priority="869" operator="equal">
      <formula>1</formula>
    </cfRule>
    <cfRule type="cellIs" dxfId="408" priority="870" operator="equal">
      <formula>"×"</formula>
    </cfRule>
  </conditionalFormatting>
  <conditionalFormatting sqref="AF24">
    <cfRule type="cellIs" dxfId="407" priority="865" operator="equal">
      <formula>1</formula>
    </cfRule>
    <cfRule type="cellIs" dxfId="406" priority="866" operator="equal">
      <formula>"×"</formula>
    </cfRule>
  </conditionalFormatting>
  <conditionalFormatting sqref="AF24">
    <cfRule type="cellIs" dxfId="405" priority="863" operator="equal">
      <formula>1</formula>
    </cfRule>
    <cfRule type="cellIs" dxfId="404" priority="864" operator="equal">
      <formula>"×"</formula>
    </cfRule>
  </conditionalFormatting>
  <conditionalFormatting sqref="AF24">
    <cfRule type="cellIs" dxfId="403" priority="861" operator="equal">
      <formula>1</formula>
    </cfRule>
    <cfRule type="cellIs" dxfId="402" priority="862" operator="equal">
      <formula>"×"</formula>
    </cfRule>
  </conditionalFormatting>
  <conditionalFormatting sqref="AF24">
    <cfRule type="cellIs" dxfId="401" priority="859" operator="equal">
      <formula>1</formula>
    </cfRule>
    <cfRule type="cellIs" dxfId="400" priority="860" operator="equal">
      <formula>"×"</formula>
    </cfRule>
  </conditionalFormatting>
  <conditionalFormatting sqref="AH23:AI23">
    <cfRule type="cellIs" dxfId="399" priority="857" operator="equal">
      <formula>1</formula>
    </cfRule>
    <cfRule type="cellIs" dxfId="398" priority="858" operator="equal">
      <formula>"×"</formula>
    </cfRule>
  </conditionalFormatting>
  <conditionalFormatting sqref="AI23">
    <cfRule type="cellIs" dxfId="397" priority="855" operator="equal">
      <formula>1</formula>
    </cfRule>
    <cfRule type="cellIs" dxfId="396" priority="856" operator="equal">
      <formula>"×"</formula>
    </cfRule>
  </conditionalFormatting>
  <conditionalFormatting sqref="AH23:AI23">
    <cfRule type="cellIs" dxfId="395" priority="851" operator="equal">
      <formula>1</formula>
    </cfRule>
    <cfRule type="cellIs" dxfId="394" priority="852" operator="equal">
      <formula>"×"</formula>
    </cfRule>
  </conditionalFormatting>
  <conditionalFormatting sqref="AI23">
    <cfRule type="cellIs" dxfId="393" priority="849" operator="equal">
      <formula>1</formula>
    </cfRule>
    <cfRule type="cellIs" dxfId="392" priority="850" operator="equal">
      <formula>"×"</formula>
    </cfRule>
  </conditionalFormatting>
  <conditionalFormatting sqref="AH23:AI23">
    <cfRule type="cellIs" dxfId="391" priority="847" operator="equal">
      <formula>1</formula>
    </cfRule>
    <cfRule type="cellIs" dxfId="390" priority="848" operator="equal">
      <formula>"×"</formula>
    </cfRule>
  </conditionalFormatting>
  <conditionalFormatting sqref="AF20:AG20">
    <cfRule type="cellIs" dxfId="389" priority="821" operator="equal">
      <formula>1</formula>
    </cfRule>
    <cfRule type="cellIs" dxfId="388" priority="822" operator="equal">
      <formula>"×"</formula>
    </cfRule>
  </conditionalFormatting>
  <conditionalFormatting sqref="AF20:AG20">
    <cfRule type="cellIs" dxfId="387" priority="819" operator="equal">
      <formula>1</formula>
    </cfRule>
    <cfRule type="cellIs" dxfId="386" priority="820" operator="equal">
      <formula>"×"</formula>
    </cfRule>
  </conditionalFormatting>
  <conditionalFormatting sqref="AF20:AG20">
    <cfRule type="cellIs" dxfId="385" priority="815" operator="equal">
      <formula>1</formula>
    </cfRule>
    <cfRule type="cellIs" dxfId="384" priority="816" operator="equal">
      <formula>"×"</formula>
    </cfRule>
  </conditionalFormatting>
  <conditionalFormatting sqref="AF20:AG20">
    <cfRule type="cellIs" dxfId="383" priority="817" operator="equal">
      <formula>1</formula>
    </cfRule>
    <cfRule type="cellIs" dxfId="382" priority="818" operator="equal">
      <formula>"×"</formula>
    </cfRule>
  </conditionalFormatting>
  <conditionalFormatting sqref="AF20:AG20">
    <cfRule type="cellIs" dxfId="381" priority="845" operator="equal">
      <formula>1</formula>
    </cfRule>
    <cfRule type="cellIs" dxfId="380" priority="846" operator="equal">
      <formula>"×"</formula>
    </cfRule>
  </conditionalFormatting>
  <conditionalFormatting sqref="AF20:AG20">
    <cfRule type="cellIs" dxfId="379" priority="843" operator="equal">
      <formula>1</formula>
    </cfRule>
    <cfRule type="cellIs" dxfId="378" priority="844" operator="equal">
      <formula>"×"</formula>
    </cfRule>
  </conditionalFormatting>
  <conditionalFormatting sqref="AF20:AG20">
    <cfRule type="cellIs" dxfId="377" priority="841" operator="equal">
      <formula>1</formula>
    </cfRule>
    <cfRule type="cellIs" dxfId="376" priority="842" operator="equal">
      <formula>"×"</formula>
    </cfRule>
  </conditionalFormatting>
  <conditionalFormatting sqref="AF20:AG20">
    <cfRule type="cellIs" dxfId="375" priority="839" operator="equal">
      <formula>1</formula>
    </cfRule>
    <cfRule type="cellIs" dxfId="374" priority="840" operator="equal">
      <formula>"×"</formula>
    </cfRule>
  </conditionalFormatting>
  <conditionalFormatting sqref="AF20:AG20">
    <cfRule type="cellIs" dxfId="373" priority="837" operator="equal">
      <formula>1</formula>
    </cfRule>
    <cfRule type="cellIs" dxfId="372" priority="838" operator="equal">
      <formula>"×"</formula>
    </cfRule>
  </conditionalFormatting>
  <conditionalFormatting sqref="AF20:AG20">
    <cfRule type="cellIs" dxfId="371" priority="835" operator="equal">
      <formula>1</formula>
    </cfRule>
    <cfRule type="cellIs" dxfId="370" priority="836" operator="equal">
      <formula>"×"</formula>
    </cfRule>
  </conditionalFormatting>
  <conditionalFormatting sqref="AF20:AG20">
    <cfRule type="cellIs" dxfId="369" priority="833" operator="equal">
      <formula>1</formula>
    </cfRule>
    <cfRule type="cellIs" dxfId="368" priority="834" operator="equal">
      <formula>"×"</formula>
    </cfRule>
  </conditionalFormatting>
  <conditionalFormatting sqref="AF20:AG20">
    <cfRule type="cellIs" dxfId="367" priority="831" operator="equal">
      <formula>1</formula>
    </cfRule>
    <cfRule type="cellIs" dxfId="366" priority="832" operator="equal">
      <formula>"×"</formula>
    </cfRule>
  </conditionalFormatting>
  <conditionalFormatting sqref="AF20:AG20">
    <cfRule type="cellIs" dxfId="365" priority="829" operator="equal">
      <formula>1</formula>
    </cfRule>
    <cfRule type="cellIs" dxfId="364" priority="830" operator="equal">
      <formula>"×"</formula>
    </cfRule>
  </conditionalFormatting>
  <conditionalFormatting sqref="AF20:AG20">
    <cfRule type="cellIs" dxfId="363" priority="827" operator="equal">
      <formula>1</formula>
    </cfRule>
    <cfRule type="cellIs" dxfId="362" priority="828" operator="equal">
      <formula>"×"</formula>
    </cfRule>
  </conditionalFormatting>
  <conditionalFormatting sqref="AF20:AG20">
    <cfRule type="cellIs" dxfId="361" priority="825" operator="equal">
      <formula>1</formula>
    </cfRule>
    <cfRule type="cellIs" dxfId="360" priority="826" operator="equal">
      <formula>"×"</formula>
    </cfRule>
  </conditionalFormatting>
  <conditionalFormatting sqref="AF20:AG20">
    <cfRule type="cellIs" dxfId="359" priority="823" operator="equal">
      <formula>1</formula>
    </cfRule>
    <cfRule type="cellIs" dxfId="358" priority="824" operator="equal">
      <formula>"×"</formula>
    </cfRule>
  </conditionalFormatting>
  <conditionalFormatting sqref="AH20:AI20">
    <cfRule type="cellIs" dxfId="357" priority="789" operator="equal">
      <formula>1</formula>
    </cfRule>
    <cfRule type="cellIs" dxfId="356" priority="790" operator="equal">
      <formula>"×"</formula>
    </cfRule>
  </conditionalFormatting>
  <conditionalFormatting sqref="AH20:AI20">
    <cfRule type="cellIs" dxfId="355" priority="787" operator="equal">
      <formula>1</formula>
    </cfRule>
    <cfRule type="cellIs" dxfId="354" priority="788" operator="equal">
      <formula>"×"</formula>
    </cfRule>
  </conditionalFormatting>
  <conditionalFormatting sqref="AH20:AI20">
    <cfRule type="cellIs" dxfId="353" priority="783" operator="equal">
      <formula>1</formula>
    </cfRule>
    <cfRule type="cellIs" dxfId="352" priority="784" operator="equal">
      <formula>"×"</formula>
    </cfRule>
  </conditionalFormatting>
  <conditionalFormatting sqref="AH20:AI20">
    <cfRule type="cellIs" dxfId="351" priority="785" operator="equal">
      <formula>1</formula>
    </cfRule>
    <cfRule type="cellIs" dxfId="350" priority="786" operator="equal">
      <formula>"×"</formula>
    </cfRule>
  </conditionalFormatting>
  <conditionalFormatting sqref="AH20:AI20">
    <cfRule type="cellIs" dxfId="349" priority="813" operator="equal">
      <formula>1</formula>
    </cfRule>
    <cfRule type="cellIs" dxfId="348" priority="814" operator="equal">
      <formula>"×"</formula>
    </cfRule>
  </conditionalFormatting>
  <conditionalFormatting sqref="AH20:AI20">
    <cfRule type="cellIs" dxfId="347" priority="811" operator="equal">
      <formula>1</formula>
    </cfRule>
    <cfRule type="cellIs" dxfId="346" priority="812" operator="equal">
      <formula>"×"</formula>
    </cfRule>
  </conditionalFormatting>
  <conditionalFormatting sqref="AH20:AI20">
    <cfRule type="cellIs" dxfId="345" priority="809" operator="equal">
      <formula>1</formula>
    </cfRule>
    <cfRule type="cellIs" dxfId="344" priority="810" operator="equal">
      <formula>"×"</formula>
    </cfRule>
  </conditionalFormatting>
  <conditionalFormatting sqref="AH20:AI20">
    <cfRule type="cellIs" dxfId="343" priority="807" operator="equal">
      <formula>1</formula>
    </cfRule>
    <cfRule type="cellIs" dxfId="342" priority="808" operator="equal">
      <formula>"×"</formula>
    </cfRule>
  </conditionalFormatting>
  <conditionalFormatting sqref="AH20:AI20">
    <cfRule type="cellIs" dxfId="341" priority="805" operator="equal">
      <formula>1</formula>
    </cfRule>
    <cfRule type="cellIs" dxfId="340" priority="806" operator="equal">
      <formula>"×"</formula>
    </cfRule>
  </conditionalFormatting>
  <conditionalFormatting sqref="AH20:AI20">
    <cfRule type="cellIs" dxfId="339" priority="803" operator="equal">
      <formula>1</formula>
    </cfRule>
    <cfRule type="cellIs" dxfId="338" priority="804" operator="equal">
      <formula>"×"</formula>
    </cfRule>
  </conditionalFormatting>
  <conditionalFormatting sqref="AH20:AI20">
    <cfRule type="cellIs" dxfId="337" priority="801" operator="equal">
      <formula>1</formula>
    </cfRule>
    <cfRule type="cellIs" dxfId="336" priority="802" operator="equal">
      <formula>"×"</formula>
    </cfRule>
  </conditionalFormatting>
  <conditionalFormatting sqref="AH20:AI20">
    <cfRule type="cellIs" dxfId="335" priority="799" operator="equal">
      <formula>1</formula>
    </cfRule>
    <cfRule type="cellIs" dxfId="334" priority="800" operator="equal">
      <formula>"×"</formula>
    </cfRule>
  </conditionalFormatting>
  <conditionalFormatting sqref="AH20:AI20">
    <cfRule type="cellIs" dxfId="333" priority="797" operator="equal">
      <formula>1</formula>
    </cfRule>
    <cfRule type="cellIs" dxfId="332" priority="798" operator="equal">
      <formula>"×"</formula>
    </cfRule>
  </conditionalFormatting>
  <conditionalFormatting sqref="AH20:AI20">
    <cfRule type="cellIs" dxfId="331" priority="795" operator="equal">
      <formula>1</formula>
    </cfRule>
    <cfRule type="cellIs" dxfId="330" priority="796" operator="equal">
      <formula>"×"</formula>
    </cfRule>
  </conditionalFormatting>
  <conditionalFormatting sqref="AH20:AI20">
    <cfRule type="cellIs" dxfId="329" priority="793" operator="equal">
      <formula>1</formula>
    </cfRule>
    <cfRule type="cellIs" dxfId="328" priority="794" operator="equal">
      <formula>"×"</formula>
    </cfRule>
  </conditionalFormatting>
  <conditionalFormatting sqref="AH20:AI20">
    <cfRule type="cellIs" dxfId="327" priority="791" operator="equal">
      <formula>1</formula>
    </cfRule>
    <cfRule type="cellIs" dxfId="326" priority="792" operator="equal">
      <formula>"×"</formula>
    </cfRule>
  </conditionalFormatting>
  <conditionalFormatting sqref="AH21">
    <cfRule type="cellIs" dxfId="325" priority="781" operator="equal">
      <formula>1</formula>
    </cfRule>
    <cfRule type="cellIs" dxfId="324" priority="782" operator="equal">
      <formula>"×"</formula>
    </cfRule>
  </conditionalFormatting>
  <conditionalFormatting sqref="AH21">
    <cfRule type="cellIs" dxfId="323" priority="779" operator="equal">
      <formula>1</formula>
    </cfRule>
    <cfRule type="cellIs" dxfId="322" priority="780" operator="equal">
      <formula>"×"</formula>
    </cfRule>
  </conditionalFormatting>
  <conditionalFormatting sqref="AH21">
    <cfRule type="cellIs" dxfId="321" priority="753" operator="equal">
      <formula>1</formula>
    </cfRule>
    <cfRule type="cellIs" dxfId="320" priority="754" operator="equal">
      <formula>"×"</formula>
    </cfRule>
  </conditionalFormatting>
  <conditionalFormatting sqref="AH21">
    <cfRule type="cellIs" dxfId="319" priority="751" operator="equal">
      <formula>1</formula>
    </cfRule>
    <cfRule type="cellIs" dxfId="318" priority="752" operator="equal">
      <formula>"×"</formula>
    </cfRule>
  </conditionalFormatting>
  <conditionalFormatting sqref="AH21">
    <cfRule type="cellIs" dxfId="317" priority="747" operator="equal">
      <formula>1</formula>
    </cfRule>
    <cfRule type="cellIs" dxfId="316" priority="748" operator="equal">
      <formula>"×"</formula>
    </cfRule>
  </conditionalFormatting>
  <conditionalFormatting sqref="AH21">
    <cfRule type="cellIs" dxfId="315" priority="749" operator="equal">
      <formula>1</formula>
    </cfRule>
    <cfRule type="cellIs" dxfId="314" priority="750" operator="equal">
      <formula>"×"</formula>
    </cfRule>
  </conditionalFormatting>
  <conditionalFormatting sqref="AH21">
    <cfRule type="cellIs" dxfId="313" priority="777" operator="equal">
      <formula>1</formula>
    </cfRule>
    <cfRule type="cellIs" dxfId="312" priority="778" operator="equal">
      <formula>"×"</formula>
    </cfRule>
  </conditionalFormatting>
  <conditionalFormatting sqref="AH21">
    <cfRule type="cellIs" dxfId="311" priority="775" operator="equal">
      <formula>1</formula>
    </cfRule>
    <cfRule type="cellIs" dxfId="310" priority="776" operator="equal">
      <formula>"×"</formula>
    </cfRule>
  </conditionalFormatting>
  <conditionalFormatting sqref="AH21">
    <cfRule type="cellIs" dxfId="309" priority="773" operator="equal">
      <formula>1</formula>
    </cfRule>
    <cfRule type="cellIs" dxfId="308" priority="774" operator="equal">
      <formula>"×"</formula>
    </cfRule>
  </conditionalFormatting>
  <conditionalFormatting sqref="AH21">
    <cfRule type="cellIs" dxfId="307" priority="771" operator="equal">
      <formula>1</formula>
    </cfRule>
    <cfRule type="cellIs" dxfId="306" priority="772" operator="equal">
      <formula>"×"</formula>
    </cfRule>
  </conditionalFormatting>
  <conditionalFormatting sqref="AH21">
    <cfRule type="cellIs" dxfId="305" priority="769" operator="equal">
      <formula>1</formula>
    </cfRule>
    <cfRule type="cellIs" dxfId="304" priority="770" operator="equal">
      <formula>"×"</formula>
    </cfRule>
  </conditionalFormatting>
  <conditionalFormatting sqref="AH21">
    <cfRule type="cellIs" dxfId="303" priority="767" operator="equal">
      <formula>1</formula>
    </cfRule>
    <cfRule type="cellIs" dxfId="302" priority="768" operator="equal">
      <formula>"×"</formula>
    </cfRule>
  </conditionalFormatting>
  <conditionalFormatting sqref="AH21">
    <cfRule type="cellIs" dxfId="301" priority="765" operator="equal">
      <formula>1</formula>
    </cfRule>
    <cfRule type="cellIs" dxfId="300" priority="766" operator="equal">
      <formula>"×"</formula>
    </cfRule>
  </conditionalFormatting>
  <conditionalFormatting sqref="AH21">
    <cfRule type="cellIs" dxfId="299" priority="763" operator="equal">
      <formula>1</formula>
    </cfRule>
    <cfRule type="cellIs" dxfId="298" priority="764" operator="equal">
      <formula>"×"</formula>
    </cfRule>
  </conditionalFormatting>
  <conditionalFormatting sqref="AH21">
    <cfRule type="cellIs" dxfId="297" priority="761" operator="equal">
      <formula>1</formula>
    </cfRule>
    <cfRule type="cellIs" dxfId="296" priority="762" operator="equal">
      <formula>"×"</formula>
    </cfRule>
  </conditionalFormatting>
  <conditionalFormatting sqref="AH21">
    <cfRule type="cellIs" dxfId="295" priority="759" operator="equal">
      <formula>1</formula>
    </cfRule>
    <cfRule type="cellIs" dxfId="294" priority="760" operator="equal">
      <formula>"×"</formula>
    </cfRule>
  </conditionalFormatting>
  <conditionalFormatting sqref="AH21">
    <cfRule type="cellIs" dxfId="293" priority="757" operator="equal">
      <formula>1</formula>
    </cfRule>
    <cfRule type="cellIs" dxfId="292" priority="758" operator="equal">
      <formula>"×"</formula>
    </cfRule>
  </conditionalFormatting>
  <conditionalFormatting sqref="AH21">
    <cfRule type="cellIs" dxfId="291" priority="755" operator="equal">
      <formula>1</formula>
    </cfRule>
    <cfRule type="cellIs" dxfId="290" priority="756" operator="equal">
      <formula>"×"</formula>
    </cfRule>
  </conditionalFormatting>
  <conditionalFormatting sqref="AF20">
    <cfRule type="cellIs" dxfId="289" priority="731" operator="equal">
      <formula>1</formula>
    </cfRule>
    <cfRule type="cellIs" dxfId="288" priority="732" operator="equal">
      <formula>"×"</formula>
    </cfRule>
  </conditionalFormatting>
  <conditionalFormatting sqref="AF20">
    <cfRule type="cellIs" dxfId="287" priority="729" operator="equal">
      <formula>1</formula>
    </cfRule>
    <cfRule type="cellIs" dxfId="286" priority="730" operator="equal">
      <formula>"×"</formula>
    </cfRule>
  </conditionalFormatting>
  <conditionalFormatting sqref="AI20">
    <cfRule type="cellIs" dxfId="285" priority="743" operator="equal">
      <formula>1</formula>
    </cfRule>
    <cfRule type="cellIs" dxfId="284" priority="744" operator="equal">
      <formula>"×"</formula>
    </cfRule>
  </conditionalFormatting>
  <conditionalFormatting sqref="AF20:AI20">
    <cfRule type="cellIs" dxfId="283" priority="745" operator="equal">
      <formula>1</formula>
    </cfRule>
    <cfRule type="cellIs" dxfId="282" priority="746" operator="equal">
      <formula>"×"</formula>
    </cfRule>
  </conditionalFormatting>
  <conditionalFormatting sqref="AF24">
    <cfRule type="cellIs" dxfId="281" priority="741" operator="equal">
      <formula>1</formula>
    </cfRule>
    <cfRule type="cellIs" dxfId="280" priority="742" operator="equal">
      <formula>"×"</formula>
    </cfRule>
  </conditionalFormatting>
  <conditionalFormatting sqref="AF24">
    <cfRule type="cellIs" dxfId="279" priority="739" operator="equal">
      <formula>1</formula>
    </cfRule>
    <cfRule type="cellIs" dxfId="278" priority="740" operator="equal">
      <formula>"×"</formula>
    </cfRule>
  </conditionalFormatting>
  <conditionalFormatting sqref="AF24:AI24">
    <cfRule type="cellIs" dxfId="277" priority="737" operator="equal">
      <formula>1</formula>
    </cfRule>
    <cfRule type="cellIs" dxfId="276" priority="738" operator="equal">
      <formula>"×"</formula>
    </cfRule>
  </conditionalFormatting>
  <conditionalFormatting sqref="AI24">
    <cfRule type="cellIs" dxfId="275" priority="735" operator="equal">
      <formula>1</formula>
    </cfRule>
    <cfRule type="cellIs" dxfId="274" priority="736" operator="equal">
      <formula>"×"</formula>
    </cfRule>
  </conditionalFormatting>
  <conditionalFormatting sqref="AF24:AI24">
    <cfRule type="cellIs" dxfId="273" priority="733" operator="equal">
      <formula>1</formula>
    </cfRule>
    <cfRule type="cellIs" dxfId="272" priority="734" operator="equal">
      <formula>"×"</formula>
    </cfRule>
  </conditionalFormatting>
  <conditionalFormatting sqref="AF24:AI24">
    <cfRule type="cellIs" dxfId="271" priority="727" operator="equal">
      <formula>1</formula>
    </cfRule>
    <cfRule type="cellIs" dxfId="270" priority="728" operator="equal">
      <formula>"×"</formula>
    </cfRule>
  </conditionalFormatting>
  <conditionalFormatting sqref="AI24">
    <cfRule type="cellIs" dxfId="269" priority="725" operator="equal">
      <formula>1</formula>
    </cfRule>
    <cfRule type="cellIs" dxfId="268" priority="726" operator="equal">
      <formula>"×"</formula>
    </cfRule>
  </conditionalFormatting>
  <conditionalFormatting sqref="AF24:AI24">
    <cfRule type="cellIs" dxfId="267" priority="723" operator="equal">
      <formula>1</formula>
    </cfRule>
    <cfRule type="cellIs" dxfId="266" priority="724" operator="equal">
      <formula>"×"</formula>
    </cfRule>
  </conditionalFormatting>
  <conditionalFormatting sqref="AF24:AI24">
    <cfRule type="cellIs" dxfId="265" priority="721" operator="equal">
      <formula>1</formula>
    </cfRule>
    <cfRule type="cellIs" dxfId="264" priority="722" operator="equal">
      <formula>"×"</formula>
    </cfRule>
  </conditionalFormatting>
  <conditionalFormatting sqref="AI24">
    <cfRule type="cellIs" dxfId="263" priority="719" operator="equal">
      <formula>1</formula>
    </cfRule>
    <cfRule type="cellIs" dxfId="262" priority="720" operator="equal">
      <formula>"×"</formula>
    </cfRule>
  </conditionalFormatting>
  <conditionalFormatting sqref="AF25">
    <cfRule type="cellIs" dxfId="261" priority="717" operator="equal">
      <formula>1</formula>
    </cfRule>
    <cfRule type="cellIs" dxfId="260" priority="718" operator="equal">
      <formula>"×"</formula>
    </cfRule>
  </conditionalFormatting>
  <conditionalFormatting sqref="AF24:AI24">
    <cfRule type="cellIs" dxfId="259" priority="701" operator="equal">
      <formula>1</formula>
    </cfRule>
    <cfRule type="cellIs" dxfId="258" priority="702" operator="equal">
      <formula>"×"</formula>
    </cfRule>
  </conditionalFormatting>
  <conditionalFormatting sqref="AI24">
    <cfRule type="cellIs" dxfId="257" priority="699" operator="equal">
      <formula>1</formula>
    </cfRule>
    <cfRule type="cellIs" dxfId="256" priority="700" operator="equal">
      <formula>"×"</formula>
    </cfRule>
  </conditionalFormatting>
  <conditionalFormatting sqref="AF24:AI24">
    <cfRule type="cellIs" dxfId="255" priority="697" operator="equal">
      <formula>1</formula>
    </cfRule>
    <cfRule type="cellIs" dxfId="254" priority="698" operator="equal">
      <formula>"×"</formula>
    </cfRule>
  </conditionalFormatting>
  <conditionalFormatting sqref="AF24">
    <cfRule type="cellIs" dxfId="253" priority="715" operator="equal">
      <formula>1</formula>
    </cfRule>
    <cfRule type="cellIs" dxfId="252" priority="716" operator="equal">
      <formula>"×"</formula>
    </cfRule>
  </conditionalFormatting>
  <conditionalFormatting sqref="AF24">
    <cfRule type="cellIs" dxfId="251" priority="713" operator="equal">
      <formula>1</formula>
    </cfRule>
    <cfRule type="cellIs" dxfId="250" priority="714" operator="equal">
      <formula>"×"</formula>
    </cfRule>
  </conditionalFormatting>
  <conditionalFormatting sqref="AF24">
    <cfRule type="cellIs" dxfId="249" priority="711" operator="equal">
      <formula>1</formula>
    </cfRule>
    <cfRule type="cellIs" dxfId="248" priority="712" operator="equal">
      <formula>"×"</formula>
    </cfRule>
  </conditionalFormatting>
  <conditionalFormatting sqref="AF24">
    <cfRule type="cellIs" dxfId="247" priority="709" operator="equal">
      <formula>1</formula>
    </cfRule>
    <cfRule type="cellIs" dxfId="246" priority="710" operator="equal">
      <formula>"×"</formula>
    </cfRule>
  </conditionalFormatting>
  <conditionalFormatting sqref="AI25">
    <cfRule type="cellIs" dxfId="245" priority="707" operator="equal">
      <formula>1</formula>
    </cfRule>
    <cfRule type="cellIs" dxfId="244" priority="708" operator="equal">
      <formula>"×"</formula>
    </cfRule>
  </conditionalFormatting>
  <conditionalFormatting sqref="AF24">
    <cfRule type="cellIs" dxfId="243" priority="705" operator="equal">
      <formula>1</formula>
    </cfRule>
    <cfRule type="cellIs" dxfId="242" priority="706" operator="equal">
      <formula>"×"</formula>
    </cfRule>
  </conditionalFormatting>
  <conditionalFormatting sqref="AF24">
    <cfRule type="cellIs" dxfId="241" priority="703" operator="equal">
      <formula>1</formula>
    </cfRule>
    <cfRule type="cellIs" dxfId="240" priority="704" operator="equal">
      <formula>"×"</formula>
    </cfRule>
  </conditionalFormatting>
  <conditionalFormatting sqref="AI25">
    <cfRule type="cellIs" dxfId="239" priority="695" operator="equal">
      <formula>1</formula>
    </cfRule>
    <cfRule type="cellIs" dxfId="238" priority="696" operator="equal">
      <formula>"×"</formula>
    </cfRule>
  </conditionalFormatting>
  <conditionalFormatting sqref="AI25">
    <cfRule type="cellIs" dxfId="237" priority="693" operator="equal">
      <formula>1</formula>
    </cfRule>
    <cfRule type="cellIs" dxfId="236" priority="694" operator="equal">
      <formula>"×"</formula>
    </cfRule>
  </conditionalFormatting>
  <conditionalFormatting sqref="AF24">
    <cfRule type="cellIs" dxfId="235" priority="691" operator="equal">
      <formula>1</formula>
    </cfRule>
    <cfRule type="cellIs" dxfId="234" priority="692" operator="equal">
      <formula>"×"</formula>
    </cfRule>
  </conditionalFormatting>
  <conditionalFormatting sqref="AF24">
    <cfRule type="cellIs" dxfId="233" priority="687" operator="equal">
      <formula>1</formula>
    </cfRule>
    <cfRule type="cellIs" dxfId="232" priority="688" operator="equal">
      <formula>"×"</formula>
    </cfRule>
  </conditionalFormatting>
  <conditionalFormatting sqref="AF24">
    <cfRule type="cellIs" dxfId="231" priority="689" operator="equal">
      <formula>1</formula>
    </cfRule>
    <cfRule type="cellIs" dxfId="230" priority="690" operator="equal">
      <formula>"×"</formula>
    </cfRule>
  </conditionalFormatting>
  <conditionalFormatting sqref="AF24">
    <cfRule type="cellIs" dxfId="229" priority="685" operator="equal">
      <formula>1</formula>
    </cfRule>
    <cfRule type="cellIs" dxfId="228" priority="686" operator="equal">
      <formula>"×"</formula>
    </cfRule>
  </conditionalFormatting>
  <conditionalFormatting sqref="AF24">
    <cfRule type="cellIs" dxfId="227" priority="683" operator="equal">
      <formula>1</formula>
    </cfRule>
    <cfRule type="cellIs" dxfId="226" priority="684" operator="equal">
      <formula>"×"</formula>
    </cfRule>
  </conditionalFormatting>
  <conditionalFormatting sqref="AF24">
    <cfRule type="cellIs" dxfId="225" priority="681" operator="equal">
      <formula>1</formula>
    </cfRule>
    <cfRule type="cellIs" dxfId="224" priority="682" operator="equal">
      <formula>"×"</formula>
    </cfRule>
  </conditionalFormatting>
  <conditionalFormatting sqref="AF24">
    <cfRule type="cellIs" dxfId="223" priority="679" operator="equal">
      <formula>1</formula>
    </cfRule>
    <cfRule type="cellIs" dxfId="222" priority="680" operator="equal">
      <formula>"×"</formula>
    </cfRule>
  </conditionalFormatting>
  <conditionalFormatting sqref="AH23:AI23">
    <cfRule type="cellIs" dxfId="221" priority="677" operator="equal">
      <formula>1</formula>
    </cfRule>
    <cfRule type="cellIs" dxfId="220" priority="678" operator="equal">
      <formula>"×"</formula>
    </cfRule>
  </conditionalFormatting>
  <conditionalFormatting sqref="AI23">
    <cfRule type="cellIs" dxfId="219" priority="675" operator="equal">
      <formula>1</formula>
    </cfRule>
    <cfRule type="cellIs" dxfId="218" priority="676" operator="equal">
      <formula>"×"</formula>
    </cfRule>
  </conditionalFormatting>
  <conditionalFormatting sqref="AH23:AI23">
    <cfRule type="cellIs" dxfId="217" priority="673" operator="equal">
      <formula>1</formula>
    </cfRule>
    <cfRule type="cellIs" dxfId="216" priority="674" operator="equal">
      <formula>"×"</formula>
    </cfRule>
  </conditionalFormatting>
  <conditionalFormatting sqref="AH23:AI23">
    <cfRule type="cellIs" dxfId="215" priority="671" operator="equal">
      <formula>1</formula>
    </cfRule>
    <cfRule type="cellIs" dxfId="214" priority="672" operator="equal">
      <formula>"×"</formula>
    </cfRule>
  </conditionalFormatting>
  <conditionalFormatting sqref="AI23">
    <cfRule type="cellIs" dxfId="213" priority="669" operator="equal">
      <formula>1</formula>
    </cfRule>
    <cfRule type="cellIs" dxfId="212" priority="670" operator="equal">
      <formula>"×"</formula>
    </cfRule>
  </conditionalFormatting>
  <conditionalFormatting sqref="AH23:AI23">
    <cfRule type="cellIs" dxfId="211" priority="667" operator="equal">
      <formula>1</formula>
    </cfRule>
    <cfRule type="cellIs" dxfId="210" priority="668" operator="equal">
      <formula>"×"</formula>
    </cfRule>
  </conditionalFormatting>
  <conditionalFormatting sqref="AF20:AG20">
    <cfRule type="cellIs" dxfId="209" priority="641" operator="equal">
      <formula>1</formula>
    </cfRule>
    <cfRule type="cellIs" dxfId="208" priority="642" operator="equal">
      <formula>"×"</formula>
    </cfRule>
  </conditionalFormatting>
  <conditionalFormatting sqref="AF20:AG20">
    <cfRule type="cellIs" dxfId="207" priority="639" operator="equal">
      <formula>1</formula>
    </cfRule>
    <cfRule type="cellIs" dxfId="206" priority="640" operator="equal">
      <formula>"×"</formula>
    </cfRule>
  </conditionalFormatting>
  <conditionalFormatting sqref="AF20:AG20">
    <cfRule type="cellIs" dxfId="205" priority="635" operator="equal">
      <formula>1</formula>
    </cfRule>
    <cfRule type="cellIs" dxfId="204" priority="636" operator="equal">
      <formula>"×"</formula>
    </cfRule>
  </conditionalFormatting>
  <conditionalFormatting sqref="AF20:AG20">
    <cfRule type="cellIs" dxfId="203" priority="637" operator="equal">
      <formula>1</formula>
    </cfRule>
    <cfRule type="cellIs" dxfId="202" priority="638" operator="equal">
      <formula>"×"</formula>
    </cfRule>
  </conditionalFormatting>
  <conditionalFormatting sqref="AF20:AG20">
    <cfRule type="cellIs" dxfId="201" priority="665" operator="equal">
      <formula>1</formula>
    </cfRule>
    <cfRule type="cellIs" dxfId="200" priority="666" operator="equal">
      <formula>"×"</formula>
    </cfRule>
  </conditionalFormatting>
  <conditionalFormatting sqref="AF20:AG20">
    <cfRule type="cellIs" dxfId="199" priority="663" operator="equal">
      <formula>1</formula>
    </cfRule>
    <cfRule type="cellIs" dxfId="198" priority="664" operator="equal">
      <formula>"×"</formula>
    </cfRule>
  </conditionalFormatting>
  <conditionalFormatting sqref="AF20:AG20">
    <cfRule type="cellIs" dxfId="197" priority="661" operator="equal">
      <formula>1</formula>
    </cfRule>
    <cfRule type="cellIs" dxfId="196" priority="662" operator="equal">
      <formula>"×"</formula>
    </cfRule>
  </conditionalFormatting>
  <conditionalFormatting sqref="AF20:AG20">
    <cfRule type="cellIs" dxfId="195" priority="659" operator="equal">
      <formula>1</formula>
    </cfRule>
    <cfRule type="cellIs" dxfId="194" priority="660" operator="equal">
      <formula>"×"</formula>
    </cfRule>
  </conditionalFormatting>
  <conditionalFormatting sqref="AF20:AG20">
    <cfRule type="cellIs" dxfId="193" priority="657" operator="equal">
      <formula>1</formula>
    </cfRule>
    <cfRule type="cellIs" dxfId="192" priority="658" operator="equal">
      <formula>"×"</formula>
    </cfRule>
  </conditionalFormatting>
  <conditionalFormatting sqref="AF20:AG20">
    <cfRule type="cellIs" dxfId="191" priority="655" operator="equal">
      <formula>1</formula>
    </cfRule>
    <cfRule type="cellIs" dxfId="190" priority="656" operator="equal">
      <formula>"×"</formula>
    </cfRule>
  </conditionalFormatting>
  <conditionalFormatting sqref="AF20:AG20">
    <cfRule type="cellIs" dxfId="189" priority="653" operator="equal">
      <formula>1</formula>
    </cfRule>
    <cfRule type="cellIs" dxfId="188" priority="654" operator="equal">
      <formula>"×"</formula>
    </cfRule>
  </conditionalFormatting>
  <conditionalFormatting sqref="AF20:AG20">
    <cfRule type="cellIs" dxfId="187" priority="651" operator="equal">
      <formula>1</formula>
    </cfRule>
    <cfRule type="cellIs" dxfId="186" priority="652" operator="equal">
      <formula>"×"</formula>
    </cfRule>
  </conditionalFormatting>
  <conditionalFormatting sqref="AF20:AG20">
    <cfRule type="cellIs" dxfId="185" priority="649" operator="equal">
      <formula>1</formula>
    </cfRule>
    <cfRule type="cellIs" dxfId="184" priority="650" operator="equal">
      <formula>"×"</formula>
    </cfRule>
  </conditionalFormatting>
  <conditionalFormatting sqref="AF20:AG20">
    <cfRule type="cellIs" dxfId="183" priority="647" operator="equal">
      <formula>1</formula>
    </cfRule>
    <cfRule type="cellIs" dxfId="182" priority="648" operator="equal">
      <formula>"×"</formula>
    </cfRule>
  </conditionalFormatting>
  <conditionalFormatting sqref="AF20:AG20">
    <cfRule type="cellIs" dxfId="181" priority="645" operator="equal">
      <formula>1</formula>
    </cfRule>
    <cfRule type="cellIs" dxfId="180" priority="646" operator="equal">
      <formula>"×"</formula>
    </cfRule>
  </conditionalFormatting>
  <conditionalFormatting sqref="AF20:AG20">
    <cfRule type="cellIs" dxfId="179" priority="643" operator="equal">
      <formula>1</formula>
    </cfRule>
    <cfRule type="cellIs" dxfId="178" priority="644" operator="equal">
      <formula>"×"</formula>
    </cfRule>
  </conditionalFormatting>
  <conditionalFormatting sqref="AH20:AI20">
    <cfRule type="cellIs" dxfId="177" priority="609" operator="equal">
      <formula>1</formula>
    </cfRule>
    <cfRule type="cellIs" dxfId="176" priority="610" operator="equal">
      <formula>"×"</formula>
    </cfRule>
  </conditionalFormatting>
  <conditionalFormatting sqref="AH20:AI20">
    <cfRule type="cellIs" dxfId="175" priority="607" operator="equal">
      <formula>1</formula>
    </cfRule>
    <cfRule type="cellIs" dxfId="174" priority="608" operator="equal">
      <formula>"×"</formula>
    </cfRule>
  </conditionalFormatting>
  <conditionalFormatting sqref="AH20:AI20">
    <cfRule type="cellIs" dxfId="173" priority="603" operator="equal">
      <formula>1</formula>
    </cfRule>
    <cfRule type="cellIs" dxfId="172" priority="604" operator="equal">
      <formula>"×"</formula>
    </cfRule>
  </conditionalFormatting>
  <conditionalFormatting sqref="AH20:AI20">
    <cfRule type="cellIs" dxfId="171" priority="605" operator="equal">
      <formula>1</formula>
    </cfRule>
    <cfRule type="cellIs" dxfId="170" priority="606" operator="equal">
      <formula>"×"</formula>
    </cfRule>
  </conditionalFormatting>
  <conditionalFormatting sqref="AH20:AI20">
    <cfRule type="cellIs" dxfId="169" priority="633" operator="equal">
      <formula>1</formula>
    </cfRule>
    <cfRule type="cellIs" dxfId="168" priority="634" operator="equal">
      <formula>"×"</formula>
    </cfRule>
  </conditionalFormatting>
  <conditionalFormatting sqref="AH20:AI20">
    <cfRule type="cellIs" dxfId="167" priority="631" operator="equal">
      <formula>1</formula>
    </cfRule>
    <cfRule type="cellIs" dxfId="166" priority="632" operator="equal">
      <formula>"×"</formula>
    </cfRule>
  </conditionalFormatting>
  <conditionalFormatting sqref="AH20:AI20">
    <cfRule type="cellIs" dxfId="165" priority="629" operator="equal">
      <formula>1</formula>
    </cfRule>
    <cfRule type="cellIs" dxfId="164" priority="630" operator="equal">
      <formula>"×"</formula>
    </cfRule>
  </conditionalFormatting>
  <conditionalFormatting sqref="AH20:AI20">
    <cfRule type="cellIs" dxfId="163" priority="627" operator="equal">
      <formula>1</formula>
    </cfRule>
    <cfRule type="cellIs" dxfId="162" priority="628" operator="equal">
      <formula>"×"</formula>
    </cfRule>
  </conditionalFormatting>
  <conditionalFormatting sqref="AH20:AI20">
    <cfRule type="cellIs" dxfId="161" priority="625" operator="equal">
      <formula>1</formula>
    </cfRule>
    <cfRule type="cellIs" dxfId="160" priority="626" operator="equal">
      <formula>"×"</formula>
    </cfRule>
  </conditionalFormatting>
  <conditionalFormatting sqref="AH20:AI20">
    <cfRule type="cellIs" dxfId="159" priority="623" operator="equal">
      <formula>1</formula>
    </cfRule>
    <cfRule type="cellIs" dxfId="158" priority="624" operator="equal">
      <formula>"×"</formula>
    </cfRule>
  </conditionalFormatting>
  <conditionalFormatting sqref="AH20:AI20">
    <cfRule type="cellIs" dxfId="157" priority="621" operator="equal">
      <formula>1</formula>
    </cfRule>
    <cfRule type="cellIs" dxfId="156" priority="622" operator="equal">
      <formula>"×"</formula>
    </cfRule>
  </conditionalFormatting>
  <conditionalFormatting sqref="AH20:AI20">
    <cfRule type="cellIs" dxfId="155" priority="619" operator="equal">
      <formula>1</formula>
    </cfRule>
    <cfRule type="cellIs" dxfId="154" priority="620" operator="equal">
      <formula>"×"</formula>
    </cfRule>
  </conditionalFormatting>
  <conditionalFormatting sqref="AH20:AI20">
    <cfRule type="cellIs" dxfId="153" priority="617" operator="equal">
      <formula>1</formula>
    </cfRule>
    <cfRule type="cellIs" dxfId="152" priority="618" operator="equal">
      <formula>"×"</formula>
    </cfRule>
  </conditionalFormatting>
  <conditionalFormatting sqref="AH20:AI20">
    <cfRule type="cellIs" dxfId="151" priority="615" operator="equal">
      <formula>1</formula>
    </cfRule>
    <cfRule type="cellIs" dxfId="150" priority="616" operator="equal">
      <formula>"×"</formula>
    </cfRule>
  </conditionalFormatting>
  <conditionalFormatting sqref="AH20:AI20">
    <cfRule type="cellIs" dxfId="149" priority="613" operator="equal">
      <formula>1</formula>
    </cfRule>
    <cfRule type="cellIs" dxfId="148" priority="614" operator="equal">
      <formula>"×"</formula>
    </cfRule>
  </conditionalFormatting>
  <conditionalFormatting sqref="AH20:AI20">
    <cfRule type="cellIs" dxfId="147" priority="611" operator="equal">
      <formula>1</formula>
    </cfRule>
    <cfRule type="cellIs" dxfId="146" priority="612" operator="equal">
      <formula>"×"</formula>
    </cfRule>
  </conditionalFormatting>
  <conditionalFormatting sqref="AH21">
    <cfRule type="cellIs" dxfId="145" priority="601" operator="equal">
      <formula>1</formula>
    </cfRule>
    <cfRule type="cellIs" dxfId="144" priority="602" operator="equal">
      <formula>"×"</formula>
    </cfRule>
  </conditionalFormatting>
  <conditionalFormatting sqref="AH21">
    <cfRule type="cellIs" dxfId="143" priority="599" operator="equal">
      <formula>1</formula>
    </cfRule>
    <cfRule type="cellIs" dxfId="142" priority="600" operator="equal">
      <formula>"×"</formula>
    </cfRule>
  </conditionalFormatting>
  <conditionalFormatting sqref="AH21">
    <cfRule type="cellIs" dxfId="141" priority="573" operator="equal">
      <formula>1</formula>
    </cfRule>
    <cfRule type="cellIs" dxfId="140" priority="574" operator="equal">
      <formula>"×"</formula>
    </cfRule>
  </conditionalFormatting>
  <conditionalFormatting sqref="AH21">
    <cfRule type="cellIs" dxfId="139" priority="571" operator="equal">
      <formula>1</formula>
    </cfRule>
    <cfRule type="cellIs" dxfId="138" priority="572" operator="equal">
      <formula>"×"</formula>
    </cfRule>
  </conditionalFormatting>
  <conditionalFormatting sqref="AH21">
    <cfRule type="cellIs" dxfId="137" priority="567" operator="equal">
      <formula>1</formula>
    </cfRule>
    <cfRule type="cellIs" dxfId="136" priority="568" operator="equal">
      <formula>"×"</formula>
    </cfRule>
  </conditionalFormatting>
  <conditionalFormatting sqref="AH21">
    <cfRule type="cellIs" dxfId="135" priority="569" operator="equal">
      <formula>1</formula>
    </cfRule>
    <cfRule type="cellIs" dxfId="134" priority="570" operator="equal">
      <formula>"×"</formula>
    </cfRule>
  </conditionalFormatting>
  <conditionalFormatting sqref="AH21">
    <cfRule type="cellIs" dxfId="133" priority="597" operator="equal">
      <formula>1</formula>
    </cfRule>
    <cfRule type="cellIs" dxfId="132" priority="598" operator="equal">
      <formula>"×"</formula>
    </cfRule>
  </conditionalFormatting>
  <conditionalFormatting sqref="AH21">
    <cfRule type="cellIs" dxfId="131" priority="595" operator="equal">
      <formula>1</formula>
    </cfRule>
    <cfRule type="cellIs" dxfId="130" priority="596" operator="equal">
      <formula>"×"</formula>
    </cfRule>
  </conditionalFormatting>
  <conditionalFormatting sqref="AH21">
    <cfRule type="cellIs" dxfId="129" priority="593" operator="equal">
      <formula>1</formula>
    </cfRule>
    <cfRule type="cellIs" dxfId="128" priority="594" operator="equal">
      <formula>"×"</formula>
    </cfRule>
  </conditionalFormatting>
  <conditionalFormatting sqref="AH21">
    <cfRule type="cellIs" dxfId="127" priority="591" operator="equal">
      <formula>1</formula>
    </cfRule>
    <cfRule type="cellIs" dxfId="126" priority="592" operator="equal">
      <formula>"×"</formula>
    </cfRule>
  </conditionalFormatting>
  <conditionalFormatting sqref="AH21">
    <cfRule type="cellIs" dxfId="125" priority="589" operator="equal">
      <formula>1</formula>
    </cfRule>
    <cfRule type="cellIs" dxfId="124" priority="590" operator="equal">
      <formula>"×"</formula>
    </cfRule>
  </conditionalFormatting>
  <conditionalFormatting sqref="AH21">
    <cfRule type="cellIs" dxfId="123" priority="587" operator="equal">
      <formula>1</formula>
    </cfRule>
    <cfRule type="cellIs" dxfId="122" priority="588" operator="equal">
      <formula>"×"</formula>
    </cfRule>
  </conditionalFormatting>
  <conditionalFormatting sqref="AH21">
    <cfRule type="cellIs" dxfId="121" priority="585" operator="equal">
      <formula>1</formula>
    </cfRule>
    <cfRule type="cellIs" dxfId="120" priority="586" operator="equal">
      <formula>"×"</formula>
    </cfRule>
  </conditionalFormatting>
  <conditionalFormatting sqref="AH21">
    <cfRule type="cellIs" dxfId="119" priority="583" operator="equal">
      <formula>1</formula>
    </cfRule>
    <cfRule type="cellIs" dxfId="118" priority="584" operator="equal">
      <formula>"×"</formula>
    </cfRule>
  </conditionalFormatting>
  <conditionalFormatting sqref="AH21">
    <cfRule type="cellIs" dxfId="117" priority="581" operator="equal">
      <formula>1</formula>
    </cfRule>
    <cfRule type="cellIs" dxfId="116" priority="582" operator="equal">
      <formula>"×"</formula>
    </cfRule>
  </conditionalFormatting>
  <conditionalFormatting sqref="AH21">
    <cfRule type="cellIs" dxfId="115" priority="579" operator="equal">
      <formula>1</formula>
    </cfRule>
    <cfRule type="cellIs" dxfId="114" priority="580" operator="equal">
      <formula>"×"</formula>
    </cfRule>
  </conditionalFormatting>
  <conditionalFormatting sqref="AH21">
    <cfRule type="cellIs" dxfId="113" priority="577" operator="equal">
      <formula>1</formula>
    </cfRule>
    <cfRule type="cellIs" dxfId="112" priority="578" operator="equal">
      <formula>"×"</formula>
    </cfRule>
  </conditionalFormatting>
  <conditionalFormatting sqref="AH21">
    <cfRule type="cellIs" dxfId="111" priority="575" operator="equal">
      <formula>1</formula>
    </cfRule>
    <cfRule type="cellIs" dxfId="110" priority="576" operator="equal">
      <formula>"×"</formula>
    </cfRule>
  </conditionalFormatting>
  <conditionalFormatting sqref="AF20:AG20">
    <cfRule type="cellIs" dxfId="109" priority="123" operator="equal">
      <formula>1</formula>
    </cfRule>
    <cfRule type="cellIs" dxfId="108" priority="124" operator="equal">
      <formula>"×"</formula>
    </cfRule>
  </conditionalFormatting>
  <conditionalFormatting sqref="AF20:AG20">
    <cfRule type="cellIs" dxfId="107" priority="119" operator="equal">
      <formula>1</formula>
    </cfRule>
    <cfRule type="cellIs" dxfId="106" priority="120" operator="equal">
      <formula>"×"</formula>
    </cfRule>
  </conditionalFormatting>
  <conditionalFormatting sqref="AF20:AG20">
    <cfRule type="cellIs" dxfId="105" priority="121" operator="equal">
      <formula>1</formula>
    </cfRule>
    <cfRule type="cellIs" dxfId="104" priority="122" operator="equal">
      <formula>"×"</formula>
    </cfRule>
  </conditionalFormatting>
  <conditionalFormatting sqref="AH20:AI20">
    <cfRule type="cellIs" dxfId="103" priority="93" operator="equal">
      <formula>1</formula>
    </cfRule>
    <cfRule type="cellIs" dxfId="102" priority="94" operator="equal">
      <formula>"×"</formula>
    </cfRule>
  </conditionalFormatting>
  <conditionalFormatting sqref="AH20:AI20">
    <cfRule type="cellIs" dxfId="101" priority="91" operator="equal">
      <formula>1</formula>
    </cfRule>
    <cfRule type="cellIs" dxfId="100" priority="92" operator="equal">
      <formula>"×"</formula>
    </cfRule>
  </conditionalFormatting>
  <conditionalFormatting sqref="AH20:AI20">
    <cfRule type="cellIs" dxfId="99" priority="87" operator="equal">
      <formula>1</formula>
    </cfRule>
    <cfRule type="cellIs" dxfId="98" priority="88" operator="equal">
      <formula>"×"</formula>
    </cfRule>
  </conditionalFormatting>
  <conditionalFormatting sqref="AH20:AI20">
    <cfRule type="cellIs" dxfId="97" priority="89" operator="equal">
      <formula>1</formula>
    </cfRule>
    <cfRule type="cellIs" dxfId="96" priority="90" operator="equal">
      <formula>"×"</formula>
    </cfRule>
  </conditionalFormatting>
  <conditionalFormatting sqref="AH20:AI20">
    <cfRule type="cellIs" dxfId="95" priority="117" operator="equal">
      <formula>1</formula>
    </cfRule>
    <cfRule type="cellIs" dxfId="94" priority="118" operator="equal">
      <formula>"×"</formula>
    </cfRule>
  </conditionalFormatting>
  <conditionalFormatting sqref="AH20:AI20">
    <cfRule type="cellIs" dxfId="93" priority="115" operator="equal">
      <formula>1</formula>
    </cfRule>
    <cfRule type="cellIs" dxfId="92" priority="116" operator="equal">
      <formula>"×"</formula>
    </cfRule>
  </conditionalFormatting>
  <conditionalFormatting sqref="AH20:AI20">
    <cfRule type="cellIs" dxfId="91" priority="113" operator="equal">
      <formula>1</formula>
    </cfRule>
    <cfRule type="cellIs" dxfId="90" priority="114" operator="equal">
      <formula>"×"</formula>
    </cfRule>
  </conditionalFormatting>
  <conditionalFormatting sqref="AH20:AI20">
    <cfRule type="cellIs" dxfId="89" priority="111" operator="equal">
      <formula>1</formula>
    </cfRule>
    <cfRule type="cellIs" dxfId="88" priority="112" operator="equal">
      <formula>"×"</formula>
    </cfRule>
  </conditionalFormatting>
  <conditionalFormatting sqref="AH20:AI20">
    <cfRule type="cellIs" dxfId="87" priority="109" operator="equal">
      <formula>1</formula>
    </cfRule>
    <cfRule type="cellIs" dxfId="86" priority="110" operator="equal">
      <formula>"×"</formula>
    </cfRule>
  </conditionalFormatting>
  <conditionalFormatting sqref="AH20:AI20">
    <cfRule type="cellIs" dxfId="85" priority="107" operator="equal">
      <formula>1</formula>
    </cfRule>
    <cfRule type="cellIs" dxfId="84" priority="108" operator="equal">
      <formula>"×"</formula>
    </cfRule>
  </conditionalFormatting>
  <conditionalFormatting sqref="AH20:AI20">
    <cfRule type="cellIs" dxfId="83" priority="103" operator="equal">
      <formula>1</formula>
    </cfRule>
    <cfRule type="cellIs" dxfId="82" priority="104" operator="equal">
      <formula>"×"</formula>
    </cfRule>
  </conditionalFormatting>
  <conditionalFormatting sqref="AH20:AI20">
    <cfRule type="cellIs" dxfId="81" priority="101" operator="equal">
      <formula>1</formula>
    </cfRule>
    <cfRule type="cellIs" dxfId="80" priority="102" operator="equal">
      <formula>"×"</formula>
    </cfRule>
  </conditionalFormatting>
  <conditionalFormatting sqref="AH20:AI20">
    <cfRule type="cellIs" dxfId="79" priority="99" operator="equal">
      <formula>1</formula>
    </cfRule>
    <cfRule type="cellIs" dxfId="78" priority="100" operator="equal">
      <formula>"×"</formula>
    </cfRule>
  </conditionalFormatting>
  <conditionalFormatting sqref="AH20:AI20">
    <cfRule type="cellIs" dxfId="77" priority="95" operator="equal">
      <formula>1</formula>
    </cfRule>
    <cfRule type="cellIs" dxfId="76" priority="96" operator="equal">
      <formula>"×"</formula>
    </cfRule>
  </conditionalFormatting>
  <conditionalFormatting sqref="AH21">
    <cfRule type="cellIs" dxfId="75" priority="85" operator="equal">
      <formula>1</formula>
    </cfRule>
    <cfRule type="cellIs" dxfId="74" priority="86" operator="equal">
      <formula>"×"</formula>
    </cfRule>
  </conditionalFormatting>
  <conditionalFormatting sqref="AH21">
    <cfRule type="cellIs" dxfId="73" priority="83" operator="equal">
      <formula>1</formula>
    </cfRule>
    <cfRule type="cellIs" dxfId="72" priority="84" operator="equal">
      <formula>"×"</formula>
    </cfRule>
  </conditionalFormatting>
  <conditionalFormatting sqref="AH21">
    <cfRule type="cellIs" dxfId="71" priority="57" operator="equal">
      <formula>1</formula>
    </cfRule>
    <cfRule type="cellIs" dxfId="70" priority="58" operator="equal">
      <formula>"×"</formula>
    </cfRule>
  </conditionalFormatting>
  <conditionalFormatting sqref="AH21">
    <cfRule type="cellIs" dxfId="69" priority="55" operator="equal">
      <formula>1</formula>
    </cfRule>
    <cfRule type="cellIs" dxfId="68" priority="56" operator="equal">
      <formula>"×"</formula>
    </cfRule>
  </conditionalFormatting>
  <conditionalFormatting sqref="AH21">
    <cfRule type="cellIs" dxfId="67" priority="51" operator="equal">
      <formula>1</formula>
    </cfRule>
    <cfRule type="cellIs" dxfId="66" priority="52" operator="equal">
      <formula>"×"</formula>
    </cfRule>
  </conditionalFormatting>
  <conditionalFormatting sqref="AH21">
    <cfRule type="cellIs" dxfId="65" priority="53" operator="equal">
      <formula>1</formula>
    </cfRule>
    <cfRule type="cellIs" dxfId="64" priority="54" operator="equal">
      <formula>"×"</formula>
    </cfRule>
  </conditionalFormatting>
  <conditionalFormatting sqref="AH21">
    <cfRule type="cellIs" dxfId="63" priority="81" operator="equal">
      <formula>1</formula>
    </cfRule>
    <cfRule type="cellIs" dxfId="62" priority="82" operator="equal">
      <formula>"×"</formula>
    </cfRule>
  </conditionalFormatting>
  <conditionalFormatting sqref="AH21">
    <cfRule type="cellIs" dxfId="61" priority="77" operator="equal">
      <formula>1</formula>
    </cfRule>
    <cfRule type="cellIs" dxfId="60" priority="78" operator="equal">
      <formula>"×"</formula>
    </cfRule>
  </conditionalFormatting>
  <conditionalFormatting sqref="AH21">
    <cfRule type="cellIs" dxfId="59" priority="75" operator="equal">
      <formula>1</formula>
    </cfRule>
    <cfRule type="cellIs" dxfId="58" priority="76" operator="equal">
      <formula>"×"</formula>
    </cfRule>
  </conditionalFormatting>
  <conditionalFormatting sqref="AH21">
    <cfRule type="cellIs" dxfId="57" priority="73" operator="equal">
      <formula>1</formula>
    </cfRule>
    <cfRule type="cellIs" dxfId="56" priority="74" operator="equal">
      <formula>"×"</formula>
    </cfRule>
  </conditionalFormatting>
  <conditionalFormatting sqref="AH21">
    <cfRule type="cellIs" dxfId="55" priority="71" operator="equal">
      <formula>1</formula>
    </cfRule>
    <cfRule type="cellIs" dxfId="54" priority="72" operator="equal">
      <formula>"×"</formula>
    </cfRule>
  </conditionalFormatting>
  <conditionalFormatting sqref="AH21">
    <cfRule type="cellIs" dxfId="53" priority="69" operator="equal">
      <formula>1</formula>
    </cfRule>
    <cfRule type="cellIs" dxfId="52" priority="70" operator="equal">
      <formula>"×"</formula>
    </cfRule>
  </conditionalFormatting>
  <conditionalFormatting sqref="AH21">
    <cfRule type="cellIs" dxfId="51" priority="67" operator="equal">
      <formula>1</formula>
    </cfRule>
    <cfRule type="cellIs" dxfId="50" priority="68" operator="equal">
      <formula>"×"</formula>
    </cfRule>
  </conditionalFormatting>
  <conditionalFormatting sqref="AH21">
    <cfRule type="cellIs" dxfId="49" priority="65" operator="equal">
      <formula>1</formula>
    </cfRule>
    <cfRule type="cellIs" dxfId="48" priority="66" operator="equal">
      <formula>"×"</formula>
    </cfRule>
  </conditionalFormatting>
  <conditionalFormatting sqref="AH21">
    <cfRule type="cellIs" dxfId="47" priority="63" operator="equal">
      <formula>1</formula>
    </cfRule>
    <cfRule type="cellIs" dxfId="46" priority="64" operator="equal">
      <formula>"×"</formula>
    </cfRule>
  </conditionalFormatting>
  <conditionalFormatting sqref="AH21">
    <cfRule type="cellIs" dxfId="45" priority="61" operator="equal">
      <formula>1</formula>
    </cfRule>
    <cfRule type="cellIs" dxfId="44" priority="62" operator="equal">
      <formula>"×"</formula>
    </cfRule>
  </conditionalFormatting>
  <conditionalFormatting sqref="AH21">
    <cfRule type="cellIs" dxfId="43" priority="59" operator="equal">
      <formula>1</formula>
    </cfRule>
    <cfRule type="cellIs" dxfId="42" priority="60" operator="equal">
      <formula>"×"</formula>
    </cfRule>
  </conditionalFormatting>
  <conditionalFormatting sqref="AB25">
    <cfRule type="cellIs" dxfId="41" priority="49" operator="equal">
      <formula>1</formula>
    </cfRule>
    <cfRule type="cellIs" dxfId="40" priority="50" operator="equal">
      <formula>"×"</formula>
    </cfRule>
  </conditionalFormatting>
  <conditionalFormatting sqref="AB25">
    <cfRule type="cellIs" dxfId="39" priority="47" operator="equal">
      <formula>1</formula>
    </cfRule>
    <cfRule type="cellIs" dxfId="38" priority="48" operator="equal">
      <formula>"×"</formula>
    </cfRule>
  </conditionalFormatting>
  <conditionalFormatting sqref="AC25">
    <cfRule type="cellIs" dxfId="37" priority="45" operator="equal">
      <formula>1</formula>
    </cfRule>
    <cfRule type="cellIs" dxfId="36" priority="46" operator="equal">
      <formula>"×"</formula>
    </cfRule>
  </conditionalFormatting>
  <conditionalFormatting sqref="AC25">
    <cfRule type="cellIs" dxfId="35" priority="43" operator="equal">
      <formula>1</formula>
    </cfRule>
    <cfRule type="cellIs" dxfId="34" priority="44" operator="equal">
      <formula>"×"</formula>
    </cfRule>
  </conditionalFormatting>
  <conditionalFormatting sqref="AC25">
    <cfRule type="cellIs" dxfId="33" priority="41" operator="equal">
      <formula>1</formula>
    </cfRule>
    <cfRule type="cellIs" dxfId="32" priority="42" operator="equal">
      <formula>"×"</formula>
    </cfRule>
  </conditionalFormatting>
  <conditionalFormatting sqref="AC25">
    <cfRule type="cellIs" dxfId="31" priority="39" operator="equal">
      <formula>1</formula>
    </cfRule>
    <cfRule type="cellIs" dxfId="30" priority="40" operator="equal">
      <formula>"×"</formula>
    </cfRule>
  </conditionalFormatting>
  <conditionalFormatting sqref="AC20">
    <cfRule type="cellIs" dxfId="29" priority="17" operator="equal">
      <formula>1</formula>
    </cfRule>
    <cfRule type="cellIs" dxfId="28" priority="18" operator="equal">
      <formula>"×"</formula>
    </cfRule>
  </conditionalFormatting>
  <conditionalFormatting sqref="AC20">
    <cfRule type="cellIs" dxfId="27" priority="15" operator="equal">
      <formula>1</formula>
    </cfRule>
    <cfRule type="cellIs" dxfId="26" priority="16" operator="equal">
      <formula>"×"</formula>
    </cfRule>
  </conditionalFormatting>
  <conditionalFormatting sqref="AC20">
    <cfRule type="cellIs" dxfId="25" priority="13" operator="equal">
      <formula>1</formula>
    </cfRule>
    <cfRule type="cellIs" dxfId="24" priority="14" operator="equal">
      <formula>"×"</formula>
    </cfRule>
  </conditionalFormatting>
  <conditionalFormatting sqref="AC20">
    <cfRule type="cellIs" dxfId="23" priority="11" operator="equal">
      <formula>1</formula>
    </cfRule>
    <cfRule type="cellIs" dxfId="22" priority="12" operator="equal">
      <formula>"×"</formula>
    </cfRule>
  </conditionalFormatting>
  <conditionalFormatting sqref="AC20">
    <cfRule type="cellIs" dxfId="21" priority="9" operator="equal">
      <formula>1</formula>
    </cfRule>
    <cfRule type="cellIs" dxfId="20" priority="10" operator="equal">
      <formula>"×"</formula>
    </cfRule>
  </conditionalFormatting>
  <conditionalFormatting sqref="AB25">
    <cfRule type="cellIs" dxfId="19" priority="37" operator="equal">
      <formula>1</formula>
    </cfRule>
    <cfRule type="cellIs" dxfId="18" priority="38" operator="equal">
      <formula>"×"</formula>
    </cfRule>
  </conditionalFormatting>
  <conditionalFormatting sqref="AC20:AC24">
    <cfRule type="cellIs" dxfId="17" priority="33" operator="equal">
      <formula>1</formula>
    </cfRule>
    <cfRule type="cellIs" dxfId="16" priority="34" operator="equal">
      <formula>"×"</formula>
    </cfRule>
  </conditionalFormatting>
  <conditionalFormatting sqref="AC20:AC24">
    <cfRule type="cellIs" dxfId="15" priority="29" operator="equal">
      <formula>1</formula>
    </cfRule>
    <cfRule type="cellIs" dxfId="14" priority="30" operator="equal">
      <formula>"×"</formula>
    </cfRule>
  </conditionalFormatting>
  <conditionalFormatting sqref="AC20:AC24">
    <cfRule type="cellIs" dxfId="13" priority="27" operator="equal">
      <formula>1</formula>
    </cfRule>
    <cfRule type="cellIs" dxfId="12" priority="28" operator="equal">
      <formula>"×"</formula>
    </cfRule>
  </conditionalFormatting>
  <conditionalFormatting sqref="AC20:AC24">
    <cfRule type="cellIs" dxfId="11" priority="25" operator="equal">
      <formula>1</formula>
    </cfRule>
    <cfRule type="cellIs" dxfId="10" priority="26" operator="equal">
      <formula>"×"</formula>
    </cfRule>
  </conditionalFormatting>
  <conditionalFormatting sqref="AD24">
    <cfRule type="cellIs" dxfId="9" priority="21" operator="equal">
      <formula>1</formula>
    </cfRule>
    <cfRule type="cellIs" dxfId="8" priority="22" operator="equal">
      <formula>"×"</formula>
    </cfRule>
  </conditionalFormatting>
  <conditionalFormatting sqref="AD25">
    <cfRule type="cellIs" dxfId="7" priority="7" operator="equal">
      <formula>1</formula>
    </cfRule>
    <cfRule type="cellIs" dxfId="6" priority="8" operator="equal">
      <formula>"×"</formula>
    </cfRule>
  </conditionalFormatting>
  <conditionalFormatting sqref="AD25">
    <cfRule type="cellIs" dxfId="5" priority="5" operator="equal">
      <formula>1</formula>
    </cfRule>
    <cfRule type="cellIs" dxfId="4" priority="6" operator="equal">
      <formula>"×"</formula>
    </cfRule>
  </conditionalFormatting>
  <conditionalFormatting sqref="AB26:AI37">
    <cfRule type="cellIs" dxfId="3" priority="3" operator="equal">
      <formula>1</formula>
    </cfRule>
    <cfRule type="cellIs" dxfId="2" priority="4" operator="equal">
      <formula>"×"</formula>
    </cfRule>
  </conditionalFormatting>
  <conditionalFormatting sqref="AB26:AI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U33"/>
  <sheetViews>
    <sheetView zoomScale="70" zoomScaleNormal="70" workbookViewId="0"/>
  </sheetViews>
  <sheetFormatPr defaultRowHeight="13.5"/>
  <cols>
    <col min="2" max="2" width="58.25" customWidth="1"/>
    <col min="3" max="10" width="3.375" customWidth="1"/>
    <col min="11" max="15" width="17" customWidth="1"/>
    <col min="16" max="16" width="29.625" customWidth="1"/>
    <col min="17" max="17" width="20" bestFit="1" customWidth="1"/>
    <col min="18" max="18" width="20.875" customWidth="1"/>
    <col min="19" max="22" width="10.875" customWidth="1"/>
    <col min="23" max="23" width="21.625" customWidth="1"/>
  </cols>
  <sheetData>
    <row r="2" spans="2:21" ht="15" thickBot="1">
      <c r="B2" s="28" t="s">
        <v>227</v>
      </c>
    </row>
    <row r="3" spans="2:21" ht="15" thickBot="1">
      <c r="B3" s="92" t="s">
        <v>127</v>
      </c>
      <c r="C3" s="276" t="s">
        <v>259</v>
      </c>
      <c r="D3" s="277"/>
      <c r="E3" s="277"/>
      <c r="F3" s="277"/>
      <c r="G3" s="277"/>
      <c r="H3" s="277"/>
      <c r="I3" s="277"/>
      <c r="J3" s="278"/>
      <c r="K3" s="168"/>
      <c r="L3" s="168"/>
      <c r="M3" s="168"/>
      <c r="N3" s="168"/>
      <c r="O3" s="168"/>
      <c r="P3" s="168"/>
      <c r="Q3" s="171"/>
      <c r="R3" s="169"/>
      <c r="S3" s="169"/>
      <c r="T3" s="169"/>
      <c r="U3" s="170"/>
    </row>
    <row r="4" spans="2:21">
      <c r="B4" s="68"/>
      <c r="C4" s="35" t="s">
        <v>162</v>
      </c>
      <c r="D4" s="35"/>
      <c r="E4" s="35"/>
      <c r="F4" s="35"/>
      <c r="G4" s="35"/>
      <c r="H4" s="35"/>
      <c r="I4" s="35"/>
      <c r="J4" s="35"/>
      <c r="K4" s="35"/>
      <c r="L4" s="35"/>
      <c r="M4" s="35"/>
      <c r="N4" s="35"/>
      <c r="O4" s="35"/>
      <c r="P4" s="35"/>
      <c r="Q4" s="31" t="s">
        <v>49</v>
      </c>
      <c r="R4" s="41" t="s">
        <v>20</v>
      </c>
      <c r="S4" s="42"/>
      <c r="T4" s="42"/>
      <c r="U4" s="43"/>
    </row>
    <row r="5" spans="2:21">
      <c r="B5" s="69" t="s">
        <v>21</v>
      </c>
      <c r="C5" s="279" t="s">
        <v>177</v>
      </c>
      <c r="D5" s="280"/>
      <c r="E5" s="280"/>
      <c r="F5" s="280"/>
      <c r="G5" s="280"/>
      <c r="H5" s="280"/>
      <c r="I5" s="280"/>
      <c r="J5" s="281"/>
      <c r="K5" s="194" t="s">
        <v>228</v>
      </c>
      <c r="L5" s="194" t="s">
        <v>229</v>
      </c>
      <c r="M5" s="194" t="s">
        <v>229</v>
      </c>
      <c r="N5" s="194" t="s">
        <v>266</v>
      </c>
      <c r="O5" s="194" t="s">
        <v>266</v>
      </c>
      <c r="P5" s="194" t="s">
        <v>266</v>
      </c>
      <c r="Q5" s="32" t="s">
        <v>230</v>
      </c>
      <c r="R5" s="198" t="s">
        <v>22</v>
      </c>
      <c r="S5" s="195" t="s">
        <v>23</v>
      </c>
      <c r="T5" s="73" t="s">
        <v>24</v>
      </c>
      <c r="U5" s="73" t="s">
        <v>25</v>
      </c>
    </row>
    <row r="6" spans="2:21" ht="42.6" customHeight="1">
      <c r="B6" s="69" t="s">
        <v>31</v>
      </c>
      <c r="C6" s="162" t="s">
        <v>131</v>
      </c>
      <c r="D6" s="162" t="s">
        <v>131</v>
      </c>
      <c r="E6" s="162" t="s">
        <v>131</v>
      </c>
      <c r="F6" s="162" t="s">
        <v>131</v>
      </c>
      <c r="G6" s="162" t="s">
        <v>131</v>
      </c>
      <c r="H6" s="162" t="s">
        <v>131</v>
      </c>
      <c r="I6" s="162" t="s">
        <v>131</v>
      </c>
      <c r="J6" s="162" t="s">
        <v>131</v>
      </c>
      <c r="K6" s="137" t="s">
        <v>131</v>
      </c>
      <c r="L6" s="137" t="s">
        <v>131</v>
      </c>
      <c r="M6" s="137" t="s">
        <v>131</v>
      </c>
      <c r="N6" s="137" t="s">
        <v>131</v>
      </c>
      <c r="O6" s="138"/>
      <c r="P6" s="138" t="s">
        <v>131</v>
      </c>
      <c r="Q6" s="32" t="s">
        <v>46</v>
      </c>
      <c r="R6" s="199"/>
      <c r="S6" s="200"/>
      <c r="T6" s="200"/>
      <c r="U6" s="200"/>
    </row>
    <row r="7" spans="2:21" ht="27">
      <c r="B7" s="70" t="s">
        <v>26</v>
      </c>
      <c r="C7" s="282" t="s">
        <v>33</v>
      </c>
      <c r="D7" s="280"/>
      <c r="E7" s="280"/>
      <c r="F7" s="280"/>
      <c r="G7" s="280"/>
      <c r="H7" s="280"/>
      <c r="I7" s="280"/>
      <c r="J7" s="281"/>
      <c r="K7" s="1" t="s">
        <v>231</v>
      </c>
      <c r="L7" s="1" t="s">
        <v>232</v>
      </c>
      <c r="M7" s="283" t="s">
        <v>248</v>
      </c>
      <c r="N7" s="29" t="s">
        <v>254</v>
      </c>
      <c r="O7" s="29" t="s">
        <v>254</v>
      </c>
      <c r="P7" s="29" t="s">
        <v>254</v>
      </c>
      <c r="Q7" s="33"/>
      <c r="R7" s="199"/>
      <c r="S7" s="200"/>
      <c r="T7" s="200"/>
      <c r="U7" s="200"/>
    </row>
    <row r="8" spans="2:21" ht="136.5">
      <c r="B8" s="69" t="s">
        <v>27</v>
      </c>
      <c r="C8" s="163" t="s">
        <v>163</v>
      </c>
      <c r="D8" s="163" t="s">
        <v>60</v>
      </c>
      <c r="E8" s="163" t="s">
        <v>164</v>
      </c>
      <c r="F8" s="163" t="s">
        <v>165</v>
      </c>
      <c r="G8" s="163" t="s">
        <v>166</v>
      </c>
      <c r="H8" s="163" t="s">
        <v>167</v>
      </c>
      <c r="I8" s="163" t="s">
        <v>168</v>
      </c>
      <c r="J8" s="163" t="s">
        <v>169</v>
      </c>
      <c r="K8" s="1" t="s">
        <v>131</v>
      </c>
      <c r="L8" s="201" t="s">
        <v>249</v>
      </c>
      <c r="M8" s="220" t="s">
        <v>256</v>
      </c>
      <c r="N8" s="29" t="s">
        <v>131</v>
      </c>
      <c r="O8" s="29" t="s">
        <v>261</v>
      </c>
      <c r="P8" s="29" t="s">
        <v>263</v>
      </c>
      <c r="Q8" s="32" t="s">
        <v>28</v>
      </c>
      <c r="R8" s="199"/>
      <c r="S8" s="200"/>
      <c r="T8" s="200"/>
      <c r="U8" s="200"/>
    </row>
    <row r="9" spans="2:21" ht="81.75" thickBot="1">
      <c r="B9" s="71" t="s">
        <v>29</v>
      </c>
      <c r="C9" s="164" t="s">
        <v>171</v>
      </c>
      <c r="D9" s="164" t="s">
        <v>131</v>
      </c>
      <c r="E9" s="164" t="s">
        <v>171</v>
      </c>
      <c r="F9" s="164" t="s">
        <v>171</v>
      </c>
      <c r="G9" s="164" t="s">
        <v>171</v>
      </c>
      <c r="H9" s="164" t="s">
        <v>171</v>
      </c>
      <c r="I9" s="164" t="s">
        <v>171</v>
      </c>
      <c r="J9" s="164" t="s">
        <v>171</v>
      </c>
      <c r="K9" s="202" t="s">
        <v>233</v>
      </c>
      <c r="L9" s="202" t="s">
        <v>234</v>
      </c>
      <c r="M9" s="30" t="s">
        <v>250</v>
      </c>
      <c r="N9" s="30" t="s">
        <v>255</v>
      </c>
      <c r="O9" s="30" t="s">
        <v>250</v>
      </c>
      <c r="P9" s="30" t="s">
        <v>265</v>
      </c>
      <c r="Q9" s="34" t="s">
        <v>235</v>
      </c>
      <c r="R9" s="203" t="s">
        <v>236</v>
      </c>
      <c r="S9" s="204" t="s">
        <v>276</v>
      </c>
      <c r="T9" s="205"/>
      <c r="U9" s="205"/>
    </row>
    <row r="10" spans="2:21" ht="14.25" thickTop="1">
      <c r="B10" s="190" t="s">
        <v>278</v>
      </c>
      <c r="C10" s="165" t="s">
        <v>170</v>
      </c>
      <c r="D10" s="165" t="s">
        <v>170</v>
      </c>
      <c r="E10" s="165" t="s">
        <v>170</v>
      </c>
      <c r="F10" s="206" t="s">
        <v>237</v>
      </c>
      <c r="G10" s="165" t="s">
        <v>170</v>
      </c>
      <c r="H10" s="165" t="s">
        <v>170</v>
      </c>
      <c r="I10" s="165" t="s">
        <v>170</v>
      </c>
      <c r="J10" s="165" t="s">
        <v>170</v>
      </c>
      <c r="K10" s="196" t="s">
        <v>267</v>
      </c>
      <c r="L10" s="196" t="s">
        <v>267</v>
      </c>
      <c r="M10" s="196" t="s">
        <v>268</v>
      </c>
      <c r="N10" s="196" t="s">
        <v>269</v>
      </c>
      <c r="O10" s="196" t="s">
        <v>268</v>
      </c>
      <c r="P10" s="196" t="s">
        <v>268</v>
      </c>
      <c r="Q10" s="191" t="s">
        <v>30</v>
      </c>
      <c r="R10" s="207" t="s">
        <v>210</v>
      </c>
      <c r="S10" s="208" t="s">
        <v>210</v>
      </c>
      <c r="T10" s="38"/>
      <c r="U10" s="38"/>
    </row>
    <row r="11" spans="2:21">
      <c r="B11" s="23" t="s">
        <v>291</v>
      </c>
      <c r="C11" s="166" t="s">
        <v>170</v>
      </c>
      <c r="D11" s="166" t="s">
        <v>170</v>
      </c>
      <c r="E11" s="166" t="s">
        <v>170</v>
      </c>
      <c r="F11" s="209" t="s">
        <v>237</v>
      </c>
      <c r="G11" s="166" t="s">
        <v>170</v>
      </c>
      <c r="H11" s="166" t="s">
        <v>170</v>
      </c>
      <c r="I11" s="166" t="s">
        <v>170</v>
      </c>
      <c r="J11" s="166" t="s">
        <v>170</v>
      </c>
      <c r="K11" s="196" t="s">
        <v>267</v>
      </c>
      <c r="L11" s="196" t="s">
        <v>270</v>
      </c>
      <c r="M11" s="196" t="s">
        <v>267</v>
      </c>
      <c r="N11" s="196" t="s">
        <v>271</v>
      </c>
      <c r="O11" s="196" t="s">
        <v>267</v>
      </c>
      <c r="P11" s="196" t="s">
        <v>267</v>
      </c>
      <c r="Q11" s="36" t="s">
        <v>30</v>
      </c>
      <c r="R11" s="210" t="s">
        <v>210</v>
      </c>
      <c r="S11" s="211" t="s">
        <v>210</v>
      </c>
      <c r="T11" s="39"/>
      <c r="U11" s="39"/>
    </row>
    <row r="12" spans="2:21">
      <c r="B12" s="23" t="s">
        <v>292</v>
      </c>
      <c r="C12" s="166" t="s">
        <v>170</v>
      </c>
      <c r="D12" s="166" t="s">
        <v>170</v>
      </c>
      <c r="E12" s="166" t="s">
        <v>170</v>
      </c>
      <c r="F12" s="209" t="s">
        <v>217</v>
      </c>
      <c r="G12" s="166" t="s">
        <v>170</v>
      </c>
      <c r="H12" s="166" t="s">
        <v>170</v>
      </c>
      <c r="I12" s="166" t="s">
        <v>170</v>
      </c>
      <c r="J12" s="166" t="s">
        <v>170</v>
      </c>
      <c r="K12" s="196" t="s">
        <v>267</v>
      </c>
      <c r="L12" s="196" t="s">
        <v>270</v>
      </c>
      <c r="M12" s="196" t="s">
        <v>267</v>
      </c>
      <c r="N12" s="196" t="s">
        <v>271</v>
      </c>
      <c r="O12" s="196" t="s">
        <v>267</v>
      </c>
      <c r="P12" s="196" t="s">
        <v>270</v>
      </c>
      <c r="Q12" s="36" t="s">
        <v>30</v>
      </c>
      <c r="R12" s="210" t="s">
        <v>210</v>
      </c>
      <c r="S12" s="211" t="s">
        <v>210</v>
      </c>
      <c r="T12" s="39"/>
      <c r="U12" s="39"/>
    </row>
    <row r="13" spans="2:21">
      <c r="B13" s="23" t="s">
        <v>293</v>
      </c>
      <c r="C13" s="166" t="s">
        <v>170</v>
      </c>
      <c r="D13" s="166" t="s">
        <v>170</v>
      </c>
      <c r="E13" s="166" t="s">
        <v>170</v>
      </c>
      <c r="F13" s="209" t="s">
        <v>217</v>
      </c>
      <c r="G13" s="166" t="s">
        <v>170</v>
      </c>
      <c r="H13" s="166" t="s">
        <v>170</v>
      </c>
      <c r="I13" s="166" t="s">
        <v>170</v>
      </c>
      <c r="J13" s="166" t="s">
        <v>170</v>
      </c>
      <c r="K13" s="196" t="s">
        <v>267</v>
      </c>
      <c r="L13" s="196" t="s">
        <v>270</v>
      </c>
      <c r="M13" s="196" t="s">
        <v>267</v>
      </c>
      <c r="N13" s="196" t="s">
        <v>271</v>
      </c>
      <c r="O13" s="196" t="s">
        <v>270</v>
      </c>
      <c r="P13" s="196" t="s">
        <v>267</v>
      </c>
      <c r="Q13" s="36" t="s">
        <v>30</v>
      </c>
      <c r="R13" s="210" t="s">
        <v>210</v>
      </c>
      <c r="S13" s="211" t="s">
        <v>210</v>
      </c>
      <c r="T13" s="39"/>
      <c r="U13" s="39"/>
    </row>
    <row r="14" spans="2:21">
      <c r="B14" s="190" t="s">
        <v>294</v>
      </c>
      <c r="C14" s="165" t="s">
        <v>170</v>
      </c>
      <c r="D14" s="165" t="s">
        <v>170</v>
      </c>
      <c r="E14" s="165" t="s">
        <v>170</v>
      </c>
      <c r="F14" s="206" t="s">
        <v>237</v>
      </c>
      <c r="G14" s="165" t="s">
        <v>170</v>
      </c>
      <c r="H14" s="165" t="s">
        <v>170</v>
      </c>
      <c r="I14" s="165" t="s">
        <v>170</v>
      </c>
      <c r="J14" s="165" t="s">
        <v>170</v>
      </c>
      <c r="K14" s="196" t="s">
        <v>267</v>
      </c>
      <c r="L14" s="196" t="s">
        <v>270</v>
      </c>
      <c r="M14" s="196" t="s">
        <v>267</v>
      </c>
      <c r="N14" s="196" t="s">
        <v>271</v>
      </c>
      <c r="O14" s="196" t="s">
        <v>270</v>
      </c>
      <c r="P14" s="196" t="s">
        <v>270</v>
      </c>
      <c r="Q14" s="36" t="s">
        <v>30</v>
      </c>
      <c r="R14" s="207" t="s">
        <v>210</v>
      </c>
      <c r="S14" s="208" t="s">
        <v>210</v>
      </c>
      <c r="T14" s="38"/>
      <c r="U14" s="38"/>
    </row>
    <row r="15" spans="2:21">
      <c r="B15" s="23" t="s">
        <v>295</v>
      </c>
      <c r="C15" s="166" t="s">
        <v>170</v>
      </c>
      <c r="D15" s="166" t="s">
        <v>170</v>
      </c>
      <c r="E15" s="166" t="s">
        <v>170</v>
      </c>
      <c r="F15" s="209" t="s">
        <v>237</v>
      </c>
      <c r="G15" s="166" t="s">
        <v>170</v>
      </c>
      <c r="H15" s="166" t="s">
        <v>170</v>
      </c>
      <c r="I15" s="166" t="s">
        <v>170</v>
      </c>
      <c r="J15" s="166" t="s">
        <v>170</v>
      </c>
      <c r="K15" s="196" t="s">
        <v>267</v>
      </c>
      <c r="L15" s="196" t="s">
        <v>270</v>
      </c>
      <c r="M15" s="196" t="s">
        <v>267</v>
      </c>
      <c r="N15" s="196" t="s">
        <v>272</v>
      </c>
      <c r="O15" s="196" t="s">
        <v>268</v>
      </c>
      <c r="P15" s="196" t="s">
        <v>268</v>
      </c>
      <c r="Q15" s="36" t="s">
        <v>30</v>
      </c>
      <c r="R15" s="207" t="s">
        <v>210</v>
      </c>
      <c r="S15" s="208" t="s">
        <v>210</v>
      </c>
      <c r="T15" s="39"/>
      <c r="U15" s="39"/>
    </row>
    <row r="16" spans="2:21">
      <c r="B16" s="23" t="s">
        <v>296</v>
      </c>
      <c r="C16" s="166" t="s">
        <v>170</v>
      </c>
      <c r="D16" s="166" t="s">
        <v>170</v>
      </c>
      <c r="E16" s="166" t="s">
        <v>170</v>
      </c>
      <c r="F16" s="209" t="s">
        <v>217</v>
      </c>
      <c r="G16" s="166" t="s">
        <v>170</v>
      </c>
      <c r="H16" s="166" t="s">
        <v>170</v>
      </c>
      <c r="I16" s="166" t="s">
        <v>170</v>
      </c>
      <c r="J16" s="166" t="s">
        <v>170</v>
      </c>
      <c r="K16" s="196" t="s">
        <v>267</v>
      </c>
      <c r="L16" s="196" t="s">
        <v>270</v>
      </c>
      <c r="M16" s="196" t="s">
        <v>267</v>
      </c>
      <c r="N16" s="196" t="s">
        <v>273</v>
      </c>
      <c r="O16" s="196" t="s">
        <v>268</v>
      </c>
      <c r="P16" s="196" t="s">
        <v>268</v>
      </c>
      <c r="Q16" s="36" t="s">
        <v>30</v>
      </c>
      <c r="R16" s="207" t="s">
        <v>210</v>
      </c>
      <c r="S16" s="208" t="s">
        <v>210</v>
      </c>
      <c r="T16" s="39"/>
      <c r="U16" s="39"/>
    </row>
    <row r="17" spans="2:21">
      <c r="B17" s="23" t="s">
        <v>296</v>
      </c>
      <c r="C17" s="166" t="s">
        <v>170</v>
      </c>
      <c r="D17" s="166" t="s">
        <v>170</v>
      </c>
      <c r="E17" s="166" t="s">
        <v>170</v>
      </c>
      <c r="F17" s="209" t="s">
        <v>217</v>
      </c>
      <c r="G17" s="166" t="s">
        <v>170</v>
      </c>
      <c r="H17" s="166" t="s">
        <v>170</v>
      </c>
      <c r="I17" s="166" t="s">
        <v>170</v>
      </c>
      <c r="J17" s="166" t="s">
        <v>170</v>
      </c>
      <c r="K17" s="196" t="s">
        <v>267</v>
      </c>
      <c r="L17" s="196" t="s">
        <v>270</v>
      </c>
      <c r="M17" s="196" t="s">
        <v>267</v>
      </c>
      <c r="N17" s="196" t="s">
        <v>274</v>
      </c>
      <c r="O17" s="196" t="s">
        <v>268</v>
      </c>
      <c r="P17" s="196" t="s">
        <v>268</v>
      </c>
      <c r="Q17" s="36" t="s">
        <v>30</v>
      </c>
      <c r="R17" s="207" t="s">
        <v>210</v>
      </c>
      <c r="S17" s="208" t="s">
        <v>210</v>
      </c>
      <c r="T17" s="39"/>
      <c r="U17" s="39"/>
    </row>
    <row r="18" spans="2:21">
      <c r="B18" s="190" t="s">
        <v>297</v>
      </c>
      <c r="C18" s="165" t="s">
        <v>170</v>
      </c>
      <c r="D18" s="165" t="s">
        <v>170</v>
      </c>
      <c r="E18" s="165" t="s">
        <v>170</v>
      </c>
      <c r="F18" s="206" t="s">
        <v>237</v>
      </c>
      <c r="G18" s="165" t="s">
        <v>170</v>
      </c>
      <c r="H18" s="165" t="s">
        <v>170</v>
      </c>
      <c r="I18" s="165" t="s">
        <v>170</v>
      </c>
      <c r="J18" s="165" t="s">
        <v>170</v>
      </c>
      <c r="K18" s="196" t="s">
        <v>267</v>
      </c>
      <c r="L18" s="196" t="s">
        <v>270</v>
      </c>
      <c r="M18" s="196" t="s">
        <v>270</v>
      </c>
      <c r="N18" s="196" t="s">
        <v>271</v>
      </c>
      <c r="O18" s="196" t="s">
        <v>267</v>
      </c>
      <c r="P18" s="196" t="s">
        <v>267</v>
      </c>
      <c r="Q18" s="36" t="s">
        <v>30</v>
      </c>
      <c r="R18" s="207" t="s">
        <v>210</v>
      </c>
      <c r="S18" s="208" t="s">
        <v>210</v>
      </c>
      <c r="T18" s="38"/>
      <c r="U18" s="38"/>
    </row>
    <row r="19" spans="2:21">
      <c r="B19" s="23" t="s">
        <v>298</v>
      </c>
      <c r="C19" s="166" t="s">
        <v>170</v>
      </c>
      <c r="D19" s="166" t="s">
        <v>170</v>
      </c>
      <c r="E19" s="166" t="s">
        <v>170</v>
      </c>
      <c r="F19" s="209" t="s">
        <v>237</v>
      </c>
      <c r="G19" s="166" t="s">
        <v>170</v>
      </c>
      <c r="H19" s="166" t="s">
        <v>170</v>
      </c>
      <c r="I19" s="166" t="s">
        <v>170</v>
      </c>
      <c r="J19" s="166" t="s">
        <v>170</v>
      </c>
      <c r="K19" s="196" t="s">
        <v>267</v>
      </c>
      <c r="L19" s="196" t="s">
        <v>270</v>
      </c>
      <c r="M19" s="196" t="s">
        <v>270</v>
      </c>
      <c r="N19" s="196" t="s">
        <v>271</v>
      </c>
      <c r="O19" s="196" t="s">
        <v>267</v>
      </c>
      <c r="P19" s="196" t="s">
        <v>270</v>
      </c>
      <c r="Q19" s="36" t="s">
        <v>30</v>
      </c>
      <c r="R19" s="207" t="s">
        <v>210</v>
      </c>
      <c r="S19" s="208" t="s">
        <v>210</v>
      </c>
      <c r="T19" s="39"/>
      <c r="U19" s="39"/>
    </row>
    <row r="20" spans="2:21">
      <c r="B20" s="23" t="s">
        <v>299</v>
      </c>
      <c r="C20" s="166" t="s">
        <v>170</v>
      </c>
      <c r="D20" s="166" t="s">
        <v>170</v>
      </c>
      <c r="E20" s="166" t="s">
        <v>170</v>
      </c>
      <c r="F20" s="209" t="s">
        <v>217</v>
      </c>
      <c r="G20" s="166" t="s">
        <v>170</v>
      </c>
      <c r="H20" s="166" t="s">
        <v>170</v>
      </c>
      <c r="I20" s="166" t="s">
        <v>170</v>
      </c>
      <c r="J20" s="166" t="s">
        <v>170</v>
      </c>
      <c r="K20" s="196" t="s">
        <v>267</v>
      </c>
      <c r="L20" s="196" t="s">
        <v>270</v>
      </c>
      <c r="M20" s="196" t="s">
        <v>270</v>
      </c>
      <c r="N20" s="196" t="s">
        <v>271</v>
      </c>
      <c r="O20" s="196" t="s">
        <v>270</v>
      </c>
      <c r="P20" s="196" t="s">
        <v>267</v>
      </c>
      <c r="Q20" s="36" t="s">
        <v>30</v>
      </c>
      <c r="R20" s="207" t="s">
        <v>210</v>
      </c>
      <c r="S20" s="208" t="s">
        <v>210</v>
      </c>
      <c r="T20" s="39"/>
      <c r="U20" s="39"/>
    </row>
    <row r="21" spans="2:21">
      <c r="B21" s="23" t="s">
        <v>300</v>
      </c>
      <c r="C21" s="166" t="s">
        <v>170</v>
      </c>
      <c r="D21" s="166" t="s">
        <v>170</v>
      </c>
      <c r="E21" s="166" t="s">
        <v>170</v>
      </c>
      <c r="F21" s="209" t="s">
        <v>217</v>
      </c>
      <c r="G21" s="166" t="s">
        <v>170</v>
      </c>
      <c r="H21" s="166" t="s">
        <v>170</v>
      </c>
      <c r="I21" s="166" t="s">
        <v>170</v>
      </c>
      <c r="J21" s="166" t="s">
        <v>170</v>
      </c>
      <c r="K21" s="196" t="s">
        <v>267</v>
      </c>
      <c r="L21" s="196" t="s">
        <v>270</v>
      </c>
      <c r="M21" s="196" t="s">
        <v>270</v>
      </c>
      <c r="N21" s="196" t="s">
        <v>271</v>
      </c>
      <c r="O21" s="196" t="s">
        <v>270</v>
      </c>
      <c r="P21" s="196" t="s">
        <v>270</v>
      </c>
      <c r="Q21" s="191" t="s">
        <v>275</v>
      </c>
      <c r="R21" s="210" t="s">
        <v>238</v>
      </c>
      <c r="S21" s="211" t="s">
        <v>239</v>
      </c>
      <c r="T21" s="39"/>
      <c r="U21" s="39"/>
    </row>
    <row r="22" spans="2:21">
      <c r="B22" s="190" t="s">
        <v>301</v>
      </c>
      <c r="C22" s="165" t="s">
        <v>170</v>
      </c>
      <c r="D22" s="165" t="s">
        <v>170</v>
      </c>
      <c r="E22" s="165" t="s">
        <v>170</v>
      </c>
      <c r="F22" s="206" t="s">
        <v>237</v>
      </c>
      <c r="G22" s="165" t="s">
        <v>170</v>
      </c>
      <c r="H22" s="165" t="s">
        <v>170</v>
      </c>
      <c r="I22" s="165" t="s">
        <v>170</v>
      </c>
      <c r="J22" s="165" t="s">
        <v>170</v>
      </c>
      <c r="K22" s="196" t="s">
        <v>267</v>
      </c>
      <c r="L22" s="196" t="s">
        <v>270</v>
      </c>
      <c r="M22" s="196" t="s">
        <v>270</v>
      </c>
      <c r="N22" s="196" t="s">
        <v>272</v>
      </c>
      <c r="O22" s="196" t="s">
        <v>268</v>
      </c>
      <c r="P22" s="196" t="s">
        <v>268</v>
      </c>
      <c r="Q22" s="36" t="s">
        <v>30</v>
      </c>
      <c r="R22" s="207" t="s">
        <v>210</v>
      </c>
      <c r="S22" s="208" t="s">
        <v>210</v>
      </c>
      <c r="T22" s="38"/>
      <c r="U22" s="38"/>
    </row>
    <row r="23" spans="2:21">
      <c r="B23" s="23" t="s">
        <v>302</v>
      </c>
      <c r="C23" s="166" t="s">
        <v>170</v>
      </c>
      <c r="D23" s="166" t="s">
        <v>170</v>
      </c>
      <c r="E23" s="166" t="s">
        <v>170</v>
      </c>
      <c r="F23" s="209" t="s">
        <v>237</v>
      </c>
      <c r="G23" s="166" t="s">
        <v>170</v>
      </c>
      <c r="H23" s="166" t="s">
        <v>170</v>
      </c>
      <c r="I23" s="166" t="s">
        <v>170</v>
      </c>
      <c r="J23" s="166" t="s">
        <v>170</v>
      </c>
      <c r="K23" s="196" t="s">
        <v>267</v>
      </c>
      <c r="L23" s="196" t="s">
        <v>270</v>
      </c>
      <c r="M23" s="196" t="s">
        <v>270</v>
      </c>
      <c r="N23" s="196" t="s">
        <v>273</v>
      </c>
      <c r="O23" s="196" t="s">
        <v>268</v>
      </c>
      <c r="P23" s="196" t="s">
        <v>268</v>
      </c>
      <c r="Q23" s="36" t="s">
        <v>30</v>
      </c>
      <c r="R23" s="207" t="s">
        <v>210</v>
      </c>
      <c r="S23" s="208" t="s">
        <v>210</v>
      </c>
      <c r="T23" s="39"/>
      <c r="U23" s="39"/>
    </row>
    <row r="24" spans="2:21">
      <c r="B24" s="23" t="s">
        <v>302</v>
      </c>
      <c r="C24" s="166" t="s">
        <v>170</v>
      </c>
      <c r="D24" s="166" t="s">
        <v>170</v>
      </c>
      <c r="E24" s="166" t="s">
        <v>170</v>
      </c>
      <c r="F24" s="209" t="s">
        <v>217</v>
      </c>
      <c r="G24" s="166" t="s">
        <v>170</v>
      </c>
      <c r="H24" s="166" t="s">
        <v>170</v>
      </c>
      <c r="I24" s="166" t="s">
        <v>170</v>
      </c>
      <c r="J24" s="166" t="s">
        <v>170</v>
      </c>
      <c r="K24" s="196" t="s">
        <v>267</v>
      </c>
      <c r="L24" s="196" t="s">
        <v>270</v>
      </c>
      <c r="M24" s="196" t="s">
        <v>270</v>
      </c>
      <c r="N24" s="196" t="s">
        <v>274</v>
      </c>
      <c r="O24" s="196" t="s">
        <v>268</v>
      </c>
      <c r="P24" s="196" t="s">
        <v>268</v>
      </c>
      <c r="Q24" s="36" t="s">
        <v>30</v>
      </c>
      <c r="R24" s="207" t="s">
        <v>210</v>
      </c>
      <c r="S24" s="208" t="s">
        <v>210</v>
      </c>
      <c r="T24" s="39"/>
      <c r="U24" s="39"/>
    </row>
    <row r="25" spans="2:21">
      <c r="B25" s="190" t="s">
        <v>279</v>
      </c>
      <c r="C25" s="165" t="s">
        <v>170</v>
      </c>
      <c r="D25" s="165" t="s">
        <v>170</v>
      </c>
      <c r="E25" s="165" t="s">
        <v>170</v>
      </c>
      <c r="F25" s="206" t="s">
        <v>237</v>
      </c>
      <c r="G25" s="165" t="s">
        <v>170</v>
      </c>
      <c r="H25" s="165" t="s">
        <v>170</v>
      </c>
      <c r="I25" s="165" t="s">
        <v>170</v>
      </c>
      <c r="J25" s="165" t="s">
        <v>170</v>
      </c>
      <c r="K25" s="196" t="s">
        <v>270</v>
      </c>
      <c r="L25" s="196" t="s">
        <v>268</v>
      </c>
      <c r="M25" s="196" t="s">
        <v>268</v>
      </c>
      <c r="N25" s="196" t="s">
        <v>269</v>
      </c>
      <c r="O25" s="196" t="s">
        <v>268</v>
      </c>
      <c r="P25" s="196" t="s">
        <v>268</v>
      </c>
      <c r="Q25" s="36" t="s">
        <v>30</v>
      </c>
      <c r="R25" s="207" t="s">
        <v>210</v>
      </c>
      <c r="S25" s="208" t="s">
        <v>210</v>
      </c>
      <c r="T25" s="38"/>
      <c r="U25" s="38"/>
    </row>
    <row r="26" spans="2:21">
      <c r="B26" s="23" t="s">
        <v>280</v>
      </c>
      <c r="C26" s="166" t="s">
        <v>170</v>
      </c>
      <c r="D26" s="166" t="s">
        <v>170</v>
      </c>
      <c r="E26" s="166" t="s">
        <v>170</v>
      </c>
      <c r="F26" s="209" t="s">
        <v>237</v>
      </c>
      <c r="G26" s="166" t="s">
        <v>170</v>
      </c>
      <c r="H26" s="166" t="s">
        <v>170</v>
      </c>
      <c r="I26" s="166" t="s">
        <v>170</v>
      </c>
      <c r="J26" s="166" t="s">
        <v>170</v>
      </c>
      <c r="K26" s="196" t="s">
        <v>270</v>
      </c>
      <c r="L26" s="196" t="s">
        <v>268</v>
      </c>
      <c r="M26" s="196" t="s">
        <v>268</v>
      </c>
      <c r="N26" s="196" t="s">
        <v>271</v>
      </c>
      <c r="O26" s="196" t="s">
        <v>267</v>
      </c>
      <c r="P26" s="196" t="s">
        <v>267</v>
      </c>
      <c r="Q26" s="36" t="s">
        <v>30</v>
      </c>
      <c r="R26" s="207" t="s">
        <v>210</v>
      </c>
      <c r="S26" s="208" t="s">
        <v>210</v>
      </c>
      <c r="T26" s="39"/>
      <c r="U26" s="39"/>
    </row>
    <row r="27" spans="2:21">
      <c r="B27" s="190" t="s">
        <v>281</v>
      </c>
      <c r="C27" s="165" t="s">
        <v>170</v>
      </c>
      <c r="D27" s="165" t="s">
        <v>170</v>
      </c>
      <c r="E27" s="165" t="s">
        <v>170</v>
      </c>
      <c r="F27" s="206" t="s">
        <v>237</v>
      </c>
      <c r="G27" s="165" t="s">
        <v>170</v>
      </c>
      <c r="H27" s="165" t="s">
        <v>170</v>
      </c>
      <c r="I27" s="165" t="s">
        <v>170</v>
      </c>
      <c r="J27" s="165" t="s">
        <v>170</v>
      </c>
      <c r="K27" s="196" t="s">
        <v>270</v>
      </c>
      <c r="L27" s="196" t="s">
        <v>268</v>
      </c>
      <c r="M27" s="196" t="s">
        <v>268</v>
      </c>
      <c r="N27" s="196" t="s">
        <v>271</v>
      </c>
      <c r="O27" s="196" t="s">
        <v>267</v>
      </c>
      <c r="P27" s="196" t="s">
        <v>270</v>
      </c>
      <c r="Q27" s="36" t="s">
        <v>30</v>
      </c>
      <c r="R27" s="207" t="s">
        <v>210</v>
      </c>
      <c r="S27" s="208" t="s">
        <v>210</v>
      </c>
      <c r="T27" s="38"/>
      <c r="U27" s="38"/>
    </row>
    <row r="28" spans="2:21">
      <c r="B28" s="23" t="s">
        <v>282</v>
      </c>
      <c r="C28" s="166" t="s">
        <v>170</v>
      </c>
      <c r="D28" s="166" t="s">
        <v>170</v>
      </c>
      <c r="E28" s="166" t="s">
        <v>170</v>
      </c>
      <c r="F28" s="209" t="s">
        <v>237</v>
      </c>
      <c r="G28" s="166" t="s">
        <v>170</v>
      </c>
      <c r="H28" s="166" t="s">
        <v>170</v>
      </c>
      <c r="I28" s="166" t="s">
        <v>170</v>
      </c>
      <c r="J28" s="166" t="s">
        <v>170</v>
      </c>
      <c r="K28" s="196" t="s">
        <v>270</v>
      </c>
      <c r="L28" s="196" t="s">
        <v>268</v>
      </c>
      <c r="M28" s="196" t="s">
        <v>268</v>
      </c>
      <c r="N28" s="196" t="s">
        <v>271</v>
      </c>
      <c r="O28" s="196" t="s">
        <v>270</v>
      </c>
      <c r="P28" s="196" t="s">
        <v>267</v>
      </c>
      <c r="Q28" s="36" t="s">
        <v>30</v>
      </c>
      <c r="R28" s="207" t="s">
        <v>210</v>
      </c>
      <c r="S28" s="208" t="s">
        <v>210</v>
      </c>
      <c r="T28" s="39"/>
      <c r="U28" s="39"/>
    </row>
    <row r="29" spans="2:21">
      <c r="B29" s="190" t="s">
        <v>283</v>
      </c>
      <c r="C29" s="165" t="s">
        <v>170</v>
      </c>
      <c r="D29" s="165" t="s">
        <v>170</v>
      </c>
      <c r="E29" s="165" t="s">
        <v>170</v>
      </c>
      <c r="F29" s="206" t="s">
        <v>237</v>
      </c>
      <c r="G29" s="165" t="s">
        <v>170</v>
      </c>
      <c r="H29" s="165" t="s">
        <v>170</v>
      </c>
      <c r="I29" s="165" t="s">
        <v>170</v>
      </c>
      <c r="J29" s="165" t="s">
        <v>170</v>
      </c>
      <c r="K29" s="196" t="s">
        <v>270</v>
      </c>
      <c r="L29" s="196" t="s">
        <v>268</v>
      </c>
      <c r="M29" s="196" t="s">
        <v>268</v>
      </c>
      <c r="N29" s="196" t="s">
        <v>271</v>
      </c>
      <c r="O29" s="196" t="s">
        <v>270</v>
      </c>
      <c r="P29" s="196" t="s">
        <v>270</v>
      </c>
      <c r="Q29" s="36" t="s">
        <v>277</v>
      </c>
      <c r="R29" s="210" t="s">
        <v>238</v>
      </c>
      <c r="S29" s="211" t="s">
        <v>240</v>
      </c>
      <c r="T29" s="38"/>
      <c r="U29" s="38"/>
    </row>
    <row r="30" spans="2:21">
      <c r="B30" s="23" t="s">
        <v>284</v>
      </c>
      <c r="C30" s="166" t="s">
        <v>170</v>
      </c>
      <c r="D30" s="166" t="s">
        <v>170</v>
      </c>
      <c r="E30" s="166" t="s">
        <v>170</v>
      </c>
      <c r="F30" s="209" t="s">
        <v>237</v>
      </c>
      <c r="G30" s="166" t="s">
        <v>170</v>
      </c>
      <c r="H30" s="166" t="s">
        <v>170</v>
      </c>
      <c r="I30" s="166" t="s">
        <v>170</v>
      </c>
      <c r="J30" s="166" t="s">
        <v>170</v>
      </c>
      <c r="K30" s="196" t="s">
        <v>270</v>
      </c>
      <c r="L30" s="196" t="s">
        <v>268</v>
      </c>
      <c r="M30" s="196" t="s">
        <v>268</v>
      </c>
      <c r="N30" s="196" t="s">
        <v>272</v>
      </c>
      <c r="O30" s="196" t="s">
        <v>268</v>
      </c>
      <c r="P30" s="196" t="s">
        <v>268</v>
      </c>
      <c r="Q30" s="36" t="s">
        <v>30</v>
      </c>
      <c r="R30" s="207" t="s">
        <v>210</v>
      </c>
      <c r="S30" s="208" t="s">
        <v>210</v>
      </c>
      <c r="T30" s="39"/>
      <c r="U30" s="39"/>
    </row>
    <row r="31" spans="2:21">
      <c r="B31" s="190" t="s">
        <v>285</v>
      </c>
      <c r="C31" s="165" t="s">
        <v>170</v>
      </c>
      <c r="D31" s="165" t="s">
        <v>170</v>
      </c>
      <c r="E31" s="165" t="s">
        <v>170</v>
      </c>
      <c r="F31" s="206" t="s">
        <v>237</v>
      </c>
      <c r="G31" s="165" t="s">
        <v>170</v>
      </c>
      <c r="H31" s="165" t="s">
        <v>170</v>
      </c>
      <c r="I31" s="165" t="s">
        <v>170</v>
      </c>
      <c r="J31" s="165" t="s">
        <v>170</v>
      </c>
      <c r="K31" s="196" t="s">
        <v>270</v>
      </c>
      <c r="L31" s="196" t="s">
        <v>268</v>
      </c>
      <c r="M31" s="196" t="s">
        <v>268</v>
      </c>
      <c r="N31" s="196" t="s">
        <v>273</v>
      </c>
      <c r="O31" s="196" t="s">
        <v>268</v>
      </c>
      <c r="P31" s="196" t="s">
        <v>268</v>
      </c>
      <c r="Q31" s="36" t="s">
        <v>30</v>
      </c>
      <c r="R31" s="207" t="s">
        <v>210</v>
      </c>
      <c r="S31" s="208" t="s">
        <v>210</v>
      </c>
      <c r="T31" s="38"/>
      <c r="U31" s="38"/>
    </row>
    <row r="32" spans="2:21">
      <c r="B32" s="23" t="s">
        <v>285</v>
      </c>
      <c r="C32" s="166" t="s">
        <v>170</v>
      </c>
      <c r="D32" s="166" t="s">
        <v>170</v>
      </c>
      <c r="E32" s="166" t="s">
        <v>170</v>
      </c>
      <c r="F32" s="209" t="s">
        <v>237</v>
      </c>
      <c r="G32" s="166" t="s">
        <v>170</v>
      </c>
      <c r="H32" s="166" t="s">
        <v>170</v>
      </c>
      <c r="I32" s="166" t="s">
        <v>170</v>
      </c>
      <c r="J32" s="166" t="s">
        <v>170</v>
      </c>
      <c r="K32" s="196" t="s">
        <v>270</v>
      </c>
      <c r="L32" s="196" t="s">
        <v>268</v>
      </c>
      <c r="M32" s="196" t="s">
        <v>268</v>
      </c>
      <c r="N32" s="196" t="s">
        <v>274</v>
      </c>
      <c r="O32" s="196" t="s">
        <v>268</v>
      </c>
      <c r="P32" s="196" t="s">
        <v>268</v>
      </c>
      <c r="Q32" s="36" t="s">
        <v>30</v>
      </c>
      <c r="R32" s="207" t="s">
        <v>210</v>
      </c>
      <c r="S32" s="208" t="s">
        <v>210</v>
      </c>
      <c r="T32" s="39"/>
      <c r="U32" s="39"/>
    </row>
    <row r="33" spans="2:21" ht="14.25" thickBot="1">
      <c r="B33" s="24" t="s">
        <v>286</v>
      </c>
      <c r="C33" s="167" t="s">
        <v>170</v>
      </c>
      <c r="D33" s="167" t="s">
        <v>170</v>
      </c>
      <c r="E33" s="167" t="s">
        <v>170</v>
      </c>
      <c r="F33" s="212" t="s">
        <v>211</v>
      </c>
      <c r="G33" s="167" t="s">
        <v>170</v>
      </c>
      <c r="H33" s="167" t="s">
        <v>170</v>
      </c>
      <c r="I33" s="167" t="s">
        <v>170</v>
      </c>
      <c r="J33" s="167" t="s">
        <v>170</v>
      </c>
      <c r="K33" s="37" t="s">
        <v>216</v>
      </c>
      <c r="L33" s="37" t="s">
        <v>216</v>
      </c>
      <c r="M33" s="37" t="s">
        <v>216</v>
      </c>
      <c r="N33" s="37" t="s">
        <v>257</v>
      </c>
      <c r="O33" s="37" t="s">
        <v>216</v>
      </c>
      <c r="P33" s="37" t="s">
        <v>216</v>
      </c>
      <c r="Q33" s="223" t="s">
        <v>108</v>
      </c>
      <c r="R33" s="213" t="s">
        <v>210</v>
      </c>
      <c r="S33" s="214" t="s">
        <v>210</v>
      </c>
      <c r="T33" s="40"/>
      <c r="U33" s="40"/>
    </row>
  </sheetData>
  <mergeCells count="3">
    <mergeCell ref="C3:J3"/>
    <mergeCell ref="C5:J5"/>
    <mergeCell ref="C7:J7"/>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0" t="s">
        <v>85</v>
      </c>
      <c r="C2" s="81">
        <f>MAX(B4:B28)</f>
        <v>20</v>
      </c>
      <c r="D2" s="81"/>
    </row>
    <row r="3" spans="2:4" ht="14.25" thickBot="1">
      <c r="B3" s="74" t="s">
        <v>83</v>
      </c>
      <c r="C3" s="82" t="s">
        <v>88</v>
      </c>
      <c r="D3" s="75" t="s">
        <v>84</v>
      </c>
    </row>
    <row r="4" spans="2:4" ht="14.25" thickTop="1">
      <c r="B4" s="13">
        <v>0</v>
      </c>
      <c r="C4" s="83" t="s">
        <v>89</v>
      </c>
      <c r="D4" s="15" t="s">
        <v>19</v>
      </c>
    </row>
    <row r="5" spans="2:4" ht="40.5">
      <c r="B5" s="2">
        <v>1</v>
      </c>
      <c r="C5" s="84" t="s">
        <v>89</v>
      </c>
      <c r="D5" s="86" t="s">
        <v>90</v>
      </c>
    </row>
    <row r="6" spans="2:4" ht="27">
      <c r="B6" s="2">
        <v>2</v>
      </c>
      <c r="C6" s="84" t="s">
        <v>92</v>
      </c>
      <c r="D6" s="86" t="s">
        <v>93</v>
      </c>
    </row>
    <row r="7" spans="2:4" ht="54">
      <c r="B7" s="2">
        <v>3</v>
      </c>
      <c r="C7" s="84" t="s">
        <v>94</v>
      </c>
      <c r="D7" s="86" t="s">
        <v>97</v>
      </c>
    </row>
    <row r="8" spans="2:4" ht="81">
      <c r="B8" s="2">
        <v>4</v>
      </c>
      <c r="C8" s="84" t="s">
        <v>105</v>
      </c>
      <c r="D8" s="86" t="s">
        <v>113</v>
      </c>
    </row>
    <row r="9" spans="2:4" ht="41.25" customHeight="1">
      <c r="B9" s="2">
        <v>5</v>
      </c>
      <c r="C9" s="84" t="s">
        <v>106</v>
      </c>
      <c r="D9" s="86" t="s">
        <v>107</v>
      </c>
    </row>
    <row r="10" spans="2:4" ht="27">
      <c r="B10" s="2">
        <v>6</v>
      </c>
      <c r="C10" s="84" t="s">
        <v>89</v>
      </c>
      <c r="D10" s="86" t="s">
        <v>112</v>
      </c>
    </row>
    <row r="11" spans="2:4" ht="27">
      <c r="B11" s="2">
        <v>7</v>
      </c>
      <c r="C11" s="84" t="s">
        <v>109</v>
      </c>
      <c r="D11" s="86" t="s">
        <v>110</v>
      </c>
    </row>
    <row r="12" spans="2:4" ht="27">
      <c r="B12" s="2">
        <v>8</v>
      </c>
      <c r="C12" s="84" t="s">
        <v>111</v>
      </c>
      <c r="D12" s="86" t="s">
        <v>114</v>
      </c>
    </row>
    <row r="13" spans="2:4" ht="27">
      <c r="B13" s="2">
        <v>9</v>
      </c>
      <c r="C13" s="84" t="s">
        <v>115</v>
      </c>
      <c r="D13" s="86" t="s">
        <v>116</v>
      </c>
    </row>
    <row r="14" spans="2:4" ht="27">
      <c r="B14" s="2">
        <v>10</v>
      </c>
      <c r="C14" s="84" t="s">
        <v>117</v>
      </c>
      <c r="D14" s="86" t="s">
        <v>118</v>
      </c>
    </row>
    <row r="15" spans="2:4" ht="135">
      <c r="B15" s="2">
        <v>11</v>
      </c>
      <c r="C15" s="84" t="s">
        <v>120</v>
      </c>
      <c r="D15" s="86" t="s">
        <v>132</v>
      </c>
    </row>
    <row r="16" spans="2:4" ht="191.25" customHeight="1">
      <c r="B16" s="2">
        <v>12</v>
      </c>
      <c r="C16" s="84" t="s">
        <v>160</v>
      </c>
      <c r="D16" s="86" t="s">
        <v>175</v>
      </c>
    </row>
    <row r="17" spans="2:4" ht="27">
      <c r="B17" s="2">
        <v>13</v>
      </c>
      <c r="C17" s="84" t="s">
        <v>92</v>
      </c>
      <c r="D17" s="86" t="s">
        <v>178</v>
      </c>
    </row>
    <row r="18" spans="2:4" ht="67.5">
      <c r="B18" s="2">
        <v>14</v>
      </c>
      <c r="C18" s="84" t="s">
        <v>92</v>
      </c>
      <c r="D18" s="86" t="s">
        <v>180</v>
      </c>
    </row>
    <row r="19" spans="2:4" ht="40.5">
      <c r="B19" s="2">
        <v>15</v>
      </c>
      <c r="C19" s="84" t="s">
        <v>106</v>
      </c>
      <c r="D19" s="86" t="s">
        <v>184</v>
      </c>
    </row>
    <row r="20" spans="2:4" ht="64.5" customHeight="1">
      <c r="B20" s="2">
        <v>16</v>
      </c>
      <c r="C20" s="84" t="s">
        <v>106</v>
      </c>
      <c r="D20" s="86" t="s">
        <v>188</v>
      </c>
    </row>
    <row r="21" spans="2:4" ht="66.75" customHeight="1">
      <c r="B21" s="2">
        <v>17</v>
      </c>
      <c r="C21" s="84" t="s">
        <v>197</v>
      </c>
      <c r="D21" s="86" t="s">
        <v>204</v>
      </c>
    </row>
    <row r="22" spans="2:4" ht="27">
      <c r="B22" s="2">
        <v>18</v>
      </c>
      <c r="C22" s="84" t="s">
        <v>206</v>
      </c>
      <c r="D22" s="86" t="s">
        <v>207</v>
      </c>
    </row>
    <row r="23" spans="2:4" ht="27">
      <c r="B23" s="2">
        <v>19</v>
      </c>
      <c r="C23" s="84" t="s">
        <v>208</v>
      </c>
      <c r="D23" s="86" t="s">
        <v>209</v>
      </c>
    </row>
    <row r="24" spans="2:4" ht="94.5">
      <c r="B24" s="2">
        <v>20</v>
      </c>
      <c r="C24" s="84" t="s">
        <v>241</v>
      </c>
      <c r="D24" s="86" t="s">
        <v>242</v>
      </c>
    </row>
    <row r="25" spans="2:4">
      <c r="B25" s="2"/>
      <c r="C25" s="84"/>
      <c r="D25" s="72"/>
    </row>
    <row r="26" spans="2:4">
      <c r="B26" s="2"/>
      <c r="C26" s="84"/>
      <c r="D26" s="72"/>
    </row>
    <row r="27" spans="2:4" ht="14.25" thickBot="1">
      <c r="B27" s="4"/>
      <c r="C27" s="85"/>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C_BRK_0</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2023-12-08T09:05:31Z</dcterms:modified>
</cp:coreProperties>
</file>