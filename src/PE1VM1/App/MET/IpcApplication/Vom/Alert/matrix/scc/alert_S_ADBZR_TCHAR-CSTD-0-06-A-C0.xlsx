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13_ncr:1_{22E468DA-F139-433F-821C-D4567D1BB9A9}" xr6:coauthVersionLast="47" xr6:coauthVersionMax="47" xr10:uidLastSave="{00000000-0000-0000-0000-000000000000}"/>
  <bookViews>
    <workbookView xWindow="-57720" yWindow="-2250" windowWidth="29040" windowHeight="15720" tabRatio="594"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S_ADBZR_TCHAR" sheetId="15"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6" l="1"/>
  <c r="C2" i="7" l="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Q167" i="15"/>
  <c r="AJ167" i="15"/>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Q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Q165" i="15" s="1"/>
  <c r="AI165" i="15"/>
  <c r="AH165" i="15"/>
  <c r="AG165" i="15"/>
  <c r="AF165" i="15"/>
  <c r="AE165" i="15"/>
  <c r="AD165" i="15"/>
  <c r="AC165" i="15"/>
  <c r="AB165" i="15"/>
  <c r="AL165" i="15" s="1"/>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Q164" i="15"/>
  <c r="AM164" i="15"/>
  <c r="AJ164" i="15"/>
  <c r="AI164" i="15"/>
  <c r="AH164" i="15"/>
  <c r="AG164" i="15"/>
  <c r="AF164" i="15"/>
  <c r="AE164" i="15"/>
  <c r="AD164" i="15"/>
  <c r="AC164" i="15"/>
  <c r="AL164" i="15" s="1"/>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Q163" i="15"/>
  <c r="AJ163" i="15"/>
  <c r="AI163" i="15"/>
  <c r="AH163" i="15"/>
  <c r="AG163" i="15"/>
  <c r="AF163" i="15"/>
  <c r="AE163" i="15"/>
  <c r="AD163" i="15"/>
  <c r="AC163" i="15"/>
  <c r="AL163" i="15" s="1"/>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Q162" i="15"/>
  <c r="AJ162" i="15"/>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Q160" i="15" s="1"/>
  <c r="AI160" i="15"/>
  <c r="AH160" i="15"/>
  <c r="AG160" i="15"/>
  <c r="AF160" i="15"/>
  <c r="AE160" i="15"/>
  <c r="AD160" i="15"/>
  <c r="AC160" i="15"/>
  <c r="AL160" i="15" s="1"/>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Q159" i="15" s="1"/>
  <c r="AI159" i="15"/>
  <c r="AH159" i="15"/>
  <c r="AG159" i="15"/>
  <c r="AF159" i="15"/>
  <c r="AE159" i="15"/>
  <c r="AD159" i="15"/>
  <c r="AC159" i="15"/>
  <c r="AB159" i="15"/>
  <c r="AL159" i="15" s="1"/>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Q158"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Q155"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Q154" i="15"/>
  <c r="AJ154" i="15"/>
  <c r="AI154" i="15"/>
  <c r="AH154" i="15"/>
  <c r="AG154" i="15"/>
  <c r="AF154" i="15"/>
  <c r="AE154" i="15"/>
  <c r="AD154" i="15"/>
  <c r="AC154" i="15"/>
  <c r="AL154" i="15" s="1"/>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Q153" i="15" s="1"/>
  <c r="AI153" i="15"/>
  <c r="AH153" i="15"/>
  <c r="AG153" i="15"/>
  <c r="AF153" i="15"/>
  <c r="AE153" i="15"/>
  <c r="AD153" i="15"/>
  <c r="AC153" i="15"/>
  <c r="AB153" i="15"/>
  <c r="AL153" i="15" s="1"/>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Q152" i="15" s="1"/>
  <c r="AI152" i="15"/>
  <c r="AH152" i="15"/>
  <c r="AG152" i="15"/>
  <c r="AF152" i="15"/>
  <c r="AE152" i="15"/>
  <c r="AD152" i="15"/>
  <c r="AC152" i="15"/>
  <c r="AB152" i="15"/>
  <c r="AL152" i="15" s="1"/>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L151" i="15" s="1"/>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L145" i="15" s="1"/>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Q101" i="15"/>
  <c r="AR36" i="15" s="1"/>
  <c r="AO101"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Q99" i="15"/>
  <c r="AR34" i="15" s="1"/>
  <c r="AJ99" i="15"/>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Q98" i="15"/>
  <c r="AO98" i="15"/>
  <c r="AJ98" i="15"/>
  <c r="AI98" i="15"/>
  <c r="AH98" i="15"/>
  <c r="AG98" i="15"/>
  <c r="AF98" i="15"/>
  <c r="AE98" i="15"/>
  <c r="AD98" i="15"/>
  <c r="AC98" i="15"/>
  <c r="AL98" i="15" s="1"/>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L97" i="15" s="1"/>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Q96" i="15" s="1"/>
  <c r="AR32" i="15" s="1"/>
  <c r="AI96" i="15"/>
  <c r="AH96" i="15"/>
  <c r="AG96" i="15"/>
  <c r="AF96" i="15"/>
  <c r="AE96" i="15"/>
  <c r="AD96" i="15"/>
  <c r="AC96" i="15"/>
  <c r="AB96" i="15"/>
  <c r="AL96" i="15" s="1"/>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Q95" i="15" s="1"/>
  <c r="AR30" i="15" s="1"/>
  <c r="AI95" i="15"/>
  <c r="AH95" i="15"/>
  <c r="AG95" i="15"/>
  <c r="AF95" i="15"/>
  <c r="AE95" i="15"/>
  <c r="AD95" i="15"/>
  <c r="AC95" i="15"/>
  <c r="AL95" i="15" s="1"/>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Q94"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Q93"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Q92" i="15"/>
  <c r="AO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Q91"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Q90" i="15"/>
  <c r="AO90" i="15"/>
  <c r="AJ90" i="15"/>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Q89" i="15" s="1"/>
  <c r="AI89" i="15"/>
  <c r="AH89" i="15"/>
  <c r="AG89" i="15"/>
  <c r="AF89" i="15"/>
  <c r="AE89" i="15"/>
  <c r="AD89" i="15"/>
  <c r="AC89" i="15"/>
  <c r="AB89" i="15"/>
  <c r="AL89" i="15" s="1"/>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R24" i="15" s="1"/>
  <c r="AI88" i="15"/>
  <c r="AH88" i="15"/>
  <c r="AG88" i="15"/>
  <c r="AF88" i="15"/>
  <c r="AE88" i="15"/>
  <c r="AD88" i="15"/>
  <c r="AC88" i="15"/>
  <c r="AB88" i="15"/>
  <c r="AL88" i="15" s="1"/>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Q87" i="15" s="1"/>
  <c r="AI87" i="15"/>
  <c r="AH87" i="15"/>
  <c r="AG87" i="15"/>
  <c r="AF87" i="15"/>
  <c r="AE87" i="15"/>
  <c r="AD87" i="15"/>
  <c r="AC87" i="15"/>
  <c r="AL87" i="15" s="1"/>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L71" i="15" s="1"/>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AS38" i="15"/>
  <c r="C38" i="15"/>
  <c r="C168" i="15" s="1"/>
  <c r="AT37" i="15"/>
  <c r="AS37" i="15"/>
  <c r="C37" i="15"/>
  <c r="C102" i="15" s="1"/>
  <c r="AT36" i="15"/>
  <c r="AS36" i="15"/>
  <c r="C36" i="15"/>
  <c r="C166" i="15" s="1"/>
  <c r="AT35" i="15"/>
  <c r="AS35" i="15"/>
  <c r="C35" i="15"/>
  <c r="AT34" i="15"/>
  <c r="AS34" i="15"/>
  <c r="C34" i="15"/>
  <c r="AT33" i="15"/>
  <c r="AS33" i="15"/>
  <c r="AR33" i="15"/>
  <c r="C33" i="15"/>
  <c r="AT32" i="15"/>
  <c r="AS32" i="15"/>
  <c r="C32" i="15"/>
  <c r="C97" i="15" s="1"/>
  <c r="AT31" i="15"/>
  <c r="AS31" i="15"/>
  <c r="C31" i="15"/>
  <c r="C161" i="15" s="1"/>
  <c r="AT30" i="15"/>
  <c r="AS30" i="15"/>
  <c r="C30" i="15"/>
  <c r="C160" i="15" s="1"/>
  <c r="AT29" i="15"/>
  <c r="AS29" i="15"/>
  <c r="AR29" i="15"/>
  <c r="C29" i="15"/>
  <c r="AT28" i="15"/>
  <c r="AS28" i="15"/>
  <c r="AR28" i="15"/>
  <c r="C28" i="15"/>
  <c r="C158" i="15" s="1"/>
  <c r="AT27" i="15"/>
  <c r="AS27" i="15"/>
  <c r="AR27" i="15"/>
  <c r="C27" i="15"/>
  <c r="AT26" i="15"/>
  <c r="AS26" i="15"/>
  <c r="AR26" i="15"/>
  <c r="C26" i="15"/>
  <c r="AT25" i="15"/>
  <c r="AS25" i="15"/>
  <c r="AR25" i="15"/>
  <c r="C25" i="15"/>
  <c r="AT24" i="15"/>
  <c r="AS24" i="15"/>
  <c r="C24" i="15"/>
  <c r="AT23" i="15"/>
  <c r="AS23" i="15"/>
  <c r="C23" i="15"/>
  <c r="C153" i="15" s="1"/>
  <c r="AT22" i="15"/>
  <c r="C22" i="15"/>
  <c r="C152" i="15" s="1"/>
  <c r="C21" i="15"/>
  <c r="C20" i="15"/>
  <c r="C150" i="15" s="1"/>
  <c r="C19" i="15"/>
  <c r="C18" i="15"/>
  <c r="C17" i="15"/>
  <c r="C147" i="15" s="1"/>
  <c r="C16" i="15"/>
  <c r="C15" i="15"/>
  <c r="C145" i="15" s="1"/>
  <c r="C14" i="15"/>
  <c r="C144" i="15" s="1"/>
  <c r="AW13" i="15"/>
  <c r="AL13" i="15"/>
  <c r="AT13" i="15" s="1"/>
  <c r="C13" i="15"/>
  <c r="AL12" i="15"/>
  <c r="AT12" i="15" s="1"/>
  <c r="C12" i="15"/>
  <c r="C142" i="15" s="1"/>
  <c r="AL11" i="15"/>
  <c r="AT11" i="15" s="1"/>
  <c r="C11" i="15"/>
  <c r="AL10" i="15"/>
  <c r="C10" i="15"/>
  <c r="C9" i="15"/>
  <c r="C8" i="15"/>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G13" i="4"/>
  <c r="D7" i="4"/>
  <c r="B13" i="1"/>
  <c r="B12" i="1"/>
  <c r="B11" i="1"/>
  <c r="B10" i="1"/>
  <c r="B9" i="1"/>
  <c r="D3" i="1"/>
  <c r="D5" i="4" s="1"/>
  <c r="AL72" i="15" l="1"/>
  <c r="AL73" i="15"/>
  <c r="AL142" i="15"/>
  <c r="AL143" i="15"/>
  <c r="AL74" i="15"/>
  <c r="AL81" i="15"/>
  <c r="AL149" i="15"/>
  <c r="AL82" i="15"/>
  <c r="AL138" i="15"/>
  <c r="AL144" i="15"/>
  <c r="AL78" i="15"/>
  <c r="AL141" i="15"/>
  <c r="AQ141" i="15" s="1"/>
  <c r="AS11" i="15" s="1"/>
  <c r="AL136" i="15"/>
  <c r="AL146" i="15"/>
  <c r="AL79" i="15"/>
  <c r="AL137" i="15"/>
  <c r="AU11" i="15"/>
  <c r="AU10"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R23" i="15"/>
  <c r="AR31" i="15"/>
  <c r="AR35" i="15"/>
  <c r="AL76" i="15"/>
  <c r="C79" i="15"/>
  <c r="AO86" i="15"/>
  <c r="AN86" i="15"/>
  <c r="AM86" i="15"/>
  <c r="AL86" i="15"/>
  <c r="AL91" i="15"/>
  <c r="C93" i="15"/>
  <c r="AN98" i="15"/>
  <c r="AO102" i="15"/>
  <c r="AN102" i="15"/>
  <c r="AM102" i="15"/>
  <c r="AL102" i="15"/>
  <c r="AN113" i="15"/>
  <c r="AM113" i="15"/>
  <c r="C114" i="15"/>
  <c r="AL117" i="15"/>
  <c r="C83" i="15"/>
  <c r="C148" i="15"/>
  <c r="C195" i="15"/>
  <c r="C130" i="15"/>
  <c r="C197" i="15"/>
  <c r="C132" i="15"/>
  <c r="C72" i="15"/>
  <c r="AM76" i="15"/>
  <c r="AQ76" i="15" s="1"/>
  <c r="AR11" i="15" s="1"/>
  <c r="AO79" i="15"/>
  <c r="AN79" i="15"/>
  <c r="AQ79"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R7" i="15" s="1"/>
  <c r="AQ74" i="15"/>
  <c r="AR9" i="15" s="1"/>
  <c r="AM84" i="15"/>
  <c r="AQ84" i="15" s="1"/>
  <c r="AL84" i="15"/>
  <c r="C163" i="15"/>
  <c r="C98" i="15"/>
  <c r="C75" i="15"/>
  <c r="C140" i="15"/>
  <c r="C154" i="15"/>
  <c r="C89" i="15"/>
  <c r="C91" i="15"/>
  <c r="C156" i="15"/>
  <c r="C164" i="15"/>
  <c r="C99" i="15"/>
  <c r="C175" i="15"/>
  <c r="C110" i="15"/>
  <c r="C189" i="15"/>
  <c r="C124" i="15"/>
  <c r="AN77" i="15"/>
  <c r="AM77" i="15"/>
  <c r="AL77" i="15"/>
  <c r="C80" i="15"/>
  <c r="AO87" i="15"/>
  <c r="AN87" i="15"/>
  <c r="AM87" i="15"/>
  <c r="AO103" i="15"/>
  <c r="AN103" i="15"/>
  <c r="AM103" i="15"/>
  <c r="AO114" i="15"/>
  <c r="AN114" i="15"/>
  <c r="AO119" i="15"/>
  <c r="AN119" i="15"/>
  <c r="AM119" i="15"/>
  <c r="AL119" i="15"/>
  <c r="AQ146" i="15"/>
  <c r="C169" i="15"/>
  <c r="C104" i="15"/>
  <c r="C183" i="15"/>
  <c r="C118" i="15"/>
  <c r="C112" i="15"/>
  <c r="C177" i="15"/>
  <c r="C191" i="15"/>
  <c r="C126" i="15"/>
  <c r="C138" i="15"/>
  <c r="AQ138" i="15" s="1"/>
  <c r="AS8" i="15" s="1"/>
  <c r="C73" i="15"/>
  <c r="AT10" i="15"/>
  <c r="C185" i="15"/>
  <c r="C120" i="15"/>
  <c r="C187" i="15"/>
  <c r="C122" i="15"/>
  <c r="AR59" i="15"/>
  <c r="AO73" i="15"/>
  <c r="AQ73" i="15" s="1"/>
  <c r="AR8" i="15" s="1"/>
  <c r="AM73" i="15"/>
  <c r="AL75" i="15"/>
  <c r="AO80" i="15"/>
  <c r="AN80" i="15"/>
  <c r="AL80" i="15"/>
  <c r="AQ80" i="15" s="1"/>
  <c r="AR15" i="15" s="1"/>
  <c r="C85" i="15"/>
  <c r="AN90" i="15"/>
  <c r="AO94" i="15"/>
  <c r="AN94" i="15"/>
  <c r="AM94" i="15"/>
  <c r="AL94" i="15"/>
  <c r="AO97" i="15"/>
  <c r="AM97" i="15"/>
  <c r="AL99" i="15"/>
  <c r="C101" i="15"/>
  <c r="AM106" i="15"/>
  <c r="AL106" i="15"/>
  <c r="AO112" i="15"/>
  <c r="AM120" i="15"/>
  <c r="AL120" i="15"/>
  <c r="AN127" i="15"/>
  <c r="AL161" i="15"/>
  <c r="C162" i="15"/>
  <c r="AQ81" i="15"/>
  <c r="AR16" i="15" s="1"/>
  <c r="C149" i="15"/>
  <c r="AQ149" i="15" s="1"/>
  <c r="C84" i="15"/>
  <c r="C171" i="15"/>
  <c r="C106" i="15"/>
  <c r="AO75" i="15"/>
  <c r="AL83" i="15"/>
  <c r="AQ83" i="15" s="1"/>
  <c r="AR18" i="15" s="1"/>
  <c r="AN85" i="15"/>
  <c r="AM85" i="15"/>
  <c r="AL85" i="15"/>
  <c r="C88" i="15"/>
  <c r="AM92" i="15"/>
  <c r="AL92" i="15"/>
  <c r="AN101" i="15"/>
  <c r="AM101" i="15"/>
  <c r="AL101" i="15"/>
  <c r="AO104" i="15"/>
  <c r="AN104" i="15"/>
  <c r="AM104" i="15"/>
  <c r="AO116" i="15"/>
  <c r="AL116" i="15"/>
  <c r="AO140" i="15"/>
  <c r="AQ140" i="15" s="1"/>
  <c r="AS10" i="15" s="1"/>
  <c r="AN140" i="15"/>
  <c r="AN108" i="15"/>
  <c r="AM108" i="15"/>
  <c r="C123" i="15"/>
  <c r="C125" i="15"/>
  <c r="AO127" i="15"/>
  <c r="AM127" i="15"/>
  <c r="AO129" i="15"/>
  <c r="AM162" i="15"/>
  <c r="AL162" i="15"/>
  <c r="AO171" i="15"/>
  <c r="AN171" i="15"/>
  <c r="AM171" i="15"/>
  <c r="AL171" i="15"/>
  <c r="AN173" i="15"/>
  <c r="AN179" i="15"/>
  <c r="AM190" i="15"/>
  <c r="C107" i="15"/>
  <c r="AL114" i="15"/>
  <c r="AM123" i="15"/>
  <c r="AL123" i="15"/>
  <c r="AO125" i="15"/>
  <c r="AN125" i="15"/>
  <c r="C131" i="15"/>
  <c r="C133" i="15"/>
  <c r="AQ136" i="15"/>
  <c r="AS6" i="15" s="1"/>
  <c r="AQ144" i="15"/>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C109" i="15"/>
  <c r="AO118" i="15"/>
  <c r="AN118" i="15"/>
  <c r="AL118" i="15"/>
  <c r="AL122" i="15"/>
  <c r="AN137" i="15"/>
  <c r="AQ137" i="15" s="1"/>
  <c r="AS7" i="15" s="1"/>
  <c r="AN145" i="15"/>
  <c r="AQ14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L139" i="15"/>
  <c r="AQ139" i="15" s="1"/>
  <c r="AS9" i="15" s="1"/>
  <c r="AQ143" i="15"/>
  <c r="AS13" i="15" s="1"/>
  <c r="AL147" i="15"/>
  <c r="AQ147" i="15" s="1"/>
  <c r="AS17" i="15" s="1"/>
  <c r="AQ151" i="15"/>
  <c r="AL155" i="15"/>
  <c r="AN167" i="15"/>
  <c r="AL167" i="15"/>
  <c r="AN177" i="15"/>
  <c r="AM177" i="15"/>
  <c r="AO179" i="15"/>
  <c r="AM182" i="15"/>
  <c r="AO196" i="15"/>
  <c r="AM196" i="15"/>
  <c r="AM166" i="15"/>
  <c r="AL189" i="15"/>
  <c r="AO192" i="15"/>
  <c r="AM192" i="15"/>
  <c r="AL192" i="15"/>
  <c r="AN197" i="15"/>
  <c r="AL197" i="15"/>
  <c r="AL181" i="15"/>
  <c r="AO184" i="15"/>
  <c r="AM184" i="15"/>
  <c r="AL184" i="15"/>
  <c r="AO186" i="15"/>
  <c r="AN186" i="15"/>
  <c r="AN199" i="15"/>
  <c r="AL173" i="15"/>
  <c r="AO176" i="15"/>
  <c r="AM176" i="15"/>
  <c r="AL176" i="15"/>
  <c r="AO178" i="15"/>
  <c r="AN178" i="15"/>
  <c r="AO195" i="15"/>
  <c r="AN195" i="15"/>
  <c r="AL195" i="15"/>
  <c r="AO160" i="15"/>
  <c r="AN183" i="15"/>
  <c r="AL183" i="15"/>
  <c r="AN193" i="15"/>
  <c r="AM193" i="15"/>
  <c r="AL193" i="15"/>
  <c r="D4" i="4"/>
  <c r="D6" i="4" s="1"/>
  <c r="B6" i="15"/>
  <c r="AQ85" i="15" l="1"/>
  <c r="AR20" i="15" s="1"/>
  <c r="AQ77" i="15"/>
  <c r="AR12" i="15" s="1"/>
  <c r="AQ86" i="15"/>
  <c r="AR22" i="15" s="1"/>
  <c r="AQ82" i="15"/>
  <c r="AS14" i="15"/>
  <c r="AS16" i="15"/>
  <c r="AR19" i="15"/>
  <c r="AQ78" i="15"/>
  <c r="AR13" i="15" s="1"/>
  <c r="AQ75" i="15"/>
  <c r="AR10" i="15" s="1"/>
  <c r="AR17" i="15"/>
  <c r="AS15" i="15"/>
  <c r="AR21" i="15"/>
  <c r="AS22" i="15"/>
  <c r="AS21" i="15"/>
  <c r="AQ148" i="15"/>
  <c r="AS18" i="15" s="1"/>
  <c r="AQ142" i="15"/>
  <c r="AS12" i="15" s="1"/>
  <c r="B136" i="15"/>
  <c r="B71" i="15"/>
  <c r="I13" i="4"/>
  <c r="L14" i="4"/>
  <c r="AW17" i="15"/>
  <c r="AL8" i="15" s="1"/>
  <c r="AT8" i="15" s="1"/>
  <c r="H13" i="4"/>
  <c r="H14" i="4"/>
  <c r="F13" i="4"/>
  <c r="F14" i="4"/>
  <c r="D8" i="4"/>
  <c r="I14" i="4"/>
  <c r="AL20" i="15" l="1"/>
  <c r="AT20" i="15" s="1"/>
  <c r="AL19" i="15"/>
  <c r="AT19" i="15" s="1"/>
  <c r="AL18" i="15"/>
  <c r="AT18" i="15" s="1"/>
  <c r="AL15" i="15"/>
  <c r="AT15" i="15" s="1"/>
  <c r="AL21" i="15"/>
  <c r="AT21" i="15" s="1"/>
  <c r="AL7" i="15"/>
  <c r="AT7" i="15" s="1"/>
  <c r="AL14" i="15"/>
  <c r="AT14" i="15" s="1"/>
  <c r="AL16" i="15"/>
  <c r="AT16" i="15" s="1"/>
  <c r="AL17" i="15"/>
  <c r="AT17" i="15" s="1"/>
  <c r="AR14" i="15"/>
  <c r="AS19" i="15"/>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L29" i="15"/>
  <c r="AL57" i="15"/>
  <c r="AL33" i="15"/>
  <c r="AW14" i="15"/>
  <c r="AU7" i="15" s="1"/>
  <c r="AW8" i="15"/>
  <c r="AL64" i="15"/>
  <c r="AL56" i="15"/>
  <c r="AL48" i="15"/>
  <c r="AL40" i="15"/>
  <c r="AL32" i="15"/>
  <c r="AL24" i="15"/>
  <c r="AL49" i="15"/>
  <c r="AL41" i="15"/>
  <c r="AL67" i="15"/>
  <c r="AL59" i="15"/>
  <c r="AL51" i="15"/>
  <c r="AL43" i="15"/>
  <c r="AL35" i="15"/>
  <c r="AL27" i="15"/>
  <c r="AL9" i="15"/>
  <c r="AT9" i="15" s="1"/>
  <c r="AL62" i="15"/>
  <c r="AL54" i="15"/>
  <c r="AL46" i="15"/>
  <c r="AL38" i="15"/>
  <c r="AL30" i="15"/>
  <c r="AL22" i="15"/>
  <c r="AL65" i="15"/>
  <c r="AL25" i="15"/>
  <c r="AL68" i="15"/>
  <c r="AL60" i="15"/>
  <c r="AL52" i="15"/>
  <c r="AL44" i="15"/>
  <c r="AL36" i="15"/>
  <c r="AL28" i="15"/>
  <c r="AL63" i="15"/>
  <c r="AL55" i="15"/>
  <c r="AL47" i="15"/>
  <c r="AL39" i="15"/>
  <c r="AL31" i="15"/>
  <c r="AL23" i="15"/>
  <c r="AL6" i="15"/>
  <c r="AT6" i="15" s="1"/>
  <c r="AL66" i="15"/>
  <c r="AL58" i="15"/>
  <c r="AL50" i="15"/>
  <c r="AL42" i="15"/>
  <c r="AL34" i="15"/>
  <c r="AL26" i="15"/>
  <c r="AW16" i="15"/>
  <c r="AU15" i="15" s="1"/>
  <c r="AW10" i="15"/>
  <c r="AU14" i="15" s="1"/>
  <c r="AW11" i="15"/>
  <c r="AU13" i="15" s="1"/>
  <c r="AW9" i="15"/>
  <c r="AW15" i="15"/>
  <c r="AU8" i="15" s="1"/>
  <c r="AW12" i="15"/>
  <c r="AU5" i="15" s="1"/>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<sst xmlns="http://schemas.openxmlformats.org/spreadsheetml/2006/main" count="2541" uniqueCount="275">
  <si>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</si>
  <si>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</si>
  <si>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</si>
  <si>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</si>
  <si>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</si>
  <si>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</si>
  <si>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</si>
  <si>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</si>
  <si>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</si>
  <si>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</si>
  <si>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</si>
  <si>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</si>
  <si>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</si>
  <si>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</si>
  <si>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</si>
  <si>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</si>
  <si>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</si>
  <si>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</si>
  <si>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</si>
  <si>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</si>
  <si>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</si>
  <si>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</si>
  <si>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</si>
  <si>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</si>
  <si>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</si>
  <si>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</si>
  <si>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</si>
  <si>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</si>
  <si>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</si>
  <si>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</si>
  <si>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</si>
  <si>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</si>
  <si>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</si>
  <si>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</si>
  <si>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</si>
  <si>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</si>
  <si>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</si>
  <si>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</si>
  <si>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</si>
  <si>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</si>
  <si>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</si>
  <si>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</si>
  <si>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</si>
  <si>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</si>
  <si>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</si>
  <si>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</si>
  <si>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</si>
  <si>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</si>
  <si>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</si>
  <si>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</si>
  <si>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</si>
  <si>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</si>
  <si>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</si>
  <si>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</si>
  <si>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</si>
  <si>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</si>
  <si>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</si>
  <si>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</si>
  <si>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</si>
  <si>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</si>
  <si>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</si>
  <si>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</si>
  <si>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</si>
  <si>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</si>
  <si>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</si>
  <si>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</si>
  <si>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</si>
  <si>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</si>
  <si>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</si>
  <si>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</si>
  <si>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</si>
  <si>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</si>
  <si>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</si>
  <si>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</si>
  <si>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</si>
  <si>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</si>
  <si>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</si>
  <si>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</si>
  <si>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</si>
  <si>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</si>
  <si>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</si>
  <si>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</si>
  <si>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</si>
  <si>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</si>
  <si>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</si>
  <si>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</si>
  <si>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</si>
  <si>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</si>
  <si>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</si>
  <si>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</si>
  <si>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</si>
  <si>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</si>
  <si>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</si>
  <si>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</si>
  <si>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</si>
  <si>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</si>
  <si>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</si>
  <si>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</si>
  <si>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</si>
  <si>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</si>
  <si>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</si>
  <si>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</si>
  <si>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</si>
  <si>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</si>
  <si>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</si>
  <si>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</si>
  <si>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</si>
  <si>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</si>
  <si>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</si>
  <si>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</si>
  <si>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</si>
  <si>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</si>
  <si>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</si>
  <si>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</si>
  <si>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</si>
  <si>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</si>
  <si>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</si>
  <si>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</si>
  <si>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</si>
  <si>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</si>
  <si>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</si>
  <si>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</si>
  <si>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</si>
  <si>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</si>
  <si>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</si>
  <si>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</si>
  <si>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</si>
  <si>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</si>
  <si>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</si>
  <si>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</si>
  <si>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</si>
  <si>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</si>
  <si>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</si>
  <si>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</si>
  <si>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</si>
  <si>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</si>
  <si>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</si>
  <si>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</si>
  <si>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</si>
  <si>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</si>
  <si>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</si>
  <si>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</si>
  <si>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</si>
  <si>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</si>
  <si>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</si>
  <si>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</si>
  <si>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</si>
  <si>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</si>
  <si>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</si>
  <si>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</si>
  <si>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</si>
  <si>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</si>
  <si>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</si>
  <si>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</si>
  <si>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</si>
  <si>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</si>
  <si>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</si>
  <si>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</si>
  <si>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</si>
  <si>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</si>
  <si>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</si>
  <si>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</si>
  <si>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</si>
  <si>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</si>
  <si>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</si>
  <si>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</si>
  <si>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</si>
  <si>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</si>
  <si>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</si>
  <si>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</si>
  <si>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</si>
  <si>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</si>
  <si>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</si>
  <si>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</si>
  <si>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</si>
  <si>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</si>
  <si>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</si>
  <si>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</si>
  <si>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</si>
  <si>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</si>
  <si>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</si>
  <si>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</si>
  <si>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</si>
  <si>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</si>
  <si>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</si>
  <si>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</si>
  <si>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</si>
  <si>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</si>
  <si>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</si>
  <si>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</si>
  <si>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</si>
  <si>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</si>
  <si>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</si>
  <si>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</si>
  <si>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</si>
  <si>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</si>
  <si>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</si>
  <si>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</si>
  <si>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</si>
  <si>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</si>
  <si>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</si>
  <si>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</si>
  <si>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</si>
  <si>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</si>
  <si>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</si>
  <si>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00b</t>
    <phoneticPr fontId="2"/>
  </si>
  <si>
    <t>11b</t>
    <phoneticPr fontId="2"/>
  </si>
  <si>
    <t>**b</t>
    <phoneticPr fontId="2"/>
  </si>
  <si>
    <t>NULL</t>
  </si>
  <si>
    <t>01b</t>
    <phoneticPr fontId="2"/>
  </si>
  <si>
    <t>10b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</si>
  <si>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</si>
  <si>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</si>
  <si>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</si>
  <si>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</si>
  <si>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</si>
  <si>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</si>
  <si>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</si>
  <si>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</si>
  <si>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</si>
  <si>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</si>
  <si>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</si>
  <si>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</si>
  <si>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</si>
  <si>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&lt;DT確認印&gt;</t>
  </si>
  <si>
    <t>&lt;DT検討印&gt;</t>
  </si>
  <si>
    <t>DENSO TECHNO PHIL. INC</t>
  </si>
  <si>
    <t>承認欄 [DT]</t>
    <phoneticPr fontId="2"/>
  </si>
  <si>
    <t>承認者</t>
    <phoneticPr fontId="2"/>
  </si>
  <si>
    <t>DT Anna</t>
    <phoneticPr fontId="2"/>
  </si>
  <si>
    <t>CAN</t>
    <phoneticPr fontId="2"/>
  </si>
  <si>
    <t>IG</t>
    <phoneticPr fontId="2"/>
  </si>
  <si>
    <t>ALERT_VOM_IGN_ON</t>
    <phoneticPr fontId="2"/>
  </si>
  <si>
    <t>IGON+未受信+ *</t>
    <rPh sb="5" eb="8">
      <t>ミジュシン</t>
    </rPh>
    <phoneticPr fontId="2"/>
  </si>
  <si>
    <t>IGOFF+ * + *</t>
    <phoneticPr fontId="2"/>
  </si>
  <si>
    <t>CYCL1</t>
  </si>
  <si>
    <t>CYCL2</t>
  </si>
  <si>
    <t>SINGLE</t>
  </si>
  <si>
    <t>TRA1S01</t>
    <phoneticPr fontId="2"/>
  </si>
  <si>
    <t>TRABUZ</t>
    <phoneticPr fontId="2"/>
  </si>
  <si>
    <t>TRA1S01</t>
  </si>
  <si>
    <t>TT</t>
    <phoneticPr fontId="2"/>
  </si>
  <si>
    <t>TRABUZ</t>
  </si>
  <si>
    <t>断続/
単発/
-</t>
    <rPh sb="0" eb="2">
      <t>ダンゾク</t>
    </rPh>
    <rPh sb="4" eb="6">
      <t>タンパツ</t>
    </rPh>
    <phoneticPr fontId="2"/>
  </si>
  <si>
    <t>No request(00b)/
Approach Limit(01b)/
Extreme angle(10b)
ASR OFF(11b)</t>
    <phoneticPr fontId="2"/>
  </si>
  <si>
    <t>通常(00b)/
未受信(01b)/
途絶(10b)/
未受信途絶(11b)</t>
    <rPh sb="19" eb="21">
      <t>トゼツ</t>
    </rPh>
    <rPh sb="28" eb="33">
      <t>ミジュシントゼツ</t>
    </rPh>
    <phoneticPr fontId="2"/>
  </si>
  <si>
    <t>00b</t>
  </si>
  <si>
    <t>IGON+途絶+ *</t>
    <rPh sb="5" eb="7">
      <t>トゼツ</t>
    </rPh>
    <phoneticPr fontId="2"/>
  </si>
  <si>
    <t>IGON+未受信途絶+ *</t>
    <rPh sb="5" eb="8">
      <t>ミジュシン</t>
    </rPh>
    <rPh sb="8" eb="10">
      <t>トゼツ</t>
    </rPh>
    <phoneticPr fontId="2"/>
  </si>
  <si>
    <t>CYCL1</t>
    <phoneticPr fontId="2"/>
  </si>
  <si>
    <t>CYCL2</t>
    <phoneticPr fontId="2"/>
  </si>
  <si>
    <t>SINGLE</t>
    <phoneticPr fontId="2"/>
  </si>
  <si>
    <t>断続</t>
  </si>
  <si>
    <t>単発</t>
  </si>
  <si>
    <t>UNKNOWN/
CYCL1/
CYCL2/
SINGLE</t>
    <phoneticPr fontId="2"/>
  </si>
  <si>
    <t>IGON + 通常 + No request</t>
  </si>
  <si>
    <t>IGON + 通常 + Approach Limit</t>
  </si>
  <si>
    <t>IGON + 通常 + Extreme angle</t>
  </si>
  <si>
    <t>IGON + 通常 + ASR OFF</t>
  </si>
  <si>
    <t>KSE八木春樹</t>
    <rPh sb="3" eb="7">
      <t>ヤギハルキ</t>
    </rPh>
    <phoneticPr fontId="2"/>
  </si>
  <si>
    <t>1.1.0</t>
    <phoneticPr fontId="2"/>
  </si>
  <si>
    <t>BEV シス検#2(流用元：alert_S_TCHAR-CSTD-A0-04-A-C0.c)
[Matrix]シート
CH削除
[CH_Design]シート
CH削除に伴い、REQ・機能判定等削除
[PD]シート
CH削除に伴い、シート削除
[Reference]シート
CH削除に伴い、真理値表の修正</t>
    <rPh sb="6" eb="7">
      <t>ケン</t>
    </rPh>
    <rPh sb="55" eb="57">
      <t>ツイカ</t>
    </rPh>
    <rPh sb="61" eb="63">
      <t>サクジョ</t>
    </rPh>
    <rPh sb="91" eb="96">
      <t>キノウハンテイトウ</t>
    </rPh>
    <rPh sb="96" eb="98">
      <t>サクジョ</t>
    </rPh>
    <rPh sb="129" eb="133">
      <t>シンリチヒョウ</t>
    </rPh>
    <rPh sb="133" eb="135">
      <t>ツイカ</t>
    </rPh>
    <rPh sb="138" eb="140">
      <t>サクジョ</t>
    </rPh>
    <rPh sb="141" eb="142">
      <t>トモナ</t>
    </rPh>
    <phoneticPr fontId="2"/>
  </si>
  <si>
    <t>5.6.0</t>
    <phoneticPr fontId="2"/>
  </si>
  <si>
    <t>DTPH Eunice</t>
    <phoneticPr fontId="2"/>
  </si>
  <si>
    <t>ALERT_CH_S_ADBZR_TCHAR</t>
  </si>
  <si>
    <t>S_ADBZR-CSTD-0-BZR01-REQ043-</t>
  </si>
  <si>
    <t>S_ADBZR-CSTD-0-BZR01-REQ044-</t>
  </si>
  <si>
    <t>S_ADBZR-CSTD-0-BZR01-REQ045-</t>
  </si>
  <si>
    <t>デンソーテクノ(株)</t>
  </si>
  <si>
    <t>△1</t>
    <phoneticPr fontId="2"/>
  </si>
  <si>
    <t>https://svn.geniie.net/bevs3/bevs3cdc/仕様書/MET/#1/tags/00.Product/v1.19/制御仕様</t>
    <phoneticPr fontId="2"/>
  </si>
  <si>
    <t>BEVシス検ADAS
BEV3CDMET-2019_S_ADBZR対応 (S_TCHAR分)
△2　TCHARの要求ID、仕様署名の更新(S_TCHAR→S_ADBZR_TCHAR)
[Matrix]シート
CH名変更
[CH_Design]シート
CH名変更に従い、要求ID、REQIDの変更
[S_ADBZR_TCHAR]シート
シート名はS_TCHAR→S_ADBZR_TCHARに変更
[Reference]シート
CH名</t>
    <phoneticPr fontId="2"/>
  </si>
  <si>
    <t>MET-S_ADBZR-CSTD-0-06-A-C0.xlsx</t>
    <phoneticPr fontId="2"/>
  </si>
  <si>
    <r>
      <rPr>
        <b/>
        <sz val="12"/>
        <color rgb="FFFF0000"/>
        <rFont val="ＭＳ Ｐゴシック"/>
        <family val="3"/>
        <charset val="128"/>
        <scheme val="minor"/>
      </rPr>
      <t>S_ADBZR_TCHAR</t>
    </r>
    <r>
      <rPr>
        <b/>
        <sz val="12"/>
        <rFont val="ＭＳ Ｐゴシック"/>
        <family val="3"/>
        <charset val="128"/>
        <scheme val="minor"/>
      </rPr>
      <t>の判定</t>
    </r>
    <rPh sb="14" eb="16">
      <t>ハンテイ</t>
    </rPh>
    <phoneticPr fontId="2"/>
  </si>
  <si>
    <t>1.1.1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</si>
</sst>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b/>
      <sz val="12"/>
      <name val="ＭＳ Ｐゴシック"/>
      <family val="3"/>
      <charset val="128"/>
      <scheme val="minor"/>
    </font>
    <font>
      <b/>
      <sz val="12"/>
      <color rgb="FFFF0000"/>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19" fillId="0" borderId="0">
      <alignment vertical="center"/>
    </xf>
  </cellStyleXfs>
  <cellXfs count="32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31" xfId="0" applyBorder="1">
      <alignment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5"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0" fillId="0" borderId="14" xfId="0" applyFill="1" applyBorder="1" applyAlignment="1">
      <alignment vertical="center" wrapText="1"/>
    </xf>
    <xf numFmtId="0" fontId="19" fillId="23" borderId="64" xfId="2" applyFill="1" applyBorder="1">
      <alignment vertical="center"/>
    </xf>
    <xf numFmtId="0" fontId="19" fillId="23" borderId="66" xfId="2" applyFill="1" applyBorder="1">
      <alignment vertical="center"/>
    </xf>
    <xf numFmtId="0" fontId="19" fillId="23" borderId="65" xfId="2" applyFill="1" applyBorder="1">
      <alignment vertical="center"/>
    </xf>
    <xf numFmtId="0" fontId="19" fillId="0" borderId="0" xfId="2">
      <alignment vertical="center"/>
    </xf>
    <xf numFmtId="0" fontId="19" fillId="23" borderId="78" xfId="2" applyFill="1" applyBorder="1">
      <alignment vertical="center"/>
    </xf>
    <xf numFmtId="0" fontId="19" fillId="23" borderId="0" xfId="2" applyFill="1">
      <alignment vertical="center"/>
    </xf>
    <xf numFmtId="0" fontId="19" fillId="23" borderId="77" xfId="2" applyFill="1" applyBorder="1">
      <alignment vertical="center"/>
    </xf>
    <xf numFmtId="0" fontId="9" fillId="23" borderId="0" xfId="2" applyFont="1" applyFill="1">
      <alignment vertical="center"/>
    </xf>
    <xf numFmtId="0" fontId="19" fillId="23" borderId="79" xfId="2" applyFill="1" applyBorder="1">
      <alignment vertical="center"/>
    </xf>
    <xf numFmtId="0" fontId="19" fillId="23" borderId="80" xfId="2" applyFill="1" applyBorder="1">
      <alignment vertical="center"/>
    </xf>
    <xf numFmtId="0" fontId="21" fillId="23" borderId="0" xfId="2" applyFont="1" applyFill="1" applyAlignment="1">
      <alignment horizontal="center" vertical="center"/>
    </xf>
    <xf numFmtId="0" fontId="19" fillId="23" borderId="29" xfId="2" applyFill="1" applyBorder="1">
      <alignment vertical="center"/>
    </xf>
    <xf numFmtId="0" fontId="19" fillId="23" borderId="11" xfId="2" applyFill="1" applyBorder="1">
      <alignment vertical="center"/>
    </xf>
    <xf numFmtId="0" fontId="19" fillId="23" borderId="25" xfId="2" applyFill="1" applyBorder="1">
      <alignment vertical="center"/>
    </xf>
    <xf numFmtId="0" fontId="19"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0" borderId="2" xfId="0" applyBorder="1" applyAlignment="1">
      <alignment horizontal="center" vertical="center"/>
    </xf>
    <xf numFmtId="0" fontId="0" fillId="25" borderId="12" xfId="0" applyFill="1" applyBorder="1">
      <alignment vertical="center"/>
    </xf>
    <xf numFmtId="0" fontId="0" fillId="25" borderId="31" xfId="0" applyFill="1" applyBorder="1">
      <alignment vertical="center"/>
    </xf>
    <xf numFmtId="0" fontId="15" fillId="0" borderId="27" xfId="0" quotePrefix="1" applyFont="1" applyBorder="1">
      <alignment vertical="center"/>
    </xf>
    <xf numFmtId="0" fontId="18" fillId="0" borderId="27" xfId="0" quotePrefix="1" applyFont="1" applyBorder="1">
      <alignment vertical="center"/>
    </xf>
    <xf numFmtId="0" fontId="18" fillId="0" borderId="27" xfId="0" applyFont="1" applyBorder="1">
      <alignment vertical="center"/>
    </xf>
    <xf numFmtId="0" fontId="15" fillId="0" borderId="16" xfId="0" applyFont="1" applyBorder="1" applyAlignment="1">
      <alignment vertical="center" wrapText="1"/>
    </xf>
    <xf numFmtId="0" fontId="18" fillId="0" borderId="28" xfId="0" applyFont="1" applyBorder="1" applyAlignment="1">
      <alignmen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wrapText="1"/>
    </xf>
    <xf numFmtId="0" fontId="0" fillId="0" borderId="7" xfId="0" applyBorder="1" applyAlignment="1">
      <alignment horizontal="center" vertical="center"/>
    </xf>
    <xf numFmtId="0" fontId="0" fillId="25"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32" xfId="0" applyBorder="1" applyAlignment="1">
      <alignment vertical="center" wrapText="1"/>
    </xf>
    <xf numFmtId="0" fontId="0" fillId="15" borderId="32" xfId="0" applyFill="1" applyBorder="1" applyAlignment="1">
      <alignment vertical="center" wrapText="1"/>
    </xf>
    <xf numFmtId="0" fontId="0" fillId="0" borderId="86" xfId="0" applyBorder="1" applyAlignment="1">
      <alignment horizontal="center" vertical="center"/>
    </xf>
    <xf numFmtId="0" fontId="0" fillId="15" borderId="86" xfId="0" applyFill="1" applyBorder="1" applyAlignment="1">
      <alignment horizontal="center" vertical="center"/>
    </xf>
    <xf numFmtId="0" fontId="0" fillId="15" borderId="84" xfId="0" applyFill="1" applyBorder="1" applyAlignment="1">
      <alignment horizontal="center" vertical="center"/>
    </xf>
    <xf numFmtId="0" fontId="0" fillId="0" borderId="31" xfId="0" applyBorder="1" applyAlignment="1">
      <alignment horizontal="center" vertical="center" wrapText="1"/>
    </xf>
    <xf numFmtId="0" fontId="0" fillId="15" borderId="87" xfId="0" applyFill="1" applyBorder="1" applyAlignment="1">
      <alignment horizontal="center" vertical="center"/>
    </xf>
    <xf numFmtId="0" fontId="0" fillId="0" borderId="31" xfId="0" applyBorder="1" applyAlignment="1">
      <alignment horizontal="center" vertical="center"/>
    </xf>
    <xf numFmtId="0" fontId="0" fillId="0" borderId="88" xfId="0" applyBorder="1">
      <alignment vertical="center"/>
    </xf>
    <xf numFmtId="0" fontId="0" fillId="0" borderId="19" xfId="0" applyBorder="1">
      <alignment vertical="center"/>
    </xf>
    <xf numFmtId="0" fontId="0" fillId="15" borderId="89" xfId="0" applyFill="1" applyBorder="1" applyAlignment="1">
      <alignment horizontal="center" vertical="center"/>
    </xf>
    <xf numFmtId="0" fontId="0" fillId="0" borderId="2" xfId="0" applyBorder="1" applyAlignment="1">
      <alignment horizontal="center" vertical="center"/>
    </xf>
    <xf numFmtId="0" fontId="22" fillId="0" borderId="0" xfId="0" applyFont="1">
      <alignment vertical="center"/>
    </xf>
    <xf numFmtId="0" fontId="0" fillId="0" borderId="2" xfId="0" applyBorder="1" applyAlignment="1">
      <alignment vertical="top" wrapText="1"/>
    </xf>
    <xf numFmtId="0" fontId="10" fillId="12" borderId="15" xfId="0" applyFont="1" applyFill="1" applyBorder="1" applyProtection="1">
      <alignment vertical="center"/>
    </xf>
    <xf numFmtId="0" fontId="17" fillId="12" borderId="15" xfId="0" applyFont="1" applyFill="1" applyBorder="1" applyProtection="1">
      <alignment vertical="center"/>
    </xf>
    <xf numFmtId="0" fontId="17" fillId="12" borderId="6" xfId="0" applyFont="1" applyFill="1" applyBorder="1" applyProtection="1">
      <alignment vertical="center"/>
    </xf>
    <xf numFmtId="0" fontId="10" fillId="0" borderId="6" xfId="0" applyFont="1" applyBorder="1">
      <alignment vertical="center"/>
    </xf>
    <xf numFmtId="0" fontId="17" fillId="0" borderId="2" xfId="0" applyFont="1" applyBorder="1" applyAlignment="1">
      <alignment vertical="center" wrapText="1"/>
    </xf>
    <xf numFmtId="0" fontId="17" fillId="0" borderId="2" xfId="0" applyFont="1" applyBorder="1">
      <alignment vertical="center"/>
    </xf>
    <xf numFmtId="14" fontId="17" fillId="0" borderId="7" xfId="0" applyNumberFormat="1" applyFont="1" applyBorder="1">
      <alignment vertical="center"/>
    </xf>
    <xf numFmtId="0" fontId="17" fillId="0" borderId="25" xfId="0" applyFont="1" applyBorder="1">
      <alignment vertical="center"/>
    </xf>
    <xf numFmtId="0" fontId="17" fillId="0" borderId="14" xfId="0" applyFont="1" applyBorder="1">
      <alignment vertical="center"/>
    </xf>
    <xf numFmtId="0" fontId="9" fillId="0" borderId="0" xfId="3" applyFont="1">
      <alignment vertical="center"/>
    </xf>
    <xf numFmtId="0" fontId="10" fillId="0" borderId="33" xfId="0" applyFont="1" applyBorder="1">
      <alignment vertical="center"/>
    </xf>
    <xf numFmtId="0" fontId="19" fillId="23" borderId="27" xfId="2" applyFill="1" applyBorder="1" applyAlignment="1">
      <alignment horizontal="center" vertical="center"/>
    </xf>
    <xf numFmtId="0" fontId="19" fillId="23" borderId="12" xfId="2" applyFill="1" applyBorder="1" applyAlignment="1">
      <alignment horizontal="center" vertical="center"/>
    </xf>
    <xf numFmtId="0" fontId="19" fillId="23" borderId="31" xfId="2" applyFill="1" applyBorder="1" applyAlignment="1">
      <alignment horizontal="center" vertical="center"/>
    </xf>
    <xf numFmtId="0" fontId="20" fillId="23" borderId="78" xfId="2" applyFont="1" applyFill="1" applyBorder="1" applyAlignment="1">
      <alignment horizontal="center" vertical="center"/>
    </xf>
    <xf numFmtId="0" fontId="19" fillId="23" borderId="0" xfId="2" applyFill="1" applyAlignment="1">
      <alignment horizontal="center" vertical="center"/>
    </xf>
    <xf numFmtId="0" fontId="19" fillId="23" borderId="77" xfId="2" applyFill="1" applyBorder="1" applyAlignment="1">
      <alignment horizontal="center" vertical="center"/>
    </xf>
    <xf numFmtId="0" fontId="19"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9" fillId="23" borderId="0" xfId="2" applyFill="1" applyBorder="1">
      <alignment vertical="center"/>
    </xf>
    <xf numFmtId="14" fontId="10" fillId="0" borderId="7" xfId="0" applyNumberFormat="1" applyFont="1" applyBorder="1">
      <alignment vertical="center"/>
    </xf>
  </cellXfs>
  <cellStyles count="4">
    <cellStyle name="ハイパーリンク" xfId="1" builtinId="8"/>
    <cellStyle name="標準" xfId="0" builtinId="0"/>
    <cellStyle name="標準 3 3 4 3" xfId="3" xr:uid="{B0C4E983-E29F-4E7E-B3F0-693D7AA0B093}"/>
    <cellStyle name="標準 5" xfId="2" xr:uid="{D73ADDF5-F884-43E0-9A7C-00CB3D6C3CC1}"/>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CCFDB1"/>
      <color rgb="FFFFCC99"/>
      <color rgb="FF0000FF"/>
      <color rgb="FFFBBDBD"/>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33</xdr:col>
      <xdr:colOff>72390</xdr:colOff>
      <xdr:row>42</xdr:row>
      <xdr:rowOff>167640</xdr:rowOff>
    </xdr:from>
    <xdr:to>
      <xdr:col>36</xdr:col>
      <xdr:colOff>38100</xdr:colOff>
      <xdr:row>45</xdr:row>
      <xdr:rowOff>132573</xdr:rowOff>
    </xdr:to>
    <xdr:pic>
      <xdr:nvPicPr>
        <xdr:cNvPr id="2" name="図 1">
          <a:extLst>
            <a:ext uri="{FF2B5EF4-FFF2-40B4-BE49-F238E27FC236}">
              <a16:creationId xmlns:a16="http://schemas.microsoft.com/office/drawing/2014/main" id="{455560BD-8609-B074-3034-09B0B5802F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01590" y="7749540"/>
          <a:ext cx="422910" cy="4830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26127</xdr:colOff>
          <xdr:row>44</xdr:row>
          <xdr:rowOff>85452</xdr:rowOff>
        </xdr:from>
        <xdr:to>
          <xdr:col>38</xdr:col>
          <xdr:colOff>122531</xdr:colOff>
          <xdr:row>47</xdr:row>
          <xdr:rowOff>122465</xdr:rowOff>
        </xdr:to>
        <xdr:sp macro="" textlink="">
          <xdr:nvSpPr>
            <xdr:cNvPr id="20481" name="inei1_REYES DYAN" hidden="1">
              <a:extLst>
                <a:ext uri="{63B3BB69-23CF-44E3-9099-C40C66FF867C}">
                  <a14:compatExt spid="_x0000_s20481"/>
                </a:ext>
                <a:ext uri="{FF2B5EF4-FFF2-40B4-BE49-F238E27FC236}">
                  <a16:creationId xmlns:a16="http://schemas.microsoft.com/office/drawing/2014/main" id="{121B59DE-0EF5-7FBC-DCF5-63F7447C2FD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63</xdr:row>
      <xdr:rowOff>0</xdr:rowOff>
    </xdr:from>
    <xdr:to>
      <xdr:col>47</xdr:col>
      <xdr:colOff>571500</xdr:colOff>
      <xdr:row>69</xdr:row>
      <xdr:rowOff>120162</xdr:rowOff>
    </xdr:to>
    <xdr:pic>
      <xdr:nvPicPr>
        <xdr:cNvPr id="6" name="図 5">
          <a:extLst>
            <a:ext uri="{FF2B5EF4-FFF2-40B4-BE49-F238E27FC236}">
              <a16:creationId xmlns:a16="http://schemas.microsoft.com/office/drawing/2014/main" id="{06A59C38-5B2B-59D1-AF80-EAC657918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83400" y="15468600"/>
          <a:ext cx="16421100" cy="1263162"/>
        </a:xfrm>
        <a:prstGeom prst="rect">
          <a:avLst/>
        </a:prstGeom>
        <a:solidFill>
          <a:schemeClr val="bg1"/>
        </a:solidFill>
      </xdr:spPr>
    </xdr:pic>
    <xdr:clientData/>
  </xdr:twoCellAnchor>
  <xdr:twoCellAnchor editAs="oneCell">
    <xdr:from>
      <xdr:col>21</xdr:col>
      <xdr:colOff>0</xdr:colOff>
      <xdr:row>22</xdr:row>
      <xdr:rowOff>1</xdr:rowOff>
    </xdr:from>
    <xdr:to>
      <xdr:col>46</xdr:col>
      <xdr:colOff>328259</xdr:colOff>
      <xdr:row>62</xdr:row>
      <xdr:rowOff>95251</xdr:rowOff>
    </xdr:to>
    <xdr:pic>
      <xdr:nvPicPr>
        <xdr:cNvPr id="4" name="図 3">
          <a:extLst>
            <a:ext uri="{FF2B5EF4-FFF2-40B4-BE49-F238E27FC236}">
              <a16:creationId xmlns:a16="http://schemas.microsoft.com/office/drawing/2014/main" id="{5F669ECA-F248-3AED-F243-49842CCF509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621500" y="7191376"/>
          <a:ext cx="15806384" cy="6762750"/>
        </a:xfrm>
        <a:prstGeom prst="rect">
          <a:avLst/>
        </a:prstGeom>
        <a:solidFill>
          <a:schemeClr val="bg1"/>
        </a:solidFill>
      </xdr:spPr>
    </xdr:pic>
    <xdr:clientData/>
  </xdr:twoCellAnchor>
  <xdr:twoCellAnchor editAs="oneCell">
    <xdr:from>
      <xdr:col>21</xdr:col>
      <xdr:colOff>1</xdr:colOff>
      <xdr:row>1</xdr:row>
      <xdr:rowOff>0</xdr:rowOff>
    </xdr:from>
    <xdr:to>
      <xdr:col>41</xdr:col>
      <xdr:colOff>67367</xdr:colOff>
      <xdr:row>20</xdr:row>
      <xdr:rowOff>89355</xdr:rowOff>
    </xdr:to>
    <xdr:pic>
      <xdr:nvPicPr>
        <xdr:cNvPr id="3" name="図 2">
          <a:extLst>
            <a:ext uri="{FF2B5EF4-FFF2-40B4-BE49-F238E27FC236}">
              <a16:creationId xmlns:a16="http://schemas.microsoft.com/office/drawing/2014/main" id="{38ED4C7F-FDB3-60A7-D3A0-4E318A9CCB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465637" y="173182"/>
          <a:ext cx="12191999" cy="6876177"/>
        </a:xfrm>
        <a:prstGeom prst="rect">
          <a:avLst/>
        </a:prstGeom>
        <a:solidFill>
          <a:schemeClr val="bg1"/>
        </a:solidFill>
      </xdr:spPr>
    </xdr:pic>
    <xdr:clientData/>
  </xdr:twoCellAnchor>
  <xdr:twoCellAnchor editAs="oneCell">
    <xdr:from>
      <xdr:col>21</xdr:col>
      <xdr:colOff>639535</xdr:colOff>
      <xdr:row>216</xdr:row>
      <xdr:rowOff>54428</xdr:rowOff>
    </xdr:from>
    <xdr:to>
      <xdr:col>36</xdr:col>
      <xdr:colOff>132261</xdr:colOff>
      <xdr:row>236</xdr:row>
      <xdr:rowOff>2208</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4"/>
        <a:stretch>
          <a:fillRect/>
        </a:stretch>
      </xdr:blipFill>
      <xdr:spPr>
        <a:xfrm>
          <a:off x="22370142" y="45597535"/>
          <a:ext cx="9701893" cy="3462451"/>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4117361</xdr:colOff>
      <xdr:row>19</xdr:row>
      <xdr:rowOff>128067</xdr:rowOff>
    </xdr:from>
    <xdr:to>
      <xdr:col>9</xdr:col>
      <xdr:colOff>248130</xdr:colOff>
      <xdr:row>23</xdr:row>
      <xdr:rowOff>111259</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4800920" y="6593861"/>
          <a:ext cx="3414592" cy="655545"/>
        </a:xfrm>
        <a:prstGeom prst="borderCallout1">
          <a:avLst>
            <a:gd name="adj1" fmla="val 973"/>
            <a:gd name="adj2" fmla="val 25141"/>
            <a:gd name="adj3" fmla="val -70827"/>
            <a:gd name="adj4" fmla="val 494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360626</xdr:colOff>
      <xdr:row>8</xdr:row>
      <xdr:rowOff>1007631</xdr:rowOff>
    </xdr:from>
    <xdr:to>
      <xdr:col>39</xdr:col>
      <xdr:colOff>381001</xdr:colOff>
      <xdr:row>8</xdr:row>
      <xdr:rowOff>1284387</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19903110" y="4117419"/>
          <a:ext cx="11049000" cy="2748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436295</xdr:colOff>
      <xdr:row>8</xdr:row>
      <xdr:rowOff>238126</xdr:rowOff>
    </xdr:from>
    <xdr:to>
      <xdr:col>42</xdr:col>
      <xdr:colOff>369570</xdr:colOff>
      <xdr:row>8</xdr:row>
      <xdr:rowOff>896140</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29678045" y="3333751"/>
          <a:ext cx="2981275" cy="65801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BEV3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シス剣</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ADAS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で発行されていないため対象外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232561</xdr:colOff>
      <xdr:row>68</xdr:row>
      <xdr:rowOff>55742</xdr:rowOff>
    </xdr:from>
    <xdr:to>
      <xdr:col>39</xdr:col>
      <xdr:colOff>523108</xdr:colOff>
      <xdr:row>69</xdr:row>
      <xdr:rowOff>103263</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9356649" y="15015595"/>
          <a:ext cx="1500783" cy="2156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394755</xdr:colOff>
      <xdr:row>71</xdr:row>
      <xdr:rowOff>10243</xdr:rowOff>
    </xdr:from>
    <xdr:to>
      <xdr:col>40</xdr:col>
      <xdr:colOff>476034</xdr:colOff>
      <xdr:row>74</xdr:row>
      <xdr:rowOff>26365</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30123961" y="15474361"/>
          <a:ext cx="1291514" cy="520386"/>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539734</xdr:colOff>
      <xdr:row>68</xdr:row>
      <xdr:rowOff>55743</xdr:rowOff>
    </xdr:from>
    <xdr:to>
      <xdr:col>42</xdr:col>
      <xdr:colOff>134265</xdr:colOff>
      <xdr:row>69</xdr:row>
      <xdr:rowOff>103263</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0874058" y="15015596"/>
          <a:ext cx="1409883" cy="2156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134796</xdr:colOff>
      <xdr:row>72</xdr:row>
      <xdr:rowOff>59841</xdr:rowOff>
    </xdr:from>
    <xdr:to>
      <xdr:col>46</xdr:col>
      <xdr:colOff>434017</xdr:colOff>
      <xdr:row>75</xdr:row>
      <xdr:rowOff>10238</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2284472" y="15692047"/>
          <a:ext cx="2719692" cy="454662"/>
        </a:xfrm>
        <a:prstGeom prst="borderCallout1">
          <a:avLst>
            <a:gd name="adj1" fmla="val 44516"/>
            <a:gd name="adj2" fmla="val 342"/>
            <a:gd name="adj3" fmla="val -107551"/>
            <a:gd name="adj4" fmla="val -27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435792</xdr:colOff>
      <xdr:row>28</xdr:row>
      <xdr:rowOff>136026</xdr:rowOff>
    </xdr:from>
    <xdr:to>
      <xdr:col>34</xdr:col>
      <xdr:colOff>65331</xdr:colOff>
      <xdr:row>62</xdr:row>
      <xdr:rowOff>67235</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6534292" y="8372350"/>
          <a:ext cx="839774" cy="56462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425738</xdr:colOff>
      <xdr:row>25</xdr:row>
      <xdr:rowOff>100382</xdr:rowOff>
    </xdr:from>
    <xdr:to>
      <xdr:col>31</xdr:col>
      <xdr:colOff>598153</xdr:colOff>
      <xdr:row>27</xdr:row>
      <xdr:rowOff>167191</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4708885" y="7832441"/>
          <a:ext cx="1382650" cy="402985"/>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36</xdr:col>
      <xdr:colOff>103943</xdr:colOff>
      <xdr:row>29</xdr:row>
      <xdr:rowOff>3509</xdr:rowOff>
    </xdr:from>
    <xdr:to>
      <xdr:col>38</xdr:col>
      <xdr:colOff>179294</xdr:colOff>
      <xdr:row>62</xdr:row>
      <xdr:rowOff>130660</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28622914" y="8407921"/>
          <a:ext cx="1285586" cy="56740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289390</xdr:colOff>
      <xdr:row>26</xdr:row>
      <xdr:rowOff>2823</xdr:rowOff>
    </xdr:from>
    <xdr:to>
      <xdr:col>42</xdr:col>
      <xdr:colOff>360678</xdr:colOff>
      <xdr:row>30</xdr:row>
      <xdr:rowOff>74376</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0725575" y="7837136"/>
          <a:ext cx="2547788" cy="73830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318040</xdr:colOff>
      <xdr:row>239</xdr:row>
      <xdr:rowOff>283</xdr:rowOff>
    </xdr:from>
    <xdr:to>
      <xdr:col>30</xdr:col>
      <xdr:colOff>154364</xdr:colOff>
      <xdr:row>242</xdr:row>
      <xdr:rowOff>134816</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559928</xdr:colOff>
      <xdr:row>242</xdr:row>
      <xdr:rowOff>140035</xdr:rowOff>
    </xdr:from>
    <xdr:to>
      <xdr:col>26</xdr:col>
      <xdr:colOff>11993</xdr:colOff>
      <xdr:row>247</xdr:row>
      <xdr:rowOff>1276</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136884</xdr:colOff>
      <xdr:row>68</xdr:row>
      <xdr:rowOff>65230</xdr:rowOff>
    </xdr:from>
    <xdr:to>
      <xdr:col>44</xdr:col>
      <xdr:colOff>269445</xdr:colOff>
      <xdr:row>69</xdr:row>
      <xdr:rowOff>102217</xdr:rowOff>
    </xdr:to>
    <xdr:sp macro="" textlink="">
      <xdr:nvSpPr>
        <xdr:cNvPr id="48" name="正方形/長方形 47">
          <a:extLst>
            <a:ext uri="{FF2B5EF4-FFF2-40B4-BE49-F238E27FC236}">
              <a16:creationId xmlns:a16="http://schemas.microsoft.com/office/drawing/2014/main" id="{FDD27DAE-0D3F-4FE3-ABAF-4ADDB367F938}"/>
            </a:ext>
          </a:extLst>
        </xdr:cNvPr>
        <xdr:cNvSpPr/>
      </xdr:nvSpPr>
      <xdr:spPr>
        <a:xfrm>
          <a:off x="32286560" y="15025083"/>
          <a:ext cx="1342797" cy="205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45</xdr:col>
      <xdr:colOff>202218</xdr:colOff>
      <xdr:row>64</xdr:row>
      <xdr:rowOff>71872</xdr:rowOff>
    </xdr:from>
    <xdr:to>
      <xdr:col>49</xdr:col>
      <xdr:colOff>484293</xdr:colOff>
      <xdr:row>66</xdr:row>
      <xdr:rowOff>161781</xdr:rowOff>
    </xdr:to>
    <xdr:sp macro="" textlink="">
      <xdr:nvSpPr>
        <xdr:cNvPr id="49" name="線吹き出し 1 (枠付き) 115">
          <a:extLst>
            <a:ext uri="{FF2B5EF4-FFF2-40B4-BE49-F238E27FC236}">
              <a16:creationId xmlns:a16="http://schemas.microsoft.com/office/drawing/2014/main" id="{FA8192AA-626C-460A-9F7C-12CEF9180132}"/>
            </a:ext>
          </a:extLst>
        </xdr:cNvPr>
        <xdr:cNvSpPr/>
      </xdr:nvSpPr>
      <xdr:spPr>
        <a:xfrm>
          <a:off x="34167247" y="14359372"/>
          <a:ext cx="2702546" cy="426085"/>
        </a:xfrm>
        <a:prstGeom prst="borderCallout1">
          <a:avLst>
            <a:gd name="adj1" fmla="val 44516"/>
            <a:gd name="adj2" fmla="val 342"/>
            <a:gd name="adj3" fmla="val 161423"/>
            <a:gd name="adj4" fmla="val -257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と設定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10035B22030582\dn-cdc-mcu-AA_BEVS3_CDC_MCU_020_&#21066;&#38500;&#23550;&#24540;\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tabSelected="1" view="pageBreakPreview" zoomScale="70" zoomScaleNormal="100" zoomScaleSheetLayoutView="70" workbookViewId="0">
      <selection activeCell="AU44" sqref="AU44"/>
    </sheetView>
  </sheetViews>
  <sheetFormatPr defaultColWidth="9" defaultRowHeight="13.2"/>
  <cols>
    <col min="1" max="40" width="2.21875" style="204" customWidth="1"/>
    <col min="41" max="16384" width="9" style="204"/>
  </cols>
  <sheetData>
    <row r="1" spans="1:40" ht="13.5" customHeight="1">
      <c r="A1" s="201"/>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3"/>
    </row>
    <row r="2" spans="1:40" ht="13.5" customHeight="1">
      <c r="A2" s="205"/>
      <c r="B2" s="206"/>
      <c r="C2" s="206"/>
      <c r="D2" s="206"/>
      <c r="E2" s="206"/>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c r="AG2" s="206"/>
      <c r="AH2" s="206"/>
      <c r="AI2" s="206"/>
      <c r="AJ2" s="206"/>
      <c r="AK2" s="206"/>
      <c r="AL2" s="206"/>
      <c r="AM2" s="206"/>
      <c r="AN2" s="207"/>
    </row>
    <row r="3" spans="1:40" ht="13.5" customHeight="1">
      <c r="A3" s="205"/>
      <c r="B3" s="206"/>
      <c r="C3" s="206"/>
      <c r="D3" s="206"/>
      <c r="E3" s="206"/>
      <c r="F3" s="206"/>
      <c r="G3" s="206"/>
      <c r="H3" s="206"/>
      <c r="I3" s="206"/>
      <c r="J3" s="206"/>
      <c r="K3" s="206"/>
      <c r="L3" s="206"/>
      <c r="M3" s="206"/>
      <c r="N3" s="206"/>
      <c r="O3" s="206"/>
      <c r="P3" s="206"/>
      <c r="Q3" s="206"/>
      <c r="R3" s="206"/>
      <c r="S3" s="206"/>
      <c r="T3" s="206"/>
      <c r="U3" s="206"/>
      <c r="V3" s="206"/>
      <c r="W3" s="206"/>
      <c r="X3" s="206"/>
      <c r="Y3" s="206"/>
      <c r="Z3" s="206"/>
      <c r="AA3" s="206"/>
      <c r="AB3" s="206"/>
      <c r="AC3" s="206"/>
      <c r="AD3" s="206"/>
      <c r="AE3" s="206"/>
      <c r="AF3" s="206"/>
      <c r="AG3" s="206"/>
      <c r="AH3" s="206"/>
      <c r="AI3" s="206"/>
      <c r="AJ3" s="206"/>
      <c r="AK3" s="206"/>
      <c r="AL3" s="206"/>
      <c r="AM3" s="206"/>
      <c r="AN3" s="207"/>
    </row>
    <row r="4" spans="1:40" ht="13.5" customHeight="1">
      <c r="A4" s="205"/>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7"/>
    </row>
    <row r="5" spans="1:40" ht="13.5" customHeight="1">
      <c r="A5" s="205"/>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7"/>
    </row>
    <row r="6" spans="1:40" ht="13.5" customHeight="1">
      <c r="A6" s="205"/>
      <c r="B6" s="206"/>
      <c r="C6" s="206"/>
      <c r="D6" s="206"/>
      <c r="E6" s="206"/>
      <c r="F6" s="206"/>
      <c r="G6" s="206"/>
      <c r="H6" s="206"/>
      <c r="I6" s="206"/>
      <c r="J6" s="206"/>
      <c r="K6" s="206"/>
      <c r="L6" s="206"/>
      <c r="M6" s="206"/>
      <c r="N6" s="206"/>
      <c r="O6" s="206"/>
      <c r="P6" s="206"/>
      <c r="Q6" s="206"/>
      <c r="R6" s="206"/>
      <c r="S6" s="206"/>
      <c r="T6" s="206"/>
      <c r="U6" s="206"/>
      <c r="V6" s="206"/>
      <c r="W6" s="206"/>
      <c r="X6" s="206"/>
      <c r="Y6" s="206"/>
      <c r="Z6" s="206"/>
      <c r="AA6" s="206"/>
      <c r="AB6" s="206"/>
      <c r="AC6" s="206"/>
      <c r="AD6" s="206"/>
      <c r="AE6" s="206"/>
      <c r="AF6" s="206"/>
      <c r="AG6" s="206"/>
      <c r="AH6" s="206"/>
      <c r="AI6" s="206"/>
      <c r="AJ6" s="206"/>
      <c r="AK6" s="206"/>
      <c r="AL6" s="206"/>
      <c r="AM6" s="206"/>
      <c r="AN6" s="207"/>
    </row>
    <row r="7" spans="1:40" ht="13.5" customHeight="1">
      <c r="A7" s="205"/>
      <c r="B7" s="206"/>
      <c r="C7" s="206"/>
      <c r="D7" s="206"/>
      <c r="E7" s="206"/>
      <c r="F7" s="206"/>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207"/>
    </row>
    <row r="8" spans="1:40" ht="13.5" customHeight="1">
      <c r="A8" s="205"/>
      <c r="B8" s="206"/>
      <c r="C8" s="206"/>
      <c r="D8" s="206"/>
      <c r="E8" s="206"/>
      <c r="F8" s="206"/>
      <c r="G8" s="206"/>
      <c r="H8" s="206"/>
      <c r="I8" s="206"/>
      <c r="J8" s="206"/>
      <c r="K8" s="206"/>
      <c r="L8" s="206"/>
      <c r="M8" s="206"/>
      <c r="N8" s="206"/>
      <c r="O8" s="206"/>
      <c r="P8" s="206"/>
      <c r="Q8" s="206"/>
      <c r="R8" s="206"/>
      <c r="S8" s="206"/>
      <c r="T8" s="206"/>
      <c r="U8" s="206"/>
      <c r="V8" s="206"/>
      <c r="W8" s="206"/>
      <c r="X8" s="206"/>
      <c r="Y8" s="206"/>
      <c r="Z8" s="206"/>
      <c r="AA8" s="206"/>
      <c r="AB8" s="206"/>
      <c r="AC8" s="206"/>
      <c r="AD8" s="206"/>
      <c r="AE8" s="206"/>
      <c r="AF8" s="206"/>
      <c r="AG8" s="206"/>
      <c r="AH8" s="206"/>
      <c r="AI8" s="206"/>
      <c r="AJ8" s="206"/>
      <c r="AK8" s="206"/>
      <c r="AL8" s="206"/>
      <c r="AM8" s="206"/>
      <c r="AN8" s="207"/>
    </row>
    <row r="9" spans="1:40" ht="28.5" customHeight="1">
      <c r="A9" s="263" t="str">
        <f ca="1">MID(CELL("filename",A1), FIND("[",CELL("filename",A1))+1, FIND("]",CELL("filename",A1))-FIND("[",CELL("filename",A1))-6)</f>
        <v>alert_S_ADBZR_TCHAR-CSTD-0-06-A-C0</v>
      </c>
      <c r="B9" s="264"/>
      <c r="C9" s="264"/>
      <c r="D9" s="264"/>
      <c r="E9" s="264"/>
      <c r="F9" s="264"/>
      <c r="G9" s="264"/>
      <c r="H9" s="264"/>
      <c r="I9" s="264"/>
      <c r="J9" s="264"/>
      <c r="K9" s="264"/>
      <c r="L9" s="264"/>
      <c r="M9" s="264"/>
      <c r="N9" s="264"/>
      <c r="O9" s="264"/>
      <c r="P9" s="264"/>
      <c r="Q9" s="264"/>
      <c r="R9" s="264"/>
      <c r="S9" s="264"/>
      <c r="T9" s="264"/>
      <c r="U9" s="264"/>
      <c r="V9" s="264"/>
      <c r="W9" s="264"/>
      <c r="X9" s="264"/>
      <c r="Y9" s="264"/>
      <c r="Z9" s="264"/>
      <c r="AA9" s="264"/>
      <c r="AB9" s="264"/>
      <c r="AC9" s="264"/>
      <c r="AD9" s="264"/>
      <c r="AE9" s="264"/>
      <c r="AF9" s="264"/>
      <c r="AG9" s="264"/>
      <c r="AH9" s="264"/>
      <c r="AI9" s="264"/>
      <c r="AJ9" s="264"/>
      <c r="AK9" s="264"/>
      <c r="AL9" s="264"/>
      <c r="AM9" s="264"/>
      <c r="AN9" s="265"/>
    </row>
    <row r="10" spans="1:40" ht="28.5" customHeight="1">
      <c r="A10" s="263"/>
      <c r="B10" s="264"/>
      <c r="C10" s="264"/>
      <c r="D10" s="264"/>
      <c r="E10" s="264"/>
      <c r="F10" s="264"/>
      <c r="G10" s="264"/>
      <c r="H10" s="264"/>
      <c r="I10" s="264"/>
      <c r="J10" s="264"/>
      <c r="K10" s="264"/>
      <c r="L10" s="264"/>
      <c r="M10" s="264"/>
      <c r="N10" s="264"/>
      <c r="O10" s="264"/>
      <c r="P10" s="264"/>
      <c r="Q10" s="264"/>
      <c r="R10" s="264"/>
      <c r="S10" s="264"/>
      <c r="T10" s="264"/>
      <c r="U10" s="264"/>
      <c r="V10" s="264"/>
      <c r="W10" s="264"/>
      <c r="X10" s="264"/>
      <c r="Y10" s="264"/>
      <c r="Z10" s="264"/>
      <c r="AA10" s="264"/>
      <c r="AB10" s="264"/>
      <c r="AC10" s="264"/>
      <c r="AD10" s="264"/>
      <c r="AE10" s="264"/>
      <c r="AF10" s="264"/>
      <c r="AG10" s="264"/>
      <c r="AH10" s="264"/>
      <c r="AI10" s="264"/>
      <c r="AJ10" s="264"/>
      <c r="AK10" s="264"/>
      <c r="AL10" s="264"/>
      <c r="AM10" s="264"/>
      <c r="AN10" s="265"/>
    </row>
    <row r="11" spans="1:40" ht="13.5" customHeight="1">
      <c r="A11" s="205"/>
      <c r="B11" s="206"/>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6"/>
      <c r="AA11" s="206"/>
      <c r="AB11" s="206"/>
      <c r="AC11" s="206"/>
      <c r="AD11" s="206"/>
      <c r="AE11" s="206"/>
      <c r="AF11" s="206"/>
      <c r="AG11" s="206"/>
      <c r="AH11" s="206"/>
      <c r="AI11" s="206"/>
      <c r="AJ11" s="206"/>
      <c r="AK11" s="206"/>
      <c r="AL11" s="206"/>
      <c r="AM11" s="206"/>
      <c r="AN11" s="207"/>
    </row>
    <row r="12" spans="1:40" ht="13.5" customHeight="1">
      <c r="A12" s="205"/>
      <c r="B12" s="206"/>
      <c r="C12" s="206"/>
      <c r="D12" s="206"/>
      <c r="E12" s="206"/>
      <c r="F12" s="206"/>
      <c r="G12" s="206"/>
      <c r="H12" s="206"/>
      <c r="I12" s="206"/>
      <c r="J12" s="206"/>
      <c r="K12" s="206"/>
      <c r="L12" s="206"/>
      <c r="M12" s="206"/>
      <c r="N12" s="206"/>
      <c r="O12" s="206"/>
      <c r="P12" s="206"/>
      <c r="Q12" s="206"/>
      <c r="R12" s="206"/>
      <c r="S12" s="206"/>
      <c r="T12" s="206"/>
      <c r="U12" s="206"/>
      <c r="V12" s="206"/>
      <c r="W12" s="206"/>
      <c r="X12" s="206"/>
      <c r="Y12" s="206"/>
      <c r="Z12" s="206"/>
      <c r="AA12" s="206"/>
      <c r="AB12" s="206"/>
      <c r="AC12" s="206"/>
      <c r="AD12" s="206"/>
      <c r="AE12" s="206"/>
      <c r="AF12" s="206"/>
      <c r="AG12" s="206"/>
      <c r="AH12" s="206"/>
      <c r="AI12" s="206"/>
      <c r="AJ12" s="206"/>
      <c r="AK12" s="206"/>
      <c r="AL12" s="206"/>
      <c r="AM12" s="206"/>
      <c r="AN12" s="207"/>
    </row>
    <row r="13" spans="1:40" ht="13.5" customHeight="1">
      <c r="A13" s="205"/>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c r="AA13" s="206"/>
      <c r="AB13" s="206"/>
      <c r="AC13" s="206"/>
      <c r="AD13" s="206"/>
      <c r="AE13" s="206"/>
      <c r="AF13" s="206"/>
      <c r="AG13" s="206"/>
      <c r="AH13" s="206"/>
      <c r="AI13" s="206"/>
      <c r="AJ13" s="206"/>
      <c r="AK13" s="206"/>
      <c r="AL13" s="206"/>
      <c r="AM13" s="206"/>
      <c r="AN13" s="207"/>
    </row>
    <row r="14" spans="1:40" ht="13.5" customHeight="1">
      <c r="A14" s="205"/>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c r="AA14" s="206"/>
      <c r="AB14" s="206"/>
      <c r="AC14" s="206"/>
      <c r="AD14" s="206"/>
      <c r="AE14" s="206"/>
      <c r="AF14" s="206"/>
      <c r="AG14" s="206"/>
      <c r="AH14" s="206"/>
      <c r="AI14" s="206"/>
      <c r="AJ14" s="206"/>
      <c r="AK14" s="206"/>
      <c r="AL14" s="206"/>
      <c r="AM14" s="206"/>
      <c r="AN14" s="207"/>
    </row>
    <row r="15" spans="1:40" ht="13.5" customHeight="1">
      <c r="A15" s="205"/>
      <c r="B15" s="206"/>
      <c r="C15" s="206"/>
      <c r="D15" s="206"/>
      <c r="E15" s="206"/>
      <c r="F15" s="206"/>
      <c r="G15" s="206"/>
      <c r="H15" s="206"/>
      <c r="I15" s="206"/>
      <c r="J15" s="206"/>
      <c r="K15" s="206"/>
      <c r="L15" s="206"/>
      <c r="M15" s="206"/>
      <c r="N15" s="206"/>
      <c r="O15" s="206"/>
      <c r="P15" s="206"/>
      <c r="Q15" s="206"/>
      <c r="R15" s="206"/>
      <c r="S15" s="206"/>
      <c r="T15" s="206"/>
      <c r="U15" s="206"/>
      <c r="V15" s="206"/>
      <c r="W15" s="206"/>
      <c r="X15" s="206"/>
      <c r="Y15" s="206"/>
      <c r="Z15" s="206"/>
      <c r="AA15" s="206"/>
      <c r="AB15" s="206"/>
      <c r="AC15" s="206"/>
      <c r="AD15" s="206"/>
      <c r="AE15" s="206"/>
      <c r="AF15" s="206"/>
      <c r="AG15" s="206"/>
      <c r="AH15" s="206"/>
      <c r="AI15" s="206"/>
      <c r="AJ15" s="206"/>
      <c r="AK15" s="206"/>
      <c r="AL15" s="206"/>
      <c r="AM15" s="206"/>
      <c r="AN15" s="207"/>
    </row>
    <row r="16" spans="1:40" ht="13.5" customHeight="1">
      <c r="A16" s="205"/>
      <c r="B16" s="206"/>
      <c r="C16" s="206"/>
      <c r="D16" s="206"/>
      <c r="E16" s="206"/>
      <c r="F16" s="206"/>
      <c r="G16" s="206"/>
      <c r="H16" s="206"/>
      <c r="I16" s="206"/>
      <c r="J16" s="206"/>
      <c r="K16" s="206"/>
      <c r="L16" s="206"/>
      <c r="M16" s="206"/>
      <c r="N16" s="206"/>
      <c r="O16" s="206"/>
      <c r="P16" s="206"/>
      <c r="Q16" s="206"/>
      <c r="R16" s="206"/>
      <c r="S16" s="206"/>
      <c r="T16" s="206"/>
      <c r="U16" s="206"/>
      <c r="V16" s="206"/>
      <c r="W16" s="206"/>
      <c r="X16" s="206"/>
      <c r="Y16" s="206"/>
      <c r="Z16" s="206"/>
      <c r="AA16" s="206"/>
      <c r="AB16" s="206"/>
      <c r="AC16" s="206"/>
      <c r="AD16" s="206"/>
      <c r="AE16" s="206"/>
      <c r="AF16" s="206"/>
      <c r="AG16" s="206"/>
      <c r="AH16" s="206"/>
      <c r="AI16" s="206"/>
      <c r="AJ16" s="206"/>
      <c r="AK16" s="206"/>
      <c r="AL16" s="206"/>
      <c r="AM16" s="206"/>
      <c r="AN16" s="207"/>
    </row>
    <row r="17" spans="1:40" ht="13.5" customHeight="1">
      <c r="A17" s="205"/>
      <c r="B17" s="206"/>
      <c r="C17" s="206"/>
      <c r="D17" s="206"/>
      <c r="E17" s="206"/>
      <c r="F17" s="206"/>
      <c r="G17" s="206"/>
      <c r="H17" s="206"/>
      <c r="I17" s="206"/>
      <c r="J17" s="206"/>
      <c r="K17" s="206"/>
      <c r="L17" s="206"/>
      <c r="M17" s="206"/>
      <c r="N17" s="206"/>
      <c r="O17" s="206"/>
      <c r="P17" s="206"/>
      <c r="Q17" s="206"/>
      <c r="R17" s="206"/>
      <c r="S17" s="206"/>
      <c r="T17" s="206"/>
      <c r="U17" s="206"/>
      <c r="V17" s="206"/>
      <c r="W17" s="206"/>
      <c r="X17" s="206"/>
      <c r="Y17" s="206"/>
      <c r="Z17" s="206"/>
      <c r="AA17" s="206"/>
      <c r="AB17" s="206"/>
      <c r="AC17" s="206"/>
      <c r="AD17" s="206"/>
      <c r="AE17" s="206"/>
      <c r="AF17" s="206"/>
      <c r="AG17" s="206"/>
      <c r="AH17" s="206"/>
      <c r="AI17" s="206"/>
      <c r="AJ17" s="206"/>
      <c r="AK17" s="206"/>
      <c r="AL17" s="206"/>
      <c r="AM17" s="206"/>
      <c r="AN17" s="207"/>
    </row>
    <row r="18" spans="1:40" ht="13.5" customHeight="1">
      <c r="A18" s="205"/>
      <c r="B18" s="206"/>
      <c r="C18" s="206"/>
      <c r="D18" s="206"/>
      <c r="E18" s="206"/>
      <c r="F18" s="206"/>
      <c r="G18" s="206"/>
      <c r="H18" s="206"/>
      <c r="I18" s="206"/>
      <c r="J18" s="206"/>
      <c r="K18" s="206"/>
      <c r="L18" s="206"/>
      <c r="M18" s="206"/>
      <c r="N18" s="206"/>
      <c r="O18" s="206"/>
      <c r="P18" s="206"/>
      <c r="Q18" s="206"/>
      <c r="R18" s="206"/>
      <c r="S18" s="206"/>
      <c r="T18" s="206"/>
      <c r="U18" s="206"/>
      <c r="V18" s="206"/>
      <c r="W18" s="206"/>
      <c r="X18" s="206"/>
      <c r="Y18" s="206"/>
      <c r="Z18" s="206"/>
      <c r="AA18" s="206"/>
      <c r="AB18" s="206"/>
      <c r="AC18" s="206"/>
      <c r="AD18" s="206"/>
      <c r="AE18" s="206"/>
      <c r="AF18" s="206"/>
      <c r="AG18" s="206"/>
      <c r="AH18" s="206"/>
      <c r="AI18" s="206"/>
      <c r="AJ18" s="206"/>
      <c r="AK18" s="206"/>
      <c r="AL18" s="206"/>
      <c r="AM18" s="206"/>
      <c r="AN18" s="207"/>
    </row>
    <row r="19" spans="1:40" ht="13.5" customHeight="1">
      <c r="A19" s="205"/>
      <c r="B19" s="206"/>
      <c r="C19" s="206"/>
      <c r="D19" s="206"/>
      <c r="E19" s="206"/>
      <c r="F19" s="206"/>
      <c r="G19" s="206"/>
      <c r="H19" s="206"/>
      <c r="I19" s="206"/>
      <c r="J19" s="206"/>
      <c r="K19" s="206"/>
      <c r="L19" s="206"/>
      <c r="M19" s="206"/>
      <c r="N19" s="206"/>
      <c r="O19" s="206"/>
      <c r="P19" s="206"/>
      <c r="Q19" s="206"/>
      <c r="R19" s="206"/>
      <c r="S19" s="206"/>
      <c r="T19" s="206"/>
      <c r="U19" s="206"/>
      <c r="V19" s="206"/>
      <c r="W19" s="206"/>
      <c r="X19" s="206"/>
      <c r="Y19" s="206"/>
      <c r="Z19" s="206"/>
      <c r="AA19" s="206"/>
      <c r="AB19" s="206"/>
      <c r="AC19" s="206"/>
      <c r="AD19" s="206"/>
      <c r="AE19" s="206"/>
      <c r="AF19" s="206"/>
      <c r="AG19" s="206"/>
      <c r="AH19" s="206"/>
      <c r="AI19" s="206"/>
      <c r="AJ19" s="206"/>
      <c r="AK19" s="206"/>
      <c r="AL19" s="206"/>
      <c r="AM19" s="206"/>
      <c r="AN19" s="207"/>
    </row>
    <row r="20" spans="1:40" ht="13.5" customHeight="1">
      <c r="A20" s="205"/>
      <c r="B20" s="206"/>
      <c r="C20" s="206"/>
      <c r="D20" s="206"/>
      <c r="E20" s="206"/>
      <c r="F20" s="206"/>
      <c r="G20" s="206"/>
      <c r="H20" s="206"/>
      <c r="I20" s="206"/>
      <c r="J20" s="206"/>
      <c r="K20" s="206"/>
      <c r="L20" s="206"/>
      <c r="M20" s="206"/>
      <c r="N20" s="206"/>
      <c r="O20" s="206"/>
      <c r="P20" s="206"/>
      <c r="Q20" s="206"/>
      <c r="R20" s="206"/>
      <c r="S20" s="206"/>
      <c r="T20" s="206"/>
      <c r="U20" s="206"/>
      <c r="V20" s="206"/>
      <c r="W20" s="206"/>
      <c r="X20" s="206"/>
      <c r="Y20" s="206"/>
      <c r="Z20" s="206"/>
      <c r="AA20" s="206"/>
      <c r="AB20" s="206"/>
      <c r="AC20" s="206"/>
      <c r="AD20" s="206"/>
      <c r="AE20" s="206"/>
      <c r="AF20" s="206"/>
      <c r="AG20" s="206"/>
      <c r="AH20" s="206"/>
      <c r="AI20" s="206"/>
      <c r="AJ20" s="206"/>
      <c r="AK20" s="206"/>
      <c r="AL20" s="206"/>
      <c r="AM20" s="206"/>
      <c r="AN20" s="207"/>
    </row>
    <row r="21" spans="1:40" ht="13.5" customHeight="1">
      <c r="A21" s="205"/>
      <c r="B21" s="206"/>
      <c r="C21" s="206"/>
      <c r="D21" s="206"/>
      <c r="E21" s="206"/>
      <c r="F21" s="206"/>
      <c r="G21" s="206"/>
      <c r="H21" s="206"/>
      <c r="I21" s="206"/>
      <c r="J21" s="206"/>
      <c r="K21" s="206"/>
      <c r="L21" s="206"/>
      <c r="M21" s="206"/>
      <c r="N21" s="206"/>
      <c r="O21" s="206"/>
      <c r="P21" s="206"/>
      <c r="Q21" s="206"/>
      <c r="R21" s="206"/>
      <c r="S21" s="206"/>
      <c r="T21" s="206"/>
      <c r="U21" s="206"/>
      <c r="V21" s="206"/>
      <c r="W21" s="206"/>
      <c r="X21" s="206"/>
      <c r="Y21" s="206"/>
      <c r="Z21" s="206"/>
      <c r="AA21" s="206"/>
      <c r="AB21" s="206"/>
      <c r="AC21" s="206"/>
      <c r="AD21" s="206"/>
      <c r="AE21" s="206"/>
      <c r="AF21" s="206"/>
      <c r="AG21" s="206"/>
      <c r="AH21" s="206"/>
      <c r="AI21" s="206"/>
      <c r="AJ21" s="206"/>
      <c r="AK21" s="206"/>
      <c r="AL21" s="206"/>
      <c r="AM21" s="206"/>
      <c r="AN21" s="207"/>
    </row>
    <row r="22" spans="1:40" ht="13.5" customHeight="1">
      <c r="A22" s="205"/>
      <c r="B22" s="206"/>
      <c r="C22" s="206"/>
      <c r="D22" s="206"/>
      <c r="E22" s="206"/>
      <c r="F22" s="206"/>
      <c r="G22" s="206"/>
      <c r="H22" s="206"/>
      <c r="I22" s="206"/>
      <c r="J22" s="206"/>
      <c r="K22" s="206"/>
      <c r="L22" s="206"/>
      <c r="M22" s="206"/>
      <c r="N22" s="206"/>
      <c r="O22" s="206"/>
      <c r="P22" s="206"/>
      <c r="Q22" s="206"/>
      <c r="R22" s="206"/>
      <c r="S22" s="206"/>
      <c r="T22" s="206"/>
      <c r="U22" s="206"/>
      <c r="V22" s="206"/>
      <c r="W22" s="206"/>
      <c r="X22" s="206"/>
      <c r="Y22" s="206"/>
      <c r="Z22" s="206"/>
      <c r="AA22" s="206"/>
      <c r="AB22" s="206"/>
      <c r="AC22" s="206"/>
      <c r="AD22" s="206"/>
      <c r="AE22" s="206"/>
      <c r="AF22" s="206"/>
      <c r="AG22" s="206"/>
      <c r="AH22" s="206"/>
      <c r="AI22" s="206"/>
      <c r="AJ22" s="206"/>
      <c r="AK22" s="206"/>
      <c r="AL22" s="206"/>
      <c r="AM22" s="206"/>
      <c r="AN22" s="207"/>
    </row>
    <row r="23" spans="1:40" ht="13.5" customHeight="1">
      <c r="A23" s="205"/>
      <c r="B23" s="206"/>
      <c r="C23" s="206"/>
      <c r="D23" s="206"/>
      <c r="E23" s="206"/>
      <c r="F23" s="206"/>
      <c r="G23" s="206"/>
      <c r="H23" s="206"/>
      <c r="I23" s="206"/>
      <c r="J23" s="206"/>
      <c r="K23" s="206"/>
      <c r="L23" s="206"/>
      <c r="M23" s="206"/>
      <c r="N23" s="206"/>
      <c r="O23" s="206"/>
      <c r="P23" s="206"/>
      <c r="Q23" s="206"/>
      <c r="R23" s="206"/>
      <c r="S23" s="206"/>
      <c r="T23" s="206"/>
      <c r="U23" s="206"/>
      <c r="V23" s="206"/>
      <c r="W23" s="206"/>
      <c r="X23" s="206"/>
      <c r="Y23" s="206"/>
      <c r="Z23" s="206"/>
      <c r="AA23" s="206"/>
      <c r="AB23" s="206"/>
      <c r="AC23" s="206"/>
      <c r="AD23" s="206"/>
      <c r="AE23" s="206"/>
      <c r="AF23" s="206"/>
      <c r="AG23" s="206"/>
      <c r="AH23" s="206"/>
      <c r="AI23" s="206"/>
      <c r="AJ23" s="206"/>
      <c r="AK23" s="206"/>
      <c r="AL23" s="206"/>
      <c r="AM23" s="206"/>
      <c r="AN23" s="207"/>
    </row>
    <row r="24" spans="1:40" ht="13.5" customHeight="1">
      <c r="A24" s="205"/>
      <c r="B24" s="206"/>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c r="AA24" s="206"/>
      <c r="AB24" s="206"/>
      <c r="AC24" s="206"/>
      <c r="AD24" s="206"/>
      <c r="AE24" s="206"/>
      <c r="AF24" s="206"/>
      <c r="AG24" s="206"/>
      <c r="AH24" s="206"/>
      <c r="AI24" s="206"/>
      <c r="AJ24" s="206"/>
      <c r="AK24" s="206"/>
      <c r="AL24" s="206"/>
      <c r="AM24" s="206"/>
      <c r="AN24" s="207"/>
    </row>
    <row r="25" spans="1:40" ht="13.5" customHeight="1">
      <c r="A25" s="205"/>
      <c r="B25" s="206"/>
      <c r="C25" s="206"/>
      <c r="D25" s="206"/>
      <c r="E25" s="206"/>
      <c r="F25" s="206"/>
      <c r="G25" s="206"/>
      <c r="H25" s="206"/>
      <c r="I25" s="206"/>
      <c r="J25" s="206"/>
      <c r="K25" s="206"/>
      <c r="L25" s="206"/>
      <c r="M25" s="206"/>
      <c r="N25" s="206"/>
      <c r="O25" s="206"/>
      <c r="P25" s="206"/>
      <c r="Q25" s="206"/>
      <c r="R25" s="206"/>
      <c r="S25" s="206"/>
      <c r="T25" s="206"/>
      <c r="U25" s="206"/>
      <c r="V25" s="206"/>
      <c r="W25" s="206"/>
      <c r="X25" s="206"/>
      <c r="Y25" s="206"/>
      <c r="Z25" s="206"/>
      <c r="AA25" s="206"/>
      <c r="AB25" s="206"/>
      <c r="AC25" s="206"/>
      <c r="AD25" s="206"/>
      <c r="AE25" s="206"/>
      <c r="AF25" s="206"/>
      <c r="AG25" s="206"/>
      <c r="AH25" s="206"/>
      <c r="AI25" s="206"/>
      <c r="AJ25" s="206"/>
      <c r="AK25" s="206"/>
      <c r="AL25" s="206"/>
      <c r="AM25" s="206"/>
      <c r="AN25" s="207"/>
    </row>
    <row r="26" spans="1:40" ht="13.5" customHeight="1">
      <c r="A26" s="205"/>
      <c r="B26" s="206"/>
      <c r="C26" s="206"/>
      <c r="D26" s="206"/>
      <c r="E26" s="206"/>
      <c r="F26" s="206"/>
      <c r="G26" s="206"/>
      <c r="H26" s="206"/>
      <c r="I26" s="206"/>
      <c r="J26" s="206"/>
      <c r="K26" s="206"/>
      <c r="L26" s="206"/>
      <c r="M26" s="206"/>
      <c r="N26" s="206"/>
      <c r="O26" s="206"/>
      <c r="P26" s="206"/>
      <c r="Q26" s="206"/>
      <c r="R26" s="206"/>
      <c r="S26" s="206"/>
      <c r="T26" s="206"/>
      <c r="U26" s="206"/>
      <c r="V26" s="206"/>
      <c r="W26" s="206"/>
      <c r="X26" s="206"/>
      <c r="Y26" s="208" t="s">
        <v>218</v>
      </c>
      <c r="Z26" s="206"/>
      <c r="AA26" s="206"/>
      <c r="AB26" s="206"/>
      <c r="AC26" s="206"/>
      <c r="AD26" s="206"/>
      <c r="AE26" s="206"/>
      <c r="AF26" s="206"/>
      <c r="AG26" s="206"/>
      <c r="AH26" s="206"/>
      <c r="AI26" s="206"/>
      <c r="AJ26" s="206"/>
      <c r="AK26" s="206"/>
      <c r="AL26" s="206"/>
      <c r="AM26" s="206"/>
      <c r="AN26" s="207"/>
    </row>
    <row r="27" spans="1:40" ht="13.5" customHeight="1">
      <c r="A27" s="205"/>
      <c r="B27" s="206"/>
      <c r="C27" s="206"/>
      <c r="D27" s="206"/>
      <c r="E27" s="206"/>
      <c r="F27" s="206"/>
      <c r="G27" s="206"/>
      <c r="H27" s="206"/>
      <c r="I27" s="206"/>
      <c r="J27" s="206"/>
      <c r="K27" s="206"/>
      <c r="L27" s="206"/>
      <c r="M27" s="206"/>
      <c r="N27" s="206"/>
      <c r="O27" s="206"/>
      <c r="P27" s="206"/>
      <c r="Q27" s="206"/>
      <c r="R27" s="206"/>
      <c r="S27" s="206"/>
      <c r="T27" s="206"/>
      <c r="U27" s="206"/>
      <c r="V27" s="206"/>
      <c r="W27" s="206"/>
      <c r="X27" s="206"/>
      <c r="Y27" s="260" t="s">
        <v>219</v>
      </c>
      <c r="Z27" s="261"/>
      <c r="AA27" s="261"/>
      <c r="AB27" s="261"/>
      <c r="AC27" s="262"/>
      <c r="AD27" s="260" t="s">
        <v>220</v>
      </c>
      <c r="AE27" s="261"/>
      <c r="AF27" s="261"/>
      <c r="AG27" s="261"/>
      <c r="AH27" s="262"/>
      <c r="AI27" s="266" t="s">
        <v>221</v>
      </c>
      <c r="AJ27" s="261"/>
      <c r="AK27" s="261"/>
      <c r="AL27" s="261"/>
      <c r="AM27" s="262"/>
      <c r="AN27" s="207"/>
    </row>
    <row r="28" spans="1:40" ht="13.5" customHeight="1">
      <c r="A28" s="205"/>
      <c r="B28" s="206"/>
      <c r="C28" s="206"/>
      <c r="D28" s="206"/>
      <c r="E28" s="206"/>
      <c r="F28" s="206"/>
      <c r="G28" s="206"/>
      <c r="H28" s="206"/>
      <c r="I28" s="206"/>
      <c r="J28" s="206"/>
      <c r="K28" s="206"/>
      <c r="L28" s="206"/>
      <c r="M28" s="206"/>
      <c r="N28" s="206"/>
      <c r="O28" s="206"/>
      <c r="P28" s="206"/>
      <c r="Q28" s="206"/>
      <c r="R28" s="206"/>
      <c r="S28" s="206"/>
      <c r="T28" s="206"/>
      <c r="U28" s="206"/>
      <c r="V28" s="206"/>
      <c r="W28" s="206"/>
      <c r="X28" s="206"/>
      <c r="Y28" s="201"/>
      <c r="Z28" s="202"/>
      <c r="AA28" s="202"/>
      <c r="AB28" s="202"/>
      <c r="AC28" s="203"/>
      <c r="AD28" s="201"/>
      <c r="AE28" s="202"/>
      <c r="AF28" s="202"/>
      <c r="AG28" s="202"/>
      <c r="AH28" s="202"/>
      <c r="AI28" s="209"/>
      <c r="AJ28" s="202"/>
      <c r="AK28" s="202"/>
      <c r="AL28" s="202"/>
      <c r="AM28" s="203"/>
      <c r="AN28" s="207"/>
    </row>
    <row r="29" spans="1:40" ht="13.5" customHeight="1">
      <c r="A29" s="205"/>
      <c r="B29" s="206"/>
      <c r="C29" s="206"/>
      <c r="D29" s="206"/>
      <c r="E29" s="206"/>
      <c r="F29" s="206"/>
      <c r="G29" s="206"/>
      <c r="H29" s="206"/>
      <c r="I29" s="206"/>
      <c r="J29" s="206"/>
      <c r="K29" s="206"/>
      <c r="L29" s="206"/>
      <c r="M29" s="206"/>
      <c r="N29" s="206"/>
      <c r="O29" s="206"/>
      <c r="P29" s="206"/>
      <c r="Q29" s="206"/>
      <c r="R29" s="206"/>
      <c r="S29" s="206"/>
      <c r="T29" s="206"/>
      <c r="U29" s="206"/>
      <c r="V29" s="206"/>
      <c r="W29" s="206"/>
      <c r="X29" s="206"/>
      <c r="Y29" s="205"/>
      <c r="Z29" s="206"/>
      <c r="AA29" s="206"/>
      <c r="AB29" s="206"/>
      <c r="AC29" s="207"/>
      <c r="AD29" s="205"/>
      <c r="AE29" s="206"/>
      <c r="AF29" s="206"/>
      <c r="AG29" s="206"/>
      <c r="AH29" s="207"/>
      <c r="AI29" s="205"/>
      <c r="AJ29" s="210"/>
      <c r="AK29" s="206"/>
      <c r="AL29" s="206"/>
      <c r="AM29" s="207"/>
      <c r="AN29" s="207"/>
    </row>
    <row r="30" spans="1:40" ht="13.5" customHeight="1">
      <c r="A30" s="205"/>
      <c r="B30" s="206"/>
      <c r="C30" s="206"/>
      <c r="D30" s="206"/>
      <c r="E30" s="206"/>
      <c r="F30" s="206"/>
      <c r="G30" s="206"/>
      <c r="H30" s="206"/>
      <c r="I30" s="206"/>
      <c r="J30" s="206"/>
      <c r="K30" s="206"/>
      <c r="L30" s="206"/>
      <c r="M30" s="206"/>
      <c r="N30" s="206"/>
      <c r="O30" s="206"/>
      <c r="P30" s="206"/>
      <c r="Q30" s="206"/>
      <c r="R30" s="206"/>
      <c r="S30" s="206"/>
      <c r="T30" s="206"/>
      <c r="U30" s="206"/>
      <c r="V30" s="206"/>
      <c r="W30" s="206"/>
      <c r="X30" s="206"/>
      <c r="Y30" s="205"/>
      <c r="Z30" s="206"/>
      <c r="AA30" s="211" t="s">
        <v>222</v>
      </c>
      <c r="AB30" s="206"/>
      <c r="AC30" s="207"/>
      <c r="AD30" s="205"/>
      <c r="AE30" s="206"/>
      <c r="AF30" s="211" t="s">
        <v>223</v>
      </c>
      <c r="AG30" s="206"/>
      <c r="AH30" s="207"/>
      <c r="AI30" s="205"/>
      <c r="AJ30" s="206"/>
      <c r="AK30" s="210"/>
      <c r="AL30" s="206"/>
      <c r="AM30" s="207"/>
      <c r="AN30" s="207"/>
    </row>
    <row r="31" spans="1:40" ht="13.5" customHeight="1">
      <c r="A31" s="205"/>
      <c r="B31" s="206"/>
      <c r="C31" s="206"/>
      <c r="D31" s="206"/>
      <c r="E31" s="206"/>
      <c r="F31" s="206"/>
      <c r="G31" s="206"/>
      <c r="H31" s="206"/>
      <c r="I31" s="206"/>
      <c r="J31" s="206"/>
      <c r="K31" s="206"/>
      <c r="L31" s="206"/>
      <c r="M31" s="206"/>
      <c r="N31" s="206"/>
      <c r="O31" s="206"/>
      <c r="P31" s="206"/>
      <c r="Q31" s="206"/>
      <c r="R31" s="206"/>
      <c r="S31" s="206"/>
      <c r="T31" s="206"/>
      <c r="U31" s="206"/>
      <c r="V31" s="206"/>
      <c r="W31" s="206"/>
      <c r="X31" s="206"/>
      <c r="Y31" s="205"/>
      <c r="Z31" s="206"/>
      <c r="AA31" s="206"/>
      <c r="AB31" s="206"/>
      <c r="AC31" s="207"/>
      <c r="AD31" s="205"/>
      <c r="AE31" s="206"/>
      <c r="AF31" s="206"/>
      <c r="AG31" s="206"/>
      <c r="AH31" s="207"/>
      <c r="AI31" s="205"/>
      <c r="AJ31" s="206"/>
      <c r="AK31" s="206"/>
      <c r="AL31" s="210"/>
      <c r="AM31" s="207"/>
      <c r="AN31" s="207"/>
    </row>
    <row r="32" spans="1:40" ht="13.5" customHeight="1">
      <c r="A32" s="205"/>
      <c r="B32" s="206"/>
      <c r="C32" s="206"/>
      <c r="D32" s="206"/>
      <c r="E32" s="206"/>
      <c r="F32" s="206"/>
      <c r="G32" s="206"/>
      <c r="H32" s="206"/>
      <c r="I32" s="206"/>
      <c r="J32" s="206"/>
      <c r="K32" s="206"/>
      <c r="L32" s="206"/>
      <c r="M32" s="206"/>
      <c r="N32" s="206"/>
      <c r="O32" s="206"/>
      <c r="P32" s="206"/>
      <c r="Q32" s="206"/>
      <c r="R32" s="206"/>
      <c r="S32" s="206"/>
      <c r="T32" s="206"/>
      <c r="U32" s="206"/>
      <c r="V32" s="206"/>
      <c r="W32" s="206"/>
      <c r="X32" s="206"/>
      <c r="Y32" s="212"/>
      <c r="Z32" s="213"/>
      <c r="AA32" s="213"/>
      <c r="AB32" s="213"/>
      <c r="AC32" s="214"/>
      <c r="AD32" s="212"/>
      <c r="AE32" s="213"/>
      <c r="AF32" s="213"/>
      <c r="AG32" s="213"/>
      <c r="AH32" s="214"/>
      <c r="AI32" s="212"/>
      <c r="AJ32" s="213"/>
      <c r="AK32" s="213"/>
      <c r="AL32" s="213"/>
      <c r="AM32" s="215"/>
      <c r="AN32" s="207"/>
    </row>
    <row r="33" spans="1:40" ht="13.5" customHeight="1">
      <c r="A33" s="205"/>
      <c r="B33" s="206"/>
      <c r="C33" s="206"/>
      <c r="D33" s="206"/>
      <c r="E33" s="206"/>
      <c r="F33" s="206"/>
      <c r="G33" s="206"/>
      <c r="H33" s="206"/>
      <c r="I33" s="206"/>
      <c r="J33" s="206"/>
      <c r="K33" s="206"/>
      <c r="L33" s="206"/>
      <c r="M33" s="206"/>
      <c r="N33" s="206"/>
      <c r="O33" s="206"/>
      <c r="P33" s="206"/>
      <c r="Q33" s="206"/>
      <c r="R33" s="206"/>
      <c r="S33" s="206"/>
      <c r="T33" s="206"/>
      <c r="U33" s="206"/>
      <c r="V33" s="206"/>
      <c r="W33" s="206"/>
      <c r="X33" s="206"/>
      <c r="Y33" s="206"/>
      <c r="Z33" s="206"/>
      <c r="AA33" s="206"/>
      <c r="AB33" s="206"/>
      <c r="AC33" s="206"/>
      <c r="AD33" s="206"/>
      <c r="AE33" s="206"/>
      <c r="AF33" s="206"/>
      <c r="AG33" s="206"/>
      <c r="AH33" s="206"/>
      <c r="AI33" s="206"/>
      <c r="AJ33" s="206"/>
      <c r="AK33" s="206"/>
      <c r="AL33" s="206"/>
      <c r="AM33" s="206"/>
      <c r="AN33" s="207"/>
    </row>
    <row r="34" spans="1:40" ht="13.5" customHeight="1">
      <c r="A34" s="205"/>
      <c r="B34" s="206"/>
      <c r="C34" s="206"/>
      <c r="D34" s="206"/>
      <c r="E34" s="206"/>
      <c r="F34" s="206"/>
      <c r="G34" s="206"/>
      <c r="H34" s="206"/>
      <c r="I34" s="206"/>
      <c r="J34" s="206"/>
      <c r="K34" s="206"/>
      <c r="L34" s="206"/>
      <c r="M34" s="206"/>
      <c r="N34" s="206"/>
      <c r="O34" s="206"/>
      <c r="P34" s="206"/>
      <c r="Q34" s="206"/>
      <c r="R34" s="206"/>
      <c r="S34" s="206"/>
      <c r="T34" s="206"/>
      <c r="U34" s="206"/>
      <c r="V34" s="206"/>
      <c r="W34" s="206"/>
      <c r="X34" s="206"/>
      <c r="Y34" s="258" t="s">
        <v>268</v>
      </c>
      <c r="Z34" s="206"/>
      <c r="AA34" s="206"/>
      <c r="AB34" s="206"/>
      <c r="AC34" s="206"/>
      <c r="AD34" s="206"/>
      <c r="AE34" s="206"/>
      <c r="AF34" s="206"/>
      <c r="AG34" s="206"/>
      <c r="AH34" s="206"/>
      <c r="AI34" s="206"/>
      <c r="AJ34" s="206"/>
      <c r="AK34" s="206"/>
      <c r="AL34" s="206"/>
      <c r="AM34" s="206"/>
      <c r="AN34" s="207"/>
    </row>
    <row r="35" spans="1:40" ht="13.5" customHeight="1">
      <c r="A35" s="205"/>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60" t="s">
        <v>219</v>
      </c>
      <c r="Z35" s="261"/>
      <c r="AA35" s="261"/>
      <c r="AB35" s="261"/>
      <c r="AC35" s="262"/>
      <c r="AD35" s="260" t="s">
        <v>220</v>
      </c>
      <c r="AE35" s="261"/>
      <c r="AF35" s="261"/>
      <c r="AG35" s="261"/>
      <c r="AH35" s="262"/>
      <c r="AI35" s="266" t="s">
        <v>221</v>
      </c>
      <c r="AJ35" s="261"/>
      <c r="AK35" s="261"/>
      <c r="AL35" s="261"/>
      <c r="AM35" s="262"/>
      <c r="AN35" s="207"/>
    </row>
    <row r="36" spans="1:40" ht="13.5" customHeight="1">
      <c r="A36" s="205"/>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1"/>
      <c r="Z36" s="202"/>
      <c r="AA36" s="202"/>
      <c r="AB36" s="202"/>
      <c r="AC36" s="203"/>
      <c r="AD36" s="201"/>
      <c r="AE36" s="202"/>
      <c r="AF36" s="202"/>
      <c r="AG36" s="202"/>
      <c r="AH36" s="202"/>
      <c r="AI36" s="201"/>
      <c r="AJ36" s="202"/>
      <c r="AK36" s="202"/>
      <c r="AL36" s="202"/>
      <c r="AM36" s="203"/>
      <c r="AN36" s="207"/>
    </row>
    <row r="37" spans="1:40" ht="13.5" customHeight="1">
      <c r="A37" s="205"/>
      <c r="B37" s="206"/>
      <c r="C37" s="206"/>
      <c r="D37" s="206"/>
      <c r="E37" s="206"/>
      <c r="F37" s="206"/>
      <c r="G37" s="206"/>
      <c r="H37" s="206"/>
      <c r="I37" s="206"/>
      <c r="J37" s="206"/>
      <c r="K37" s="206"/>
      <c r="L37" s="206"/>
      <c r="M37" s="206"/>
      <c r="N37" s="206"/>
      <c r="O37" s="206"/>
      <c r="P37" s="206"/>
      <c r="Q37" s="206"/>
      <c r="R37" s="206"/>
      <c r="S37" s="206"/>
      <c r="T37" s="206"/>
      <c r="U37" s="206"/>
      <c r="V37" s="206"/>
      <c r="W37" s="206"/>
      <c r="X37" s="206"/>
      <c r="Y37" s="205"/>
      <c r="Z37" s="206"/>
      <c r="AA37" s="206"/>
      <c r="AB37" s="206"/>
      <c r="AC37" s="207"/>
      <c r="AD37" s="205"/>
      <c r="AE37" s="206"/>
      <c r="AF37" s="206"/>
      <c r="AG37" s="206"/>
      <c r="AH37" s="207"/>
      <c r="AI37" s="205"/>
      <c r="AJ37" s="206"/>
      <c r="AK37" s="206"/>
      <c r="AL37" s="206"/>
      <c r="AM37" s="207"/>
      <c r="AN37" s="207"/>
    </row>
    <row r="38" spans="1:40" ht="13.5" customHeight="1">
      <c r="A38" s="205"/>
      <c r="B38" s="206"/>
      <c r="C38" s="206"/>
      <c r="D38" s="206"/>
      <c r="E38" s="206"/>
      <c r="F38" s="206"/>
      <c r="G38" s="206"/>
      <c r="H38" s="206"/>
      <c r="I38" s="206"/>
      <c r="J38" s="206"/>
      <c r="K38" s="206"/>
      <c r="L38" s="206"/>
      <c r="M38" s="206"/>
      <c r="N38" s="206"/>
      <c r="O38" s="206"/>
      <c r="P38" s="206"/>
      <c r="Q38" s="206"/>
      <c r="R38" s="206"/>
      <c r="S38" s="206"/>
      <c r="T38" s="206"/>
      <c r="U38" s="206"/>
      <c r="V38" s="206"/>
      <c r="W38" s="206"/>
      <c r="X38" s="206"/>
      <c r="Y38" s="205"/>
      <c r="Z38" s="206"/>
      <c r="AA38" s="211" t="s">
        <v>224</v>
      </c>
      <c r="AB38" s="206"/>
      <c r="AC38" s="207"/>
      <c r="AD38" s="205"/>
      <c r="AE38" s="206"/>
      <c r="AF38" s="211" t="s">
        <v>225</v>
      </c>
      <c r="AG38" s="206"/>
      <c r="AH38" s="207"/>
      <c r="AI38" s="205"/>
      <c r="AJ38" s="206"/>
      <c r="AK38" s="211" t="s">
        <v>225</v>
      </c>
      <c r="AL38" s="206"/>
      <c r="AM38" s="207"/>
      <c r="AN38" s="207"/>
    </row>
    <row r="39" spans="1:40" ht="13.5" customHeight="1">
      <c r="A39" s="205"/>
      <c r="B39" s="206"/>
      <c r="C39" s="206"/>
      <c r="D39" s="206"/>
      <c r="E39" s="206"/>
      <c r="F39" s="206"/>
      <c r="G39" s="206"/>
      <c r="H39" s="206"/>
      <c r="I39" s="206"/>
      <c r="J39" s="206"/>
      <c r="K39" s="206"/>
      <c r="L39" s="206"/>
      <c r="M39" s="206"/>
      <c r="N39" s="206"/>
      <c r="O39" s="206"/>
      <c r="P39" s="206"/>
      <c r="Q39" s="206"/>
      <c r="R39" s="206"/>
      <c r="S39" s="206"/>
      <c r="T39" s="206"/>
      <c r="U39" s="206"/>
      <c r="V39" s="206"/>
      <c r="W39" s="206"/>
      <c r="X39" s="206"/>
      <c r="Y39" s="205"/>
      <c r="Z39" s="206"/>
      <c r="AA39" s="206"/>
      <c r="AB39" s="206"/>
      <c r="AC39" s="207"/>
      <c r="AD39" s="205"/>
      <c r="AE39" s="206"/>
      <c r="AF39" s="206"/>
      <c r="AG39" s="206"/>
      <c r="AH39" s="207"/>
      <c r="AI39" s="205"/>
      <c r="AJ39" s="206"/>
      <c r="AK39" s="206"/>
      <c r="AL39" s="206"/>
      <c r="AM39" s="207"/>
      <c r="AN39" s="207"/>
    </row>
    <row r="40" spans="1:40" ht="13.5" customHeight="1">
      <c r="A40" s="205"/>
      <c r="B40" s="206"/>
      <c r="C40" s="206"/>
      <c r="D40" s="206"/>
      <c r="E40" s="206"/>
      <c r="F40" s="206"/>
      <c r="G40" s="206"/>
      <c r="H40" s="206"/>
      <c r="I40" s="206"/>
      <c r="J40" s="206"/>
      <c r="K40" s="206"/>
      <c r="L40" s="206"/>
      <c r="M40" s="206"/>
      <c r="N40" s="206"/>
      <c r="O40" s="206"/>
      <c r="P40" s="206"/>
      <c r="Q40" s="206"/>
      <c r="R40" s="206"/>
      <c r="S40" s="206"/>
      <c r="T40" s="206"/>
      <c r="U40" s="206"/>
      <c r="V40" s="206"/>
      <c r="W40" s="206"/>
      <c r="X40" s="206"/>
      <c r="Y40" s="212"/>
      <c r="Z40" s="213"/>
      <c r="AA40" s="213"/>
      <c r="AB40" s="213"/>
      <c r="AC40" s="214"/>
      <c r="AD40" s="212"/>
      <c r="AE40" s="213"/>
      <c r="AF40" s="213"/>
      <c r="AG40" s="213"/>
      <c r="AH40" s="214"/>
      <c r="AI40" s="212"/>
      <c r="AJ40" s="213"/>
      <c r="AK40" s="213"/>
      <c r="AL40" s="213"/>
      <c r="AM40" s="214"/>
      <c r="AN40" s="207"/>
    </row>
    <row r="41" spans="1:40" ht="13.5" customHeight="1">
      <c r="A41" s="205"/>
      <c r="B41" s="206"/>
      <c r="C41" s="206"/>
      <c r="D41" s="206"/>
      <c r="E41" s="206"/>
      <c r="F41" s="206"/>
      <c r="G41" s="206"/>
      <c r="H41" s="206"/>
      <c r="I41" s="206"/>
      <c r="J41" s="206"/>
      <c r="K41" s="206"/>
      <c r="L41" s="206"/>
      <c r="M41" s="206"/>
      <c r="N41" s="206"/>
      <c r="O41" s="206"/>
      <c r="P41" s="206"/>
      <c r="Q41" s="206"/>
      <c r="R41" s="206"/>
      <c r="S41" s="206"/>
      <c r="T41" s="206"/>
      <c r="U41" s="206"/>
      <c r="V41" s="206"/>
      <c r="W41" s="206"/>
      <c r="X41" s="206"/>
      <c r="Y41" s="206"/>
      <c r="Z41" s="206"/>
      <c r="AA41" s="206"/>
      <c r="AB41" s="206"/>
      <c r="AC41" s="206"/>
      <c r="AD41" s="206"/>
      <c r="AE41" s="206"/>
      <c r="AF41" s="206"/>
      <c r="AG41" s="206"/>
      <c r="AH41" s="206"/>
      <c r="AI41" s="206"/>
      <c r="AJ41" s="206"/>
      <c r="AK41" s="206"/>
      <c r="AL41" s="206"/>
      <c r="AM41" s="206"/>
      <c r="AN41" s="207"/>
    </row>
    <row r="42" spans="1:40" ht="13.5" customHeight="1">
      <c r="A42" s="205"/>
      <c r="B42" s="206"/>
      <c r="C42" s="206"/>
      <c r="D42" s="206"/>
      <c r="E42" s="206"/>
      <c r="F42" s="206"/>
      <c r="G42" s="206"/>
      <c r="H42" s="206"/>
      <c r="I42" s="206"/>
      <c r="J42" s="206"/>
      <c r="K42" s="206"/>
      <c r="L42" s="206"/>
      <c r="M42" s="206"/>
      <c r="N42" s="206"/>
      <c r="O42" s="206"/>
      <c r="P42" s="206"/>
      <c r="Q42" s="206"/>
      <c r="R42" s="206"/>
      <c r="S42" s="206"/>
      <c r="T42" s="206"/>
      <c r="U42" s="206"/>
      <c r="V42" s="206"/>
      <c r="W42" s="206"/>
      <c r="X42" s="206"/>
      <c r="Y42" s="208" t="s">
        <v>226</v>
      </c>
      <c r="Z42" s="206"/>
      <c r="AA42" s="206"/>
      <c r="AB42" s="206"/>
      <c r="AC42" s="206"/>
      <c r="AD42" s="206"/>
      <c r="AE42" s="206"/>
      <c r="AF42" s="206"/>
      <c r="AG42" s="206"/>
      <c r="AH42" s="206"/>
      <c r="AI42" s="206"/>
      <c r="AJ42" s="206"/>
      <c r="AK42" s="206"/>
      <c r="AL42" s="206"/>
      <c r="AM42" s="206"/>
      <c r="AN42" s="207"/>
    </row>
    <row r="43" spans="1:40" ht="13.5" customHeight="1">
      <c r="A43" s="205"/>
      <c r="B43" s="206"/>
      <c r="C43" s="206"/>
      <c r="D43" s="206"/>
      <c r="E43" s="206"/>
      <c r="F43" s="206"/>
      <c r="G43" s="206"/>
      <c r="H43" s="206"/>
      <c r="I43" s="206"/>
      <c r="J43" s="206"/>
      <c r="K43" s="206"/>
      <c r="L43" s="206"/>
      <c r="M43" s="206"/>
      <c r="N43" s="206"/>
      <c r="O43" s="206"/>
      <c r="P43" s="206"/>
      <c r="Q43" s="206"/>
      <c r="R43" s="206"/>
      <c r="S43" s="206"/>
      <c r="T43" s="206"/>
      <c r="U43" s="206"/>
      <c r="V43" s="206"/>
      <c r="W43" s="206"/>
      <c r="X43" s="206"/>
      <c r="Y43" s="260" t="s">
        <v>219</v>
      </c>
      <c r="Z43" s="261"/>
      <c r="AA43" s="261"/>
      <c r="AB43" s="261"/>
      <c r="AC43" s="262"/>
      <c r="AD43" s="260" t="s">
        <v>220</v>
      </c>
      <c r="AE43" s="261"/>
      <c r="AF43" s="261"/>
      <c r="AG43" s="261"/>
      <c r="AH43" s="262"/>
      <c r="AI43" s="260" t="s">
        <v>221</v>
      </c>
      <c r="AJ43" s="261"/>
      <c r="AK43" s="261"/>
      <c r="AL43" s="261"/>
      <c r="AM43" s="262"/>
      <c r="AN43" s="207"/>
    </row>
    <row r="44" spans="1:40" ht="13.5" customHeight="1">
      <c r="A44" s="205"/>
      <c r="B44" s="206"/>
      <c r="C44" s="206"/>
      <c r="D44" s="206"/>
      <c r="E44" s="206"/>
      <c r="F44" s="206"/>
      <c r="G44" s="206"/>
      <c r="H44" s="206"/>
      <c r="I44" s="206"/>
      <c r="J44" s="206"/>
      <c r="K44" s="206"/>
      <c r="L44" s="206"/>
      <c r="M44" s="206"/>
      <c r="N44" s="206"/>
      <c r="O44" s="206"/>
      <c r="P44" s="206"/>
      <c r="Q44" s="206"/>
      <c r="R44" s="206"/>
      <c r="S44" s="206"/>
      <c r="T44" s="206"/>
      <c r="U44" s="206"/>
      <c r="V44" s="206"/>
      <c r="W44" s="206"/>
      <c r="X44" s="206"/>
      <c r="Y44" s="209"/>
      <c r="Z44" s="202"/>
      <c r="AA44" s="202"/>
      <c r="AB44" s="202"/>
      <c r="AC44" s="203"/>
      <c r="AD44" s="209"/>
      <c r="AE44" s="202"/>
      <c r="AF44" s="202"/>
      <c r="AG44" s="202"/>
      <c r="AH44" s="203"/>
      <c r="AI44" s="201"/>
      <c r="AJ44" s="202"/>
      <c r="AK44" s="202"/>
      <c r="AL44" s="202"/>
      <c r="AM44" s="203"/>
      <c r="AN44" s="207"/>
    </row>
    <row r="45" spans="1:40" ht="13.5" customHeight="1">
      <c r="A45" s="205"/>
      <c r="B45" s="206"/>
      <c r="C45" s="206"/>
      <c r="D45" s="206"/>
      <c r="E45" s="206"/>
      <c r="F45" s="206"/>
      <c r="G45" s="206"/>
      <c r="H45" s="206"/>
      <c r="I45" s="206"/>
      <c r="J45" s="206"/>
      <c r="K45" s="206"/>
      <c r="L45" s="206"/>
      <c r="M45" s="206"/>
      <c r="N45" s="206"/>
      <c r="O45" s="206"/>
      <c r="P45" s="206"/>
      <c r="Q45" s="206"/>
      <c r="R45" s="206"/>
      <c r="S45" s="206"/>
      <c r="T45" s="206"/>
      <c r="U45" s="206"/>
      <c r="V45" s="206"/>
      <c r="W45" s="206"/>
      <c r="X45" s="206"/>
      <c r="Y45" s="205"/>
      <c r="Z45" s="210"/>
      <c r="AA45" s="206"/>
      <c r="AB45" s="206"/>
      <c r="AC45" s="207"/>
      <c r="AD45" s="205"/>
      <c r="AE45" s="210"/>
      <c r="AF45" s="206"/>
      <c r="AG45" s="206"/>
      <c r="AH45" s="207"/>
      <c r="AI45" s="205"/>
      <c r="AJ45" s="327"/>
      <c r="AK45" s="327"/>
      <c r="AL45" s="327"/>
      <c r="AM45" s="207"/>
      <c r="AN45" s="207"/>
    </row>
    <row r="46" spans="1:40" ht="13.5" customHeight="1">
      <c r="A46" s="205"/>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5"/>
      <c r="Z46" s="206"/>
      <c r="AA46" s="210"/>
      <c r="AB46" s="206"/>
      <c r="AC46" s="207"/>
      <c r="AD46" s="205"/>
      <c r="AE46" s="206"/>
      <c r="AF46" s="210"/>
      <c r="AG46" s="206"/>
      <c r="AH46" s="207"/>
      <c r="AI46" s="205"/>
      <c r="AJ46" s="327"/>
      <c r="AK46" s="327"/>
      <c r="AL46" s="327"/>
      <c r="AM46" s="207"/>
      <c r="AN46" s="207"/>
    </row>
    <row r="47" spans="1:40" ht="13.5" customHeight="1">
      <c r="A47" s="205"/>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5"/>
      <c r="Z47" s="206"/>
      <c r="AA47" s="206"/>
      <c r="AB47" s="210"/>
      <c r="AC47" s="207"/>
      <c r="AD47" s="205"/>
      <c r="AE47" s="206"/>
      <c r="AF47" s="206"/>
      <c r="AG47" s="210"/>
      <c r="AH47" s="207"/>
      <c r="AI47" s="205"/>
      <c r="AJ47" s="327"/>
      <c r="AK47" s="327"/>
      <c r="AL47" s="327"/>
      <c r="AM47" s="207"/>
      <c r="AN47" s="207"/>
    </row>
    <row r="48" spans="1:40" ht="13.5" customHeight="1">
      <c r="A48" s="205"/>
      <c r="B48" s="206"/>
      <c r="C48" s="206"/>
      <c r="D48" s="206"/>
      <c r="E48" s="206"/>
      <c r="F48" s="206"/>
      <c r="G48" s="206"/>
      <c r="H48" s="206"/>
      <c r="I48" s="206"/>
      <c r="J48" s="206"/>
      <c r="K48" s="206"/>
      <c r="L48" s="206"/>
      <c r="M48" s="206"/>
      <c r="N48" s="206"/>
      <c r="O48" s="206"/>
      <c r="P48" s="206"/>
      <c r="Q48" s="206"/>
      <c r="R48" s="206"/>
      <c r="S48" s="206"/>
      <c r="T48" s="206"/>
      <c r="U48" s="206"/>
      <c r="V48" s="206"/>
      <c r="W48" s="206"/>
      <c r="X48" s="206"/>
      <c r="Y48" s="212"/>
      <c r="Z48" s="213"/>
      <c r="AA48" s="213"/>
      <c r="AB48" s="213"/>
      <c r="AC48" s="215"/>
      <c r="AD48" s="212"/>
      <c r="AE48" s="213"/>
      <c r="AF48" s="213"/>
      <c r="AG48" s="213"/>
      <c r="AH48" s="215"/>
      <c r="AI48" s="212"/>
      <c r="AJ48" s="213"/>
      <c r="AK48" s="213"/>
      <c r="AL48" s="213"/>
      <c r="AM48" s="214"/>
      <c r="AN48" s="207"/>
    </row>
    <row r="49" spans="1:40" ht="13.5" customHeight="1">
      <c r="A49" s="212"/>
      <c r="B49" s="213"/>
      <c r="C49" s="213"/>
      <c r="D49" s="213"/>
      <c r="E49" s="213"/>
      <c r="F49" s="213"/>
      <c r="G49" s="213"/>
      <c r="H49" s="213"/>
      <c r="I49" s="213"/>
      <c r="J49" s="213"/>
      <c r="K49" s="213"/>
      <c r="L49" s="213"/>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4"/>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0481" r:id="rId4">
          <objectPr defaultSize="0" autoPict="0" r:id="rId5">
            <anchor>
              <from>
                <xdr:col>35</xdr:col>
                <xdr:colOff>22860</xdr:colOff>
                <xdr:row>44</xdr:row>
                <xdr:rowOff>83820</xdr:rowOff>
              </from>
              <to>
                <xdr:col>38</xdr:col>
                <xdr:colOff>121920</xdr:colOff>
                <xdr:row>47</xdr:row>
                <xdr:rowOff>121920</xdr:rowOff>
              </to>
            </anchor>
          </objectPr>
        </oleObject>
      </mc:Choice>
      <mc:Fallback>
        <oleObject progId="Dstmp.StampObject.7" shapeId="2048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2"/>
  <cols>
    <col min="1" max="1" width="4.44140625" customWidth="1"/>
    <col min="2" max="2" width="9" style="10" hidden="1" customWidth="1"/>
    <col min="4" max="4" width="69.44140625" customWidth="1"/>
    <col min="5" max="6" width="12.77734375" customWidth="1"/>
    <col min="7" max="18" width="13.109375" hidden="1" customWidth="1"/>
    <col min="19" max="22" width="0" hidden="1" customWidth="1"/>
    <col min="24" max="24" width="11.6640625" bestFit="1" customWidth="1"/>
  </cols>
  <sheetData>
    <row r="2" spans="2:24" ht="25.5" customHeight="1">
      <c r="C2" s="7"/>
      <c r="D2" s="7"/>
      <c r="E2" s="7"/>
      <c r="F2" s="7"/>
      <c r="H2" s="8" t="s">
        <v>13</v>
      </c>
      <c r="I2" s="267" t="s">
        <v>14</v>
      </c>
      <c r="J2" s="267"/>
      <c r="K2" s="267"/>
      <c r="L2" s="267"/>
      <c r="M2" s="267"/>
      <c r="N2" s="267"/>
      <c r="O2" s="267"/>
      <c r="P2" s="267"/>
      <c r="Q2" s="267"/>
      <c r="R2" s="267"/>
    </row>
    <row r="3" spans="2:24" ht="25.5" customHeight="1">
      <c r="C3" s="7"/>
      <c r="D3" s="11" t="str">
        <f ca="1">REPLACE(LEFT(CELL("filename",$B$1),FIND(".xls",CELL("filename",$B$1))-1),1,FIND("[",CELL("filename",$B$1)),)</f>
        <v>alert_S_ADBZR_TCHAR-CSTD-0-06-A-C0</v>
      </c>
      <c r="E3" s="7"/>
      <c r="F3" s="7"/>
      <c r="H3" s="9" t="s">
        <v>177</v>
      </c>
      <c r="I3" s="268" t="s">
        <v>176</v>
      </c>
      <c r="J3" s="269"/>
      <c r="K3" s="269"/>
      <c r="L3" s="269"/>
      <c r="M3" s="269"/>
      <c r="N3" s="269"/>
      <c r="O3" s="269"/>
      <c r="P3" s="269"/>
      <c r="Q3" s="269"/>
      <c r="R3" s="269"/>
    </row>
    <row r="4" spans="2:24" ht="25.5" customHeight="1">
      <c r="C4" s="7"/>
      <c r="D4" s="7"/>
      <c r="E4" s="24" t="str">
        <f>DGET(B8:C14,"Ver.",H4:H5)</f>
        <v>1.1.1</v>
      </c>
      <c r="F4" s="7"/>
      <c r="H4" s="10" t="s">
        <v>15</v>
      </c>
    </row>
    <row r="5" spans="2:24" ht="25.5" customHeight="1">
      <c r="C5" s="7"/>
      <c r="D5" s="7"/>
      <c r="E5" s="7"/>
      <c r="F5" s="7"/>
      <c r="H5" s="12">
        <f>MAX(B9:B14)</f>
        <v>3</v>
      </c>
    </row>
    <row r="6" spans="2:24" ht="13.8" thickBot="1"/>
    <row r="7" spans="2:24">
      <c r="C7" s="273" t="s">
        <v>0</v>
      </c>
      <c r="D7" s="274"/>
      <c r="E7" s="275" t="s">
        <v>2</v>
      </c>
      <c r="F7" s="275"/>
      <c r="G7" s="276" t="s">
        <v>5</v>
      </c>
      <c r="H7" s="276"/>
      <c r="I7" s="276"/>
      <c r="J7" s="276"/>
      <c r="K7" s="276"/>
      <c r="L7" s="276"/>
      <c r="M7" s="277" t="s">
        <v>12</v>
      </c>
      <c r="N7" s="277"/>
      <c r="O7" s="277"/>
      <c r="P7" s="277"/>
      <c r="Q7" s="277"/>
      <c r="R7" s="278"/>
      <c r="S7" s="270" t="s">
        <v>227</v>
      </c>
      <c r="T7" s="271"/>
      <c r="U7" s="271"/>
      <c r="V7" s="271"/>
      <c r="W7" s="271"/>
      <c r="X7" s="272"/>
    </row>
    <row r="8" spans="2:24" ht="27"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16" t="s">
        <v>228</v>
      </c>
      <c r="T8" s="17" t="s">
        <v>7</v>
      </c>
      <c r="U8" s="17" t="s">
        <v>8</v>
      </c>
      <c r="V8" s="17" t="s">
        <v>9</v>
      </c>
      <c r="W8" s="17" t="s">
        <v>10</v>
      </c>
      <c r="X8" s="217" t="s">
        <v>11</v>
      </c>
    </row>
    <row r="9" spans="2:24" ht="13.8" thickTop="1">
      <c r="B9" s="10">
        <f>IF(C9=0,0,ROW()-ROW($B$8))</f>
        <v>1</v>
      </c>
      <c r="C9" s="13" t="s">
        <v>199</v>
      </c>
      <c r="D9" s="200" t="s">
        <v>19</v>
      </c>
      <c r="E9" s="14" t="s">
        <v>30</v>
      </c>
      <c r="F9" s="14" t="s">
        <v>200</v>
      </c>
      <c r="G9" s="14" t="s">
        <v>30</v>
      </c>
      <c r="H9" s="14" t="s">
        <v>30</v>
      </c>
      <c r="I9" s="14" t="s">
        <v>30</v>
      </c>
      <c r="J9" s="14" t="s">
        <v>30</v>
      </c>
      <c r="K9" s="14" t="s">
        <v>30</v>
      </c>
      <c r="L9" s="14" t="s">
        <v>30</v>
      </c>
      <c r="M9" s="14" t="s">
        <v>30</v>
      </c>
      <c r="N9" s="188" t="s">
        <v>30</v>
      </c>
      <c r="O9" s="14" t="s">
        <v>30</v>
      </c>
      <c r="P9" s="188" t="s">
        <v>30</v>
      </c>
      <c r="Q9" s="14" t="s">
        <v>30</v>
      </c>
      <c r="R9" s="182" t="s">
        <v>30</v>
      </c>
      <c r="S9" s="218" t="s">
        <v>30</v>
      </c>
      <c r="T9" s="14" t="s">
        <v>30</v>
      </c>
      <c r="U9" s="14" t="s">
        <v>30</v>
      </c>
      <c r="V9" s="14" t="s">
        <v>30</v>
      </c>
      <c r="W9" s="14" t="s">
        <v>229</v>
      </c>
      <c r="X9" s="189">
        <v>45287</v>
      </c>
    </row>
    <row r="10" spans="2:24" ht="118.8">
      <c r="B10" s="10">
        <f>IF(C10=0,0,ROW()-ROW($B$8))</f>
        <v>2</v>
      </c>
      <c r="C10" s="2" t="s">
        <v>260</v>
      </c>
      <c r="D10" s="248" t="s">
        <v>261</v>
      </c>
      <c r="E10" s="1" t="s">
        <v>154</v>
      </c>
      <c r="F10" s="14" t="s">
        <v>200</v>
      </c>
      <c r="G10" s="14"/>
      <c r="H10" s="14"/>
      <c r="I10" s="14"/>
      <c r="J10" s="14"/>
      <c r="K10" s="1" t="s">
        <v>259</v>
      </c>
      <c r="L10" s="193">
        <v>45838</v>
      </c>
      <c r="M10" s="1" t="s">
        <v>30</v>
      </c>
      <c r="N10" s="1" t="s">
        <v>30</v>
      </c>
      <c r="O10" s="1" t="s">
        <v>30</v>
      </c>
      <c r="P10" s="1" t="s">
        <v>30</v>
      </c>
      <c r="Q10" s="1" t="s">
        <v>30</v>
      </c>
      <c r="R10" s="70" t="s">
        <v>30</v>
      </c>
      <c r="S10" s="184" t="s">
        <v>30</v>
      </c>
      <c r="T10" s="1" t="s">
        <v>30</v>
      </c>
      <c r="U10" s="1" t="s">
        <v>30</v>
      </c>
      <c r="V10" s="1" t="s">
        <v>30</v>
      </c>
      <c r="W10" s="1" t="s">
        <v>30</v>
      </c>
      <c r="X10" s="70" t="s">
        <v>30</v>
      </c>
    </row>
    <row r="11" spans="2:24" ht="158.4">
      <c r="B11" s="10">
        <f>IF(C11=0,0,ROW()-ROW($B$8))</f>
        <v>3</v>
      </c>
      <c r="C11" s="252" t="s">
        <v>274</v>
      </c>
      <c r="D11" s="253" t="s">
        <v>271</v>
      </c>
      <c r="E11" s="254" t="s">
        <v>154</v>
      </c>
      <c r="F11" s="254" t="s">
        <v>262</v>
      </c>
      <c r="G11" s="254"/>
      <c r="H11" s="254"/>
      <c r="I11" s="254"/>
      <c r="J11" s="254"/>
      <c r="K11" s="1" t="s">
        <v>30</v>
      </c>
      <c r="L11" s="1" t="s">
        <v>30</v>
      </c>
      <c r="M11" s="254"/>
      <c r="N11" s="254"/>
      <c r="O11" s="254"/>
      <c r="P11" s="254"/>
      <c r="Q11" s="254"/>
      <c r="R11" s="255"/>
      <c r="S11" s="256"/>
      <c r="T11" s="257"/>
      <c r="U11" s="257"/>
      <c r="V11" s="257"/>
      <c r="W11" s="254" t="s">
        <v>263</v>
      </c>
      <c r="X11" s="328">
        <v>46006</v>
      </c>
    </row>
    <row r="12" spans="2:24">
      <c r="B12" s="10">
        <f>IF(C12=0,0,ROW()-ROW($B$8))</f>
        <v>0</v>
      </c>
      <c r="C12" s="2"/>
      <c r="D12" s="1"/>
      <c r="E12" s="1"/>
      <c r="F12" s="1"/>
      <c r="G12" s="1"/>
      <c r="H12" s="1"/>
      <c r="I12" s="1"/>
      <c r="J12" s="1"/>
      <c r="K12" s="1"/>
      <c r="L12" s="1"/>
      <c r="M12" s="1"/>
      <c r="N12" s="1"/>
      <c r="O12" s="1"/>
      <c r="P12" s="1"/>
      <c r="Q12" s="1"/>
      <c r="R12" s="3"/>
      <c r="S12" s="218"/>
      <c r="T12" s="14"/>
      <c r="U12" s="14"/>
      <c r="V12" s="14"/>
      <c r="W12" s="14"/>
      <c r="X12" s="189"/>
    </row>
    <row r="13" spans="2:24" ht="13.8" thickBot="1">
      <c r="B13" s="10">
        <f>IF(C13=0,0,ROW()-ROW($B$8))</f>
        <v>0</v>
      </c>
      <c r="C13" s="4"/>
      <c r="D13" s="5"/>
      <c r="E13" s="5"/>
      <c r="F13" s="5"/>
      <c r="G13" s="5"/>
      <c r="H13" s="5"/>
      <c r="I13" s="5"/>
      <c r="J13" s="5"/>
      <c r="K13" s="5"/>
      <c r="L13" s="5"/>
      <c r="M13" s="5"/>
      <c r="N13" s="5"/>
      <c r="O13" s="5"/>
      <c r="P13" s="5"/>
      <c r="Q13" s="5"/>
      <c r="R13" s="6"/>
      <c r="S13" s="5"/>
      <c r="T13" s="5"/>
      <c r="U13" s="5"/>
      <c r="V13" s="5"/>
      <c r="W13" s="5"/>
      <c r="X13" s="21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44" t="s">
        <v>125</v>
      </c>
    </row>
    <row r="3" spans="2:5">
      <c r="C3" t="s">
        <v>135</v>
      </c>
    </row>
    <row r="6" spans="2:5" ht="13.8" thickBot="1">
      <c r="B6" s="144" t="s">
        <v>126</v>
      </c>
      <c r="C6" s="144"/>
    </row>
    <row r="7" spans="2:5" ht="13.8" thickBot="1">
      <c r="C7" s="71" t="s">
        <v>128</v>
      </c>
      <c r="D7" s="79"/>
      <c r="E7" s="72" t="s">
        <v>136</v>
      </c>
    </row>
    <row r="8" spans="2:5" ht="20.25" customHeight="1" thickTop="1">
      <c r="C8" s="148">
        <v>0</v>
      </c>
      <c r="D8" s="80" t="s">
        <v>137</v>
      </c>
      <c r="E8" s="147" t="s">
        <v>215</v>
      </c>
    </row>
    <row r="9" spans="2:5">
      <c r="C9" s="154"/>
      <c r="D9" s="156"/>
      <c r="E9" s="155"/>
    </row>
    <row r="10" spans="2:5" ht="13.8" thickBot="1">
      <c r="C10" s="152"/>
      <c r="D10" s="82"/>
      <c r="E10" s="6"/>
    </row>
    <row r="11" spans="2:5">
      <c r="C11" s="150"/>
    </row>
    <row r="12" spans="2:5" ht="13.8" thickBot="1">
      <c r="B12" s="145" t="s">
        <v>127</v>
      </c>
      <c r="C12" s="78"/>
      <c r="D12" s="78"/>
    </row>
    <row r="13" spans="2:5" ht="13.8" thickBot="1">
      <c r="B13" s="146"/>
      <c r="C13" s="151" t="s">
        <v>128</v>
      </c>
      <c r="D13" s="79" t="s">
        <v>129</v>
      </c>
      <c r="E13" s="72" t="s">
        <v>130</v>
      </c>
    </row>
    <row r="14" spans="2:5" ht="13.8" thickTop="1">
      <c r="C14" s="148">
        <v>0</v>
      </c>
      <c r="D14" s="80" t="s">
        <v>142</v>
      </c>
      <c r="E14" s="153" t="s">
        <v>143</v>
      </c>
    </row>
    <row r="15" spans="2:5">
      <c r="C15" s="149">
        <v>1</v>
      </c>
      <c r="D15" s="81" t="s">
        <v>22</v>
      </c>
      <c r="E15" s="70" t="s">
        <v>131</v>
      </c>
    </row>
    <row r="16" spans="2:5">
      <c r="C16" s="149">
        <v>2</v>
      </c>
      <c r="D16" s="81" t="s">
        <v>23</v>
      </c>
      <c r="E16" s="70" t="s">
        <v>132</v>
      </c>
    </row>
    <row r="17" spans="2:5">
      <c r="C17" s="149">
        <v>3</v>
      </c>
      <c r="D17" s="81" t="s">
        <v>24</v>
      </c>
      <c r="E17" s="70" t="s">
        <v>133</v>
      </c>
    </row>
    <row r="18" spans="2:5">
      <c r="C18" s="149">
        <v>4</v>
      </c>
      <c r="D18" s="81" t="s">
        <v>25</v>
      </c>
      <c r="E18" s="70" t="s">
        <v>134</v>
      </c>
    </row>
    <row r="19" spans="2:5">
      <c r="C19" s="149">
        <v>5</v>
      </c>
      <c r="D19" s="81" t="s">
        <v>144</v>
      </c>
      <c r="E19" s="70" t="s">
        <v>146</v>
      </c>
    </row>
    <row r="20" spans="2:5">
      <c r="C20" s="149">
        <v>6</v>
      </c>
      <c r="D20" s="81" t="s">
        <v>150</v>
      </c>
      <c r="E20" s="70" t="s">
        <v>170</v>
      </c>
    </row>
    <row r="21" spans="2:5" ht="13.8" thickBot="1">
      <c r="C21" s="152"/>
      <c r="D21" s="82"/>
      <c r="E21" s="6"/>
    </row>
    <row r="24" spans="2:5" ht="13.8" thickBot="1">
      <c r="B24" s="144" t="s">
        <v>138</v>
      </c>
    </row>
    <row r="25" spans="2:5" ht="13.8" thickBot="1">
      <c r="C25" s="151" t="s">
        <v>128</v>
      </c>
      <c r="D25" s="79" t="s">
        <v>129</v>
      </c>
      <c r="E25" s="72" t="s">
        <v>130</v>
      </c>
    </row>
    <row r="26" spans="2:5" ht="30.75" customHeight="1" thickTop="1">
      <c r="C26" s="148">
        <v>0</v>
      </c>
      <c r="D26" s="80" t="s">
        <v>139</v>
      </c>
      <c r="E26" s="153" t="s">
        <v>147</v>
      </c>
    </row>
    <row r="27" spans="2:5" ht="120" customHeight="1">
      <c r="C27" s="149">
        <v>1</v>
      </c>
      <c r="D27" s="81" t="s">
        <v>173</v>
      </c>
      <c r="E27" s="83" t="s">
        <v>175</v>
      </c>
    </row>
    <row r="28" spans="2:5" ht="81" customHeight="1">
      <c r="C28" s="149">
        <v>2</v>
      </c>
      <c r="D28" s="81" t="s">
        <v>169</v>
      </c>
      <c r="E28" s="83" t="s">
        <v>181</v>
      </c>
    </row>
    <row r="29" spans="2:5" ht="45" customHeight="1">
      <c r="C29" s="149">
        <v>3</v>
      </c>
      <c r="D29" s="81" t="s">
        <v>145</v>
      </c>
      <c r="E29" s="83" t="s">
        <v>148</v>
      </c>
    </row>
    <row r="30" spans="2:5" ht="16.5" customHeight="1">
      <c r="C30" s="149">
        <v>4</v>
      </c>
      <c r="D30" s="81" t="s">
        <v>140</v>
      </c>
      <c r="E30" s="70" t="s">
        <v>152</v>
      </c>
    </row>
    <row r="31" spans="2:5" ht="16.5" customHeight="1">
      <c r="C31" s="149">
        <v>5</v>
      </c>
      <c r="D31" s="81" t="s">
        <v>141</v>
      </c>
      <c r="E31" s="70" t="s">
        <v>149</v>
      </c>
    </row>
    <row r="32" spans="2:5">
      <c r="C32" s="149"/>
      <c r="D32" s="81"/>
      <c r="E32" s="70"/>
    </row>
    <row r="33" spans="2:5">
      <c r="C33" s="149"/>
      <c r="D33" s="81"/>
      <c r="E33" s="70"/>
    </row>
    <row r="34" spans="2:5" ht="13.8" thickBot="1">
      <c r="C34" s="152"/>
      <c r="D34" s="82"/>
      <c r="E34" s="6"/>
    </row>
    <row r="37" spans="2:5" ht="13.8" thickBot="1">
      <c r="B37" s="144" t="s">
        <v>166</v>
      </c>
    </row>
    <row r="38" spans="2:5">
      <c r="C38" s="279"/>
      <c r="D38" s="280"/>
      <c r="E38" s="106" t="s">
        <v>117</v>
      </c>
    </row>
    <row r="39" spans="2:5" ht="13.8" thickBot="1">
      <c r="C39" s="281"/>
      <c r="D39" s="282"/>
      <c r="E39" s="6"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95" t="s">
        <v>18</v>
      </c>
      <c r="C2" s="296"/>
      <c r="D2" s="283" t="s">
        <v>272</v>
      </c>
      <c r="E2" s="284"/>
      <c r="F2" s="284"/>
      <c r="G2" s="284"/>
      <c r="H2" s="285"/>
    </row>
    <row r="3" spans="2:14">
      <c r="B3" s="297" t="s">
        <v>115</v>
      </c>
      <c r="C3" s="298"/>
      <c r="D3" s="301" t="s">
        <v>270</v>
      </c>
      <c r="E3" s="302"/>
      <c r="F3" s="302"/>
      <c r="G3" s="302"/>
      <c r="H3" s="303"/>
    </row>
    <row r="4" spans="2:14" ht="13.8" thickBot="1">
      <c r="B4" s="299" t="s">
        <v>17</v>
      </c>
      <c r="C4" s="300"/>
      <c r="D4" s="286" t="str">
        <f ca="1">表紙!D3&amp;".c"</f>
        <v>alert_S_ADBZR_TCHAR-CSTD-0-06-A-C0.c</v>
      </c>
      <c r="E4" s="287"/>
      <c r="F4" s="287"/>
      <c r="G4" s="287"/>
      <c r="H4" s="288"/>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95" t="s">
        <v>35</v>
      </c>
      <c r="C6" s="296"/>
      <c r="D6" s="289" t="str">
        <f ca="1">MID(D4, LEN("alert_") + 1, FIND("-",D4,1) - LEN("alert_") - 1)</f>
        <v>S_ADBZR_TCHAR</v>
      </c>
      <c r="E6" s="290"/>
      <c r="F6" s="290"/>
      <c r="G6" s="290"/>
      <c r="H6" s="291"/>
    </row>
    <row r="7" spans="2:14">
      <c r="B7" s="297" t="s">
        <v>36</v>
      </c>
      <c r="C7" s="298"/>
      <c r="D7" s="292">
        <f>COUNTA($D$13:$D$37)</f>
        <v>1</v>
      </c>
      <c r="E7" s="293"/>
      <c r="F7" s="293"/>
      <c r="G7" s="293"/>
      <c r="H7" s="294"/>
    </row>
    <row r="8" spans="2:14">
      <c r="B8" s="297" t="s">
        <v>94</v>
      </c>
      <c r="C8" s="298"/>
      <c r="D8" s="292" t="str">
        <f ca="1">"st_gp_ALERT_"&amp;UPPER(D6)&amp;"_MTRX"</f>
        <v>st_gp_ALERT_S_ADBZR_TCHAR_MTRX</v>
      </c>
      <c r="E8" s="293"/>
      <c r="F8" s="293"/>
      <c r="G8" s="293"/>
      <c r="H8" s="294"/>
    </row>
    <row r="9" spans="2:14">
      <c r="B9" s="297" t="s">
        <v>37</v>
      </c>
      <c r="C9" s="298"/>
      <c r="D9" s="304" t="s">
        <v>208</v>
      </c>
      <c r="E9" s="305"/>
      <c r="F9" s="305"/>
      <c r="G9" s="305"/>
      <c r="H9" s="306"/>
    </row>
    <row r="10" spans="2:14" ht="13.8" thickBot="1">
      <c r="B10" s="299" t="s">
        <v>43</v>
      </c>
      <c r="C10" s="300"/>
      <c r="D10" s="307" t="s">
        <v>201</v>
      </c>
      <c r="E10" s="308"/>
      <c r="F10" s="308"/>
      <c r="G10" s="308"/>
      <c r="H10" s="309"/>
    </row>
    <row r="11" spans="2:14" ht="13.8" thickBot="1"/>
    <row r="12" spans="2:14" ht="13.8" thickBot="1">
      <c r="B12" s="135" t="s">
        <v>33</v>
      </c>
      <c r="C12" s="97" t="s">
        <v>42</v>
      </c>
      <c r="D12" s="98" t="s">
        <v>34</v>
      </c>
      <c r="E12" s="98" t="s">
        <v>38</v>
      </c>
      <c r="F12" s="98" t="s">
        <v>39</v>
      </c>
      <c r="G12" s="98" t="s">
        <v>40</v>
      </c>
      <c r="H12" s="99" t="s">
        <v>41</v>
      </c>
      <c r="I12" s="140" t="s">
        <v>50</v>
      </c>
      <c r="K12" s="42" t="s">
        <v>44</v>
      </c>
      <c r="L12" s="42" t="s">
        <v>37</v>
      </c>
      <c r="M12" t="s">
        <v>86</v>
      </c>
    </row>
    <row r="13" spans="2:14" ht="13.8" thickTop="1">
      <c r="B13" s="100">
        <v>1</v>
      </c>
      <c r="C13" s="195" t="s">
        <v>165</v>
      </c>
      <c r="D13" s="196" t="s">
        <v>47</v>
      </c>
      <c r="E13" s="196" t="s">
        <v>165</v>
      </c>
      <c r="F13" s="48" t="str">
        <f t="shared" ref="F13:F37" ca="1" si="0">IF($D13&lt;&gt;"","u4_s_Alert"&amp;UPPER(LEFT($D$6,1))&amp;LOWER(MID($D$6,2,100))&amp;IF($D$7=1,"",N13)&amp;"Srcchk","")</f>
        <v>u4_s_AlertS_adbzr_tcharSrcchk</v>
      </c>
      <c r="G13" s="48" t="str">
        <f t="shared" ref="G13:G37" si="1">IF($D13&lt;&gt;"",IF($E13="○","vd_s_Alert"&amp;UPPER(LEFT($D$6,1))&amp;LOWER(MID($D$6,2,100))&amp;IF($D$7=1,"",N13)&amp;"RwTx","NULL"),"")</f>
        <v>NULL</v>
      </c>
      <c r="H13" s="104" t="str">
        <f ca="1">IF($D13&lt;&gt;"","ALERT_CH_"&amp;UPPER($D$6)&amp;IF($D$7=1,"","_"&amp;UPPER($C13)),"")</f>
        <v>ALERT_CH_S_ADBZR_TCHAR</v>
      </c>
      <c r="I13" s="141" t="str">
        <f ca="1">IF($D13&lt;&gt;"","ALERT_REQ_"&amp;UPPER($D$6)&amp;IF($D$7=1,"","_"&amp;UPPER($C13)),"")</f>
        <v>ALERT_REQ_S_ADBZR_TCHAR</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0">
        <v>2</v>
      </c>
      <c r="C14" s="195"/>
      <c r="D14" s="196"/>
      <c r="E14" s="196"/>
      <c r="F14" s="43" t="str">
        <f t="shared" si="0"/>
        <v/>
      </c>
      <c r="G14" s="43" t="str">
        <f t="shared" si="1"/>
        <v/>
      </c>
      <c r="H14" s="64" t="str">
        <f t="shared" ref="H14:H37" si="4">IF($D14&lt;&gt;"","ALERT_CH_"&amp;UPPER($D$6)&amp;IF($D$7=1,"","_"&amp;UPPER($C14)),"")</f>
        <v/>
      </c>
      <c r="I14" s="142" t="str">
        <f t="shared" ref="I14:I37" si="5">IF($D14&lt;&gt;"","ALERT_REQ_"&amp;UPPER($D$6)&amp;IF($D$7=1,"","_"&amp;UPPER($C14)),"")</f>
        <v/>
      </c>
      <c r="K14" t="s">
        <v>46</v>
      </c>
      <c r="L14" t="str">
        <f ca="1">"vd_g_Alert"&amp;UPPER(LEFT(D6,1))&amp;LOWER(MID(D6,2,100))&amp;"Init"</f>
        <v>vd_g_AlertS_adbzr_tcharInit</v>
      </c>
      <c r="M14" t="e">
        <f t="shared" si="2"/>
        <v>#VALUE!</v>
      </c>
      <c r="N14" t="str">
        <f t="shared" si="3"/>
        <v/>
      </c>
    </row>
    <row r="15" spans="2:14">
      <c r="B15" s="90">
        <v>3</v>
      </c>
      <c r="C15" s="138"/>
      <c r="D15" s="105"/>
      <c r="E15" s="105"/>
      <c r="F15" s="43" t="str">
        <f t="shared" si="0"/>
        <v/>
      </c>
      <c r="G15" s="43" t="str">
        <f t="shared" si="1"/>
        <v/>
      </c>
      <c r="H15" s="64" t="str">
        <f t="shared" si="4"/>
        <v/>
      </c>
      <c r="I15" s="142" t="str">
        <f t="shared" si="5"/>
        <v/>
      </c>
      <c r="K15" t="s">
        <v>119</v>
      </c>
      <c r="M15" t="e">
        <f t="shared" si="2"/>
        <v>#VALUE!</v>
      </c>
      <c r="N15" t="str">
        <f t="shared" si="3"/>
        <v/>
      </c>
    </row>
    <row r="16" spans="2:14">
      <c r="B16" s="90">
        <v>4</v>
      </c>
      <c r="C16" s="138"/>
      <c r="D16" s="139"/>
      <c r="E16" s="139"/>
      <c r="F16" s="43" t="str">
        <f t="shared" si="0"/>
        <v/>
      </c>
      <c r="G16" s="43" t="str">
        <f t="shared" si="1"/>
        <v/>
      </c>
      <c r="H16" s="64" t="str">
        <f t="shared" si="4"/>
        <v/>
      </c>
      <c r="I16" s="142" t="str">
        <f t="shared" si="5"/>
        <v/>
      </c>
      <c r="K16" t="s">
        <v>120</v>
      </c>
      <c r="M16" t="e">
        <f t="shared" si="2"/>
        <v>#VALUE!</v>
      </c>
      <c r="N16" t="str">
        <f t="shared" si="3"/>
        <v/>
      </c>
    </row>
    <row r="17" spans="2:14">
      <c r="B17" s="90">
        <v>5</v>
      </c>
      <c r="C17" s="138"/>
      <c r="D17" s="139"/>
      <c r="E17" s="139"/>
      <c r="F17" s="43" t="str">
        <f t="shared" si="0"/>
        <v/>
      </c>
      <c r="G17" s="43" t="str">
        <f t="shared" si="1"/>
        <v/>
      </c>
      <c r="H17" s="64" t="str">
        <f t="shared" si="4"/>
        <v/>
      </c>
      <c r="I17" s="142" t="str">
        <f t="shared" si="5"/>
        <v/>
      </c>
      <c r="K17" t="s">
        <v>47</v>
      </c>
      <c r="M17" t="e">
        <f t="shared" si="2"/>
        <v>#VALUE!</v>
      </c>
      <c r="N17" t="str">
        <f t="shared" si="3"/>
        <v/>
      </c>
    </row>
    <row r="18" spans="2:14">
      <c r="B18" s="90">
        <v>6</v>
      </c>
      <c r="C18" s="138"/>
      <c r="D18" s="139"/>
      <c r="E18" s="139"/>
      <c r="F18" s="43" t="str">
        <f t="shared" si="0"/>
        <v/>
      </c>
      <c r="G18" s="43" t="str">
        <f t="shared" si="1"/>
        <v/>
      </c>
      <c r="H18" s="64" t="str">
        <f t="shared" si="4"/>
        <v/>
      </c>
      <c r="I18" s="142" t="str">
        <f t="shared" si="5"/>
        <v/>
      </c>
      <c r="K18" t="s">
        <v>48</v>
      </c>
      <c r="M18" t="e">
        <f t="shared" si="2"/>
        <v>#VALUE!</v>
      </c>
      <c r="N18" t="str">
        <f t="shared" si="3"/>
        <v/>
      </c>
    </row>
    <row r="19" spans="2:14">
      <c r="B19" s="90">
        <v>7</v>
      </c>
      <c r="C19" s="138"/>
      <c r="D19" s="139"/>
      <c r="E19" s="139"/>
      <c r="F19" s="43" t="str">
        <f t="shared" si="0"/>
        <v/>
      </c>
      <c r="G19" s="43" t="str">
        <f t="shared" si="1"/>
        <v/>
      </c>
      <c r="H19" s="64" t="str">
        <f t="shared" si="4"/>
        <v/>
      </c>
      <c r="I19" s="142" t="str">
        <f t="shared" si="5"/>
        <v/>
      </c>
      <c r="K19" t="s">
        <v>48</v>
      </c>
      <c r="M19" t="e">
        <f t="shared" si="2"/>
        <v>#VALUE!</v>
      </c>
      <c r="N19" t="str">
        <f t="shared" si="3"/>
        <v/>
      </c>
    </row>
    <row r="20" spans="2:14">
      <c r="B20" s="90">
        <v>8</v>
      </c>
      <c r="C20" s="138"/>
      <c r="D20" s="139"/>
      <c r="E20" s="139"/>
      <c r="F20" s="43" t="str">
        <f t="shared" si="0"/>
        <v/>
      </c>
      <c r="G20" s="43" t="str">
        <f t="shared" si="1"/>
        <v/>
      </c>
      <c r="H20" s="64" t="str">
        <f t="shared" si="4"/>
        <v/>
      </c>
      <c r="I20" s="142" t="str">
        <f t="shared" si="5"/>
        <v/>
      </c>
      <c r="K20" t="s">
        <v>48</v>
      </c>
      <c r="M20" t="e">
        <f t="shared" si="2"/>
        <v>#VALUE!</v>
      </c>
      <c r="N20" t="str">
        <f t="shared" si="3"/>
        <v/>
      </c>
    </row>
    <row r="21" spans="2:14">
      <c r="B21" s="90">
        <v>9</v>
      </c>
      <c r="C21" s="138"/>
      <c r="D21" s="139"/>
      <c r="E21" s="139"/>
      <c r="F21" s="43" t="str">
        <f t="shared" si="0"/>
        <v/>
      </c>
      <c r="G21" s="43" t="str">
        <f t="shared" si="1"/>
        <v/>
      </c>
      <c r="H21" s="64" t="str">
        <f t="shared" si="4"/>
        <v/>
      </c>
      <c r="I21" s="142" t="str">
        <f t="shared" si="5"/>
        <v/>
      </c>
      <c r="K21" t="s">
        <v>48</v>
      </c>
      <c r="M21" t="e">
        <f t="shared" si="2"/>
        <v>#VALUE!</v>
      </c>
      <c r="N21" t="str">
        <f t="shared" si="3"/>
        <v/>
      </c>
    </row>
    <row r="22" spans="2:14">
      <c r="B22" s="90">
        <v>10</v>
      </c>
      <c r="C22" s="138"/>
      <c r="D22" s="139"/>
      <c r="E22" s="139"/>
      <c r="F22" s="43" t="str">
        <f t="shared" si="0"/>
        <v/>
      </c>
      <c r="G22" s="43" t="str">
        <f t="shared" si="1"/>
        <v/>
      </c>
      <c r="H22" s="64" t="str">
        <f t="shared" si="4"/>
        <v/>
      </c>
      <c r="I22" s="142" t="str">
        <f t="shared" si="5"/>
        <v/>
      </c>
      <c r="K22" t="s">
        <v>48</v>
      </c>
      <c r="M22" t="e">
        <f t="shared" si="2"/>
        <v>#VALUE!</v>
      </c>
      <c r="N22" t="str">
        <f t="shared" si="3"/>
        <v/>
      </c>
    </row>
    <row r="23" spans="2:14">
      <c r="B23" s="90">
        <v>11</v>
      </c>
      <c r="C23" s="138"/>
      <c r="D23" s="139"/>
      <c r="E23" s="139"/>
      <c r="F23" s="43" t="str">
        <f t="shared" si="0"/>
        <v/>
      </c>
      <c r="G23" s="43" t="str">
        <f t="shared" si="1"/>
        <v/>
      </c>
      <c r="H23" s="64" t="str">
        <f t="shared" si="4"/>
        <v/>
      </c>
      <c r="I23" s="142" t="str">
        <f t="shared" si="5"/>
        <v/>
      </c>
      <c r="K23" t="s">
        <v>48</v>
      </c>
      <c r="M23" t="e">
        <f t="shared" si="2"/>
        <v>#VALUE!</v>
      </c>
      <c r="N23" t="str">
        <f t="shared" si="3"/>
        <v/>
      </c>
    </row>
    <row r="24" spans="2:14">
      <c r="B24" s="90">
        <v>12</v>
      </c>
      <c r="C24" s="138"/>
      <c r="D24" s="139"/>
      <c r="E24" s="139"/>
      <c r="F24" s="43" t="str">
        <f t="shared" si="0"/>
        <v/>
      </c>
      <c r="G24" s="43" t="str">
        <f t="shared" si="1"/>
        <v/>
      </c>
      <c r="H24" s="64" t="str">
        <f t="shared" si="4"/>
        <v/>
      </c>
      <c r="I24" s="142" t="str">
        <f t="shared" si="5"/>
        <v/>
      </c>
      <c r="K24" t="s">
        <v>48</v>
      </c>
      <c r="M24" t="e">
        <f t="shared" si="2"/>
        <v>#VALUE!</v>
      </c>
      <c r="N24" t="str">
        <f t="shared" si="3"/>
        <v/>
      </c>
    </row>
    <row r="25" spans="2:14">
      <c r="B25" s="90">
        <v>13</v>
      </c>
      <c r="C25" s="138"/>
      <c r="D25" s="139"/>
      <c r="E25" s="139"/>
      <c r="F25" s="43" t="str">
        <f t="shared" si="0"/>
        <v/>
      </c>
      <c r="G25" s="43" t="str">
        <f t="shared" si="1"/>
        <v/>
      </c>
      <c r="H25" s="64" t="str">
        <f t="shared" si="4"/>
        <v/>
      </c>
      <c r="I25" s="142" t="str">
        <f t="shared" si="5"/>
        <v/>
      </c>
      <c r="K25" t="s">
        <v>48</v>
      </c>
      <c r="M25" t="e">
        <f t="shared" si="2"/>
        <v>#VALUE!</v>
      </c>
      <c r="N25" t="str">
        <f t="shared" si="3"/>
        <v/>
      </c>
    </row>
    <row r="26" spans="2:14">
      <c r="B26" s="90">
        <v>14</v>
      </c>
      <c r="C26" s="138"/>
      <c r="D26" s="139"/>
      <c r="E26" s="139"/>
      <c r="F26" s="43" t="str">
        <f t="shared" si="0"/>
        <v/>
      </c>
      <c r="G26" s="43" t="str">
        <f t="shared" si="1"/>
        <v/>
      </c>
      <c r="H26" s="64" t="str">
        <f t="shared" si="4"/>
        <v/>
      </c>
      <c r="I26" s="142" t="str">
        <f t="shared" si="5"/>
        <v/>
      </c>
      <c r="K26" t="s">
        <v>48</v>
      </c>
      <c r="M26" t="e">
        <f t="shared" si="2"/>
        <v>#VALUE!</v>
      </c>
      <c r="N26" t="str">
        <f t="shared" si="3"/>
        <v/>
      </c>
    </row>
    <row r="27" spans="2:14">
      <c r="B27" s="90">
        <v>15</v>
      </c>
      <c r="C27" s="138"/>
      <c r="D27" s="139"/>
      <c r="E27" s="139"/>
      <c r="F27" s="43" t="str">
        <f t="shared" si="0"/>
        <v/>
      </c>
      <c r="G27" s="43" t="str">
        <f t="shared" si="1"/>
        <v/>
      </c>
      <c r="H27" s="64" t="str">
        <f t="shared" si="4"/>
        <v/>
      </c>
      <c r="I27" s="142" t="str">
        <f t="shared" si="5"/>
        <v/>
      </c>
      <c r="K27" t="s">
        <v>48</v>
      </c>
      <c r="M27" t="e">
        <f t="shared" si="2"/>
        <v>#VALUE!</v>
      </c>
      <c r="N27" t="str">
        <f t="shared" si="3"/>
        <v/>
      </c>
    </row>
    <row r="28" spans="2:14">
      <c r="B28" s="90">
        <v>16</v>
      </c>
      <c r="C28" s="138"/>
      <c r="D28" s="139"/>
      <c r="E28" s="139"/>
      <c r="F28" s="43" t="str">
        <f t="shared" si="0"/>
        <v/>
      </c>
      <c r="G28" s="43" t="str">
        <f t="shared" si="1"/>
        <v/>
      </c>
      <c r="H28" s="64" t="str">
        <f t="shared" si="4"/>
        <v/>
      </c>
      <c r="I28" s="142" t="str">
        <f t="shared" si="5"/>
        <v/>
      </c>
      <c r="K28" t="s">
        <v>48</v>
      </c>
      <c r="M28" t="e">
        <f t="shared" si="2"/>
        <v>#VALUE!</v>
      </c>
      <c r="N28" t="str">
        <f t="shared" si="3"/>
        <v/>
      </c>
    </row>
    <row r="29" spans="2:14">
      <c r="B29" s="90">
        <v>17</v>
      </c>
      <c r="C29" s="138"/>
      <c r="D29" s="139"/>
      <c r="E29" s="139"/>
      <c r="F29" s="43" t="str">
        <f t="shared" si="0"/>
        <v/>
      </c>
      <c r="G29" s="43" t="str">
        <f t="shared" si="1"/>
        <v/>
      </c>
      <c r="H29" s="64" t="str">
        <f t="shared" si="4"/>
        <v/>
      </c>
      <c r="I29" s="142" t="str">
        <f t="shared" si="5"/>
        <v/>
      </c>
      <c r="K29" t="s">
        <v>48</v>
      </c>
      <c r="M29" t="e">
        <f t="shared" si="2"/>
        <v>#VALUE!</v>
      </c>
      <c r="N29" t="str">
        <f t="shared" si="3"/>
        <v/>
      </c>
    </row>
    <row r="30" spans="2:14">
      <c r="B30" s="90">
        <v>18</v>
      </c>
      <c r="C30" s="138"/>
      <c r="D30" s="139"/>
      <c r="E30" s="139"/>
      <c r="F30" s="43" t="str">
        <f t="shared" si="0"/>
        <v/>
      </c>
      <c r="G30" s="43" t="str">
        <f t="shared" si="1"/>
        <v/>
      </c>
      <c r="H30" s="64" t="str">
        <f t="shared" si="4"/>
        <v/>
      </c>
      <c r="I30" s="142" t="str">
        <f t="shared" si="5"/>
        <v/>
      </c>
      <c r="K30" t="s">
        <v>48</v>
      </c>
      <c r="M30" t="e">
        <f t="shared" si="2"/>
        <v>#VALUE!</v>
      </c>
      <c r="N30" t="str">
        <f t="shared" si="3"/>
        <v/>
      </c>
    </row>
    <row r="31" spans="2:14">
      <c r="B31" s="90">
        <v>19</v>
      </c>
      <c r="C31" s="138"/>
      <c r="D31" s="139"/>
      <c r="E31" s="139"/>
      <c r="F31" s="43" t="str">
        <f t="shared" si="0"/>
        <v/>
      </c>
      <c r="G31" s="43" t="str">
        <f t="shared" si="1"/>
        <v/>
      </c>
      <c r="H31" s="64" t="str">
        <f t="shared" si="4"/>
        <v/>
      </c>
      <c r="I31" s="142" t="str">
        <f t="shared" si="5"/>
        <v/>
      </c>
      <c r="K31" t="s">
        <v>48</v>
      </c>
      <c r="M31" t="e">
        <f t="shared" si="2"/>
        <v>#VALUE!</v>
      </c>
      <c r="N31" t="str">
        <f t="shared" si="3"/>
        <v/>
      </c>
    </row>
    <row r="32" spans="2:14">
      <c r="B32" s="90">
        <v>20</v>
      </c>
      <c r="C32" s="138"/>
      <c r="D32" s="139"/>
      <c r="E32" s="139"/>
      <c r="F32" s="43" t="str">
        <f t="shared" si="0"/>
        <v/>
      </c>
      <c r="G32" s="43" t="str">
        <f t="shared" si="1"/>
        <v/>
      </c>
      <c r="H32" s="64" t="str">
        <f t="shared" si="4"/>
        <v/>
      </c>
      <c r="I32" s="142" t="str">
        <f t="shared" si="5"/>
        <v/>
      </c>
      <c r="K32" t="s">
        <v>48</v>
      </c>
      <c r="M32" t="e">
        <f t="shared" si="2"/>
        <v>#VALUE!</v>
      </c>
      <c r="N32" t="str">
        <f t="shared" si="3"/>
        <v/>
      </c>
    </row>
    <row r="33" spans="2:14">
      <c r="B33" s="90">
        <v>21</v>
      </c>
      <c r="C33" s="138"/>
      <c r="D33" s="139"/>
      <c r="E33" s="139"/>
      <c r="F33" s="43" t="str">
        <f t="shared" si="0"/>
        <v/>
      </c>
      <c r="G33" s="43" t="str">
        <f t="shared" si="1"/>
        <v/>
      </c>
      <c r="H33" s="64" t="str">
        <f t="shared" si="4"/>
        <v/>
      </c>
      <c r="I33" s="142" t="str">
        <f t="shared" si="5"/>
        <v/>
      </c>
      <c r="K33" t="s">
        <v>48</v>
      </c>
      <c r="M33" t="e">
        <f t="shared" si="2"/>
        <v>#VALUE!</v>
      </c>
      <c r="N33" t="str">
        <f t="shared" si="3"/>
        <v/>
      </c>
    </row>
    <row r="34" spans="2:14">
      <c r="B34" s="90">
        <v>22</v>
      </c>
      <c r="C34" s="138"/>
      <c r="D34" s="139"/>
      <c r="E34" s="139"/>
      <c r="F34" s="43" t="str">
        <f t="shared" si="0"/>
        <v/>
      </c>
      <c r="G34" s="43" t="str">
        <f t="shared" si="1"/>
        <v/>
      </c>
      <c r="H34" s="64" t="str">
        <f t="shared" si="4"/>
        <v/>
      </c>
      <c r="I34" s="142" t="str">
        <f t="shared" si="5"/>
        <v/>
      </c>
      <c r="K34" t="s">
        <v>48</v>
      </c>
      <c r="M34" t="e">
        <f t="shared" si="2"/>
        <v>#VALUE!</v>
      </c>
      <c r="N34" t="str">
        <f t="shared" si="3"/>
        <v/>
      </c>
    </row>
    <row r="35" spans="2:14">
      <c r="B35" s="90">
        <v>23</v>
      </c>
      <c r="C35" s="138"/>
      <c r="D35" s="139"/>
      <c r="E35" s="139"/>
      <c r="F35" s="43" t="str">
        <f t="shared" si="0"/>
        <v/>
      </c>
      <c r="G35" s="43" t="str">
        <f t="shared" si="1"/>
        <v/>
      </c>
      <c r="H35" s="64" t="str">
        <f t="shared" si="4"/>
        <v/>
      </c>
      <c r="I35" s="142" t="str">
        <f t="shared" si="5"/>
        <v/>
      </c>
      <c r="K35" t="s">
        <v>48</v>
      </c>
      <c r="M35" t="e">
        <f t="shared" si="2"/>
        <v>#VALUE!</v>
      </c>
      <c r="N35" t="str">
        <f t="shared" si="3"/>
        <v/>
      </c>
    </row>
    <row r="36" spans="2:14">
      <c r="B36" s="90">
        <v>24</v>
      </c>
      <c r="C36" s="138"/>
      <c r="D36" s="139"/>
      <c r="E36" s="139"/>
      <c r="F36" s="43" t="str">
        <f t="shared" si="0"/>
        <v/>
      </c>
      <c r="G36" s="43" t="str">
        <f t="shared" si="1"/>
        <v/>
      </c>
      <c r="H36" s="64" t="str">
        <f t="shared" si="4"/>
        <v/>
      </c>
      <c r="I36" s="142" t="str">
        <f t="shared" si="5"/>
        <v/>
      </c>
      <c r="K36" t="s">
        <v>48</v>
      </c>
      <c r="M36" t="e">
        <f t="shared" si="2"/>
        <v>#VALUE!</v>
      </c>
      <c r="N36" t="str">
        <f t="shared" si="3"/>
        <v/>
      </c>
    </row>
    <row r="37" spans="2:14" ht="13.8" thickBot="1">
      <c r="B37" s="91">
        <v>25</v>
      </c>
      <c r="C37" s="136"/>
      <c r="D37" s="137"/>
      <c r="E37" s="137"/>
      <c r="F37" s="51" t="str">
        <f t="shared" si="0"/>
        <v/>
      </c>
      <c r="G37" s="51" t="str">
        <f t="shared" si="1"/>
        <v/>
      </c>
      <c r="H37" s="65" t="str">
        <f t="shared" si="4"/>
        <v/>
      </c>
      <c r="I37" s="143" t="str">
        <f t="shared" si="5"/>
        <v/>
      </c>
      <c r="K37" t="s">
        <v>48</v>
      </c>
      <c r="M37" t="e">
        <f t="shared" si="2"/>
        <v>#VALUE!</v>
      </c>
      <c r="N37" t="str">
        <f t="shared" si="3"/>
        <v/>
      </c>
    </row>
  </sheetData>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2"/>
  <cols>
    <col min="2" max="2" width="3.77734375" bestFit="1" customWidth="1"/>
    <col min="3" max="3" width="19.109375" bestFit="1" customWidth="1"/>
    <col min="4" max="4" width="13" customWidth="1"/>
    <col min="5" max="5" width="36.44140625" customWidth="1"/>
    <col min="6" max="6" width="71.109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193</v>
      </c>
      <c r="O2" t="s">
        <v>195</v>
      </c>
    </row>
    <row r="3" spans="2:18" ht="13.8" thickBot="1">
      <c r="B3" s="135" t="s">
        <v>33</v>
      </c>
      <c r="C3" s="98" t="s">
        <v>183</v>
      </c>
      <c r="D3" s="98" t="s">
        <v>189</v>
      </c>
      <c r="E3" s="99" t="s">
        <v>190</v>
      </c>
      <c r="F3" s="179" t="s">
        <v>185</v>
      </c>
      <c r="G3" s="176" t="s">
        <v>198</v>
      </c>
      <c r="H3" s="42"/>
      <c r="I3" s="42"/>
      <c r="J3" s="42"/>
      <c r="K3" s="42"/>
      <c r="L3" s="42"/>
      <c r="M3" s="42"/>
      <c r="O3" s="135" t="s">
        <v>33</v>
      </c>
      <c r="P3" s="175" t="s">
        <v>179</v>
      </c>
      <c r="Q3" s="175" t="s">
        <v>192</v>
      </c>
      <c r="R3" s="176" t="s">
        <v>185</v>
      </c>
    </row>
    <row r="4" spans="2:18" ht="13.8" hidden="1" thickTop="1">
      <c r="B4" s="167">
        <v>0</v>
      </c>
      <c r="C4" s="168" t="s">
        <v>167</v>
      </c>
      <c r="D4" s="168"/>
      <c r="E4" s="169"/>
      <c r="F4" s="180"/>
      <c r="G4" s="181"/>
      <c r="H4" s="42"/>
      <c r="I4" s="42"/>
      <c r="J4" s="42"/>
      <c r="K4" s="42"/>
      <c r="L4" s="42"/>
      <c r="M4" s="42"/>
      <c r="O4" s="177">
        <v>0</v>
      </c>
      <c r="P4" s="174" t="s">
        <v>167</v>
      </c>
      <c r="Q4" s="174" t="s">
        <v>167</v>
      </c>
      <c r="R4" s="131"/>
    </row>
    <row r="5" spans="2:18" ht="13.8" thickTop="1">
      <c r="B5" s="170">
        <v>1</v>
      </c>
      <c r="C5" s="139"/>
      <c r="D5" s="25"/>
      <c r="E5" s="64" t="str">
        <f>IF($C5&lt;&gt;"","ALERT_" &amp; D5 &amp; "_ID_"&amp;UPPER(Matrix!$D$6) &amp; "_" &amp; $C5,"")</f>
        <v/>
      </c>
      <c r="F5" s="110"/>
      <c r="G5" s="64" t="str">
        <f>IF(E5&lt;&gt;"",LEN(E5),"")</f>
        <v/>
      </c>
      <c r="O5" s="170">
        <v>1</v>
      </c>
      <c r="P5" s="139"/>
      <c r="Q5" s="139"/>
      <c r="R5" s="111"/>
    </row>
    <row r="6" spans="2:18">
      <c r="B6" s="170">
        <v>2</v>
      </c>
      <c r="C6" s="139"/>
      <c r="D6" s="25"/>
      <c r="E6" s="64" t="str">
        <f>IF($C6&lt;&gt;"","ALERT_" &amp; D6 &amp; "_ID_"&amp;UPPER(Matrix!$D$6) &amp; "_" &amp; $C6,"")</f>
        <v/>
      </c>
      <c r="F6" s="110"/>
      <c r="G6" s="64" t="str">
        <f t="shared" ref="G6:G29" si="0">IF(E6&lt;&gt;"",LEN(E6),"")</f>
        <v/>
      </c>
      <c r="O6" s="170">
        <v>2</v>
      </c>
      <c r="P6" s="139"/>
      <c r="Q6" s="139"/>
      <c r="R6" s="111"/>
    </row>
    <row r="7" spans="2:18">
      <c r="B7" s="170">
        <v>3</v>
      </c>
      <c r="C7" s="139"/>
      <c r="D7" s="25"/>
      <c r="E7" s="64" t="str">
        <f>IF($C7&lt;&gt;"","ALERT_" &amp; D7 &amp; "_ID_"&amp;UPPER(Matrix!$D$6) &amp; "_" &amp; $C7,"")</f>
        <v/>
      </c>
      <c r="F7" s="110"/>
      <c r="G7" s="64" t="str">
        <f t="shared" si="0"/>
        <v/>
      </c>
      <c r="O7" s="170">
        <v>3</v>
      </c>
      <c r="P7" s="139"/>
      <c r="Q7" s="139"/>
      <c r="R7" s="111"/>
    </row>
    <row r="8" spans="2:18">
      <c r="B8" s="170">
        <v>4</v>
      </c>
      <c r="C8" s="139"/>
      <c r="D8" s="25"/>
      <c r="E8" s="64" t="str">
        <f>IF($C8&lt;&gt;"","ALERT_" &amp; D8 &amp; "_ID_"&amp;UPPER(Matrix!$D$6) &amp; "_" &amp; $C8,"")</f>
        <v/>
      </c>
      <c r="F8" s="110"/>
      <c r="G8" s="64" t="str">
        <f t="shared" si="0"/>
        <v/>
      </c>
      <c r="O8" s="170">
        <v>4</v>
      </c>
      <c r="P8" s="139"/>
      <c r="Q8" s="139"/>
      <c r="R8" s="111"/>
    </row>
    <row r="9" spans="2:18">
      <c r="B9" s="170">
        <v>5</v>
      </c>
      <c r="C9" s="139"/>
      <c r="D9" s="25"/>
      <c r="E9" s="64" t="str">
        <f>IF($C9&lt;&gt;"","ALERT_" &amp; D9 &amp; "_ID_"&amp;UPPER(Matrix!$D$6) &amp; "_" &amp; $C9,"")</f>
        <v/>
      </c>
      <c r="F9" s="110"/>
      <c r="G9" s="64" t="str">
        <f t="shared" si="0"/>
        <v/>
      </c>
      <c r="O9" s="170">
        <v>5</v>
      </c>
      <c r="P9" s="139"/>
      <c r="Q9" s="139"/>
      <c r="R9" s="111"/>
    </row>
    <row r="10" spans="2:18">
      <c r="B10" s="170">
        <v>6</v>
      </c>
      <c r="C10" s="139"/>
      <c r="D10" s="25"/>
      <c r="E10" s="64" t="str">
        <f>IF($C10&lt;&gt;"","ALERT_" &amp; D10 &amp; "_ID_"&amp;UPPER(Matrix!$D$6) &amp; "_" &amp; $C10,"")</f>
        <v/>
      </c>
      <c r="F10" s="110"/>
      <c r="G10" s="64" t="str">
        <f t="shared" si="0"/>
        <v/>
      </c>
      <c r="O10" s="170">
        <v>6</v>
      </c>
      <c r="P10" s="139"/>
      <c r="Q10" s="139"/>
      <c r="R10" s="111"/>
    </row>
    <row r="11" spans="2:18">
      <c r="B11" s="170">
        <v>7</v>
      </c>
      <c r="C11" s="139"/>
      <c r="D11" s="25"/>
      <c r="E11" s="64" t="str">
        <f>IF($C11&lt;&gt;"","ALERT_" &amp; D11 &amp; "_ID_"&amp;UPPER(Matrix!$D$6) &amp; "_" &amp; $C11,"")</f>
        <v/>
      </c>
      <c r="F11" s="110"/>
      <c r="G11" s="64" t="str">
        <f t="shared" si="0"/>
        <v/>
      </c>
      <c r="O11" s="170">
        <v>7</v>
      </c>
      <c r="P11" s="139"/>
      <c r="Q11" s="139"/>
      <c r="R11" s="111"/>
    </row>
    <row r="12" spans="2:18">
      <c r="B12" s="170">
        <v>8</v>
      </c>
      <c r="C12" s="139"/>
      <c r="D12" s="25"/>
      <c r="E12" s="64" t="str">
        <f>IF($C12&lt;&gt;"","ALERT_" &amp; D12 &amp; "_ID_"&amp;UPPER(Matrix!$D$6) &amp; "_" &amp; $C12,"")</f>
        <v/>
      </c>
      <c r="F12" s="110"/>
      <c r="G12" s="64" t="str">
        <f t="shared" si="0"/>
        <v/>
      </c>
      <c r="O12" s="170">
        <v>8</v>
      </c>
      <c r="P12" s="139"/>
      <c r="Q12" s="139"/>
      <c r="R12" s="111"/>
    </row>
    <row r="13" spans="2:18">
      <c r="B13" s="170">
        <v>9</v>
      </c>
      <c r="C13" s="139"/>
      <c r="D13" s="25"/>
      <c r="E13" s="64" t="str">
        <f>IF($C13&lt;&gt;"","ALERT_" &amp; D13 &amp; "_ID_"&amp;UPPER(Matrix!$D$6) &amp; "_" &amp; $C13,"")</f>
        <v/>
      </c>
      <c r="F13" s="110"/>
      <c r="G13" s="64" t="str">
        <f t="shared" si="0"/>
        <v/>
      </c>
      <c r="O13" s="170">
        <v>9</v>
      </c>
      <c r="P13" s="139"/>
      <c r="Q13" s="139"/>
      <c r="R13" s="111"/>
    </row>
    <row r="14" spans="2:18">
      <c r="B14" s="170">
        <v>10</v>
      </c>
      <c r="C14" s="139"/>
      <c r="D14" s="25"/>
      <c r="E14" s="64" t="str">
        <f>IF($C14&lt;&gt;"","ALERT_" &amp; D14 &amp; "_ID_"&amp;UPPER(Matrix!$D$6) &amp; "_" &amp; $C14,"")</f>
        <v/>
      </c>
      <c r="F14" s="110"/>
      <c r="G14" s="64" t="str">
        <f t="shared" si="0"/>
        <v/>
      </c>
      <c r="O14" s="170">
        <v>10</v>
      </c>
      <c r="P14" s="139"/>
      <c r="Q14" s="139"/>
      <c r="R14" s="111"/>
    </row>
    <row r="15" spans="2:18">
      <c r="B15" s="170">
        <v>11</v>
      </c>
      <c r="C15" s="139"/>
      <c r="D15" s="25"/>
      <c r="E15" s="64" t="str">
        <f>IF($C15&lt;&gt;"","ALERT_" &amp; D15 &amp; "_ID_"&amp;UPPER(Matrix!$D$6) &amp; "_" &amp; $C15,"")</f>
        <v/>
      </c>
      <c r="F15" s="110"/>
      <c r="G15" s="64" t="str">
        <f t="shared" si="0"/>
        <v/>
      </c>
      <c r="O15" s="170">
        <v>11</v>
      </c>
      <c r="P15" s="139"/>
      <c r="Q15" s="139"/>
      <c r="R15" s="111"/>
    </row>
    <row r="16" spans="2:18">
      <c r="B16" s="170">
        <v>12</v>
      </c>
      <c r="C16" s="139"/>
      <c r="D16" s="25"/>
      <c r="E16" s="64" t="str">
        <f>IF($C16&lt;&gt;"","ALERT_" &amp; D16 &amp; "_ID_"&amp;UPPER(Matrix!$D$6) &amp; "_" &amp; $C16,"")</f>
        <v/>
      </c>
      <c r="F16" s="110"/>
      <c r="G16" s="64" t="str">
        <f t="shared" si="0"/>
        <v/>
      </c>
      <c r="O16" s="170">
        <v>12</v>
      </c>
      <c r="P16" s="139"/>
      <c r="Q16" s="139"/>
      <c r="R16" s="111"/>
    </row>
    <row r="17" spans="2:18">
      <c r="B17" s="170">
        <v>13</v>
      </c>
      <c r="C17" s="139"/>
      <c r="D17" s="25"/>
      <c r="E17" s="64" t="str">
        <f>IF($C17&lt;&gt;"","ALERT_" &amp; D17 &amp; "_ID_"&amp;UPPER(Matrix!$D$6) &amp; "_" &amp; $C17,"")</f>
        <v/>
      </c>
      <c r="F17" s="110"/>
      <c r="G17" s="64" t="str">
        <f t="shared" si="0"/>
        <v/>
      </c>
      <c r="O17" s="170">
        <v>13</v>
      </c>
      <c r="P17" s="139"/>
      <c r="Q17" s="139"/>
      <c r="R17" s="111"/>
    </row>
    <row r="18" spans="2:18">
      <c r="B18" s="170">
        <v>14</v>
      </c>
      <c r="C18" s="139"/>
      <c r="D18" s="25"/>
      <c r="E18" s="64" t="str">
        <f>IF($C18&lt;&gt;"","ALERT_" &amp; D18 &amp; "_ID_"&amp;UPPER(Matrix!$D$6) &amp; "_" &amp; $C18,"")</f>
        <v/>
      </c>
      <c r="F18" s="110"/>
      <c r="G18" s="64" t="str">
        <f t="shared" si="0"/>
        <v/>
      </c>
      <c r="O18" s="170">
        <v>14</v>
      </c>
      <c r="P18" s="139"/>
      <c r="Q18" s="139"/>
      <c r="R18" s="111"/>
    </row>
    <row r="19" spans="2:18">
      <c r="B19" s="170">
        <v>15</v>
      </c>
      <c r="C19" s="139"/>
      <c r="D19" s="25"/>
      <c r="E19" s="64" t="str">
        <f>IF($C19&lt;&gt;"","ALERT_" &amp; D19 &amp; "_ID_"&amp;UPPER(Matrix!$D$6) &amp; "_" &amp; $C19,"")</f>
        <v/>
      </c>
      <c r="F19" s="110"/>
      <c r="G19" s="64" t="str">
        <f t="shared" si="0"/>
        <v/>
      </c>
      <c r="O19" s="170">
        <v>15</v>
      </c>
      <c r="P19" s="139"/>
      <c r="Q19" s="139"/>
      <c r="R19" s="111"/>
    </row>
    <row r="20" spans="2:18">
      <c r="B20" s="170">
        <v>16</v>
      </c>
      <c r="C20" s="139"/>
      <c r="D20" s="25"/>
      <c r="E20" s="64" t="str">
        <f>IF($C20&lt;&gt;"","ALERT_" &amp; D20 &amp; "_ID_"&amp;UPPER(Matrix!$D$6) &amp; "_" &amp; $C20,"")</f>
        <v/>
      </c>
      <c r="F20" s="110"/>
      <c r="G20" s="64" t="str">
        <f t="shared" si="0"/>
        <v/>
      </c>
      <c r="O20" s="170">
        <v>16</v>
      </c>
      <c r="P20" s="139"/>
      <c r="Q20" s="139"/>
      <c r="R20" s="111"/>
    </row>
    <row r="21" spans="2:18">
      <c r="B21" s="170">
        <v>17</v>
      </c>
      <c r="C21" s="139"/>
      <c r="D21" s="25"/>
      <c r="E21" s="64" t="str">
        <f>IF($C21&lt;&gt;"","ALERT_" &amp; D21 &amp; "_ID_"&amp;UPPER(Matrix!$D$6) &amp; "_" &amp; $C21,"")</f>
        <v/>
      </c>
      <c r="F21" s="110"/>
      <c r="G21" s="64" t="str">
        <f t="shared" si="0"/>
        <v/>
      </c>
      <c r="O21" s="170">
        <v>17</v>
      </c>
      <c r="P21" s="139"/>
      <c r="Q21" s="139"/>
      <c r="R21" s="111"/>
    </row>
    <row r="22" spans="2:18">
      <c r="B22" s="170">
        <v>18</v>
      </c>
      <c r="C22" s="139"/>
      <c r="D22" s="25"/>
      <c r="E22" s="64" t="str">
        <f>IF($C22&lt;&gt;"","ALERT_" &amp; D22 &amp; "_ID_"&amp;UPPER(Matrix!$D$6) &amp; "_" &amp; $C22,"")</f>
        <v/>
      </c>
      <c r="F22" s="110"/>
      <c r="G22" s="64" t="str">
        <f t="shared" si="0"/>
        <v/>
      </c>
      <c r="O22" s="170">
        <v>18</v>
      </c>
      <c r="P22" s="139"/>
      <c r="Q22" s="139"/>
      <c r="R22" s="111"/>
    </row>
    <row r="23" spans="2:18">
      <c r="B23" s="170">
        <v>19</v>
      </c>
      <c r="C23" s="139"/>
      <c r="D23" s="25"/>
      <c r="E23" s="64" t="str">
        <f>IF($C23&lt;&gt;"","ALERT_" &amp; D23 &amp; "_ID_"&amp;UPPER(Matrix!$D$6) &amp; "_" &amp; $C23,"")</f>
        <v/>
      </c>
      <c r="F23" s="110"/>
      <c r="G23" s="64" t="str">
        <f t="shared" si="0"/>
        <v/>
      </c>
      <c r="O23" s="170">
        <v>19</v>
      </c>
      <c r="P23" s="139"/>
      <c r="Q23" s="139"/>
      <c r="R23" s="111"/>
    </row>
    <row r="24" spans="2:18">
      <c r="B24" s="170">
        <v>20</v>
      </c>
      <c r="C24" s="139"/>
      <c r="D24" s="25"/>
      <c r="E24" s="64" t="str">
        <f>IF($C24&lt;&gt;"","ALERT_" &amp; D24 &amp; "_ID_"&amp;UPPER(Matrix!$D$6) &amp; "_" &amp; $C24,"")</f>
        <v/>
      </c>
      <c r="F24" s="110"/>
      <c r="G24" s="64" t="str">
        <f t="shared" si="0"/>
        <v/>
      </c>
      <c r="O24" s="170">
        <v>20</v>
      </c>
      <c r="P24" s="139"/>
      <c r="Q24" s="139"/>
      <c r="R24" s="111"/>
    </row>
    <row r="25" spans="2:18">
      <c r="B25" s="170">
        <v>21</v>
      </c>
      <c r="C25" s="139"/>
      <c r="D25" s="25"/>
      <c r="E25" s="64" t="str">
        <f>IF($C25&lt;&gt;"","ALERT_" &amp; D25 &amp; "_ID_"&amp;UPPER(Matrix!$D$6) &amp; "_" &amp; $C25,"")</f>
        <v/>
      </c>
      <c r="F25" s="110"/>
      <c r="G25" s="64" t="str">
        <f t="shared" si="0"/>
        <v/>
      </c>
      <c r="O25" s="170">
        <v>21</v>
      </c>
      <c r="P25" s="139"/>
      <c r="Q25" s="139"/>
      <c r="R25" s="111"/>
    </row>
    <row r="26" spans="2:18">
      <c r="B26" s="170">
        <v>22</v>
      </c>
      <c r="C26" s="139"/>
      <c r="D26" s="25"/>
      <c r="E26" s="64" t="str">
        <f>IF($C26&lt;&gt;"","ALERT_" &amp; D26 &amp; "_ID_"&amp;UPPER(Matrix!$D$6) &amp; "_" &amp; $C26,"")</f>
        <v/>
      </c>
      <c r="F26" s="110"/>
      <c r="G26" s="64" t="str">
        <f t="shared" si="0"/>
        <v/>
      </c>
      <c r="O26" s="170">
        <v>22</v>
      </c>
      <c r="P26" s="139"/>
      <c r="Q26" s="139"/>
      <c r="R26" s="111"/>
    </row>
    <row r="27" spans="2:18">
      <c r="B27" s="170">
        <v>23</v>
      </c>
      <c r="C27" s="139"/>
      <c r="D27" s="25"/>
      <c r="E27" s="64" t="str">
        <f>IF($C27&lt;&gt;"","ALERT_" &amp; D27 &amp; "_ID_"&amp;UPPER(Matrix!$D$6) &amp; "_" &amp; $C27,"")</f>
        <v/>
      </c>
      <c r="F27" s="110"/>
      <c r="G27" s="64" t="str">
        <f t="shared" si="0"/>
        <v/>
      </c>
      <c r="O27" s="170">
        <v>23</v>
      </c>
      <c r="P27" s="139"/>
      <c r="Q27" s="139"/>
      <c r="R27" s="111"/>
    </row>
    <row r="28" spans="2:18">
      <c r="B28" s="170">
        <v>24</v>
      </c>
      <c r="C28" s="139"/>
      <c r="D28" s="25"/>
      <c r="E28" s="64" t="str">
        <f>IF($C28&lt;&gt;"","ALERT_" &amp; D28 &amp; "_ID_"&amp;UPPER(Matrix!$D$6) &amp; "_" &amp; $C28,"")</f>
        <v/>
      </c>
      <c r="F28" s="110"/>
      <c r="G28" s="64" t="str">
        <f t="shared" si="0"/>
        <v/>
      </c>
      <c r="O28" s="170">
        <v>24</v>
      </c>
      <c r="P28" s="139"/>
      <c r="Q28" s="139"/>
      <c r="R28" s="111"/>
    </row>
    <row r="29" spans="2:18" ht="13.8" thickBot="1">
      <c r="B29" s="171">
        <v>25</v>
      </c>
      <c r="C29" s="137"/>
      <c r="D29" s="50"/>
      <c r="E29" s="65" t="str">
        <f>IF($C29&lt;&gt;"","ALERT_" &amp; D29 &amp; "_ID_"&amp;UPPER(Matrix!$D$6) &amp; "_" &amp; $C29,"")</f>
        <v/>
      </c>
      <c r="F29" s="112"/>
      <c r="G29" s="65" t="str">
        <f t="shared" si="0"/>
        <v/>
      </c>
      <c r="O29" s="171">
        <v>25</v>
      </c>
      <c r="P29" s="137"/>
      <c r="Q29" s="137"/>
      <c r="R29" s="113"/>
    </row>
    <row r="32" spans="2:18" ht="13.8" thickBot="1">
      <c r="B32" t="s">
        <v>194</v>
      </c>
      <c r="O32" t="s">
        <v>191</v>
      </c>
    </row>
    <row r="33" spans="2:18" ht="13.8" thickBot="1">
      <c r="B33" s="135" t="s">
        <v>33</v>
      </c>
      <c r="C33" s="98" t="s">
        <v>183</v>
      </c>
      <c r="D33" s="98" t="s">
        <v>188</v>
      </c>
      <c r="E33" s="99" t="s">
        <v>186</v>
      </c>
      <c r="F33" s="176" t="s">
        <v>187</v>
      </c>
      <c r="G33" s="176" t="s">
        <v>198</v>
      </c>
      <c r="O33" s="135" t="s">
        <v>33</v>
      </c>
      <c r="P33" s="175" t="s">
        <v>180</v>
      </c>
      <c r="Q33" s="175" t="s">
        <v>196</v>
      </c>
      <c r="R33" s="176" t="s">
        <v>184</v>
      </c>
    </row>
    <row r="34" spans="2:18" ht="13.8" hidden="1" thickTop="1">
      <c r="B34" s="167">
        <v>0</v>
      </c>
      <c r="C34" s="168" t="s">
        <v>167</v>
      </c>
      <c r="D34" s="168"/>
      <c r="E34" s="169"/>
      <c r="F34" s="178" t="s">
        <v>167</v>
      </c>
      <c r="G34" s="181"/>
      <c r="O34" s="177">
        <v>0</v>
      </c>
      <c r="P34" s="174" t="s">
        <v>167</v>
      </c>
      <c r="Q34" s="174" t="s">
        <v>167</v>
      </c>
      <c r="R34" s="178" t="s">
        <v>167</v>
      </c>
    </row>
    <row r="35" spans="2:18" ht="13.8" thickTop="1">
      <c r="B35" s="170">
        <v>1</v>
      </c>
      <c r="C35" s="139"/>
      <c r="D35" s="25"/>
      <c r="E35" s="64" t="str">
        <f>IF($C35&lt;&gt;"","ALERT_" &amp; UPPER(Matrix!$D$6) &amp; "_" &amp; $C35,"")</f>
        <v/>
      </c>
      <c r="F35" s="172"/>
      <c r="G35" s="64" t="str">
        <f>IF(E35&lt;&gt;"",LEN(E35),"")</f>
        <v/>
      </c>
      <c r="O35" s="170">
        <v>1</v>
      </c>
      <c r="P35" s="139"/>
      <c r="Q35" s="139"/>
      <c r="R35" s="172"/>
    </row>
    <row r="36" spans="2:18">
      <c r="B36" s="170">
        <v>2</v>
      </c>
      <c r="C36" s="139"/>
      <c r="D36" s="25"/>
      <c r="E36" s="64" t="str">
        <f>IF($C36&lt;&gt;"","ALERT_" &amp; UPPER(Matrix!$D$6) &amp; "_" &amp; $C36,"")</f>
        <v/>
      </c>
      <c r="F36" s="172"/>
      <c r="G36" s="64" t="str">
        <f>IF(E36&lt;&gt;"",LEN(E36),"")</f>
        <v/>
      </c>
      <c r="O36" s="170">
        <v>2</v>
      </c>
      <c r="P36" s="139"/>
      <c r="Q36" s="139"/>
      <c r="R36" s="172"/>
    </row>
    <row r="37" spans="2:18">
      <c r="B37" s="170">
        <v>3</v>
      </c>
      <c r="C37" s="139"/>
      <c r="D37" s="25"/>
      <c r="E37" s="64" t="str">
        <f>IF($C37&lt;&gt;"","ALERT_" &amp; UPPER(Matrix!$D$6) &amp; "_" &amp; $C37,"")</f>
        <v/>
      </c>
      <c r="F37" s="172"/>
      <c r="G37" s="64" t="str">
        <f>IF(E37&lt;&gt;"",LEN(E37),"")</f>
        <v/>
      </c>
      <c r="O37" s="170">
        <v>3</v>
      </c>
      <c r="P37" s="139"/>
      <c r="Q37" s="139"/>
      <c r="R37" s="172"/>
    </row>
    <row r="38" spans="2:18">
      <c r="B38" s="170">
        <v>4</v>
      </c>
      <c r="C38" s="139"/>
      <c r="D38" s="25"/>
      <c r="E38" s="64" t="str">
        <f>IF($C38&lt;&gt;"","ALERT_" &amp; UPPER(Matrix!$D$6) &amp; "_" &amp; $C38,"")</f>
        <v/>
      </c>
      <c r="F38" s="172"/>
      <c r="G38" s="64" t="str">
        <f t="shared" ref="G38:G59" si="1">IF(E38&lt;&gt;"",LEN(E38),"")</f>
        <v/>
      </c>
      <c r="O38" s="170">
        <v>4</v>
      </c>
      <c r="P38" s="139"/>
      <c r="Q38" s="139"/>
      <c r="R38" s="172"/>
    </row>
    <row r="39" spans="2:18">
      <c r="B39" s="170">
        <v>5</v>
      </c>
      <c r="C39" s="139"/>
      <c r="D39" s="25"/>
      <c r="E39" s="64" t="str">
        <f>IF($C39&lt;&gt;"","ALERT_" &amp; UPPER(Matrix!$D$6) &amp; "_" &amp; $C39,"")</f>
        <v/>
      </c>
      <c r="F39" s="172"/>
      <c r="G39" s="64" t="str">
        <f t="shared" si="1"/>
        <v/>
      </c>
      <c r="O39" s="170">
        <v>5</v>
      </c>
      <c r="P39" s="139"/>
      <c r="Q39" s="139"/>
      <c r="R39" s="172"/>
    </row>
    <row r="40" spans="2:18">
      <c r="B40" s="170">
        <v>6</v>
      </c>
      <c r="C40" s="139"/>
      <c r="D40" s="25"/>
      <c r="E40" s="64" t="str">
        <f>IF($C40&lt;&gt;"","ALERT_" &amp; UPPER(Matrix!$D$6) &amp; "_" &amp; $C40,"")</f>
        <v/>
      </c>
      <c r="F40" s="172"/>
      <c r="G40" s="64" t="str">
        <f t="shared" si="1"/>
        <v/>
      </c>
      <c r="O40" s="170">
        <v>6</v>
      </c>
      <c r="P40" s="139"/>
      <c r="Q40" s="139"/>
      <c r="R40" s="172"/>
    </row>
    <row r="41" spans="2:18">
      <c r="B41" s="170">
        <v>7</v>
      </c>
      <c r="C41" s="139"/>
      <c r="D41" s="25"/>
      <c r="E41" s="64" t="str">
        <f>IF($C41&lt;&gt;"","ALERT_" &amp; UPPER(Matrix!$D$6) &amp; "_" &amp; $C41,"")</f>
        <v/>
      </c>
      <c r="F41" s="172"/>
      <c r="G41" s="64" t="str">
        <f t="shared" si="1"/>
        <v/>
      </c>
      <c r="O41" s="170">
        <v>7</v>
      </c>
      <c r="P41" s="139"/>
      <c r="Q41" s="139"/>
      <c r="R41" s="172"/>
    </row>
    <row r="42" spans="2:18">
      <c r="B42" s="170">
        <v>8</v>
      </c>
      <c r="C42" s="139"/>
      <c r="D42" s="25"/>
      <c r="E42" s="64" t="str">
        <f>IF($C42&lt;&gt;"","ALERT_" &amp; UPPER(Matrix!$D$6) &amp; "_" &amp; $C42,"")</f>
        <v/>
      </c>
      <c r="F42" s="172"/>
      <c r="G42" s="64" t="str">
        <f t="shared" si="1"/>
        <v/>
      </c>
      <c r="O42" s="170">
        <v>8</v>
      </c>
      <c r="P42" s="139"/>
      <c r="Q42" s="139"/>
      <c r="R42" s="172"/>
    </row>
    <row r="43" spans="2:18">
      <c r="B43" s="170">
        <v>9</v>
      </c>
      <c r="C43" s="139"/>
      <c r="D43" s="25"/>
      <c r="E43" s="64" t="str">
        <f>IF($C43&lt;&gt;"","ALERT_" &amp; UPPER(Matrix!$D$6) &amp; "_" &amp; $C43,"")</f>
        <v/>
      </c>
      <c r="F43" s="172"/>
      <c r="G43" s="64" t="str">
        <f t="shared" si="1"/>
        <v/>
      </c>
      <c r="O43" s="170">
        <v>9</v>
      </c>
      <c r="P43" s="139"/>
      <c r="Q43" s="139"/>
      <c r="R43" s="172"/>
    </row>
    <row r="44" spans="2:18">
      <c r="B44" s="170">
        <v>10</v>
      </c>
      <c r="C44" s="139"/>
      <c r="D44" s="25"/>
      <c r="E44" s="64" t="str">
        <f>IF($C44&lt;&gt;"","ALERT_" &amp; UPPER(Matrix!$D$6) &amp; "_" &amp; $C44,"")</f>
        <v/>
      </c>
      <c r="F44" s="172"/>
      <c r="G44" s="64" t="str">
        <f t="shared" si="1"/>
        <v/>
      </c>
      <c r="O44" s="170">
        <v>10</v>
      </c>
      <c r="P44" s="139"/>
      <c r="Q44" s="139"/>
      <c r="R44" s="172"/>
    </row>
    <row r="45" spans="2:18">
      <c r="B45" s="170">
        <v>11</v>
      </c>
      <c r="C45" s="139"/>
      <c r="D45" s="25"/>
      <c r="E45" s="64" t="str">
        <f>IF($C45&lt;&gt;"","ALERT_" &amp; UPPER(Matrix!$D$6) &amp; "_" &amp; $C45,"")</f>
        <v/>
      </c>
      <c r="F45" s="172"/>
      <c r="G45" s="64" t="str">
        <f t="shared" si="1"/>
        <v/>
      </c>
      <c r="O45" s="170">
        <v>11</v>
      </c>
      <c r="P45" s="139"/>
      <c r="Q45" s="139"/>
      <c r="R45" s="172"/>
    </row>
    <row r="46" spans="2:18">
      <c r="B46" s="170">
        <v>12</v>
      </c>
      <c r="C46" s="139"/>
      <c r="D46" s="25"/>
      <c r="E46" s="64" t="str">
        <f>IF($C46&lt;&gt;"","ALERT_" &amp; UPPER(Matrix!$D$6) &amp; "_" &amp; $C46,"")</f>
        <v/>
      </c>
      <c r="F46" s="172"/>
      <c r="G46" s="64" t="str">
        <f t="shared" si="1"/>
        <v/>
      </c>
      <c r="O46" s="170">
        <v>12</v>
      </c>
      <c r="P46" s="139"/>
      <c r="Q46" s="139"/>
      <c r="R46" s="172"/>
    </row>
    <row r="47" spans="2:18">
      <c r="B47" s="170">
        <v>13</v>
      </c>
      <c r="C47" s="139"/>
      <c r="D47" s="25"/>
      <c r="E47" s="64" t="str">
        <f>IF($C47&lt;&gt;"","ALERT_" &amp; UPPER(Matrix!$D$6) &amp; "_" &amp; $C47,"")</f>
        <v/>
      </c>
      <c r="F47" s="172"/>
      <c r="G47" s="64" t="str">
        <f t="shared" si="1"/>
        <v/>
      </c>
      <c r="O47" s="170">
        <v>13</v>
      </c>
      <c r="P47" s="139"/>
      <c r="Q47" s="139"/>
      <c r="R47" s="172"/>
    </row>
    <row r="48" spans="2:18">
      <c r="B48" s="170">
        <v>14</v>
      </c>
      <c r="C48" s="139"/>
      <c r="D48" s="25"/>
      <c r="E48" s="64" t="str">
        <f>IF($C48&lt;&gt;"","ALERT_" &amp; UPPER(Matrix!$D$6) &amp; "_" &amp; $C48,"")</f>
        <v/>
      </c>
      <c r="F48" s="172"/>
      <c r="G48" s="64" t="str">
        <f t="shared" si="1"/>
        <v/>
      </c>
      <c r="O48" s="170">
        <v>14</v>
      </c>
      <c r="P48" s="139"/>
      <c r="Q48" s="139"/>
      <c r="R48" s="172"/>
    </row>
    <row r="49" spans="2:18">
      <c r="B49" s="170">
        <v>15</v>
      </c>
      <c r="C49" s="139"/>
      <c r="D49" s="25"/>
      <c r="E49" s="64" t="str">
        <f>IF($C49&lt;&gt;"","ALERT_" &amp; UPPER(Matrix!$D$6) &amp; "_" &amp; $C49,"")</f>
        <v/>
      </c>
      <c r="F49" s="172"/>
      <c r="G49" s="64" t="str">
        <f t="shared" si="1"/>
        <v/>
      </c>
      <c r="O49" s="170">
        <v>15</v>
      </c>
      <c r="P49" s="139"/>
      <c r="Q49" s="139"/>
      <c r="R49" s="172"/>
    </row>
    <row r="50" spans="2:18">
      <c r="B50" s="170">
        <v>16</v>
      </c>
      <c r="C50" s="139"/>
      <c r="D50" s="25"/>
      <c r="E50" s="64" t="str">
        <f>IF($C50&lt;&gt;"","ALERT_" &amp; UPPER(Matrix!$D$6) &amp; "_" &amp; $C50,"")</f>
        <v/>
      </c>
      <c r="F50" s="172"/>
      <c r="G50" s="64" t="str">
        <f t="shared" si="1"/>
        <v/>
      </c>
      <c r="O50" s="170">
        <v>16</v>
      </c>
      <c r="P50" s="139"/>
      <c r="Q50" s="139"/>
      <c r="R50" s="172"/>
    </row>
    <row r="51" spans="2:18">
      <c r="B51" s="170">
        <v>17</v>
      </c>
      <c r="C51" s="139"/>
      <c r="D51" s="25"/>
      <c r="E51" s="64" t="str">
        <f>IF($C51&lt;&gt;"","ALERT_" &amp; UPPER(Matrix!$D$6) &amp; "_" &amp; $C51,"")</f>
        <v/>
      </c>
      <c r="F51" s="172"/>
      <c r="G51" s="64" t="str">
        <f t="shared" si="1"/>
        <v/>
      </c>
      <c r="O51" s="170">
        <v>17</v>
      </c>
      <c r="P51" s="139"/>
      <c r="Q51" s="139"/>
      <c r="R51" s="172"/>
    </row>
    <row r="52" spans="2:18">
      <c r="B52" s="170">
        <v>18</v>
      </c>
      <c r="C52" s="139"/>
      <c r="D52" s="25"/>
      <c r="E52" s="64" t="str">
        <f>IF($C52&lt;&gt;"","ALERT_" &amp; UPPER(Matrix!$D$6) &amp; "_" &amp; $C52,"")</f>
        <v/>
      </c>
      <c r="F52" s="172"/>
      <c r="G52" s="64" t="str">
        <f t="shared" si="1"/>
        <v/>
      </c>
      <c r="O52" s="170">
        <v>18</v>
      </c>
      <c r="P52" s="139"/>
      <c r="Q52" s="139"/>
      <c r="R52" s="172"/>
    </row>
    <row r="53" spans="2:18">
      <c r="B53" s="170">
        <v>19</v>
      </c>
      <c r="C53" s="139"/>
      <c r="D53" s="25"/>
      <c r="E53" s="64" t="str">
        <f>IF($C53&lt;&gt;"","ALERT_" &amp; UPPER(Matrix!$D$6) &amp; "_" &amp; $C53,"")</f>
        <v/>
      </c>
      <c r="F53" s="172"/>
      <c r="G53" s="64" t="str">
        <f t="shared" si="1"/>
        <v/>
      </c>
      <c r="O53" s="170">
        <v>19</v>
      </c>
      <c r="P53" s="139"/>
      <c r="Q53" s="139"/>
      <c r="R53" s="172"/>
    </row>
    <row r="54" spans="2:18">
      <c r="B54" s="170">
        <v>20</v>
      </c>
      <c r="C54" s="139"/>
      <c r="D54" s="25"/>
      <c r="E54" s="64" t="str">
        <f>IF($C54&lt;&gt;"","ALERT_" &amp; UPPER(Matrix!$D$6) &amp; "_" &amp; $C54,"")</f>
        <v/>
      </c>
      <c r="F54" s="172"/>
      <c r="G54" s="64" t="str">
        <f t="shared" si="1"/>
        <v/>
      </c>
      <c r="O54" s="170">
        <v>20</v>
      </c>
      <c r="P54" s="139"/>
      <c r="Q54" s="139"/>
      <c r="R54" s="172"/>
    </row>
    <row r="55" spans="2:18">
      <c r="B55" s="170">
        <v>21</v>
      </c>
      <c r="C55" s="139"/>
      <c r="D55" s="25"/>
      <c r="E55" s="64" t="str">
        <f>IF($C55&lt;&gt;"","ALERT_" &amp; UPPER(Matrix!$D$6) &amp; "_" &amp; $C55,"")</f>
        <v/>
      </c>
      <c r="F55" s="172"/>
      <c r="G55" s="64" t="str">
        <f t="shared" si="1"/>
        <v/>
      </c>
      <c r="O55" s="170">
        <v>21</v>
      </c>
      <c r="P55" s="139"/>
      <c r="Q55" s="139"/>
      <c r="R55" s="172"/>
    </row>
    <row r="56" spans="2:18">
      <c r="B56" s="170">
        <v>22</v>
      </c>
      <c r="C56" s="139"/>
      <c r="D56" s="25"/>
      <c r="E56" s="64" t="str">
        <f>IF($C56&lt;&gt;"","ALERT_" &amp; UPPER(Matrix!$D$6) &amp; "_" &amp; $C56,"")</f>
        <v/>
      </c>
      <c r="F56" s="172"/>
      <c r="G56" s="64" t="str">
        <f t="shared" si="1"/>
        <v/>
      </c>
      <c r="O56" s="170">
        <v>22</v>
      </c>
      <c r="P56" s="139"/>
      <c r="Q56" s="139"/>
      <c r="R56" s="172"/>
    </row>
    <row r="57" spans="2:18">
      <c r="B57" s="170">
        <v>23</v>
      </c>
      <c r="C57" s="139"/>
      <c r="D57" s="25"/>
      <c r="E57" s="64" t="str">
        <f>IF($C57&lt;&gt;"","ALERT_" &amp; UPPER(Matrix!$D$6) &amp; "_" &amp; $C57,"")</f>
        <v/>
      </c>
      <c r="F57" s="172"/>
      <c r="G57" s="64" t="str">
        <f t="shared" si="1"/>
        <v/>
      </c>
      <c r="O57" s="170">
        <v>23</v>
      </c>
      <c r="P57" s="139"/>
      <c r="Q57" s="139"/>
      <c r="R57" s="172"/>
    </row>
    <row r="58" spans="2:18">
      <c r="B58" s="170">
        <v>24</v>
      </c>
      <c r="C58" s="139"/>
      <c r="D58" s="25"/>
      <c r="E58" s="64" t="str">
        <f>IF($C58&lt;&gt;"","ALERT_" &amp; UPPER(Matrix!$D$6) &amp; "_" &amp; $C58,"")</f>
        <v/>
      </c>
      <c r="F58" s="172"/>
      <c r="G58" s="64" t="str">
        <f t="shared" si="1"/>
        <v/>
      </c>
      <c r="O58" s="170">
        <v>24</v>
      </c>
      <c r="P58" s="139"/>
      <c r="Q58" s="139"/>
      <c r="R58" s="172"/>
    </row>
    <row r="59" spans="2:18" ht="13.8" thickBot="1">
      <c r="B59" s="171">
        <v>25</v>
      </c>
      <c r="C59" s="137"/>
      <c r="D59" s="50"/>
      <c r="E59" s="65" t="str">
        <f>IF($C59&lt;&gt;"","ALERT_" &amp; UPPER(Matrix!$D$6) &amp; "_" &amp; $C59,"")</f>
        <v/>
      </c>
      <c r="F59" s="173"/>
      <c r="G59" s="65" t="str">
        <f t="shared" si="1"/>
        <v/>
      </c>
      <c r="O59" s="171">
        <v>25</v>
      </c>
      <c r="P59" s="137"/>
      <c r="Q59" s="137"/>
      <c r="R59" s="173"/>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25.77734375" customWidth="1"/>
    <col min="7" max="7" width="12.33203125" customWidth="1"/>
    <col min="8" max="8" width="29.21875" bestFit="1" customWidth="1"/>
    <col min="9" max="9" width="12.33203125" customWidth="1"/>
    <col min="10" max="10" width="62.44140625" customWidth="1"/>
    <col min="11" max="11" width="12.33203125" customWidth="1"/>
    <col min="12" max="12" width="16.109375" customWidth="1"/>
    <col min="14" max="14" width="30.109375" bestFit="1" customWidth="1"/>
    <col min="15" max="15" width="57.109375" hidden="1" customWidth="1"/>
    <col min="21" max="21" width="13" hidden="1" customWidth="1"/>
  </cols>
  <sheetData>
    <row r="1" spans="1:21" ht="13.8" thickBot="1">
      <c r="C1" s="84" t="s">
        <v>103</v>
      </c>
    </row>
    <row r="2" spans="1:21" ht="13.8" thickBot="1">
      <c r="B2" s="92" t="s">
        <v>57</v>
      </c>
      <c r="C2" s="93" t="s">
        <v>121</v>
      </c>
      <c r="D2" s="94" t="s">
        <v>51</v>
      </c>
      <c r="E2" s="95" t="s">
        <v>52</v>
      </c>
      <c r="F2" s="96" t="s">
        <v>22</v>
      </c>
      <c r="G2" s="95" t="s">
        <v>53</v>
      </c>
      <c r="H2" s="96" t="s">
        <v>24</v>
      </c>
      <c r="I2" s="95" t="s">
        <v>54</v>
      </c>
      <c r="J2" s="96" t="s">
        <v>164</v>
      </c>
      <c r="K2" s="95" t="s">
        <v>55</v>
      </c>
      <c r="L2" s="96" t="s">
        <v>25</v>
      </c>
      <c r="M2" s="93" t="s">
        <v>56</v>
      </c>
      <c r="N2" s="96" t="s">
        <v>116</v>
      </c>
      <c r="O2" s="115" t="s">
        <v>82</v>
      </c>
    </row>
    <row r="3" spans="1:21" ht="14.4" hidden="1" thickTop="1" thickBot="1">
      <c r="B3" s="26"/>
      <c r="C3" s="47" t="s">
        <v>107</v>
      </c>
      <c r="D3" s="107"/>
      <c r="E3" s="13"/>
      <c r="F3" s="15"/>
      <c r="G3" s="13"/>
      <c r="H3" s="15"/>
      <c r="I3" s="13"/>
      <c r="J3" s="15"/>
      <c r="K3" s="13"/>
      <c r="L3" s="15"/>
      <c r="M3" s="48"/>
      <c r="N3" s="104"/>
      <c r="O3" s="116"/>
      <c r="U3" s="88" t="s">
        <v>97</v>
      </c>
    </row>
    <row r="4" spans="1:21" ht="13.8" thickTop="1">
      <c r="A4" s="84" t="s">
        <v>269</v>
      </c>
      <c r="B4" s="251" t="s">
        <v>264</v>
      </c>
      <c r="C4" s="102" t="s">
        <v>235</v>
      </c>
      <c r="D4" s="114">
        <v>0</v>
      </c>
      <c r="E4" s="190" t="s">
        <v>214</v>
      </c>
      <c r="F4" s="191" t="s">
        <v>30</v>
      </c>
      <c r="G4" s="190" t="s">
        <v>214</v>
      </c>
      <c r="H4" s="249" t="s">
        <v>265</v>
      </c>
      <c r="I4" s="190" t="s">
        <v>214</v>
      </c>
      <c r="J4" s="191" t="s">
        <v>30</v>
      </c>
      <c r="K4" s="190" t="s">
        <v>214</v>
      </c>
      <c r="L4" s="191" t="s">
        <v>30</v>
      </c>
      <c r="M4" s="48">
        <f ca="1">LEN(N4)</f>
        <v>29</v>
      </c>
      <c r="N4" s="104" t="str">
        <f ca="1">VLOOKUP($B4,Matrix!$H$13:$I$37,2,FALSE)&amp;"_"&amp;C4</f>
        <v>ALERT_REQ_S_ADBZR_TCHAR_CYCL1</v>
      </c>
      <c r="O4" s="116" t="str">
        <f t="shared" ref="O4:O35" ca="1" si="0">"#define "&amp;N4&amp;REPT(" ",48-M4)&amp;"("&amp;D4&amp;"U)"</f>
        <v>#define ALERT_REQ_S_ADBZR_TCHAR_CYCL1                   (0U)</v>
      </c>
      <c r="U4" s="88" t="s">
        <v>97</v>
      </c>
    </row>
    <row r="5" spans="1:21">
      <c r="A5" s="84" t="s">
        <v>269</v>
      </c>
      <c r="B5" s="251" t="s">
        <v>264</v>
      </c>
      <c r="C5" s="102" t="s">
        <v>236</v>
      </c>
      <c r="D5" s="114">
        <v>1</v>
      </c>
      <c r="E5" s="190" t="s">
        <v>214</v>
      </c>
      <c r="F5" s="191" t="s">
        <v>30</v>
      </c>
      <c r="G5" s="190" t="s">
        <v>214</v>
      </c>
      <c r="H5" s="250" t="s">
        <v>266</v>
      </c>
      <c r="I5" s="190" t="s">
        <v>214</v>
      </c>
      <c r="J5" s="197" t="s">
        <v>30</v>
      </c>
      <c r="K5" s="190" t="s">
        <v>214</v>
      </c>
      <c r="L5" s="191" t="s">
        <v>30</v>
      </c>
      <c r="M5" s="43">
        <f t="shared" ref="M5:M68" ca="1" si="1">LEN(N5)</f>
        <v>29</v>
      </c>
      <c r="N5" s="104" t="str">
        <f ca="1">VLOOKUP($B5,Matrix!$H$13:$I$37,2,FALSE)&amp;"_"&amp;C5</f>
        <v>ALERT_REQ_S_ADBZR_TCHAR_CYCL2</v>
      </c>
      <c r="O5" s="117" t="str">
        <f t="shared" ca="1" si="0"/>
        <v>#define ALERT_REQ_S_ADBZR_TCHAR_CYCL2                   (1U)</v>
      </c>
      <c r="U5" s="86" t="s">
        <v>98</v>
      </c>
    </row>
    <row r="6" spans="1:21">
      <c r="A6" s="84" t="s">
        <v>269</v>
      </c>
      <c r="B6" s="251" t="s">
        <v>264</v>
      </c>
      <c r="C6" s="102" t="s">
        <v>237</v>
      </c>
      <c r="D6" s="114">
        <v>2</v>
      </c>
      <c r="E6" s="190" t="s">
        <v>214</v>
      </c>
      <c r="F6" s="191" t="s">
        <v>30</v>
      </c>
      <c r="G6" s="190" t="s">
        <v>214</v>
      </c>
      <c r="H6" s="250" t="s">
        <v>267</v>
      </c>
      <c r="I6" s="190" t="s">
        <v>214</v>
      </c>
      <c r="J6" s="197" t="s">
        <v>30</v>
      </c>
      <c r="K6" s="190" t="s">
        <v>214</v>
      </c>
      <c r="L6" s="191" t="s">
        <v>30</v>
      </c>
      <c r="M6" s="43">
        <f t="shared" ca="1" si="1"/>
        <v>30</v>
      </c>
      <c r="N6" s="104" t="str">
        <f ca="1">VLOOKUP($B6,Matrix!$H$13:$I$37,2,FALSE)&amp;"_"&amp;C6</f>
        <v>ALERT_REQ_S_ADBZR_TCHAR_SINGLE</v>
      </c>
      <c r="O6" s="117" t="str">
        <f t="shared" ca="1" si="0"/>
        <v>#define ALERT_REQ_S_ADBZR_TCHAR_SINGLE                  (2U)</v>
      </c>
      <c r="U6" s="28" t="s">
        <v>99</v>
      </c>
    </row>
    <row r="7" spans="1:21">
      <c r="B7" s="103"/>
      <c r="C7" s="102"/>
      <c r="D7" s="114"/>
      <c r="E7" s="108"/>
      <c r="F7" s="109"/>
      <c r="G7" s="108"/>
      <c r="H7" s="109"/>
      <c r="I7" s="108"/>
      <c r="J7" s="109"/>
      <c r="K7" s="108"/>
      <c r="L7" s="109"/>
      <c r="M7" s="43" t="e">
        <f t="shared" ca="1" si="1"/>
        <v>#N/A</v>
      </c>
      <c r="N7" s="104" t="e">
        <f ca="1">VLOOKUP($B7,Matrix!$H$13:$I$37,2,FALSE)&amp;"_"&amp;C7</f>
        <v>#N/A</v>
      </c>
      <c r="O7" s="117" t="e">
        <f t="shared" ca="1" si="0"/>
        <v>#N/A</v>
      </c>
      <c r="U7" s="28" t="s">
        <v>100</v>
      </c>
    </row>
    <row r="8" spans="1:21">
      <c r="B8" s="103"/>
      <c r="C8" s="102"/>
      <c r="D8" s="114"/>
      <c r="E8" s="190"/>
      <c r="F8" s="191"/>
      <c r="G8" s="190"/>
      <c r="H8" s="191"/>
      <c r="I8" s="190"/>
      <c r="J8" s="192"/>
      <c r="K8" s="190"/>
      <c r="L8" s="191"/>
      <c r="M8" s="43" t="e">
        <f t="shared" ca="1" si="1"/>
        <v>#N/A</v>
      </c>
      <c r="N8" s="104" t="e">
        <f ca="1">VLOOKUP($B8,Matrix!$H$13:$I$37,2,FALSE)&amp;"_"&amp;C8</f>
        <v>#N/A</v>
      </c>
      <c r="O8" s="117" t="e">
        <f t="shared" ca="1" si="0"/>
        <v>#N/A</v>
      </c>
      <c r="U8" s="28" t="s">
        <v>101</v>
      </c>
    </row>
    <row r="9" spans="1:21">
      <c r="B9" s="26"/>
      <c r="C9" s="25"/>
      <c r="D9" s="114"/>
      <c r="E9" s="108"/>
      <c r="F9" s="109"/>
      <c r="G9" s="108"/>
      <c r="H9" s="109"/>
      <c r="I9" s="108"/>
      <c r="J9" s="111"/>
      <c r="K9" s="108"/>
      <c r="L9" s="109"/>
      <c r="M9" s="43" t="e">
        <f t="shared" ca="1" si="1"/>
        <v>#N/A</v>
      </c>
      <c r="N9" s="104" t="e">
        <f ca="1">VLOOKUP($B9,Matrix!$H$13:$I$37,2,FALSE)&amp;"_"&amp;C9</f>
        <v>#N/A</v>
      </c>
      <c r="O9" s="117" t="e">
        <f t="shared" ca="1" si="0"/>
        <v>#N/A</v>
      </c>
      <c r="U9" s="28" t="s">
        <v>102</v>
      </c>
    </row>
    <row r="10" spans="1:21">
      <c r="B10" s="26"/>
      <c r="C10" s="25"/>
      <c r="D10" s="110"/>
      <c r="E10" s="26"/>
      <c r="F10" s="111"/>
      <c r="G10" s="26"/>
      <c r="H10" s="111"/>
      <c r="I10" s="26"/>
      <c r="J10" s="111"/>
      <c r="K10" s="26"/>
      <c r="L10" s="111"/>
      <c r="M10" s="43" t="e">
        <f t="shared" ca="1" si="1"/>
        <v>#N/A</v>
      </c>
      <c r="N10" s="104" t="e">
        <f ca="1">VLOOKUP($B10,Matrix!$H$13:$I$37,2,FALSE)&amp;"_"&amp;C10</f>
        <v>#N/A</v>
      </c>
      <c r="O10" s="117" t="e">
        <f t="shared" ca="1" si="0"/>
        <v>#N/A</v>
      </c>
      <c r="U10" s="28"/>
    </row>
    <row r="11" spans="1:21">
      <c r="B11" s="26"/>
      <c r="C11" s="25"/>
      <c r="D11" s="110"/>
      <c r="E11" s="26"/>
      <c r="F11" s="111"/>
      <c r="G11" s="26"/>
      <c r="H11" s="111"/>
      <c r="I11" s="26"/>
      <c r="J11" s="111"/>
      <c r="K11" s="26"/>
      <c r="L11" s="111"/>
      <c r="M11" s="43" t="e">
        <f t="shared" ca="1" si="1"/>
        <v>#N/A</v>
      </c>
      <c r="N11" s="104" t="e">
        <f ca="1">VLOOKUP($B11,Matrix!$H$13:$I$37,2,FALSE)&amp;"_"&amp;C11</f>
        <v>#N/A</v>
      </c>
      <c r="O11" s="117" t="e">
        <f t="shared" ca="1" si="0"/>
        <v>#N/A</v>
      </c>
      <c r="U11" s="28"/>
    </row>
    <row r="12" spans="1:21">
      <c r="B12" s="26"/>
      <c r="C12" s="25"/>
      <c r="D12" s="110"/>
      <c r="E12" s="26"/>
      <c r="F12" s="111"/>
      <c r="G12" s="26"/>
      <c r="H12" s="111"/>
      <c r="I12" s="26"/>
      <c r="J12" s="111"/>
      <c r="K12" s="26"/>
      <c r="L12" s="111"/>
      <c r="M12" s="43" t="e">
        <f t="shared" ca="1" si="1"/>
        <v>#N/A</v>
      </c>
      <c r="N12" s="104" t="e">
        <f ca="1">VLOOKUP($B12,Matrix!$H$13:$I$37,2,FALSE)&amp;"_"&amp;C12</f>
        <v>#N/A</v>
      </c>
      <c r="O12" s="117" t="e">
        <f t="shared" ca="1" si="0"/>
        <v>#N/A</v>
      </c>
      <c r="U12" s="28"/>
    </row>
    <row r="13" spans="1:21" ht="13.8" thickBot="1">
      <c r="B13" s="26"/>
      <c r="C13" s="25"/>
      <c r="D13" s="110"/>
      <c r="E13" s="26"/>
      <c r="F13" s="111"/>
      <c r="G13" s="26"/>
      <c r="H13" s="111"/>
      <c r="I13" s="26"/>
      <c r="J13" s="111"/>
      <c r="K13" s="26"/>
      <c r="L13" s="111"/>
      <c r="M13" s="43" t="e">
        <f t="shared" ca="1" si="1"/>
        <v>#N/A</v>
      </c>
      <c r="N13" s="104" t="e">
        <f ca="1">VLOOKUP($B13,Matrix!$H$13:$I$37,2,FALSE)&amp;"_"&amp;C13</f>
        <v>#N/A</v>
      </c>
      <c r="O13" s="117" t="e">
        <f t="shared" ca="1" si="0"/>
        <v>#N/A</v>
      </c>
      <c r="U13" s="87"/>
    </row>
    <row r="14" spans="1:21">
      <c r="B14" s="26"/>
      <c r="C14" s="25"/>
      <c r="D14" s="110"/>
      <c r="E14" s="26"/>
      <c r="F14" s="111"/>
      <c r="G14" s="26"/>
      <c r="H14" s="111"/>
      <c r="I14" s="26"/>
      <c r="J14" s="111"/>
      <c r="K14" s="26"/>
      <c r="L14" s="111"/>
      <c r="M14" s="43" t="e">
        <f t="shared" ca="1" si="1"/>
        <v>#N/A</v>
      </c>
      <c r="N14" s="104" t="e">
        <f ca="1">VLOOKUP($B14,Matrix!$H$13:$I$37,2,FALSE)&amp;"_"&amp;C14</f>
        <v>#N/A</v>
      </c>
      <c r="O14" s="117" t="e">
        <f t="shared" ca="1" si="0"/>
        <v>#N/A</v>
      </c>
    </row>
    <row r="15" spans="1:21">
      <c r="B15" s="26"/>
      <c r="C15" s="25"/>
      <c r="D15" s="110"/>
      <c r="E15" s="26"/>
      <c r="F15" s="111"/>
      <c r="G15" s="26"/>
      <c r="H15" s="111"/>
      <c r="I15" s="26"/>
      <c r="J15" s="111"/>
      <c r="K15" s="26"/>
      <c r="L15" s="111"/>
      <c r="M15" s="43" t="e">
        <f t="shared" ca="1" si="1"/>
        <v>#N/A</v>
      </c>
      <c r="N15" s="104" t="e">
        <f ca="1">VLOOKUP($B15,Matrix!$H$13:$I$37,2,FALSE)&amp;"_"&amp;C15</f>
        <v>#N/A</v>
      </c>
      <c r="O15" s="117" t="e">
        <f t="shared" ca="1" si="0"/>
        <v>#N/A</v>
      </c>
    </row>
    <row r="16" spans="1:21">
      <c r="B16" s="26"/>
      <c r="C16" s="25"/>
      <c r="D16" s="110"/>
      <c r="E16" s="26"/>
      <c r="F16" s="111"/>
      <c r="G16" s="26"/>
      <c r="H16" s="111"/>
      <c r="I16" s="26"/>
      <c r="J16" s="111"/>
      <c r="K16" s="26"/>
      <c r="L16" s="111"/>
      <c r="M16" s="43" t="e">
        <f t="shared" ca="1" si="1"/>
        <v>#N/A</v>
      </c>
      <c r="N16" s="104" t="e">
        <f ca="1">VLOOKUP($B16,Matrix!$H$13:$I$37,2,FALSE)&amp;"_"&amp;C16</f>
        <v>#N/A</v>
      </c>
      <c r="O16" s="117" t="e">
        <f t="shared" ca="1" si="0"/>
        <v>#N/A</v>
      </c>
    </row>
    <row r="17" spans="2:15">
      <c r="B17" s="26"/>
      <c r="C17" s="25"/>
      <c r="D17" s="110"/>
      <c r="E17" s="26"/>
      <c r="F17" s="111"/>
      <c r="G17" s="26"/>
      <c r="H17" s="111"/>
      <c r="I17" s="26"/>
      <c r="J17" s="111"/>
      <c r="K17" s="26"/>
      <c r="L17" s="111"/>
      <c r="M17" s="43" t="e">
        <f t="shared" ca="1" si="1"/>
        <v>#N/A</v>
      </c>
      <c r="N17" s="104" t="e">
        <f ca="1">VLOOKUP($B17,Matrix!$H$13:$I$37,2,FALSE)&amp;"_"&amp;C17</f>
        <v>#N/A</v>
      </c>
      <c r="O17" s="117" t="e">
        <f t="shared" ca="1" si="0"/>
        <v>#N/A</v>
      </c>
    </row>
    <row r="18" spans="2:15">
      <c r="B18" s="26"/>
      <c r="C18" s="25"/>
      <c r="D18" s="110"/>
      <c r="E18" s="26"/>
      <c r="F18" s="111"/>
      <c r="G18" s="26"/>
      <c r="H18" s="111"/>
      <c r="I18" s="26"/>
      <c r="J18" s="111"/>
      <c r="K18" s="26"/>
      <c r="L18" s="111"/>
      <c r="M18" s="43" t="e">
        <f t="shared" ca="1" si="1"/>
        <v>#N/A</v>
      </c>
      <c r="N18" s="104" t="e">
        <f ca="1">VLOOKUP($B18,Matrix!$H$13:$I$37,2,FALSE)&amp;"_"&amp;C18</f>
        <v>#N/A</v>
      </c>
      <c r="O18" s="117" t="e">
        <f t="shared" ca="1" si="0"/>
        <v>#N/A</v>
      </c>
    </row>
    <row r="19" spans="2:15">
      <c r="B19" s="26"/>
      <c r="C19" s="25"/>
      <c r="D19" s="110"/>
      <c r="E19" s="26"/>
      <c r="F19" s="111"/>
      <c r="G19" s="26"/>
      <c r="H19" s="111"/>
      <c r="I19" s="26"/>
      <c r="J19" s="111"/>
      <c r="K19" s="26"/>
      <c r="L19" s="111"/>
      <c r="M19" s="43" t="e">
        <f t="shared" ca="1" si="1"/>
        <v>#N/A</v>
      </c>
      <c r="N19" s="104" t="e">
        <f ca="1">VLOOKUP($B19,Matrix!$H$13:$I$37,2,FALSE)&amp;"_"&amp;C19</f>
        <v>#N/A</v>
      </c>
      <c r="O19" s="117" t="e">
        <f t="shared" ca="1" si="0"/>
        <v>#N/A</v>
      </c>
    </row>
    <row r="20" spans="2:15">
      <c r="B20" s="26"/>
      <c r="C20" s="25"/>
      <c r="D20" s="110"/>
      <c r="E20" s="26"/>
      <c r="F20" s="111"/>
      <c r="G20" s="26"/>
      <c r="H20" s="111"/>
      <c r="I20" s="26"/>
      <c r="J20" s="111"/>
      <c r="K20" s="26"/>
      <c r="L20" s="111"/>
      <c r="M20" s="43" t="e">
        <f t="shared" ca="1" si="1"/>
        <v>#N/A</v>
      </c>
      <c r="N20" s="104" t="e">
        <f ca="1">VLOOKUP($B20,Matrix!$H$13:$I$37,2,FALSE)&amp;"_"&amp;C20</f>
        <v>#N/A</v>
      </c>
      <c r="O20" s="117" t="e">
        <f t="shared" ca="1" si="0"/>
        <v>#N/A</v>
      </c>
    </row>
    <row r="21" spans="2:15">
      <c r="B21" s="26"/>
      <c r="C21" s="25"/>
      <c r="D21" s="110"/>
      <c r="E21" s="26"/>
      <c r="F21" s="111"/>
      <c r="G21" s="26"/>
      <c r="H21" s="111"/>
      <c r="I21" s="26"/>
      <c r="J21" s="111"/>
      <c r="K21" s="26"/>
      <c r="L21" s="111"/>
      <c r="M21" s="43" t="e">
        <f t="shared" ca="1" si="1"/>
        <v>#N/A</v>
      </c>
      <c r="N21" s="104" t="e">
        <f ca="1">VLOOKUP($B21,Matrix!$H$13:$I$37,2,FALSE)&amp;"_"&amp;C21</f>
        <v>#N/A</v>
      </c>
      <c r="O21" s="117" t="e">
        <f t="shared" ca="1" si="0"/>
        <v>#N/A</v>
      </c>
    </row>
    <row r="22" spans="2:15">
      <c r="B22" s="26"/>
      <c r="C22" s="25"/>
      <c r="D22" s="110"/>
      <c r="E22" s="26"/>
      <c r="F22" s="111"/>
      <c r="G22" s="26"/>
      <c r="H22" s="111"/>
      <c r="I22" s="26"/>
      <c r="J22" s="111"/>
      <c r="K22" s="26"/>
      <c r="L22" s="111"/>
      <c r="M22" s="43" t="e">
        <f t="shared" ca="1" si="1"/>
        <v>#N/A</v>
      </c>
      <c r="N22" s="104" t="e">
        <f ca="1">VLOOKUP($B22,Matrix!$H$13:$I$37,2,FALSE)&amp;"_"&amp;C22</f>
        <v>#N/A</v>
      </c>
      <c r="O22" s="117" t="e">
        <f t="shared" ca="1" si="0"/>
        <v>#N/A</v>
      </c>
    </row>
    <row r="23" spans="2:15">
      <c r="B23" s="26"/>
      <c r="C23" s="25"/>
      <c r="D23" s="110"/>
      <c r="E23" s="26"/>
      <c r="F23" s="111"/>
      <c r="G23" s="26"/>
      <c r="H23" s="111"/>
      <c r="I23" s="26"/>
      <c r="J23" s="111"/>
      <c r="K23" s="26"/>
      <c r="L23" s="111"/>
      <c r="M23" s="43" t="e">
        <f t="shared" ca="1" si="1"/>
        <v>#N/A</v>
      </c>
      <c r="N23" s="104" t="e">
        <f ca="1">VLOOKUP($B23,Matrix!$H$13:$I$37,2,FALSE)&amp;"_"&amp;C23</f>
        <v>#N/A</v>
      </c>
      <c r="O23" s="117" t="e">
        <f t="shared" ca="1" si="0"/>
        <v>#N/A</v>
      </c>
    </row>
    <row r="24" spans="2:15">
      <c r="B24" s="26"/>
      <c r="C24" s="25"/>
      <c r="D24" s="110"/>
      <c r="E24" s="26"/>
      <c r="F24" s="111"/>
      <c r="G24" s="26"/>
      <c r="H24" s="111"/>
      <c r="I24" s="26"/>
      <c r="J24" s="111"/>
      <c r="K24" s="26"/>
      <c r="L24" s="111"/>
      <c r="M24" s="43" t="e">
        <f t="shared" ca="1" si="1"/>
        <v>#N/A</v>
      </c>
      <c r="N24" s="104" t="e">
        <f ca="1">VLOOKUP($B24,Matrix!$H$13:$I$37,2,FALSE)&amp;"_"&amp;C24</f>
        <v>#N/A</v>
      </c>
      <c r="O24" s="117" t="e">
        <f t="shared" ca="1" si="0"/>
        <v>#N/A</v>
      </c>
    </row>
    <row r="25" spans="2:15">
      <c r="B25" s="26"/>
      <c r="C25" s="25"/>
      <c r="D25" s="110"/>
      <c r="E25" s="26"/>
      <c r="F25" s="111"/>
      <c r="G25" s="26"/>
      <c r="H25" s="111"/>
      <c r="I25" s="26"/>
      <c r="J25" s="111"/>
      <c r="K25" s="26"/>
      <c r="L25" s="111"/>
      <c r="M25" s="43" t="e">
        <f t="shared" ca="1" si="1"/>
        <v>#N/A</v>
      </c>
      <c r="N25" s="104" t="e">
        <f ca="1">VLOOKUP($B25,Matrix!$H$13:$I$37,2,FALSE)&amp;"_"&amp;C25</f>
        <v>#N/A</v>
      </c>
      <c r="O25" s="117" t="e">
        <f t="shared" ca="1" si="0"/>
        <v>#N/A</v>
      </c>
    </row>
    <row r="26" spans="2:15">
      <c r="B26" s="26"/>
      <c r="C26" s="25"/>
      <c r="D26" s="110"/>
      <c r="E26" s="26"/>
      <c r="F26" s="111"/>
      <c r="G26" s="26"/>
      <c r="H26" s="111"/>
      <c r="I26" s="26"/>
      <c r="J26" s="111"/>
      <c r="K26" s="26"/>
      <c r="L26" s="111"/>
      <c r="M26" s="43" t="e">
        <f t="shared" ca="1" si="1"/>
        <v>#N/A</v>
      </c>
      <c r="N26" s="104" t="e">
        <f ca="1">VLOOKUP($B26,Matrix!$H$13:$I$37,2,FALSE)&amp;"_"&amp;C26</f>
        <v>#N/A</v>
      </c>
      <c r="O26" s="117" t="e">
        <f t="shared" ca="1" si="0"/>
        <v>#N/A</v>
      </c>
    </row>
    <row r="27" spans="2:15">
      <c r="B27" s="26"/>
      <c r="C27" s="25"/>
      <c r="D27" s="110"/>
      <c r="E27" s="26"/>
      <c r="F27" s="111"/>
      <c r="G27" s="26"/>
      <c r="H27" s="111"/>
      <c r="I27" s="26"/>
      <c r="J27" s="111"/>
      <c r="K27" s="26"/>
      <c r="L27" s="111"/>
      <c r="M27" s="43" t="e">
        <f t="shared" ca="1" si="1"/>
        <v>#N/A</v>
      </c>
      <c r="N27" s="104" t="e">
        <f ca="1">VLOOKUP($B27,Matrix!$H$13:$I$37,2,FALSE)&amp;"_"&amp;C27</f>
        <v>#N/A</v>
      </c>
      <c r="O27" s="117" t="e">
        <f t="shared" ca="1" si="0"/>
        <v>#N/A</v>
      </c>
    </row>
    <row r="28" spans="2:15">
      <c r="B28" s="26"/>
      <c r="C28" s="25"/>
      <c r="D28" s="110"/>
      <c r="E28" s="26"/>
      <c r="F28" s="111"/>
      <c r="G28" s="26"/>
      <c r="H28" s="111"/>
      <c r="I28" s="26"/>
      <c r="J28" s="111"/>
      <c r="K28" s="26"/>
      <c r="L28" s="111"/>
      <c r="M28" s="43" t="e">
        <f t="shared" ca="1" si="1"/>
        <v>#N/A</v>
      </c>
      <c r="N28" s="104" t="e">
        <f ca="1">VLOOKUP($B28,Matrix!$H$13:$I$37,2,FALSE)&amp;"_"&amp;C28</f>
        <v>#N/A</v>
      </c>
      <c r="O28" s="117" t="e">
        <f t="shared" ca="1" si="0"/>
        <v>#N/A</v>
      </c>
    </row>
    <row r="29" spans="2:15">
      <c r="B29" s="26"/>
      <c r="C29" s="25"/>
      <c r="D29" s="110"/>
      <c r="E29" s="26"/>
      <c r="F29" s="111"/>
      <c r="G29" s="26"/>
      <c r="H29" s="111"/>
      <c r="I29" s="26"/>
      <c r="J29" s="111"/>
      <c r="K29" s="26"/>
      <c r="L29" s="111"/>
      <c r="M29" s="43" t="e">
        <f t="shared" ca="1" si="1"/>
        <v>#N/A</v>
      </c>
      <c r="N29" s="104" t="e">
        <f ca="1">VLOOKUP($B29,Matrix!$H$13:$I$37,2,FALSE)&amp;"_"&amp;C29</f>
        <v>#N/A</v>
      </c>
      <c r="O29" s="117" t="e">
        <f t="shared" ca="1" si="0"/>
        <v>#N/A</v>
      </c>
    </row>
    <row r="30" spans="2:15">
      <c r="B30" s="26"/>
      <c r="C30" s="25"/>
      <c r="D30" s="110"/>
      <c r="E30" s="26"/>
      <c r="F30" s="111"/>
      <c r="G30" s="26"/>
      <c r="H30" s="111"/>
      <c r="I30" s="26"/>
      <c r="J30" s="111"/>
      <c r="K30" s="26"/>
      <c r="L30" s="111"/>
      <c r="M30" s="43" t="e">
        <f t="shared" ca="1" si="1"/>
        <v>#N/A</v>
      </c>
      <c r="N30" s="104" t="e">
        <f ca="1">VLOOKUP($B30,Matrix!$H$13:$I$37,2,FALSE)&amp;"_"&amp;C30</f>
        <v>#N/A</v>
      </c>
      <c r="O30" s="117" t="e">
        <f t="shared" ca="1" si="0"/>
        <v>#N/A</v>
      </c>
    </row>
    <row r="31" spans="2:15">
      <c r="B31" s="26"/>
      <c r="C31" s="25"/>
      <c r="D31" s="110"/>
      <c r="E31" s="26"/>
      <c r="F31" s="111"/>
      <c r="G31" s="26"/>
      <c r="H31" s="111"/>
      <c r="I31" s="26"/>
      <c r="J31" s="111"/>
      <c r="K31" s="26"/>
      <c r="L31" s="111"/>
      <c r="M31" s="43" t="e">
        <f t="shared" ca="1" si="1"/>
        <v>#N/A</v>
      </c>
      <c r="N31" s="104" t="e">
        <f ca="1">VLOOKUP($B31,Matrix!$H$13:$I$37,2,FALSE)&amp;"_"&amp;C31</f>
        <v>#N/A</v>
      </c>
      <c r="O31" s="117" t="e">
        <f t="shared" ca="1" si="0"/>
        <v>#N/A</v>
      </c>
    </row>
    <row r="32" spans="2:15">
      <c r="B32" s="26"/>
      <c r="C32" s="25"/>
      <c r="D32" s="110"/>
      <c r="E32" s="26"/>
      <c r="F32" s="111"/>
      <c r="G32" s="26"/>
      <c r="H32" s="111"/>
      <c r="I32" s="26"/>
      <c r="J32" s="111"/>
      <c r="K32" s="26"/>
      <c r="L32" s="111"/>
      <c r="M32" s="43" t="e">
        <f t="shared" ca="1" si="1"/>
        <v>#N/A</v>
      </c>
      <c r="N32" s="104" t="e">
        <f ca="1">VLOOKUP($B32,Matrix!$H$13:$I$37,2,FALSE)&amp;"_"&amp;C32</f>
        <v>#N/A</v>
      </c>
      <c r="O32" s="117" t="e">
        <f t="shared" ca="1" si="0"/>
        <v>#N/A</v>
      </c>
    </row>
    <row r="33" spans="2:15">
      <c r="B33" s="26"/>
      <c r="C33" s="25"/>
      <c r="D33" s="110"/>
      <c r="E33" s="26"/>
      <c r="F33" s="111"/>
      <c r="G33" s="26"/>
      <c r="H33" s="111"/>
      <c r="I33" s="26"/>
      <c r="J33" s="111"/>
      <c r="K33" s="26"/>
      <c r="L33" s="111"/>
      <c r="M33" s="43" t="e">
        <f t="shared" ca="1" si="1"/>
        <v>#N/A</v>
      </c>
      <c r="N33" s="104" t="e">
        <f ca="1">VLOOKUP($B33,Matrix!$H$13:$I$37,2,FALSE)&amp;"_"&amp;C33</f>
        <v>#N/A</v>
      </c>
      <c r="O33" s="117" t="e">
        <f t="shared" ca="1" si="0"/>
        <v>#N/A</v>
      </c>
    </row>
    <row r="34" spans="2:15">
      <c r="B34" s="26"/>
      <c r="C34" s="25"/>
      <c r="D34" s="110"/>
      <c r="E34" s="26"/>
      <c r="F34" s="111"/>
      <c r="G34" s="26"/>
      <c r="H34" s="111"/>
      <c r="I34" s="26"/>
      <c r="J34" s="111"/>
      <c r="K34" s="26"/>
      <c r="L34" s="111"/>
      <c r="M34" s="43" t="e">
        <f t="shared" ca="1" si="1"/>
        <v>#N/A</v>
      </c>
      <c r="N34" s="104" t="e">
        <f ca="1">VLOOKUP($B34,Matrix!$H$13:$I$37,2,FALSE)&amp;"_"&amp;C34</f>
        <v>#N/A</v>
      </c>
      <c r="O34" s="117" t="e">
        <f t="shared" ca="1" si="0"/>
        <v>#N/A</v>
      </c>
    </row>
    <row r="35" spans="2:15">
      <c r="B35" s="26"/>
      <c r="C35" s="25"/>
      <c r="D35" s="110"/>
      <c r="E35" s="26"/>
      <c r="F35" s="111"/>
      <c r="G35" s="26"/>
      <c r="H35" s="111"/>
      <c r="I35" s="26"/>
      <c r="J35" s="111"/>
      <c r="K35" s="26"/>
      <c r="L35" s="111"/>
      <c r="M35" s="43" t="e">
        <f t="shared" ca="1" si="1"/>
        <v>#N/A</v>
      </c>
      <c r="N35" s="104" t="e">
        <f ca="1">VLOOKUP($B35,Matrix!$H$13:$I$37,2,FALSE)&amp;"_"&amp;C35</f>
        <v>#N/A</v>
      </c>
      <c r="O35" s="117" t="e">
        <f t="shared" ca="1" si="0"/>
        <v>#N/A</v>
      </c>
    </row>
    <row r="36" spans="2:15">
      <c r="B36" s="26"/>
      <c r="C36" s="25"/>
      <c r="D36" s="110"/>
      <c r="E36" s="26"/>
      <c r="F36" s="111"/>
      <c r="G36" s="26"/>
      <c r="H36" s="111"/>
      <c r="I36" s="26"/>
      <c r="J36" s="111"/>
      <c r="K36" s="26"/>
      <c r="L36" s="111"/>
      <c r="M36" s="43" t="e">
        <f t="shared" ca="1" si="1"/>
        <v>#N/A</v>
      </c>
      <c r="N36" s="104" t="e">
        <f ca="1">VLOOKUP($B36,Matrix!$H$13:$I$37,2,FALSE)&amp;"_"&amp;C36</f>
        <v>#N/A</v>
      </c>
      <c r="O36" s="117" t="e">
        <f t="shared" ref="O36:O67" ca="1" si="2">"#define "&amp;N36&amp;REPT(" ",48-M36)&amp;"("&amp;D36&amp;"U)"</f>
        <v>#N/A</v>
      </c>
    </row>
    <row r="37" spans="2:15">
      <c r="B37" s="26"/>
      <c r="C37" s="25"/>
      <c r="D37" s="110"/>
      <c r="E37" s="26"/>
      <c r="F37" s="111"/>
      <c r="G37" s="26"/>
      <c r="H37" s="111"/>
      <c r="I37" s="26"/>
      <c r="J37" s="111"/>
      <c r="K37" s="26"/>
      <c r="L37" s="111"/>
      <c r="M37" s="43" t="e">
        <f t="shared" ca="1" si="1"/>
        <v>#N/A</v>
      </c>
      <c r="N37" s="104" t="e">
        <f ca="1">VLOOKUP($B37,Matrix!$H$13:$I$37,2,FALSE)&amp;"_"&amp;C37</f>
        <v>#N/A</v>
      </c>
      <c r="O37" s="117" t="e">
        <f t="shared" ca="1" si="2"/>
        <v>#N/A</v>
      </c>
    </row>
    <row r="38" spans="2:15">
      <c r="B38" s="26"/>
      <c r="C38" s="25"/>
      <c r="D38" s="110"/>
      <c r="E38" s="26"/>
      <c r="F38" s="111"/>
      <c r="G38" s="26"/>
      <c r="H38" s="111"/>
      <c r="I38" s="26"/>
      <c r="J38" s="111"/>
      <c r="K38" s="26"/>
      <c r="L38" s="111"/>
      <c r="M38" s="43" t="e">
        <f t="shared" ca="1" si="1"/>
        <v>#N/A</v>
      </c>
      <c r="N38" s="104" t="e">
        <f ca="1">VLOOKUP($B38,Matrix!$H$13:$I$37,2,FALSE)&amp;"_"&amp;C38</f>
        <v>#N/A</v>
      </c>
      <c r="O38" s="117" t="e">
        <f t="shared" ca="1" si="2"/>
        <v>#N/A</v>
      </c>
    </row>
    <row r="39" spans="2:15">
      <c r="B39" s="26"/>
      <c r="C39" s="25"/>
      <c r="D39" s="110"/>
      <c r="E39" s="26"/>
      <c r="F39" s="111"/>
      <c r="G39" s="26"/>
      <c r="H39" s="111"/>
      <c r="I39" s="26"/>
      <c r="J39" s="111"/>
      <c r="K39" s="26"/>
      <c r="L39" s="111"/>
      <c r="M39" s="43" t="e">
        <f t="shared" ca="1" si="1"/>
        <v>#N/A</v>
      </c>
      <c r="N39" s="104" t="e">
        <f ca="1">VLOOKUP($B39,Matrix!$H$13:$I$37,2,FALSE)&amp;"_"&amp;C39</f>
        <v>#N/A</v>
      </c>
      <c r="O39" s="117" t="e">
        <f t="shared" ca="1" si="2"/>
        <v>#N/A</v>
      </c>
    </row>
    <row r="40" spans="2:15">
      <c r="B40" s="26"/>
      <c r="C40" s="25"/>
      <c r="D40" s="110"/>
      <c r="E40" s="26"/>
      <c r="F40" s="111"/>
      <c r="G40" s="26"/>
      <c r="H40" s="111"/>
      <c r="I40" s="26"/>
      <c r="J40" s="111"/>
      <c r="K40" s="26"/>
      <c r="L40" s="111"/>
      <c r="M40" s="43" t="e">
        <f t="shared" ca="1" si="1"/>
        <v>#N/A</v>
      </c>
      <c r="N40" s="104" t="e">
        <f ca="1">VLOOKUP($B40,Matrix!$H$13:$I$37,2,FALSE)&amp;"_"&amp;C40</f>
        <v>#N/A</v>
      </c>
      <c r="O40" s="117" t="e">
        <f t="shared" ca="1" si="2"/>
        <v>#N/A</v>
      </c>
    </row>
    <row r="41" spans="2:15">
      <c r="B41" s="26"/>
      <c r="C41" s="25"/>
      <c r="D41" s="110"/>
      <c r="E41" s="26"/>
      <c r="F41" s="111"/>
      <c r="G41" s="26"/>
      <c r="H41" s="111"/>
      <c r="I41" s="26"/>
      <c r="J41" s="111"/>
      <c r="K41" s="26"/>
      <c r="L41" s="111"/>
      <c r="M41" s="43" t="e">
        <f t="shared" ca="1" si="1"/>
        <v>#N/A</v>
      </c>
      <c r="N41" s="104" t="e">
        <f ca="1">VLOOKUP($B41,Matrix!$H$13:$I$37,2,FALSE)&amp;"_"&amp;C41</f>
        <v>#N/A</v>
      </c>
      <c r="O41" s="117" t="e">
        <f t="shared" ca="1" si="2"/>
        <v>#N/A</v>
      </c>
    </row>
    <row r="42" spans="2:15">
      <c r="B42" s="26"/>
      <c r="C42" s="25"/>
      <c r="D42" s="110"/>
      <c r="E42" s="26"/>
      <c r="F42" s="111"/>
      <c r="G42" s="26"/>
      <c r="H42" s="111"/>
      <c r="I42" s="26"/>
      <c r="J42" s="111"/>
      <c r="K42" s="26"/>
      <c r="L42" s="111"/>
      <c r="M42" s="43" t="e">
        <f t="shared" ca="1" si="1"/>
        <v>#N/A</v>
      </c>
      <c r="N42" s="104" t="e">
        <f ca="1">VLOOKUP($B42,Matrix!$H$13:$I$37,2,FALSE)&amp;"_"&amp;C42</f>
        <v>#N/A</v>
      </c>
      <c r="O42" s="117" t="e">
        <f t="shared" ca="1" si="2"/>
        <v>#N/A</v>
      </c>
    </row>
    <row r="43" spans="2:15">
      <c r="B43" s="26"/>
      <c r="C43" s="25"/>
      <c r="D43" s="110"/>
      <c r="E43" s="26"/>
      <c r="F43" s="111"/>
      <c r="G43" s="26"/>
      <c r="H43" s="111"/>
      <c r="I43" s="26"/>
      <c r="J43" s="111"/>
      <c r="K43" s="26"/>
      <c r="L43" s="111"/>
      <c r="M43" s="43" t="e">
        <f t="shared" ca="1" si="1"/>
        <v>#N/A</v>
      </c>
      <c r="N43" s="104" t="e">
        <f ca="1">VLOOKUP($B43,Matrix!$H$13:$I$37,2,FALSE)&amp;"_"&amp;C43</f>
        <v>#N/A</v>
      </c>
      <c r="O43" s="117" t="e">
        <f t="shared" ca="1" si="2"/>
        <v>#N/A</v>
      </c>
    </row>
    <row r="44" spans="2:15">
      <c r="B44" s="26"/>
      <c r="C44" s="25"/>
      <c r="D44" s="110"/>
      <c r="E44" s="26"/>
      <c r="F44" s="111"/>
      <c r="G44" s="26"/>
      <c r="H44" s="111"/>
      <c r="I44" s="26"/>
      <c r="J44" s="111"/>
      <c r="K44" s="26"/>
      <c r="L44" s="111"/>
      <c r="M44" s="43" t="e">
        <f t="shared" ca="1" si="1"/>
        <v>#N/A</v>
      </c>
      <c r="N44" s="104" t="e">
        <f ca="1">VLOOKUP($B44,Matrix!$H$13:$I$37,2,FALSE)&amp;"_"&amp;C44</f>
        <v>#N/A</v>
      </c>
      <c r="O44" s="117" t="e">
        <f t="shared" ca="1" si="2"/>
        <v>#N/A</v>
      </c>
    </row>
    <row r="45" spans="2:15">
      <c r="B45" s="26"/>
      <c r="C45" s="25"/>
      <c r="D45" s="110"/>
      <c r="E45" s="26"/>
      <c r="F45" s="111"/>
      <c r="G45" s="26"/>
      <c r="H45" s="111"/>
      <c r="I45" s="26"/>
      <c r="J45" s="111"/>
      <c r="K45" s="26"/>
      <c r="L45" s="111"/>
      <c r="M45" s="43" t="e">
        <f t="shared" ca="1" si="1"/>
        <v>#N/A</v>
      </c>
      <c r="N45" s="104" t="e">
        <f ca="1">VLOOKUP($B45,Matrix!$H$13:$I$37,2,FALSE)&amp;"_"&amp;C45</f>
        <v>#N/A</v>
      </c>
      <c r="O45" s="117" t="e">
        <f t="shared" ca="1" si="2"/>
        <v>#N/A</v>
      </c>
    </row>
    <row r="46" spans="2:15">
      <c r="B46" s="26"/>
      <c r="C46" s="25"/>
      <c r="D46" s="110"/>
      <c r="E46" s="26"/>
      <c r="F46" s="111"/>
      <c r="G46" s="26"/>
      <c r="H46" s="111"/>
      <c r="I46" s="26"/>
      <c r="J46" s="111"/>
      <c r="K46" s="26"/>
      <c r="L46" s="111"/>
      <c r="M46" s="43" t="e">
        <f t="shared" ca="1" si="1"/>
        <v>#N/A</v>
      </c>
      <c r="N46" s="104" t="e">
        <f ca="1">VLOOKUP($B46,Matrix!$H$13:$I$37,2,FALSE)&amp;"_"&amp;C46</f>
        <v>#N/A</v>
      </c>
      <c r="O46" s="117" t="e">
        <f t="shared" ca="1" si="2"/>
        <v>#N/A</v>
      </c>
    </row>
    <row r="47" spans="2:15">
      <c r="B47" s="26"/>
      <c r="C47" s="25"/>
      <c r="D47" s="110"/>
      <c r="E47" s="26"/>
      <c r="F47" s="111"/>
      <c r="G47" s="26"/>
      <c r="H47" s="111"/>
      <c r="I47" s="26"/>
      <c r="J47" s="111"/>
      <c r="K47" s="26"/>
      <c r="L47" s="111"/>
      <c r="M47" s="43" t="e">
        <f t="shared" ca="1" si="1"/>
        <v>#N/A</v>
      </c>
      <c r="N47" s="104" t="e">
        <f ca="1">VLOOKUP($B47,Matrix!$H$13:$I$37,2,FALSE)&amp;"_"&amp;C47</f>
        <v>#N/A</v>
      </c>
      <c r="O47" s="117" t="e">
        <f t="shared" ca="1" si="2"/>
        <v>#N/A</v>
      </c>
    </row>
    <row r="48" spans="2:15">
      <c r="B48" s="26"/>
      <c r="C48" s="25"/>
      <c r="D48" s="110"/>
      <c r="E48" s="26"/>
      <c r="F48" s="111"/>
      <c r="G48" s="26"/>
      <c r="H48" s="111"/>
      <c r="I48" s="26"/>
      <c r="J48" s="111"/>
      <c r="K48" s="26"/>
      <c r="L48" s="111"/>
      <c r="M48" s="43" t="e">
        <f t="shared" ca="1" si="1"/>
        <v>#N/A</v>
      </c>
      <c r="N48" s="104" t="e">
        <f ca="1">VLOOKUP($B48,Matrix!$H$13:$I$37,2,FALSE)&amp;"_"&amp;C48</f>
        <v>#N/A</v>
      </c>
      <c r="O48" s="117" t="e">
        <f t="shared" ca="1" si="2"/>
        <v>#N/A</v>
      </c>
    </row>
    <row r="49" spans="2:15">
      <c r="B49" s="26"/>
      <c r="C49" s="25"/>
      <c r="D49" s="110"/>
      <c r="E49" s="26"/>
      <c r="F49" s="111"/>
      <c r="G49" s="26"/>
      <c r="H49" s="111"/>
      <c r="I49" s="26"/>
      <c r="J49" s="111"/>
      <c r="K49" s="26"/>
      <c r="L49" s="111"/>
      <c r="M49" s="43" t="e">
        <f t="shared" ca="1" si="1"/>
        <v>#N/A</v>
      </c>
      <c r="N49" s="104" t="e">
        <f ca="1">VLOOKUP($B49,Matrix!$H$13:$I$37,2,FALSE)&amp;"_"&amp;C49</f>
        <v>#N/A</v>
      </c>
      <c r="O49" s="117" t="e">
        <f t="shared" ca="1" si="2"/>
        <v>#N/A</v>
      </c>
    </row>
    <row r="50" spans="2:15">
      <c r="B50" s="26"/>
      <c r="C50" s="25"/>
      <c r="D50" s="110"/>
      <c r="E50" s="26"/>
      <c r="F50" s="111"/>
      <c r="G50" s="26"/>
      <c r="H50" s="111"/>
      <c r="I50" s="26"/>
      <c r="J50" s="111"/>
      <c r="K50" s="26"/>
      <c r="L50" s="111"/>
      <c r="M50" s="43" t="e">
        <f t="shared" ca="1" si="1"/>
        <v>#N/A</v>
      </c>
      <c r="N50" s="104" t="e">
        <f ca="1">VLOOKUP($B50,Matrix!$H$13:$I$37,2,FALSE)&amp;"_"&amp;C50</f>
        <v>#N/A</v>
      </c>
      <c r="O50" s="117" t="e">
        <f t="shared" ca="1" si="2"/>
        <v>#N/A</v>
      </c>
    </row>
    <row r="51" spans="2:15">
      <c r="B51" s="26"/>
      <c r="C51" s="25"/>
      <c r="D51" s="110"/>
      <c r="E51" s="26"/>
      <c r="F51" s="111"/>
      <c r="G51" s="26"/>
      <c r="H51" s="111"/>
      <c r="I51" s="26"/>
      <c r="J51" s="111"/>
      <c r="K51" s="26"/>
      <c r="L51" s="111"/>
      <c r="M51" s="43" t="e">
        <f t="shared" ca="1" si="1"/>
        <v>#N/A</v>
      </c>
      <c r="N51" s="104" t="e">
        <f ca="1">VLOOKUP($B51,Matrix!$H$13:$I$37,2,FALSE)&amp;"_"&amp;C51</f>
        <v>#N/A</v>
      </c>
      <c r="O51" s="117" t="e">
        <f t="shared" ca="1" si="2"/>
        <v>#N/A</v>
      </c>
    </row>
    <row r="52" spans="2:15">
      <c r="B52" s="26"/>
      <c r="C52" s="25"/>
      <c r="D52" s="110"/>
      <c r="E52" s="26"/>
      <c r="F52" s="111"/>
      <c r="G52" s="26"/>
      <c r="H52" s="111"/>
      <c r="I52" s="26"/>
      <c r="J52" s="111"/>
      <c r="K52" s="26"/>
      <c r="L52" s="111"/>
      <c r="M52" s="43" t="e">
        <f t="shared" ca="1" si="1"/>
        <v>#N/A</v>
      </c>
      <c r="N52" s="104" t="e">
        <f ca="1">VLOOKUP($B52,Matrix!$H$13:$I$37,2,FALSE)&amp;"_"&amp;C52</f>
        <v>#N/A</v>
      </c>
      <c r="O52" s="117" t="e">
        <f t="shared" ca="1" si="2"/>
        <v>#N/A</v>
      </c>
    </row>
    <row r="53" spans="2:15">
      <c r="B53" s="26"/>
      <c r="C53" s="25"/>
      <c r="D53" s="110"/>
      <c r="E53" s="26"/>
      <c r="F53" s="111"/>
      <c r="G53" s="26"/>
      <c r="H53" s="111"/>
      <c r="I53" s="26"/>
      <c r="J53" s="111"/>
      <c r="K53" s="26"/>
      <c r="L53" s="111"/>
      <c r="M53" s="43" t="e">
        <f t="shared" ca="1" si="1"/>
        <v>#N/A</v>
      </c>
      <c r="N53" s="104" t="e">
        <f ca="1">VLOOKUP($B53,Matrix!$H$13:$I$37,2,FALSE)&amp;"_"&amp;C53</f>
        <v>#N/A</v>
      </c>
      <c r="O53" s="117" t="e">
        <f t="shared" ca="1" si="2"/>
        <v>#N/A</v>
      </c>
    </row>
    <row r="54" spans="2:15">
      <c r="B54" s="26"/>
      <c r="C54" s="25"/>
      <c r="D54" s="110"/>
      <c r="E54" s="26"/>
      <c r="F54" s="111"/>
      <c r="G54" s="26"/>
      <c r="H54" s="111"/>
      <c r="I54" s="26"/>
      <c r="J54" s="111"/>
      <c r="K54" s="26"/>
      <c r="L54" s="111"/>
      <c r="M54" s="43" t="e">
        <f t="shared" ca="1" si="1"/>
        <v>#N/A</v>
      </c>
      <c r="N54" s="104" t="e">
        <f ca="1">VLOOKUP($B54,Matrix!$H$13:$I$37,2,FALSE)&amp;"_"&amp;C54</f>
        <v>#N/A</v>
      </c>
      <c r="O54" s="117" t="e">
        <f t="shared" ca="1" si="2"/>
        <v>#N/A</v>
      </c>
    </row>
    <row r="55" spans="2:15">
      <c r="B55" s="26"/>
      <c r="C55" s="25"/>
      <c r="D55" s="110"/>
      <c r="E55" s="26"/>
      <c r="F55" s="111"/>
      <c r="G55" s="26"/>
      <c r="H55" s="111"/>
      <c r="I55" s="26"/>
      <c r="J55" s="111"/>
      <c r="K55" s="26"/>
      <c r="L55" s="111"/>
      <c r="M55" s="43" t="e">
        <f t="shared" ca="1" si="1"/>
        <v>#N/A</v>
      </c>
      <c r="N55" s="104" t="e">
        <f ca="1">VLOOKUP($B55,Matrix!$H$13:$I$37,2,FALSE)&amp;"_"&amp;C55</f>
        <v>#N/A</v>
      </c>
      <c r="O55" s="117" t="e">
        <f t="shared" ca="1" si="2"/>
        <v>#N/A</v>
      </c>
    </row>
    <row r="56" spans="2:15">
      <c r="B56" s="26"/>
      <c r="C56" s="25"/>
      <c r="D56" s="110"/>
      <c r="E56" s="26"/>
      <c r="F56" s="111"/>
      <c r="G56" s="26"/>
      <c r="H56" s="111"/>
      <c r="I56" s="26"/>
      <c r="J56" s="111"/>
      <c r="K56" s="26"/>
      <c r="L56" s="111"/>
      <c r="M56" s="43" t="e">
        <f t="shared" ca="1" si="1"/>
        <v>#N/A</v>
      </c>
      <c r="N56" s="104" t="e">
        <f ca="1">VLOOKUP($B56,Matrix!$H$13:$I$37,2,FALSE)&amp;"_"&amp;C56</f>
        <v>#N/A</v>
      </c>
      <c r="O56" s="117" t="e">
        <f t="shared" ca="1" si="2"/>
        <v>#N/A</v>
      </c>
    </row>
    <row r="57" spans="2:15">
      <c r="B57" s="26"/>
      <c r="C57" s="25"/>
      <c r="D57" s="110"/>
      <c r="E57" s="26"/>
      <c r="F57" s="111"/>
      <c r="G57" s="26"/>
      <c r="H57" s="111"/>
      <c r="I57" s="26"/>
      <c r="J57" s="111"/>
      <c r="K57" s="26"/>
      <c r="L57" s="111"/>
      <c r="M57" s="43" t="e">
        <f t="shared" ca="1" si="1"/>
        <v>#N/A</v>
      </c>
      <c r="N57" s="104" t="e">
        <f ca="1">VLOOKUP($B57,Matrix!$H$13:$I$37,2,FALSE)&amp;"_"&amp;C57</f>
        <v>#N/A</v>
      </c>
      <c r="O57" s="117" t="e">
        <f t="shared" ca="1" si="2"/>
        <v>#N/A</v>
      </c>
    </row>
    <row r="58" spans="2:15">
      <c r="B58" s="26"/>
      <c r="C58" s="25"/>
      <c r="D58" s="110"/>
      <c r="E58" s="26"/>
      <c r="F58" s="111"/>
      <c r="G58" s="26"/>
      <c r="H58" s="111"/>
      <c r="I58" s="26"/>
      <c r="J58" s="111"/>
      <c r="K58" s="26"/>
      <c r="L58" s="111"/>
      <c r="M58" s="43" t="e">
        <f t="shared" ca="1" si="1"/>
        <v>#N/A</v>
      </c>
      <c r="N58" s="104" t="e">
        <f ca="1">VLOOKUP($B58,Matrix!$H$13:$I$37,2,FALSE)&amp;"_"&amp;C58</f>
        <v>#N/A</v>
      </c>
      <c r="O58" s="117" t="e">
        <f t="shared" ca="1" si="2"/>
        <v>#N/A</v>
      </c>
    </row>
    <row r="59" spans="2:15">
      <c r="B59" s="26"/>
      <c r="C59" s="25"/>
      <c r="D59" s="110"/>
      <c r="E59" s="26"/>
      <c r="F59" s="111"/>
      <c r="G59" s="26"/>
      <c r="H59" s="111"/>
      <c r="I59" s="26"/>
      <c r="J59" s="111"/>
      <c r="K59" s="26"/>
      <c r="L59" s="111"/>
      <c r="M59" s="43" t="e">
        <f t="shared" ca="1" si="1"/>
        <v>#N/A</v>
      </c>
      <c r="N59" s="104" t="e">
        <f ca="1">VLOOKUP($B59,Matrix!$H$13:$I$37,2,FALSE)&amp;"_"&amp;C59</f>
        <v>#N/A</v>
      </c>
      <c r="O59" s="117" t="e">
        <f t="shared" ca="1" si="2"/>
        <v>#N/A</v>
      </c>
    </row>
    <row r="60" spans="2:15">
      <c r="B60" s="26"/>
      <c r="C60" s="25"/>
      <c r="D60" s="110"/>
      <c r="E60" s="26"/>
      <c r="F60" s="111"/>
      <c r="G60" s="26"/>
      <c r="H60" s="111"/>
      <c r="I60" s="26"/>
      <c r="J60" s="111"/>
      <c r="K60" s="26"/>
      <c r="L60" s="111"/>
      <c r="M60" s="43" t="e">
        <f t="shared" ca="1" si="1"/>
        <v>#N/A</v>
      </c>
      <c r="N60" s="104" t="e">
        <f ca="1">VLOOKUP($B60,Matrix!$H$13:$I$37,2,FALSE)&amp;"_"&amp;C60</f>
        <v>#N/A</v>
      </c>
      <c r="O60" s="117" t="e">
        <f t="shared" ca="1" si="2"/>
        <v>#N/A</v>
      </c>
    </row>
    <row r="61" spans="2:15">
      <c r="B61" s="26"/>
      <c r="C61" s="25"/>
      <c r="D61" s="110"/>
      <c r="E61" s="26"/>
      <c r="F61" s="111"/>
      <c r="G61" s="26"/>
      <c r="H61" s="111"/>
      <c r="I61" s="26"/>
      <c r="J61" s="111"/>
      <c r="K61" s="26"/>
      <c r="L61" s="111"/>
      <c r="M61" s="43" t="e">
        <f t="shared" ca="1" si="1"/>
        <v>#N/A</v>
      </c>
      <c r="N61" s="104" t="e">
        <f ca="1">VLOOKUP($B61,Matrix!$H$13:$I$37,2,FALSE)&amp;"_"&amp;C61</f>
        <v>#N/A</v>
      </c>
      <c r="O61" s="117" t="e">
        <f t="shared" ca="1" si="2"/>
        <v>#N/A</v>
      </c>
    </row>
    <row r="62" spans="2:15">
      <c r="B62" s="26"/>
      <c r="C62" s="25"/>
      <c r="D62" s="110"/>
      <c r="E62" s="26"/>
      <c r="F62" s="111"/>
      <c r="G62" s="26"/>
      <c r="H62" s="111"/>
      <c r="I62" s="26"/>
      <c r="J62" s="111"/>
      <c r="K62" s="26"/>
      <c r="L62" s="111"/>
      <c r="M62" s="43" t="e">
        <f t="shared" ca="1" si="1"/>
        <v>#N/A</v>
      </c>
      <c r="N62" s="104" t="e">
        <f ca="1">VLOOKUP($B62,Matrix!$H$13:$I$37,2,FALSE)&amp;"_"&amp;C62</f>
        <v>#N/A</v>
      </c>
      <c r="O62" s="117" t="e">
        <f t="shared" ca="1" si="2"/>
        <v>#N/A</v>
      </c>
    </row>
    <row r="63" spans="2:15">
      <c r="B63" s="26"/>
      <c r="C63" s="25"/>
      <c r="D63" s="110"/>
      <c r="E63" s="26"/>
      <c r="F63" s="111"/>
      <c r="G63" s="26"/>
      <c r="H63" s="111"/>
      <c r="I63" s="26"/>
      <c r="J63" s="111"/>
      <c r="K63" s="26"/>
      <c r="L63" s="111"/>
      <c r="M63" s="43" t="e">
        <f t="shared" ca="1" si="1"/>
        <v>#N/A</v>
      </c>
      <c r="N63" s="104" t="e">
        <f ca="1">VLOOKUP($B63,Matrix!$H$13:$I$37,2,FALSE)&amp;"_"&amp;C63</f>
        <v>#N/A</v>
      </c>
      <c r="O63" s="117" t="e">
        <f t="shared" ca="1" si="2"/>
        <v>#N/A</v>
      </c>
    </row>
    <row r="64" spans="2:15">
      <c r="B64" s="26"/>
      <c r="C64" s="25"/>
      <c r="D64" s="110"/>
      <c r="E64" s="26"/>
      <c r="F64" s="111"/>
      <c r="G64" s="26"/>
      <c r="H64" s="111"/>
      <c r="I64" s="26"/>
      <c r="J64" s="111"/>
      <c r="K64" s="26"/>
      <c r="L64" s="111"/>
      <c r="M64" s="43" t="e">
        <f t="shared" ca="1" si="1"/>
        <v>#N/A</v>
      </c>
      <c r="N64" s="104" t="e">
        <f ca="1">VLOOKUP($B64,Matrix!$H$13:$I$37,2,FALSE)&amp;"_"&amp;C64</f>
        <v>#N/A</v>
      </c>
      <c r="O64" s="117" t="e">
        <f t="shared" ca="1" si="2"/>
        <v>#N/A</v>
      </c>
    </row>
    <row r="65" spans="2:15">
      <c r="B65" s="26"/>
      <c r="C65" s="25"/>
      <c r="D65" s="110"/>
      <c r="E65" s="26"/>
      <c r="F65" s="111"/>
      <c r="G65" s="26"/>
      <c r="H65" s="111"/>
      <c r="I65" s="26"/>
      <c r="J65" s="111"/>
      <c r="K65" s="26"/>
      <c r="L65" s="111"/>
      <c r="M65" s="43" t="e">
        <f t="shared" ca="1" si="1"/>
        <v>#N/A</v>
      </c>
      <c r="N65" s="104" t="e">
        <f ca="1">VLOOKUP($B65,Matrix!$H$13:$I$37,2,FALSE)&amp;"_"&amp;C65</f>
        <v>#N/A</v>
      </c>
      <c r="O65" s="117" t="e">
        <f t="shared" ca="1" si="2"/>
        <v>#N/A</v>
      </c>
    </row>
    <row r="66" spans="2:15">
      <c r="B66" s="26"/>
      <c r="C66" s="25"/>
      <c r="D66" s="110"/>
      <c r="E66" s="26"/>
      <c r="F66" s="111"/>
      <c r="G66" s="26"/>
      <c r="H66" s="111"/>
      <c r="I66" s="26"/>
      <c r="J66" s="111"/>
      <c r="K66" s="26"/>
      <c r="L66" s="111"/>
      <c r="M66" s="43" t="e">
        <f t="shared" ca="1" si="1"/>
        <v>#N/A</v>
      </c>
      <c r="N66" s="104" t="e">
        <f ca="1">VLOOKUP($B66,Matrix!$H$13:$I$37,2,FALSE)&amp;"_"&amp;C66</f>
        <v>#N/A</v>
      </c>
      <c r="O66" s="117" t="e">
        <f t="shared" ca="1" si="2"/>
        <v>#N/A</v>
      </c>
    </row>
    <row r="67" spans="2:15">
      <c r="B67" s="26"/>
      <c r="C67" s="25"/>
      <c r="D67" s="110"/>
      <c r="E67" s="26"/>
      <c r="F67" s="111"/>
      <c r="G67" s="26"/>
      <c r="H67" s="111"/>
      <c r="I67" s="26"/>
      <c r="J67" s="111"/>
      <c r="K67" s="26"/>
      <c r="L67" s="111"/>
      <c r="M67" s="43" t="e">
        <f t="shared" ca="1" si="1"/>
        <v>#N/A</v>
      </c>
      <c r="N67" s="104" t="e">
        <f ca="1">VLOOKUP($B67,Matrix!$H$13:$I$37,2,FALSE)&amp;"_"&amp;C67</f>
        <v>#N/A</v>
      </c>
      <c r="O67" s="117" t="e">
        <f t="shared" ca="1" si="2"/>
        <v>#N/A</v>
      </c>
    </row>
    <row r="68" spans="2:15">
      <c r="B68" s="26"/>
      <c r="C68" s="25"/>
      <c r="D68" s="110"/>
      <c r="E68" s="26"/>
      <c r="F68" s="111"/>
      <c r="G68" s="26"/>
      <c r="H68" s="111"/>
      <c r="I68" s="26"/>
      <c r="J68" s="111"/>
      <c r="K68" s="26"/>
      <c r="L68" s="111"/>
      <c r="M68" s="43" t="e">
        <f t="shared" ca="1" si="1"/>
        <v>#N/A</v>
      </c>
      <c r="N68" s="104" t="e">
        <f ca="1">VLOOKUP($B68,Matrix!$H$13:$I$37,2,FALSE)&amp;"_"&amp;C68</f>
        <v>#N/A</v>
      </c>
      <c r="O68" s="117" t="e">
        <f t="shared" ref="O68:O99" ca="1" si="3">"#define "&amp;N68&amp;REPT(" ",48-M68)&amp;"("&amp;D68&amp;"U)"</f>
        <v>#N/A</v>
      </c>
    </row>
    <row r="69" spans="2:15">
      <c r="B69" s="26"/>
      <c r="C69" s="25"/>
      <c r="D69" s="110"/>
      <c r="E69" s="26"/>
      <c r="F69" s="111"/>
      <c r="G69" s="26"/>
      <c r="H69" s="111"/>
      <c r="I69" s="26"/>
      <c r="J69" s="111"/>
      <c r="K69" s="26"/>
      <c r="L69" s="111"/>
      <c r="M69" s="43" t="e">
        <f t="shared" ref="M69:M103" ca="1" si="4">LEN(N69)</f>
        <v>#N/A</v>
      </c>
      <c r="N69" s="104" t="e">
        <f ca="1">VLOOKUP($B69,Matrix!$H$13:$I$37,2,FALSE)&amp;"_"&amp;C69</f>
        <v>#N/A</v>
      </c>
      <c r="O69" s="117" t="e">
        <f t="shared" ca="1" si="3"/>
        <v>#N/A</v>
      </c>
    </row>
    <row r="70" spans="2:15">
      <c r="B70" s="26"/>
      <c r="C70" s="25"/>
      <c r="D70" s="110"/>
      <c r="E70" s="26"/>
      <c r="F70" s="111"/>
      <c r="G70" s="26"/>
      <c r="H70" s="111"/>
      <c r="I70" s="26"/>
      <c r="J70" s="111"/>
      <c r="K70" s="26"/>
      <c r="L70" s="111"/>
      <c r="M70" s="43" t="e">
        <f t="shared" ca="1" si="4"/>
        <v>#N/A</v>
      </c>
      <c r="N70" s="104" t="e">
        <f ca="1">VLOOKUP($B70,Matrix!$H$13:$I$37,2,FALSE)&amp;"_"&amp;C70</f>
        <v>#N/A</v>
      </c>
      <c r="O70" s="117" t="e">
        <f t="shared" ca="1" si="3"/>
        <v>#N/A</v>
      </c>
    </row>
    <row r="71" spans="2:15">
      <c r="B71" s="26"/>
      <c r="C71" s="25"/>
      <c r="D71" s="110"/>
      <c r="E71" s="26"/>
      <c r="F71" s="111"/>
      <c r="G71" s="26"/>
      <c r="H71" s="111"/>
      <c r="I71" s="26"/>
      <c r="J71" s="111"/>
      <c r="K71" s="26"/>
      <c r="L71" s="111"/>
      <c r="M71" s="43" t="e">
        <f t="shared" ca="1" si="4"/>
        <v>#N/A</v>
      </c>
      <c r="N71" s="104" t="e">
        <f ca="1">VLOOKUP($B71,Matrix!$H$13:$I$37,2,FALSE)&amp;"_"&amp;C71</f>
        <v>#N/A</v>
      </c>
      <c r="O71" s="117" t="e">
        <f t="shared" ca="1" si="3"/>
        <v>#N/A</v>
      </c>
    </row>
    <row r="72" spans="2:15">
      <c r="B72" s="26"/>
      <c r="C72" s="25"/>
      <c r="D72" s="110"/>
      <c r="E72" s="26"/>
      <c r="F72" s="111"/>
      <c r="G72" s="26"/>
      <c r="H72" s="111"/>
      <c r="I72" s="26"/>
      <c r="J72" s="111"/>
      <c r="K72" s="26"/>
      <c r="L72" s="111"/>
      <c r="M72" s="43" t="e">
        <f t="shared" ca="1" si="4"/>
        <v>#N/A</v>
      </c>
      <c r="N72" s="104" t="e">
        <f ca="1">VLOOKUP($B72,Matrix!$H$13:$I$37,2,FALSE)&amp;"_"&amp;C72</f>
        <v>#N/A</v>
      </c>
      <c r="O72" s="117" t="e">
        <f t="shared" ca="1" si="3"/>
        <v>#N/A</v>
      </c>
    </row>
    <row r="73" spans="2:15">
      <c r="B73" s="26"/>
      <c r="C73" s="25"/>
      <c r="D73" s="110"/>
      <c r="E73" s="26"/>
      <c r="F73" s="111"/>
      <c r="G73" s="26"/>
      <c r="H73" s="111"/>
      <c r="I73" s="26"/>
      <c r="J73" s="111"/>
      <c r="K73" s="26"/>
      <c r="L73" s="111"/>
      <c r="M73" s="43" t="e">
        <f t="shared" ca="1" si="4"/>
        <v>#N/A</v>
      </c>
      <c r="N73" s="104" t="e">
        <f ca="1">VLOOKUP($B73,Matrix!$H$13:$I$37,2,FALSE)&amp;"_"&amp;C73</f>
        <v>#N/A</v>
      </c>
      <c r="O73" s="117" t="e">
        <f t="shared" ca="1" si="3"/>
        <v>#N/A</v>
      </c>
    </row>
    <row r="74" spans="2:15">
      <c r="B74" s="26"/>
      <c r="C74" s="25"/>
      <c r="D74" s="110"/>
      <c r="E74" s="26"/>
      <c r="F74" s="111"/>
      <c r="G74" s="26"/>
      <c r="H74" s="111"/>
      <c r="I74" s="26"/>
      <c r="J74" s="111"/>
      <c r="K74" s="26"/>
      <c r="L74" s="111"/>
      <c r="M74" s="43" t="e">
        <f t="shared" ca="1" si="4"/>
        <v>#N/A</v>
      </c>
      <c r="N74" s="104" t="e">
        <f ca="1">VLOOKUP($B74,Matrix!$H$13:$I$37,2,FALSE)&amp;"_"&amp;C74</f>
        <v>#N/A</v>
      </c>
      <c r="O74" s="117" t="e">
        <f t="shared" ca="1" si="3"/>
        <v>#N/A</v>
      </c>
    </row>
    <row r="75" spans="2:15">
      <c r="B75" s="26"/>
      <c r="C75" s="25"/>
      <c r="D75" s="110"/>
      <c r="E75" s="26"/>
      <c r="F75" s="111"/>
      <c r="G75" s="26"/>
      <c r="H75" s="111"/>
      <c r="I75" s="26"/>
      <c r="J75" s="111"/>
      <c r="K75" s="26"/>
      <c r="L75" s="111"/>
      <c r="M75" s="43" t="e">
        <f t="shared" ca="1" si="4"/>
        <v>#N/A</v>
      </c>
      <c r="N75" s="104" t="e">
        <f ca="1">VLOOKUP($B75,Matrix!$H$13:$I$37,2,FALSE)&amp;"_"&amp;C75</f>
        <v>#N/A</v>
      </c>
      <c r="O75" s="117" t="e">
        <f t="shared" ca="1" si="3"/>
        <v>#N/A</v>
      </c>
    </row>
    <row r="76" spans="2:15">
      <c r="B76" s="26"/>
      <c r="C76" s="25"/>
      <c r="D76" s="110"/>
      <c r="E76" s="26"/>
      <c r="F76" s="111"/>
      <c r="G76" s="26"/>
      <c r="H76" s="111"/>
      <c r="I76" s="26"/>
      <c r="J76" s="111"/>
      <c r="K76" s="26"/>
      <c r="L76" s="111"/>
      <c r="M76" s="43" t="e">
        <f t="shared" ca="1" si="4"/>
        <v>#N/A</v>
      </c>
      <c r="N76" s="104" t="e">
        <f ca="1">VLOOKUP($B76,Matrix!$H$13:$I$37,2,FALSE)&amp;"_"&amp;C76</f>
        <v>#N/A</v>
      </c>
      <c r="O76" s="117" t="e">
        <f t="shared" ca="1" si="3"/>
        <v>#N/A</v>
      </c>
    </row>
    <row r="77" spans="2:15">
      <c r="B77" s="26"/>
      <c r="C77" s="25"/>
      <c r="D77" s="110"/>
      <c r="E77" s="26"/>
      <c r="F77" s="111"/>
      <c r="G77" s="26"/>
      <c r="H77" s="111"/>
      <c r="I77" s="26"/>
      <c r="J77" s="111"/>
      <c r="K77" s="26"/>
      <c r="L77" s="111"/>
      <c r="M77" s="43" t="e">
        <f t="shared" ca="1" si="4"/>
        <v>#N/A</v>
      </c>
      <c r="N77" s="104" t="e">
        <f ca="1">VLOOKUP($B77,Matrix!$H$13:$I$37,2,FALSE)&amp;"_"&amp;C77</f>
        <v>#N/A</v>
      </c>
      <c r="O77" s="117" t="e">
        <f t="shared" ca="1" si="3"/>
        <v>#N/A</v>
      </c>
    </row>
    <row r="78" spans="2:15">
      <c r="B78" s="26"/>
      <c r="C78" s="25"/>
      <c r="D78" s="110"/>
      <c r="E78" s="26"/>
      <c r="F78" s="111"/>
      <c r="G78" s="26"/>
      <c r="H78" s="111"/>
      <c r="I78" s="26"/>
      <c r="J78" s="111"/>
      <c r="K78" s="26"/>
      <c r="L78" s="111"/>
      <c r="M78" s="43" t="e">
        <f t="shared" ca="1" si="4"/>
        <v>#N/A</v>
      </c>
      <c r="N78" s="104" t="e">
        <f ca="1">VLOOKUP($B78,Matrix!$H$13:$I$37,2,FALSE)&amp;"_"&amp;C78</f>
        <v>#N/A</v>
      </c>
      <c r="O78" s="117" t="e">
        <f t="shared" ca="1" si="3"/>
        <v>#N/A</v>
      </c>
    </row>
    <row r="79" spans="2:15">
      <c r="B79" s="26"/>
      <c r="C79" s="25"/>
      <c r="D79" s="110"/>
      <c r="E79" s="26"/>
      <c r="F79" s="111"/>
      <c r="G79" s="26"/>
      <c r="H79" s="111"/>
      <c r="I79" s="26"/>
      <c r="J79" s="111"/>
      <c r="K79" s="26"/>
      <c r="L79" s="111"/>
      <c r="M79" s="43" t="e">
        <f t="shared" ca="1" si="4"/>
        <v>#N/A</v>
      </c>
      <c r="N79" s="104" t="e">
        <f ca="1">VLOOKUP($B79,Matrix!$H$13:$I$37,2,FALSE)&amp;"_"&amp;C79</f>
        <v>#N/A</v>
      </c>
      <c r="O79" s="117" t="e">
        <f t="shared" ca="1" si="3"/>
        <v>#N/A</v>
      </c>
    </row>
    <row r="80" spans="2:15">
      <c r="B80" s="26"/>
      <c r="C80" s="25"/>
      <c r="D80" s="110"/>
      <c r="E80" s="26"/>
      <c r="F80" s="111"/>
      <c r="G80" s="26"/>
      <c r="H80" s="111"/>
      <c r="I80" s="26"/>
      <c r="J80" s="111"/>
      <c r="K80" s="26"/>
      <c r="L80" s="111"/>
      <c r="M80" s="43" t="e">
        <f t="shared" ca="1" si="4"/>
        <v>#N/A</v>
      </c>
      <c r="N80" s="104" t="e">
        <f ca="1">VLOOKUP($B80,Matrix!$H$13:$I$37,2,FALSE)&amp;"_"&amp;C80</f>
        <v>#N/A</v>
      </c>
      <c r="O80" s="117" t="e">
        <f t="shared" ca="1" si="3"/>
        <v>#N/A</v>
      </c>
    </row>
    <row r="81" spans="2:15">
      <c r="B81" s="26"/>
      <c r="C81" s="25"/>
      <c r="D81" s="110"/>
      <c r="E81" s="26"/>
      <c r="F81" s="111"/>
      <c r="G81" s="26"/>
      <c r="H81" s="111"/>
      <c r="I81" s="26"/>
      <c r="J81" s="111"/>
      <c r="K81" s="26"/>
      <c r="L81" s="111"/>
      <c r="M81" s="43" t="e">
        <f t="shared" ca="1" si="4"/>
        <v>#N/A</v>
      </c>
      <c r="N81" s="104" t="e">
        <f ca="1">VLOOKUP($B81,Matrix!$H$13:$I$37,2,FALSE)&amp;"_"&amp;C81</f>
        <v>#N/A</v>
      </c>
      <c r="O81" s="117" t="e">
        <f t="shared" ca="1" si="3"/>
        <v>#N/A</v>
      </c>
    </row>
    <row r="82" spans="2:15">
      <c r="B82" s="26"/>
      <c r="C82" s="25"/>
      <c r="D82" s="110"/>
      <c r="E82" s="26"/>
      <c r="F82" s="111"/>
      <c r="G82" s="26"/>
      <c r="H82" s="111"/>
      <c r="I82" s="26"/>
      <c r="J82" s="111"/>
      <c r="K82" s="26"/>
      <c r="L82" s="111"/>
      <c r="M82" s="43" t="e">
        <f t="shared" ca="1" si="4"/>
        <v>#N/A</v>
      </c>
      <c r="N82" s="104" t="e">
        <f ca="1">VLOOKUP($B82,Matrix!$H$13:$I$37,2,FALSE)&amp;"_"&amp;C82</f>
        <v>#N/A</v>
      </c>
      <c r="O82" s="117" t="e">
        <f t="shared" ca="1" si="3"/>
        <v>#N/A</v>
      </c>
    </row>
    <row r="83" spans="2:15">
      <c r="B83" s="26"/>
      <c r="C83" s="25"/>
      <c r="D83" s="110"/>
      <c r="E83" s="26"/>
      <c r="F83" s="111"/>
      <c r="G83" s="26"/>
      <c r="H83" s="111"/>
      <c r="I83" s="26"/>
      <c r="J83" s="111"/>
      <c r="K83" s="26"/>
      <c r="L83" s="111"/>
      <c r="M83" s="43" t="e">
        <f t="shared" ca="1" si="4"/>
        <v>#N/A</v>
      </c>
      <c r="N83" s="104" t="e">
        <f ca="1">VLOOKUP($B83,Matrix!$H$13:$I$37,2,FALSE)&amp;"_"&amp;C83</f>
        <v>#N/A</v>
      </c>
      <c r="O83" s="117" t="e">
        <f t="shared" ca="1" si="3"/>
        <v>#N/A</v>
      </c>
    </row>
    <row r="84" spans="2:15">
      <c r="B84" s="26"/>
      <c r="C84" s="25"/>
      <c r="D84" s="110"/>
      <c r="E84" s="26"/>
      <c r="F84" s="111"/>
      <c r="G84" s="26"/>
      <c r="H84" s="111"/>
      <c r="I84" s="26"/>
      <c r="J84" s="111"/>
      <c r="K84" s="26"/>
      <c r="L84" s="111"/>
      <c r="M84" s="43" t="e">
        <f t="shared" ca="1" si="4"/>
        <v>#N/A</v>
      </c>
      <c r="N84" s="104" t="e">
        <f ca="1">VLOOKUP($B84,Matrix!$H$13:$I$37,2,FALSE)&amp;"_"&amp;C84</f>
        <v>#N/A</v>
      </c>
      <c r="O84" s="117" t="e">
        <f t="shared" ca="1" si="3"/>
        <v>#N/A</v>
      </c>
    </row>
    <row r="85" spans="2:15">
      <c r="B85" s="26"/>
      <c r="C85" s="25"/>
      <c r="D85" s="110"/>
      <c r="E85" s="26"/>
      <c r="F85" s="111"/>
      <c r="G85" s="26"/>
      <c r="H85" s="111"/>
      <c r="I85" s="26"/>
      <c r="J85" s="111"/>
      <c r="K85" s="26"/>
      <c r="L85" s="111"/>
      <c r="M85" s="43" t="e">
        <f t="shared" ca="1" si="4"/>
        <v>#N/A</v>
      </c>
      <c r="N85" s="104" t="e">
        <f ca="1">VLOOKUP($B85,Matrix!$H$13:$I$37,2,FALSE)&amp;"_"&amp;C85</f>
        <v>#N/A</v>
      </c>
      <c r="O85" s="117" t="e">
        <f t="shared" ca="1" si="3"/>
        <v>#N/A</v>
      </c>
    </row>
    <row r="86" spans="2:15">
      <c r="B86" s="26"/>
      <c r="C86" s="25"/>
      <c r="D86" s="110"/>
      <c r="E86" s="26"/>
      <c r="F86" s="111"/>
      <c r="G86" s="26"/>
      <c r="H86" s="111"/>
      <c r="I86" s="26"/>
      <c r="J86" s="111"/>
      <c r="K86" s="26"/>
      <c r="L86" s="111"/>
      <c r="M86" s="43" t="e">
        <f t="shared" ca="1" si="4"/>
        <v>#N/A</v>
      </c>
      <c r="N86" s="104" t="e">
        <f ca="1">VLOOKUP($B86,Matrix!$H$13:$I$37,2,FALSE)&amp;"_"&amp;C86</f>
        <v>#N/A</v>
      </c>
      <c r="O86" s="117" t="e">
        <f t="shared" ca="1" si="3"/>
        <v>#N/A</v>
      </c>
    </row>
    <row r="87" spans="2:15">
      <c r="B87" s="26"/>
      <c r="C87" s="25"/>
      <c r="D87" s="110"/>
      <c r="E87" s="26"/>
      <c r="F87" s="111"/>
      <c r="G87" s="26"/>
      <c r="H87" s="111"/>
      <c r="I87" s="26"/>
      <c r="J87" s="111"/>
      <c r="K87" s="26"/>
      <c r="L87" s="111"/>
      <c r="M87" s="43" t="e">
        <f t="shared" ca="1" si="4"/>
        <v>#N/A</v>
      </c>
      <c r="N87" s="64" t="e">
        <f ca="1">VLOOKUP($B87,Matrix!$H$13:$I$37,2,FALSE)&amp;"_"&amp;C87</f>
        <v>#N/A</v>
      </c>
      <c r="O87" s="117" t="e">
        <f t="shared" ca="1" si="3"/>
        <v>#N/A</v>
      </c>
    </row>
    <row r="88" spans="2:15">
      <c r="B88" s="26"/>
      <c r="C88" s="25"/>
      <c r="D88" s="110"/>
      <c r="E88" s="26"/>
      <c r="F88" s="111"/>
      <c r="G88" s="26"/>
      <c r="H88" s="111"/>
      <c r="I88" s="26"/>
      <c r="J88" s="111"/>
      <c r="K88" s="26"/>
      <c r="L88" s="111"/>
      <c r="M88" s="43" t="e">
        <f t="shared" ca="1" si="4"/>
        <v>#N/A</v>
      </c>
      <c r="N88" s="64" t="e">
        <f ca="1">VLOOKUP($B88,Matrix!$H$13:$I$37,2,FALSE)&amp;"_"&amp;C88</f>
        <v>#N/A</v>
      </c>
      <c r="O88" s="117" t="e">
        <f t="shared" ca="1" si="3"/>
        <v>#N/A</v>
      </c>
    </row>
    <row r="89" spans="2:15">
      <c r="B89" s="26"/>
      <c r="C89" s="25"/>
      <c r="D89" s="110"/>
      <c r="E89" s="26"/>
      <c r="F89" s="111"/>
      <c r="G89" s="26"/>
      <c r="H89" s="111"/>
      <c r="I89" s="26"/>
      <c r="J89" s="111"/>
      <c r="K89" s="26"/>
      <c r="L89" s="111"/>
      <c r="M89" s="43" t="e">
        <f t="shared" ca="1" si="4"/>
        <v>#N/A</v>
      </c>
      <c r="N89" s="64" t="e">
        <f ca="1">VLOOKUP($B89,Matrix!$H$13:$I$37,2,FALSE)&amp;"_"&amp;C89</f>
        <v>#N/A</v>
      </c>
      <c r="O89" s="117" t="e">
        <f t="shared" ca="1" si="3"/>
        <v>#N/A</v>
      </c>
    </row>
    <row r="90" spans="2:15">
      <c r="B90" s="26"/>
      <c r="C90" s="25"/>
      <c r="D90" s="110"/>
      <c r="E90" s="26"/>
      <c r="F90" s="111"/>
      <c r="G90" s="26"/>
      <c r="H90" s="111"/>
      <c r="I90" s="26"/>
      <c r="J90" s="111"/>
      <c r="K90" s="26"/>
      <c r="L90" s="111"/>
      <c r="M90" s="43" t="e">
        <f t="shared" ca="1" si="4"/>
        <v>#N/A</v>
      </c>
      <c r="N90" s="64" t="e">
        <f ca="1">VLOOKUP($B90,Matrix!$H$13:$I$37,2,FALSE)&amp;"_"&amp;C90</f>
        <v>#N/A</v>
      </c>
      <c r="O90" s="117" t="e">
        <f t="shared" ca="1" si="3"/>
        <v>#N/A</v>
      </c>
    </row>
    <row r="91" spans="2:15">
      <c r="B91" s="26"/>
      <c r="C91" s="25"/>
      <c r="D91" s="110"/>
      <c r="E91" s="26"/>
      <c r="F91" s="111"/>
      <c r="G91" s="26"/>
      <c r="H91" s="111"/>
      <c r="I91" s="26"/>
      <c r="J91" s="111"/>
      <c r="K91" s="26"/>
      <c r="L91" s="111"/>
      <c r="M91" s="43" t="e">
        <f t="shared" ca="1" si="4"/>
        <v>#N/A</v>
      </c>
      <c r="N91" s="64" t="e">
        <f ca="1">VLOOKUP($B91,Matrix!$H$13:$I$37,2,FALSE)&amp;"_"&amp;C91</f>
        <v>#N/A</v>
      </c>
      <c r="O91" s="117" t="e">
        <f t="shared" ca="1" si="3"/>
        <v>#N/A</v>
      </c>
    </row>
    <row r="92" spans="2:15">
      <c r="B92" s="26"/>
      <c r="C92" s="25"/>
      <c r="D92" s="110"/>
      <c r="E92" s="26"/>
      <c r="F92" s="111"/>
      <c r="G92" s="26"/>
      <c r="H92" s="111"/>
      <c r="I92" s="26"/>
      <c r="J92" s="111"/>
      <c r="K92" s="26"/>
      <c r="L92" s="111"/>
      <c r="M92" s="43" t="e">
        <f t="shared" ca="1" si="4"/>
        <v>#N/A</v>
      </c>
      <c r="N92" s="64" t="e">
        <f ca="1">VLOOKUP($B92,Matrix!$H$13:$I$37,2,FALSE)&amp;"_"&amp;C92</f>
        <v>#N/A</v>
      </c>
      <c r="O92" s="117" t="e">
        <f t="shared" ca="1" si="3"/>
        <v>#N/A</v>
      </c>
    </row>
    <row r="93" spans="2:15">
      <c r="B93" s="26"/>
      <c r="C93" s="25"/>
      <c r="D93" s="110"/>
      <c r="E93" s="26"/>
      <c r="F93" s="111"/>
      <c r="G93" s="26"/>
      <c r="H93" s="111"/>
      <c r="I93" s="26"/>
      <c r="J93" s="111"/>
      <c r="K93" s="26"/>
      <c r="L93" s="111"/>
      <c r="M93" s="43" t="e">
        <f t="shared" ca="1" si="4"/>
        <v>#N/A</v>
      </c>
      <c r="N93" s="64" t="e">
        <f ca="1">VLOOKUP($B93,Matrix!$H$13:$I$37,2,FALSE)&amp;"_"&amp;C93</f>
        <v>#N/A</v>
      </c>
      <c r="O93" s="117" t="e">
        <f t="shared" ca="1" si="3"/>
        <v>#N/A</v>
      </c>
    </row>
    <row r="94" spans="2:15">
      <c r="B94" s="26"/>
      <c r="C94" s="25"/>
      <c r="D94" s="110"/>
      <c r="E94" s="26"/>
      <c r="F94" s="111"/>
      <c r="G94" s="26"/>
      <c r="H94" s="111"/>
      <c r="I94" s="26"/>
      <c r="J94" s="111"/>
      <c r="K94" s="26"/>
      <c r="L94" s="111"/>
      <c r="M94" s="43" t="e">
        <f t="shared" ca="1" si="4"/>
        <v>#N/A</v>
      </c>
      <c r="N94" s="64" t="e">
        <f ca="1">VLOOKUP($B94,Matrix!$H$13:$I$37,2,FALSE)&amp;"_"&amp;C94</f>
        <v>#N/A</v>
      </c>
      <c r="O94" s="117" t="e">
        <f t="shared" ca="1" si="3"/>
        <v>#N/A</v>
      </c>
    </row>
    <row r="95" spans="2:15">
      <c r="B95" s="26"/>
      <c r="C95" s="25"/>
      <c r="D95" s="110"/>
      <c r="E95" s="26"/>
      <c r="F95" s="111"/>
      <c r="G95" s="26"/>
      <c r="H95" s="111"/>
      <c r="I95" s="26"/>
      <c r="J95" s="111"/>
      <c r="K95" s="26"/>
      <c r="L95" s="111"/>
      <c r="M95" s="43" t="e">
        <f t="shared" ca="1" si="4"/>
        <v>#N/A</v>
      </c>
      <c r="N95" s="64" t="e">
        <f ca="1">VLOOKUP($B95,Matrix!$H$13:$I$37,2,FALSE)&amp;"_"&amp;C95</f>
        <v>#N/A</v>
      </c>
      <c r="O95" s="117" t="e">
        <f t="shared" ca="1" si="3"/>
        <v>#N/A</v>
      </c>
    </row>
    <row r="96" spans="2:15">
      <c r="B96" s="26"/>
      <c r="C96" s="25"/>
      <c r="D96" s="110"/>
      <c r="E96" s="26"/>
      <c r="F96" s="111"/>
      <c r="G96" s="26"/>
      <c r="H96" s="111"/>
      <c r="I96" s="26"/>
      <c r="J96" s="111"/>
      <c r="K96" s="26"/>
      <c r="L96" s="111"/>
      <c r="M96" s="43" t="e">
        <f t="shared" ca="1" si="4"/>
        <v>#N/A</v>
      </c>
      <c r="N96" s="64" t="e">
        <f ca="1">VLOOKUP($B96,Matrix!$H$13:$I$37,2,FALSE)&amp;"_"&amp;C96</f>
        <v>#N/A</v>
      </c>
      <c r="O96" s="117" t="e">
        <f t="shared" ca="1" si="3"/>
        <v>#N/A</v>
      </c>
    </row>
    <row r="97" spans="2:15">
      <c r="B97" s="26"/>
      <c r="C97" s="25"/>
      <c r="D97" s="110"/>
      <c r="E97" s="26"/>
      <c r="F97" s="111"/>
      <c r="G97" s="26"/>
      <c r="H97" s="111"/>
      <c r="I97" s="26"/>
      <c r="J97" s="111"/>
      <c r="K97" s="26"/>
      <c r="L97" s="111"/>
      <c r="M97" s="43" t="e">
        <f t="shared" ca="1" si="4"/>
        <v>#N/A</v>
      </c>
      <c r="N97" s="64" t="e">
        <f ca="1">VLOOKUP($B97,Matrix!$H$13:$I$37,2,FALSE)&amp;"_"&amp;C97</f>
        <v>#N/A</v>
      </c>
      <c r="O97" s="117" t="e">
        <f t="shared" ca="1" si="3"/>
        <v>#N/A</v>
      </c>
    </row>
    <row r="98" spans="2:15">
      <c r="B98" s="26"/>
      <c r="C98" s="25"/>
      <c r="D98" s="110"/>
      <c r="E98" s="26"/>
      <c r="F98" s="111"/>
      <c r="G98" s="26"/>
      <c r="H98" s="111"/>
      <c r="I98" s="26"/>
      <c r="J98" s="111"/>
      <c r="K98" s="26"/>
      <c r="L98" s="111"/>
      <c r="M98" s="43" t="e">
        <f t="shared" ca="1" si="4"/>
        <v>#N/A</v>
      </c>
      <c r="N98" s="64" t="e">
        <f ca="1">VLOOKUP($B98,Matrix!$H$13:$I$37,2,FALSE)&amp;"_"&amp;C98</f>
        <v>#N/A</v>
      </c>
      <c r="O98" s="117" t="e">
        <f t="shared" ca="1" si="3"/>
        <v>#N/A</v>
      </c>
    </row>
    <row r="99" spans="2:15">
      <c r="B99" s="26"/>
      <c r="C99" s="25"/>
      <c r="D99" s="110"/>
      <c r="E99" s="26"/>
      <c r="F99" s="111"/>
      <c r="G99" s="26"/>
      <c r="H99" s="111"/>
      <c r="I99" s="26"/>
      <c r="J99" s="111"/>
      <c r="K99" s="26"/>
      <c r="L99" s="111"/>
      <c r="M99" s="43" t="e">
        <f t="shared" ca="1" si="4"/>
        <v>#N/A</v>
      </c>
      <c r="N99" s="64" t="e">
        <f ca="1">VLOOKUP($B99,Matrix!$H$13:$I$37,2,FALSE)&amp;"_"&amp;C99</f>
        <v>#N/A</v>
      </c>
      <c r="O99" s="117" t="e">
        <f t="shared" ca="1" si="3"/>
        <v>#N/A</v>
      </c>
    </row>
    <row r="100" spans="2:15">
      <c r="B100" s="26"/>
      <c r="C100" s="25"/>
      <c r="D100" s="110"/>
      <c r="E100" s="26"/>
      <c r="F100" s="111"/>
      <c r="G100" s="26"/>
      <c r="H100" s="111"/>
      <c r="I100" s="26"/>
      <c r="J100" s="111"/>
      <c r="K100" s="26"/>
      <c r="L100" s="111"/>
      <c r="M100" s="43" t="e">
        <f t="shared" ca="1" si="4"/>
        <v>#N/A</v>
      </c>
      <c r="N100" s="64" t="e">
        <f ca="1">VLOOKUP($B100,Matrix!$H$13:$I$37,2,FALSE)&amp;"_"&amp;C100</f>
        <v>#N/A</v>
      </c>
      <c r="O100" s="117" t="e">
        <f ca="1">"#define "&amp;N100&amp;REPT(" ",48-M100)&amp;"("&amp;D100&amp;"U)"</f>
        <v>#N/A</v>
      </c>
    </row>
    <row r="101" spans="2:15">
      <c r="B101" s="26"/>
      <c r="C101" s="25"/>
      <c r="D101" s="110"/>
      <c r="E101" s="26"/>
      <c r="F101" s="111"/>
      <c r="G101" s="26"/>
      <c r="H101" s="111"/>
      <c r="I101" s="26"/>
      <c r="J101" s="111"/>
      <c r="K101" s="26"/>
      <c r="L101" s="111"/>
      <c r="M101" s="43" t="e">
        <f t="shared" ca="1" si="4"/>
        <v>#N/A</v>
      </c>
      <c r="N101" s="64" t="e">
        <f ca="1">VLOOKUP($B101,Matrix!$H$13:$I$37,2,FALSE)&amp;"_"&amp;C101</f>
        <v>#N/A</v>
      </c>
      <c r="O101" s="117" t="e">
        <f ca="1">"#define "&amp;N101&amp;REPT(" ",48-M101)&amp;"("&amp;D101&amp;"U)"</f>
        <v>#N/A</v>
      </c>
    </row>
    <row r="102" spans="2:15">
      <c r="B102" s="26"/>
      <c r="C102" s="25"/>
      <c r="D102" s="110"/>
      <c r="E102" s="26"/>
      <c r="F102" s="111"/>
      <c r="G102" s="26"/>
      <c r="H102" s="111"/>
      <c r="I102" s="26"/>
      <c r="J102" s="111"/>
      <c r="K102" s="26"/>
      <c r="L102" s="111"/>
      <c r="M102" s="43" t="e">
        <f t="shared" ca="1" si="4"/>
        <v>#N/A</v>
      </c>
      <c r="N102" s="64" t="e">
        <f ca="1">VLOOKUP($B102,Matrix!$H$13:$I$37,2,FALSE)&amp;"_"&amp;C102</f>
        <v>#N/A</v>
      </c>
      <c r="O102" s="117" t="e">
        <f ca="1">"#define "&amp;N102&amp;REPT(" ",48-M102)&amp;"("&amp;D102&amp;"U)"</f>
        <v>#N/A</v>
      </c>
    </row>
    <row r="103" spans="2:15" ht="13.8" thickBot="1">
      <c r="B103" s="49"/>
      <c r="C103" s="50"/>
      <c r="D103" s="112"/>
      <c r="E103" s="49"/>
      <c r="F103" s="113"/>
      <c r="G103" s="49"/>
      <c r="H103" s="113"/>
      <c r="I103" s="49"/>
      <c r="J103" s="113"/>
      <c r="K103" s="49"/>
      <c r="L103" s="113"/>
      <c r="M103" s="51" t="e">
        <f t="shared" ca="1" si="4"/>
        <v>#N/A</v>
      </c>
      <c r="N103" s="65" t="e">
        <f ca="1">VLOOKUP($B103,Matrix!$H$13:$I$37,2,FALSE)&amp;"_"&amp;C103</f>
        <v>#N/A</v>
      </c>
      <c r="O103" s="118" t="e">
        <f ca="1">"#define "&amp;N103&amp;REPT(" ",48-M103)&amp;"("&amp;D103&amp;"U)"</f>
        <v>#N/A</v>
      </c>
    </row>
  </sheetData>
  <protectedRanges>
    <protectedRange sqref="B4:L5 B6:F7 I6:L7 B8:L103" name="範囲1"/>
    <protectedRange sqref="G6:H7"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2"/>
  <cols>
    <col min="1" max="1" width="6" style="185" customWidth="1"/>
    <col min="2" max="2" width="16.77734375" style="185" bestFit="1" customWidth="1"/>
    <col min="3" max="3" width="3" style="185" bestFit="1" customWidth="1"/>
    <col min="4" max="35" width="3" style="185" customWidth="1"/>
    <col min="36" max="36" width="36.33203125" style="185" bestFit="1" customWidth="1"/>
    <col min="37" max="37" width="4.109375" style="185" customWidth="1"/>
    <col min="38" max="42" width="9" style="185" hidden="1" customWidth="1"/>
    <col min="43" max="43" width="20.6640625" style="185" hidden="1" customWidth="1"/>
    <col min="44" max="45" width="41.109375" style="185" customWidth="1"/>
    <col min="46" max="46" width="37" style="185" customWidth="1"/>
    <col min="47" max="47" width="41.109375" style="185" customWidth="1"/>
    <col min="48" max="48" width="23.6640625" style="185" customWidth="1"/>
    <col min="49" max="49" width="29" style="185" bestFit="1" customWidth="1"/>
    <col min="50" max="16384" width="9" style="185"/>
  </cols>
  <sheetData>
    <row r="1" spans="1:49">
      <c r="AH1" s="185" t="s">
        <v>58</v>
      </c>
      <c r="AI1" s="185" t="s">
        <v>59</v>
      </c>
    </row>
    <row r="2" spans="1:49">
      <c r="B2" s="119" t="s">
        <v>122</v>
      </c>
      <c r="C2" s="314" t="s">
        <v>83</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16" t="s">
        <v>121</v>
      </c>
    </row>
    <row r="3" spans="1:49" ht="213" customHeight="1" thickBot="1">
      <c r="B3" s="194" t="str">
        <f>IF(OR(IF(COUNTIF(D6:AC69,"0")&lt;&gt;0,TRUE,FALSE),IF(COUNTIF(D6:AC69,"1")&lt;&gt;0,TRUE,FALSE)),"Search Table","Index Table")</f>
        <v>Index Table</v>
      </c>
      <c r="C3" s="315"/>
      <c r="D3" s="121" t="s">
        <v>60</v>
      </c>
      <c r="E3" s="121" t="s">
        <v>65</v>
      </c>
      <c r="F3" s="121" t="s">
        <v>48</v>
      </c>
      <c r="G3" s="121" t="s">
        <v>47</v>
      </c>
      <c r="H3" s="121" t="s">
        <v>120</v>
      </c>
      <c r="I3" s="121" t="s">
        <v>119</v>
      </c>
      <c r="J3" s="121" t="s">
        <v>203</v>
      </c>
      <c r="K3" s="121" t="s">
        <v>123</v>
      </c>
      <c r="L3" s="122" t="s">
        <v>65</v>
      </c>
      <c r="M3" s="122" t="s">
        <v>61</v>
      </c>
      <c r="N3" s="122" t="s">
        <v>61</v>
      </c>
      <c r="O3" s="122" t="s">
        <v>61</v>
      </c>
      <c r="P3" s="122" t="s">
        <v>61</v>
      </c>
      <c r="Q3" s="122" t="s">
        <v>61</v>
      </c>
      <c r="R3" s="122" t="s">
        <v>61</v>
      </c>
      <c r="S3" s="122" t="s">
        <v>61</v>
      </c>
      <c r="T3" s="122" t="s">
        <v>61</v>
      </c>
      <c r="U3" s="122" t="s">
        <v>61</v>
      </c>
      <c r="V3" s="122" t="s">
        <v>61</v>
      </c>
      <c r="W3" s="122" t="s">
        <v>61</v>
      </c>
      <c r="X3" s="122" t="s">
        <v>61</v>
      </c>
      <c r="Y3" s="122" t="s">
        <v>61</v>
      </c>
      <c r="Z3" s="122" t="s">
        <v>61</v>
      </c>
      <c r="AA3" s="122" t="s">
        <v>61</v>
      </c>
      <c r="AB3" s="122" t="s">
        <v>61</v>
      </c>
      <c r="AC3" s="122" t="s">
        <v>61</v>
      </c>
      <c r="AD3" s="122" t="s">
        <v>61</v>
      </c>
      <c r="AE3" s="122" t="s">
        <v>61</v>
      </c>
      <c r="AF3" s="318" t="s">
        <v>238</v>
      </c>
      <c r="AG3" s="319"/>
      <c r="AH3" s="318" t="s">
        <v>239</v>
      </c>
      <c r="AI3" s="319"/>
      <c r="AJ3" s="317"/>
      <c r="AR3" s="85" t="s">
        <v>95</v>
      </c>
    </row>
    <row r="4" spans="1:49" ht="13.8" thickBot="1">
      <c r="A4" s="310" t="s">
        <v>62</v>
      </c>
      <c r="B4" s="311"/>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24"/>
      <c r="AR4" s="73" t="s">
        <v>81</v>
      </c>
      <c r="AS4" s="74"/>
      <c r="AT4" s="74"/>
      <c r="AU4" s="74"/>
      <c r="AV4" s="74"/>
      <c r="AW4" s="75"/>
    </row>
    <row r="5" spans="1:49" ht="13.8" thickBot="1">
      <c r="A5" s="312"/>
      <c r="B5" s="313"/>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25"/>
      <c r="AR5" s="76" t="str">
        <f ca="1">"static const U4  "&amp;AW8&amp;"["&amp;AW10&amp;"]"&amp;" = {"</f>
        <v>static const U4  u4_sp_ALERT_S_ADBZR_TCHAR_CRIT[ALERT_S_ADBZR_TCHAR_NUM_DST] = {</v>
      </c>
      <c r="AS5" s="76" t="str">
        <f ca="1">"static const U4  "&amp;$AW$9&amp;"["&amp;$AW$10&amp;"] = {"</f>
        <v>static const U4  u4_sp_ALERT_S_ADBZR_TCHAR_MASK[ALERT_S_ADBZR_TCHAR_NUM_DST] = {</v>
      </c>
      <c r="AT5" s="76" t="str">
        <f ca="1">"static const U1  "&amp;$AW$11&amp;"["&amp;$AW$10&amp;"] = {"</f>
        <v>static const U1  u1_sp_ALERT_S_ADBZR_TCHAR_DST[ALERT_S_ADBZR_TCHAR_NUM_DST] = {</v>
      </c>
      <c r="AU5" s="76" t="str">
        <f ca="1">"const ST_ALERT_MTRX "&amp;$AW$12&amp;" = {"</f>
        <v>const ST_ALERT_MTRX st_gp_ALERT_S_ADBZR_TCHAR_MTRX[1] = {</v>
      </c>
      <c r="AV5" s="61" t="str">
        <f ca="1">"#define "&amp;AW10&amp;REPT(" ",41-LEN(AW10))&amp;"("&amp;AW13&amp;"U)"</f>
        <v>#define ALERT_S_ADBZR_TCHAR_NUM_DST              (16U)</v>
      </c>
      <c r="AW5" s="62"/>
    </row>
    <row r="6" spans="1:49">
      <c r="B6" s="128" t="str">
        <f ca="1">"Table "&amp;$AW$6</f>
        <v>Table S_ADBZR_TCHAR</v>
      </c>
      <c r="C6" s="48">
        <f>ROW()-ROW($C$6)</f>
        <v>0</v>
      </c>
      <c r="D6" s="123" t="s">
        <v>66</v>
      </c>
      <c r="E6" s="123" t="s">
        <v>66</v>
      </c>
      <c r="F6" s="183" t="s">
        <v>66</v>
      </c>
      <c r="G6" s="183" t="s">
        <v>66</v>
      </c>
      <c r="H6" s="183" t="s">
        <v>66</v>
      </c>
      <c r="I6" s="183" t="s">
        <v>66</v>
      </c>
      <c r="J6" s="183" t="s">
        <v>66</v>
      </c>
      <c r="K6" s="183" t="s">
        <v>66</v>
      </c>
      <c r="L6" s="183" t="s">
        <v>66</v>
      </c>
      <c r="M6" s="183" t="s">
        <v>66</v>
      </c>
      <c r="N6" s="183" t="s">
        <v>66</v>
      </c>
      <c r="O6" s="183" t="s">
        <v>66</v>
      </c>
      <c r="P6" s="183" t="s">
        <v>66</v>
      </c>
      <c r="Q6" s="183" t="s">
        <v>66</v>
      </c>
      <c r="R6" s="183" t="s">
        <v>66</v>
      </c>
      <c r="S6" s="183" t="s">
        <v>66</v>
      </c>
      <c r="T6" s="183" t="s">
        <v>66</v>
      </c>
      <c r="U6" s="183" t="s">
        <v>66</v>
      </c>
      <c r="V6" s="183" t="s">
        <v>66</v>
      </c>
      <c r="W6" s="183" t="s">
        <v>66</v>
      </c>
      <c r="X6" s="183" t="s">
        <v>66</v>
      </c>
      <c r="Y6" s="126" t="s">
        <v>66</v>
      </c>
      <c r="Z6" s="126" t="s">
        <v>66</v>
      </c>
      <c r="AA6" s="126" t="s">
        <v>66</v>
      </c>
      <c r="AB6" s="126" t="s">
        <v>66</v>
      </c>
      <c r="AC6" s="126" t="s">
        <v>66</v>
      </c>
      <c r="AD6" s="126" t="s">
        <v>66</v>
      </c>
      <c r="AE6" s="126" t="s">
        <v>66</v>
      </c>
      <c r="AF6" s="246">
        <v>0</v>
      </c>
      <c r="AG6" s="246">
        <v>0</v>
      </c>
      <c r="AH6" s="246">
        <v>0</v>
      </c>
      <c r="AI6" s="246">
        <v>0</v>
      </c>
      <c r="AJ6" s="47" t="s">
        <v>31</v>
      </c>
      <c r="AL6" s="185"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(U4)0x0000000FU,                                                           /* 00 UNKNOWN                                         */</v>
      </c>
      <c r="AT6" s="59" t="str">
        <f t="shared" ref="AT6:AT69" si="1">IF(AJ6&lt;&gt;"",AL6&amp;IF(AJ7&lt;&gt;"",","," ")&amp;REPT(" ",78-LEN(AL6))&amp;"/* "&amp;IF(C6&lt;10,"0"&amp;C6,C6)&amp;" "&amp;AJ6&amp;REPT(" ",48-LEN(AJ6))&amp;"*/",IF(AJ5&lt;&gt;"","};",""))</f>
        <v xml:space="preserve">    (U1)ALERT_REQ_UNKNOWN,                                                     /* 00 UNKNOWN                                         */</v>
      </c>
      <c r="AU6" s="59" t="s">
        <v>67</v>
      </c>
      <c r="AV6" s="44" t="s">
        <v>69</v>
      </c>
      <c r="AW6" s="63" t="str">
        <f ca="1">UPPER(RIGHT(CELL("filename",A1),LEN(CELL("filename",A1))-FIND("]",CELL("filename",A1))))</f>
        <v>S_ADBZR_TCHAR</v>
      </c>
    </row>
    <row r="7" spans="1:49">
      <c r="B7" s="128"/>
      <c r="C7" s="43">
        <f t="shared" ref="C7:C69" si="2">ROW()-ROW($C$6)</f>
        <v>1</v>
      </c>
      <c r="D7" s="57" t="s">
        <v>66</v>
      </c>
      <c r="E7" s="57" t="s">
        <v>66</v>
      </c>
      <c r="F7" s="126" t="s">
        <v>66</v>
      </c>
      <c r="G7" s="126" t="s">
        <v>66</v>
      </c>
      <c r="H7" s="126" t="s">
        <v>66</v>
      </c>
      <c r="I7" s="126" t="s">
        <v>66</v>
      </c>
      <c r="J7" s="126" t="s">
        <v>66</v>
      </c>
      <c r="K7" s="126" t="s">
        <v>66</v>
      </c>
      <c r="L7" s="126" t="s">
        <v>66</v>
      </c>
      <c r="M7" s="126" t="s">
        <v>66</v>
      </c>
      <c r="N7" s="126" t="s">
        <v>66</v>
      </c>
      <c r="O7" s="126" t="s">
        <v>66</v>
      </c>
      <c r="P7" s="126" t="s">
        <v>66</v>
      </c>
      <c r="Q7" s="126" t="s">
        <v>66</v>
      </c>
      <c r="R7" s="126" t="s">
        <v>66</v>
      </c>
      <c r="S7" s="126" t="s">
        <v>66</v>
      </c>
      <c r="T7" s="126" t="s">
        <v>66</v>
      </c>
      <c r="U7" s="126" t="s">
        <v>66</v>
      </c>
      <c r="V7" s="126" t="s">
        <v>66</v>
      </c>
      <c r="W7" s="126" t="s">
        <v>66</v>
      </c>
      <c r="X7" s="126" t="s">
        <v>66</v>
      </c>
      <c r="Y7" s="126" t="s">
        <v>66</v>
      </c>
      <c r="Z7" s="126" t="s">
        <v>66</v>
      </c>
      <c r="AA7" s="126" t="s">
        <v>66</v>
      </c>
      <c r="AB7" s="126" t="s">
        <v>66</v>
      </c>
      <c r="AC7" s="126" t="s">
        <v>66</v>
      </c>
      <c r="AD7" s="126" t="s">
        <v>66</v>
      </c>
      <c r="AE7" s="126" t="s">
        <v>66</v>
      </c>
      <c r="AF7" s="246">
        <v>0</v>
      </c>
      <c r="AG7" s="246">
        <v>0</v>
      </c>
      <c r="AH7" s="246">
        <v>0</v>
      </c>
      <c r="AI7" s="246">
        <v>1</v>
      </c>
      <c r="AJ7" s="25" t="s">
        <v>235</v>
      </c>
      <c r="AL7" s="185" t="str">
        <f t="shared" ca="1" si="0"/>
        <v xml:space="preserve">    (U1)ALERT_REQ_S_ADBZR_TCHAR_CYCL1</v>
      </c>
      <c r="AR7" s="59" t="str">
        <f t="shared" ref="AR7:AR70" si="3">IF(AQ72&lt;&gt;"",AQ72,IF(AQ71&lt;&gt;"","};",""))</f>
        <v xml:space="preserve">    (U4)0x00000001U,                                                           /* 01 CYCL1                                           */</v>
      </c>
      <c r="AS7" s="59" t="str">
        <f t="shared" ref="AS7:AS70" si="4">IF(AQ137&lt;&gt;"",AQ137,IF(AQ136&lt;&gt;"","};",""))</f>
        <v xml:space="preserve">    (U4)0x0000000FU,                                                           /* 01 CYCL1                                           */</v>
      </c>
      <c r="AT7" s="59" t="str">
        <f t="shared" ca="1" si="1"/>
        <v xml:space="preserve">    (U1)ALERT_REQ_S_ADBZR_TCHAR_CYCL1,                                         /* 01 CYCL1                                           */</v>
      </c>
      <c r="AU7" s="59" t="str">
        <f ca="1">"        &amp;"&amp;$AW$14&amp;","&amp;REPT(" ",69-LEN($AW$14))&amp;"/* fp_u4_SRC_CHK                                      */"</f>
        <v xml:space="preserve">        &amp;u4_s_AlertS_adbzr_tcharSrcchk,                                        /* fp_u4_SRC_CHK                                      */</v>
      </c>
      <c r="AV7" s="45" t="s">
        <v>70</v>
      </c>
      <c r="AW7" s="127">
        <f>IF(B3="Search Table",1,0)</f>
        <v>0</v>
      </c>
    </row>
    <row r="8" spans="1:49">
      <c r="B8" s="128"/>
      <c r="C8" s="43">
        <f t="shared" si="2"/>
        <v>2</v>
      </c>
      <c r="D8" s="57" t="s">
        <v>66</v>
      </c>
      <c r="E8" s="57" t="s">
        <v>66</v>
      </c>
      <c r="F8" s="126" t="s">
        <v>66</v>
      </c>
      <c r="G8" s="126" t="s">
        <v>66</v>
      </c>
      <c r="H8" s="126" t="s">
        <v>66</v>
      </c>
      <c r="I8" s="126" t="s">
        <v>66</v>
      </c>
      <c r="J8" s="126" t="s">
        <v>66</v>
      </c>
      <c r="K8" s="126" t="s">
        <v>66</v>
      </c>
      <c r="L8" s="126" t="s">
        <v>66</v>
      </c>
      <c r="M8" s="126" t="s">
        <v>66</v>
      </c>
      <c r="N8" s="126" t="s">
        <v>66</v>
      </c>
      <c r="O8" s="126" t="s">
        <v>66</v>
      </c>
      <c r="P8" s="126" t="s">
        <v>66</v>
      </c>
      <c r="Q8" s="126" t="s">
        <v>66</v>
      </c>
      <c r="R8" s="126" t="s">
        <v>66</v>
      </c>
      <c r="S8" s="126" t="s">
        <v>66</v>
      </c>
      <c r="T8" s="126" t="s">
        <v>66</v>
      </c>
      <c r="U8" s="126" t="s">
        <v>66</v>
      </c>
      <c r="V8" s="126" t="s">
        <v>66</v>
      </c>
      <c r="W8" s="126" t="s">
        <v>66</v>
      </c>
      <c r="X8" s="126" t="s">
        <v>66</v>
      </c>
      <c r="Y8" s="126" t="s">
        <v>66</v>
      </c>
      <c r="Z8" s="126" t="s">
        <v>66</v>
      </c>
      <c r="AA8" s="126" t="s">
        <v>66</v>
      </c>
      <c r="AB8" s="126" t="s">
        <v>66</v>
      </c>
      <c r="AC8" s="126" t="s">
        <v>66</v>
      </c>
      <c r="AD8" s="126" t="s">
        <v>66</v>
      </c>
      <c r="AE8" s="126" t="s">
        <v>66</v>
      </c>
      <c r="AF8" s="246">
        <v>0</v>
      </c>
      <c r="AG8" s="246">
        <v>0</v>
      </c>
      <c r="AH8" s="246">
        <v>1</v>
      </c>
      <c r="AI8" s="246">
        <v>0</v>
      </c>
      <c r="AJ8" s="25" t="s">
        <v>236</v>
      </c>
      <c r="AL8" s="185" t="str">
        <f t="shared" ca="1" si="0"/>
        <v xml:space="preserve">    (U1)ALERT_REQ_S_ADBZR_TCHAR_CYCL2</v>
      </c>
      <c r="AR8" s="59" t="str">
        <f t="shared" si="3"/>
        <v xml:space="preserve">    (U4)0x00000002U,                                                           /* 02 CYCL2                                           */</v>
      </c>
      <c r="AS8" s="59" t="str">
        <f t="shared" si="4"/>
        <v xml:space="preserve">    (U4)0x0000000FU,                                                           /* 02 CYCL2                                           */</v>
      </c>
      <c r="AT8" s="59" t="str">
        <f ca="1">IF(AJ8&lt;&gt;"",AL8&amp;IF(AJ9&lt;&gt;"",","," ")&amp;REPT(" ",78-LEN(AL8))&amp;"/* "&amp;IF(C8&lt;10,"0"&amp;C8,C8)&amp;" "&amp;AJ8&amp;REPT(" ",48-LEN(AJ8))&amp;"*/",IF(AJ7&lt;&gt;"","};",""))</f>
        <v xml:space="preserve">    (U1)ALERT_REQ_S_ADBZR_TCHAR_CYCL2,                                         /* 02 CYCL2                                           */</v>
      </c>
      <c r="AU8" s="59" t="str">
        <f ca="1">IF($AW$15&lt;&gt;"NULL","        &amp;"&amp;$AW$15&amp;","&amp;REPT(" ",69-LEN($AW$15))&amp;"/* fp_vd_XDST                                         */","        vdp_PTR_NA,                                                            /* fp_vd_XDST                                         */")</f>
        <v xml:space="preserve">        vdp_PTR_NA,                                                            /* fp_vd_XDST                                         */</v>
      </c>
      <c r="AV8" s="45" t="s">
        <v>71</v>
      </c>
      <c r="AW8" s="64" t="str">
        <f ca="1">"u4_sp_ALERT_"&amp;IF(AW6&lt;&gt;AW17,$AW$17&amp;"_"&amp;$AW$6,AW17)&amp;"_CRIT"</f>
        <v>u4_sp_ALERT_S_ADBZR_TCHAR_CRIT</v>
      </c>
    </row>
    <row r="9" spans="1:49">
      <c r="B9" s="128"/>
      <c r="C9" s="43">
        <f t="shared" si="2"/>
        <v>3</v>
      </c>
      <c r="D9" s="57" t="s">
        <v>66</v>
      </c>
      <c r="E9" s="57" t="s">
        <v>66</v>
      </c>
      <c r="F9" s="126" t="s">
        <v>66</v>
      </c>
      <c r="G9" s="126" t="s">
        <v>66</v>
      </c>
      <c r="H9" s="126" t="s">
        <v>66</v>
      </c>
      <c r="I9" s="126" t="s">
        <v>66</v>
      </c>
      <c r="J9" s="126" t="s">
        <v>66</v>
      </c>
      <c r="K9" s="126" t="s">
        <v>66</v>
      </c>
      <c r="L9" s="126" t="s">
        <v>66</v>
      </c>
      <c r="M9" s="126" t="s">
        <v>66</v>
      </c>
      <c r="N9" s="126" t="s">
        <v>66</v>
      </c>
      <c r="O9" s="126" t="s">
        <v>66</v>
      </c>
      <c r="P9" s="126" t="s">
        <v>66</v>
      </c>
      <c r="Q9" s="126" t="s">
        <v>66</v>
      </c>
      <c r="R9" s="126" t="s">
        <v>66</v>
      </c>
      <c r="S9" s="126" t="s">
        <v>66</v>
      </c>
      <c r="T9" s="126" t="s">
        <v>66</v>
      </c>
      <c r="U9" s="126" t="s">
        <v>66</v>
      </c>
      <c r="V9" s="126" t="s">
        <v>66</v>
      </c>
      <c r="W9" s="126" t="s">
        <v>66</v>
      </c>
      <c r="X9" s="126" t="s">
        <v>66</v>
      </c>
      <c r="Y9" s="126" t="s">
        <v>66</v>
      </c>
      <c r="Z9" s="126" t="s">
        <v>66</v>
      </c>
      <c r="AA9" s="126" t="s">
        <v>66</v>
      </c>
      <c r="AB9" s="126" t="s">
        <v>66</v>
      </c>
      <c r="AC9" s="126" t="s">
        <v>66</v>
      </c>
      <c r="AD9" s="126" t="s">
        <v>66</v>
      </c>
      <c r="AE9" s="126" t="s">
        <v>66</v>
      </c>
      <c r="AF9" s="246">
        <v>0</v>
      </c>
      <c r="AG9" s="246">
        <v>0</v>
      </c>
      <c r="AH9" s="246">
        <v>1</v>
      </c>
      <c r="AI9" s="246">
        <v>1</v>
      </c>
      <c r="AJ9" s="25" t="s">
        <v>237</v>
      </c>
      <c r="AL9" s="185" t="str">
        <f t="shared" ca="1" si="0"/>
        <v xml:space="preserve">    (U1)ALERT_REQ_S_ADBZR_TCHAR_SINGLE</v>
      </c>
      <c r="AR9" s="59" t="str">
        <f t="shared" si="3"/>
        <v xml:space="preserve">    (U4)0x00000003U,                                                           /* 03 SINGLE                                          */</v>
      </c>
      <c r="AS9" s="59" t="str">
        <f t="shared" si="4"/>
        <v xml:space="preserve">    (U4)0x0000000FU,                                                           /* 03 SINGLE                                          */</v>
      </c>
      <c r="AT9" s="59" t="str">
        <f t="shared" ca="1" si="1"/>
        <v xml:space="preserve">    (U1)ALERT_REQ_S_ADBZR_TCHAR_SINGLE,                                        /* 03 SINGLE                                          */</v>
      </c>
      <c r="AU9" s="59"/>
      <c r="AV9" s="45" t="s">
        <v>72</v>
      </c>
      <c r="AW9" s="64" t="str">
        <f ca="1">"u4_sp_ALERT_"&amp;IF(AW6&lt;&gt;AW17,$AW$17&amp;"_"&amp;$AW$6,AW17)&amp;"_MASK"</f>
        <v>u4_sp_ALERT_S_ADBZR_TCHAR_MASK</v>
      </c>
    </row>
    <row r="10" spans="1:49">
      <c r="B10" s="128"/>
      <c r="C10" s="43">
        <f t="shared" si="2"/>
        <v>4</v>
      </c>
      <c r="D10" s="57" t="s">
        <v>66</v>
      </c>
      <c r="E10" s="57" t="s">
        <v>66</v>
      </c>
      <c r="F10" s="126" t="s">
        <v>66</v>
      </c>
      <c r="G10" s="126" t="s">
        <v>66</v>
      </c>
      <c r="H10" s="126" t="s">
        <v>66</v>
      </c>
      <c r="I10" s="126" t="s">
        <v>66</v>
      </c>
      <c r="J10" s="126" t="s">
        <v>66</v>
      </c>
      <c r="K10" s="126" t="s">
        <v>66</v>
      </c>
      <c r="L10" s="126" t="s">
        <v>66</v>
      </c>
      <c r="M10" s="126" t="s">
        <v>66</v>
      </c>
      <c r="N10" s="126" t="s">
        <v>66</v>
      </c>
      <c r="O10" s="126" t="s">
        <v>66</v>
      </c>
      <c r="P10" s="126" t="s">
        <v>66</v>
      </c>
      <c r="Q10" s="126" t="s">
        <v>66</v>
      </c>
      <c r="R10" s="126" t="s">
        <v>66</v>
      </c>
      <c r="S10" s="126" t="s">
        <v>66</v>
      </c>
      <c r="T10" s="126" t="s">
        <v>66</v>
      </c>
      <c r="U10" s="126" t="s">
        <v>66</v>
      </c>
      <c r="V10" s="126" t="s">
        <v>66</v>
      </c>
      <c r="W10" s="126" t="s">
        <v>66</v>
      </c>
      <c r="X10" s="126" t="s">
        <v>66</v>
      </c>
      <c r="Y10" s="126" t="s">
        <v>66</v>
      </c>
      <c r="Z10" s="126" t="s">
        <v>66</v>
      </c>
      <c r="AA10" s="126" t="s">
        <v>66</v>
      </c>
      <c r="AB10" s="126" t="s">
        <v>66</v>
      </c>
      <c r="AC10" s="126" t="s">
        <v>66</v>
      </c>
      <c r="AD10" s="126" t="s">
        <v>66</v>
      </c>
      <c r="AE10" s="126" t="s">
        <v>66</v>
      </c>
      <c r="AF10" s="246">
        <v>0</v>
      </c>
      <c r="AG10" s="246">
        <v>1</v>
      </c>
      <c r="AH10" s="246">
        <v>0</v>
      </c>
      <c r="AI10" s="246">
        <v>0</v>
      </c>
      <c r="AJ10" s="25" t="s">
        <v>31</v>
      </c>
      <c r="AL10" s="185" t="str">
        <f t="shared" si="0"/>
        <v xml:space="preserve">    (U1)ALERT_REQ_UNKNOWN</v>
      </c>
      <c r="AR10" s="59" t="str">
        <f t="shared" si="3"/>
        <v xml:space="preserve">    (U4)0x00000004U,                                                           /* 04 UNKNOWN                                         */</v>
      </c>
      <c r="AS10" s="59" t="str">
        <f t="shared" si="4"/>
        <v xml:space="preserve">    (U4)0x0000000FU,                                                           /* 04 UNKNOWN                                         */</v>
      </c>
      <c r="AT10" s="59" t="str">
        <f t="shared" si="1"/>
        <v xml:space="preserve">    (U1)ALERT_REQ_UNKNOWN,                                                     /* 04 UNKNOWN                                         */</v>
      </c>
      <c r="AU10" s="59" t="str">
        <f>IF($AW$7=1,"        &amp;"&amp;$AW$9&amp;"[0],"&amp;REPT(" ",66-LEN($AW$9))&amp;"/* u4p_MASK                                           */","        (const U4 *)vdp_PTR_NA,                                                /* u4p_MASK                                           */")</f>
        <v xml:space="preserve">        (const U4 *)vdp_PTR_NA,                                                /* u4p_MASK                                           */</v>
      </c>
      <c r="AV10" s="45" t="s">
        <v>73</v>
      </c>
      <c r="AW10" s="64" t="str">
        <f ca="1">"ALERT_"&amp;IF(AW6&lt;&gt;AW17,$AW$17&amp;"_"&amp;$AW$6,AW17)&amp;"_NUM_DST"</f>
        <v>ALERT_S_ADBZR_TCHAR_NUM_DST</v>
      </c>
    </row>
    <row r="11" spans="1:49">
      <c r="B11" s="128"/>
      <c r="C11" s="43">
        <f t="shared" si="2"/>
        <v>5</v>
      </c>
      <c r="D11" s="57" t="s">
        <v>66</v>
      </c>
      <c r="E11" s="57" t="s">
        <v>66</v>
      </c>
      <c r="F11" s="126" t="s">
        <v>66</v>
      </c>
      <c r="G11" s="126" t="s">
        <v>66</v>
      </c>
      <c r="H11" s="126" t="s">
        <v>66</v>
      </c>
      <c r="I11" s="126" t="s">
        <v>66</v>
      </c>
      <c r="J11" s="126" t="s">
        <v>66</v>
      </c>
      <c r="K11" s="126" t="s">
        <v>66</v>
      </c>
      <c r="L11" s="126" t="s">
        <v>66</v>
      </c>
      <c r="M11" s="126" t="s">
        <v>66</v>
      </c>
      <c r="N11" s="126" t="s">
        <v>66</v>
      </c>
      <c r="O11" s="126" t="s">
        <v>66</v>
      </c>
      <c r="P11" s="126" t="s">
        <v>66</v>
      </c>
      <c r="Q11" s="126" t="s">
        <v>66</v>
      </c>
      <c r="R11" s="126" t="s">
        <v>66</v>
      </c>
      <c r="S11" s="126" t="s">
        <v>66</v>
      </c>
      <c r="T11" s="126" t="s">
        <v>66</v>
      </c>
      <c r="U11" s="126" t="s">
        <v>66</v>
      </c>
      <c r="V11" s="126" t="s">
        <v>66</v>
      </c>
      <c r="W11" s="126" t="s">
        <v>66</v>
      </c>
      <c r="X11" s="126" t="s">
        <v>66</v>
      </c>
      <c r="Y11" s="126" t="s">
        <v>66</v>
      </c>
      <c r="Z11" s="126" t="s">
        <v>66</v>
      </c>
      <c r="AA11" s="126" t="s">
        <v>66</v>
      </c>
      <c r="AB11" s="126" t="s">
        <v>66</v>
      </c>
      <c r="AC11" s="126" t="s">
        <v>66</v>
      </c>
      <c r="AD11" s="126" t="s">
        <v>66</v>
      </c>
      <c r="AE11" s="126" t="s">
        <v>66</v>
      </c>
      <c r="AF11" s="246">
        <v>0</v>
      </c>
      <c r="AG11" s="246">
        <v>1</v>
      </c>
      <c r="AH11" s="246">
        <v>0</v>
      </c>
      <c r="AI11" s="246">
        <v>1</v>
      </c>
      <c r="AJ11" s="25" t="s">
        <v>31</v>
      </c>
      <c r="AL11" s="185" t="str">
        <f t="shared" si="0"/>
        <v xml:space="preserve">    (U1)ALERT_REQ_UNKNOWN</v>
      </c>
      <c r="AR11" s="59" t="str">
        <f t="shared" si="3"/>
        <v xml:space="preserve">    (U4)0x00000005U,                                                           /* 05 UNKNOWN                                         */</v>
      </c>
      <c r="AS11" s="59" t="str">
        <f t="shared" si="4"/>
        <v xml:space="preserve">    (U4)0x0000000FU,                                                           /* 05 UNKNOWN                                         */</v>
      </c>
      <c r="AT11" s="59" t="str">
        <f t="shared" si="1"/>
        <v xml:space="preserve">    (U1)ALERT_REQ_UNKNOWN,                                                     /* 05 UNKNOWN                                         */</v>
      </c>
      <c r="AU11" s="59" t="str">
        <f>IF($AW$7=1,"        &amp;"&amp;$AW$8&amp;"[0],"&amp;REPT(" ",66-LEN($AW$8))&amp;"/* u4p_CRIT                                           */","        (const U4 *)vdp_PTR_NA,                                                /* u4p_CRIT                                           */")</f>
        <v xml:space="preserve">        (const U4 *)vdp_PTR_NA,                                                /* u4p_CRIT                                           */</v>
      </c>
      <c r="AV11" s="45" t="s">
        <v>74</v>
      </c>
      <c r="AW11" s="64" t="str">
        <f ca="1">"u1_sp_ALERT_"&amp;IF(AW6&lt;&gt;AW17,$AW$17&amp;"_"&amp;$AW$6,AW17)&amp;"_DST"</f>
        <v>u1_sp_ALERT_S_ADBZR_TCHAR_DST</v>
      </c>
    </row>
    <row r="12" spans="1:49">
      <c r="B12" s="128"/>
      <c r="C12" s="43">
        <f t="shared" si="2"/>
        <v>6</v>
      </c>
      <c r="D12" s="57" t="s">
        <v>66</v>
      </c>
      <c r="E12" s="57" t="s">
        <v>66</v>
      </c>
      <c r="F12" s="126" t="s">
        <v>66</v>
      </c>
      <c r="G12" s="126" t="s">
        <v>66</v>
      </c>
      <c r="H12" s="126" t="s">
        <v>66</v>
      </c>
      <c r="I12" s="126" t="s">
        <v>66</v>
      </c>
      <c r="J12" s="126" t="s">
        <v>66</v>
      </c>
      <c r="K12" s="126" t="s">
        <v>66</v>
      </c>
      <c r="L12" s="126" t="s">
        <v>66</v>
      </c>
      <c r="M12" s="126" t="s">
        <v>66</v>
      </c>
      <c r="N12" s="126" t="s">
        <v>66</v>
      </c>
      <c r="O12" s="126" t="s">
        <v>66</v>
      </c>
      <c r="P12" s="126" t="s">
        <v>66</v>
      </c>
      <c r="Q12" s="126" t="s">
        <v>66</v>
      </c>
      <c r="R12" s="126" t="s">
        <v>66</v>
      </c>
      <c r="S12" s="126" t="s">
        <v>66</v>
      </c>
      <c r="T12" s="126" t="s">
        <v>66</v>
      </c>
      <c r="U12" s="126" t="s">
        <v>66</v>
      </c>
      <c r="V12" s="126" t="s">
        <v>66</v>
      </c>
      <c r="W12" s="126" t="s">
        <v>66</v>
      </c>
      <c r="X12" s="126" t="s">
        <v>66</v>
      </c>
      <c r="Y12" s="126" t="s">
        <v>66</v>
      </c>
      <c r="Z12" s="126" t="s">
        <v>66</v>
      </c>
      <c r="AA12" s="126" t="s">
        <v>66</v>
      </c>
      <c r="AB12" s="126" t="s">
        <v>66</v>
      </c>
      <c r="AC12" s="126" t="s">
        <v>66</v>
      </c>
      <c r="AD12" s="126" t="s">
        <v>66</v>
      </c>
      <c r="AE12" s="126" t="s">
        <v>66</v>
      </c>
      <c r="AF12" s="246">
        <v>0</v>
      </c>
      <c r="AG12" s="246">
        <v>1</v>
      </c>
      <c r="AH12" s="246">
        <v>1</v>
      </c>
      <c r="AI12" s="246">
        <v>0</v>
      </c>
      <c r="AJ12" s="25" t="s">
        <v>31</v>
      </c>
      <c r="AL12" s="185" t="str">
        <f t="shared" si="0"/>
        <v xml:space="preserve">    (U1)ALERT_REQ_UNKNOWN</v>
      </c>
      <c r="AR12" s="59" t="str">
        <f t="shared" si="3"/>
        <v xml:space="preserve">    (U4)0x00000006U,                                                           /* 06 UNKNOWN                                         */</v>
      </c>
      <c r="AS12" s="59" t="str">
        <f t="shared" si="4"/>
        <v xml:space="preserve">    (U4)0x0000000FU,                                                           /* 06 UNKNOWN                                         */</v>
      </c>
      <c r="AT12" s="59" t="str">
        <f t="shared" si="1"/>
        <v xml:space="preserve">    (U1)ALERT_REQ_UNKNOWN,                                                     /* 06 UNKNOWN                                         */</v>
      </c>
      <c r="AU12" s="59"/>
      <c r="AV12" s="45" t="s">
        <v>87</v>
      </c>
      <c r="AW12" s="64" t="str">
        <f ca="1">Matrix!D8&amp;"["&amp;Matrix!D7&amp;"]"</f>
        <v>st_gp_ALERT_S_ADBZR_TCHAR_MTRX[1]</v>
      </c>
    </row>
    <row r="13" spans="1:49">
      <c r="B13" s="128"/>
      <c r="C13" s="43">
        <f t="shared" si="2"/>
        <v>7</v>
      </c>
      <c r="D13" s="57" t="s">
        <v>66</v>
      </c>
      <c r="E13" s="57" t="s">
        <v>66</v>
      </c>
      <c r="F13" s="126" t="s">
        <v>66</v>
      </c>
      <c r="G13" s="126" t="s">
        <v>66</v>
      </c>
      <c r="H13" s="126" t="s">
        <v>66</v>
      </c>
      <c r="I13" s="126" t="s">
        <v>66</v>
      </c>
      <c r="J13" s="126" t="s">
        <v>66</v>
      </c>
      <c r="K13" s="126" t="s">
        <v>66</v>
      </c>
      <c r="L13" s="126" t="s">
        <v>66</v>
      </c>
      <c r="M13" s="126" t="s">
        <v>66</v>
      </c>
      <c r="N13" s="126" t="s">
        <v>66</v>
      </c>
      <c r="O13" s="126" t="s">
        <v>66</v>
      </c>
      <c r="P13" s="126" t="s">
        <v>66</v>
      </c>
      <c r="Q13" s="126" t="s">
        <v>66</v>
      </c>
      <c r="R13" s="126" t="s">
        <v>66</v>
      </c>
      <c r="S13" s="126" t="s">
        <v>66</v>
      </c>
      <c r="T13" s="126" t="s">
        <v>66</v>
      </c>
      <c r="U13" s="126" t="s">
        <v>66</v>
      </c>
      <c r="V13" s="126" t="s">
        <v>66</v>
      </c>
      <c r="W13" s="126" t="s">
        <v>66</v>
      </c>
      <c r="X13" s="126" t="s">
        <v>66</v>
      </c>
      <c r="Y13" s="126" t="s">
        <v>66</v>
      </c>
      <c r="Z13" s="126" t="s">
        <v>66</v>
      </c>
      <c r="AA13" s="126" t="s">
        <v>66</v>
      </c>
      <c r="AB13" s="126" t="s">
        <v>66</v>
      </c>
      <c r="AC13" s="126" t="s">
        <v>66</v>
      </c>
      <c r="AD13" s="126" t="s">
        <v>66</v>
      </c>
      <c r="AE13" s="126" t="s">
        <v>66</v>
      </c>
      <c r="AF13" s="246">
        <v>0</v>
      </c>
      <c r="AG13" s="246">
        <v>1</v>
      </c>
      <c r="AH13" s="246">
        <v>1</v>
      </c>
      <c r="AI13" s="246">
        <v>1</v>
      </c>
      <c r="AJ13" s="25" t="s">
        <v>31</v>
      </c>
      <c r="AL13" s="185" t="str">
        <f t="shared" si="0"/>
        <v xml:space="preserve">    (U1)ALERT_REQ_UNKNOWN</v>
      </c>
      <c r="AR13" s="59" t="str">
        <f t="shared" si="3"/>
        <v xml:space="preserve">    (U4)0x00000007U,                                                           /* 07 UNKNOWN                                         */</v>
      </c>
      <c r="AS13" s="59" t="str">
        <f t="shared" si="4"/>
        <v xml:space="preserve">    (U4)0x0000000FU,                                                           /* 07 UNKNOWN                                         */</v>
      </c>
      <c r="AT13" s="59" t="str">
        <f t="shared" si="1"/>
        <v xml:space="preserve">    (U1)ALERT_REQ_UNKNOWN,                                                     /* 07 UNKNOWN                                         */</v>
      </c>
      <c r="AU13" s="59" t="str">
        <f ca="1">"        &amp;"&amp;$AW$11&amp;"[0],"&amp;REPT(" ",66-LEN($AW$11))&amp;"/* u1p_DST                                            */"</f>
        <v xml:space="preserve">        &amp;u1_sp_ALERT_S_ADBZR_TCHAR_DST[0],                                     /* u1p_DST                                            */</v>
      </c>
      <c r="AV13" s="45" t="s">
        <v>75</v>
      </c>
      <c r="AW13" s="127">
        <f>COUNTA($AJ$6:$AJ$69)</f>
        <v>16</v>
      </c>
    </row>
    <row r="14" spans="1:49">
      <c r="B14" s="128"/>
      <c r="C14" s="43">
        <f t="shared" si="2"/>
        <v>8</v>
      </c>
      <c r="D14" s="57" t="s">
        <v>66</v>
      </c>
      <c r="E14" s="57" t="s">
        <v>66</v>
      </c>
      <c r="F14" s="126" t="s">
        <v>66</v>
      </c>
      <c r="G14" s="126" t="s">
        <v>66</v>
      </c>
      <c r="H14" s="126" t="s">
        <v>66</v>
      </c>
      <c r="I14" s="126" t="s">
        <v>66</v>
      </c>
      <c r="J14" s="126" t="s">
        <v>66</v>
      </c>
      <c r="K14" s="126" t="s">
        <v>66</v>
      </c>
      <c r="L14" s="126" t="s">
        <v>66</v>
      </c>
      <c r="M14" s="126" t="s">
        <v>66</v>
      </c>
      <c r="N14" s="126" t="s">
        <v>66</v>
      </c>
      <c r="O14" s="126" t="s">
        <v>66</v>
      </c>
      <c r="P14" s="126" t="s">
        <v>66</v>
      </c>
      <c r="Q14" s="126" t="s">
        <v>66</v>
      </c>
      <c r="R14" s="126" t="s">
        <v>66</v>
      </c>
      <c r="S14" s="126" t="s">
        <v>66</v>
      </c>
      <c r="T14" s="126" t="s">
        <v>66</v>
      </c>
      <c r="U14" s="126" t="s">
        <v>66</v>
      </c>
      <c r="V14" s="126" t="s">
        <v>66</v>
      </c>
      <c r="W14" s="126" t="s">
        <v>66</v>
      </c>
      <c r="X14" s="126" t="s">
        <v>66</v>
      </c>
      <c r="Y14" s="126" t="s">
        <v>66</v>
      </c>
      <c r="Z14" s="126" t="s">
        <v>66</v>
      </c>
      <c r="AA14" s="126" t="s">
        <v>66</v>
      </c>
      <c r="AB14" s="126" t="s">
        <v>66</v>
      </c>
      <c r="AC14" s="126" t="s">
        <v>66</v>
      </c>
      <c r="AD14" s="126" t="s">
        <v>66</v>
      </c>
      <c r="AE14" s="126" t="s">
        <v>66</v>
      </c>
      <c r="AF14" s="246">
        <v>1</v>
      </c>
      <c r="AG14" s="246">
        <v>0</v>
      </c>
      <c r="AH14" s="246">
        <v>0</v>
      </c>
      <c r="AI14" s="246">
        <v>0</v>
      </c>
      <c r="AJ14" s="25" t="s">
        <v>31</v>
      </c>
      <c r="AL14" s="185" t="str">
        <f t="shared" si="0"/>
        <v xml:space="preserve">    (U1)ALERT_REQ_UNKNOWN</v>
      </c>
      <c r="AR14" s="59" t="str">
        <f t="shared" si="3"/>
        <v xml:space="preserve">    (U4)0x00000008U,                                                           /* 08 UNKNOWN                                         */</v>
      </c>
      <c r="AS14" s="59" t="str">
        <f t="shared" si="4"/>
        <v xml:space="preserve">    (U4)0x0000000FU,                                                           /* 08 UNKNOWN                                         */</v>
      </c>
      <c r="AT14" s="59" t="str">
        <f t="shared" si="1"/>
        <v xml:space="preserve">    (U1)ALERT_REQ_UNKNOWN,                                                     /* 08 UNKNOWN                                         */</v>
      </c>
      <c r="AU14" s="59" t="str">
        <f ca="1">"        (U2)"&amp;$AW$10&amp;","&amp;REPT(" ",66-LEN($AW$10))&amp;"/* u2_num_srch                                        */"</f>
        <v xml:space="preserve">        (U2)ALERT_S_ADBZR_TCHAR_NUM_DST,                                       /* u2_num_srch                                        */</v>
      </c>
      <c r="AV14" s="45" t="s">
        <v>76</v>
      </c>
      <c r="AW14" s="64" t="str">
        <f ca="1">IF(AW6&lt;&gt;AW17,VLOOKUP(AW6,Matrix!$C$13:$G$37,4,FALSE),Matrix!F13)</f>
        <v>u4_s_AlertS_adbzr_tcharSrcchk</v>
      </c>
    </row>
    <row r="15" spans="1:49">
      <c r="B15" s="128"/>
      <c r="C15" s="43">
        <f t="shared" si="2"/>
        <v>9</v>
      </c>
      <c r="D15" s="57" t="s">
        <v>66</v>
      </c>
      <c r="E15" s="57" t="s">
        <v>66</v>
      </c>
      <c r="F15" s="126" t="s">
        <v>66</v>
      </c>
      <c r="G15" s="126" t="s">
        <v>66</v>
      </c>
      <c r="H15" s="126" t="s">
        <v>66</v>
      </c>
      <c r="I15" s="126" t="s">
        <v>66</v>
      </c>
      <c r="J15" s="126" t="s">
        <v>66</v>
      </c>
      <c r="K15" s="126" t="s">
        <v>66</v>
      </c>
      <c r="L15" s="126" t="s">
        <v>66</v>
      </c>
      <c r="M15" s="126" t="s">
        <v>66</v>
      </c>
      <c r="N15" s="126" t="s">
        <v>66</v>
      </c>
      <c r="O15" s="126" t="s">
        <v>66</v>
      </c>
      <c r="P15" s="126" t="s">
        <v>66</v>
      </c>
      <c r="Q15" s="126" t="s">
        <v>66</v>
      </c>
      <c r="R15" s="126" t="s">
        <v>66</v>
      </c>
      <c r="S15" s="126" t="s">
        <v>66</v>
      </c>
      <c r="T15" s="126" t="s">
        <v>66</v>
      </c>
      <c r="U15" s="126" t="s">
        <v>66</v>
      </c>
      <c r="V15" s="126" t="s">
        <v>66</v>
      </c>
      <c r="W15" s="126" t="s">
        <v>66</v>
      </c>
      <c r="X15" s="126" t="s">
        <v>66</v>
      </c>
      <c r="Y15" s="126" t="s">
        <v>66</v>
      </c>
      <c r="Z15" s="126" t="s">
        <v>66</v>
      </c>
      <c r="AA15" s="126" t="s">
        <v>66</v>
      </c>
      <c r="AB15" s="126" t="s">
        <v>66</v>
      </c>
      <c r="AC15" s="126" t="s">
        <v>66</v>
      </c>
      <c r="AD15" s="126" t="s">
        <v>66</v>
      </c>
      <c r="AE15" s="126" t="s">
        <v>66</v>
      </c>
      <c r="AF15" s="246">
        <v>1</v>
      </c>
      <c r="AG15" s="246">
        <v>0</v>
      </c>
      <c r="AH15" s="246">
        <v>0</v>
      </c>
      <c r="AI15" s="246">
        <v>1</v>
      </c>
      <c r="AJ15" s="25" t="s">
        <v>31</v>
      </c>
      <c r="AL15" s="185" t="str">
        <f t="shared" si="0"/>
        <v xml:space="preserve">    (U1)ALERT_REQ_UNKNOWN</v>
      </c>
      <c r="AR15" s="59" t="str">
        <f t="shared" si="3"/>
        <v xml:space="preserve">    (U4)0x00000009U,                                                           /* 09 UNKNOWN                                         */</v>
      </c>
      <c r="AS15" s="59" t="str">
        <f t="shared" si="4"/>
        <v xml:space="preserve">    (U4)0x0000000FU,                                                           /* 09 UNKNOWN                                         */</v>
      </c>
      <c r="AT15" s="59" t="str">
        <f t="shared" si="1"/>
        <v xml:space="preserve">    (U1)ALERT_REQ_UNKNOWN,                                                     /* 09 UNKNOWN                                         */</v>
      </c>
      <c r="AU15" s="59" t="str">
        <f ca="1">"        (U1)"&amp;$AW$16&amp;REPT(" ",67-LEN($AW$16))&amp;"/* u1_vom_act                                         */"</f>
        <v xml:space="preserve">        (U1)ALERT_VOM_IGN_ON                                                   /* u1_vom_act                                         */</v>
      </c>
      <c r="AV15" s="45" t="s">
        <v>79</v>
      </c>
      <c r="AW15" s="64" t="str">
        <f ca="1">IF(AW6&lt;&gt;AW17,VLOOKUP(AW6,Matrix!$C$13:$G$37,5,FALSE),Matrix!G13)</f>
        <v>NULL</v>
      </c>
    </row>
    <row r="16" spans="1:49">
      <c r="B16" s="128"/>
      <c r="C16" s="43">
        <f t="shared" si="2"/>
        <v>10</v>
      </c>
      <c r="D16" s="57" t="s">
        <v>66</v>
      </c>
      <c r="E16" s="57" t="s">
        <v>66</v>
      </c>
      <c r="F16" s="126" t="s">
        <v>66</v>
      </c>
      <c r="G16" s="126" t="s">
        <v>66</v>
      </c>
      <c r="H16" s="126" t="s">
        <v>66</v>
      </c>
      <c r="I16" s="126" t="s">
        <v>66</v>
      </c>
      <c r="J16" s="126" t="s">
        <v>66</v>
      </c>
      <c r="K16" s="126" t="s">
        <v>66</v>
      </c>
      <c r="L16" s="126" t="s">
        <v>66</v>
      </c>
      <c r="M16" s="126" t="s">
        <v>66</v>
      </c>
      <c r="N16" s="126" t="s">
        <v>66</v>
      </c>
      <c r="O16" s="126" t="s">
        <v>66</v>
      </c>
      <c r="P16" s="126" t="s">
        <v>66</v>
      </c>
      <c r="Q16" s="126" t="s">
        <v>66</v>
      </c>
      <c r="R16" s="126" t="s">
        <v>66</v>
      </c>
      <c r="S16" s="126" t="s">
        <v>66</v>
      </c>
      <c r="T16" s="126" t="s">
        <v>66</v>
      </c>
      <c r="U16" s="126" t="s">
        <v>66</v>
      </c>
      <c r="V16" s="126" t="s">
        <v>66</v>
      </c>
      <c r="W16" s="126" t="s">
        <v>66</v>
      </c>
      <c r="X16" s="126" t="s">
        <v>66</v>
      </c>
      <c r="Y16" s="126" t="s">
        <v>66</v>
      </c>
      <c r="Z16" s="126" t="s">
        <v>66</v>
      </c>
      <c r="AA16" s="126" t="s">
        <v>66</v>
      </c>
      <c r="AB16" s="126" t="s">
        <v>66</v>
      </c>
      <c r="AC16" s="126" t="s">
        <v>66</v>
      </c>
      <c r="AD16" s="126" t="s">
        <v>66</v>
      </c>
      <c r="AE16" s="126" t="s">
        <v>66</v>
      </c>
      <c r="AF16" s="246">
        <v>1</v>
      </c>
      <c r="AG16" s="246">
        <v>0</v>
      </c>
      <c r="AH16" s="246">
        <v>1</v>
      </c>
      <c r="AI16" s="246">
        <v>0</v>
      </c>
      <c r="AJ16" s="25" t="s">
        <v>31</v>
      </c>
      <c r="AL16" s="185" t="str">
        <f t="shared" si="0"/>
        <v xml:space="preserve">    (U1)ALERT_REQ_UNKNOWN</v>
      </c>
      <c r="AR16" s="59" t="str">
        <f t="shared" si="3"/>
        <v xml:space="preserve">    (U4)0x0000000AU,                                                           /* 10 UNKNOWN                                         */</v>
      </c>
      <c r="AS16" s="59" t="str">
        <f t="shared" si="4"/>
        <v xml:space="preserve">    (U4)0x0000000FU,                                                           /* 10 UNKNOWN                                         */</v>
      </c>
      <c r="AT16" s="59" t="str">
        <f t="shared" si="1"/>
        <v xml:space="preserve">    (U1)ALERT_REQ_UNKNOWN,                                                     /* 10 UNKNOWN                                         */</v>
      </c>
      <c r="AU16" s="59" t="s">
        <v>68</v>
      </c>
      <c r="AV16" s="45" t="s">
        <v>77</v>
      </c>
      <c r="AW16" s="64" t="str">
        <f ca="1">IF(AW6&lt;&gt;AW17,VLOOKUP(AW6,Matrix!$C$13:$G$37,2,FALSE),Matrix!D13)</f>
        <v>ALERT_VOM_IGN_ON</v>
      </c>
    </row>
    <row r="17" spans="2:49" ht="13.8" thickBot="1">
      <c r="B17" s="128"/>
      <c r="C17" s="43">
        <f t="shared" si="2"/>
        <v>11</v>
      </c>
      <c r="D17" s="57" t="s">
        <v>66</v>
      </c>
      <c r="E17" s="57" t="s">
        <v>66</v>
      </c>
      <c r="F17" s="126" t="s">
        <v>66</v>
      </c>
      <c r="G17" s="126" t="s">
        <v>66</v>
      </c>
      <c r="H17" s="126" t="s">
        <v>66</v>
      </c>
      <c r="I17" s="126" t="s">
        <v>66</v>
      </c>
      <c r="J17" s="126" t="s">
        <v>66</v>
      </c>
      <c r="K17" s="126" t="s">
        <v>66</v>
      </c>
      <c r="L17" s="126" t="s">
        <v>66</v>
      </c>
      <c r="M17" s="126" t="s">
        <v>66</v>
      </c>
      <c r="N17" s="126" t="s">
        <v>66</v>
      </c>
      <c r="O17" s="126" t="s">
        <v>66</v>
      </c>
      <c r="P17" s="126" t="s">
        <v>66</v>
      </c>
      <c r="Q17" s="126" t="s">
        <v>66</v>
      </c>
      <c r="R17" s="126" t="s">
        <v>66</v>
      </c>
      <c r="S17" s="126" t="s">
        <v>66</v>
      </c>
      <c r="T17" s="126" t="s">
        <v>66</v>
      </c>
      <c r="U17" s="126" t="s">
        <v>66</v>
      </c>
      <c r="V17" s="126" t="s">
        <v>66</v>
      </c>
      <c r="W17" s="126" t="s">
        <v>66</v>
      </c>
      <c r="X17" s="126" t="s">
        <v>66</v>
      </c>
      <c r="Y17" s="126" t="s">
        <v>66</v>
      </c>
      <c r="Z17" s="126" t="s">
        <v>66</v>
      </c>
      <c r="AA17" s="126" t="s">
        <v>66</v>
      </c>
      <c r="AB17" s="126" t="s">
        <v>66</v>
      </c>
      <c r="AC17" s="126" t="s">
        <v>66</v>
      </c>
      <c r="AD17" s="126" t="s">
        <v>66</v>
      </c>
      <c r="AE17" s="126" t="s">
        <v>66</v>
      </c>
      <c r="AF17" s="246">
        <v>1</v>
      </c>
      <c r="AG17" s="246">
        <v>0</v>
      </c>
      <c r="AH17" s="246">
        <v>1</v>
      </c>
      <c r="AI17" s="246">
        <v>1</v>
      </c>
      <c r="AJ17" s="25" t="s">
        <v>31</v>
      </c>
      <c r="AL17" s="185" t="str">
        <f t="shared" si="0"/>
        <v xml:space="preserve">    (U1)ALERT_REQ_UNKNOWN</v>
      </c>
      <c r="AR17" s="59" t="str">
        <f t="shared" si="3"/>
        <v xml:space="preserve">    (U4)0x0000000BU,                                                           /* 11 UNKNOWN                                         */</v>
      </c>
      <c r="AS17" s="59" t="str">
        <f t="shared" si="4"/>
        <v xml:space="preserve">    (U4)0x0000000FU,                                                           /* 11 UNKNOWN                                         */</v>
      </c>
      <c r="AT17" s="59" t="str">
        <f t="shared" si="1"/>
        <v xml:space="preserve">    (U1)ALERT_REQ_UNKNOWN,                                                     /* 11 UNKNOWN                                         */</v>
      </c>
      <c r="AU17" s="60" t="s">
        <v>80</v>
      </c>
      <c r="AV17" s="46" t="s">
        <v>78</v>
      </c>
      <c r="AW17" s="65" t="str">
        <f ca="1">UPPER(Matrix!$D$6)</f>
        <v>S_ADBZR_TCHAR</v>
      </c>
    </row>
    <row r="18" spans="2:49">
      <c r="B18" s="128"/>
      <c r="C18" s="43">
        <f t="shared" si="2"/>
        <v>12</v>
      </c>
      <c r="D18" s="57" t="s">
        <v>66</v>
      </c>
      <c r="E18" s="57" t="s">
        <v>66</v>
      </c>
      <c r="F18" s="126" t="s">
        <v>66</v>
      </c>
      <c r="G18" s="126" t="s">
        <v>66</v>
      </c>
      <c r="H18" s="126" t="s">
        <v>66</v>
      </c>
      <c r="I18" s="126" t="s">
        <v>66</v>
      </c>
      <c r="J18" s="126" t="s">
        <v>66</v>
      </c>
      <c r="K18" s="126" t="s">
        <v>66</v>
      </c>
      <c r="L18" s="126" t="s">
        <v>66</v>
      </c>
      <c r="M18" s="126" t="s">
        <v>66</v>
      </c>
      <c r="N18" s="126" t="s">
        <v>66</v>
      </c>
      <c r="O18" s="126" t="s">
        <v>66</v>
      </c>
      <c r="P18" s="126" t="s">
        <v>66</v>
      </c>
      <c r="Q18" s="126" t="s">
        <v>66</v>
      </c>
      <c r="R18" s="126" t="s">
        <v>66</v>
      </c>
      <c r="S18" s="126" t="s">
        <v>66</v>
      </c>
      <c r="T18" s="126" t="s">
        <v>66</v>
      </c>
      <c r="U18" s="126" t="s">
        <v>66</v>
      </c>
      <c r="V18" s="126" t="s">
        <v>66</v>
      </c>
      <c r="W18" s="126" t="s">
        <v>66</v>
      </c>
      <c r="X18" s="126" t="s">
        <v>66</v>
      </c>
      <c r="Y18" s="126" t="s">
        <v>66</v>
      </c>
      <c r="Z18" s="126" t="s">
        <v>66</v>
      </c>
      <c r="AA18" s="126" t="s">
        <v>66</v>
      </c>
      <c r="AB18" s="126" t="s">
        <v>66</v>
      </c>
      <c r="AC18" s="126" t="s">
        <v>66</v>
      </c>
      <c r="AD18" s="126" t="s">
        <v>66</v>
      </c>
      <c r="AE18" s="126" t="s">
        <v>66</v>
      </c>
      <c r="AF18" s="246">
        <v>1</v>
      </c>
      <c r="AG18" s="246">
        <v>1</v>
      </c>
      <c r="AH18" s="246">
        <v>0</v>
      </c>
      <c r="AI18" s="246">
        <v>0</v>
      </c>
      <c r="AJ18" s="25" t="s">
        <v>31</v>
      </c>
      <c r="AL18" s="185" t="str">
        <f t="shared" si="0"/>
        <v xml:space="preserve">    (U1)ALERT_REQ_UNKNOWN</v>
      </c>
      <c r="AR18" s="59" t="str">
        <f t="shared" si="3"/>
        <v xml:space="preserve">    (U4)0x0000000CU,                                                           /* 12 UNKNOWN                                         */</v>
      </c>
      <c r="AS18" s="59" t="str">
        <f t="shared" si="4"/>
        <v xml:space="preserve">    (U4)0x0000000FU,                                                           /* 12 UNKNOWN                                         */</v>
      </c>
      <c r="AT18" s="59" t="str">
        <f t="shared" si="1"/>
        <v xml:space="preserve">    (U1)ALERT_REQ_UNKNOWN,                                                     /* 12 UNKNOWN                                         */</v>
      </c>
    </row>
    <row r="19" spans="2:49">
      <c r="B19" s="128"/>
      <c r="C19" s="43">
        <f t="shared" si="2"/>
        <v>13</v>
      </c>
      <c r="D19" s="57" t="s">
        <v>66</v>
      </c>
      <c r="E19" s="57" t="s">
        <v>66</v>
      </c>
      <c r="F19" s="126" t="s">
        <v>66</v>
      </c>
      <c r="G19" s="126" t="s">
        <v>66</v>
      </c>
      <c r="H19" s="126" t="s">
        <v>66</v>
      </c>
      <c r="I19" s="126" t="s">
        <v>66</v>
      </c>
      <c r="J19" s="126" t="s">
        <v>66</v>
      </c>
      <c r="K19" s="126" t="s">
        <v>66</v>
      </c>
      <c r="L19" s="126" t="s">
        <v>66</v>
      </c>
      <c r="M19" s="126" t="s">
        <v>66</v>
      </c>
      <c r="N19" s="126" t="s">
        <v>66</v>
      </c>
      <c r="O19" s="126" t="s">
        <v>66</v>
      </c>
      <c r="P19" s="126" t="s">
        <v>66</v>
      </c>
      <c r="Q19" s="126" t="s">
        <v>66</v>
      </c>
      <c r="R19" s="126" t="s">
        <v>66</v>
      </c>
      <c r="S19" s="126" t="s">
        <v>66</v>
      </c>
      <c r="T19" s="126" t="s">
        <v>66</v>
      </c>
      <c r="U19" s="126" t="s">
        <v>66</v>
      </c>
      <c r="V19" s="126" t="s">
        <v>66</v>
      </c>
      <c r="W19" s="126" t="s">
        <v>66</v>
      </c>
      <c r="X19" s="126" t="s">
        <v>66</v>
      </c>
      <c r="Y19" s="126" t="s">
        <v>66</v>
      </c>
      <c r="Z19" s="126" t="s">
        <v>66</v>
      </c>
      <c r="AA19" s="126" t="s">
        <v>66</v>
      </c>
      <c r="AB19" s="126" t="s">
        <v>66</v>
      </c>
      <c r="AC19" s="126" t="s">
        <v>66</v>
      </c>
      <c r="AD19" s="126" t="s">
        <v>66</v>
      </c>
      <c r="AE19" s="126" t="s">
        <v>66</v>
      </c>
      <c r="AF19" s="246">
        <v>1</v>
      </c>
      <c r="AG19" s="246">
        <v>1</v>
      </c>
      <c r="AH19" s="246">
        <v>0</v>
      </c>
      <c r="AI19" s="246">
        <v>1</v>
      </c>
      <c r="AJ19" s="25" t="s">
        <v>31</v>
      </c>
      <c r="AL19" s="185" t="str">
        <f t="shared" si="0"/>
        <v xml:space="preserve">    (U1)ALERT_REQ_UNKNOWN</v>
      </c>
      <c r="AR19" s="59" t="str">
        <f t="shared" si="3"/>
        <v xml:space="preserve">    (U4)0x0000000DU,                                                           /* 13 UNKNOWN                                         */</v>
      </c>
      <c r="AS19" s="59" t="str">
        <f t="shared" si="4"/>
        <v xml:space="preserve">    (U4)0x0000000FU,                                                           /* 13 UNKNOWN                                         */</v>
      </c>
      <c r="AT19" s="59" t="str">
        <f t="shared" si="1"/>
        <v xml:space="preserve">    (U1)ALERT_REQ_UNKNOWN,                                                     /* 13 UNKNOWN                                         */</v>
      </c>
    </row>
    <row r="20" spans="2:49">
      <c r="B20" s="128"/>
      <c r="C20" s="43">
        <f t="shared" si="2"/>
        <v>14</v>
      </c>
      <c r="D20" s="57" t="s">
        <v>66</v>
      </c>
      <c r="E20" s="57" t="s">
        <v>66</v>
      </c>
      <c r="F20" s="126" t="s">
        <v>66</v>
      </c>
      <c r="G20" s="126" t="s">
        <v>66</v>
      </c>
      <c r="H20" s="126" t="s">
        <v>66</v>
      </c>
      <c r="I20" s="126" t="s">
        <v>66</v>
      </c>
      <c r="J20" s="126" t="s">
        <v>66</v>
      </c>
      <c r="K20" s="126" t="s">
        <v>66</v>
      </c>
      <c r="L20" s="126" t="s">
        <v>66</v>
      </c>
      <c r="M20" s="126" t="s">
        <v>66</v>
      </c>
      <c r="N20" s="126" t="s">
        <v>66</v>
      </c>
      <c r="O20" s="126" t="s">
        <v>66</v>
      </c>
      <c r="P20" s="126" t="s">
        <v>66</v>
      </c>
      <c r="Q20" s="126" t="s">
        <v>66</v>
      </c>
      <c r="R20" s="126" t="s">
        <v>66</v>
      </c>
      <c r="S20" s="126" t="s">
        <v>66</v>
      </c>
      <c r="T20" s="126" t="s">
        <v>66</v>
      </c>
      <c r="U20" s="126" t="s">
        <v>66</v>
      </c>
      <c r="V20" s="126" t="s">
        <v>66</v>
      </c>
      <c r="W20" s="126" t="s">
        <v>66</v>
      </c>
      <c r="X20" s="126" t="s">
        <v>66</v>
      </c>
      <c r="Y20" s="126" t="s">
        <v>66</v>
      </c>
      <c r="Z20" s="126" t="s">
        <v>66</v>
      </c>
      <c r="AA20" s="126" t="s">
        <v>66</v>
      </c>
      <c r="AB20" s="126" t="s">
        <v>66</v>
      </c>
      <c r="AC20" s="126" t="s">
        <v>66</v>
      </c>
      <c r="AD20" s="126" t="s">
        <v>66</v>
      </c>
      <c r="AE20" s="126" t="s">
        <v>66</v>
      </c>
      <c r="AF20" s="246">
        <v>1</v>
      </c>
      <c r="AG20" s="246">
        <v>1</v>
      </c>
      <c r="AH20" s="246">
        <v>1</v>
      </c>
      <c r="AI20" s="246">
        <v>0</v>
      </c>
      <c r="AJ20" s="25" t="s">
        <v>31</v>
      </c>
      <c r="AL20" s="185" t="str">
        <f t="shared" si="0"/>
        <v xml:space="preserve">    (U1)ALERT_REQ_UNKNOWN</v>
      </c>
      <c r="AR20" s="59" t="str">
        <f t="shared" si="3"/>
        <v xml:space="preserve">    (U4)0x0000000EU,                                                           /* 14 UNKNOWN                                         */</v>
      </c>
      <c r="AS20" s="59" t="str">
        <f t="shared" si="4"/>
        <v xml:space="preserve">    (U4)0x0000000FU,                                                           /* 14 UNKNOWN                                         */</v>
      </c>
      <c r="AT20" s="59" t="str">
        <f t="shared" si="1"/>
        <v xml:space="preserve">    (U1)ALERT_REQ_UNKNOWN,                                                     /* 14 UNKNOWN                                         */</v>
      </c>
    </row>
    <row r="21" spans="2:49">
      <c r="B21" s="128"/>
      <c r="C21" s="43">
        <f t="shared" si="2"/>
        <v>15</v>
      </c>
      <c r="D21" s="57" t="s">
        <v>66</v>
      </c>
      <c r="E21" s="57" t="s">
        <v>66</v>
      </c>
      <c r="F21" s="126" t="s">
        <v>66</v>
      </c>
      <c r="G21" s="126" t="s">
        <v>66</v>
      </c>
      <c r="H21" s="126" t="s">
        <v>66</v>
      </c>
      <c r="I21" s="126" t="s">
        <v>66</v>
      </c>
      <c r="J21" s="126" t="s">
        <v>66</v>
      </c>
      <c r="K21" s="126" t="s">
        <v>66</v>
      </c>
      <c r="L21" s="126" t="s">
        <v>66</v>
      </c>
      <c r="M21" s="126" t="s">
        <v>66</v>
      </c>
      <c r="N21" s="126" t="s">
        <v>66</v>
      </c>
      <c r="O21" s="126" t="s">
        <v>66</v>
      </c>
      <c r="P21" s="126" t="s">
        <v>66</v>
      </c>
      <c r="Q21" s="126" t="s">
        <v>66</v>
      </c>
      <c r="R21" s="126" t="s">
        <v>66</v>
      </c>
      <c r="S21" s="126" t="s">
        <v>66</v>
      </c>
      <c r="T21" s="126" t="s">
        <v>66</v>
      </c>
      <c r="U21" s="126" t="s">
        <v>66</v>
      </c>
      <c r="V21" s="126" t="s">
        <v>66</v>
      </c>
      <c r="W21" s="126" t="s">
        <v>66</v>
      </c>
      <c r="X21" s="126" t="s">
        <v>66</v>
      </c>
      <c r="Y21" s="126" t="s">
        <v>66</v>
      </c>
      <c r="Z21" s="126" t="s">
        <v>66</v>
      </c>
      <c r="AA21" s="126" t="s">
        <v>66</v>
      </c>
      <c r="AB21" s="126" t="s">
        <v>66</v>
      </c>
      <c r="AC21" s="126" t="s">
        <v>66</v>
      </c>
      <c r="AD21" s="126" t="s">
        <v>66</v>
      </c>
      <c r="AE21" s="126" t="s">
        <v>66</v>
      </c>
      <c r="AF21" s="246">
        <v>1</v>
      </c>
      <c r="AG21" s="246">
        <v>1</v>
      </c>
      <c r="AH21" s="246">
        <v>1</v>
      </c>
      <c r="AI21" s="246">
        <v>1</v>
      </c>
      <c r="AJ21" s="25" t="s">
        <v>31</v>
      </c>
      <c r="AL21" s="185" t="str">
        <f t="shared" si="0"/>
        <v xml:space="preserve">    (U1)ALERT_REQ_UNKNOWN</v>
      </c>
      <c r="AR21" s="59" t="str">
        <f t="shared" si="3"/>
        <v xml:space="preserve">    (U4)0x0000000FU                                                            /* 15 UNKNOWN                                         */</v>
      </c>
      <c r="AS21" s="59" t="str">
        <f t="shared" si="4"/>
        <v xml:space="preserve">    (U4)0x0000000FU                                                            /* 15 UNKNOWN                                         */</v>
      </c>
      <c r="AT21" s="59" t="str">
        <f t="shared" si="1"/>
        <v xml:space="preserve">    (U1)ALERT_REQ_UNKNOWN                                                      /* 15 UNKNOWN                                         */</v>
      </c>
    </row>
    <row r="22" spans="2:49">
      <c r="B22" s="128"/>
      <c r="C22" s="43">
        <f t="shared" si="2"/>
        <v>16</v>
      </c>
      <c r="D22" s="57" t="s">
        <v>66</v>
      </c>
      <c r="E22" s="57" t="s">
        <v>66</v>
      </c>
      <c r="F22" s="126" t="s">
        <v>66</v>
      </c>
      <c r="G22" s="126" t="s">
        <v>66</v>
      </c>
      <c r="H22" s="126" t="s">
        <v>66</v>
      </c>
      <c r="I22" s="126" t="s">
        <v>66</v>
      </c>
      <c r="J22" s="126" t="s">
        <v>66</v>
      </c>
      <c r="K22" s="126" t="s">
        <v>66</v>
      </c>
      <c r="L22" s="126" t="s">
        <v>66</v>
      </c>
      <c r="M22" s="126" t="s">
        <v>66</v>
      </c>
      <c r="N22" s="126" t="s">
        <v>66</v>
      </c>
      <c r="O22" s="126" t="s">
        <v>66</v>
      </c>
      <c r="P22" s="126" t="s">
        <v>66</v>
      </c>
      <c r="Q22" s="126" t="s">
        <v>66</v>
      </c>
      <c r="R22" s="126" t="s">
        <v>66</v>
      </c>
      <c r="S22" s="126" t="s">
        <v>66</v>
      </c>
      <c r="T22" s="126" t="s">
        <v>66</v>
      </c>
      <c r="U22" s="126" t="s">
        <v>66</v>
      </c>
      <c r="V22" s="126" t="s">
        <v>66</v>
      </c>
      <c r="W22" s="126" t="s">
        <v>66</v>
      </c>
      <c r="X22" s="126" t="s">
        <v>66</v>
      </c>
      <c r="Y22" s="126" t="s">
        <v>66</v>
      </c>
      <c r="Z22" s="126" t="s">
        <v>66</v>
      </c>
      <c r="AA22" s="126" t="s">
        <v>66</v>
      </c>
      <c r="AB22" s="126" t="s">
        <v>66</v>
      </c>
      <c r="AC22" s="126" t="s">
        <v>66</v>
      </c>
      <c r="AD22" s="126" t="s">
        <v>66</v>
      </c>
      <c r="AE22" s="126" t="s">
        <v>66</v>
      </c>
      <c r="AF22" s="126" t="s">
        <v>66</v>
      </c>
      <c r="AG22" s="126" t="s">
        <v>66</v>
      </c>
      <c r="AH22" s="126" t="s">
        <v>66</v>
      </c>
      <c r="AI22" s="126" t="s">
        <v>66</v>
      </c>
      <c r="AJ22" s="101"/>
      <c r="AL22" s="185" t="str">
        <f t="shared" ca="1" si="0"/>
        <v xml:space="preserve">    (U1)ALERT_REQ_S_ADBZR_TCHAR_</v>
      </c>
      <c r="AR22" s="59" t="str">
        <f t="shared" si="3"/>
        <v>};</v>
      </c>
      <c r="AS22" s="59" t="str">
        <f t="shared" si="4"/>
        <v>};</v>
      </c>
      <c r="AT22" s="59" t="str">
        <f t="shared" si="1"/>
        <v>};</v>
      </c>
    </row>
    <row r="23" spans="2:49">
      <c r="B23" s="128"/>
      <c r="C23" s="43">
        <f t="shared" si="2"/>
        <v>17</v>
      </c>
      <c r="D23" s="57" t="s">
        <v>66</v>
      </c>
      <c r="E23" s="57" t="s">
        <v>66</v>
      </c>
      <c r="F23" s="126" t="s">
        <v>66</v>
      </c>
      <c r="G23" s="126" t="s">
        <v>66</v>
      </c>
      <c r="H23" s="126" t="s">
        <v>66</v>
      </c>
      <c r="I23" s="126" t="s">
        <v>66</v>
      </c>
      <c r="J23" s="126" t="s">
        <v>66</v>
      </c>
      <c r="K23" s="126" t="s">
        <v>66</v>
      </c>
      <c r="L23" s="126" t="s">
        <v>66</v>
      </c>
      <c r="M23" s="126" t="s">
        <v>66</v>
      </c>
      <c r="N23" s="126" t="s">
        <v>66</v>
      </c>
      <c r="O23" s="126" t="s">
        <v>66</v>
      </c>
      <c r="P23" s="126" t="s">
        <v>66</v>
      </c>
      <c r="Q23" s="126" t="s">
        <v>66</v>
      </c>
      <c r="R23" s="126" t="s">
        <v>66</v>
      </c>
      <c r="S23" s="126" t="s">
        <v>66</v>
      </c>
      <c r="T23" s="126" t="s">
        <v>66</v>
      </c>
      <c r="U23" s="126" t="s">
        <v>66</v>
      </c>
      <c r="V23" s="126" t="s">
        <v>66</v>
      </c>
      <c r="W23" s="126" t="s">
        <v>66</v>
      </c>
      <c r="X23" s="126" t="s">
        <v>66</v>
      </c>
      <c r="Y23" s="126" t="s">
        <v>66</v>
      </c>
      <c r="Z23" s="126" t="s">
        <v>66</v>
      </c>
      <c r="AA23" s="126" t="s">
        <v>66</v>
      </c>
      <c r="AB23" s="126" t="s">
        <v>66</v>
      </c>
      <c r="AC23" s="126" t="s">
        <v>66</v>
      </c>
      <c r="AD23" s="126" t="s">
        <v>66</v>
      </c>
      <c r="AE23" s="126" t="s">
        <v>66</v>
      </c>
      <c r="AF23" s="126" t="s">
        <v>66</v>
      </c>
      <c r="AG23" s="126" t="s">
        <v>66</v>
      </c>
      <c r="AH23" s="126" t="s">
        <v>66</v>
      </c>
      <c r="AI23" s="126" t="s">
        <v>66</v>
      </c>
      <c r="AJ23" s="101"/>
      <c r="AL23" s="185" t="str">
        <f t="shared" ca="1" si="0"/>
        <v xml:space="preserve">    (U1)ALERT_REQ_S_ADBZR_TCHAR_</v>
      </c>
      <c r="AR23" s="59" t="str">
        <f t="shared" si="3"/>
        <v/>
      </c>
      <c r="AS23" s="59" t="str">
        <f t="shared" si="4"/>
        <v/>
      </c>
      <c r="AT23" s="59" t="str">
        <f t="shared" si="1"/>
        <v/>
      </c>
    </row>
    <row r="24" spans="2:49">
      <c r="B24" s="128"/>
      <c r="C24" s="43">
        <f t="shared" si="2"/>
        <v>18</v>
      </c>
      <c r="D24" s="57" t="s">
        <v>66</v>
      </c>
      <c r="E24" s="57" t="s">
        <v>66</v>
      </c>
      <c r="F24" s="126" t="s">
        <v>66</v>
      </c>
      <c r="G24" s="126" t="s">
        <v>66</v>
      </c>
      <c r="H24" s="126" t="s">
        <v>66</v>
      </c>
      <c r="I24" s="126" t="s">
        <v>66</v>
      </c>
      <c r="J24" s="126" t="s">
        <v>66</v>
      </c>
      <c r="K24" s="126" t="s">
        <v>66</v>
      </c>
      <c r="L24" s="126" t="s">
        <v>66</v>
      </c>
      <c r="M24" s="126" t="s">
        <v>66</v>
      </c>
      <c r="N24" s="126" t="s">
        <v>66</v>
      </c>
      <c r="O24" s="126" t="s">
        <v>66</v>
      </c>
      <c r="P24" s="126" t="s">
        <v>66</v>
      </c>
      <c r="Q24" s="126" t="s">
        <v>66</v>
      </c>
      <c r="R24" s="126" t="s">
        <v>66</v>
      </c>
      <c r="S24" s="126" t="s">
        <v>66</v>
      </c>
      <c r="T24" s="126" t="s">
        <v>66</v>
      </c>
      <c r="U24" s="126" t="s">
        <v>66</v>
      </c>
      <c r="V24" s="126" t="s">
        <v>66</v>
      </c>
      <c r="W24" s="126" t="s">
        <v>66</v>
      </c>
      <c r="X24" s="126" t="s">
        <v>66</v>
      </c>
      <c r="Y24" s="126" t="s">
        <v>66</v>
      </c>
      <c r="Z24" s="126" t="s">
        <v>66</v>
      </c>
      <c r="AA24" s="126" t="s">
        <v>66</v>
      </c>
      <c r="AB24" s="126" t="s">
        <v>66</v>
      </c>
      <c r="AC24" s="126" t="s">
        <v>66</v>
      </c>
      <c r="AD24" s="126" t="s">
        <v>66</v>
      </c>
      <c r="AE24" s="126" t="s">
        <v>66</v>
      </c>
      <c r="AF24" s="126" t="s">
        <v>66</v>
      </c>
      <c r="AG24" s="126" t="s">
        <v>66</v>
      </c>
      <c r="AH24" s="126" t="s">
        <v>66</v>
      </c>
      <c r="AI24" s="126" t="s">
        <v>66</v>
      </c>
      <c r="AJ24" s="101"/>
      <c r="AL24" s="185" t="str">
        <f t="shared" ca="1" si="0"/>
        <v xml:space="preserve">    (U1)ALERT_REQ_S_ADBZR_TCHAR_</v>
      </c>
      <c r="AR24" s="59" t="str">
        <f t="shared" si="3"/>
        <v/>
      </c>
      <c r="AS24" s="59" t="str">
        <f t="shared" si="4"/>
        <v/>
      </c>
      <c r="AT24" s="59" t="str">
        <f t="shared" si="1"/>
        <v/>
      </c>
    </row>
    <row r="25" spans="2:49">
      <c r="B25" s="128"/>
      <c r="C25" s="43">
        <f t="shared" si="2"/>
        <v>19</v>
      </c>
      <c r="D25" s="57" t="s">
        <v>66</v>
      </c>
      <c r="E25" s="57" t="s">
        <v>66</v>
      </c>
      <c r="F25" s="126" t="s">
        <v>66</v>
      </c>
      <c r="G25" s="126" t="s">
        <v>66</v>
      </c>
      <c r="H25" s="126" t="s">
        <v>66</v>
      </c>
      <c r="I25" s="126" t="s">
        <v>66</v>
      </c>
      <c r="J25" s="126" t="s">
        <v>66</v>
      </c>
      <c r="K25" s="126" t="s">
        <v>66</v>
      </c>
      <c r="L25" s="126" t="s">
        <v>66</v>
      </c>
      <c r="M25" s="126" t="s">
        <v>66</v>
      </c>
      <c r="N25" s="126" t="s">
        <v>66</v>
      </c>
      <c r="O25" s="126" t="s">
        <v>66</v>
      </c>
      <c r="P25" s="126" t="s">
        <v>66</v>
      </c>
      <c r="Q25" s="126" t="s">
        <v>66</v>
      </c>
      <c r="R25" s="126" t="s">
        <v>66</v>
      </c>
      <c r="S25" s="126" t="s">
        <v>66</v>
      </c>
      <c r="T25" s="126" t="s">
        <v>66</v>
      </c>
      <c r="U25" s="126" t="s">
        <v>66</v>
      </c>
      <c r="V25" s="126" t="s">
        <v>66</v>
      </c>
      <c r="W25" s="126" t="s">
        <v>66</v>
      </c>
      <c r="X25" s="126" t="s">
        <v>66</v>
      </c>
      <c r="Y25" s="126" t="s">
        <v>66</v>
      </c>
      <c r="Z25" s="126" t="s">
        <v>66</v>
      </c>
      <c r="AA25" s="126" t="s">
        <v>66</v>
      </c>
      <c r="AB25" s="126" t="s">
        <v>66</v>
      </c>
      <c r="AC25" s="126" t="s">
        <v>66</v>
      </c>
      <c r="AD25" s="126" t="s">
        <v>66</v>
      </c>
      <c r="AE25" s="126" t="s">
        <v>66</v>
      </c>
      <c r="AF25" s="126" t="s">
        <v>66</v>
      </c>
      <c r="AG25" s="126" t="s">
        <v>66</v>
      </c>
      <c r="AH25" s="126" t="s">
        <v>66</v>
      </c>
      <c r="AI25" s="126" t="s">
        <v>66</v>
      </c>
      <c r="AJ25" s="101"/>
      <c r="AL25" s="185" t="str">
        <f t="shared" ca="1" si="0"/>
        <v xml:space="preserve">    (U1)ALERT_REQ_S_ADBZR_TCHAR_</v>
      </c>
      <c r="AR25" s="59" t="str">
        <f t="shared" si="3"/>
        <v/>
      </c>
      <c r="AS25" s="59" t="str">
        <f t="shared" si="4"/>
        <v/>
      </c>
      <c r="AT25" s="59" t="str">
        <f t="shared" si="1"/>
        <v/>
      </c>
    </row>
    <row r="26" spans="2:49">
      <c r="B26" s="128"/>
      <c r="C26" s="43">
        <f t="shared" si="2"/>
        <v>20</v>
      </c>
      <c r="D26" s="57" t="s">
        <v>66</v>
      </c>
      <c r="E26" s="57" t="s">
        <v>66</v>
      </c>
      <c r="F26" s="126" t="s">
        <v>66</v>
      </c>
      <c r="G26" s="126" t="s">
        <v>66</v>
      </c>
      <c r="H26" s="126" t="s">
        <v>66</v>
      </c>
      <c r="I26" s="126" t="s">
        <v>66</v>
      </c>
      <c r="J26" s="126" t="s">
        <v>66</v>
      </c>
      <c r="K26" s="126" t="s">
        <v>66</v>
      </c>
      <c r="L26" s="126" t="s">
        <v>66</v>
      </c>
      <c r="M26" s="126" t="s">
        <v>66</v>
      </c>
      <c r="N26" s="126" t="s">
        <v>66</v>
      </c>
      <c r="O26" s="126" t="s">
        <v>66</v>
      </c>
      <c r="P26" s="126" t="s">
        <v>66</v>
      </c>
      <c r="Q26" s="126" t="s">
        <v>66</v>
      </c>
      <c r="R26" s="126" t="s">
        <v>66</v>
      </c>
      <c r="S26" s="126" t="s">
        <v>66</v>
      </c>
      <c r="T26" s="126" t="s">
        <v>66</v>
      </c>
      <c r="U26" s="126" t="s">
        <v>66</v>
      </c>
      <c r="V26" s="126" t="s">
        <v>66</v>
      </c>
      <c r="W26" s="126" t="s">
        <v>66</v>
      </c>
      <c r="X26" s="126" t="s">
        <v>66</v>
      </c>
      <c r="Y26" s="126" t="s">
        <v>66</v>
      </c>
      <c r="Z26" s="126" t="s">
        <v>66</v>
      </c>
      <c r="AA26" s="126" t="s">
        <v>66</v>
      </c>
      <c r="AB26" s="126" t="s">
        <v>66</v>
      </c>
      <c r="AC26" s="126" t="s">
        <v>66</v>
      </c>
      <c r="AD26" s="126" t="s">
        <v>66</v>
      </c>
      <c r="AE26" s="126" t="s">
        <v>66</v>
      </c>
      <c r="AF26" s="126" t="s">
        <v>66</v>
      </c>
      <c r="AG26" s="126" t="s">
        <v>66</v>
      </c>
      <c r="AH26" s="126" t="s">
        <v>66</v>
      </c>
      <c r="AI26" s="126" t="s">
        <v>66</v>
      </c>
      <c r="AJ26" s="101"/>
      <c r="AL26" s="185" t="str">
        <f t="shared" ca="1" si="0"/>
        <v xml:space="preserve">    (U1)ALERT_REQ_S_ADBZR_TCHAR_</v>
      </c>
      <c r="AR26" s="59" t="str">
        <f t="shared" si="3"/>
        <v/>
      </c>
      <c r="AS26" s="59" t="str">
        <f t="shared" si="4"/>
        <v/>
      </c>
      <c r="AT26" s="59" t="str">
        <f t="shared" si="1"/>
        <v/>
      </c>
    </row>
    <row r="27" spans="2:49">
      <c r="B27" s="128"/>
      <c r="C27" s="43">
        <f t="shared" si="2"/>
        <v>21</v>
      </c>
      <c r="D27" s="57" t="s">
        <v>66</v>
      </c>
      <c r="E27" s="57" t="s">
        <v>66</v>
      </c>
      <c r="F27" s="126" t="s">
        <v>66</v>
      </c>
      <c r="G27" s="126" t="s">
        <v>66</v>
      </c>
      <c r="H27" s="126" t="s">
        <v>66</v>
      </c>
      <c r="I27" s="126" t="s">
        <v>66</v>
      </c>
      <c r="J27" s="126" t="s">
        <v>66</v>
      </c>
      <c r="K27" s="126" t="s">
        <v>66</v>
      </c>
      <c r="L27" s="126" t="s">
        <v>66</v>
      </c>
      <c r="M27" s="126" t="s">
        <v>66</v>
      </c>
      <c r="N27" s="126" t="s">
        <v>66</v>
      </c>
      <c r="O27" s="126" t="s">
        <v>66</v>
      </c>
      <c r="P27" s="126" t="s">
        <v>66</v>
      </c>
      <c r="Q27" s="126" t="s">
        <v>66</v>
      </c>
      <c r="R27" s="126" t="s">
        <v>66</v>
      </c>
      <c r="S27" s="126" t="s">
        <v>66</v>
      </c>
      <c r="T27" s="126" t="s">
        <v>66</v>
      </c>
      <c r="U27" s="126" t="s">
        <v>66</v>
      </c>
      <c r="V27" s="126" t="s">
        <v>66</v>
      </c>
      <c r="W27" s="126" t="s">
        <v>66</v>
      </c>
      <c r="X27" s="126" t="s">
        <v>66</v>
      </c>
      <c r="Y27" s="126" t="s">
        <v>66</v>
      </c>
      <c r="Z27" s="126" t="s">
        <v>66</v>
      </c>
      <c r="AA27" s="126" t="s">
        <v>66</v>
      </c>
      <c r="AB27" s="126" t="s">
        <v>66</v>
      </c>
      <c r="AC27" s="126" t="s">
        <v>66</v>
      </c>
      <c r="AD27" s="126" t="s">
        <v>66</v>
      </c>
      <c r="AE27" s="126" t="s">
        <v>66</v>
      </c>
      <c r="AF27" s="126" t="s">
        <v>66</v>
      </c>
      <c r="AG27" s="126" t="s">
        <v>66</v>
      </c>
      <c r="AH27" s="126" t="s">
        <v>66</v>
      </c>
      <c r="AI27" s="126" t="s">
        <v>66</v>
      </c>
      <c r="AJ27" s="101"/>
      <c r="AL27" s="185" t="str">
        <f t="shared" ca="1" si="0"/>
        <v xml:space="preserve">    (U1)ALERT_REQ_S_ADBZR_TCHAR_</v>
      </c>
      <c r="AR27" s="59" t="str">
        <f t="shared" si="3"/>
        <v/>
      </c>
      <c r="AS27" s="59" t="str">
        <f t="shared" si="4"/>
        <v/>
      </c>
      <c r="AT27" s="59" t="str">
        <f t="shared" si="1"/>
        <v/>
      </c>
    </row>
    <row r="28" spans="2:49">
      <c r="B28" s="128"/>
      <c r="C28" s="43">
        <f t="shared" si="2"/>
        <v>22</v>
      </c>
      <c r="D28" s="57" t="s">
        <v>66</v>
      </c>
      <c r="E28" s="57" t="s">
        <v>66</v>
      </c>
      <c r="F28" s="126" t="s">
        <v>66</v>
      </c>
      <c r="G28" s="126" t="s">
        <v>66</v>
      </c>
      <c r="H28" s="126" t="s">
        <v>66</v>
      </c>
      <c r="I28" s="126" t="s">
        <v>66</v>
      </c>
      <c r="J28" s="126" t="s">
        <v>66</v>
      </c>
      <c r="K28" s="126" t="s">
        <v>66</v>
      </c>
      <c r="L28" s="126" t="s">
        <v>66</v>
      </c>
      <c r="M28" s="126" t="s">
        <v>66</v>
      </c>
      <c r="N28" s="126" t="s">
        <v>66</v>
      </c>
      <c r="O28" s="126" t="s">
        <v>66</v>
      </c>
      <c r="P28" s="126" t="s">
        <v>66</v>
      </c>
      <c r="Q28" s="126" t="s">
        <v>66</v>
      </c>
      <c r="R28" s="126" t="s">
        <v>66</v>
      </c>
      <c r="S28" s="126" t="s">
        <v>66</v>
      </c>
      <c r="T28" s="126" t="s">
        <v>66</v>
      </c>
      <c r="U28" s="126" t="s">
        <v>66</v>
      </c>
      <c r="V28" s="126" t="s">
        <v>66</v>
      </c>
      <c r="W28" s="126" t="s">
        <v>66</v>
      </c>
      <c r="X28" s="126" t="s">
        <v>66</v>
      </c>
      <c r="Y28" s="126" t="s">
        <v>66</v>
      </c>
      <c r="Z28" s="126" t="s">
        <v>66</v>
      </c>
      <c r="AA28" s="126" t="s">
        <v>66</v>
      </c>
      <c r="AB28" s="126" t="s">
        <v>66</v>
      </c>
      <c r="AC28" s="126" t="s">
        <v>66</v>
      </c>
      <c r="AD28" s="126" t="s">
        <v>66</v>
      </c>
      <c r="AE28" s="126" t="s">
        <v>66</v>
      </c>
      <c r="AF28" s="126" t="s">
        <v>66</v>
      </c>
      <c r="AG28" s="126" t="s">
        <v>66</v>
      </c>
      <c r="AH28" s="126" t="s">
        <v>66</v>
      </c>
      <c r="AI28" s="126" t="s">
        <v>66</v>
      </c>
      <c r="AJ28" s="101"/>
      <c r="AL28" s="185" t="str">
        <f t="shared" ca="1" si="0"/>
        <v xml:space="preserve">    (U1)ALERT_REQ_S_ADBZR_TCHAR_</v>
      </c>
      <c r="AR28" s="59" t="str">
        <f t="shared" si="3"/>
        <v/>
      </c>
      <c r="AS28" s="59" t="str">
        <f t="shared" si="4"/>
        <v/>
      </c>
      <c r="AT28" s="59" t="str">
        <f t="shared" si="1"/>
        <v/>
      </c>
    </row>
    <row r="29" spans="2:49">
      <c r="B29" s="128"/>
      <c r="C29" s="43">
        <f t="shared" si="2"/>
        <v>23</v>
      </c>
      <c r="D29" s="57" t="s">
        <v>66</v>
      </c>
      <c r="E29" s="57" t="s">
        <v>66</v>
      </c>
      <c r="F29" s="126" t="s">
        <v>66</v>
      </c>
      <c r="G29" s="126" t="s">
        <v>66</v>
      </c>
      <c r="H29" s="126" t="s">
        <v>66</v>
      </c>
      <c r="I29" s="126" t="s">
        <v>66</v>
      </c>
      <c r="J29" s="126" t="s">
        <v>66</v>
      </c>
      <c r="K29" s="126" t="s">
        <v>66</v>
      </c>
      <c r="L29" s="126" t="s">
        <v>66</v>
      </c>
      <c r="M29" s="126" t="s">
        <v>66</v>
      </c>
      <c r="N29" s="126" t="s">
        <v>66</v>
      </c>
      <c r="O29" s="126" t="s">
        <v>66</v>
      </c>
      <c r="P29" s="126" t="s">
        <v>66</v>
      </c>
      <c r="Q29" s="126" t="s">
        <v>66</v>
      </c>
      <c r="R29" s="126" t="s">
        <v>66</v>
      </c>
      <c r="S29" s="126" t="s">
        <v>66</v>
      </c>
      <c r="T29" s="126" t="s">
        <v>66</v>
      </c>
      <c r="U29" s="126" t="s">
        <v>66</v>
      </c>
      <c r="V29" s="126" t="s">
        <v>66</v>
      </c>
      <c r="W29" s="126" t="s">
        <v>66</v>
      </c>
      <c r="X29" s="126" t="s">
        <v>66</v>
      </c>
      <c r="Y29" s="126" t="s">
        <v>66</v>
      </c>
      <c r="Z29" s="126" t="s">
        <v>66</v>
      </c>
      <c r="AA29" s="126" t="s">
        <v>66</v>
      </c>
      <c r="AB29" s="126" t="s">
        <v>66</v>
      </c>
      <c r="AC29" s="126" t="s">
        <v>66</v>
      </c>
      <c r="AD29" s="126" t="s">
        <v>66</v>
      </c>
      <c r="AE29" s="126" t="s">
        <v>66</v>
      </c>
      <c r="AF29" s="126" t="s">
        <v>66</v>
      </c>
      <c r="AG29" s="126" t="s">
        <v>66</v>
      </c>
      <c r="AH29" s="126" t="s">
        <v>66</v>
      </c>
      <c r="AI29" s="126" t="s">
        <v>66</v>
      </c>
      <c r="AJ29" s="101"/>
      <c r="AL29" s="185" t="str">
        <f t="shared" ca="1" si="0"/>
        <v xml:space="preserve">    (U1)ALERT_REQ_S_ADBZR_TCHAR_</v>
      </c>
      <c r="AR29" s="59" t="str">
        <f t="shared" si="3"/>
        <v/>
      </c>
      <c r="AS29" s="59" t="str">
        <f t="shared" si="4"/>
        <v/>
      </c>
      <c r="AT29" s="59" t="str">
        <f t="shared" si="1"/>
        <v/>
      </c>
    </row>
    <row r="30" spans="2:49">
      <c r="B30" s="128"/>
      <c r="C30" s="43">
        <f t="shared" si="2"/>
        <v>24</v>
      </c>
      <c r="D30" s="57" t="s">
        <v>66</v>
      </c>
      <c r="E30" s="57" t="s">
        <v>66</v>
      </c>
      <c r="F30" s="126" t="s">
        <v>66</v>
      </c>
      <c r="G30" s="126" t="s">
        <v>66</v>
      </c>
      <c r="H30" s="126" t="s">
        <v>66</v>
      </c>
      <c r="I30" s="126" t="s">
        <v>66</v>
      </c>
      <c r="J30" s="126" t="s">
        <v>66</v>
      </c>
      <c r="K30" s="126" t="s">
        <v>66</v>
      </c>
      <c r="L30" s="126" t="s">
        <v>66</v>
      </c>
      <c r="M30" s="126" t="s">
        <v>66</v>
      </c>
      <c r="N30" s="126" t="s">
        <v>66</v>
      </c>
      <c r="O30" s="126" t="s">
        <v>66</v>
      </c>
      <c r="P30" s="126" t="s">
        <v>66</v>
      </c>
      <c r="Q30" s="126" t="s">
        <v>66</v>
      </c>
      <c r="R30" s="126" t="s">
        <v>66</v>
      </c>
      <c r="S30" s="126" t="s">
        <v>66</v>
      </c>
      <c r="T30" s="126" t="s">
        <v>66</v>
      </c>
      <c r="U30" s="126" t="s">
        <v>66</v>
      </c>
      <c r="V30" s="126" t="s">
        <v>66</v>
      </c>
      <c r="W30" s="126" t="s">
        <v>66</v>
      </c>
      <c r="X30" s="126" t="s">
        <v>66</v>
      </c>
      <c r="Y30" s="126" t="s">
        <v>66</v>
      </c>
      <c r="Z30" s="126" t="s">
        <v>66</v>
      </c>
      <c r="AA30" s="126" t="s">
        <v>66</v>
      </c>
      <c r="AB30" s="126" t="s">
        <v>66</v>
      </c>
      <c r="AC30" s="126" t="s">
        <v>66</v>
      </c>
      <c r="AD30" s="126" t="s">
        <v>66</v>
      </c>
      <c r="AE30" s="126" t="s">
        <v>66</v>
      </c>
      <c r="AF30" s="126" t="s">
        <v>66</v>
      </c>
      <c r="AG30" s="126" t="s">
        <v>66</v>
      </c>
      <c r="AH30" s="126" t="s">
        <v>66</v>
      </c>
      <c r="AI30" s="126" t="s">
        <v>66</v>
      </c>
      <c r="AJ30" s="101"/>
      <c r="AL30" s="185" t="str">
        <f t="shared" ca="1" si="0"/>
        <v xml:space="preserve">    (U1)ALERT_REQ_S_ADBZR_TCHAR_</v>
      </c>
      <c r="AR30" s="59" t="str">
        <f t="shared" si="3"/>
        <v/>
      </c>
      <c r="AS30" s="59" t="str">
        <f t="shared" si="4"/>
        <v/>
      </c>
      <c r="AT30" s="59" t="str">
        <f t="shared" si="1"/>
        <v/>
      </c>
    </row>
    <row r="31" spans="2:49">
      <c r="B31" s="128"/>
      <c r="C31" s="43">
        <f t="shared" si="2"/>
        <v>25</v>
      </c>
      <c r="D31" s="57" t="s">
        <v>66</v>
      </c>
      <c r="E31" s="57" t="s">
        <v>66</v>
      </c>
      <c r="F31" s="126" t="s">
        <v>66</v>
      </c>
      <c r="G31" s="126" t="s">
        <v>66</v>
      </c>
      <c r="H31" s="126" t="s">
        <v>66</v>
      </c>
      <c r="I31" s="126" t="s">
        <v>66</v>
      </c>
      <c r="J31" s="126" t="s">
        <v>66</v>
      </c>
      <c r="K31" s="126" t="s">
        <v>66</v>
      </c>
      <c r="L31" s="126" t="s">
        <v>66</v>
      </c>
      <c r="M31" s="126" t="s">
        <v>66</v>
      </c>
      <c r="N31" s="126" t="s">
        <v>66</v>
      </c>
      <c r="O31" s="126" t="s">
        <v>66</v>
      </c>
      <c r="P31" s="126" t="s">
        <v>66</v>
      </c>
      <c r="Q31" s="126" t="s">
        <v>66</v>
      </c>
      <c r="R31" s="126" t="s">
        <v>66</v>
      </c>
      <c r="S31" s="126" t="s">
        <v>66</v>
      </c>
      <c r="T31" s="126" t="s">
        <v>66</v>
      </c>
      <c r="U31" s="126" t="s">
        <v>66</v>
      </c>
      <c r="V31" s="126" t="s">
        <v>66</v>
      </c>
      <c r="W31" s="126" t="s">
        <v>66</v>
      </c>
      <c r="X31" s="126" t="s">
        <v>66</v>
      </c>
      <c r="Y31" s="126" t="s">
        <v>66</v>
      </c>
      <c r="Z31" s="126" t="s">
        <v>66</v>
      </c>
      <c r="AA31" s="126" t="s">
        <v>66</v>
      </c>
      <c r="AB31" s="126" t="s">
        <v>66</v>
      </c>
      <c r="AC31" s="126" t="s">
        <v>66</v>
      </c>
      <c r="AD31" s="126" t="s">
        <v>66</v>
      </c>
      <c r="AE31" s="126" t="s">
        <v>66</v>
      </c>
      <c r="AF31" s="126" t="s">
        <v>66</v>
      </c>
      <c r="AG31" s="126" t="s">
        <v>66</v>
      </c>
      <c r="AH31" s="126" t="s">
        <v>66</v>
      </c>
      <c r="AI31" s="126" t="s">
        <v>66</v>
      </c>
      <c r="AJ31" s="101"/>
      <c r="AL31" s="185" t="str">
        <f t="shared" ca="1" si="0"/>
        <v xml:space="preserve">    (U1)ALERT_REQ_S_ADBZR_TCHAR_</v>
      </c>
      <c r="AR31" s="59" t="str">
        <f t="shared" si="3"/>
        <v/>
      </c>
      <c r="AS31" s="59" t="str">
        <f t="shared" si="4"/>
        <v/>
      </c>
      <c r="AT31" s="59" t="str">
        <f t="shared" si="1"/>
        <v/>
      </c>
    </row>
    <row r="32" spans="2:49">
      <c r="B32" s="128"/>
      <c r="C32" s="43">
        <f t="shared" si="2"/>
        <v>26</v>
      </c>
      <c r="D32" s="57" t="s">
        <v>66</v>
      </c>
      <c r="E32" s="57" t="s">
        <v>66</v>
      </c>
      <c r="F32" s="126" t="s">
        <v>66</v>
      </c>
      <c r="G32" s="126" t="s">
        <v>66</v>
      </c>
      <c r="H32" s="126" t="s">
        <v>66</v>
      </c>
      <c r="I32" s="126" t="s">
        <v>66</v>
      </c>
      <c r="J32" s="126" t="s">
        <v>66</v>
      </c>
      <c r="K32" s="126" t="s">
        <v>66</v>
      </c>
      <c r="L32" s="126" t="s">
        <v>66</v>
      </c>
      <c r="M32" s="126" t="s">
        <v>66</v>
      </c>
      <c r="N32" s="126" t="s">
        <v>66</v>
      </c>
      <c r="O32" s="126" t="s">
        <v>66</v>
      </c>
      <c r="P32" s="126" t="s">
        <v>66</v>
      </c>
      <c r="Q32" s="126" t="s">
        <v>66</v>
      </c>
      <c r="R32" s="126" t="s">
        <v>66</v>
      </c>
      <c r="S32" s="126" t="s">
        <v>66</v>
      </c>
      <c r="T32" s="126" t="s">
        <v>66</v>
      </c>
      <c r="U32" s="126" t="s">
        <v>66</v>
      </c>
      <c r="V32" s="126" t="s">
        <v>66</v>
      </c>
      <c r="W32" s="126" t="s">
        <v>66</v>
      </c>
      <c r="X32" s="126" t="s">
        <v>66</v>
      </c>
      <c r="Y32" s="126" t="s">
        <v>66</v>
      </c>
      <c r="Z32" s="126" t="s">
        <v>66</v>
      </c>
      <c r="AA32" s="126" t="s">
        <v>66</v>
      </c>
      <c r="AB32" s="126" t="s">
        <v>66</v>
      </c>
      <c r="AC32" s="126" t="s">
        <v>66</v>
      </c>
      <c r="AD32" s="126" t="s">
        <v>66</v>
      </c>
      <c r="AE32" s="126" t="s">
        <v>66</v>
      </c>
      <c r="AF32" s="126" t="s">
        <v>66</v>
      </c>
      <c r="AG32" s="126" t="s">
        <v>66</v>
      </c>
      <c r="AH32" s="126" t="s">
        <v>66</v>
      </c>
      <c r="AI32" s="126" t="s">
        <v>66</v>
      </c>
      <c r="AJ32" s="101"/>
      <c r="AL32" s="185" t="str">
        <f t="shared" ca="1" si="0"/>
        <v xml:space="preserve">    (U1)ALERT_REQ_S_ADBZR_TCHAR_</v>
      </c>
      <c r="AR32" s="59" t="str">
        <f t="shared" si="3"/>
        <v/>
      </c>
      <c r="AS32" s="59" t="str">
        <f t="shared" si="4"/>
        <v/>
      </c>
      <c r="AT32" s="59" t="str">
        <f t="shared" si="1"/>
        <v/>
      </c>
    </row>
    <row r="33" spans="2:46">
      <c r="B33" s="128"/>
      <c r="C33" s="43">
        <f t="shared" si="2"/>
        <v>27</v>
      </c>
      <c r="D33" s="57" t="s">
        <v>66</v>
      </c>
      <c r="E33" s="57" t="s">
        <v>66</v>
      </c>
      <c r="F33" s="126" t="s">
        <v>66</v>
      </c>
      <c r="G33" s="126" t="s">
        <v>66</v>
      </c>
      <c r="H33" s="126" t="s">
        <v>66</v>
      </c>
      <c r="I33" s="126" t="s">
        <v>66</v>
      </c>
      <c r="J33" s="126" t="s">
        <v>66</v>
      </c>
      <c r="K33" s="126" t="s">
        <v>66</v>
      </c>
      <c r="L33" s="126" t="s">
        <v>66</v>
      </c>
      <c r="M33" s="126" t="s">
        <v>66</v>
      </c>
      <c r="N33" s="126" t="s">
        <v>66</v>
      </c>
      <c r="O33" s="126" t="s">
        <v>66</v>
      </c>
      <c r="P33" s="126" t="s">
        <v>66</v>
      </c>
      <c r="Q33" s="126" t="s">
        <v>66</v>
      </c>
      <c r="R33" s="126" t="s">
        <v>66</v>
      </c>
      <c r="S33" s="126" t="s">
        <v>66</v>
      </c>
      <c r="T33" s="126" t="s">
        <v>66</v>
      </c>
      <c r="U33" s="126" t="s">
        <v>66</v>
      </c>
      <c r="V33" s="126" t="s">
        <v>66</v>
      </c>
      <c r="W33" s="126" t="s">
        <v>66</v>
      </c>
      <c r="X33" s="126" t="s">
        <v>66</v>
      </c>
      <c r="Y33" s="126" t="s">
        <v>66</v>
      </c>
      <c r="Z33" s="126" t="s">
        <v>66</v>
      </c>
      <c r="AA33" s="126" t="s">
        <v>66</v>
      </c>
      <c r="AB33" s="126" t="s">
        <v>66</v>
      </c>
      <c r="AC33" s="126" t="s">
        <v>66</v>
      </c>
      <c r="AD33" s="126" t="s">
        <v>66</v>
      </c>
      <c r="AE33" s="126" t="s">
        <v>66</v>
      </c>
      <c r="AF33" s="126" t="s">
        <v>66</v>
      </c>
      <c r="AG33" s="126" t="s">
        <v>66</v>
      </c>
      <c r="AH33" s="126" t="s">
        <v>66</v>
      </c>
      <c r="AI33" s="126" t="s">
        <v>66</v>
      </c>
      <c r="AJ33" s="101"/>
      <c r="AL33" s="185" t="str">
        <f t="shared" ca="1" si="0"/>
        <v xml:space="preserve">    (U1)ALERT_REQ_S_ADBZR_TCHAR_</v>
      </c>
      <c r="AR33" s="59" t="str">
        <f t="shared" si="3"/>
        <v/>
      </c>
      <c r="AS33" s="59" t="str">
        <f t="shared" si="4"/>
        <v/>
      </c>
      <c r="AT33" s="59" t="str">
        <f t="shared" si="1"/>
        <v/>
      </c>
    </row>
    <row r="34" spans="2:46">
      <c r="B34" s="128"/>
      <c r="C34" s="43">
        <f t="shared" si="2"/>
        <v>28</v>
      </c>
      <c r="D34" s="57" t="s">
        <v>66</v>
      </c>
      <c r="E34" s="57" t="s">
        <v>66</v>
      </c>
      <c r="F34" s="126" t="s">
        <v>66</v>
      </c>
      <c r="G34" s="126" t="s">
        <v>66</v>
      </c>
      <c r="H34" s="126" t="s">
        <v>66</v>
      </c>
      <c r="I34" s="126" t="s">
        <v>66</v>
      </c>
      <c r="J34" s="126" t="s">
        <v>66</v>
      </c>
      <c r="K34" s="126" t="s">
        <v>66</v>
      </c>
      <c r="L34" s="126" t="s">
        <v>66</v>
      </c>
      <c r="M34" s="126" t="s">
        <v>66</v>
      </c>
      <c r="N34" s="126" t="s">
        <v>66</v>
      </c>
      <c r="O34" s="126" t="s">
        <v>66</v>
      </c>
      <c r="P34" s="126" t="s">
        <v>66</v>
      </c>
      <c r="Q34" s="126" t="s">
        <v>66</v>
      </c>
      <c r="R34" s="126" t="s">
        <v>66</v>
      </c>
      <c r="S34" s="126" t="s">
        <v>66</v>
      </c>
      <c r="T34" s="126" t="s">
        <v>66</v>
      </c>
      <c r="U34" s="126" t="s">
        <v>66</v>
      </c>
      <c r="V34" s="126" t="s">
        <v>66</v>
      </c>
      <c r="W34" s="126" t="s">
        <v>66</v>
      </c>
      <c r="X34" s="126" t="s">
        <v>66</v>
      </c>
      <c r="Y34" s="126" t="s">
        <v>66</v>
      </c>
      <c r="Z34" s="126" t="s">
        <v>66</v>
      </c>
      <c r="AA34" s="126" t="s">
        <v>66</v>
      </c>
      <c r="AB34" s="126" t="s">
        <v>66</v>
      </c>
      <c r="AC34" s="126" t="s">
        <v>66</v>
      </c>
      <c r="AD34" s="126" t="s">
        <v>66</v>
      </c>
      <c r="AE34" s="126" t="s">
        <v>66</v>
      </c>
      <c r="AF34" s="126" t="s">
        <v>66</v>
      </c>
      <c r="AG34" s="126" t="s">
        <v>66</v>
      </c>
      <c r="AH34" s="126" t="s">
        <v>66</v>
      </c>
      <c r="AI34" s="126" t="s">
        <v>66</v>
      </c>
      <c r="AJ34" s="101"/>
      <c r="AL34" s="185" t="str">
        <f t="shared" ca="1" si="0"/>
        <v xml:space="preserve">    (U1)ALERT_REQ_S_ADBZR_TCHAR_</v>
      </c>
      <c r="AR34" s="59" t="str">
        <f t="shared" si="3"/>
        <v/>
      </c>
      <c r="AS34" s="59" t="str">
        <f t="shared" si="4"/>
        <v/>
      </c>
      <c r="AT34" s="59" t="str">
        <f t="shared" si="1"/>
        <v/>
      </c>
    </row>
    <row r="35" spans="2:46">
      <c r="B35" s="128"/>
      <c r="C35" s="43">
        <f t="shared" si="2"/>
        <v>29</v>
      </c>
      <c r="D35" s="57" t="s">
        <v>66</v>
      </c>
      <c r="E35" s="57" t="s">
        <v>66</v>
      </c>
      <c r="F35" s="126" t="s">
        <v>66</v>
      </c>
      <c r="G35" s="126" t="s">
        <v>66</v>
      </c>
      <c r="H35" s="126" t="s">
        <v>66</v>
      </c>
      <c r="I35" s="126" t="s">
        <v>66</v>
      </c>
      <c r="J35" s="126" t="s">
        <v>66</v>
      </c>
      <c r="K35" s="126" t="s">
        <v>66</v>
      </c>
      <c r="L35" s="126" t="s">
        <v>66</v>
      </c>
      <c r="M35" s="126" t="s">
        <v>66</v>
      </c>
      <c r="N35" s="126" t="s">
        <v>66</v>
      </c>
      <c r="O35" s="126" t="s">
        <v>66</v>
      </c>
      <c r="P35" s="126" t="s">
        <v>66</v>
      </c>
      <c r="Q35" s="126" t="s">
        <v>66</v>
      </c>
      <c r="R35" s="126" t="s">
        <v>66</v>
      </c>
      <c r="S35" s="126" t="s">
        <v>66</v>
      </c>
      <c r="T35" s="126" t="s">
        <v>66</v>
      </c>
      <c r="U35" s="126" t="s">
        <v>66</v>
      </c>
      <c r="V35" s="126" t="s">
        <v>66</v>
      </c>
      <c r="W35" s="126" t="s">
        <v>66</v>
      </c>
      <c r="X35" s="126" t="s">
        <v>66</v>
      </c>
      <c r="Y35" s="126" t="s">
        <v>66</v>
      </c>
      <c r="Z35" s="126" t="s">
        <v>66</v>
      </c>
      <c r="AA35" s="126" t="s">
        <v>66</v>
      </c>
      <c r="AB35" s="126" t="s">
        <v>66</v>
      </c>
      <c r="AC35" s="126" t="s">
        <v>66</v>
      </c>
      <c r="AD35" s="126" t="s">
        <v>66</v>
      </c>
      <c r="AE35" s="126" t="s">
        <v>66</v>
      </c>
      <c r="AF35" s="126" t="s">
        <v>66</v>
      </c>
      <c r="AG35" s="126" t="s">
        <v>66</v>
      </c>
      <c r="AH35" s="126" t="s">
        <v>66</v>
      </c>
      <c r="AI35" s="126" t="s">
        <v>66</v>
      </c>
      <c r="AJ35" s="101"/>
      <c r="AL35" s="185" t="str">
        <f t="shared" ca="1" si="0"/>
        <v xml:space="preserve">    (U1)ALERT_REQ_S_ADBZR_TCHAR_</v>
      </c>
      <c r="AR35" s="59" t="str">
        <f t="shared" si="3"/>
        <v/>
      </c>
      <c r="AS35" s="59" t="str">
        <f t="shared" si="4"/>
        <v/>
      </c>
      <c r="AT35" s="59" t="str">
        <f t="shared" si="1"/>
        <v/>
      </c>
    </row>
    <row r="36" spans="2:46">
      <c r="B36" s="128"/>
      <c r="C36" s="43">
        <f t="shared" si="2"/>
        <v>30</v>
      </c>
      <c r="D36" s="57" t="s">
        <v>66</v>
      </c>
      <c r="E36" s="57" t="s">
        <v>66</v>
      </c>
      <c r="F36" s="126" t="s">
        <v>66</v>
      </c>
      <c r="G36" s="126" t="s">
        <v>66</v>
      </c>
      <c r="H36" s="126" t="s">
        <v>66</v>
      </c>
      <c r="I36" s="126" t="s">
        <v>66</v>
      </c>
      <c r="J36" s="126" t="s">
        <v>66</v>
      </c>
      <c r="K36" s="126" t="s">
        <v>66</v>
      </c>
      <c r="L36" s="126" t="s">
        <v>66</v>
      </c>
      <c r="M36" s="126" t="s">
        <v>66</v>
      </c>
      <c r="N36" s="126" t="s">
        <v>66</v>
      </c>
      <c r="O36" s="126" t="s">
        <v>66</v>
      </c>
      <c r="P36" s="126" t="s">
        <v>66</v>
      </c>
      <c r="Q36" s="126" t="s">
        <v>66</v>
      </c>
      <c r="R36" s="126" t="s">
        <v>66</v>
      </c>
      <c r="S36" s="126" t="s">
        <v>66</v>
      </c>
      <c r="T36" s="126" t="s">
        <v>66</v>
      </c>
      <c r="U36" s="126" t="s">
        <v>66</v>
      </c>
      <c r="V36" s="126" t="s">
        <v>66</v>
      </c>
      <c r="W36" s="126" t="s">
        <v>66</v>
      </c>
      <c r="X36" s="126" t="s">
        <v>66</v>
      </c>
      <c r="Y36" s="126" t="s">
        <v>66</v>
      </c>
      <c r="Z36" s="126" t="s">
        <v>66</v>
      </c>
      <c r="AA36" s="126" t="s">
        <v>66</v>
      </c>
      <c r="AB36" s="126" t="s">
        <v>66</v>
      </c>
      <c r="AC36" s="126" t="s">
        <v>66</v>
      </c>
      <c r="AD36" s="126" t="s">
        <v>66</v>
      </c>
      <c r="AE36" s="126" t="s">
        <v>66</v>
      </c>
      <c r="AF36" s="126" t="s">
        <v>66</v>
      </c>
      <c r="AG36" s="126" t="s">
        <v>66</v>
      </c>
      <c r="AH36" s="126" t="s">
        <v>66</v>
      </c>
      <c r="AI36" s="126" t="s">
        <v>66</v>
      </c>
      <c r="AJ36" s="101"/>
      <c r="AL36" s="185" t="str">
        <f t="shared" ca="1" si="0"/>
        <v xml:space="preserve">    (U1)ALERT_REQ_S_ADBZR_TCHAR_</v>
      </c>
      <c r="AR36" s="59" t="str">
        <f t="shared" si="3"/>
        <v/>
      </c>
      <c r="AS36" s="59" t="str">
        <f t="shared" si="4"/>
        <v/>
      </c>
      <c r="AT36" s="59" t="str">
        <f t="shared" si="1"/>
        <v/>
      </c>
    </row>
    <row r="37" spans="2:46">
      <c r="B37" s="128"/>
      <c r="C37" s="43">
        <f t="shared" si="2"/>
        <v>31</v>
      </c>
      <c r="D37" s="57" t="s">
        <v>66</v>
      </c>
      <c r="E37" s="57" t="s">
        <v>66</v>
      </c>
      <c r="F37" s="126" t="s">
        <v>66</v>
      </c>
      <c r="G37" s="126" t="s">
        <v>66</v>
      </c>
      <c r="H37" s="126" t="s">
        <v>66</v>
      </c>
      <c r="I37" s="126" t="s">
        <v>66</v>
      </c>
      <c r="J37" s="126" t="s">
        <v>66</v>
      </c>
      <c r="K37" s="126" t="s">
        <v>66</v>
      </c>
      <c r="L37" s="126" t="s">
        <v>66</v>
      </c>
      <c r="M37" s="126" t="s">
        <v>66</v>
      </c>
      <c r="N37" s="126" t="s">
        <v>66</v>
      </c>
      <c r="O37" s="126" t="s">
        <v>66</v>
      </c>
      <c r="P37" s="126" t="s">
        <v>66</v>
      </c>
      <c r="Q37" s="126" t="s">
        <v>66</v>
      </c>
      <c r="R37" s="126" t="s">
        <v>66</v>
      </c>
      <c r="S37" s="126" t="s">
        <v>66</v>
      </c>
      <c r="T37" s="126" t="s">
        <v>66</v>
      </c>
      <c r="U37" s="126" t="s">
        <v>66</v>
      </c>
      <c r="V37" s="126" t="s">
        <v>66</v>
      </c>
      <c r="W37" s="126" t="s">
        <v>66</v>
      </c>
      <c r="X37" s="126" t="s">
        <v>66</v>
      </c>
      <c r="Y37" s="126" t="s">
        <v>66</v>
      </c>
      <c r="Z37" s="126" t="s">
        <v>66</v>
      </c>
      <c r="AA37" s="126" t="s">
        <v>66</v>
      </c>
      <c r="AB37" s="126" t="s">
        <v>66</v>
      </c>
      <c r="AC37" s="126" t="s">
        <v>66</v>
      </c>
      <c r="AD37" s="126" t="s">
        <v>66</v>
      </c>
      <c r="AE37" s="126" t="s">
        <v>66</v>
      </c>
      <c r="AF37" s="126" t="s">
        <v>66</v>
      </c>
      <c r="AG37" s="126" t="s">
        <v>66</v>
      </c>
      <c r="AH37" s="126" t="s">
        <v>66</v>
      </c>
      <c r="AI37" s="126" t="s">
        <v>66</v>
      </c>
      <c r="AJ37" s="101"/>
      <c r="AL37" s="185" t="str">
        <f t="shared" ca="1" si="0"/>
        <v xml:space="preserve">    (U1)ALERT_REQ_S_ADBZR_TCHAR_</v>
      </c>
      <c r="AR37" s="59" t="str">
        <f t="shared" si="3"/>
        <v/>
      </c>
      <c r="AS37" s="59" t="str">
        <f t="shared" si="4"/>
        <v/>
      </c>
      <c r="AT37" s="59" t="str">
        <f t="shared" si="1"/>
        <v/>
      </c>
    </row>
    <row r="38" spans="2:46">
      <c r="B38" s="128"/>
      <c r="C38" s="43">
        <f t="shared" si="2"/>
        <v>32</v>
      </c>
      <c r="D38" s="57" t="s">
        <v>66</v>
      </c>
      <c r="E38" s="57" t="s">
        <v>66</v>
      </c>
      <c r="F38" s="126" t="s">
        <v>66</v>
      </c>
      <c r="G38" s="126" t="s">
        <v>66</v>
      </c>
      <c r="H38" s="126" t="s">
        <v>66</v>
      </c>
      <c r="I38" s="126" t="s">
        <v>66</v>
      </c>
      <c r="J38" s="126" t="s">
        <v>66</v>
      </c>
      <c r="K38" s="126" t="s">
        <v>66</v>
      </c>
      <c r="L38" s="126" t="s">
        <v>66</v>
      </c>
      <c r="M38" s="126" t="s">
        <v>66</v>
      </c>
      <c r="N38" s="126" t="s">
        <v>66</v>
      </c>
      <c r="O38" s="126" t="s">
        <v>66</v>
      </c>
      <c r="P38" s="126" t="s">
        <v>66</v>
      </c>
      <c r="Q38" s="126" t="s">
        <v>66</v>
      </c>
      <c r="R38" s="126" t="s">
        <v>66</v>
      </c>
      <c r="S38" s="126" t="s">
        <v>66</v>
      </c>
      <c r="T38" s="126" t="s">
        <v>66</v>
      </c>
      <c r="U38" s="126" t="s">
        <v>66</v>
      </c>
      <c r="V38" s="126" t="s">
        <v>66</v>
      </c>
      <c r="W38" s="126" t="s">
        <v>66</v>
      </c>
      <c r="X38" s="126" t="s">
        <v>66</v>
      </c>
      <c r="Y38" s="126" t="s">
        <v>66</v>
      </c>
      <c r="Z38" s="126" t="s">
        <v>66</v>
      </c>
      <c r="AA38" s="126" t="s">
        <v>66</v>
      </c>
      <c r="AB38" s="126" t="s">
        <v>66</v>
      </c>
      <c r="AC38" s="126" t="s">
        <v>66</v>
      </c>
      <c r="AD38" s="126" t="s">
        <v>66</v>
      </c>
      <c r="AE38" s="126" t="s">
        <v>66</v>
      </c>
      <c r="AF38" s="126" t="s">
        <v>66</v>
      </c>
      <c r="AG38" s="126" t="s">
        <v>66</v>
      </c>
      <c r="AH38" s="126" t="s">
        <v>66</v>
      </c>
      <c r="AI38" s="126" t="s">
        <v>66</v>
      </c>
      <c r="AJ38" s="101"/>
      <c r="AL38" s="185" t="str">
        <f t="shared" ca="1" si="0"/>
        <v xml:space="preserve">    (U1)ALERT_REQ_S_ADBZR_TCHAR_</v>
      </c>
      <c r="AR38" s="59" t="str">
        <f t="shared" si="3"/>
        <v/>
      </c>
      <c r="AS38" s="59" t="str">
        <f t="shared" si="4"/>
        <v/>
      </c>
      <c r="AT38" s="59" t="str">
        <f t="shared" si="1"/>
        <v/>
      </c>
    </row>
    <row r="39" spans="2:46">
      <c r="B39" s="128"/>
      <c r="C39" s="43">
        <f t="shared" si="2"/>
        <v>33</v>
      </c>
      <c r="D39" s="57" t="s">
        <v>66</v>
      </c>
      <c r="E39" s="57" t="s">
        <v>66</v>
      </c>
      <c r="F39" s="126" t="s">
        <v>66</v>
      </c>
      <c r="G39" s="126" t="s">
        <v>66</v>
      </c>
      <c r="H39" s="126" t="s">
        <v>66</v>
      </c>
      <c r="I39" s="126" t="s">
        <v>66</v>
      </c>
      <c r="J39" s="126" t="s">
        <v>66</v>
      </c>
      <c r="K39" s="126" t="s">
        <v>66</v>
      </c>
      <c r="L39" s="126" t="s">
        <v>66</v>
      </c>
      <c r="M39" s="126" t="s">
        <v>66</v>
      </c>
      <c r="N39" s="126" t="s">
        <v>66</v>
      </c>
      <c r="O39" s="126" t="s">
        <v>66</v>
      </c>
      <c r="P39" s="126" t="s">
        <v>66</v>
      </c>
      <c r="Q39" s="126" t="s">
        <v>66</v>
      </c>
      <c r="R39" s="126" t="s">
        <v>66</v>
      </c>
      <c r="S39" s="126" t="s">
        <v>66</v>
      </c>
      <c r="T39" s="126" t="s">
        <v>66</v>
      </c>
      <c r="U39" s="126" t="s">
        <v>66</v>
      </c>
      <c r="V39" s="126" t="s">
        <v>66</v>
      </c>
      <c r="W39" s="126" t="s">
        <v>66</v>
      </c>
      <c r="X39" s="126" t="s">
        <v>66</v>
      </c>
      <c r="Y39" s="126" t="s">
        <v>66</v>
      </c>
      <c r="Z39" s="126" t="s">
        <v>66</v>
      </c>
      <c r="AA39" s="126" t="s">
        <v>66</v>
      </c>
      <c r="AB39" s="126" t="s">
        <v>66</v>
      </c>
      <c r="AC39" s="126" t="s">
        <v>66</v>
      </c>
      <c r="AD39" s="126" t="s">
        <v>66</v>
      </c>
      <c r="AE39" s="126" t="s">
        <v>66</v>
      </c>
      <c r="AF39" s="126" t="s">
        <v>66</v>
      </c>
      <c r="AG39" s="126" t="s">
        <v>66</v>
      </c>
      <c r="AH39" s="126" t="s">
        <v>66</v>
      </c>
      <c r="AI39" s="126" t="s">
        <v>66</v>
      </c>
      <c r="AJ39" s="101"/>
      <c r="AL39" s="185" t="str">
        <f t="shared" ca="1" si="0"/>
        <v xml:space="preserve">    (U1)ALERT_REQ_S_ADBZR_TCHAR_</v>
      </c>
      <c r="AR39" s="59" t="str">
        <f t="shared" si="3"/>
        <v/>
      </c>
      <c r="AS39" s="59" t="str">
        <f t="shared" si="4"/>
        <v/>
      </c>
      <c r="AT39" s="59" t="str">
        <f t="shared" si="1"/>
        <v/>
      </c>
    </row>
    <row r="40" spans="2:46">
      <c r="B40" s="128"/>
      <c r="C40" s="43">
        <f t="shared" si="2"/>
        <v>34</v>
      </c>
      <c r="D40" s="57" t="s">
        <v>66</v>
      </c>
      <c r="E40" s="57" t="s">
        <v>66</v>
      </c>
      <c r="F40" s="126" t="s">
        <v>66</v>
      </c>
      <c r="G40" s="126" t="s">
        <v>66</v>
      </c>
      <c r="H40" s="126" t="s">
        <v>66</v>
      </c>
      <c r="I40" s="126" t="s">
        <v>66</v>
      </c>
      <c r="J40" s="126" t="s">
        <v>66</v>
      </c>
      <c r="K40" s="126" t="s">
        <v>66</v>
      </c>
      <c r="L40" s="126" t="s">
        <v>66</v>
      </c>
      <c r="M40" s="126" t="s">
        <v>66</v>
      </c>
      <c r="N40" s="126" t="s">
        <v>66</v>
      </c>
      <c r="O40" s="126" t="s">
        <v>66</v>
      </c>
      <c r="P40" s="126" t="s">
        <v>66</v>
      </c>
      <c r="Q40" s="126" t="s">
        <v>66</v>
      </c>
      <c r="R40" s="126" t="s">
        <v>66</v>
      </c>
      <c r="S40" s="126" t="s">
        <v>66</v>
      </c>
      <c r="T40" s="126" t="s">
        <v>66</v>
      </c>
      <c r="U40" s="126" t="s">
        <v>66</v>
      </c>
      <c r="V40" s="126" t="s">
        <v>66</v>
      </c>
      <c r="W40" s="126" t="s">
        <v>66</v>
      </c>
      <c r="X40" s="126" t="s">
        <v>66</v>
      </c>
      <c r="Y40" s="126" t="s">
        <v>66</v>
      </c>
      <c r="Z40" s="126" t="s">
        <v>66</v>
      </c>
      <c r="AA40" s="126" t="s">
        <v>66</v>
      </c>
      <c r="AB40" s="126" t="s">
        <v>66</v>
      </c>
      <c r="AC40" s="126" t="s">
        <v>66</v>
      </c>
      <c r="AD40" s="126" t="s">
        <v>66</v>
      </c>
      <c r="AE40" s="126" t="s">
        <v>66</v>
      </c>
      <c r="AF40" s="126" t="s">
        <v>66</v>
      </c>
      <c r="AG40" s="126" t="s">
        <v>66</v>
      </c>
      <c r="AH40" s="126" t="s">
        <v>66</v>
      </c>
      <c r="AI40" s="126" t="s">
        <v>66</v>
      </c>
      <c r="AJ40" s="101"/>
      <c r="AL40" s="185" t="str">
        <f t="shared" ca="1" si="0"/>
        <v xml:space="preserve">    (U1)ALERT_REQ_S_ADBZR_TCHAR_</v>
      </c>
      <c r="AR40" s="59" t="str">
        <f t="shared" si="3"/>
        <v/>
      </c>
      <c r="AS40" s="59" t="str">
        <f t="shared" si="4"/>
        <v/>
      </c>
      <c r="AT40" s="59" t="str">
        <f t="shared" si="1"/>
        <v/>
      </c>
    </row>
    <row r="41" spans="2:46">
      <c r="B41" s="128"/>
      <c r="C41" s="43">
        <f t="shared" si="2"/>
        <v>35</v>
      </c>
      <c r="D41" s="57" t="s">
        <v>66</v>
      </c>
      <c r="E41" s="57" t="s">
        <v>66</v>
      </c>
      <c r="F41" s="126" t="s">
        <v>66</v>
      </c>
      <c r="G41" s="126" t="s">
        <v>66</v>
      </c>
      <c r="H41" s="126" t="s">
        <v>66</v>
      </c>
      <c r="I41" s="126" t="s">
        <v>66</v>
      </c>
      <c r="J41" s="126" t="s">
        <v>66</v>
      </c>
      <c r="K41" s="126" t="s">
        <v>66</v>
      </c>
      <c r="L41" s="126" t="s">
        <v>66</v>
      </c>
      <c r="M41" s="126" t="s">
        <v>66</v>
      </c>
      <c r="N41" s="126" t="s">
        <v>66</v>
      </c>
      <c r="O41" s="126" t="s">
        <v>66</v>
      </c>
      <c r="P41" s="126" t="s">
        <v>66</v>
      </c>
      <c r="Q41" s="126" t="s">
        <v>66</v>
      </c>
      <c r="R41" s="126" t="s">
        <v>66</v>
      </c>
      <c r="S41" s="126" t="s">
        <v>66</v>
      </c>
      <c r="T41" s="126" t="s">
        <v>66</v>
      </c>
      <c r="U41" s="126" t="s">
        <v>66</v>
      </c>
      <c r="V41" s="126" t="s">
        <v>66</v>
      </c>
      <c r="W41" s="126" t="s">
        <v>66</v>
      </c>
      <c r="X41" s="126" t="s">
        <v>66</v>
      </c>
      <c r="Y41" s="126" t="s">
        <v>66</v>
      </c>
      <c r="Z41" s="126" t="s">
        <v>66</v>
      </c>
      <c r="AA41" s="126" t="s">
        <v>66</v>
      </c>
      <c r="AB41" s="126" t="s">
        <v>66</v>
      </c>
      <c r="AC41" s="126" t="s">
        <v>66</v>
      </c>
      <c r="AD41" s="126" t="s">
        <v>66</v>
      </c>
      <c r="AE41" s="126" t="s">
        <v>66</v>
      </c>
      <c r="AF41" s="126" t="s">
        <v>66</v>
      </c>
      <c r="AG41" s="126" t="s">
        <v>66</v>
      </c>
      <c r="AH41" s="126" t="s">
        <v>66</v>
      </c>
      <c r="AI41" s="126" t="s">
        <v>66</v>
      </c>
      <c r="AJ41" s="101"/>
      <c r="AL41" s="185" t="str">
        <f t="shared" ca="1" si="0"/>
        <v xml:space="preserve">    (U1)ALERT_REQ_S_ADBZR_TCHAR_</v>
      </c>
      <c r="AR41" s="59" t="str">
        <f t="shared" si="3"/>
        <v/>
      </c>
      <c r="AS41" s="59" t="str">
        <f t="shared" si="4"/>
        <v/>
      </c>
      <c r="AT41" s="59" t="str">
        <f t="shared" si="1"/>
        <v/>
      </c>
    </row>
    <row r="42" spans="2:46">
      <c r="B42" s="128"/>
      <c r="C42" s="43">
        <f t="shared" si="2"/>
        <v>36</v>
      </c>
      <c r="D42" s="57" t="s">
        <v>66</v>
      </c>
      <c r="E42" s="57" t="s">
        <v>66</v>
      </c>
      <c r="F42" s="126" t="s">
        <v>66</v>
      </c>
      <c r="G42" s="126" t="s">
        <v>66</v>
      </c>
      <c r="H42" s="126" t="s">
        <v>66</v>
      </c>
      <c r="I42" s="126" t="s">
        <v>66</v>
      </c>
      <c r="J42" s="126" t="s">
        <v>66</v>
      </c>
      <c r="K42" s="126" t="s">
        <v>66</v>
      </c>
      <c r="L42" s="126" t="s">
        <v>66</v>
      </c>
      <c r="M42" s="126" t="s">
        <v>66</v>
      </c>
      <c r="N42" s="126" t="s">
        <v>66</v>
      </c>
      <c r="O42" s="126" t="s">
        <v>66</v>
      </c>
      <c r="P42" s="126" t="s">
        <v>66</v>
      </c>
      <c r="Q42" s="126" t="s">
        <v>66</v>
      </c>
      <c r="R42" s="126" t="s">
        <v>66</v>
      </c>
      <c r="S42" s="126" t="s">
        <v>66</v>
      </c>
      <c r="T42" s="126" t="s">
        <v>66</v>
      </c>
      <c r="U42" s="126" t="s">
        <v>66</v>
      </c>
      <c r="V42" s="126" t="s">
        <v>66</v>
      </c>
      <c r="W42" s="126" t="s">
        <v>66</v>
      </c>
      <c r="X42" s="126" t="s">
        <v>66</v>
      </c>
      <c r="Y42" s="126" t="s">
        <v>66</v>
      </c>
      <c r="Z42" s="126" t="s">
        <v>66</v>
      </c>
      <c r="AA42" s="126" t="s">
        <v>66</v>
      </c>
      <c r="AB42" s="126" t="s">
        <v>66</v>
      </c>
      <c r="AC42" s="126" t="s">
        <v>66</v>
      </c>
      <c r="AD42" s="126" t="s">
        <v>66</v>
      </c>
      <c r="AE42" s="126" t="s">
        <v>66</v>
      </c>
      <c r="AF42" s="126" t="s">
        <v>66</v>
      </c>
      <c r="AG42" s="126" t="s">
        <v>66</v>
      </c>
      <c r="AH42" s="126" t="s">
        <v>66</v>
      </c>
      <c r="AI42" s="126" t="s">
        <v>66</v>
      </c>
      <c r="AJ42" s="101"/>
      <c r="AL42" s="185" t="str">
        <f t="shared" ca="1" si="0"/>
        <v xml:space="preserve">    (U1)ALERT_REQ_S_ADBZR_TCHAR_</v>
      </c>
      <c r="AR42" s="59" t="str">
        <f t="shared" si="3"/>
        <v/>
      </c>
      <c r="AS42" s="59" t="str">
        <f t="shared" si="4"/>
        <v/>
      </c>
      <c r="AT42" s="59" t="str">
        <f t="shared" si="1"/>
        <v/>
      </c>
    </row>
    <row r="43" spans="2:46">
      <c r="B43" s="128"/>
      <c r="C43" s="43">
        <f t="shared" si="2"/>
        <v>37</v>
      </c>
      <c r="D43" s="57" t="s">
        <v>66</v>
      </c>
      <c r="E43" s="57" t="s">
        <v>66</v>
      </c>
      <c r="F43" s="126" t="s">
        <v>66</v>
      </c>
      <c r="G43" s="126" t="s">
        <v>66</v>
      </c>
      <c r="H43" s="126" t="s">
        <v>66</v>
      </c>
      <c r="I43" s="126" t="s">
        <v>66</v>
      </c>
      <c r="J43" s="126" t="s">
        <v>66</v>
      </c>
      <c r="K43" s="126" t="s">
        <v>66</v>
      </c>
      <c r="L43" s="126" t="s">
        <v>66</v>
      </c>
      <c r="M43" s="126" t="s">
        <v>66</v>
      </c>
      <c r="N43" s="126" t="s">
        <v>66</v>
      </c>
      <c r="O43" s="126" t="s">
        <v>66</v>
      </c>
      <c r="P43" s="126" t="s">
        <v>66</v>
      </c>
      <c r="Q43" s="126" t="s">
        <v>66</v>
      </c>
      <c r="R43" s="126" t="s">
        <v>66</v>
      </c>
      <c r="S43" s="126" t="s">
        <v>66</v>
      </c>
      <c r="T43" s="126" t="s">
        <v>66</v>
      </c>
      <c r="U43" s="126" t="s">
        <v>66</v>
      </c>
      <c r="V43" s="126" t="s">
        <v>66</v>
      </c>
      <c r="W43" s="126" t="s">
        <v>66</v>
      </c>
      <c r="X43" s="126" t="s">
        <v>66</v>
      </c>
      <c r="Y43" s="126" t="s">
        <v>66</v>
      </c>
      <c r="Z43" s="126" t="s">
        <v>66</v>
      </c>
      <c r="AA43" s="126" t="s">
        <v>66</v>
      </c>
      <c r="AB43" s="126" t="s">
        <v>66</v>
      </c>
      <c r="AC43" s="126" t="s">
        <v>66</v>
      </c>
      <c r="AD43" s="126" t="s">
        <v>66</v>
      </c>
      <c r="AE43" s="126" t="s">
        <v>66</v>
      </c>
      <c r="AF43" s="126" t="s">
        <v>66</v>
      </c>
      <c r="AG43" s="126" t="s">
        <v>66</v>
      </c>
      <c r="AH43" s="126" t="s">
        <v>66</v>
      </c>
      <c r="AI43" s="126" t="s">
        <v>66</v>
      </c>
      <c r="AJ43" s="101"/>
      <c r="AL43" s="185" t="str">
        <f t="shared" ca="1" si="0"/>
        <v xml:space="preserve">    (U1)ALERT_REQ_S_ADBZR_TCHAR_</v>
      </c>
      <c r="AR43" s="59" t="str">
        <f t="shared" si="3"/>
        <v/>
      </c>
      <c r="AS43" s="59" t="str">
        <f t="shared" si="4"/>
        <v/>
      </c>
      <c r="AT43" s="59" t="str">
        <f t="shared" si="1"/>
        <v/>
      </c>
    </row>
    <row r="44" spans="2:46">
      <c r="B44" s="128"/>
      <c r="C44" s="43">
        <f t="shared" si="2"/>
        <v>38</v>
      </c>
      <c r="D44" s="57" t="s">
        <v>66</v>
      </c>
      <c r="E44" s="57" t="s">
        <v>66</v>
      </c>
      <c r="F44" s="126" t="s">
        <v>66</v>
      </c>
      <c r="G44" s="126" t="s">
        <v>66</v>
      </c>
      <c r="H44" s="126" t="s">
        <v>66</v>
      </c>
      <c r="I44" s="126" t="s">
        <v>66</v>
      </c>
      <c r="J44" s="126" t="s">
        <v>66</v>
      </c>
      <c r="K44" s="126" t="s">
        <v>66</v>
      </c>
      <c r="L44" s="126" t="s">
        <v>66</v>
      </c>
      <c r="M44" s="126" t="s">
        <v>66</v>
      </c>
      <c r="N44" s="126" t="s">
        <v>66</v>
      </c>
      <c r="O44" s="126" t="s">
        <v>66</v>
      </c>
      <c r="P44" s="126" t="s">
        <v>66</v>
      </c>
      <c r="Q44" s="126" t="s">
        <v>66</v>
      </c>
      <c r="R44" s="126" t="s">
        <v>66</v>
      </c>
      <c r="S44" s="126" t="s">
        <v>66</v>
      </c>
      <c r="T44" s="126" t="s">
        <v>66</v>
      </c>
      <c r="U44" s="126" t="s">
        <v>66</v>
      </c>
      <c r="V44" s="126" t="s">
        <v>66</v>
      </c>
      <c r="W44" s="126" t="s">
        <v>66</v>
      </c>
      <c r="X44" s="126" t="s">
        <v>66</v>
      </c>
      <c r="Y44" s="126" t="s">
        <v>66</v>
      </c>
      <c r="Z44" s="126" t="s">
        <v>66</v>
      </c>
      <c r="AA44" s="126" t="s">
        <v>66</v>
      </c>
      <c r="AB44" s="126" t="s">
        <v>66</v>
      </c>
      <c r="AC44" s="126" t="s">
        <v>66</v>
      </c>
      <c r="AD44" s="126" t="s">
        <v>66</v>
      </c>
      <c r="AE44" s="126" t="s">
        <v>66</v>
      </c>
      <c r="AF44" s="126" t="s">
        <v>66</v>
      </c>
      <c r="AG44" s="126" t="s">
        <v>66</v>
      </c>
      <c r="AH44" s="126" t="s">
        <v>66</v>
      </c>
      <c r="AI44" s="126" t="s">
        <v>66</v>
      </c>
      <c r="AJ44" s="101"/>
      <c r="AL44" s="185" t="str">
        <f t="shared" ca="1" si="0"/>
        <v xml:space="preserve">    (U1)ALERT_REQ_S_ADBZR_TCHAR_</v>
      </c>
      <c r="AR44" s="59" t="str">
        <f t="shared" si="3"/>
        <v/>
      </c>
      <c r="AS44" s="59" t="str">
        <f t="shared" si="4"/>
        <v/>
      </c>
      <c r="AT44" s="59" t="str">
        <f t="shared" si="1"/>
        <v/>
      </c>
    </row>
    <row r="45" spans="2:46">
      <c r="B45" s="128"/>
      <c r="C45" s="43">
        <f t="shared" si="2"/>
        <v>39</v>
      </c>
      <c r="D45" s="57" t="s">
        <v>66</v>
      </c>
      <c r="E45" s="57" t="s">
        <v>66</v>
      </c>
      <c r="F45" s="126" t="s">
        <v>66</v>
      </c>
      <c r="G45" s="126" t="s">
        <v>66</v>
      </c>
      <c r="H45" s="126" t="s">
        <v>66</v>
      </c>
      <c r="I45" s="126" t="s">
        <v>66</v>
      </c>
      <c r="J45" s="126" t="s">
        <v>66</v>
      </c>
      <c r="K45" s="126" t="s">
        <v>66</v>
      </c>
      <c r="L45" s="126" t="s">
        <v>66</v>
      </c>
      <c r="M45" s="126" t="s">
        <v>66</v>
      </c>
      <c r="N45" s="126" t="s">
        <v>66</v>
      </c>
      <c r="O45" s="126" t="s">
        <v>66</v>
      </c>
      <c r="P45" s="126" t="s">
        <v>66</v>
      </c>
      <c r="Q45" s="126" t="s">
        <v>66</v>
      </c>
      <c r="R45" s="126" t="s">
        <v>66</v>
      </c>
      <c r="S45" s="126" t="s">
        <v>66</v>
      </c>
      <c r="T45" s="126" t="s">
        <v>66</v>
      </c>
      <c r="U45" s="126" t="s">
        <v>66</v>
      </c>
      <c r="V45" s="126" t="s">
        <v>66</v>
      </c>
      <c r="W45" s="126" t="s">
        <v>66</v>
      </c>
      <c r="X45" s="126" t="s">
        <v>66</v>
      </c>
      <c r="Y45" s="126" t="s">
        <v>66</v>
      </c>
      <c r="Z45" s="126" t="s">
        <v>66</v>
      </c>
      <c r="AA45" s="126" t="s">
        <v>66</v>
      </c>
      <c r="AB45" s="126" t="s">
        <v>66</v>
      </c>
      <c r="AC45" s="126" t="s">
        <v>66</v>
      </c>
      <c r="AD45" s="126" t="s">
        <v>66</v>
      </c>
      <c r="AE45" s="126" t="s">
        <v>66</v>
      </c>
      <c r="AF45" s="126" t="s">
        <v>66</v>
      </c>
      <c r="AG45" s="126" t="s">
        <v>66</v>
      </c>
      <c r="AH45" s="126" t="s">
        <v>66</v>
      </c>
      <c r="AI45" s="126" t="s">
        <v>66</v>
      </c>
      <c r="AJ45" s="101"/>
      <c r="AL45" s="185" t="str">
        <f t="shared" ca="1" si="0"/>
        <v xml:space="preserve">    (U1)ALERT_REQ_S_ADBZR_TCHAR_</v>
      </c>
      <c r="AR45" s="59" t="str">
        <f t="shared" si="3"/>
        <v/>
      </c>
      <c r="AS45" s="59" t="str">
        <f t="shared" si="4"/>
        <v/>
      </c>
      <c r="AT45" s="59" t="str">
        <f t="shared" si="1"/>
        <v/>
      </c>
    </row>
    <row r="46" spans="2:46">
      <c r="B46" s="128"/>
      <c r="C46" s="43">
        <f t="shared" si="2"/>
        <v>40</v>
      </c>
      <c r="D46" s="57" t="s">
        <v>66</v>
      </c>
      <c r="E46" s="57" t="s">
        <v>66</v>
      </c>
      <c r="F46" s="126" t="s">
        <v>66</v>
      </c>
      <c r="G46" s="126" t="s">
        <v>66</v>
      </c>
      <c r="H46" s="126" t="s">
        <v>66</v>
      </c>
      <c r="I46" s="126" t="s">
        <v>66</v>
      </c>
      <c r="J46" s="126" t="s">
        <v>66</v>
      </c>
      <c r="K46" s="126" t="s">
        <v>66</v>
      </c>
      <c r="L46" s="126" t="s">
        <v>66</v>
      </c>
      <c r="M46" s="126" t="s">
        <v>66</v>
      </c>
      <c r="N46" s="126" t="s">
        <v>66</v>
      </c>
      <c r="O46" s="126" t="s">
        <v>66</v>
      </c>
      <c r="P46" s="126" t="s">
        <v>66</v>
      </c>
      <c r="Q46" s="126" t="s">
        <v>66</v>
      </c>
      <c r="R46" s="126" t="s">
        <v>66</v>
      </c>
      <c r="S46" s="126" t="s">
        <v>66</v>
      </c>
      <c r="T46" s="126" t="s">
        <v>66</v>
      </c>
      <c r="U46" s="126" t="s">
        <v>66</v>
      </c>
      <c r="V46" s="126" t="s">
        <v>66</v>
      </c>
      <c r="W46" s="126" t="s">
        <v>66</v>
      </c>
      <c r="X46" s="126" t="s">
        <v>66</v>
      </c>
      <c r="Y46" s="126" t="s">
        <v>66</v>
      </c>
      <c r="Z46" s="126" t="s">
        <v>66</v>
      </c>
      <c r="AA46" s="126" t="s">
        <v>66</v>
      </c>
      <c r="AB46" s="126" t="s">
        <v>66</v>
      </c>
      <c r="AC46" s="126" t="s">
        <v>66</v>
      </c>
      <c r="AD46" s="126" t="s">
        <v>66</v>
      </c>
      <c r="AE46" s="126" t="s">
        <v>66</v>
      </c>
      <c r="AF46" s="126" t="s">
        <v>66</v>
      </c>
      <c r="AG46" s="126" t="s">
        <v>66</v>
      </c>
      <c r="AH46" s="126" t="s">
        <v>66</v>
      </c>
      <c r="AI46" s="126" t="s">
        <v>66</v>
      </c>
      <c r="AJ46" s="101"/>
      <c r="AL46" s="185" t="str">
        <f t="shared" ca="1" si="0"/>
        <v xml:space="preserve">    (U1)ALERT_REQ_S_ADBZR_TCHAR_</v>
      </c>
      <c r="AR46" s="59" t="str">
        <f t="shared" si="3"/>
        <v/>
      </c>
      <c r="AS46" s="59" t="str">
        <f t="shared" si="4"/>
        <v/>
      </c>
      <c r="AT46" s="59" t="str">
        <f t="shared" si="1"/>
        <v/>
      </c>
    </row>
    <row r="47" spans="2:46">
      <c r="B47" s="128"/>
      <c r="C47" s="43">
        <f t="shared" si="2"/>
        <v>41</v>
      </c>
      <c r="D47" s="57" t="s">
        <v>66</v>
      </c>
      <c r="E47" s="57" t="s">
        <v>66</v>
      </c>
      <c r="F47" s="126" t="s">
        <v>66</v>
      </c>
      <c r="G47" s="126" t="s">
        <v>66</v>
      </c>
      <c r="H47" s="126" t="s">
        <v>66</v>
      </c>
      <c r="I47" s="126" t="s">
        <v>66</v>
      </c>
      <c r="J47" s="126" t="s">
        <v>66</v>
      </c>
      <c r="K47" s="126" t="s">
        <v>66</v>
      </c>
      <c r="L47" s="126" t="s">
        <v>66</v>
      </c>
      <c r="M47" s="126" t="s">
        <v>66</v>
      </c>
      <c r="N47" s="126" t="s">
        <v>66</v>
      </c>
      <c r="O47" s="126" t="s">
        <v>66</v>
      </c>
      <c r="P47" s="126" t="s">
        <v>66</v>
      </c>
      <c r="Q47" s="126" t="s">
        <v>66</v>
      </c>
      <c r="R47" s="126" t="s">
        <v>66</v>
      </c>
      <c r="S47" s="126" t="s">
        <v>66</v>
      </c>
      <c r="T47" s="126" t="s">
        <v>66</v>
      </c>
      <c r="U47" s="126" t="s">
        <v>66</v>
      </c>
      <c r="V47" s="126" t="s">
        <v>66</v>
      </c>
      <c r="W47" s="126" t="s">
        <v>66</v>
      </c>
      <c r="X47" s="126" t="s">
        <v>66</v>
      </c>
      <c r="Y47" s="126" t="s">
        <v>66</v>
      </c>
      <c r="Z47" s="126" t="s">
        <v>66</v>
      </c>
      <c r="AA47" s="126" t="s">
        <v>66</v>
      </c>
      <c r="AB47" s="126" t="s">
        <v>66</v>
      </c>
      <c r="AC47" s="126" t="s">
        <v>66</v>
      </c>
      <c r="AD47" s="126" t="s">
        <v>66</v>
      </c>
      <c r="AE47" s="126" t="s">
        <v>66</v>
      </c>
      <c r="AF47" s="126" t="s">
        <v>66</v>
      </c>
      <c r="AG47" s="126" t="s">
        <v>66</v>
      </c>
      <c r="AH47" s="126" t="s">
        <v>66</v>
      </c>
      <c r="AI47" s="126" t="s">
        <v>66</v>
      </c>
      <c r="AJ47" s="101"/>
      <c r="AL47" s="185" t="str">
        <f t="shared" ca="1" si="0"/>
        <v xml:space="preserve">    (U1)ALERT_REQ_S_ADBZR_TCHAR_</v>
      </c>
      <c r="AR47" s="59" t="str">
        <f t="shared" si="3"/>
        <v/>
      </c>
      <c r="AS47" s="59" t="str">
        <f t="shared" si="4"/>
        <v/>
      </c>
      <c r="AT47" s="59" t="str">
        <f t="shared" si="1"/>
        <v/>
      </c>
    </row>
    <row r="48" spans="2:46">
      <c r="B48" s="128"/>
      <c r="C48" s="43">
        <f t="shared" si="2"/>
        <v>42</v>
      </c>
      <c r="D48" s="57" t="s">
        <v>66</v>
      </c>
      <c r="E48" s="57" t="s">
        <v>66</v>
      </c>
      <c r="F48" s="126" t="s">
        <v>66</v>
      </c>
      <c r="G48" s="126" t="s">
        <v>66</v>
      </c>
      <c r="H48" s="126" t="s">
        <v>66</v>
      </c>
      <c r="I48" s="126" t="s">
        <v>66</v>
      </c>
      <c r="J48" s="126" t="s">
        <v>66</v>
      </c>
      <c r="K48" s="126" t="s">
        <v>66</v>
      </c>
      <c r="L48" s="126" t="s">
        <v>66</v>
      </c>
      <c r="M48" s="126" t="s">
        <v>66</v>
      </c>
      <c r="N48" s="126" t="s">
        <v>66</v>
      </c>
      <c r="O48" s="126" t="s">
        <v>66</v>
      </c>
      <c r="P48" s="126" t="s">
        <v>66</v>
      </c>
      <c r="Q48" s="126" t="s">
        <v>66</v>
      </c>
      <c r="R48" s="126" t="s">
        <v>66</v>
      </c>
      <c r="S48" s="126" t="s">
        <v>66</v>
      </c>
      <c r="T48" s="126" t="s">
        <v>66</v>
      </c>
      <c r="U48" s="126" t="s">
        <v>66</v>
      </c>
      <c r="V48" s="126" t="s">
        <v>66</v>
      </c>
      <c r="W48" s="126" t="s">
        <v>66</v>
      </c>
      <c r="X48" s="126" t="s">
        <v>66</v>
      </c>
      <c r="Y48" s="126" t="s">
        <v>66</v>
      </c>
      <c r="Z48" s="126" t="s">
        <v>66</v>
      </c>
      <c r="AA48" s="126" t="s">
        <v>66</v>
      </c>
      <c r="AB48" s="126" t="s">
        <v>66</v>
      </c>
      <c r="AC48" s="126" t="s">
        <v>66</v>
      </c>
      <c r="AD48" s="126" t="s">
        <v>66</v>
      </c>
      <c r="AE48" s="126" t="s">
        <v>66</v>
      </c>
      <c r="AF48" s="126" t="s">
        <v>66</v>
      </c>
      <c r="AG48" s="126" t="s">
        <v>66</v>
      </c>
      <c r="AH48" s="126" t="s">
        <v>66</v>
      </c>
      <c r="AI48" s="126" t="s">
        <v>66</v>
      </c>
      <c r="AJ48" s="101"/>
      <c r="AL48" s="185" t="str">
        <f t="shared" ca="1" si="0"/>
        <v xml:space="preserve">    (U1)ALERT_REQ_S_ADBZR_TCHAR_</v>
      </c>
      <c r="AR48" s="59" t="str">
        <f t="shared" si="3"/>
        <v/>
      </c>
      <c r="AS48" s="59" t="str">
        <f t="shared" si="4"/>
        <v/>
      </c>
      <c r="AT48" s="59" t="str">
        <f t="shared" si="1"/>
        <v/>
      </c>
    </row>
    <row r="49" spans="2:46">
      <c r="B49" s="128"/>
      <c r="C49" s="43">
        <f t="shared" si="2"/>
        <v>43</v>
      </c>
      <c r="D49" s="57" t="s">
        <v>66</v>
      </c>
      <c r="E49" s="57" t="s">
        <v>66</v>
      </c>
      <c r="F49" s="126" t="s">
        <v>66</v>
      </c>
      <c r="G49" s="126" t="s">
        <v>66</v>
      </c>
      <c r="H49" s="126" t="s">
        <v>66</v>
      </c>
      <c r="I49" s="126" t="s">
        <v>66</v>
      </c>
      <c r="J49" s="126" t="s">
        <v>66</v>
      </c>
      <c r="K49" s="126" t="s">
        <v>66</v>
      </c>
      <c r="L49" s="126" t="s">
        <v>66</v>
      </c>
      <c r="M49" s="126" t="s">
        <v>66</v>
      </c>
      <c r="N49" s="126" t="s">
        <v>66</v>
      </c>
      <c r="O49" s="126" t="s">
        <v>66</v>
      </c>
      <c r="P49" s="126" t="s">
        <v>66</v>
      </c>
      <c r="Q49" s="126" t="s">
        <v>66</v>
      </c>
      <c r="R49" s="126" t="s">
        <v>66</v>
      </c>
      <c r="S49" s="126" t="s">
        <v>66</v>
      </c>
      <c r="T49" s="126" t="s">
        <v>66</v>
      </c>
      <c r="U49" s="126" t="s">
        <v>66</v>
      </c>
      <c r="V49" s="126" t="s">
        <v>66</v>
      </c>
      <c r="W49" s="126" t="s">
        <v>66</v>
      </c>
      <c r="X49" s="126" t="s">
        <v>66</v>
      </c>
      <c r="Y49" s="126" t="s">
        <v>66</v>
      </c>
      <c r="Z49" s="126" t="s">
        <v>66</v>
      </c>
      <c r="AA49" s="126" t="s">
        <v>66</v>
      </c>
      <c r="AB49" s="126" t="s">
        <v>66</v>
      </c>
      <c r="AC49" s="126" t="s">
        <v>66</v>
      </c>
      <c r="AD49" s="126" t="s">
        <v>66</v>
      </c>
      <c r="AE49" s="126" t="s">
        <v>66</v>
      </c>
      <c r="AF49" s="126" t="s">
        <v>66</v>
      </c>
      <c r="AG49" s="126" t="s">
        <v>66</v>
      </c>
      <c r="AH49" s="126" t="s">
        <v>66</v>
      </c>
      <c r="AI49" s="126" t="s">
        <v>66</v>
      </c>
      <c r="AJ49" s="101"/>
      <c r="AL49" s="185" t="str">
        <f t="shared" ca="1" si="0"/>
        <v xml:space="preserve">    (U1)ALERT_REQ_S_ADBZR_TCHAR_</v>
      </c>
      <c r="AR49" s="59" t="str">
        <f t="shared" si="3"/>
        <v/>
      </c>
      <c r="AS49" s="59" t="str">
        <f t="shared" si="4"/>
        <v/>
      </c>
      <c r="AT49" s="59" t="str">
        <f t="shared" si="1"/>
        <v/>
      </c>
    </row>
    <row r="50" spans="2:46">
      <c r="B50" s="128"/>
      <c r="C50" s="43">
        <f t="shared" si="2"/>
        <v>44</v>
      </c>
      <c r="D50" s="57" t="s">
        <v>66</v>
      </c>
      <c r="E50" s="57" t="s">
        <v>66</v>
      </c>
      <c r="F50" s="126" t="s">
        <v>66</v>
      </c>
      <c r="G50" s="126" t="s">
        <v>66</v>
      </c>
      <c r="H50" s="126" t="s">
        <v>66</v>
      </c>
      <c r="I50" s="126" t="s">
        <v>66</v>
      </c>
      <c r="J50" s="126" t="s">
        <v>66</v>
      </c>
      <c r="K50" s="126" t="s">
        <v>66</v>
      </c>
      <c r="L50" s="126" t="s">
        <v>66</v>
      </c>
      <c r="M50" s="126" t="s">
        <v>66</v>
      </c>
      <c r="N50" s="126" t="s">
        <v>66</v>
      </c>
      <c r="O50" s="126" t="s">
        <v>66</v>
      </c>
      <c r="P50" s="126" t="s">
        <v>66</v>
      </c>
      <c r="Q50" s="126" t="s">
        <v>66</v>
      </c>
      <c r="R50" s="126" t="s">
        <v>66</v>
      </c>
      <c r="S50" s="126" t="s">
        <v>66</v>
      </c>
      <c r="T50" s="126" t="s">
        <v>66</v>
      </c>
      <c r="U50" s="126" t="s">
        <v>66</v>
      </c>
      <c r="V50" s="126" t="s">
        <v>66</v>
      </c>
      <c r="W50" s="126" t="s">
        <v>66</v>
      </c>
      <c r="X50" s="126" t="s">
        <v>66</v>
      </c>
      <c r="Y50" s="126" t="s">
        <v>66</v>
      </c>
      <c r="Z50" s="126" t="s">
        <v>66</v>
      </c>
      <c r="AA50" s="126" t="s">
        <v>66</v>
      </c>
      <c r="AB50" s="126" t="s">
        <v>66</v>
      </c>
      <c r="AC50" s="126" t="s">
        <v>66</v>
      </c>
      <c r="AD50" s="126" t="s">
        <v>66</v>
      </c>
      <c r="AE50" s="126" t="s">
        <v>66</v>
      </c>
      <c r="AF50" s="126" t="s">
        <v>66</v>
      </c>
      <c r="AG50" s="126" t="s">
        <v>66</v>
      </c>
      <c r="AH50" s="126" t="s">
        <v>66</v>
      </c>
      <c r="AI50" s="126" t="s">
        <v>66</v>
      </c>
      <c r="AJ50" s="101"/>
      <c r="AL50" s="185" t="str">
        <f t="shared" ca="1" si="0"/>
        <v xml:space="preserve">    (U1)ALERT_REQ_S_ADBZR_TCHAR_</v>
      </c>
      <c r="AR50" s="59" t="str">
        <f t="shared" si="3"/>
        <v/>
      </c>
      <c r="AS50" s="59" t="str">
        <f t="shared" si="4"/>
        <v/>
      </c>
      <c r="AT50" s="59" t="str">
        <f t="shared" si="1"/>
        <v/>
      </c>
    </row>
    <row r="51" spans="2:46">
      <c r="B51" s="128"/>
      <c r="C51" s="43">
        <f t="shared" si="2"/>
        <v>45</v>
      </c>
      <c r="D51" s="57" t="s">
        <v>66</v>
      </c>
      <c r="E51" s="57" t="s">
        <v>66</v>
      </c>
      <c r="F51" s="126" t="s">
        <v>66</v>
      </c>
      <c r="G51" s="126" t="s">
        <v>66</v>
      </c>
      <c r="H51" s="126" t="s">
        <v>66</v>
      </c>
      <c r="I51" s="126" t="s">
        <v>66</v>
      </c>
      <c r="J51" s="126" t="s">
        <v>66</v>
      </c>
      <c r="K51" s="126" t="s">
        <v>66</v>
      </c>
      <c r="L51" s="126" t="s">
        <v>66</v>
      </c>
      <c r="M51" s="126" t="s">
        <v>66</v>
      </c>
      <c r="N51" s="126" t="s">
        <v>66</v>
      </c>
      <c r="O51" s="126" t="s">
        <v>66</v>
      </c>
      <c r="P51" s="126" t="s">
        <v>66</v>
      </c>
      <c r="Q51" s="126" t="s">
        <v>66</v>
      </c>
      <c r="R51" s="126" t="s">
        <v>66</v>
      </c>
      <c r="S51" s="126" t="s">
        <v>66</v>
      </c>
      <c r="T51" s="126" t="s">
        <v>66</v>
      </c>
      <c r="U51" s="126" t="s">
        <v>66</v>
      </c>
      <c r="V51" s="126" t="s">
        <v>66</v>
      </c>
      <c r="W51" s="126" t="s">
        <v>66</v>
      </c>
      <c r="X51" s="126" t="s">
        <v>66</v>
      </c>
      <c r="Y51" s="126" t="s">
        <v>66</v>
      </c>
      <c r="Z51" s="126" t="s">
        <v>66</v>
      </c>
      <c r="AA51" s="126" t="s">
        <v>66</v>
      </c>
      <c r="AB51" s="126" t="s">
        <v>66</v>
      </c>
      <c r="AC51" s="126" t="s">
        <v>66</v>
      </c>
      <c r="AD51" s="126" t="s">
        <v>66</v>
      </c>
      <c r="AE51" s="126" t="s">
        <v>66</v>
      </c>
      <c r="AF51" s="126" t="s">
        <v>66</v>
      </c>
      <c r="AG51" s="126" t="s">
        <v>66</v>
      </c>
      <c r="AH51" s="126" t="s">
        <v>66</v>
      </c>
      <c r="AI51" s="126" t="s">
        <v>66</v>
      </c>
      <c r="AJ51" s="101"/>
      <c r="AL51" s="185" t="str">
        <f t="shared" ca="1" si="0"/>
        <v xml:space="preserve">    (U1)ALERT_REQ_S_ADBZR_TCHAR_</v>
      </c>
      <c r="AR51" s="59" t="str">
        <f t="shared" si="3"/>
        <v/>
      </c>
      <c r="AS51" s="59" t="str">
        <f t="shared" si="4"/>
        <v/>
      </c>
      <c r="AT51" s="59" t="str">
        <f t="shared" si="1"/>
        <v/>
      </c>
    </row>
    <row r="52" spans="2:46">
      <c r="B52" s="128"/>
      <c r="C52" s="43">
        <f t="shared" si="2"/>
        <v>46</v>
      </c>
      <c r="D52" s="57" t="s">
        <v>66</v>
      </c>
      <c r="E52" s="57" t="s">
        <v>66</v>
      </c>
      <c r="F52" s="126" t="s">
        <v>66</v>
      </c>
      <c r="G52" s="126" t="s">
        <v>66</v>
      </c>
      <c r="H52" s="126" t="s">
        <v>66</v>
      </c>
      <c r="I52" s="126" t="s">
        <v>66</v>
      </c>
      <c r="J52" s="126" t="s">
        <v>66</v>
      </c>
      <c r="K52" s="126" t="s">
        <v>66</v>
      </c>
      <c r="L52" s="126" t="s">
        <v>66</v>
      </c>
      <c r="M52" s="126" t="s">
        <v>66</v>
      </c>
      <c r="N52" s="126" t="s">
        <v>66</v>
      </c>
      <c r="O52" s="126" t="s">
        <v>66</v>
      </c>
      <c r="P52" s="126" t="s">
        <v>66</v>
      </c>
      <c r="Q52" s="126" t="s">
        <v>66</v>
      </c>
      <c r="R52" s="126" t="s">
        <v>66</v>
      </c>
      <c r="S52" s="126" t="s">
        <v>66</v>
      </c>
      <c r="T52" s="126" t="s">
        <v>66</v>
      </c>
      <c r="U52" s="126" t="s">
        <v>66</v>
      </c>
      <c r="V52" s="126" t="s">
        <v>66</v>
      </c>
      <c r="W52" s="126" t="s">
        <v>66</v>
      </c>
      <c r="X52" s="126" t="s">
        <v>66</v>
      </c>
      <c r="Y52" s="126" t="s">
        <v>66</v>
      </c>
      <c r="Z52" s="126" t="s">
        <v>66</v>
      </c>
      <c r="AA52" s="126" t="s">
        <v>66</v>
      </c>
      <c r="AB52" s="126" t="s">
        <v>66</v>
      </c>
      <c r="AC52" s="126" t="s">
        <v>66</v>
      </c>
      <c r="AD52" s="126" t="s">
        <v>66</v>
      </c>
      <c r="AE52" s="126" t="s">
        <v>66</v>
      </c>
      <c r="AF52" s="126" t="s">
        <v>66</v>
      </c>
      <c r="AG52" s="126" t="s">
        <v>66</v>
      </c>
      <c r="AH52" s="126" t="s">
        <v>66</v>
      </c>
      <c r="AI52" s="126" t="s">
        <v>66</v>
      </c>
      <c r="AJ52" s="101"/>
      <c r="AL52" s="185" t="str">
        <f t="shared" ca="1" si="0"/>
        <v xml:space="preserve">    (U1)ALERT_REQ_S_ADBZR_TCHAR_</v>
      </c>
      <c r="AR52" s="59" t="str">
        <f t="shared" si="3"/>
        <v/>
      </c>
      <c r="AS52" s="59" t="str">
        <f t="shared" si="4"/>
        <v/>
      </c>
      <c r="AT52" s="59" t="str">
        <f t="shared" si="1"/>
        <v/>
      </c>
    </row>
    <row r="53" spans="2:46">
      <c r="B53" s="128"/>
      <c r="C53" s="43">
        <f t="shared" si="2"/>
        <v>47</v>
      </c>
      <c r="D53" s="57" t="s">
        <v>66</v>
      </c>
      <c r="E53" s="57" t="s">
        <v>66</v>
      </c>
      <c r="F53" s="126" t="s">
        <v>66</v>
      </c>
      <c r="G53" s="126" t="s">
        <v>66</v>
      </c>
      <c r="H53" s="126" t="s">
        <v>66</v>
      </c>
      <c r="I53" s="126" t="s">
        <v>66</v>
      </c>
      <c r="J53" s="126" t="s">
        <v>66</v>
      </c>
      <c r="K53" s="126" t="s">
        <v>66</v>
      </c>
      <c r="L53" s="126" t="s">
        <v>66</v>
      </c>
      <c r="M53" s="126" t="s">
        <v>66</v>
      </c>
      <c r="N53" s="126" t="s">
        <v>66</v>
      </c>
      <c r="O53" s="126" t="s">
        <v>66</v>
      </c>
      <c r="P53" s="126" t="s">
        <v>66</v>
      </c>
      <c r="Q53" s="126" t="s">
        <v>66</v>
      </c>
      <c r="R53" s="126" t="s">
        <v>66</v>
      </c>
      <c r="S53" s="126" t="s">
        <v>66</v>
      </c>
      <c r="T53" s="126" t="s">
        <v>66</v>
      </c>
      <c r="U53" s="126" t="s">
        <v>66</v>
      </c>
      <c r="V53" s="126" t="s">
        <v>66</v>
      </c>
      <c r="W53" s="126" t="s">
        <v>66</v>
      </c>
      <c r="X53" s="126" t="s">
        <v>66</v>
      </c>
      <c r="Y53" s="126" t="s">
        <v>66</v>
      </c>
      <c r="Z53" s="126" t="s">
        <v>66</v>
      </c>
      <c r="AA53" s="126" t="s">
        <v>66</v>
      </c>
      <c r="AB53" s="126" t="s">
        <v>66</v>
      </c>
      <c r="AC53" s="126" t="s">
        <v>66</v>
      </c>
      <c r="AD53" s="126" t="s">
        <v>66</v>
      </c>
      <c r="AE53" s="126" t="s">
        <v>66</v>
      </c>
      <c r="AF53" s="126" t="s">
        <v>66</v>
      </c>
      <c r="AG53" s="126" t="s">
        <v>66</v>
      </c>
      <c r="AH53" s="126" t="s">
        <v>66</v>
      </c>
      <c r="AI53" s="126" t="s">
        <v>66</v>
      </c>
      <c r="AJ53" s="101"/>
      <c r="AL53" s="185" t="str">
        <f t="shared" ca="1" si="0"/>
        <v xml:space="preserve">    (U1)ALERT_REQ_S_ADBZR_TCHAR_</v>
      </c>
      <c r="AR53" s="59" t="str">
        <f t="shared" si="3"/>
        <v/>
      </c>
      <c r="AS53" s="59" t="str">
        <f t="shared" si="4"/>
        <v/>
      </c>
      <c r="AT53" s="59" t="str">
        <f t="shared" si="1"/>
        <v/>
      </c>
    </row>
    <row r="54" spans="2:46">
      <c r="B54" s="128"/>
      <c r="C54" s="43">
        <f t="shared" si="2"/>
        <v>48</v>
      </c>
      <c r="D54" s="57" t="s">
        <v>66</v>
      </c>
      <c r="E54" s="57" t="s">
        <v>66</v>
      </c>
      <c r="F54" s="126" t="s">
        <v>66</v>
      </c>
      <c r="G54" s="126" t="s">
        <v>66</v>
      </c>
      <c r="H54" s="126" t="s">
        <v>66</v>
      </c>
      <c r="I54" s="126" t="s">
        <v>66</v>
      </c>
      <c r="J54" s="126" t="s">
        <v>66</v>
      </c>
      <c r="K54" s="126" t="s">
        <v>66</v>
      </c>
      <c r="L54" s="126" t="s">
        <v>66</v>
      </c>
      <c r="M54" s="126" t="s">
        <v>66</v>
      </c>
      <c r="N54" s="126" t="s">
        <v>66</v>
      </c>
      <c r="O54" s="126" t="s">
        <v>66</v>
      </c>
      <c r="P54" s="126" t="s">
        <v>66</v>
      </c>
      <c r="Q54" s="126" t="s">
        <v>66</v>
      </c>
      <c r="R54" s="126" t="s">
        <v>66</v>
      </c>
      <c r="S54" s="126" t="s">
        <v>66</v>
      </c>
      <c r="T54" s="126" t="s">
        <v>66</v>
      </c>
      <c r="U54" s="126" t="s">
        <v>66</v>
      </c>
      <c r="V54" s="126" t="s">
        <v>66</v>
      </c>
      <c r="W54" s="126" t="s">
        <v>66</v>
      </c>
      <c r="X54" s="126" t="s">
        <v>66</v>
      </c>
      <c r="Y54" s="126" t="s">
        <v>66</v>
      </c>
      <c r="Z54" s="126" t="s">
        <v>66</v>
      </c>
      <c r="AA54" s="126" t="s">
        <v>66</v>
      </c>
      <c r="AB54" s="126" t="s">
        <v>66</v>
      </c>
      <c r="AC54" s="126" t="s">
        <v>66</v>
      </c>
      <c r="AD54" s="126" t="s">
        <v>66</v>
      </c>
      <c r="AE54" s="126" t="s">
        <v>66</v>
      </c>
      <c r="AF54" s="126" t="s">
        <v>66</v>
      </c>
      <c r="AG54" s="126" t="s">
        <v>66</v>
      </c>
      <c r="AH54" s="126" t="s">
        <v>66</v>
      </c>
      <c r="AI54" s="126" t="s">
        <v>66</v>
      </c>
      <c r="AJ54" s="101"/>
      <c r="AL54" s="185" t="str">
        <f t="shared" ca="1" si="0"/>
        <v xml:space="preserve">    (U1)ALERT_REQ_S_ADBZR_TCHAR_</v>
      </c>
      <c r="AR54" s="59" t="str">
        <f t="shared" si="3"/>
        <v/>
      </c>
      <c r="AS54" s="59" t="str">
        <f t="shared" si="4"/>
        <v/>
      </c>
      <c r="AT54" s="59" t="str">
        <f t="shared" si="1"/>
        <v/>
      </c>
    </row>
    <row r="55" spans="2:46">
      <c r="B55" s="128"/>
      <c r="C55" s="43">
        <f t="shared" si="2"/>
        <v>49</v>
      </c>
      <c r="D55" s="57" t="s">
        <v>66</v>
      </c>
      <c r="E55" s="57" t="s">
        <v>66</v>
      </c>
      <c r="F55" s="126" t="s">
        <v>66</v>
      </c>
      <c r="G55" s="126" t="s">
        <v>66</v>
      </c>
      <c r="H55" s="126" t="s">
        <v>66</v>
      </c>
      <c r="I55" s="126" t="s">
        <v>66</v>
      </c>
      <c r="J55" s="126" t="s">
        <v>66</v>
      </c>
      <c r="K55" s="126" t="s">
        <v>66</v>
      </c>
      <c r="L55" s="126" t="s">
        <v>66</v>
      </c>
      <c r="M55" s="126" t="s">
        <v>66</v>
      </c>
      <c r="N55" s="126" t="s">
        <v>66</v>
      </c>
      <c r="O55" s="126" t="s">
        <v>66</v>
      </c>
      <c r="P55" s="126" t="s">
        <v>66</v>
      </c>
      <c r="Q55" s="126" t="s">
        <v>66</v>
      </c>
      <c r="R55" s="126" t="s">
        <v>66</v>
      </c>
      <c r="S55" s="126" t="s">
        <v>66</v>
      </c>
      <c r="T55" s="126" t="s">
        <v>66</v>
      </c>
      <c r="U55" s="126" t="s">
        <v>66</v>
      </c>
      <c r="V55" s="126" t="s">
        <v>66</v>
      </c>
      <c r="W55" s="126" t="s">
        <v>66</v>
      </c>
      <c r="X55" s="126" t="s">
        <v>66</v>
      </c>
      <c r="Y55" s="126" t="s">
        <v>66</v>
      </c>
      <c r="Z55" s="126" t="s">
        <v>66</v>
      </c>
      <c r="AA55" s="126" t="s">
        <v>66</v>
      </c>
      <c r="AB55" s="126" t="s">
        <v>66</v>
      </c>
      <c r="AC55" s="126" t="s">
        <v>66</v>
      </c>
      <c r="AD55" s="126" t="s">
        <v>66</v>
      </c>
      <c r="AE55" s="126" t="s">
        <v>66</v>
      </c>
      <c r="AF55" s="126" t="s">
        <v>66</v>
      </c>
      <c r="AG55" s="126" t="s">
        <v>66</v>
      </c>
      <c r="AH55" s="126" t="s">
        <v>66</v>
      </c>
      <c r="AI55" s="126" t="s">
        <v>66</v>
      </c>
      <c r="AJ55" s="101"/>
      <c r="AL55" s="185" t="str">
        <f t="shared" ca="1" si="0"/>
        <v xml:space="preserve">    (U1)ALERT_REQ_S_ADBZR_TCHAR_</v>
      </c>
      <c r="AR55" s="59" t="str">
        <f t="shared" si="3"/>
        <v/>
      </c>
      <c r="AS55" s="59" t="str">
        <f t="shared" si="4"/>
        <v/>
      </c>
      <c r="AT55" s="59" t="str">
        <f t="shared" si="1"/>
        <v/>
      </c>
    </row>
    <row r="56" spans="2:46">
      <c r="B56" s="128"/>
      <c r="C56" s="43">
        <f t="shared" si="2"/>
        <v>50</v>
      </c>
      <c r="D56" s="57" t="s">
        <v>66</v>
      </c>
      <c r="E56" s="57" t="s">
        <v>66</v>
      </c>
      <c r="F56" s="126" t="s">
        <v>66</v>
      </c>
      <c r="G56" s="126" t="s">
        <v>66</v>
      </c>
      <c r="H56" s="126" t="s">
        <v>66</v>
      </c>
      <c r="I56" s="126" t="s">
        <v>66</v>
      </c>
      <c r="J56" s="126" t="s">
        <v>66</v>
      </c>
      <c r="K56" s="126" t="s">
        <v>66</v>
      </c>
      <c r="L56" s="126" t="s">
        <v>66</v>
      </c>
      <c r="M56" s="126" t="s">
        <v>66</v>
      </c>
      <c r="N56" s="126" t="s">
        <v>66</v>
      </c>
      <c r="O56" s="126" t="s">
        <v>66</v>
      </c>
      <c r="P56" s="126" t="s">
        <v>66</v>
      </c>
      <c r="Q56" s="126" t="s">
        <v>66</v>
      </c>
      <c r="R56" s="126" t="s">
        <v>66</v>
      </c>
      <c r="S56" s="126" t="s">
        <v>66</v>
      </c>
      <c r="T56" s="126" t="s">
        <v>66</v>
      </c>
      <c r="U56" s="126" t="s">
        <v>66</v>
      </c>
      <c r="V56" s="126" t="s">
        <v>66</v>
      </c>
      <c r="W56" s="126" t="s">
        <v>66</v>
      </c>
      <c r="X56" s="126" t="s">
        <v>66</v>
      </c>
      <c r="Y56" s="126" t="s">
        <v>66</v>
      </c>
      <c r="Z56" s="126" t="s">
        <v>66</v>
      </c>
      <c r="AA56" s="126" t="s">
        <v>66</v>
      </c>
      <c r="AB56" s="126" t="s">
        <v>66</v>
      </c>
      <c r="AC56" s="126" t="s">
        <v>66</v>
      </c>
      <c r="AD56" s="126" t="s">
        <v>66</v>
      </c>
      <c r="AE56" s="126" t="s">
        <v>66</v>
      </c>
      <c r="AF56" s="126" t="s">
        <v>66</v>
      </c>
      <c r="AG56" s="126" t="s">
        <v>66</v>
      </c>
      <c r="AH56" s="126" t="s">
        <v>66</v>
      </c>
      <c r="AI56" s="126" t="s">
        <v>66</v>
      </c>
      <c r="AJ56" s="101"/>
      <c r="AL56" s="185" t="str">
        <f t="shared" ca="1" si="0"/>
        <v xml:space="preserve">    (U1)ALERT_REQ_S_ADBZR_TCHAR_</v>
      </c>
      <c r="AR56" s="59" t="str">
        <f t="shared" si="3"/>
        <v/>
      </c>
      <c r="AS56" s="59" t="str">
        <f t="shared" si="4"/>
        <v/>
      </c>
      <c r="AT56" s="59" t="str">
        <f t="shared" si="1"/>
        <v/>
      </c>
    </row>
    <row r="57" spans="2:46">
      <c r="B57" s="128"/>
      <c r="C57" s="43">
        <f t="shared" si="2"/>
        <v>51</v>
      </c>
      <c r="D57" s="57" t="s">
        <v>66</v>
      </c>
      <c r="E57" s="57" t="s">
        <v>66</v>
      </c>
      <c r="F57" s="126" t="s">
        <v>66</v>
      </c>
      <c r="G57" s="126" t="s">
        <v>66</v>
      </c>
      <c r="H57" s="126" t="s">
        <v>66</v>
      </c>
      <c r="I57" s="126" t="s">
        <v>66</v>
      </c>
      <c r="J57" s="126" t="s">
        <v>66</v>
      </c>
      <c r="K57" s="126" t="s">
        <v>66</v>
      </c>
      <c r="L57" s="126" t="s">
        <v>66</v>
      </c>
      <c r="M57" s="126" t="s">
        <v>66</v>
      </c>
      <c r="N57" s="126" t="s">
        <v>66</v>
      </c>
      <c r="O57" s="126" t="s">
        <v>66</v>
      </c>
      <c r="P57" s="126" t="s">
        <v>66</v>
      </c>
      <c r="Q57" s="126" t="s">
        <v>66</v>
      </c>
      <c r="R57" s="126" t="s">
        <v>66</v>
      </c>
      <c r="S57" s="126" t="s">
        <v>66</v>
      </c>
      <c r="T57" s="126" t="s">
        <v>66</v>
      </c>
      <c r="U57" s="126" t="s">
        <v>66</v>
      </c>
      <c r="V57" s="126" t="s">
        <v>66</v>
      </c>
      <c r="W57" s="126" t="s">
        <v>66</v>
      </c>
      <c r="X57" s="126" t="s">
        <v>66</v>
      </c>
      <c r="Y57" s="126" t="s">
        <v>66</v>
      </c>
      <c r="Z57" s="126" t="s">
        <v>66</v>
      </c>
      <c r="AA57" s="126" t="s">
        <v>66</v>
      </c>
      <c r="AB57" s="126" t="s">
        <v>66</v>
      </c>
      <c r="AC57" s="126" t="s">
        <v>66</v>
      </c>
      <c r="AD57" s="126" t="s">
        <v>66</v>
      </c>
      <c r="AE57" s="126" t="s">
        <v>66</v>
      </c>
      <c r="AF57" s="126" t="s">
        <v>66</v>
      </c>
      <c r="AG57" s="126" t="s">
        <v>66</v>
      </c>
      <c r="AH57" s="126" t="s">
        <v>66</v>
      </c>
      <c r="AI57" s="126" t="s">
        <v>66</v>
      </c>
      <c r="AJ57" s="101"/>
      <c r="AL57" s="185" t="str">
        <f t="shared" ca="1" si="0"/>
        <v xml:space="preserve">    (U1)ALERT_REQ_S_ADBZR_TCHAR_</v>
      </c>
      <c r="AR57" s="59" t="str">
        <f t="shared" si="3"/>
        <v/>
      </c>
      <c r="AS57" s="59" t="str">
        <f t="shared" si="4"/>
        <v/>
      </c>
      <c r="AT57" s="59" t="str">
        <f t="shared" si="1"/>
        <v/>
      </c>
    </row>
    <row r="58" spans="2:46">
      <c r="B58" s="128"/>
      <c r="C58" s="43">
        <f t="shared" si="2"/>
        <v>52</v>
      </c>
      <c r="D58" s="57" t="s">
        <v>66</v>
      </c>
      <c r="E58" s="57" t="s">
        <v>66</v>
      </c>
      <c r="F58" s="126" t="s">
        <v>66</v>
      </c>
      <c r="G58" s="126" t="s">
        <v>66</v>
      </c>
      <c r="H58" s="126" t="s">
        <v>66</v>
      </c>
      <c r="I58" s="126" t="s">
        <v>66</v>
      </c>
      <c r="J58" s="126" t="s">
        <v>66</v>
      </c>
      <c r="K58" s="126" t="s">
        <v>66</v>
      </c>
      <c r="L58" s="126" t="s">
        <v>66</v>
      </c>
      <c r="M58" s="126" t="s">
        <v>66</v>
      </c>
      <c r="N58" s="126" t="s">
        <v>66</v>
      </c>
      <c r="O58" s="126" t="s">
        <v>66</v>
      </c>
      <c r="P58" s="126" t="s">
        <v>66</v>
      </c>
      <c r="Q58" s="126" t="s">
        <v>66</v>
      </c>
      <c r="R58" s="126" t="s">
        <v>66</v>
      </c>
      <c r="S58" s="126" t="s">
        <v>66</v>
      </c>
      <c r="T58" s="126" t="s">
        <v>66</v>
      </c>
      <c r="U58" s="126" t="s">
        <v>66</v>
      </c>
      <c r="V58" s="126" t="s">
        <v>66</v>
      </c>
      <c r="W58" s="126" t="s">
        <v>66</v>
      </c>
      <c r="X58" s="126" t="s">
        <v>66</v>
      </c>
      <c r="Y58" s="126" t="s">
        <v>66</v>
      </c>
      <c r="Z58" s="126" t="s">
        <v>66</v>
      </c>
      <c r="AA58" s="126" t="s">
        <v>66</v>
      </c>
      <c r="AB58" s="126" t="s">
        <v>66</v>
      </c>
      <c r="AC58" s="126" t="s">
        <v>66</v>
      </c>
      <c r="AD58" s="126" t="s">
        <v>66</v>
      </c>
      <c r="AE58" s="126" t="s">
        <v>66</v>
      </c>
      <c r="AF58" s="126" t="s">
        <v>66</v>
      </c>
      <c r="AG58" s="126" t="s">
        <v>66</v>
      </c>
      <c r="AH58" s="126" t="s">
        <v>66</v>
      </c>
      <c r="AI58" s="126" t="s">
        <v>66</v>
      </c>
      <c r="AJ58" s="101"/>
      <c r="AL58" s="185" t="str">
        <f t="shared" ca="1" si="0"/>
        <v xml:space="preserve">    (U1)ALERT_REQ_S_ADBZR_TCHAR_</v>
      </c>
      <c r="AR58" s="59" t="str">
        <f t="shared" si="3"/>
        <v/>
      </c>
      <c r="AS58" s="59" t="str">
        <f t="shared" si="4"/>
        <v/>
      </c>
      <c r="AT58" s="59" t="str">
        <f t="shared" si="1"/>
        <v/>
      </c>
    </row>
    <row r="59" spans="2:46">
      <c r="B59" s="128"/>
      <c r="C59" s="43">
        <f t="shared" si="2"/>
        <v>53</v>
      </c>
      <c r="D59" s="57" t="s">
        <v>66</v>
      </c>
      <c r="E59" s="57" t="s">
        <v>66</v>
      </c>
      <c r="F59" s="126" t="s">
        <v>66</v>
      </c>
      <c r="G59" s="126" t="s">
        <v>66</v>
      </c>
      <c r="H59" s="126" t="s">
        <v>66</v>
      </c>
      <c r="I59" s="126" t="s">
        <v>66</v>
      </c>
      <c r="J59" s="126" t="s">
        <v>66</v>
      </c>
      <c r="K59" s="126" t="s">
        <v>66</v>
      </c>
      <c r="L59" s="126" t="s">
        <v>66</v>
      </c>
      <c r="M59" s="126" t="s">
        <v>66</v>
      </c>
      <c r="N59" s="126" t="s">
        <v>66</v>
      </c>
      <c r="O59" s="126" t="s">
        <v>66</v>
      </c>
      <c r="P59" s="126" t="s">
        <v>66</v>
      </c>
      <c r="Q59" s="126" t="s">
        <v>66</v>
      </c>
      <c r="R59" s="126" t="s">
        <v>66</v>
      </c>
      <c r="S59" s="126" t="s">
        <v>66</v>
      </c>
      <c r="T59" s="126" t="s">
        <v>66</v>
      </c>
      <c r="U59" s="126" t="s">
        <v>66</v>
      </c>
      <c r="V59" s="126" t="s">
        <v>66</v>
      </c>
      <c r="W59" s="126" t="s">
        <v>66</v>
      </c>
      <c r="X59" s="126" t="s">
        <v>66</v>
      </c>
      <c r="Y59" s="126" t="s">
        <v>66</v>
      </c>
      <c r="Z59" s="126" t="s">
        <v>66</v>
      </c>
      <c r="AA59" s="126" t="s">
        <v>66</v>
      </c>
      <c r="AB59" s="126" t="s">
        <v>66</v>
      </c>
      <c r="AC59" s="126" t="s">
        <v>66</v>
      </c>
      <c r="AD59" s="126" t="s">
        <v>66</v>
      </c>
      <c r="AE59" s="126" t="s">
        <v>66</v>
      </c>
      <c r="AF59" s="126" t="s">
        <v>66</v>
      </c>
      <c r="AG59" s="126" t="s">
        <v>66</v>
      </c>
      <c r="AH59" s="126" t="s">
        <v>66</v>
      </c>
      <c r="AI59" s="126" t="s">
        <v>66</v>
      </c>
      <c r="AJ59" s="101"/>
      <c r="AL59" s="185" t="str">
        <f t="shared" ca="1" si="0"/>
        <v xml:space="preserve">    (U1)ALERT_REQ_S_ADBZR_TCHAR_</v>
      </c>
      <c r="AR59" s="59" t="str">
        <f t="shared" si="3"/>
        <v/>
      </c>
      <c r="AS59" s="59" t="str">
        <f t="shared" si="4"/>
        <v/>
      </c>
      <c r="AT59" s="59" t="str">
        <f t="shared" si="1"/>
        <v/>
      </c>
    </row>
    <row r="60" spans="2:46">
      <c r="B60" s="128"/>
      <c r="C60" s="43">
        <f t="shared" si="2"/>
        <v>54</v>
      </c>
      <c r="D60" s="57" t="s">
        <v>66</v>
      </c>
      <c r="E60" s="57" t="s">
        <v>66</v>
      </c>
      <c r="F60" s="126" t="s">
        <v>66</v>
      </c>
      <c r="G60" s="126" t="s">
        <v>66</v>
      </c>
      <c r="H60" s="126" t="s">
        <v>66</v>
      </c>
      <c r="I60" s="126" t="s">
        <v>66</v>
      </c>
      <c r="J60" s="126" t="s">
        <v>66</v>
      </c>
      <c r="K60" s="126" t="s">
        <v>66</v>
      </c>
      <c r="L60" s="126" t="s">
        <v>66</v>
      </c>
      <c r="M60" s="126" t="s">
        <v>66</v>
      </c>
      <c r="N60" s="126" t="s">
        <v>66</v>
      </c>
      <c r="O60" s="126" t="s">
        <v>66</v>
      </c>
      <c r="P60" s="126" t="s">
        <v>66</v>
      </c>
      <c r="Q60" s="126" t="s">
        <v>66</v>
      </c>
      <c r="R60" s="126" t="s">
        <v>66</v>
      </c>
      <c r="S60" s="126" t="s">
        <v>66</v>
      </c>
      <c r="T60" s="126" t="s">
        <v>66</v>
      </c>
      <c r="U60" s="126" t="s">
        <v>66</v>
      </c>
      <c r="V60" s="126" t="s">
        <v>66</v>
      </c>
      <c r="W60" s="126" t="s">
        <v>66</v>
      </c>
      <c r="X60" s="126" t="s">
        <v>66</v>
      </c>
      <c r="Y60" s="126" t="s">
        <v>66</v>
      </c>
      <c r="Z60" s="126" t="s">
        <v>66</v>
      </c>
      <c r="AA60" s="126" t="s">
        <v>66</v>
      </c>
      <c r="AB60" s="126" t="s">
        <v>66</v>
      </c>
      <c r="AC60" s="126" t="s">
        <v>66</v>
      </c>
      <c r="AD60" s="126" t="s">
        <v>66</v>
      </c>
      <c r="AE60" s="126" t="s">
        <v>66</v>
      </c>
      <c r="AF60" s="126" t="s">
        <v>66</v>
      </c>
      <c r="AG60" s="126" t="s">
        <v>66</v>
      </c>
      <c r="AH60" s="126" t="s">
        <v>66</v>
      </c>
      <c r="AI60" s="126" t="s">
        <v>66</v>
      </c>
      <c r="AJ60" s="101"/>
      <c r="AL60" s="185" t="str">
        <f t="shared" ca="1" si="0"/>
        <v xml:space="preserve">    (U1)ALERT_REQ_S_ADBZR_TCHAR_</v>
      </c>
      <c r="AR60" s="59" t="str">
        <f t="shared" si="3"/>
        <v/>
      </c>
      <c r="AS60" s="59" t="str">
        <f t="shared" si="4"/>
        <v/>
      </c>
      <c r="AT60" s="59" t="str">
        <f t="shared" si="1"/>
        <v/>
      </c>
    </row>
    <row r="61" spans="2:46">
      <c r="B61" s="128"/>
      <c r="C61" s="43">
        <f t="shared" si="2"/>
        <v>55</v>
      </c>
      <c r="D61" s="57" t="s">
        <v>66</v>
      </c>
      <c r="E61" s="57" t="s">
        <v>66</v>
      </c>
      <c r="F61" s="126" t="s">
        <v>66</v>
      </c>
      <c r="G61" s="126" t="s">
        <v>66</v>
      </c>
      <c r="H61" s="126" t="s">
        <v>66</v>
      </c>
      <c r="I61" s="126" t="s">
        <v>66</v>
      </c>
      <c r="J61" s="126" t="s">
        <v>66</v>
      </c>
      <c r="K61" s="126" t="s">
        <v>66</v>
      </c>
      <c r="L61" s="126" t="s">
        <v>66</v>
      </c>
      <c r="M61" s="126" t="s">
        <v>66</v>
      </c>
      <c r="N61" s="126" t="s">
        <v>66</v>
      </c>
      <c r="O61" s="126" t="s">
        <v>66</v>
      </c>
      <c r="P61" s="126" t="s">
        <v>66</v>
      </c>
      <c r="Q61" s="126" t="s">
        <v>66</v>
      </c>
      <c r="R61" s="126" t="s">
        <v>66</v>
      </c>
      <c r="S61" s="126" t="s">
        <v>66</v>
      </c>
      <c r="T61" s="126" t="s">
        <v>66</v>
      </c>
      <c r="U61" s="126" t="s">
        <v>66</v>
      </c>
      <c r="V61" s="126" t="s">
        <v>66</v>
      </c>
      <c r="W61" s="126" t="s">
        <v>66</v>
      </c>
      <c r="X61" s="126" t="s">
        <v>66</v>
      </c>
      <c r="Y61" s="126" t="s">
        <v>66</v>
      </c>
      <c r="Z61" s="126" t="s">
        <v>66</v>
      </c>
      <c r="AA61" s="126" t="s">
        <v>66</v>
      </c>
      <c r="AB61" s="126" t="s">
        <v>66</v>
      </c>
      <c r="AC61" s="126" t="s">
        <v>66</v>
      </c>
      <c r="AD61" s="126" t="s">
        <v>66</v>
      </c>
      <c r="AE61" s="126" t="s">
        <v>66</v>
      </c>
      <c r="AF61" s="126" t="s">
        <v>66</v>
      </c>
      <c r="AG61" s="126" t="s">
        <v>66</v>
      </c>
      <c r="AH61" s="126" t="s">
        <v>66</v>
      </c>
      <c r="AI61" s="126" t="s">
        <v>66</v>
      </c>
      <c r="AJ61" s="101"/>
      <c r="AL61" s="185" t="str">
        <f t="shared" ca="1" si="0"/>
        <v xml:space="preserve">    (U1)ALERT_REQ_S_ADBZR_TCHAR_</v>
      </c>
      <c r="AR61" s="59" t="str">
        <f t="shared" si="3"/>
        <v/>
      </c>
      <c r="AS61" s="59" t="str">
        <f t="shared" si="4"/>
        <v/>
      </c>
      <c r="AT61" s="59" t="str">
        <f t="shared" si="1"/>
        <v/>
      </c>
    </row>
    <row r="62" spans="2:46">
      <c r="B62" s="128"/>
      <c r="C62" s="43">
        <f t="shared" si="2"/>
        <v>56</v>
      </c>
      <c r="D62" s="57" t="s">
        <v>66</v>
      </c>
      <c r="E62" s="57" t="s">
        <v>66</v>
      </c>
      <c r="F62" s="126" t="s">
        <v>66</v>
      </c>
      <c r="G62" s="126" t="s">
        <v>66</v>
      </c>
      <c r="H62" s="126" t="s">
        <v>66</v>
      </c>
      <c r="I62" s="126" t="s">
        <v>66</v>
      </c>
      <c r="J62" s="126" t="s">
        <v>66</v>
      </c>
      <c r="K62" s="126" t="s">
        <v>66</v>
      </c>
      <c r="L62" s="126" t="s">
        <v>66</v>
      </c>
      <c r="M62" s="126" t="s">
        <v>66</v>
      </c>
      <c r="N62" s="126" t="s">
        <v>66</v>
      </c>
      <c r="O62" s="126" t="s">
        <v>66</v>
      </c>
      <c r="P62" s="126" t="s">
        <v>66</v>
      </c>
      <c r="Q62" s="126" t="s">
        <v>66</v>
      </c>
      <c r="R62" s="126" t="s">
        <v>66</v>
      </c>
      <c r="S62" s="126" t="s">
        <v>66</v>
      </c>
      <c r="T62" s="126" t="s">
        <v>66</v>
      </c>
      <c r="U62" s="126" t="s">
        <v>66</v>
      </c>
      <c r="V62" s="126" t="s">
        <v>66</v>
      </c>
      <c r="W62" s="126" t="s">
        <v>66</v>
      </c>
      <c r="X62" s="126" t="s">
        <v>66</v>
      </c>
      <c r="Y62" s="126" t="s">
        <v>66</v>
      </c>
      <c r="Z62" s="126" t="s">
        <v>66</v>
      </c>
      <c r="AA62" s="126" t="s">
        <v>66</v>
      </c>
      <c r="AB62" s="126" t="s">
        <v>66</v>
      </c>
      <c r="AC62" s="126" t="s">
        <v>66</v>
      </c>
      <c r="AD62" s="126" t="s">
        <v>66</v>
      </c>
      <c r="AE62" s="126" t="s">
        <v>66</v>
      </c>
      <c r="AF62" s="126" t="s">
        <v>66</v>
      </c>
      <c r="AG62" s="126" t="s">
        <v>66</v>
      </c>
      <c r="AH62" s="126" t="s">
        <v>66</v>
      </c>
      <c r="AI62" s="126" t="s">
        <v>66</v>
      </c>
      <c r="AJ62" s="101"/>
      <c r="AL62" s="185" t="str">
        <f t="shared" ca="1" si="0"/>
        <v xml:space="preserve">    (U1)ALERT_REQ_S_ADBZR_TCHAR_</v>
      </c>
      <c r="AR62" s="59" t="str">
        <f t="shared" si="3"/>
        <v/>
      </c>
      <c r="AS62" s="59" t="str">
        <f t="shared" si="4"/>
        <v/>
      </c>
      <c r="AT62" s="59" t="str">
        <f t="shared" si="1"/>
        <v/>
      </c>
    </row>
    <row r="63" spans="2:46">
      <c r="B63" s="128"/>
      <c r="C63" s="43">
        <f t="shared" si="2"/>
        <v>57</v>
      </c>
      <c r="D63" s="57" t="s">
        <v>66</v>
      </c>
      <c r="E63" s="57" t="s">
        <v>66</v>
      </c>
      <c r="F63" s="126" t="s">
        <v>66</v>
      </c>
      <c r="G63" s="126" t="s">
        <v>66</v>
      </c>
      <c r="H63" s="126" t="s">
        <v>66</v>
      </c>
      <c r="I63" s="126" t="s">
        <v>66</v>
      </c>
      <c r="J63" s="126" t="s">
        <v>66</v>
      </c>
      <c r="K63" s="126" t="s">
        <v>66</v>
      </c>
      <c r="L63" s="126" t="s">
        <v>66</v>
      </c>
      <c r="M63" s="126" t="s">
        <v>66</v>
      </c>
      <c r="N63" s="126" t="s">
        <v>66</v>
      </c>
      <c r="O63" s="126" t="s">
        <v>66</v>
      </c>
      <c r="P63" s="126" t="s">
        <v>66</v>
      </c>
      <c r="Q63" s="126" t="s">
        <v>66</v>
      </c>
      <c r="R63" s="126" t="s">
        <v>66</v>
      </c>
      <c r="S63" s="126" t="s">
        <v>66</v>
      </c>
      <c r="T63" s="126" t="s">
        <v>66</v>
      </c>
      <c r="U63" s="126" t="s">
        <v>66</v>
      </c>
      <c r="V63" s="126" t="s">
        <v>66</v>
      </c>
      <c r="W63" s="126" t="s">
        <v>66</v>
      </c>
      <c r="X63" s="126" t="s">
        <v>66</v>
      </c>
      <c r="Y63" s="126" t="s">
        <v>66</v>
      </c>
      <c r="Z63" s="126" t="s">
        <v>66</v>
      </c>
      <c r="AA63" s="126" t="s">
        <v>66</v>
      </c>
      <c r="AB63" s="126" t="s">
        <v>66</v>
      </c>
      <c r="AC63" s="126" t="s">
        <v>66</v>
      </c>
      <c r="AD63" s="126" t="s">
        <v>66</v>
      </c>
      <c r="AE63" s="126" t="s">
        <v>66</v>
      </c>
      <c r="AF63" s="126" t="s">
        <v>66</v>
      </c>
      <c r="AG63" s="126" t="s">
        <v>66</v>
      </c>
      <c r="AH63" s="126" t="s">
        <v>66</v>
      </c>
      <c r="AI63" s="126" t="s">
        <v>66</v>
      </c>
      <c r="AJ63" s="101"/>
      <c r="AL63" s="185" t="str">
        <f t="shared" ca="1" si="0"/>
        <v xml:space="preserve">    (U1)ALERT_REQ_S_ADBZR_TCHAR_</v>
      </c>
      <c r="AR63" s="59" t="str">
        <f t="shared" si="3"/>
        <v/>
      </c>
      <c r="AS63" s="59" t="str">
        <f t="shared" si="4"/>
        <v/>
      </c>
      <c r="AT63" s="59" t="str">
        <f t="shared" si="1"/>
        <v/>
      </c>
    </row>
    <row r="64" spans="2:46">
      <c r="B64" s="128"/>
      <c r="C64" s="43">
        <f t="shared" si="2"/>
        <v>58</v>
      </c>
      <c r="D64" s="57" t="s">
        <v>66</v>
      </c>
      <c r="E64" s="57" t="s">
        <v>66</v>
      </c>
      <c r="F64" s="126" t="s">
        <v>66</v>
      </c>
      <c r="G64" s="126" t="s">
        <v>66</v>
      </c>
      <c r="H64" s="126" t="s">
        <v>66</v>
      </c>
      <c r="I64" s="126" t="s">
        <v>66</v>
      </c>
      <c r="J64" s="126" t="s">
        <v>66</v>
      </c>
      <c r="K64" s="126" t="s">
        <v>66</v>
      </c>
      <c r="L64" s="126" t="s">
        <v>66</v>
      </c>
      <c r="M64" s="126" t="s">
        <v>66</v>
      </c>
      <c r="N64" s="126" t="s">
        <v>66</v>
      </c>
      <c r="O64" s="126" t="s">
        <v>66</v>
      </c>
      <c r="P64" s="126" t="s">
        <v>66</v>
      </c>
      <c r="Q64" s="126" t="s">
        <v>66</v>
      </c>
      <c r="R64" s="126" t="s">
        <v>66</v>
      </c>
      <c r="S64" s="126" t="s">
        <v>66</v>
      </c>
      <c r="T64" s="126" t="s">
        <v>66</v>
      </c>
      <c r="U64" s="126" t="s">
        <v>66</v>
      </c>
      <c r="V64" s="126" t="s">
        <v>66</v>
      </c>
      <c r="W64" s="126" t="s">
        <v>66</v>
      </c>
      <c r="X64" s="126" t="s">
        <v>66</v>
      </c>
      <c r="Y64" s="126" t="s">
        <v>66</v>
      </c>
      <c r="Z64" s="126" t="s">
        <v>66</v>
      </c>
      <c r="AA64" s="126" t="s">
        <v>66</v>
      </c>
      <c r="AB64" s="126" t="s">
        <v>66</v>
      </c>
      <c r="AC64" s="126" t="s">
        <v>66</v>
      </c>
      <c r="AD64" s="126" t="s">
        <v>66</v>
      </c>
      <c r="AE64" s="126" t="s">
        <v>66</v>
      </c>
      <c r="AF64" s="126" t="s">
        <v>66</v>
      </c>
      <c r="AG64" s="126" t="s">
        <v>66</v>
      </c>
      <c r="AH64" s="126" t="s">
        <v>66</v>
      </c>
      <c r="AI64" s="126" t="s">
        <v>66</v>
      </c>
      <c r="AJ64" s="101"/>
      <c r="AL64" s="185" t="str">
        <f t="shared" ca="1" si="0"/>
        <v xml:space="preserve">    (U1)ALERT_REQ_S_ADBZR_TCHAR_</v>
      </c>
      <c r="AR64" s="59" t="str">
        <f t="shared" si="3"/>
        <v/>
      </c>
      <c r="AS64" s="59" t="str">
        <f t="shared" si="4"/>
        <v/>
      </c>
      <c r="AT64" s="59" t="str">
        <f t="shared" si="1"/>
        <v/>
      </c>
    </row>
    <row r="65" spans="1:46">
      <c r="B65" s="128"/>
      <c r="C65" s="43">
        <f t="shared" si="2"/>
        <v>59</v>
      </c>
      <c r="D65" s="57" t="s">
        <v>66</v>
      </c>
      <c r="E65" s="57" t="s">
        <v>66</v>
      </c>
      <c r="F65" s="126" t="s">
        <v>66</v>
      </c>
      <c r="G65" s="126" t="s">
        <v>66</v>
      </c>
      <c r="H65" s="126" t="s">
        <v>66</v>
      </c>
      <c r="I65" s="126" t="s">
        <v>66</v>
      </c>
      <c r="J65" s="126" t="s">
        <v>66</v>
      </c>
      <c r="K65" s="126" t="s">
        <v>66</v>
      </c>
      <c r="L65" s="126" t="s">
        <v>66</v>
      </c>
      <c r="M65" s="126" t="s">
        <v>66</v>
      </c>
      <c r="N65" s="126" t="s">
        <v>66</v>
      </c>
      <c r="O65" s="126" t="s">
        <v>66</v>
      </c>
      <c r="P65" s="126" t="s">
        <v>66</v>
      </c>
      <c r="Q65" s="126" t="s">
        <v>66</v>
      </c>
      <c r="R65" s="126" t="s">
        <v>66</v>
      </c>
      <c r="S65" s="126" t="s">
        <v>66</v>
      </c>
      <c r="T65" s="126" t="s">
        <v>66</v>
      </c>
      <c r="U65" s="126" t="s">
        <v>66</v>
      </c>
      <c r="V65" s="126" t="s">
        <v>66</v>
      </c>
      <c r="W65" s="126" t="s">
        <v>66</v>
      </c>
      <c r="X65" s="126" t="s">
        <v>66</v>
      </c>
      <c r="Y65" s="126" t="s">
        <v>66</v>
      </c>
      <c r="Z65" s="126" t="s">
        <v>66</v>
      </c>
      <c r="AA65" s="126" t="s">
        <v>66</v>
      </c>
      <c r="AB65" s="126" t="s">
        <v>66</v>
      </c>
      <c r="AC65" s="126" t="s">
        <v>66</v>
      </c>
      <c r="AD65" s="126" t="s">
        <v>66</v>
      </c>
      <c r="AE65" s="126" t="s">
        <v>66</v>
      </c>
      <c r="AF65" s="126" t="s">
        <v>66</v>
      </c>
      <c r="AG65" s="126" t="s">
        <v>66</v>
      </c>
      <c r="AH65" s="126" t="s">
        <v>66</v>
      </c>
      <c r="AI65" s="126" t="s">
        <v>66</v>
      </c>
      <c r="AJ65" s="101"/>
      <c r="AL65" s="185" t="str">
        <f t="shared" ca="1" si="0"/>
        <v xml:space="preserve">    (U1)ALERT_REQ_S_ADBZR_TCHAR_</v>
      </c>
      <c r="AR65" s="59" t="str">
        <f t="shared" si="3"/>
        <v/>
      </c>
      <c r="AS65" s="59" t="str">
        <f t="shared" si="4"/>
        <v/>
      </c>
      <c r="AT65" s="59" t="str">
        <f t="shared" si="1"/>
        <v/>
      </c>
    </row>
    <row r="66" spans="1:46">
      <c r="B66" s="128"/>
      <c r="C66" s="43">
        <f t="shared" si="2"/>
        <v>60</v>
      </c>
      <c r="D66" s="57" t="s">
        <v>66</v>
      </c>
      <c r="E66" s="57" t="s">
        <v>66</v>
      </c>
      <c r="F66" s="126" t="s">
        <v>66</v>
      </c>
      <c r="G66" s="126" t="s">
        <v>66</v>
      </c>
      <c r="H66" s="126" t="s">
        <v>66</v>
      </c>
      <c r="I66" s="126" t="s">
        <v>66</v>
      </c>
      <c r="J66" s="126" t="s">
        <v>66</v>
      </c>
      <c r="K66" s="126" t="s">
        <v>66</v>
      </c>
      <c r="L66" s="126" t="s">
        <v>66</v>
      </c>
      <c r="M66" s="126" t="s">
        <v>66</v>
      </c>
      <c r="N66" s="126" t="s">
        <v>66</v>
      </c>
      <c r="O66" s="126" t="s">
        <v>66</v>
      </c>
      <c r="P66" s="126" t="s">
        <v>66</v>
      </c>
      <c r="Q66" s="126" t="s">
        <v>66</v>
      </c>
      <c r="R66" s="126" t="s">
        <v>66</v>
      </c>
      <c r="S66" s="126" t="s">
        <v>66</v>
      </c>
      <c r="T66" s="126" t="s">
        <v>66</v>
      </c>
      <c r="U66" s="126" t="s">
        <v>66</v>
      </c>
      <c r="V66" s="126" t="s">
        <v>66</v>
      </c>
      <c r="W66" s="126" t="s">
        <v>66</v>
      </c>
      <c r="X66" s="126" t="s">
        <v>66</v>
      </c>
      <c r="Y66" s="126" t="s">
        <v>66</v>
      </c>
      <c r="Z66" s="126" t="s">
        <v>66</v>
      </c>
      <c r="AA66" s="126" t="s">
        <v>66</v>
      </c>
      <c r="AB66" s="126" t="s">
        <v>66</v>
      </c>
      <c r="AC66" s="126" t="s">
        <v>66</v>
      </c>
      <c r="AD66" s="126" t="s">
        <v>66</v>
      </c>
      <c r="AE66" s="126" t="s">
        <v>66</v>
      </c>
      <c r="AF66" s="126" t="s">
        <v>66</v>
      </c>
      <c r="AG66" s="126" t="s">
        <v>66</v>
      </c>
      <c r="AH66" s="126" t="s">
        <v>66</v>
      </c>
      <c r="AI66" s="126" t="s">
        <v>66</v>
      </c>
      <c r="AJ66" s="101"/>
      <c r="AL66" s="185" t="str">
        <f t="shared" ca="1" si="0"/>
        <v xml:space="preserve">    (U1)ALERT_REQ_S_ADBZR_TCHAR_</v>
      </c>
      <c r="AR66" s="59" t="str">
        <f t="shared" si="3"/>
        <v/>
      </c>
      <c r="AS66" s="59" t="str">
        <f t="shared" si="4"/>
        <v/>
      </c>
      <c r="AT66" s="59" t="str">
        <f t="shared" si="1"/>
        <v/>
      </c>
    </row>
    <row r="67" spans="1:46">
      <c r="B67" s="128"/>
      <c r="C67" s="43">
        <f t="shared" si="2"/>
        <v>61</v>
      </c>
      <c r="D67" s="57" t="s">
        <v>66</v>
      </c>
      <c r="E67" s="57" t="s">
        <v>66</v>
      </c>
      <c r="F67" s="126" t="s">
        <v>66</v>
      </c>
      <c r="G67" s="126" t="s">
        <v>66</v>
      </c>
      <c r="H67" s="126" t="s">
        <v>66</v>
      </c>
      <c r="I67" s="126" t="s">
        <v>66</v>
      </c>
      <c r="J67" s="126" t="s">
        <v>66</v>
      </c>
      <c r="K67" s="126" t="s">
        <v>66</v>
      </c>
      <c r="L67" s="126" t="s">
        <v>66</v>
      </c>
      <c r="M67" s="126" t="s">
        <v>66</v>
      </c>
      <c r="N67" s="126" t="s">
        <v>66</v>
      </c>
      <c r="O67" s="126" t="s">
        <v>66</v>
      </c>
      <c r="P67" s="126" t="s">
        <v>66</v>
      </c>
      <c r="Q67" s="126" t="s">
        <v>66</v>
      </c>
      <c r="R67" s="126" t="s">
        <v>66</v>
      </c>
      <c r="S67" s="126" t="s">
        <v>66</v>
      </c>
      <c r="T67" s="126" t="s">
        <v>66</v>
      </c>
      <c r="U67" s="126" t="s">
        <v>66</v>
      </c>
      <c r="V67" s="126" t="s">
        <v>66</v>
      </c>
      <c r="W67" s="126" t="s">
        <v>66</v>
      </c>
      <c r="X67" s="126" t="s">
        <v>66</v>
      </c>
      <c r="Y67" s="126" t="s">
        <v>66</v>
      </c>
      <c r="Z67" s="126" t="s">
        <v>66</v>
      </c>
      <c r="AA67" s="126" t="s">
        <v>66</v>
      </c>
      <c r="AB67" s="126" t="s">
        <v>66</v>
      </c>
      <c r="AC67" s="126" t="s">
        <v>66</v>
      </c>
      <c r="AD67" s="126" t="s">
        <v>66</v>
      </c>
      <c r="AE67" s="126" t="s">
        <v>66</v>
      </c>
      <c r="AF67" s="126" t="s">
        <v>66</v>
      </c>
      <c r="AG67" s="126" t="s">
        <v>66</v>
      </c>
      <c r="AH67" s="126" t="s">
        <v>66</v>
      </c>
      <c r="AI67" s="126" t="s">
        <v>66</v>
      </c>
      <c r="AJ67" s="101"/>
      <c r="AL67" s="185" t="str">
        <f t="shared" ca="1" si="0"/>
        <v xml:space="preserve">    (U1)ALERT_REQ_S_ADBZR_TCHAR_</v>
      </c>
      <c r="AR67" s="59" t="str">
        <f t="shared" si="3"/>
        <v/>
      </c>
      <c r="AS67" s="59" t="str">
        <f t="shared" si="4"/>
        <v/>
      </c>
      <c r="AT67" s="59" t="str">
        <f t="shared" si="1"/>
        <v/>
      </c>
    </row>
    <row r="68" spans="1:46">
      <c r="B68" s="128"/>
      <c r="C68" s="43">
        <f t="shared" si="2"/>
        <v>62</v>
      </c>
      <c r="D68" s="57" t="s">
        <v>66</v>
      </c>
      <c r="E68" s="57" t="s">
        <v>66</v>
      </c>
      <c r="F68" s="126" t="s">
        <v>66</v>
      </c>
      <c r="G68" s="126" t="s">
        <v>66</v>
      </c>
      <c r="H68" s="126" t="s">
        <v>66</v>
      </c>
      <c r="I68" s="126" t="s">
        <v>66</v>
      </c>
      <c r="J68" s="126" t="s">
        <v>66</v>
      </c>
      <c r="K68" s="126" t="s">
        <v>66</v>
      </c>
      <c r="L68" s="126" t="s">
        <v>66</v>
      </c>
      <c r="M68" s="126" t="s">
        <v>66</v>
      </c>
      <c r="N68" s="126" t="s">
        <v>66</v>
      </c>
      <c r="O68" s="126" t="s">
        <v>66</v>
      </c>
      <c r="P68" s="126" t="s">
        <v>66</v>
      </c>
      <c r="Q68" s="126" t="s">
        <v>66</v>
      </c>
      <c r="R68" s="126" t="s">
        <v>66</v>
      </c>
      <c r="S68" s="126" t="s">
        <v>66</v>
      </c>
      <c r="T68" s="126" t="s">
        <v>66</v>
      </c>
      <c r="U68" s="126" t="s">
        <v>66</v>
      </c>
      <c r="V68" s="126" t="s">
        <v>66</v>
      </c>
      <c r="W68" s="126" t="s">
        <v>66</v>
      </c>
      <c r="X68" s="126" t="s">
        <v>66</v>
      </c>
      <c r="Y68" s="126" t="s">
        <v>66</v>
      </c>
      <c r="Z68" s="126" t="s">
        <v>66</v>
      </c>
      <c r="AA68" s="126" t="s">
        <v>66</v>
      </c>
      <c r="AB68" s="126" t="s">
        <v>66</v>
      </c>
      <c r="AC68" s="126" t="s">
        <v>66</v>
      </c>
      <c r="AD68" s="126" t="s">
        <v>66</v>
      </c>
      <c r="AE68" s="126" t="s">
        <v>66</v>
      </c>
      <c r="AF68" s="126" t="s">
        <v>66</v>
      </c>
      <c r="AG68" s="126" t="s">
        <v>66</v>
      </c>
      <c r="AH68" s="126" t="s">
        <v>66</v>
      </c>
      <c r="AI68" s="126" t="s">
        <v>66</v>
      </c>
      <c r="AJ68" s="101"/>
      <c r="AL68" s="185" t="str">
        <f t="shared" ca="1" si="0"/>
        <v xml:space="preserve">    (U1)ALERT_REQ_S_ADBZR_TCHAR_</v>
      </c>
      <c r="AR68" s="59" t="str">
        <f t="shared" si="3"/>
        <v/>
      </c>
      <c r="AS68" s="59" t="str">
        <f t="shared" si="4"/>
        <v/>
      </c>
      <c r="AT68" s="59" t="str">
        <f t="shared" si="1"/>
        <v/>
      </c>
    </row>
    <row r="69" spans="1:46">
      <c r="B69" s="129"/>
      <c r="C69" s="43">
        <f t="shared" si="2"/>
        <v>63</v>
      </c>
      <c r="D69" s="57" t="s">
        <v>66</v>
      </c>
      <c r="E69" s="57" t="s">
        <v>66</v>
      </c>
      <c r="F69" s="126" t="s">
        <v>66</v>
      </c>
      <c r="G69" s="126" t="s">
        <v>66</v>
      </c>
      <c r="H69" s="126" t="s">
        <v>66</v>
      </c>
      <c r="I69" s="126" t="s">
        <v>66</v>
      </c>
      <c r="J69" s="126" t="s">
        <v>66</v>
      </c>
      <c r="K69" s="126" t="s">
        <v>66</v>
      </c>
      <c r="L69" s="126" t="s">
        <v>66</v>
      </c>
      <c r="M69" s="126" t="s">
        <v>66</v>
      </c>
      <c r="N69" s="126" t="s">
        <v>66</v>
      </c>
      <c r="O69" s="126" t="s">
        <v>66</v>
      </c>
      <c r="P69" s="126" t="s">
        <v>66</v>
      </c>
      <c r="Q69" s="126" t="s">
        <v>66</v>
      </c>
      <c r="R69" s="126" t="s">
        <v>66</v>
      </c>
      <c r="S69" s="126" t="s">
        <v>66</v>
      </c>
      <c r="T69" s="126" t="s">
        <v>66</v>
      </c>
      <c r="U69" s="126" t="s">
        <v>66</v>
      </c>
      <c r="V69" s="126" t="s">
        <v>66</v>
      </c>
      <c r="W69" s="126" t="s">
        <v>66</v>
      </c>
      <c r="X69" s="126" t="s">
        <v>66</v>
      </c>
      <c r="Y69" s="126" t="s">
        <v>66</v>
      </c>
      <c r="Z69" s="126" t="s">
        <v>66</v>
      </c>
      <c r="AA69" s="126" t="s">
        <v>66</v>
      </c>
      <c r="AB69" s="126" t="s">
        <v>66</v>
      </c>
      <c r="AC69" s="126" t="s">
        <v>66</v>
      </c>
      <c r="AD69" s="126" t="s">
        <v>66</v>
      </c>
      <c r="AE69" s="126" t="s">
        <v>66</v>
      </c>
      <c r="AF69" s="126" t="s">
        <v>66</v>
      </c>
      <c r="AG69" s="126" t="s">
        <v>66</v>
      </c>
      <c r="AH69" s="126" t="s">
        <v>66</v>
      </c>
      <c r="AI69" s="126" t="s">
        <v>66</v>
      </c>
      <c r="AJ69" s="101"/>
      <c r="AL69" s="185" t="str">
        <f t="shared" ca="1" si="0"/>
        <v xml:space="preserve">    (U1)ALERT_REQ_S_ADBZR_TCHAR_</v>
      </c>
      <c r="AR69" s="59" t="str">
        <f t="shared" si="3"/>
        <v/>
      </c>
      <c r="AS69" s="59" t="str">
        <f t="shared" si="4"/>
        <v/>
      </c>
      <c r="AT69" s="59" t="str">
        <f t="shared" si="1"/>
        <v/>
      </c>
    </row>
    <row r="70" spans="1:46" ht="13.8" thickBot="1">
      <c r="A70" s="52" t="s">
        <v>63</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IF(AJ70&lt;&gt;"",AL70&amp;IF(AJ71&lt;&gt;"",","," ")&amp;REPT(" ",78-LEN(AL70))&amp;"/* "&amp;IF(C70&lt;10,"0"&amp;C70,C70)&amp;" "&amp;AJ70&amp;REPT(" ",48-LEN(AJ70))&amp;"*/",IF(AJ69&lt;&gt;"","};",""))</f>
        <v/>
      </c>
    </row>
    <row r="71" spans="1:46">
      <c r="B71" s="130" t="str">
        <f ca="1">IF(B6&lt;&gt;"",B6,"")</f>
        <v>Table S_ADBZR_TCHAR</v>
      </c>
      <c r="C71" s="43">
        <f>IF(C6&lt;&gt;"",C6,"")</f>
        <v>0</v>
      </c>
      <c r="D71" s="120">
        <f t="shared" ref="D71:AI78" si="5">IF(D6=1,1,0)</f>
        <v>0</v>
      </c>
      <c r="E71" s="120">
        <f t="shared" si="5"/>
        <v>0</v>
      </c>
      <c r="F71" s="120">
        <f t="shared" si="5"/>
        <v>0</v>
      </c>
      <c r="G71" s="120">
        <f t="shared" si="5"/>
        <v>0</v>
      </c>
      <c r="H71" s="120">
        <f t="shared" si="5"/>
        <v>0</v>
      </c>
      <c r="I71" s="120">
        <f t="shared" si="5"/>
        <v>0</v>
      </c>
      <c r="J71" s="120">
        <f t="shared" si="5"/>
        <v>0</v>
      </c>
      <c r="K71" s="120">
        <f t="shared" si="5"/>
        <v>0</v>
      </c>
      <c r="L71" s="120">
        <f t="shared" si="5"/>
        <v>0</v>
      </c>
      <c r="M71" s="120">
        <f t="shared" si="5"/>
        <v>0</v>
      </c>
      <c r="N71" s="120">
        <f t="shared" si="5"/>
        <v>0</v>
      </c>
      <c r="O71" s="120">
        <f t="shared" si="5"/>
        <v>0</v>
      </c>
      <c r="P71" s="120">
        <f t="shared" si="5"/>
        <v>0</v>
      </c>
      <c r="Q71" s="120">
        <f t="shared" si="5"/>
        <v>0</v>
      </c>
      <c r="R71" s="120">
        <f t="shared" si="5"/>
        <v>0</v>
      </c>
      <c r="S71" s="120">
        <f t="shared" si="5"/>
        <v>0</v>
      </c>
      <c r="T71" s="120">
        <f t="shared" si="5"/>
        <v>0</v>
      </c>
      <c r="U71" s="120">
        <f t="shared" si="5"/>
        <v>0</v>
      </c>
      <c r="V71" s="120">
        <f t="shared" si="5"/>
        <v>0</v>
      </c>
      <c r="W71" s="120">
        <f t="shared" si="5"/>
        <v>0</v>
      </c>
      <c r="X71" s="120">
        <f t="shared" si="5"/>
        <v>0</v>
      </c>
      <c r="Y71" s="120">
        <f t="shared" si="5"/>
        <v>0</v>
      </c>
      <c r="Z71" s="120">
        <f t="shared" si="5"/>
        <v>0</v>
      </c>
      <c r="AA71" s="120">
        <f t="shared" si="5"/>
        <v>0</v>
      </c>
      <c r="AB71" s="120">
        <f t="shared" si="5"/>
        <v>0</v>
      </c>
      <c r="AC71" s="120">
        <f t="shared" si="5"/>
        <v>0</v>
      </c>
      <c r="AD71" s="120">
        <f t="shared" si="5"/>
        <v>0</v>
      </c>
      <c r="AE71" s="120">
        <f t="shared" si="5"/>
        <v>0</v>
      </c>
      <c r="AF71" s="120">
        <f t="shared" si="5"/>
        <v>0</v>
      </c>
      <c r="AG71" s="120">
        <f t="shared" si="5"/>
        <v>0</v>
      </c>
      <c r="AH71" s="120">
        <f t="shared" si="5"/>
        <v>0</v>
      </c>
      <c r="AI71" s="120">
        <f t="shared" si="5"/>
        <v>0</v>
      </c>
      <c r="AJ71" s="43" t="str">
        <f t="shared" ref="AJ71:AJ134" si="6">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s="185" t="str">
        <f t="shared" ref="AQ71:AQ134" si="7">IF(AJ71="","","    (U4)0x"&amp;AO71&amp;AN71&amp;AM71&amp;AL71&amp;"U"&amp;IF(AJ72=""," ",",")&amp;REPT(" ",59)&amp;"/* "&amp;IF(C71&lt;10,"0"&amp;C71,C71)&amp;" "&amp;AJ71&amp;REPT(" ",47-LEN(AJ71))&amp;" */")</f>
        <v xml:space="preserve">    (U4)0x00000000U,                                                           /* 00 UNKNOWN                                         */</v>
      </c>
    </row>
    <row r="72" spans="1:46">
      <c r="B72" s="128"/>
      <c r="C72" s="43">
        <f t="shared" ref="C72:C134" si="8">IF(C7&lt;&gt;"",C7,"")</f>
        <v>1</v>
      </c>
      <c r="D72" s="120">
        <f t="shared" si="5"/>
        <v>0</v>
      </c>
      <c r="E72" s="120">
        <f t="shared" si="5"/>
        <v>0</v>
      </c>
      <c r="F72" s="120">
        <f t="shared" si="5"/>
        <v>0</v>
      </c>
      <c r="G72" s="120">
        <f t="shared" si="5"/>
        <v>0</v>
      </c>
      <c r="H72" s="120">
        <f t="shared" si="5"/>
        <v>0</v>
      </c>
      <c r="I72" s="120">
        <f t="shared" si="5"/>
        <v>0</v>
      </c>
      <c r="J72" s="120">
        <f t="shared" si="5"/>
        <v>0</v>
      </c>
      <c r="K72" s="120">
        <f t="shared" si="5"/>
        <v>0</v>
      </c>
      <c r="L72" s="120">
        <f t="shared" si="5"/>
        <v>0</v>
      </c>
      <c r="M72" s="120">
        <f t="shared" si="5"/>
        <v>0</v>
      </c>
      <c r="N72" s="120">
        <f t="shared" si="5"/>
        <v>0</v>
      </c>
      <c r="O72" s="120">
        <f t="shared" si="5"/>
        <v>0</v>
      </c>
      <c r="P72" s="120">
        <f t="shared" si="5"/>
        <v>0</v>
      </c>
      <c r="Q72" s="120">
        <f t="shared" si="5"/>
        <v>0</v>
      </c>
      <c r="R72" s="120">
        <f t="shared" si="5"/>
        <v>0</v>
      </c>
      <c r="S72" s="120">
        <f t="shared" si="5"/>
        <v>0</v>
      </c>
      <c r="T72" s="120">
        <f t="shared" si="5"/>
        <v>0</v>
      </c>
      <c r="U72" s="120">
        <f t="shared" si="5"/>
        <v>0</v>
      </c>
      <c r="V72" s="120">
        <f t="shared" si="5"/>
        <v>0</v>
      </c>
      <c r="W72" s="120">
        <f t="shared" si="5"/>
        <v>0</v>
      </c>
      <c r="X72" s="120">
        <f t="shared" si="5"/>
        <v>0</v>
      </c>
      <c r="Y72" s="120">
        <f t="shared" si="5"/>
        <v>0</v>
      </c>
      <c r="Z72" s="120">
        <f t="shared" si="5"/>
        <v>0</v>
      </c>
      <c r="AA72" s="120">
        <f t="shared" si="5"/>
        <v>0</v>
      </c>
      <c r="AB72" s="120">
        <f t="shared" si="5"/>
        <v>0</v>
      </c>
      <c r="AC72" s="120">
        <f t="shared" si="5"/>
        <v>0</v>
      </c>
      <c r="AD72" s="120">
        <f t="shared" si="5"/>
        <v>0</v>
      </c>
      <c r="AE72" s="120">
        <f t="shared" si="5"/>
        <v>0</v>
      </c>
      <c r="AF72" s="120">
        <f t="shared" si="5"/>
        <v>0</v>
      </c>
      <c r="AG72" s="120">
        <f t="shared" si="5"/>
        <v>0</v>
      </c>
      <c r="AH72" s="120">
        <f t="shared" si="5"/>
        <v>0</v>
      </c>
      <c r="AI72" s="120">
        <f t="shared" si="5"/>
        <v>1</v>
      </c>
      <c r="AJ72" s="43" t="str">
        <f t="shared" si="6"/>
        <v>CYCL1</v>
      </c>
      <c r="AK72" s="56"/>
      <c r="AL72" s="56" t="str">
        <f t="shared" ref="AL72:AL134" si="9">BIN2HEX(AB72&amp;AC72&amp;AD72&amp;AE72&amp;AF72&amp;AG72&amp;AH72&amp;AI72,2)</f>
        <v>01</v>
      </c>
      <c r="AM72" s="58" t="str">
        <f t="shared" ref="AM72:AM134" si="10">BIN2HEX(T72&amp;U72&amp;V72&amp;W72&amp;X72&amp;Y72&amp;Z72&amp;AA72,2)</f>
        <v>00</v>
      </c>
      <c r="AN72" s="58" t="str">
        <f t="shared" ref="AN72:AN134" si="11">BIN2HEX(L72&amp;M72&amp;N72&amp;O72&amp;P72&amp;Q72&amp;R72&amp;S72,2)</f>
        <v>00</v>
      </c>
      <c r="AO72" s="58" t="str">
        <f t="shared" ref="AO72:AO134" si="12">BIN2HEX(D72&amp;E72&amp;F72&amp;G72&amp;H72&amp;I72&amp;J72&amp;K72,2)</f>
        <v>00</v>
      </c>
      <c r="AQ72" s="185" t="str">
        <f t="shared" si="7"/>
        <v xml:space="preserve">    (U4)0x00000001U,                                                           /* 01 CYCL1                                           */</v>
      </c>
    </row>
    <row r="73" spans="1:46">
      <c r="B73" s="128"/>
      <c r="C73" s="43">
        <f t="shared" si="8"/>
        <v>2</v>
      </c>
      <c r="D73" s="120">
        <f t="shared" si="5"/>
        <v>0</v>
      </c>
      <c r="E73" s="120">
        <f t="shared" si="5"/>
        <v>0</v>
      </c>
      <c r="F73" s="120">
        <f t="shared" si="5"/>
        <v>0</v>
      </c>
      <c r="G73" s="120">
        <f t="shared" si="5"/>
        <v>0</v>
      </c>
      <c r="H73" s="120">
        <f t="shared" si="5"/>
        <v>0</v>
      </c>
      <c r="I73" s="120">
        <f t="shared" si="5"/>
        <v>0</v>
      </c>
      <c r="J73" s="120">
        <f t="shared" si="5"/>
        <v>0</v>
      </c>
      <c r="K73" s="120">
        <f t="shared" si="5"/>
        <v>0</v>
      </c>
      <c r="L73" s="120">
        <f t="shared" si="5"/>
        <v>0</v>
      </c>
      <c r="M73" s="120">
        <f t="shared" si="5"/>
        <v>0</v>
      </c>
      <c r="N73" s="120">
        <f t="shared" si="5"/>
        <v>0</v>
      </c>
      <c r="O73" s="120">
        <f t="shared" si="5"/>
        <v>0</v>
      </c>
      <c r="P73" s="120">
        <f t="shared" si="5"/>
        <v>0</v>
      </c>
      <c r="Q73" s="120">
        <f t="shared" si="5"/>
        <v>0</v>
      </c>
      <c r="R73" s="120">
        <f t="shared" si="5"/>
        <v>0</v>
      </c>
      <c r="S73" s="120">
        <f t="shared" si="5"/>
        <v>0</v>
      </c>
      <c r="T73" s="120">
        <f t="shared" si="5"/>
        <v>0</v>
      </c>
      <c r="U73" s="120">
        <f t="shared" si="5"/>
        <v>0</v>
      </c>
      <c r="V73" s="120">
        <f t="shared" si="5"/>
        <v>0</v>
      </c>
      <c r="W73" s="120">
        <f t="shared" si="5"/>
        <v>0</v>
      </c>
      <c r="X73" s="120">
        <f t="shared" si="5"/>
        <v>0</v>
      </c>
      <c r="Y73" s="120">
        <f t="shared" si="5"/>
        <v>0</v>
      </c>
      <c r="Z73" s="120">
        <f t="shared" si="5"/>
        <v>0</v>
      </c>
      <c r="AA73" s="120">
        <f t="shared" si="5"/>
        <v>0</v>
      </c>
      <c r="AB73" s="120">
        <f t="shared" si="5"/>
        <v>0</v>
      </c>
      <c r="AC73" s="120">
        <f t="shared" si="5"/>
        <v>0</v>
      </c>
      <c r="AD73" s="120">
        <f t="shared" si="5"/>
        <v>0</v>
      </c>
      <c r="AE73" s="120">
        <f t="shared" si="5"/>
        <v>0</v>
      </c>
      <c r="AF73" s="120">
        <f t="shared" si="5"/>
        <v>0</v>
      </c>
      <c r="AG73" s="120">
        <f t="shared" si="5"/>
        <v>0</v>
      </c>
      <c r="AH73" s="120">
        <f t="shared" si="5"/>
        <v>1</v>
      </c>
      <c r="AI73" s="120">
        <f t="shared" si="5"/>
        <v>0</v>
      </c>
      <c r="AJ73" s="43" t="str">
        <f t="shared" si="6"/>
        <v>CYCL2</v>
      </c>
      <c r="AK73" s="56"/>
      <c r="AL73" s="56" t="str">
        <f t="shared" si="9"/>
        <v>02</v>
      </c>
      <c r="AM73" s="58" t="str">
        <f t="shared" si="10"/>
        <v>00</v>
      </c>
      <c r="AN73" s="58" t="str">
        <f t="shared" si="11"/>
        <v>00</v>
      </c>
      <c r="AO73" s="58" t="str">
        <f t="shared" si="12"/>
        <v>00</v>
      </c>
      <c r="AQ73" s="185" t="str">
        <f t="shared" si="7"/>
        <v xml:space="preserve">    (U4)0x00000002U,                                                           /* 02 CYCL2                                           */</v>
      </c>
    </row>
    <row r="74" spans="1:46">
      <c r="B74" s="128"/>
      <c r="C74" s="43">
        <f t="shared" si="8"/>
        <v>3</v>
      </c>
      <c r="D74" s="120">
        <f t="shared" si="5"/>
        <v>0</v>
      </c>
      <c r="E74" s="120">
        <f t="shared" si="5"/>
        <v>0</v>
      </c>
      <c r="F74" s="120">
        <f t="shared" si="5"/>
        <v>0</v>
      </c>
      <c r="G74" s="120">
        <f t="shared" si="5"/>
        <v>0</v>
      </c>
      <c r="H74" s="120">
        <f t="shared" si="5"/>
        <v>0</v>
      </c>
      <c r="I74" s="120">
        <f t="shared" si="5"/>
        <v>0</v>
      </c>
      <c r="J74" s="120">
        <f t="shared" si="5"/>
        <v>0</v>
      </c>
      <c r="K74" s="120">
        <f t="shared" si="5"/>
        <v>0</v>
      </c>
      <c r="L74" s="120">
        <f t="shared" si="5"/>
        <v>0</v>
      </c>
      <c r="M74" s="120">
        <f t="shared" si="5"/>
        <v>0</v>
      </c>
      <c r="N74" s="120">
        <f t="shared" si="5"/>
        <v>0</v>
      </c>
      <c r="O74" s="120">
        <f t="shared" si="5"/>
        <v>0</v>
      </c>
      <c r="P74" s="120">
        <f t="shared" si="5"/>
        <v>0</v>
      </c>
      <c r="Q74" s="120">
        <f t="shared" si="5"/>
        <v>0</v>
      </c>
      <c r="R74" s="120">
        <f t="shared" si="5"/>
        <v>0</v>
      </c>
      <c r="S74" s="120">
        <f t="shared" si="5"/>
        <v>0</v>
      </c>
      <c r="T74" s="120">
        <f t="shared" si="5"/>
        <v>0</v>
      </c>
      <c r="U74" s="120">
        <f t="shared" si="5"/>
        <v>0</v>
      </c>
      <c r="V74" s="120">
        <f t="shared" si="5"/>
        <v>0</v>
      </c>
      <c r="W74" s="120">
        <f t="shared" si="5"/>
        <v>0</v>
      </c>
      <c r="X74" s="120">
        <f t="shared" si="5"/>
        <v>0</v>
      </c>
      <c r="Y74" s="120">
        <f t="shared" si="5"/>
        <v>0</v>
      </c>
      <c r="Z74" s="120">
        <f t="shared" si="5"/>
        <v>0</v>
      </c>
      <c r="AA74" s="120">
        <f t="shared" si="5"/>
        <v>0</v>
      </c>
      <c r="AB74" s="120">
        <f t="shared" si="5"/>
        <v>0</v>
      </c>
      <c r="AC74" s="120">
        <f t="shared" si="5"/>
        <v>0</v>
      </c>
      <c r="AD74" s="120">
        <f t="shared" si="5"/>
        <v>0</v>
      </c>
      <c r="AE74" s="120">
        <f t="shared" si="5"/>
        <v>0</v>
      </c>
      <c r="AF74" s="120">
        <f t="shared" si="5"/>
        <v>0</v>
      </c>
      <c r="AG74" s="120">
        <f t="shared" si="5"/>
        <v>0</v>
      </c>
      <c r="AH74" s="120">
        <f t="shared" si="5"/>
        <v>1</v>
      </c>
      <c r="AI74" s="120">
        <f t="shared" si="5"/>
        <v>1</v>
      </c>
      <c r="AJ74" s="43" t="str">
        <f t="shared" si="6"/>
        <v>SINGLE</v>
      </c>
      <c r="AK74" s="56"/>
      <c r="AL74" s="56" t="str">
        <f t="shared" si="9"/>
        <v>03</v>
      </c>
      <c r="AM74" s="58" t="str">
        <f t="shared" si="10"/>
        <v>00</v>
      </c>
      <c r="AN74" s="58" t="str">
        <f t="shared" si="11"/>
        <v>00</v>
      </c>
      <c r="AO74" s="58" t="str">
        <f t="shared" si="12"/>
        <v>00</v>
      </c>
      <c r="AQ74" s="185" t="str">
        <f t="shared" si="7"/>
        <v xml:space="preserve">    (U4)0x00000003U,                                                           /* 03 SINGLE                                          */</v>
      </c>
    </row>
    <row r="75" spans="1:46">
      <c r="B75" s="128"/>
      <c r="C75" s="43">
        <f t="shared" si="8"/>
        <v>4</v>
      </c>
      <c r="D75" s="120">
        <f t="shared" si="5"/>
        <v>0</v>
      </c>
      <c r="E75" s="120">
        <f t="shared" si="5"/>
        <v>0</v>
      </c>
      <c r="F75" s="120">
        <f t="shared" si="5"/>
        <v>0</v>
      </c>
      <c r="G75" s="120">
        <f t="shared" si="5"/>
        <v>0</v>
      </c>
      <c r="H75" s="120">
        <f t="shared" si="5"/>
        <v>0</v>
      </c>
      <c r="I75" s="120">
        <f t="shared" si="5"/>
        <v>0</v>
      </c>
      <c r="J75" s="120">
        <f t="shared" si="5"/>
        <v>0</v>
      </c>
      <c r="K75" s="120">
        <f t="shared" si="5"/>
        <v>0</v>
      </c>
      <c r="L75" s="120">
        <f t="shared" si="5"/>
        <v>0</v>
      </c>
      <c r="M75" s="120">
        <f t="shared" si="5"/>
        <v>0</v>
      </c>
      <c r="N75" s="120">
        <f t="shared" si="5"/>
        <v>0</v>
      </c>
      <c r="O75" s="120">
        <f t="shared" si="5"/>
        <v>0</v>
      </c>
      <c r="P75" s="120">
        <f t="shared" si="5"/>
        <v>0</v>
      </c>
      <c r="Q75" s="120">
        <f t="shared" si="5"/>
        <v>0</v>
      </c>
      <c r="R75" s="120">
        <f t="shared" si="5"/>
        <v>0</v>
      </c>
      <c r="S75" s="120">
        <f t="shared" si="5"/>
        <v>0</v>
      </c>
      <c r="T75" s="120">
        <f t="shared" si="5"/>
        <v>0</v>
      </c>
      <c r="U75" s="120">
        <f t="shared" si="5"/>
        <v>0</v>
      </c>
      <c r="V75" s="120">
        <f t="shared" si="5"/>
        <v>0</v>
      </c>
      <c r="W75" s="120">
        <f t="shared" si="5"/>
        <v>0</v>
      </c>
      <c r="X75" s="120">
        <f t="shared" si="5"/>
        <v>0</v>
      </c>
      <c r="Y75" s="120">
        <f t="shared" si="5"/>
        <v>0</v>
      </c>
      <c r="Z75" s="120">
        <f t="shared" si="5"/>
        <v>0</v>
      </c>
      <c r="AA75" s="120">
        <f t="shared" si="5"/>
        <v>0</v>
      </c>
      <c r="AB75" s="120">
        <f t="shared" si="5"/>
        <v>0</v>
      </c>
      <c r="AC75" s="120">
        <f t="shared" si="5"/>
        <v>0</v>
      </c>
      <c r="AD75" s="120">
        <f t="shared" si="5"/>
        <v>0</v>
      </c>
      <c r="AE75" s="120">
        <f t="shared" si="5"/>
        <v>0</v>
      </c>
      <c r="AF75" s="120">
        <f t="shared" si="5"/>
        <v>0</v>
      </c>
      <c r="AG75" s="120">
        <f t="shared" si="5"/>
        <v>1</v>
      </c>
      <c r="AH75" s="120">
        <f t="shared" si="5"/>
        <v>0</v>
      </c>
      <c r="AI75" s="120">
        <f t="shared" si="5"/>
        <v>0</v>
      </c>
      <c r="AJ75" s="43" t="str">
        <f t="shared" si="6"/>
        <v>UNKNOWN</v>
      </c>
      <c r="AK75" s="56"/>
      <c r="AL75" s="56" t="str">
        <f t="shared" si="9"/>
        <v>04</v>
      </c>
      <c r="AM75" s="58" t="str">
        <f t="shared" si="10"/>
        <v>00</v>
      </c>
      <c r="AN75" s="58" t="str">
        <f t="shared" si="11"/>
        <v>00</v>
      </c>
      <c r="AO75" s="58" t="str">
        <f t="shared" si="12"/>
        <v>00</v>
      </c>
      <c r="AQ75" s="185" t="str">
        <f t="shared" si="7"/>
        <v xml:space="preserve">    (U4)0x00000004U,                                                           /* 04 UNKNOWN                                         */</v>
      </c>
    </row>
    <row r="76" spans="1:46">
      <c r="B76" s="128"/>
      <c r="C76" s="43">
        <f t="shared" si="8"/>
        <v>5</v>
      </c>
      <c r="D76" s="120">
        <f t="shared" si="5"/>
        <v>0</v>
      </c>
      <c r="E76" s="120">
        <f t="shared" si="5"/>
        <v>0</v>
      </c>
      <c r="F76" s="120">
        <f t="shared" si="5"/>
        <v>0</v>
      </c>
      <c r="G76" s="120">
        <f t="shared" si="5"/>
        <v>0</v>
      </c>
      <c r="H76" s="120">
        <f t="shared" si="5"/>
        <v>0</v>
      </c>
      <c r="I76" s="120">
        <f t="shared" si="5"/>
        <v>0</v>
      </c>
      <c r="J76" s="120">
        <f t="shared" si="5"/>
        <v>0</v>
      </c>
      <c r="K76" s="120">
        <f t="shared" si="5"/>
        <v>0</v>
      </c>
      <c r="L76" s="120">
        <f t="shared" si="5"/>
        <v>0</v>
      </c>
      <c r="M76" s="120">
        <f t="shared" si="5"/>
        <v>0</v>
      </c>
      <c r="N76" s="120">
        <f t="shared" si="5"/>
        <v>0</v>
      </c>
      <c r="O76" s="120">
        <f t="shared" si="5"/>
        <v>0</v>
      </c>
      <c r="P76" s="120">
        <f t="shared" si="5"/>
        <v>0</v>
      </c>
      <c r="Q76" s="120">
        <f t="shared" si="5"/>
        <v>0</v>
      </c>
      <c r="R76" s="120">
        <f t="shared" si="5"/>
        <v>0</v>
      </c>
      <c r="S76" s="120">
        <f t="shared" si="5"/>
        <v>0</v>
      </c>
      <c r="T76" s="120">
        <f t="shared" si="5"/>
        <v>0</v>
      </c>
      <c r="U76" s="120">
        <f t="shared" si="5"/>
        <v>0</v>
      </c>
      <c r="V76" s="120">
        <f t="shared" si="5"/>
        <v>0</v>
      </c>
      <c r="W76" s="120">
        <f t="shared" si="5"/>
        <v>0</v>
      </c>
      <c r="X76" s="120">
        <f t="shared" si="5"/>
        <v>0</v>
      </c>
      <c r="Y76" s="120">
        <f t="shared" si="5"/>
        <v>0</v>
      </c>
      <c r="Z76" s="120">
        <f t="shared" si="5"/>
        <v>0</v>
      </c>
      <c r="AA76" s="120">
        <f t="shared" si="5"/>
        <v>0</v>
      </c>
      <c r="AB76" s="120">
        <f t="shared" si="5"/>
        <v>0</v>
      </c>
      <c r="AC76" s="120">
        <f t="shared" si="5"/>
        <v>0</v>
      </c>
      <c r="AD76" s="120">
        <f t="shared" si="5"/>
        <v>0</v>
      </c>
      <c r="AE76" s="120">
        <f t="shared" si="5"/>
        <v>0</v>
      </c>
      <c r="AF76" s="120">
        <f t="shared" si="5"/>
        <v>0</v>
      </c>
      <c r="AG76" s="120">
        <f t="shared" si="5"/>
        <v>1</v>
      </c>
      <c r="AH76" s="120">
        <f t="shared" si="5"/>
        <v>0</v>
      </c>
      <c r="AI76" s="120">
        <f t="shared" si="5"/>
        <v>1</v>
      </c>
      <c r="AJ76" s="43" t="str">
        <f t="shared" si="6"/>
        <v>UNKNOWN</v>
      </c>
      <c r="AK76" s="56"/>
      <c r="AL76" s="56" t="str">
        <f t="shared" si="9"/>
        <v>05</v>
      </c>
      <c r="AM76" s="58" t="str">
        <f t="shared" si="10"/>
        <v>00</v>
      </c>
      <c r="AN76" s="58" t="str">
        <f t="shared" si="11"/>
        <v>00</v>
      </c>
      <c r="AO76" s="58" t="str">
        <f t="shared" si="12"/>
        <v>00</v>
      </c>
      <c r="AQ76" s="185" t="str">
        <f t="shared" si="7"/>
        <v xml:space="preserve">    (U4)0x00000005U,                                                           /* 05 UNKNOWN                                         */</v>
      </c>
    </row>
    <row r="77" spans="1:46">
      <c r="B77" s="128"/>
      <c r="C77" s="43">
        <f t="shared" si="8"/>
        <v>6</v>
      </c>
      <c r="D77" s="120">
        <f t="shared" si="5"/>
        <v>0</v>
      </c>
      <c r="E77" s="120">
        <f t="shared" si="5"/>
        <v>0</v>
      </c>
      <c r="F77" s="120">
        <f t="shared" si="5"/>
        <v>0</v>
      </c>
      <c r="G77" s="120">
        <f t="shared" si="5"/>
        <v>0</v>
      </c>
      <c r="H77" s="120">
        <f t="shared" si="5"/>
        <v>0</v>
      </c>
      <c r="I77" s="120">
        <f t="shared" si="5"/>
        <v>0</v>
      </c>
      <c r="J77" s="120">
        <f t="shared" si="5"/>
        <v>0</v>
      </c>
      <c r="K77" s="120">
        <f t="shared" si="5"/>
        <v>0</v>
      </c>
      <c r="L77" s="120">
        <f t="shared" si="5"/>
        <v>0</v>
      </c>
      <c r="M77" s="120">
        <f t="shared" si="5"/>
        <v>0</v>
      </c>
      <c r="N77" s="120">
        <f t="shared" si="5"/>
        <v>0</v>
      </c>
      <c r="O77" s="120">
        <f t="shared" si="5"/>
        <v>0</v>
      </c>
      <c r="P77" s="120">
        <f t="shared" si="5"/>
        <v>0</v>
      </c>
      <c r="Q77" s="120">
        <f t="shared" si="5"/>
        <v>0</v>
      </c>
      <c r="R77" s="120">
        <f t="shared" si="5"/>
        <v>0</v>
      </c>
      <c r="S77" s="120">
        <f t="shared" si="5"/>
        <v>0</v>
      </c>
      <c r="T77" s="120">
        <f t="shared" si="5"/>
        <v>0</v>
      </c>
      <c r="U77" s="120">
        <f t="shared" si="5"/>
        <v>0</v>
      </c>
      <c r="V77" s="120">
        <f t="shared" si="5"/>
        <v>0</v>
      </c>
      <c r="W77" s="120">
        <f t="shared" si="5"/>
        <v>0</v>
      </c>
      <c r="X77" s="120">
        <f t="shared" si="5"/>
        <v>0</v>
      </c>
      <c r="Y77" s="120">
        <f t="shared" si="5"/>
        <v>0</v>
      </c>
      <c r="Z77" s="120">
        <f t="shared" si="5"/>
        <v>0</v>
      </c>
      <c r="AA77" s="120">
        <f t="shared" si="5"/>
        <v>0</v>
      </c>
      <c r="AB77" s="120">
        <f t="shared" si="5"/>
        <v>0</v>
      </c>
      <c r="AC77" s="120">
        <f t="shared" si="5"/>
        <v>0</v>
      </c>
      <c r="AD77" s="120">
        <f t="shared" si="5"/>
        <v>0</v>
      </c>
      <c r="AE77" s="120">
        <f t="shared" si="5"/>
        <v>0</v>
      </c>
      <c r="AF77" s="120">
        <f t="shared" si="5"/>
        <v>0</v>
      </c>
      <c r="AG77" s="120">
        <f t="shared" si="5"/>
        <v>1</v>
      </c>
      <c r="AH77" s="120">
        <f t="shared" si="5"/>
        <v>1</v>
      </c>
      <c r="AI77" s="120">
        <f t="shared" si="5"/>
        <v>0</v>
      </c>
      <c r="AJ77" s="43" t="str">
        <f t="shared" si="6"/>
        <v>UNKNOWN</v>
      </c>
      <c r="AK77" s="56"/>
      <c r="AL77" s="56" t="str">
        <f t="shared" si="9"/>
        <v>06</v>
      </c>
      <c r="AM77" s="58" t="str">
        <f t="shared" si="10"/>
        <v>00</v>
      </c>
      <c r="AN77" s="58" t="str">
        <f t="shared" si="11"/>
        <v>00</v>
      </c>
      <c r="AO77" s="58" t="str">
        <f t="shared" si="12"/>
        <v>00</v>
      </c>
      <c r="AQ77" s="185" t="str">
        <f t="shared" si="7"/>
        <v xml:space="preserve">    (U4)0x00000006U,                                                           /* 06 UNKNOWN                                         */</v>
      </c>
    </row>
    <row r="78" spans="1:46">
      <c r="B78" s="128"/>
      <c r="C78" s="43">
        <f t="shared" si="8"/>
        <v>7</v>
      </c>
      <c r="D78" s="120">
        <f t="shared" si="5"/>
        <v>0</v>
      </c>
      <c r="E78" s="120">
        <f t="shared" si="5"/>
        <v>0</v>
      </c>
      <c r="F78" s="120">
        <f t="shared" si="5"/>
        <v>0</v>
      </c>
      <c r="G78" s="120">
        <f t="shared" si="5"/>
        <v>0</v>
      </c>
      <c r="H78" s="120">
        <f t="shared" si="5"/>
        <v>0</v>
      </c>
      <c r="I78" s="120">
        <f t="shared" si="5"/>
        <v>0</v>
      </c>
      <c r="J78" s="120">
        <f t="shared" si="5"/>
        <v>0</v>
      </c>
      <c r="K78" s="120">
        <f t="shared" si="5"/>
        <v>0</v>
      </c>
      <c r="L78" s="120">
        <f t="shared" si="5"/>
        <v>0</v>
      </c>
      <c r="M78" s="120">
        <f t="shared" si="5"/>
        <v>0</v>
      </c>
      <c r="N78" s="120">
        <f t="shared" si="5"/>
        <v>0</v>
      </c>
      <c r="O78" s="120">
        <f t="shared" si="5"/>
        <v>0</v>
      </c>
      <c r="P78" s="120">
        <f t="shared" si="5"/>
        <v>0</v>
      </c>
      <c r="Q78" s="120">
        <f t="shared" si="5"/>
        <v>0</v>
      </c>
      <c r="R78" s="120">
        <f t="shared" si="5"/>
        <v>0</v>
      </c>
      <c r="S78" s="120">
        <f t="shared" si="5"/>
        <v>0</v>
      </c>
      <c r="T78" s="120">
        <f t="shared" si="5"/>
        <v>0</v>
      </c>
      <c r="U78" s="120">
        <f t="shared" si="5"/>
        <v>0</v>
      </c>
      <c r="V78" s="120">
        <f t="shared" si="5"/>
        <v>0</v>
      </c>
      <c r="W78" s="120">
        <f t="shared" si="5"/>
        <v>0</v>
      </c>
      <c r="X78" s="120">
        <f t="shared" si="5"/>
        <v>0</v>
      </c>
      <c r="Y78" s="120">
        <f t="shared" si="5"/>
        <v>0</v>
      </c>
      <c r="Z78" s="120">
        <f t="shared" si="5"/>
        <v>0</v>
      </c>
      <c r="AA78" s="120">
        <f t="shared" si="5"/>
        <v>0</v>
      </c>
      <c r="AB78" s="120">
        <f t="shared" si="5"/>
        <v>0</v>
      </c>
      <c r="AC78" s="120">
        <f t="shared" si="5"/>
        <v>0</v>
      </c>
      <c r="AD78" s="120">
        <f t="shared" si="5"/>
        <v>0</v>
      </c>
      <c r="AE78" s="120">
        <f t="shared" si="5"/>
        <v>0</v>
      </c>
      <c r="AF78" s="120">
        <f t="shared" si="5"/>
        <v>0</v>
      </c>
      <c r="AG78" s="120">
        <f t="shared" si="5"/>
        <v>1</v>
      </c>
      <c r="AH78" s="120">
        <f t="shared" si="5"/>
        <v>1</v>
      </c>
      <c r="AI78" s="120">
        <f>IF(AI13=1,1,0)</f>
        <v>1</v>
      </c>
      <c r="AJ78" s="43" t="str">
        <f t="shared" si="6"/>
        <v>UNKNOWN</v>
      </c>
      <c r="AK78" s="56"/>
      <c r="AL78" s="56" t="str">
        <f t="shared" si="9"/>
        <v>07</v>
      </c>
      <c r="AM78" s="58" t="str">
        <f t="shared" si="10"/>
        <v>00</v>
      </c>
      <c r="AN78" s="58" t="str">
        <f t="shared" si="11"/>
        <v>00</v>
      </c>
      <c r="AO78" s="58" t="str">
        <f t="shared" si="12"/>
        <v>00</v>
      </c>
      <c r="AQ78" s="185" t="str">
        <f t="shared" si="7"/>
        <v xml:space="preserve">    (U4)0x00000007U,                                                           /* 07 UNKNOWN                                         */</v>
      </c>
    </row>
    <row r="79" spans="1:46">
      <c r="B79" s="128"/>
      <c r="C79" s="43">
        <f t="shared" si="8"/>
        <v>8</v>
      </c>
      <c r="D79" s="120">
        <f t="shared" ref="D79:AI86" si="13">IF(D14=1,1,0)</f>
        <v>0</v>
      </c>
      <c r="E79" s="120">
        <f t="shared" si="13"/>
        <v>0</v>
      </c>
      <c r="F79" s="120">
        <f t="shared" si="13"/>
        <v>0</v>
      </c>
      <c r="G79" s="120">
        <f t="shared" si="13"/>
        <v>0</v>
      </c>
      <c r="H79" s="120">
        <f t="shared" si="13"/>
        <v>0</v>
      </c>
      <c r="I79" s="120">
        <f t="shared" si="13"/>
        <v>0</v>
      </c>
      <c r="J79" s="120">
        <f t="shared" si="13"/>
        <v>0</v>
      </c>
      <c r="K79" s="120">
        <f t="shared" si="13"/>
        <v>0</v>
      </c>
      <c r="L79" s="120">
        <f t="shared" si="13"/>
        <v>0</v>
      </c>
      <c r="M79" s="120">
        <f t="shared" si="13"/>
        <v>0</v>
      </c>
      <c r="N79" s="120">
        <f t="shared" si="13"/>
        <v>0</v>
      </c>
      <c r="O79" s="120">
        <f t="shared" si="13"/>
        <v>0</v>
      </c>
      <c r="P79" s="120">
        <f t="shared" si="13"/>
        <v>0</v>
      </c>
      <c r="Q79" s="120">
        <f t="shared" si="13"/>
        <v>0</v>
      </c>
      <c r="R79" s="120">
        <f t="shared" si="13"/>
        <v>0</v>
      </c>
      <c r="S79" s="120">
        <f t="shared" si="13"/>
        <v>0</v>
      </c>
      <c r="T79" s="120">
        <f t="shared" si="13"/>
        <v>0</v>
      </c>
      <c r="U79" s="120">
        <f t="shared" si="13"/>
        <v>0</v>
      </c>
      <c r="V79" s="120">
        <f t="shared" si="13"/>
        <v>0</v>
      </c>
      <c r="W79" s="120">
        <f t="shared" si="13"/>
        <v>0</v>
      </c>
      <c r="X79" s="120">
        <f t="shared" si="13"/>
        <v>0</v>
      </c>
      <c r="Y79" s="120">
        <f t="shared" si="13"/>
        <v>0</v>
      </c>
      <c r="Z79" s="120">
        <f t="shared" si="13"/>
        <v>0</v>
      </c>
      <c r="AA79" s="120">
        <f t="shared" si="13"/>
        <v>0</v>
      </c>
      <c r="AB79" s="120">
        <f t="shared" si="13"/>
        <v>0</v>
      </c>
      <c r="AC79" s="120">
        <f t="shared" si="13"/>
        <v>0</v>
      </c>
      <c r="AD79" s="120">
        <f t="shared" si="13"/>
        <v>0</v>
      </c>
      <c r="AE79" s="120">
        <f t="shared" si="13"/>
        <v>0</v>
      </c>
      <c r="AF79" s="120">
        <f t="shared" si="13"/>
        <v>1</v>
      </c>
      <c r="AG79" s="120">
        <f t="shared" si="13"/>
        <v>0</v>
      </c>
      <c r="AH79" s="120">
        <f t="shared" si="13"/>
        <v>0</v>
      </c>
      <c r="AI79" s="120">
        <f t="shared" si="13"/>
        <v>0</v>
      </c>
      <c r="AJ79" s="43" t="str">
        <f t="shared" si="6"/>
        <v>UNKNOWN</v>
      </c>
      <c r="AK79" s="56"/>
      <c r="AL79" s="56" t="str">
        <f t="shared" si="9"/>
        <v>08</v>
      </c>
      <c r="AM79" s="58" t="str">
        <f t="shared" si="10"/>
        <v>00</v>
      </c>
      <c r="AN79" s="58" t="str">
        <f t="shared" si="11"/>
        <v>00</v>
      </c>
      <c r="AO79" s="58" t="str">
        <f t="shared" si="12"/>
        <v>00</v>
      </c>
      <c r="AQ79" s="185" t="str">
        <f t="shared" si="7"/>
        <v xml:space="preserve">    (U4)0x00000008U,                                                           /* 08 UNKNOWN                                         */</v>
      </c>
    </row>
    <row r="80" spans="1:46">
      <c r="B80" s="128"/>
      <c r="C80" s="43">
        <f t="shared" si="8"/>
        <v>9</v>
      </c>
      <c r="D80" s="120">
        <f t="shared" si="13"/>
        <v>0</v>
      </c>
      <c r="E80" s="120">
        <f t="shared" si="13"/>
        <v>0</v>
      </c>
      <c r="F80" s="120">
        <f t="shared" si="13"/>
        <v>0</v>
      </c>
      <c r="G80" s="120">
        <f t="shared" si="13"/>
        <v>0</v>
      </c>
      <c r="H80" s="120">
        <f t="shared" si="13"/>
        <v>0</v>
      </c>
      <c r="I80" s="120">
        <f t="shared" si="13"/>
        <v>0</v>
      </c>
      <c r="J80" s="120">
        <f t="shared" si="13"/>
        <v>0</v>
      </c>
      <c r="K80" s="120">
        <f t="shared" si="13"/>
        <v>0</v>
      </c>
      <c r="L80" s="120">
        <f t="shared" si="13"/>
        <v>0</v>
      </c>
      <c r="M80" s="120">
        <f t="shared" si="13"/>
        <v>0</v>
      </c>
      <c r="N80" s="120">
        <f t="shared" si="13"/>
        <v>0</v>
      </c>
      <c r="O80" s="120">
        <f t="shared" si="13"/>
        <v>0</v>
      </c>
      <c r="P80" s="120">
        <f t="shared" si="13"/>
        <v>0</v>
      </c>
      <c r="Q80" s="120">
        <f t="shared" si="13"/>
        <v>0</v>
      </c>
      <c r="R80" s="120">
        <f t="shared" si="13"/>
        <v>0</v>
      </c>
      <c r="S80" s="120">
        <f t="shared" si="13"/>
        <v>0</v>
      </c>
      <c r="T80" s="120">
        <f t="shared" si="13"/>
        <v>0</v>
      </c>
      <c r="U80" s="120">
        <f t="shared" si="13"/>
        <v>0</v>
      </c>
      <c r="V80" s="120">
        <f t="shared" si="13"/>
        <v>0</v>
      </c>
      <c r="W80" s="120">
        <f t="shared" si="13"/>
        <v>0</v>
      </c>
      <c r="X80" s="120">
        <f t="shared" si="13"/>
        <v>0</v>
      </c>
      <c r="Y80" s="120">
        <f t="shared" si="13"/>
        <v>0</v>
      </c>
      <c r="Z80" s="120">
        <f t="shared" si="13"/>
        <v>0</v>
      </c>
      <c r="AA80" s="120">
        <f t="shared" si="13"/>
        <v>0</v>
      </c>
      <c r="AB80" s="120">
        <f t="shared" si="13"/>
        <v>0</v>
      </c>
      <c r="AC80" s="120">
        <f t="shared" si="13"/>
        <v>0</v>
      </c>
      <c r="AD80" s="120">
        <f t="shared" si="13"/>
        <v>0</v>
      </c>
      <c r="AE80" s="120">
        <f t="shared" si="13"/>
        <v>0</v>
      </c>
      <c r="AF80" s="120">
        <f t="shared" si="13"/>
        <v>1</v>
      </c>
      <c r="AG80" s="120">
        <f t="shared" si="13"/>
        <v>0</v>
      </c>
      <c r="AH80" s="120">
        <f t="shared" si="13"/>
        <v>0</v>
      </c>
      <c r="AI80" s="120">
        <f t="shared" si="13"/>
        <v>1</v>
      </c>
      <c r="AJ80" s="43" t="str">
        <f t="shared" si="6"/>
        <v>UNKNOWN</v>
      </c>
      <c r="AK80" s="56"/>
      <c r="AL80" s="56" t="str">
        <f t="shared" si="9"/>
        <v>09</v>
      </c>
      <c r="AM80" s="58" t="str">
        <f t="shared" si="10"/>
        <v>00</v>
      </c>
      <c r="AN80" s="58" t="str">
        <f t="shared" si="11"/>
        <v>00</v>
      </c>
      <c r="AO80" s="58" t="str">
        <f t="shared" si="12"/>
        <v>00</v>
      </c>
      <c r="AQ80" s="185" t="str">
        <f t="shared" si="7"/>
        <v xml:space="preserve">    (U4)0x00000009U,                                                           /* 09 UNKNOWN                                         */</v>
      </c>
    </row>
    <row r="81" spans="2:43">
      <c r="B81" s="128"/>
      <c r="C81" s="43">
        <f t="shared" si="8"/>
        <v>10</v>
      </c>
      <c r="D81" s="120">
        <f t="shared" si="13"/>
        <v>0</v>
      </c>
      <c r="E81" s="120">
        <f t="shared" si="13"/>
        <v>0</v>
      </c>
      <c r="F81" s="120">
        <f t="shared" si="13"/>
        <v>0</v>
      </c>
      <c r="G81" s="120">
        <f t="shared" si="13"/>
        <v>0</v>
      </c>
      <c r="H81" s="120">
        <f t="shared" si="13"/>
        <v>0</v>
      </c>
      <c r="I81" s="120">
        <f t="shared" si="13"/>
        <v>0</v>
      </c>
      <c r="J81" s="120">
        <f t="shared" si="13"/>
        <v>0</v>
      </c>
      <c r="K81" s="120">
        <f t="shared" si="13"/>
        <v>0</v>
      </c>
      <c r="L81" s="120">
        <f t="shared" si="13"/>
        <v>0</v>
      </c>
      <c r="M81" s="120">
        <f t="shared" si="13"/>
        <v>0</v>
      </c>
      <c r="N81" s="120">
        <f t="shared" si="13"/>
        <v>0</v>
      </c>
      <c r="O81" s="120">
        <f t="shared" si="13"/>
        <v>0</v>
      </c>
      <c r="P81" s="120">
        <f t="shared" si="13"/>
        <v>0</v>
      </c>
      <c r="Q81" s="120">
        <f t="shared" si="13"/>
        <v>0</v>
      </c>
      <c r="R81" s="120">
        <f t="shared" si="13"/>
        <v>0</v>
      </c>
      <c r="S81" s="120">
        <f t="shared" si="13"/>
        <v>0</v>
      </c>
      <c r="T81" s="120">
        <f t="shared" si="13"/>
        <v>0</v>
      </c>
      <c r="U81" s="120">
        <f t="shared" si="13"/>
        <v>0</v>
      </c>
      <c r="V81" s="120">
        <f t="shared" si="13"/>
        <v>0</v>
      </c>
      <c r="W81" s="120">
        <f t="shared" si="13"/>
        <v>0</v>
      </c>
      <c r="X81" s="120">
        <f t="shared" si="13"/>
        <v>0</v>
      </c>
      <c r="Y81" s="120">
        <f t="shared" si="13"/>
        <v>0</v>
      </c>
      <c r="Z81" s="120">
        <f t="shared" si="13"/>
        <v>0</v>
      </c>
      <c r="AA81" s="120">
        <f t="shared" si="13"/>
        <v>0</v>
      </c>
      <c r="AB81" s="120">
        <f t="shared" si="13"/>
        <v>0</v>
      </c>
      <c r="AC81" s="120">
        <f t="shared" si="13"/>
        <v>0</v>
      </c>
      <c r="AD81" s="120">
        <f t="shared" si="13"/>
        <v>0</v>
      </c>
      <c r="AE81" s="120">
        <f t="shared" si="13"/>
        <v>0</v>
      </c>
      <c r="AF81" s="120">
        <f t="shared" si="13"/>
        <v>1</v>
      </c>
      <c r="AG81" s="120">
        <f t="shared" si="13"/>
        <v>0</v>
      </c>
      <c r="AH81" s="120">
        <f t="shared" si="13"/>
        <v>1</v>
      </c>
      <c r="AI81" s="120">
        <f t="shared" si="13"/>
        <v>0</v>
      </c>
      <c r="AJ81" s="43" t="str">
        <f t="shared" si="6"/>
        <v>UNKNOWN</v>
      </c>
      <c r="AK81" s="56"/>
      <c r="AL81" s="56" t="str">
        <f t="shared" si="9"/>
        <v>0A</v>
      </c>
      <c r="AM81" s="58" t="str">
        <f t="shared" si="10"/>
        <v>00</v>
      </c>
      <c r="AN81" s="58" t="str">
        <f t="shared" si="11"/>
        <v>00</v>
      </c>
      <c r="AO81" s="58" t="str">
        <f t="shared" si="12"/>
        <v>00</v>
      </c>
      <c r="AQ81" s="185" t="str">
        <f t="shared" si="7"/>
        <v xml:space="preserve">    (U4)0x0000000AU,                                                           /* 10 UNKNOWN                                         */</v>
      </c>
    </row>
    <row r="82" spans="2:43">
      <c r="B82" s="128"/>
      <c r="C82" s="43">
        <f t="shared" si="8"/>
        <v>11</v>
      </c>
      <c r="D82" s="120">
        <f t="shared" si="13"/>
        <v>0</v>
      </c>
      <c r="E82" s="120">
        <f t="shared" si="13"/>
        <v>0</v>
      </c>
      <c r="F82" s="120">
        <f t="shared" si="13"/>
        <v>0</v>
      </c>
      <c r="G82" s="120">
        <f t="shared" si="13"/>
        <v>0</v>
      </c>
      <c r="H82" s="120">
        <f t="shared" si="13"/>
        <v>0</v>
      </c>
      <c r="I82" s="120">
        <f t="shared" si="13"/>
        <v>0</v>
      </c>
      <c r="J82" s="120">
        <f t="shared" si="13"/>
        <v>0</v>
      </c>
      <c r="K82" s="120">
        <f t="shared" si="13"/>
        <v>0</v>
      </c>
      <c r="L82" s="120">
        <f t="shared" si="13"/>
        <v>0</v>
      </c>
      <c r="M82" s="120">
        <f t="shared" si="13"/>
        <v>0</v>
      </c>
      <c r="N82" s="120">
        <f t="shared" si="13"/>
        <v>0</v>
      </c>
      <c r="O82" s="120">
        <f t="shared" si="13"/>
        <v>0</v>
      </c>
      <c r="P82" s="120">
        <f t="shared" si="13"/>
        <v>0</v>
      </c>
      <c r="Q82" s="120">
        <f t="shared" si="13"/>
        <v>0</v>
      </c>
      <c r="R82" s="120">
        <f t="shared" si="13"/>
        <v>0</v>
      </c>
      <c r="S82" s="120">
        <f t="shared" si="13"/>
        <v>0</v>
      </c>
      <c r="T82" s="120">
        <f t="shared" si="13"/>
        <v>0</v>
      </c>
      <c r="U82" s="120">
        <f t="shared" si="13"/>
        <v>0</v>
      </c>
      <c r="V82" s="120">
        <f t="shared" si="13"/>
        <v>0</v>
      </c>
      <c r="W82" s="120">
        <f t="shared" si="13"/>
        <v>0</v>
      </c>
      <c r="X82" s="120">
        <f t="shared" si="13"/>
        <v>0</v>
      </c>
      <c r="Y82" s="120">
        <f t="shared" si="13"/>
        <v>0</v>
      </c>
      <c r="Z82" s="120">
        <f t="shared" si="13"/>
        <v>0</v>
      </c>
      <c r="AA82" s="120">
        <f t="shared" si="13"/>
        <v>0</v>
      </c>
      <c r="AB82" s="120">
        <f t="shared" si="13"/>
        <v>0</v>
      </c>
      <c r="AC82" s="120">
        <f t="shared" si="13"/>
        <v>0</v>
      </c>
      <c r="AD82" s="120">
        <f t="shared" si="13"/>
        <v>0</v>
      </c>
      <c r="AE82" s="120">
        <f t="shared" si="13"/>
        <v>0</v>
      </c>
      <c r="AF82" s="120">
        <f t="shared" si="13"/>
        <v>1</v>
      </c>
      <c r="AG82" s="120">
        <f t="shared" si="13"/>
        <v>0</v>
      </c>
      <c r="AH82" s="120">
        <f t="shared" si="13"/>
        <v>1</v>
      </c>
      <c r="AI82" s="120">
        <f t="shared" si="13"/>
        <v>1</v>
      </c>
      <c r="AJ82" s="43" t="str">
        <f t="shared" si="6"/>
        <v>UNKNOWN</v>
      </c>
      <c r="AK82" s="56"/>
      <c r="AL82" s="56" t="str">
        <f t="shared" si="9"/>
        <v>0B</v>
      </c>
      <c r="AM82" s="58" t="str">
        <f t="shared" si="10"/>
        <v>00</v>
      </c>
      <c r="AN82" s="58" t="str">
        <f t="shared" si="11"/>
        <v>00</v>
      </c>
      <c r="AO82" s="58" t="str">
        <f t="shared" si="12"/>
        <v>00</v>
      </c>
      <c r="AQ82" s="185" t="str">
        <f t="shared" si="7"/>
        <v xml:space="preserve">    (U4)0x0000000BU,                                                           /* 11 UNKNOWN                                         */</v>
      </c>
    </row>
    <row r="83" spans="2:43">
      <c r="B83" s="128"/>
      <c r="C83" s="43">
        <f t="shared" si="8"/>
        <v>12</v>
      </c>
      <c r="D83" s="120">
        <f t="shared" si="13"/>
        <v>0</v>
      </c>
      <c r="E83" s="120">
        <f t="shared" si="13"/>
        <v>0</v>
      </c>
      <c r="F83" s="120">
        <f t="shared" si="13"/>
        <v>0</v>
      </c>
      <c r="G83" s="120">
        <f t="shared" si="13"/>
        <v>0</v>
      </c>
      <c r="H83" s="120">
        <f t="shared" si="13"/>
        <v>0</v>
      </c>
      <c r="I83" s="120">
        <f t="shared" si="13"/>
        <v>0</v>
      </c>
      <c r="J83" s="120">
        <f t="shared" si="13"/>
        <v>0</v>
      </c>
      <c r="K83" s="120">
        <f t="shared" si="13"/>
        <v>0</v>
      </c>
      <c r="L83" s="120">
        <f t="shared" si="13"/>
        <v>0</v>
      </c>
      <c r="M83" s="120">
        <f t="shared" si="13"/>
        <v>0</v>
      </c>
      <c r="N83" s="120">
        <f t="shared" si="13"/>
        <v>0</v>
      </c>
      <c r="O83" s="120">
        <f t="shared" si="13"/>
        <v>0</v>
      </c>
      <c r="P83" s="120">
        <f t="shared" si="13"/>
        <v>0</v>
      </c>
      <c r="Q83" s="120">
        <f t="shared" si="13"/>
        <v>0</v>
      </c>
      <c r="R83" s="120">
        <f t="shared" si="13"/>
        <v>0</v>
      </c>
      <c r="S83" s="120">
        <f t="shared" si="13"/>
        <v>0</v>
      </c>
      <c r="T83" s="120">
        <f t="shared" si="13"/>
        <v>0</v>
      </c>
      <c r="U83" s="120">
        <f t="shared" si="13"/>
        <v>0</v>
      </c>
      <c r="V83" s="120">
        <f t="shared" si="13"/>
        <v>0</v>
      </c>
      <c r="W83" s="120">
        <f t="shared" si="13"/>
        <v>0</v>
      </c>
      <c r="X83" s="120">
        <f t="shared" si="13"/>
        <v>0</v>
      </c>
      <c r="Y83" s="120">
        <f t="shared" si="13"/>
        <v>0</v>
      </c>
      <c r="Z83" s="120">
        <f t="shared" si="13"/>
        <v>0</v>
      </c>
      <c r="AA83" s="120">
        <f t="shared" si="13"/>
        <v>0</v>
      </c>
      <c r="AB83" s="120">
        <f t="shared" si="13"/>
        <v>0</v>
      </c>
      <c r="AC83" s="120">
        <f t="shared" si="13"/>
        <v>0</v>
      </c>
      <c r="AD83" s="120">
        <f t="shared" si="13"/>
        <v>0</v>
      </c>
      <c r="AE83" s="120">
        <f t="shared" si="13"/>
        <v>0</v>
      </c>
      <c r="AF83" s="120">
        <f t="shared" si="13"/>
        <v>1</v>
      </c>
      <c r="AG83" s="120">
        <f t="shared" si="13"/>
        <v>1</v>
      </c>
      <c r="AH83" s="120">
        <f t="shared" si="13"/>
        <v>0</v>
      </c>
      <c r="AI83" s="120">
        <f t="shared" si="13"/>
        <v>0</v>
      </c>
      <c r="AJ83" s="43" t="str">
        <f t="shared" si="6"/>
        <v>UNKNOWN</v>
      </c>
      <c r="AK83" s="56"/>
      <c r="AL83" s="56" t="str">
        <f t="shared" si="9"/>
        <v>0C</v>
      </c>
      <c r="AM83" s="58" t="str">
        <f t="shared" si="10"/>
        <v>00</v>
      </c>
      <c r="AN83" s="58" t="str">
        <f t="shared" si="11"/>
        <v>00</v>
      </c>
      <c r="AO83" s="58" t="str">
        <f t="shared" si="12"/>
        <v>00</v>
      </c>
      <c r="AQ83" s="185" t="str">
        <f t="shared" si="7"/>
        <v xml:space="preserve">    (U4)0x0000000CU,                                                           /* 12 UNKNOWN                                         */</v>
      </c>
    </row>
    <row r="84" spans="2:43">
      <c r="B84" s="128"/>
      <c r="C84" s="43">
        <f t="shared" si="8"/>
        <v>13</v>
      </c>
      <c r="D84" s="120">
        <f t="shared" si="13"/>
        <v>0</v>
      </c>
      <c r="E84" s="120">
        <f t="shared" si="13"/>
        <v>0</v>
      </c>
      <c r="F84" s="120">
        <f t="shared" si="13"/>
        <v>0</v>
      </c>
      <c r="G84" s="120">
        <f t="shared" si="13"/>
        <v>0</v>
      </c>
      <c r="H84" s="120">
        <f t="shared" si="13"/>
        <v>0</v>
      </c>
      <c r="I84" s="120">
        <f t="shared" si="13"/>
        <v>0</v>
      </c>
      <c r="J84" s="120">
        <f t="shared" si="13"/>
        <v>0</v>
      </c>
      <c r="K84" s="120">
        <f t="shared" si="13"/>
        <v>0</v>
      </c>
      <c r="L84" s="120">
        <f t="shared" si="13"/>
        <v>0</v>
      </c>
      <c r="M84" s="120">
        <f t="shared" si="13"/>
        <v>0</v>
      </c>
      <c r="N84" s="120">
        <f t="shared" si="13"/>
        <v>0</v>
      </c>
      <c r="O84" s="120">
        <f t="shared" si="13"/>
        <v>0</v>
      </c>
      <c r="P84" s="120">
        <f t="shared" si="13"/>
        <v>0</v>
      </c>
      <c r="Q84" s="120">
        <f t="shared" si="13"/>
        <v>0</v>
      </c>
      <c r="R84" s="120">
        <f t="shared" si="13"/>
        <v>0</v>
      </c>
      <c r="S84" s="120">
        <f t="shared" si="13"/>
        <v>0</v>
      </c>
      <c r="T84" s="120">
        <f t="shared" si="13"/>
        <v>0</v>
      </c>
      <c r="U84" s="120">
        <f t="shared" si="13"/>
        <v>0</v>
      </c>
      <c r="V84" s="120">
        <f t="shared" si="13"/>
        <v>0</v>
      </c>
      <c r="W84" s="120">
        <f t="shared" si="13"/>
        <v>0</v>
      </c>
      <c r="X84" s="120">
        <f t="shared" si="13"/>
        <v>0</v>
      </c>
      <c r="Y84" s="120">
        <f t="shared" si="13"/>
        <v>0</v>
      </c>
      <c r="Z84" s="120">
        <f t="shared" si="13"/>
        <v>0</v>
      </c>
      <c r="AA84" s="120">
        <f t="shared" si="13"/>
        <v>0</v>
      </c>
      <c r="AB84" s="120">
        <f t="shared" si="13"/>
        <v>0</v>
      </c>
      <c r="AC84" s="120">
        <f t="shared" si="13"/>
        <v>0</v>
      </c>
      <c r="AD84" s="120">
        <f t="shared" si="13"/>
        <v>0</v>
      </c>
      <c r="AE84" s="120">
        <f t="shared" si="13"/>
        <v>0</v>
      </c>
      <c r="AF84" s="120">
        <f t="shared" si="13"/>
        <v>1</v>
      </c>
      <c r="AG84" s="120">
        <f t="shared" si="13"/>
        <v>1</v>
      </c>
      <c r="AH84" s="120">
        <f t="shared" si="13"/>
        <v>0</v>
      </c>
      <c r="AI84" s="120">
        <f t="shared" si="13"/>
        <v>1</v>
      </c>
      <c r="AJ84" s="43" t="str">
        <f t="shared" si="6"/>
        <v>UNKNOWN</v>
      </c>
      <c r="AK84" s="56"/>
      <c r="AL84" s="56" t="str">
        <f t="shared" si="9"/>
        <v>0D</v>
      </c>
      <c r="AM84" s="58" t="str">
        <f t="shared" si="10"/>
        <v>00</v>
      </c>
      <c r="AN84" s="58" t="str">
        <f t="shared" si="11"/>
        <v>00</v>
      </c>
      <c r="AO84" s="58" t="str">
        <f t="shared" si="12"/>
        <v>00</v>
      </c>
      <c r="AQ84" s="185" t="str">
        <f t="shared" si="7"/>
        <v xml:space="preserve">    (U4)0x0000000DU,                                                           /* 13 UNKNOWN                                         */</v>
      </c>
    </row>
    <row r="85" spans="2:43">
      <c r="B85" s="128"/>
      <c r="C85" s="43">
        <f t="shared" si="8"/>
        <v>14</v>
      </c>
      <c r="D85" s="120">
        <f t="shared" si="13"/>
        <v>0</v>
      </c>
      <c r="E85" s="120">
        <f t="shared" si="13"/>
        <v>0</v>
      </c>
      <c r="F85" s="120">
        <f t="shared" si="13"/>
        <v>0</v>
      </c>
      <c r="G85" s="120">
        <f t="shared" si="13"/>
        <v>0</v>
      </c>
      <c r="H85" s="120">
        <f t="shared" si="13"/>
        <v>0</v>
      </c>
      <c r="I85" s="120">
        <f t="shared" si="13"/>
        <v>0</v>
      </c>
      <c r="J85" s="120">
        <f t="shared" si="13"/>
        <v>0</v>
      </c>
      <c r="K85" s="120">
        <f t="shared" si="13"/>
        <v>0</v>
      </c>
      <c r="L85" s="120">
        <f t="shared" si="13"/>
        <v>0</v>
      </c>
      <c r="M85" s="120">
        <f t="shared" si="13"/>
        <v>0</v>
      </c>
      <c r="N85" s="120">
        <f t="shared" si="13"/>
        <v>0</v>
      </c>
      <c r="O85" s="120">
        <f t="shared" si="13"/>
        <v>0</v>
      </c>
      <c r="P85" s="120">
        <f t="shared" si="13"/>
        <v>0</v>
      </c>
      <c r="Q85" s="120">
        <f t="shared" si="13"/>
        <v>0</v>
      </c>
      <c r="R85" s="120">
        <f t="shared" si="13"/>
        <v>0</v>
      </c>
      <c r="S85" s="120">
        <f t="shared" si="13"/>
        <v>0</v>
      </c>
      <c r="T85" s="120">
        <f t="shared" si="13"/>
        <v>0</v>
      </c>
      <c r="U85" s="120">
        <f t="shared" si="13"/>
        <v>0</v>
      </c>
      <c r="V85" s="120">
        <f t="shared" si="13"/>
        <v>0</v>
      </c>
      <c r="W85" s="120">
        <f t="shared" si="13"/>
        <v>0</v>
      </c>
      <c r="X85" s="120">
        <f t="shared" si="13"/>
        <v>0</v>
      </c>
      <c r="Y85" s="120">
        <f t="shared" si="13"/>
        <v>0</v>
      </c>
      <c r="Z85" s="120">
        <f t="shared" si="13"/>
        <v>0</v>
      </c>
      <c r="AA85" s="120">
        <f t="shared" si="13"/>
        <v>0</v>
      </c>
      <c r="AB85" s="120">
        <f t="shared" si="13"/>
        <v>0</v>
      </c>
      <c r="AC85" s="120">
        <f t="shared" si="13"/>
        <v>0</v>
      </c>
      <c r="AD85" s="120">
        <f t="shared" si="13"/>
        <v>0</v>
      </c>
      <c r="AE85" s="120">
        <f t="shared" si="13"/>
        <v>0</v>
      </c>
      <c r="AF85" s="120">
        <f t="shared" si="13"/>
        <v>1</v>
      </c>
      <c r="AG85" s="120">
        <f t="shared" si="13"/>
        <v>1</v>
      </c>
      <c r="AH85" s="120">
        <f t="shared" si="13"/>
        <v>1</v>
      </c>
      <c r="AI85" s="120">
        <f t="shared" si="13"/>
        <v>0</v>
      </c>
      <c r="AJ85" s="43" t="str">
        <f t="shared" si="6"/>
        <v>UNKNOWN</v>
      </c>
      <c r="AK85" s="56"/>
      <c r="AL85" s="56" t="str">
        <f t="shared" si="9"/>
        <v>0E</v>
      </c>
      <c r="AM85" s="58" t="str">
        <f t="shared" si="10"/>
        <v>00</v>
      </c>
      <c r="AN85" s="58" t="str">
        <f t="shared" si="11"/>
        <v>00</v>
      </c>
      <c r="AO85" s="58" t="str">
        <f t="shared" si="12"/>
        <v>00</v>
      </c>
      <c r="AQ85" s="185" t="str">
        <f t="shared" si="7"/>
        <v xml:space="preserve">    (U4)0x0000000EU,                                                           /* 14 UNKNOWN                                         */</v>
      </c>
    </row>
    <row r="86" spans="2:43">
      <c r="B86" s="128"/>
      <c r="C86" s="43">
        <f t="shared" si="8"/>
        <v>15</v>
      </c>
      <c r="D86" s="120">
        <f t="shared" si="13"/>
        <v>0</v>
      </c>
      <c r="E86" s="120">
        <f t="shared" si="13"/>
        <v>0</v>
      </c>
      <c r="F86" s="120">
        <f t="shared" si="13"/>
        <v>0</v>
      </c>
      <c r="G86" s="120">
        <f t="shared" si="13"/>
        <v>0</v>
      </c>
      <c r="H86" s="120">
        <f t="shared" si="13"/>
        <v>0</v>
      </c>
      <c r="I86" s="120">
        <f t="shared" si="13"/>
        <v>0</v>
      </c>
      <c r="J86" s="120">
        <f t="shared" si="13"/>
        <v>0</v>
      </c>
      <c r="K86" s="120">
        <f t="shared" si="13"/>
        <v>0</v>
      </c>
      <c r="L86" s="120">
        <f t="shared" si="13"/>
        <v>0</v>
      </c>
      <c r="M86" s="120">
        <f t="shared" si="13"/>
        <v>0</v>
      </c>
      <c r="N86" s="120">
        <f t="shared" si="13"/>
        <v>0</v>
      </c>
      <c r="O86" s="120">
        <f t="shared" si="13"/>
        <v>0</v>
      </c>
      <c r="P86" s="120">
        <f t="shared" si="13"/>
        <v>0</v>
      </c>
      <c r="Q86" s="120">
        <f t="shared" si="13"/>
        <v>0</v>
      </c>
      <c r="R86" s="120">
        <f t="shared" si="13"/>
        <v>0</v>
      </c>
      <c r="S86" s="120">
        <f t="shared" si="13"/>
        <v>0</v>
      </c>
      <c r="T86" s="120">
        <f t="shared" si="13"/>
        <v>0</v>
      </c>
      <c r="U86" s="120">
        <f t="shared" si="13"/>
        <v>0</v>
      </c>
      <c r="V86" s="120">
        <f t="shared" si="13"/>
        <v>0</v>
      </c>
      <c r="W86" s="120">
        <f t="shared" si="13"/>
        <v>0</v>
      </c>
      <c r="X86" s="120">
        <f t="shared" si="13"/>
        <v>0</v>
      </c>
      <c r="Y86" s="120">
        <f t="shared" si="13"/>
        <v>0</v>
      </c>
      <c r="Z86" s="120">
        <f t="shared" si="13"/>
        <v>0</v>
      </c>
      <c r="AA86" s="120">
        <f t="shared" si="13"/>
        <v>0</v>
      </c>
      <c r="AB86" s="120">
        <f t="shared" si="13"/>
        <v>0</v>
      </c>
      <c r="AC86" s="120">
        <f t="shared" si="13"/>
        <v>0</v>
      </c>
      <c r="AD86" s="120">
        <f t="shared" si="13"/>
        <v>0</v>
      </c>
      <c r="AE86" s="120">
        <f t="shared" si="13"/>
        <v>0</v>
      </c>
      <c r="AF86" s="120">
        <f t="shared" si="13"/>
        <v>1</v>
      </c>
      <c r="AG86" s="120">
        <f t="shared" si="13"/>
        <v>1</v>
      </c>
      <c r="AH86" s="120">
        <f t="shared" si="13"/>
        <v>1</v>
      </c>
      <c r="AI86" s="120">
        <f>IF(AI21=1,1,0)</f>
        <v>1</v>
      </c>
      <c r="AJ86" s="43" t="str">
        <f t="shared" si="6"/>
        <v>UNKNOWN</v>
      </c>
      <c r="AK86" s="56"/>
      <c r="AL86" s="56" t="str">
        <f t="shared" si="9"/>
        <v>0F</v>
      </c>
      <c r="AM86" s="58" t="str">
        <f t="shared" si="10"/>
        <v>00</v>
      </c>
      <c r="AN86" s="58" t="str">
        <f t="shared" si="11"/>
        <v>00</v>
      </c>
      <c r="AO86" s="58" t="str">
        <f t="shared" si="12"/>
        <v>00</v>
      </c>
      <c r="AQ86" s="185" t="str">
        <f t="shared" si="7"/>
        <v xml:space="preserve">    (U4)0x0000000FU                                                            /* 15 UNKNOWN                                         */</v>
      </c>
    </row>
    <row r="87" spans="2:43">
      <c r="B87" s="128"/>
      <c r="C87" s="43">
        <f t="shared" si="8"/>
        <v>16</v>
      </c>
      <c r="D87" s="120">
        <f t="shared" ref="D87:AI94" si="14">IF(D22=1,1,0)</f>
        <v>0</v>
      </c>
      <c r="E87" s="120">
        <f t="shared" si="14"/>
        <v>0</v>
      </c>
      <c r="F87" s="120">
        <f t="shared" si="14"/>
        <v>0</v>
      </c>
      <c r="G87" s="120">
        <f t="shared" si="14"/>
        <v>0</v>
      </c>
      <c r="H87" s="120">
        <f t="shared" si="14"/>
        <v>0</v>
      </c>
      <c r="I87" s="120">
        <f t="shared" si="14"/>
        <v>0</v>
      </c>
      <c r="J87" s="120">
        <f t="shared" si="14"/>
        <v>0</v>
      </c>
      <c r="K87" s="120">
        <f t="shared" si="14"/>
        <v>0</v>
      </c>
      <c r="L87" s="120">
        <f t="shared" si="14"/>
        <v>0</v>
      </c>
      <c r="M87" s="120">
        <f t="shared" si="14"/>
        <v>0</v>
      </c>
      <c r="N87" s="120">
        <f t="shared" si="14"/>
        <v>0</v>
      </c>
      <c r="O87" s="120">
        <f t="shared" si="14"/>
        <v>0</v>
      </c>
      <c r="P87" s="120">
        <f t="shared" si="14"/>
        <v>0</v>
      </c>
      <c r="Q87" s="120">
        <f t="shared" si="14"/>
        <v>0</v>
      </c>
      <c r="R87" s="120">
        <f t="shared" si="14"/>
        <v>0</v>
      </c>
      <c r="S87" s="120">
        <f t="shared" si="14"/>
        <v>0</v>
      </c>
      <c r="T87" s="120">
        <f t="shared" si="14"/>
        <v>0</v>
      </c>
      <c r="U87" s="120">
        <f t="shared" si="14"/>
        <v>0</v>
      </c>
      <c r="V87" s="120">
        <f t="shared" si="14"/>
        <v>0</v>
      </c>
      <c r="W87" s="120">
        <f t="shared" si="14"/>
        <v>0</v>
      </c>
      <c r="X87" s="120">
        <f t="shared" si="14"/>
        <v>0</v>
      </c>
      <c r="Y87" s="120">
        <f t="shared" si="14"/>
        <v>0</v>
      </c>
      <c r="Z87" s="120">
        <f t="shared" si="14"/>
        <v>0</v>
      </c>
      <c r="AA87" s="120">
        <f t="shared" si="14"/>
        <v>0</v>
      </c>
      <c r="AB87" s="120">
        <f t="shared" si="14"/>
        <v>0</v>
      </c>
      <c r="AC87" s="120">
        <f t="shared" si="14"/>
        <v>0</v>
      </c>
      <c r="AD87" s="120">
        <f t="shared" si="14"/>
        <v>0</v>
      </c>
      <c r="AE87" s="120">
        <f t="shared" si="14"/>
        <v>0</v>
      </c>
      <c r="AF87" s="120">
        <f t="shared" si="14"/>
        <v>0</v>
      </c>
      <c r="AG87" s="120">
        <f t="shared" si="14"/>
        <v>0</v>
      </c>
      <c r="AH87" s="120">
        <f t="shared" si="14"/>
        <v>0</v>
      </c>
      <c r="AI87" s="120">
        <f t="shared" si="14"/>
        <v>0</v>
      </c>
      <c r="AJ87" s="43" t="str">
        <f t="shared" si="6"/>
        <v/>
      </c>
      <c r="AK87" s="56"/>
      <c r="AL87" s="56" t="str">
        <f t="shared" si="9"/>
        <v>00</v>
      </c>
      <c r="AM87" s="58" t="str">
        <f t="shared" si="10"/>
        <v>00</v>
      </c>
      <c r="AN87" s="58" t="str">
        <f t="shared" si="11"/>
        <v>00</v>
      </c>
      <c r="AO87" s="58" t="str">
        <f t="shared" si="12"/>
        <v>00</v>
      </c>
      <c r="AQ87" s="185" t="str">
        <f t="shared" si="7"/>
        <v/>
      </c>
    </row>
    <row r="88" spans="2:43">
      <c r="B88" s="128"/>
      <c r="C88" s="43">
        <f t="shared" si="8"/>
        <v>17</v>
      </c>
      <c r="D88" s="120">
        <f t="shared" si="14"/>
        <v>0</v>
      </c>
      <c r="E88" s="120">
        <f t="shared" si="14"/>
        <v>0</v>
      </c>
      <c r="F88" s="120">
        <f t="shared" si="14"/>
        <v>0</v>
      </c>
      <c r="G88" s="120">
        <f t="shared" si="14"/>
        <v>0</v>
      </c>
      <c r="H88" s="120">
        <f t="shared" si="14"/>
        <v>0</v>
      </c>
      <c r="I88" s="120">
        <f t="shared" si="14"/>
        <v>0</v>
      </c>
      <c r="J88" s="120">
        <f t="shared" si="14"/>
        <v>0</v>
      </c>
      <c r="K88" s="120">
        <f t="shared" si="14"/>
        <v>0</v>
      </c>
      <c r="L88" s="120">
        <f t="shared" si="14"/>
        <v>0</v>
      </c>
      <c r="M88" s="120">
        <f t="shared" si="14"/>
        <v>0</v>
      </c>
      <c r="N88" s="120">
        <f t="shared" si="14"/>
        <v>0</v>
      </c>
      <c r="O88" s="120">
        <f t="shared" si="14"/>
        <v>0</v>
      </c>
      <c r="P88" s="120">
        <f t="shared" si="14"/>
        <v>0</v>
      </c>
      <c r="Q88" s="120">
        <f t="shared" si="14"/>
        <v>0</v>
      </c>
      <c r="R88" s="120">
        <f t="shared" si="14"/>
        <v>0</v>
      </c>
      <c r="S88" s="120">
        <f t="shared" si="14"/>
        <v>0</v>
      </c>
      <c r="T88" s="120">
        <f t="shared" si="14"/>
        <v>0</v>
      </c>
      <c r="U88" s="120">
        <f t="shared" si="14"/>
        <v>0</v>
      </c>
      <c r="V88" s="120">
        <f t="shared" si="14"/>
        <v>0</v>
      </c>
      <c r="W88" s="120">
        <f t="shared" si="14"/>
        <v>0</v>
      </c>
      <c r="X88" s="120">
        <f t="shared" si="14"/>
        <v>0</v>
      </c>
      <c r="Y88" s="120">
        <f t="shared" si="14"/>
        <v>0</v>
      </c>
      <c r="Z88" s="120">
        <f t="shared" si="14"/>
        <v>0</v>
      </c>
      <c r="AA88" s="120">
        <f t="shared" si="14"/>
        <v>0</v>
      </c>
      <c r="AB88" s="120">
        <f t="shared" si="14"/>
        <v>0</v>
      </c>
      <c r="AC88" s="120">
        <f t="shared" si="14"/>
        <v>0</v>
      </c>
      <c r="AD88" s="120">
        <f t="shared" si="14"/>
        <v>0</v>
      </c>
      <c r="AE88" s="120">
        <f t="shared" si="14"/>
        <v>0</v>
      </c>
      <c r="AF88" s="120">
        <f t="shared" si="14"/>
        <v>0</v>
      </c>
      <c r="AG88" s="120">
        <f t="shared" si="14"/>
        <v>0</v>
      </c>
      <c r="AH88" s="120">
        <f t="shared" si="14"/>
        <v>0</v>
      </c>
      <c r="AI88" s="120">
        <f t="shared" si="14"/>
        <v>0</v>
      </c>
      <c r="AJ88" s="43" t="str">
        <f t="shared" si="6"/>
        <v/>
      </c>
      <c r="AK88" s="56"/>
      <c r="AL88" s="56" t="str">
        <f t="shared" si="9"/>
        <v>00</v>
      </c>
      <c r="AM88" s="58" t="str">
        <f t="shared" si="10"/>
        <v>00</v>
      </c>
      <c r="AN88" s="58" t="str">
        <f t="shared" si="11"/>
        <v>00</v>
      </c>
      <c r="AO88" s="58" t="str">
        <f t="shared" si="12"/>
        <v>00</v>
      </c>
      <c r="AQ88" s="185" t="str">
        <f t="shared" si="7"/>
        <v/>
      </c>
    </row>
    <row r="89" spans="2:43">
      <c r="B89" s="128"/>
      <c r="C89" s="43">
        <f t="shared" si="8"/>
        <v>18</v>
      </c>
      <c r="D89" s="120">
        <f t="shared" si="14"/>
        <v>0</v>
      </c>
      <c r="E89" s="120">
        <f t="shared" si="14"/>
        <v>0</v>
      </c>
      <c r="F89" s="120">
        <f t="shared" si="14"/>
        <v>0</v>
      </c>
      <c r="G89" s="120">
        <f t="shared" si="14"/>
        <v>0</v>
      </c>
      <c r="H89" s="120">
        <f t="shared" si="14"/>
        <v>0</v>
      </c>
      <c r="I89" s="120">
        <f t="shared" si="14"/>
        <v>0</v>
      </c>
      <c r="J89" s="120">
        <f t="shared" si="14"/>
        <v>0</v>
      </c>
      <c r="K89" s="120">
        <f t="shared" si="14"/>
        <v>0</v>
      </c>
      <c r="L89" s="120">
        <f t="shared" si="14"/>
        <v>0</v>
      </c>
      <c r="M89" s="120">
        <f t="shared" si="14"/>
        <v>0</v>
      </c>
      <c r="N89" s="120">
        <f t="shared" si="14"/>
        <v>0</v>
      </c>
      <c r="O89" s="120">
        <f t="shared" si="14"/>
        <v>0</v>
      </c>
      <c r="P89" s="120">
        <f t="shared" si="14"/>
        <v>0</v>
      </c>
      <c r="Q89" s="120">
        <f t="shared" si="14"/>
        <v>0</v>
      </c>
      <c r="R89" s="120">
        <f t="shared" si="14"/>
        <v>0</v>
      </c>
      <c r="S89" s="120">
        <f t="shared" si="14"/>
        <v>0</v>
      </c>
      <c r="T89" s="120">
        <f t="shared" si="14"/>
        <v>0</v>
      </c>
      <c r="U89" s="120">
        <f t="shared" si="14"/>
        <v>0</v>
      </c>
      <c r="V89" s="120">
        <f t="shared" si="14"/>
        <v>0</v>
      </c>
      <c r="W89" s="120">
        <f t="shared" si="14"/>
        <v>0</v>
      </c>
      <c r="X89" s="120">
        <f t="shared" si="14"/>
        <v>0</v>
      </c>
      <c r="Y89" s="120">
        <f t="shared" si="14"/>
        <v>0</v>
      </c>
      <c r="Z89" s="120">
        <f t="shared" si="14"/>
        <v>0</v>
      </c>
      <c r="AA89" s="120">
        <f t="shared" si="14"/>
        <v>0</v>
      </c>
      <c r="AB89" s="120">
        <f t="shared" si="14"/>
        <v>0</v>
      </c>
      <c r="AC89" s="120">
        <f t="shared" si="14"/>
        <v>0</v>
      </c>
      <c r="AD89" s="120">
        <f t="shared" si="14"/>
        <v>0</v>
      </c>
      <c r="AE89" s="120">
        <f t="shared" si="14"/>
        <v>0</v>
      </c>
      <c r="AF89" s="120">
        <f t="shared" si="14"/>
        <v>0</v>
      </c>
      <c r="AG89" s="120">
        <f t="shared" si="14"/>
        <v>0</v>
      </c>
      <c r="AH89" s="120">
        <f t="shared" si="14"/>
        <v>0</v>
      </c>
      <c r="AI89" s="120">
        <f t="shared" si="14"/>
        <v>0</v>
      </c>
      <c r="AJ89" s="43" t="str">
        <f t="shared" si="6"/>
        <v/>
      </c>
      <c r="AK89" s="56"/>
      <c r="AL89" s="56" t="str">
        <f t="shared" si="9"/>
        <v>00</v>
      </c>
      <c r="AM89" s="58" t="str">
        <f t="shared" si="10"/>
        <v>00</v>
      </c>
      <c r="AN89" s="58" t="str">
        <f t="shared" si="11"/>
        <v>00</v>
      </c>
      <c r="AO89" s="58" t="str">
        <f t="shared" si="12"/>
        <v>00</v>
      </c>
      <c r="AQ89" s="185" t="str">
        <f t="shared" si="7"/>
        <v/>
      </c>
    </row>
    <row r="90" spans="2:43">
      <c r="B90" s="128"/>
      <c r="C90" s="43">
        <f t="shared" si="8"/>
        <v>19</v>
      </c>
      <c r="D90" s="120">
        <f t="shared" si="14"/>
        <v>0</v>
      </c>
      <c r="E90" s="120">
        <f t="shared" si="14"/>
        <v>0</v>
      </c>
      <c r="F90" s="120">
        <f t="shared" si="14"/>
        <v>0</v>
      </c>
      <c r="G90" s="120">
        <f t="shared" si="14"/>
        <v>0</v>
      </c>
      <c r="H90" s="120">
        <f t="shared" si="14"/>
        <v>0</v>
      </c>
      <c r="I90" s="120">
        <f t="shared" si="14"/>
        <v>0</v>
      </c>
      <c r="J90" s="120">
        <f t="shared" si="14"/>
        <v>0</v>
      </c>
      <c r="K90" s="120">
        <f t="shared" si="14"/>
        <v>0</v>
      </c>
      <c r="L90" s="120">
        <f t="shared" si="14"/>
        <v>0</v>
      </c>
      <c r="M90" s="120">
        <f t="shared" si="14"/>
        <v>0</v>
      </c>
      <c r="N90" s="120">
        <f t="shared" si="14"/>
        <v>0</v>
      </c>
      <c r="O90" s="120">
        <f t="shared" si="14"/>
        <v>0</v>
      </c>
      <c r="P90" s="120">
        <f t="shared" si="14"/>
        <v>0</v>
      </c>
      <c r="Q90" s="120">
        <f t="shared" si="14"/>
        <v>0</v>
      </c>
      <c r="R90" s="120">
        <f t="shared" si="14"/>
        <v>0</v>
      </c>
      <c r="S90" s="120">
        <f t="shared" si="14"/>
        <v>0</v>
      </c>
      <c r="T90" s="120">
        <f t="shared" si="14"/>
        <v>0</v>
      </c>
      <c r="U90" s="120">
        <f t="shared" si="14"/>
        <v>0</v>
      </c>
      <c r="V90" s="120">
        <f t="shared" si="14"/>
        <v>0</v>
      </c>
      <c r="W90" s="120">
        <f t="shared" si="14"/>
        <v>0</v>
      </c>
      <c r="X90" s="120">
        <f t="shared" si="14"/>
        <v>0</v>
      </c>
      <c r="Y90" s="120">
        <f t="shared" si="14"/>
        <v>0</v>
      </c>
      <c r="Z90" s="120">
        <f t="shared" si="14"/>
        <v>0</v>
      </c>
      <c r="AA90" s="120">
        <f t="shared" si="14"/>
        <v>0</v>
      </c>
      <c r="AB90" s="120">
        <f t="shared" si="14"/>
        <v>0</v>
      </c>
      <c r="AC90" s="120">
        <f t="shared" si="14"/>
        <v>0</v>
      </c>
      <c r="AD90" s="120">
        <f t="shared" si="14"/>
        <v>0</v>
      </c>
      <c r="AE90" s="120">
        <f t="shared" si="14"/>
        <v>0</v>
      </c>
      <c r="AF90" s="120">
        <f t="shared" si="14"/>
        <v>0</v>
      </c>
      <c r="AG90" s="120">
        <f t="shared" si="14"/>
        <v>0</v>
      </c>
      <c r="AH90" s="120">
        <f t="shared" si="14"/>
        <v>0</v>
      </c>
      <c r="AI90" s="120">
        <f t="shared" si="14"/>
        <v>0</v>
      </c>
      <c r="AJ90" s="43" t="str">
        <f t="shared" si="6"/>
        <v/>
      </c>
      <c r="AK90" s="56"/>
      <c r="AL90" s="56" t="str">
        <f t="shared" si="9"/>
        <v>00</v>
      </c>
      <c r="AM90" s="58" t="str">
        <f t="shared" si="10"/>
        <v>00</v>
      </c>
      <c r="AN90" s="58" t="str">
        <f t="shared" si="11"/>
        <v>00</v>
      </c>
      <c r="AO90" s="58" t="str">
        <f t="shared" si="12"/>
        <v>00</v>
      </c>
      <c r="AQ90" s="185" t="str">
        <f t="shared" si="7"/>
        <v/>
      </c>
    </row>
    <row r="91" spans="2:43">
      <c r="B91" s="128"/>
      <c r="C91" s="43">
        <f t="shared" si="8"/>
        <v>20</v>
      </c>
      <c r="D91" s="120">
        <f t="shared" si="14"/>
        <v>0</v>
      </c>
      <c r="E91" s="120">
        <f t="shared" si="14"/>
        <v>0</v>
      </c>
      <c r="F91" s="120">
        <f t="shared" si="14"/>
        <v>0</v>
      </c>
      <c r="G91" s="120">
        <f t="shared" si="14"/>
        <v>0</v>
      </c>
      <c r="H91" s="120">
        <f t="shared" si="14"/>
        <v>0</v>
      </c>
      <c r="I91" s="120">
        <f t="shared" si="14"/>
        <v>0</v>
      </c>
      <c r="J91" s="120">
        <f t="shared" si="14"/>
        <v>0</v>
      </c>
      <c r="K91" s="120">
        <f t="shared" si="14"/>
        <v>0</v>
      </c>
      <c r="L91" s="120">
        <f t="shared" si="14"/>
        <v>0</v>
      </c>
      <c r="M91" s="120">
        <f t="shared" si="14"/>
        <v>0</v>
      </c>
      <c r="N91" s="120">
        <f t="shared" si="14"/>
        <v>0</v>
      </c>
      <c r="O91" s="120">
        <f t="shared" si="14"/>
        <v>0</v>
      </c>
      <c r="P91" s="120">
        <f t="shared" si="14"/>
        <v>0</v>
      </c>
      <c r="Q91" s="120">
        <f t="shared" si="14"/>
        <v>0</v>
      </c>
      <c r="R91" s="120">
        <f t="shared" si="14"/>
        <v>0</v>
      </c>
      <c r="S91" s="120">
        <f t="shared" si="14"/>
        <v>0</v>
      </c>
      <c r="T91" s="120">
        <f t="shared" si="14"/>
        <v>0</v>
      </c>
      <c r="U91" s="120">
        <f t="shared" si="14"/>
        <v>0</v>
      </c>
      <c r="V91" s="120">
        <f t="shared" si="14"/>
        <v>0</v>
      </c>
      <c r="W91" s="120">
        <f t="shared" si="14"/>
        <v>0</v>
      </c>
      <c r="X91" s="120">
        <f t="shared" si="14"/>
        <v>0</v>
      </c>
      <c r="Y91" s="120">
        <f t="shared" si="14"/>
        <v>0</v>
      </c>
      <c r="Z91" s="120">
        <f t="shared" si="14"/>
        <v>0</v>
      </c>
      <c r="AA91" s="120">
        <f t="shared" si="14"/>
        <v>0</v>
      </c>
      <c r="AB91" s="120">
        <f t="shared" si="14"/>
        <v>0</v>
      </c>
      <c r="AC91" s="120">
        <f t="shared" si="14"/>
        <v>0</v>
      </c>
      <c r="AD91" s="120">
        <f t="shared" si="14"/>
        <v>0</v>
      </c>
      <c r="AE91" s="120">
        <f t="shared" si="14"/>
        <v>0</v>
      </c>
      <c r="AF91" s="120">
        <f t="shared" si="14"/>
        <v>0</v>
      </c>
      <c r="AG91" s="120">
        <f t="shared" si="14"/>
        <v>0</v>
      </c>
      <c r="AH91" s="120">
        <f t="shared" si="14"/>
        <v>0</v>
      </c>
      <c r="AI91" s="120">
        <f t="shared" si="14"/>
        <v>0</v>
      </c>
      <c r="AJ91" s="43" t="str">
        <f t="shared" si="6"/>
        <v/>
      </c>
      <c r="AK91" s="56"/>
      <c r="AL91" s="56" t="str">
        <f t="shared" si="9"/>
        <v>00</v>
      </c>
      <c r="AM91" s="58" t="str">
        <f t="shared" si="10"/>
        <v>00</v>
      </c>
      <c r="AN91" s="58" t="str">
        <f t="shared" si="11"/>
        <v>00</v>
      </c>
      <c r="AO91" s="58" t="str">
        <f t="shared" si="12"/>
        <v>00</v>
      </c>
      <c r="AQ91" s="185" t="str">
        <f t="shared" si="7"/>
        <v/>
      </c>
    </row>
    <row r="92" spans="2:43">
      <c r="B92" s="128"/>
      <c r="C92" s="43">
        <f t="shared" si="8"/>
        <v>21</v>
      </c>
      <c r="D92" s="120">
        <f t="shared" si="14"/>
        <v>0</v>
      </c>
      <c r="E92" s="120">
        <f t="shared" si="14"/>
        <v>0</v>
      </c>
      <c r="F92" s="120">
        <f t="shared" si="14"/>
        <v>0</v>
      </c>
      <c r="G92" s="120">
        <f t="shared" si="14"/>
        <v>0</v>
      </c>
      <c r="H92" s="120">
        <f t="shared" si="14"/>
        <v>0</v>
      </c>
      <c r="I92" s="120">
        <f t="shared" si="14"/>
        <v>0</v>
      </c>
      <c r="J92" s="120">
        <f t="shared" si="14"/>
        <v>0</v>
      </c>
      <c r="K92" s="120">
        <f t="shared" si="14"/>
        <v>0</v>
      </c>
      <c r="L92" s="120">
        <f t="shared" si="14"/>
        <v>0</v>
      </c>
      <c r="M92" s="120">
        <f t="shared" si="14"/>
        <v>0</v>
      </c>
      <c r="N92" s="120">
        <f t="shared" si="14"/>
        <v>0</v>
      </c>
      <c r="O92" s="120">
        <f t="shared" si="14"/>
        <v>0</v>
      </c>
      <c r="P92" s="120">
        <f t="shared" si="14"/>
        <v>0</v>
      </c>
      <c r="Q92" s="120">
        <f t="shared" si="14"/>
        <v>0</v>
      </c>
      <c r="R92" s="120">
        <f t="shared" si="14"/>
        <v>0</v>
      </c>
      <c r="S92" s="120">
        <f t="shared" si="14"/>
        <v>0</v>
      </c>
      <c r="T92" s="120">
        <f t="shared" si="14"/>
        <v>0</v>
      </c>
      <c r="U92" s="120">
        <f t="shared" si="14"/>
        <v>0</v>
      </c>
      <c r="V92" s="120">
        <f t="shared" si="14"/>
        <v>0</v>
      </c>
      <c r="W92" s="120">
        <f t="shared" si="14"/>
        <v>0</v>
      </c>
      <c r="X92" s="120">
        <f t="shared" si="14"/>
        <v>0</v>
      </c>
      <c r="Y92" s="120">
        <f t="shared" si="14"/>
        <v>0</v>
      </c>
      <c r="Z92" s="120">
        <f t="shared" si="14"/>
        <v>0</v>
      </c>
      <c r="AA92" s="120">
        <f t="shared" si="14"/>
        <v>0</v>
      </c>
      <c r="AB92" s="120">
        <f t="shared" si="14"/>
        <v>0</v>
      </c>
      <c r="AC92" s="120">
        <f t="shared" si="14"/>
        <v>0</v>
      </c>
      <c r="AD92" s="120">
        <f t="shared" si="14"/>
        <v>0</v>
      </c>
      <c r="AE92" s="120">
        <f t="shared" si="14"/>
        <v>0</v>
      </c>
      <c r="AF92" s="120">
        <f t="shared" si="14"/>
        <v>0</v>
      </c>
      <c r="AG92" s="120">
        <f t="shared" si="14"/>
        <v>0</v>
      </c>
      <c r="AH92" s="120">
        <f t="shared" si="14"/>
        <v>0</v>
      </c>
      <c r="AI92" s="120">
        <f t="shared" si="14"/>
        <v>0</v>
      </c>
      <c r="AJ92" s="43" t="str">
        <f t="shared" si="6"/>
        <v/>
      </c>
      <c r="AK92" s="56"/>
      <c r="AL92" s="56" t="str">
        <f t="shared" si="9"/>
        <v>00</v>
      </c>
      <c r="AM92" s="58" t="str">
        <f t="shared" si="10"/>
        <v>00</v>
      </c>
      <c r="AN92" s="58" t="str">
        <f t="shared" si="11"/>
        <v>00</v>
      </c>
      <c r="AO92" s="58" t="str">
        <f t="shared" si="12"/>
        <v>00</v>
      </c>
      <c r="AQ92" s="185" t="str">
        <f t="shared" si="7"/>
        <v/>
      </c>
    </row>
    <row r="93" spans="2:43">
      <c r="B93" s="128"/>
      <c r="C93" s="43">
        <f t="shared" si="8"/>
        <v>22</v>
      </c>
      <c r="D93" s="120">
        <f t="shared" si="14"/>
        <v>0</v>
      </c>
      <c r="E93" s="120">
        <f t="shared" si="14"/>
        <v>0</v>
      </c>
      <c r="F93" s="120">
        <f t="shared" si="14"/>
        <v>0</v>
      </c>
      <c r="G93" s="120">
        <f t="shared" si="14"/>
        <v>0</v>
      </c>
      <c r="H93" s="120">
        <f t="shared" si="14"/>
        <v>0</v>
      </c>
      <c r="I93" s="120">
        <f t="shared" si="14"/>
        <v>0</v>
      </c>
      <c r="J93" s="120">
        <f t="shared" si="14"/>
        <v>0</v>
      </c>
      <c r="K93" s="120">
        <f t="shared" si="14"/>
        <v>0</v>
      </c>
      <c r="L93" s="120">
        <f t="shared" si="14"/>
        <v>0</v>
      </c>
      <c r="M93" s="120">
        <f t="shared" si="14"/>
        <v>0</v>
      </c>
      <c r="N93" s="120">
        <f t="shared" si="14"/>
        <v>0</v>
      </c>
      <c r="O93" s="120">
        <f t="shared" si="14"/>
        <v>0</v>
      </c>
      <c r="P93" s="120">
        <f t="shared" si="14"/>
        <v>0</v>
      </c>
      <c r="Q93" s="120">
        <f t="shared" si="14"/>
        <v>0</v>
      </c>
      <c r="R93" s="120">
        <f t="shared" si="14"/>
        <v>0</v>
      </c>
      <c r="S93" s="120">
        <f t="shared" si="14"/>
        <v>0</v>
      </c>
      <c r="T93" s="120">
        <f t="shared" si="14"/>
        <v>0</v>
      </c>
      <c r="U93" s="120">
        <f t="shared" si="14"/>
        <v>0</v>
      </c>
      <c r="V93" s="120">
        <f t="shared" si="14"/>
        <v>0</v>
      </c>
      <c r="W93" s="120">
        <f t="shared" si="14"/>
        <v>0</v>
      </c>
      <c r="X93" s="120">
        <f t="shared" si="14"/>
        <v>0</v>
      </c>
      <c r="Y93" s="120">
        <f t="shared" si="14"/>
        <v>0</v>
      </c>
      <c r="Z93" s="120">
        <f t="shared" si="14"/>
        <v>0</v>
      </c>
      <c r="AA93" s="120">
        <f t="shared" si="14"/>
        <v>0</v>
      </c>
      <c r="AB93" s="120">
        <f t="shared" si="14"/>
        <v>0</v>
      </c>
      <c r="AC93" s="120">
        <f t="shared" si="14"/>
        <v>0</v>
      </c>
      <c r="AD93" s="120">
        <f t="shared" si="14"/>
        <v>0</v>
      </c>
      <c r="AE93" s="120">
        <f t="shared" si="14"/>
        <v>0</v>
      </c>
      <c r="AF93" s="120">
        <f t="shared" si="14"/>
        <v>0</v>
      </c>
      <c r="AG93" s="120">
        <f t="shared" si="14"/>
        <v>0</v>
      </c>
      <c r="AH93" s="120">
        <f t="shared" si="14"/>
        <v>0</v>
      </c>
      <c r="AI93" s="120">
        <f t="shared" si="14"/>
        <v>0</v>
      </c>
      <c r="AJ93" s="43" t="str">
        <f t="shared" si="6"/>
        <v/>
      </c>
      <c r="AK93" s="56"/>
      <c r="AL93" s="56" t="str">
        <f t="shared" si="9"/>
        <v>00</v>
      </c>
      <c r="AM93" s="58" t="str">
        <f t="shared" si="10"/>
        <v>00</v>
      </c>
      <c r="AN93" s="58" t="str">
        <f t="shared" si="11"/>
        <v>00</v>
      </c>
      <c r="AO93" s="58" t="str">
        <f t="shared" si="12"/>
        <v>00</v>
      </c>
      <c r="AQ93" s="185" t="str">
        <f t="shared" si="7"/>
        <v/>
      </c>
    </row>
    <row r="94" spans="2:43">
      <c r="B94" s="128"/>
      <c r="C94" s="43">
        <f t="shared" si="8"/>
        <v>23</v>
      </c>
      <c r="D94" s="120">
        <f t="shared" si="14"/>
        <v>0</v>
      </c>
      <c r="E94" s="120">
        <f t="shared" si="14"/>
        <v>0</v>
      </c>
      <c r="F94" s="120">
        <f t="shared" si="14"/>
        <v>0</v>
      </c>
      <c r="G94" s="120">
        <f t="shared" si="14"/>
        <v>0</v>
      </c>
      <c r="H94" s="120">
        <f t="shared" si="14"/>
        <v>0</v>
      </c>
      <c r="I94" s="120">
        <f t="shared" si="14"/>
        <v>0</v>
      </c>
      <c r="J94" s="120">
        <f t="shared" si="14"/>
        <v>0</v>
      </c>
      <c r="K94" s="120">
        <f t="shared" si="14"/>
        <v>0</v>
      </c>
      <c r="L94" s="120">
        <f t="shared" si="14"/>
        <v>0</v>
      </c>
      <c r="M94" s="120">
        <f t="shared" si="14"/>
        <v>0</v>
      </c>
      <c r="N94" s="120">
        <f t="shared" si="14"/>
        <v>0</v>
      </c>
      <c r="O94" s="120">
        <f t="shared" si="14"/>
        <v>0</v>
      </c>
      <c r="P94" s="120">
        <f t="shared" si="14"/>
        <v>0</v>
      </c>
      <c r="Q94" s="120">
        <f t="shared" si="14"/>
        <v>0</v>
      </c>
      <c r="R94" s="120">
        <f t="shared" si="14"/>
        <v>0</v>
      </c>
      <c r="S94" s="120">
        <f t="shared" si="14"/>
        <v>0</v>
      </c>
      <c r="T94" s="120">
        <f t="shared" si="14"/>
        <v>0</v>
      </c>
      <c r="U94" s="120">
        <f t="shared" si="14"/>
        <v>0</v>
      </c>
      <c r="V94" s="120">
        <f t="shared" si="14"/>
        <v>0</v>
      </c>
      <c r="W94" s="120">
        <f t="shared" si="14"/>
        <v>0</v>
      </c>
      <c r="X94" s="120">
        <f t="shared" si="14"/>
        <v>0</v>
      </c>
      <c r="Y94" s="120">
        <f t="shared" si="14"/>
        <v>0</v>
      </c>
      <c r="Z94" s="120">
        <f t="shared" si="14"/>
        <v>0</v>
      </c>
      <c r="AA94" s="120">
        <f t="shared" si="14"/>
        <v>0</v>
      </c>
      <c r="AB94" s="120">
        <f t="shared" si="14"/>
        <v>0</v>
      </c>
      <c r="AC94" s="120">
        <f t="shared" si="14"/>
        <v>0</v>
      </c>
      <c r="AD94" s="120">
        <f t="shared" si="14"/>
        <v>0</v>
      </c>
      <c r="AE94" s="120">
        <f t="shared" si="14"/>
        <v>0</v>
      </c>
      <c r="AF94" s="120">
        <f t="shared" si="14"/>
        <v>0</v>
      </c>
      <c r="AG94" s="120">
        <f t="shared" si="14"/>
        <v>0</v>
      </c>
      <c r="AH94" s="120">
        <f t="shared" si="14"/>
        <v>0</v>
      </c>
      <c r="AI94" s="120">
        <f>IF(AI29=1,1,0)</f>
        <v>0</v>
      </c>
      <c r="AJ94" s="43" t="str">
        <f t="shared" si="6"/>
        <v/>
      </c>
      <c r="AK94" s="56"/>
      <c r="AL94" s="56" t="str">
        <f t="shared" si="9"/>
        <v>00</v>
      </c>
      <c r="AM94" s="58" t="str">
        <f t="shared" si="10"/>
        <v>00</v>
      </c>
      <c r="AN94" s="58" t="str">
        <f t="shared" si="11"/>
        <v>00</v>
      </c>
      <c r="AO94" s="58" t="str">
        <f t="shared" si="12"/>
        <v>00</v>
      </c>
      <c r="AQ94" s="185" t="str">
        <f t="shared" si="7"/>
        <v/>
      </c>
    </row>
    <row r="95" spans="2:43">
      <c r="B95" s="128"/>
      <c r="C95" s="43">
        <f t="shared" si="8"/>
        <v>24</v>
      </c>
      <c r="D95" s="120">
        <f t="shared" ref="D95:AI102" si="15">IF(D30=1,1,0)</f>
        <v>0</v>
      </c>
      <c r="E95" s="120">
        <f t="shared" si="15"/>
        <v>0</v>
      </c>
      <c r="F95" s="120">
        <f t="shared" si="15"/>
        <v>0</v>
      </c>
      <c r="G95" s="120">
        <f t="shared" si="15"/>
        <v>0</v>
      </c>
      <c r="H95" s="120">
        <f t="shared" si="15"/>
        <v>0</v>
      </c>
      <c r="I95" s="120">
        <f t="shared" si="15"/>
        <v>0</v>
      </c>
      <c r="J95" s="120">
        <f t="shared" si="15"/>
        <v>0</v>
      </c>
      <c r="K95" s="120">
        <f t="shared" si="15"/>
        <v>0</v>
      </c>
      <c r="L95" s="120">
        <f t="shared" si="15"/>
        <v>0</v>
      </c>
      <c r="M95" s="120">
        <f t="shared" si="15"/>
        <v>0</v>
      </c>
      <c r="N95" s="120">
        <f t="shared" si="15"/>
        <v>0</v>
      </c>
      <c r="O95" s="120">
        <f t="shared" si="15"/>
        <v>0</v>
      </c>
      <c r="P95" s="120">
        <f t="shared" si="15"/>
        <v>0</v>
      </c>
      <c r="Q95" s="120">
        <f t="shared" si="15"/>
        <v>0</v>
      </c>
      <c r="R95" s="120">
        <f t="shared" si="15"/>
        <v>0</v>
      </c>
      <c r="S95" s="120">
        <f t="shared" si="15"/>
        <v>0</v>
      </c>
      <c r="T95" s="120">
        <f t="shared" si="15"/>
        <v>0</v>
      </c>
      <c r="U95" s="120">
        <f t="shared" si="15"/>
        <v>0</v>
      </c>
      <c r="V95" s="120">
        <f t="shared" si="15"/>
        <v>0</v>
      </c>
      <c r="W95" s="120">
        <f t="shared" si="15"/>
        <v>0</v>
      </c>
      <c r="X95" s="120">
        <f t="shared" si="15"/>
        <v>0</v>
      </c>
      <c r="Y95" s="120">
        <f t="shared" si="15"/>
        <v>0</v>
      </c>
      <c r="Z95" s="120">
        <f t="shared" si="15"/>
        <v>0</v>
      </c>
      <c r="AA95" s="120">
        <f t="shared" si="15"/>
        <v>0</v>
      </c>
      <c r="AB95" s="120">
        <f t="shared" si="15"/>
        <v>0</v>
      </c>
      <c r="AC95" s="120">
        <f t="shared" si="15"/>
        <v>0</v>
      </c>
      <c r="AD95" s="120">
        <f t="shared" si="15"/>
        <v>0</v>
      </c>
      <c r="AE95" s="120">
        <f t="shared" si="15"/>
        <v>0</v>
      </c>
      <c r="AF95" s="120">
        <f t="shared" si="15"/>
        <v>0</v>
      </c>
      <c r="AG95" s="120">
        <f t="shared" si="15"/>
        <v>0</v>
      </c>
      <c r="AH95" s="120">
        <f t="shared" si="15"/>
        <v>0</v>
      </c>
      <c r="AI95" s="120">
        <f t="shared" si="15"/>
        <v>0</v>
      </c>
      <c r="AJ95" s="43" t="str">
        <f t="shared" si="6"/>
        <v/>
      </c>
      <c r="AK95" s="56"/>
      <c r="AL95" s="56" t="str">
        <f t="shared" si="9"/>
        <v>00</v>
      </c>
      <c r="AM95" s="58" t="str">
        <f t="shared" si="10"/>
        <v>00</v>
      </c>
      <c r="AN95" s="58" t="str">
        <f t="shared" si="11"/>
        <v>00</v>
      </c>
      <c r="AO95" s="58" t="str">
        <f t="shared" si="12"/>
        <v>00</v>
      </c>
      <c r="AQ95" s="185" t="str">
        <f t="shared" si="7"/>
        <v/>
      </c>
    </row>
    <row r="96" spans="2:43">
      <c r="B96" s="128"/>
      <c r="C96" s="43">
        <f t="shared" si="8"/>
        <v>25</v>
      </c>
      <c r="D96" s="120">
        <f t="shared" si="15"/>
        <v>0</v>
      </c>
      <c r="E96" s="120">
        <f t="shared" si="15"/>
        <v>0</v>
      </c>
      <c r="F96" s="120">
        <f t="shared" si="15"/>
        <v>0</v>
      </c>
      <c r="G96" s="120">
        <f t="shared" si="15"/>
        <v>0</v>
      </c>
      <c r="H96" s="120">
        <f t="shared" si="15"/>
        <v>0</v>
      </c>
      <c r="I96" s="120">
        <f t="shared" si="15"/>
        <v>0</v>
      </c>
      <c r="J96" s="120">
        <f t="shared" si="15"/>
        <v>0</v>
      </c>
      <c r="K96" s="120">
        <f t="shared" si="15"/>
        <v>0</v>
      </c>
      <c r="L96" s="120">
        <f t="shared" si="15"/>
        <v>0</v>
      </c>
      <c r="M96" s="120">
        <f t="shared" si="15"/>
        <v>0</v>
      </c>
      <c r="N96" s="120">
        <f t="shared" si="15"/>
        <v>0</v>
      </c>
      <c r="O96" s="120">
        <f t="shared" si="15"/>
        <v>0</v>
      </c>
      <c r="P96" s="120">
        <f t="shared" si="15"/>
        <v>0</v>
      </c>
      <c r="Q96" s="120">
        <f t="shared" si="15"/>
        <v>0</v>
      </c>
      <c r="R96" s="120">
        <f t="shared" si="15"/>
        <v>0</v>
      </c>
      <c r="S96" s="120">
        <f t="shared" si="15"/>
        <v>0</v>
      </c>
      <c r="T96" s="120">
        <f t="shared" si="15"/>
        <v>0</v>
      </c>
      <c r="U96" s="120">
        <f t="shared" si="15"/>
        <v>0</v>
      </c>
      <c r="V96" s="120">
        <f t="shared" si="15"/>
        <v>0</v>
      </c>
      <c r="W96" s="120">
        <f t="shared" si="15"/>
        <v>0</v>
      </c>
      <c r="X96" s="120">
        <f t="shared" si="15"/>
        <v>0</v>
      </c>
      <c r="Y96" s="120">
        <f t="shared" si="15"/>
        <v>0</v>
      </c>
      <c r="Z96" s="120">
        <f t="shared" si="15"/>
        <v>0</v>
      </c>
      <c r="AA96" s="120">
        <f t="shared" si="15"/>
        <v>0</v>
      </c>
      <c r="AB96" s="120">
        <f t="shared" si="15"/>
        <v>0</v>
      </c>
      <c r="AC96" s="120">
        <f t="shared" si="15"/>
        <v>0</v>
      </c>
      <c r="AD96" s="120">
        <f t="shared" si="15"/>
        <v>0</v>
      </c>
      <c r="AE96" s="120">
        <f t="shared" si="15"/>
        <v>0</v>
      </c>
      <c r="AF96" s="120">
        <f t="shared" si="15"/>
        <v>0</v>
      </c>
      <c r="AG96" s="120">
        <f t="shared" si="15"/>
        <v>0</v>
      </c>
      <c r="AH96" s="120">
        <f t="shared" si="15"/>
        <v>0</v>
      </c>
      <c r="AI96" s="120">
        <f t="shared" si="15"/>
        <v>0</v>
      </c>
      <c r="AJ96" s="43" t="str">
        <f t="shared" si="6"/>
        <v/>
      </c>
      <c r="AK96" s="56"/>
      <c r="AL96" s="56" t="str">
        <f t="shared" si="9"/>
        <v>00</v>
      </c>
      <c r="AM96" s="58" t="str">
        <f t="shared" si="10"/>
        <v>00</v>
      </c>
      <c r="AN96" s="58" t="str">
        <f t="shared" si="11"/>
        <v>00</v>
      </c>
      <c r="AO96" s="58" t="str">
        <f t="shared" si="12"/>
        <v>00</v>
      </c>
      <c r="AQ96" s="185" t="str">
        <f t="shared" si="7"/>
        <v/>
      </c>
    </row>
    <row r="97" spans="2:43">
      <c r="B97" s="128"/>
      <c r="C97" s="43">
        <f t="shared" si="8"/>
        <v>26</v>
      </c>
      <c r="D97" s="120">
        <f t="shared" si="15"/>
        <v>0</v>
      </c>
      <c r="E97" s="120">
        <f t="shared" si="15"/>
        <v>0</v>
      </c>
      <c r="F97" s="120">
        <f t="shared" si="15"/>
        <v>0</v>
      </c>
      <c r="G97" s="120">
        <f t="shared" si="15"/>
        <v>0</v>
      </c>
      <c r="H97" s="120">
        <f t="shared" si="15"/>
        <v>0</v>
      </c>
      <c r="I97" s="120">
        <f t="shared" si="15"/>
        <v>0</v>
      </c>
      <c r="J97" s="120">
        <f t="shared" si="15"/>
        <v>0</v>
      </c>
      <c r="K97" s="120">
        <f t="shared" si="15"/>
        <v>0</v>
      </c>
      <c r="L97" s="120">
        <f t="shared" si="15"/>
        <v>0</v>
      </c>
      <c r="M97" s="120">
        <f t="shared" si="15"/>
        <v>0</v>
      </c>
      <c r="N97" s="120">
        <f t="shared" si="15"/>
        <v>0</v>
      </c>
      <c r="O97" s="120">
        <f t="shared" si="15"/>
        <v>0</v>
      </c>
      <c r="P97" s="120">
        <f t="shared" si="15"/>
        <v>0</v>
      </c>
      <c r="Q97" s="120">
        <f t="shared" si="15"/>
        <v>0</v>
      </c>
      <c r="R97" s="120">
        <f t="shared" si="15"/>
        <v>0</v>
      </c>
      <c r="S97" s="120">
        <f t="shared" si="15"/>
        <v>0</v>
      </c>
      <c r="T97" s="120">
        <f t="shared" si="15"/>
        <v>0</v>
      </c>
      <c r="U97" s="120">
        <f t="shared" si="15"/>
        <v>0</v>
      </c>
      <c r="V97" s="120">
        <f t="shared" si="15"/>
        <v>0</v>
      </c>
      <c r="W97" s="120">
        <f t="shared" si="15"/>
        <v>0</v>
      </c>
      <c r="X97" s="120">
        <f t="shared" si="15"/>
        <v>0</v>
      </c>
      <c r="Y97" s="120">
        <f t="shared" si="15"/>
        <v>0</v>
      </c>
      <c r="Z97" s="120">
        <f t="shared" si="15"/>
        <v>0</v>
      </c>
      <c r="AA97" s="120">
        <f t="shared" si="15"/>
        <v>0</v>
      </c>
      <c r="AB97" s="120">
        <f t="shared" si="15"/>
        <v>0</v>
      </c>
      <c r="AC97" s="120">
        <f t="shared" si="15"/>
        <v>0</v>
      </c>
      <c r="AD97" s="120">
        <f t="shared" si="15"/>
        <v>0</v>
      </c>
      <c r="AE97" s="120">
        <f t="shared" si="15"/>
        <v>0</v>
      </c>
      <c r="AF97" s="120">
        <f t="shared" si="15"/>
        <v>0</v>
      </c>
      <c r="AG97" s="120">
        <f t="shared" si="15"/>
        <v>0</v>
      </c>
      <c r="AH97" s="120">
        <f t="shared" si="15"/>
        <v>0</v>
      </c>
      <c r="AI97" s="120">
        <f t="shared" si="15"/>
        <v>0</v>
      </c>
      <c r="AJ97" s="43" t="str">
        <f t="shared" si="6"/>
        <v/>
      </c>
      <c r="AK97" s="56"/>
      <c r="AL97" s="56" t="str">
        <f t="shared" si="9"/>
        <v>00</v>
      </c>
      <c r="AM97" s="58" t="str">
        <f t="shared" si="10"/>
        <v>00</v>
      </c>
      <c r="AN97" s="58" t="str">
        <f t="shared" si="11"/>
        <v>00</v>
      </c>
      <c r="AO97" s="58" t="str">
        <f t="shared" si="12"/>
        <v>00</v>
      </c>
      <c r="AQ97" s="185" t="str">
        <f t="shared" si="7"/>
        <v/>
      </c>
    </row>
    <row r="98" spans="2:43">
      <c r="B98" s="128"/>
      <c r="C98" s="43">
        <f t="shared" si="8"/>
        <v>27</v>
      </c>
      <c r="D98" s="120">
        <f t="shared" si="15"/>
        <v>0</v>
      </c>
      <c r="E98" s="120">
        <f t="shared" si="15"/>
        <v>0</v>
      </c>
      <c r="F98" s="120">
        <f t="shared" si="15"/>
        <v>0</v>
      </c>
      <c r="G98" s="120">
        <f t="shared" si="15"/>
        <v>0</v>
      </c>
      <c r="H98" s="120">
        <f t="shared" si="15"/>
        <v>0</v>
      </c>
      <c r="I98" s="120">
        <f t="shared" si="15"/>
        <v>0</v>
      </c>
      <c r="J98" s="120">
        <f t="shared" si="15"/>
        <v>0</v>
      </c>
      <c r="K98" s="120">
        <f t="shared" si="15"/>
        <v>0</v>
      </c>
      <c r="L98" s="120">
        <f t="shared" si="15"/>
        <v>0</v>
      </c>
      <c r="M98" s="120">
        <f t="shared" si="15"/>
        <v>0</v>
      </c>
      <c r="N98" s="120">
        <f t="shared" si="15"/>
        <v>0</v>
      </c>
      <c r="O98" s="120">
        <f t="shared" si="15"/>
        <v>0</v>
      </c>
      <c r="P98" s="120">
        <f t="shared" si="15"/>
        <v>0</v>
      </c>
      <c r="Q98" s="120">
        <f t="shared" si="15"/>
        <v>0</v>
      </c>
      <c r="R98" s="120">
        <f t="shared" si="15"/>
        <v>0</v>
      </c>
      <c r="S98" s="120">
        <f t="shared" si="15"/>
        <v>0</v>
      </c>
      <c r="T98" s="120">
        <f t="shared" si="15"/>
        <v>0</v>
      </c>
      <c r="U98" s="120">
        <f t="shared" si="15"/>
        <v>0</v>
      </c>
      <c r="V98" s="120">
        <f t="shared" si="15"/>
        <v>0</v>
      </c>
      <c r="W98" s="120">
        <f t="shared" si="15"/>
        <v>0</v>
      </c>
      <c r="X98" s="120">
        <f t="shared" si="15"/>
        <v>0</v>
      </c>
      <c r="Y98" s="120">
        <f t="shared" si="15"/>
        <v>0</v>
      </c>
      <c r="Z98" s="120">
        <f t="shared" si="15"/>
        <v>0</v>
      </c>
      <c r="AA98" s="120">
        <f t="shared" si="15"/>
        <v>0</v>
      </c>
      <c r="AB98" s="120">
        <f t="shared" si="15"/>
        <v>0</v>
      </c>
      <c r="AC98" s="120">
        <f t="shared" si="15"/>
        <v>0</v>
      </c>
      <c r="AD98" s="120">
        <f t="shared" si="15"/>
        <v>0</v>
      </c>
      <c r="AE98" s="120">
        <f t="shared" si="15"/>
        <v>0</v>
      </c>
      <c r="AF98" s="120">
        <f t="shared" si="15"/>
        <v>0</v>
      </c>
      <c r="AG98" s="120">
        <f t="shared" si="15"/>
        <v>0</v>
      </c>
      <c r="AH98" s="120">
        <f t="shared" si="15"/>
        <v>0</v>
      </c>
      <c r="AI98" s="120">
        <f t="shared" si="15"/>
        <v>0</v>
      </c>
      <c r="AJ98" s="43" t="str">
        <f t="shared" si="6"/>
        <v/>
      </c>
      <c r="AK98" s="56"/>
      <c r="AL98" s="56" t="str">
        <f t="shared" si="9"/>
        <v>00</v>
      </c>
      <c r="AM98" s="58" t="str">
        <f t="shared" si="10"/>
        <v>00</v>
      </c>
      <c r="AN98" s="58" t="str">
        <f t="shared" si="11"/>
        <v>00</v>
      </c>
      <c r="AO98" s="58" t="str">
        <f t="shared" si="12"/>
        <v>00</v>
      </c>
      <c r="AQ98" s="185" t="str">
        <f t="shared" si="7"/>
        <v/>
      </c>
    </row>
    <row r="99" spans="2:43">
      <c r="B99" s="128"/>
      <c r="C99" s="43">
        <f t="shared" si="8"/>
        <v>28</v>
      </c>
      <c r="D99" s="120">
        <f t="shared" si="15"/>
        <v>0</v>
      </c>
      <c r="E99" s="120">
        <f t="shared" si="15"/>
        <v>0</v>
      </c>
      <c r="F99" s="120">
        <f t="shared" si="15"/>
        <v>0</v>
      </c>
      <c r="G99" s="120">
        <f t="shared" si="15"/>
        <v>0</v>
      </c>
      <c r="H99" s="120">
        <f t="shared" si="15"/>
        <v>0</v>
      </c>
      <c r="I99" s="120">
        <f t="shared" si="15"/>
        <v>0</v>
      </c>
      <c r="J99" s="120">
        <f t="shared" si="15"/>
        <v>0</v>
      </c>
      <c r="K99" s="120">
        <f t="shared" si="15"/>
        <v>0</v>
      </c>
      <c r="L99" s="120">
        <f t="shared" si="15"/>
        <v>0</v>
      </c>
      <c r="M99" s="120">
        <f t="shared" si="15"/>
        <v>0</v>
      </c>
      <c r="N99" s="120">
        <f t="shared" si="15"/>
        <v>0</v>
      </c>
      <c r="O99" s="120">
        <f t="shared" si="15"/>
        <v>0</v>
      </c>
      <c r="P99" s="120">
        <f t="shared" si="15"/>
        <v>0</v>
      </c>
      <c r="Q99" s="120">
        <f t="shared" si="15"/>
        <v>0</v>
      </c>
      <c r="R99" s="120">
        <f t="shared" si="15"/>
        <v>0</v>
      </c>
      <c r="S99" s="120">
        <f t="shared" si="15"/>
        <v>0</v>
      </c>
      <c r="T99" s="120">
        <f t="shared" si="15"/>
        <v>0</v>
      </c>
      <c r="U99" s="120">
        <f t="shared" si="15"/>
        <v>0</v>
      </c>
      <c r="V99" s="120">
        <f t="shared" si="15"/>
        <v>0</v>
      </c>
      <c r="W99" s="120">
        <f t="shared" si="15"/>
        <v>0</v>
      </c>
      <c r="X99" s="120">
        <f t="shared" si="15"/>
        <v>0</v>
      </c>
      <c r="Y99" s="120">
        <f t="shared" si="15"/>
        <v>0</v>
      </c>
      <c r="Z99" s="120">
        <f t="shared" si="15"/>
        <v>0</v>
      </c>
      <c r="AA99" s="120">
        <f t="shared" si="15"/>
        <v>0</v>
      </c>
      <c r="AB99" s="120">
        <f t="shared" si="15"/>
        <v>0</v>
      </c>
      <c r="AC99" s="120">
        <f t="shared" si="15"/>
        <v>0</v>
      </c>
      <c r="AD99" s="120">
        <f t="shared" si="15"/>
        <v>0</v>
      </c>
      <c r="AE99" s="120">
        <f t="shared" si="15"/>
        <v>0</v>
      </c>
      <c r="AF99" s="120">
        <f t="shared" si="15"/>
        <v>0</v>
      </c>
      <c r="AG99" s="120">
        <f t="shared" si="15"/>
        <v>0</v>
      </c>
      <c r="AH99" s="120">
        <f t="shared" si="15"/>
        <v>0</v>
      </c>
      <c r="AI99" s="120">
        <f t="shared" si="15"/>
        <v>0</v>
      </c>
      <c r="AJ99" s="43" t="str">
        <f t="shared" si="6"/>
        <v/>
      </c>
      <c r="AK99" s="56"/>
      <c r="AL99" s="56" t="str">
        <f t="shared" si="9"/>
        <v>00</v>
      </c>
      <c r="AM99" s="58" t="str">
        <f t="shared" si="10"/>
        <v>00</v>
      </c>
      <c r="AN99" s="58" t="str">
        <f t="shared" si="11"/>
        <v>00</v>
      </c>
      <c r="AO99" s="58" t="str">
        <f t="shared" si="12"/>
        <v>00</v>
      </c>
      <c r="AQ99" s="185" t="str">
        <f t="shared" si="7"/>
        <v/>
      </c>
    </row>
    <row r="100" spans="2:43">
      <c r="B100" s="128"/>
      <c r="C100" s="43">
        <f t="shared" si="8"/>
        <v>29</v>
      </c>
      <c r="D100" s="120">
        <f t="shared" si="15"/>
        <v>0</v>
      </c>
      <c r="E100" s="120">
        <f t="shared" si="15"/>
        <v>0</v>
      </c>
      <c r="F100" s="120">
        <f t="shared" si="15"/>
        <v>0</v>
      </c>
      <c r="G100" s="120">
        <f t="shared" si="15"/>
        <v>0</v>
      </c>
      <c r="H100" s="120">
        <f t="shared" si="15"/>
        <v>0</v>
      </c>
      <c r="I100" s="120">
        <f t="shared" si="15"/>
        <v>0</v>
      </c>
      <c r="J100" s="120">
        <f t="shared" si="15"/>
        <v>0</v>
      </c>
      <c r="K100" s="120">
        <f t="shared" si="15"/>
        <v>0</v>
      </c>
      <c r="L100" s="120">
        <f t="shared" si="15"/>
        <v>0</v>
      </c>
      <c r="M100" s="120">
        <f t="shared" si="15"/>
        <v>0</v>
      </c>
      <c r="N100" s="120">
        <f t="shared" si="15"/>
        <v>0</v>
      </c>
      <c r="O100" s="120">
        <f t="shared" si="15"/>
        <v>0</v>
      </c>
      <c r="P100" s="120">
        <f t="shared" si="15"/>
        <v>0</v>
      </c>
      <c r="Q100" s="120">
        <f t="shared" si="15"/>
        <v>0</v>
      </c>
      <c r="R100" s="120">
        <f t="shared" si="15"/>
        <v>0</v>
      </c>
      <c r="S100" s="120">
        <f t="shared" si="15"/>
        <v>0</v>
      </c>
      <c r="T100" s="120">
        <f t="shared" si="15"/>
        <v>0</v>
      </c>
      <c r="U100" s="120">
        <f t="shared" si="15"/>
        <v>0</v>
      </c>
      <c r="V100" s="120">
        <f t="shared" si="15"/>
        <v>0</v>
      </c>
      <c r="W100" s="120">
        <f t="shared" si="15"/>
        <v>0</v>
      </c>
      <c r="X100" s="120">
        <f t="shared" si="15"/>
        <v>0</v>
      </c>
      <c r="Y100" s="120">
        <f t="shared" si="15"/>
        <v>0</v>
      </c>
      <c r="Z100" s="120">
        <f t="shared" si="15"/>
        <v>0</v>
      </c>
      <c r="AA100" s="120">
        <f t="shared" si="15"/>
        <v>0</v>
      </c>
      <c r="AB100" s="120">
        <f t="shared" si="15"/>
        <v>0</v>
      </c>
      <c r="AC100" s="120">
        <f t="shared" si="15"/>
        <v>0</v>
      </c>
      <c r="AD100" s="120">
        <f t="shared" si="15"/>
        <v>0</v>
      </c>
      <c r="AE100" s="120">
        <f t="shared" si="15"/>
        <v>0</v>
      </c>
      <c r="AF100" s="120">
        <f t="shared" si="15"/>
        <v>0</v>
      </c>
      <c r="AG100" s="120">
        <f t="shared" si="15"/>
        <v>0</v>
      </c>
      <c r="AH100" s="120">
        <f t="shared" si="15"/>
        <v>0</v>
      </c>
      <c r="AI100" s="120">
        <f t="shared" si="15"/>
        <v>0</v>
      </c>
      <c r="AJ100" s="43" t="str">
        <f t="shared" si="6"/>
        <v/>
      </c>
      <c r="AK100" s="56"/>
      <c r="AL100" s="56" t="str">
        <f t="shared" si="9"/>
        <v>00</v>
      </c>
      <c r="AM100" s="58" t="str">
        <f t="shared" si="10"/>
        <v>00</v>
      </c>
      <c r="AN100" s="58" t="str">
        <f t="shared" si="11"/>
        <v>00</v>
      </c>
      <c r="AO100" s="58" t="str">
        <f t="shared" si="12"/>
        <v>00</v>
      </c>
      <c r="AQ100" s="185" t="str">
        <f t="shared" si="7"/>
        <v/>
      </c>
    </row>
    <row r="101" spans="2:43">
      <c r="B101" s="128"/>
      <c r="C101" s="43">
        <f t="shared" si="8"/>
        <v>30</v>
      </c>
      <c r="D101" s="120">
        <f t="shared" si="15"/>
        <v>0</v>
      </c>
      <c r="E101" s="120">
        <f t="shared" si="15"/>
        <v>0</v>
      </c>
      <c r="F101" s="120">
        <f t="shared" si="15"/>
        <v>0</v>
      </c>
      <c r="G101" s="120">
        <f t="shared" si="15"/>
        <v>0</v>
      </c>
      <c r="H101" s="120">
        <f t="shared" si="15"/>
        <v>0</v>
      </c>
      <c r="I101" s="120">
        <f t="shared" si="15"/>
        <v>0</v>
      </c>
      <c r="J101" s="120">
        <f t="shared" si="15"/>
        <v>0</v>
      </c>
      <c r="K101" s="120">
        <f t="shared" si="15"/>
        <v>0</v>
      </c>
      <c r="L101" s="120">
        <f t="shared" si="15"/>
        <v>0</v>
      </c>
      <c r="M101" s="120">
        <f t="shared" si="15"/>
        <v>0</v>
      </c>
      <c r="N101" s="120">
        <f t="shared" si="15"/>
        <v>0</v>
      </c>
      <c r="O101" s="120">
        <f t="shared" si="15"/>
        <v>0</v>
      </c>
      <c r="P101" s="120">
        <f t="shared" si="15"/>
        <v>0</v>
      </c>
      <c r="Q101" s="120">
        <f t="shared" si="15"/>
        <v>0</v>
      </c>
      <c r="R101" s="120">
        <f t="shared" si="15"/>
        <v>0</v>
      </c>
      <c r="S101" s="120">
        <f t="shared" si="15"/>
        <v>0</v>
      </c>
      <c r="T101" s="120">
        <f t="shared" si="15"/>
        <v>0</v>
      </c>
      <c r="U101" s="120">
        <f t="shared" si="15"/>
        <v>0</v>
      </c>
      <c r="V101" s="120">
        <f t="shared" si="15"/>
        <v>0</v>
      </c>
      <c r="W101" s="120">
        <f t="shared" si="15"/>
        <v>0</v>
      </c>
      <c r="X101" s="120">
        <f t="shared" si="15"/>
        <v>0</v>
      </c>
      <c r="Y101" s="120">
        <f t="shared" si="15"/>
        <v>0</v>
      </c>
      <c r="Z101" s="120">
        <f t="shared" si="15"/>
        <v>0</v>
      </c>
      <c r="AA101" s="120">
        <f t="shared" si="15"/>
        <v>0</v>
      </c>
      <c r="AB101" s="120">
        <f t="shared" si="15"/>
        <v>0</v>
      </c>
      <c r="AC101" s="120">
        <f t="shared" si="15"/>
        <v>0</v>
      </c>
      <c r="AD101" s="120">
        <f t="shared" si="15"/>
        <v>0</v>
      </c>
      <c r="AE101" s="120">
        <f t="shared" si="15"/>
        <v>0</v>
      </c>
      <c r="AF101" s="120">
        <f t="shared" si="15"/>
        <v>0</v>
      </c>
      <c r="AG101" s="120">
        <f t="shared" si="15"/>
        <v>0</v>
      </c>
      <c r="AH101" s="120">
        <f t="shared" si="15"/>
        <v>0</v>
      </c>
      <c r="AI101" s="120">
        <f t="shared" si="15"/>
        <v>0</v>
      </c>
      <c r="AJ101" s="43" t="str">
        <f t="shared" si="6"/>
        <v/>
      </c>
      <c r="AK101" s="56"/>
      <c r="AL101" s="56" t="str">
        <f t="shared" si="9"/>
        <v>00</v>
      </c>
      <c r="AM101" s="58" t="str">
        <f t="shared" si="10"/>
        <v>00</v>
      </c>
      <c r="AN101" s="58" t="str">
        <f t="shared" si="11"/>
        <v>00</v>
      </c>
      <c r="AO101" s="58" t="str">
        <f t="shared" si="12"/>
        <v>00</v>
      </c>
      <c r="AQ101" s="185" t="str">
        <f t="shared" si="7"/>
        <v/>
      </c>
    </row>
    <row r="102" spans="2:43">
      <c r="B102" s="128"/>
      <c r="C102" s="43">
        <f t="shared" si="8"/>
        <v>31</v>
      </c>
      <c r="D102" s="120">
        <f t="shared" si="15"/>
        <v>0</v>
      </c>
      <c r="E102" s="120">
        <f t="shared" si="15"/>
        <v>0</v>
      </c>
      <c r="F102" s="120">
        <f t="shared" si="15"/>
        <v>0</v>
      </c>
      <c r="G102" s="120">
        <f t="shared" si="15"/>
        <v>0</v>
      </c>
      <c r="H102" s="120">
        <f t="shared" si="15"/>
        <v>0</v>
      </c>
      <c r="I102" s="120">
        <f t="shared" si="15"/>
        <v>0</v>
      </c>
      <c r="J102" s="120">
        <f t="shared" si="15"/>
        <v>0</v>
      </c>
      <c r="K102" s="120">
        <f t="shared" si="15"/>
        <v>0</v>
      </c>
      <c r="L102" s="120">
        <f t="shared" si="15"/>
        <v>0</v>
      </c>
      <c r="M102" s="120">
        <f t="shared" si="15"/>
        <v>0</v>
      </c>
      <c r="N102" s="120">
        <f t="shared" si="15"/>
        <v>0</v>
      </c>
      <c r="O102" s="120">
        <f t="shared" si="15"/>
        <v>0</v>
      </c>
      <c r="P102" s="120">
        <f t="shared" si="15"/>
        <v>0</v>
      </c>
      <c r="Q102" s="120">
        <f t="shared" si="15"/>
        <v>0</v>
      </c>
      <c r="R102" s="120">
        <f t="shared" si="15"/>
        <v>0</v>
      </c>
      <c r="S102" s="120">
        <f t="shared" si="15"/>
        <v>0</v>
      </c>
      <c r="T102" s="120">
        <f t="shared" si="15"/>
        <v>0</v>
      </c>
      <c r="U102" s="120">
        <f t="shared" si="15"/>
        <v>0</v>
      </c>
      <c r="V102" s="120">
        <f t="shared" si="15"/>
        <v>0</v>
      </c>
      <c r="W102" s="120">
        <f t="shared" si="15"/>
        <v>0</v>
      </c>
      <c r="X102" s="120">
        <f t="shared" si="15"/>
        <v>0</v>
      </c>
      <c r="Y102" s="120">
        <f t="shared" si="15"/>
        <v>0</v>
      </c>
      <c r="Z102" s="120">
        <f t="shared" si="15"/>
        <v>0</v>
      </c>
      <c r="AA102" s="120">
        <f t="shared" si="15"/>
        <v>0</v>
      </c>
      <c r="AB102" s="120">
        <f t="shared" si="15"/>
        <v>0</v>
      </c>
      <c r="AC102" s="120">
        <f t="shared" si="15"/>
        <v>0</v>
      </c>
      <c r="AD102" s="120">
        <f t="shared" si="15"/>
        <v>0</v>
      </c>
      <c r="AE102" s="120">
        <f t="shared" si="15"/>
        <v>0</v>
      </c>
      <c r="AF102" s="120">
        <f t="shared" si="15"/>
        <v>0</v>
      </c>
      <c r="AG102" s="120">
        <f t="shared" si="15"/>
        <v>0</v>
      </c>
      <c r="AH102" s="120">
        <f t="shared" si="15"/>
        <v>0</v>
      </c>
      <c r="AI102" s="120">
        <f>IF(AI37=1,1,0)</f>
        <v>0</v>
      </c>
      <c r="AJ102" s="43" t="str">
        <f t="shared" si="6"/>
        <v/>
      </c>
      <c r="AK102" s="56"/>
      <c r="AL102" s="56" t="str">
        <f t="shared" si="9"/>
        <v>00</v>
      </c>
      <c r="AM102" s="58" t="str">
        <f t="shared" si="10"/>
        <v>00</v>
      </c>
      <c r="AN102" s="58" t="str">
        <f t="shared" si="11"/>
        <v>00</v>
      </c>
      <c r="AO102" s="58" t="str">
        <f t="shared" si="12"/>
        <v>00</v>
      </c>
      <c r="AQ102" s="185" t="str">
        <f t="shared" si="7"/>
        <v/>
      </c>
    </row>
    <row r="103" spans="2:43">
      <c r="B103" s="128"/>
      <c r="C103" s="43">
        <f t="shared" si="8"/>
        <v>32</v>
      </c>
      <c r="D103" s="120">
        <f t="shared" ref="D103:AI110" si="16">IF(D38=1,1,0)</f>
        <v>0</v>
      </c>
      <c r="E103" s="120">
        <f t="shared" si="16"/>
        <v>0</v>
      </c>
      <c r="F103" s="120">
        <f t="shared" si="16"/>
        <v>0</v>
      </c>
      <c r="G103" s="120">
        <f t="shared" si="16"/>
        <v>0</v>
      </c>
      <c r="H103" s="120">
        <f t="shared" si="16"/>
        <v>0</v>
      </c>
      <c r="I103" s="120">
        <f t="shared" si="16"/>
        <v>0</v>
      </c>
      <c r="J103" s="120">
        <f t="shared" si="16"/>
        <v>0</v>
      </c>
      <c r="K103" s="120">
        <f t="shared" si="16"/>
        <v>0</v>
      </c>
      <c r="L103" s="120">
        <f t="shared" si="16"/>
        <v>0</v>
      </c>
      <c r="M103" s="120">
        <f t="shared" si="16"/>
        <v>0</v>
      </c>
      <c r="N103" s="120">
        <f t="shared" si="16"/>
        <v>0</v>
      </c>
      <c r="O103" s="120">
        <f t="shared" si="16"/>
        <v>0</v>
      </c>
      <c r="P103" s="120">
        <f t="shared" si="16"/>
        <v>0</v>
      </c>
      <c r="Q103" s="120">
        <f t="shared" si="16"/>
        <v>0</v>
      </c>
      <c r="R103" s="120">
        <f t="shared" si="16"/>
        <v>0</v>
      </c>
      <c r="S103" s="120">
        <f t="shared" si="16"/>
        <v>0</v>
      </c>
      <c r="T103" s="120">
        <f t="shared" si="16"/>
        <v>0</v>
      </c>
      <c r="U103" s="120">
        <f t="shared" si="16"/>
        <v>0</v>
      </c>
      <c r="V103" s="120">
        <f t="shared" si="16"/>
        <v>0</v>
      </c>
      <c r="W103" s="120">
        <f t="shared" si="16"/>
        <v>0</v>
      </c>
      <c r="X103" s="120">
        <f t="shared" si="16"/>
        <v>0</v>
      </c>
      <c r="Y103" s="120">
        <f t="shared" si="16"/>
        <v>0</v>
      </c>
      <c r="Z103" s="120">
        <f t="shared" si="16"/>
        <v>0</v>
      </c>
      <c r="AA103" s="120">
        <f t="shared" si="16"/>
        <v>0</v>
      </c>
      <c r="AB103" s="120">
        <f t="shared" si="16"/>
        <v>0</v>
      </c>
      <c r="AC103" s="120">
        <f t="shared" si="16"/>
        <v>0</v>
      </c>
      <c r="AD103" s="120">
        <f t="shared" si="16"/>
        <v>0</v>
      </c>
      <c r="AE103" s="120">
        <f t="shared" si="16"/>
        <v>0</v>
      </c>
      <c r="AF103" s="120">
        <f t="shared" si="16"/>
        <v>0</v>
      </c>
      <c r="AG103" s="120">
        <f t="shared" si="16"/>
        <v>0</v>
      </c>
      <c r="AH103" s="120">
        <f t="shared" si="16"/>
        <v>0</v>
      </c>
      <c r="AI103" s="120">
        <f t="shared" si="16"/>
        <v>0</v>
      </c>
      <c r="AJ103" s="43" t="str">
        <f t="shared" si="6"/>
        <v/>
      </c>
      <c r="AK103" s="56"/>
      <c r="AL103" s="56" t="str">
        <f t="shared" si="9"/>
        <v>00</v>
      </c>
      <c r="AM103" s="58" t="str">
        <f t="shared" si="10"/>
        <v>00</v>
      </c>
      <c r="AN103" s="58" t="str">
        <f t="shared" si="11"/>
        <v>00</v>
      </c>
      <c r="AO103" s="58" t="str">
        <f t="shared" si="12"/>
        <v>00</v>
      </c>
      <c r="AQ103" s="185" t="str">
        <f t="shared" si="7"/>
        <v/>
      </c>
    </row>
    <row r="104" spans="2:43">
      <c r="B104" s="128"/>
      <c r="C104" s="43">
        <f t="shared" si="8"/>
        <v>33</v>
      </c>
      <c r="D104" s="120">
        <f t="shared" si="16"/>
        <v>0</v>
      </c>
      <c r="E104" s="120">
        <f t="shared" si="16"/>
        <v>0</v>
      </c>
      <c r="F104" s="120">
        <f t="shared" si="16"/>
        <v>0</v>
      </c>
      <c r="G104" s="120">
        <f t="shared" si="16"/>
        <v>0</v>
      </c>
      <c r="H104" s="120">
        <f t="shared" si="16"/>
        <v>0</v>
      </c>
      <c r="I104" s="120">
        <f t="shared" si="16"/>
        <v>0</v>
      </c>
      <c r="J104" s="120">
        <f t="shared" si="16"/>
        <v>0</v>
      </c>
      <c r="K104" s="120">
        <f t="shared" si="16"/>
        <v>0</v>
      </c>
      <c r="L104" s="120">
        <f t="shared" si="16"/>
        <v>0</v>
      </c>
      <c r="M104" s="120">
        <f t="shared" si="16"/>
        <v>0</v>
      </c>
      <c r="N104" s="120">
        <f t="shared" si="16"/>
        <v>0</v>
      </c>
      <c r="O104" s="120">
        <f t="shared" si="16"/>
        <v>0</v>
      </c>
      <c r="P104" s="120">
        <f t="shared" si="16"/>
        <v>0</v>
      </c>
      <c r="Q104" s="120">
        <f t="shared" si="16"/>
        <v>0</v>
      </c>
      <c r="R104" s="120">
        <f t="shared" si="16"/>
        <v>0</v>
      </c>
      <c r="S104" s="120">
        <f t="shared" si="16"/>
        <v>0</v>
      </c>
      <c r="T104" s="120">
        <f t="shared" si="16"/>
        <v>0</v>
      </c>
      <c r="U104" s="120">
        <f t="shared" si="16"/>
        <v>0</v>
      </c>
      <c r="V104" s="120">
        <f t="shared" si="16"/>
        <v>0</v>
      </c>
      <c r="W104" s="120">
        <f t="shared" si="16"/>
        <v>0</v>
      </c>
      <c r="X104" s="120">
        <f t="shared" si="16"/>
        <v>0</v>
      </c>
      <c r="Y104" s="120">
        <f t="shared" si="16"/>
        <v>0</v>
      </c>
      <c r="Z104" s="120">
        <f t="shared" si="16"/>
        <v>0</v>
      </c>
      <c r="AA104" s="120">
        <f t="shared" si="16"/>
        <v>0</v>
      </c>
      <c r="AB104" s="120">
        <f t="shared" si="16"/>
        <v>0</v>
      </c>
      <c r="AC104" s="120">
        <f t="shared" si="16"/>
        <v>0</v>
      </c>
      <c r="AD104" s="120">
        <f t="shared" si="16"/>
        <v>0</v>
      </c>
      <c r="AE104" s="120">
        <f t="shared" si="16"/>
        <v>0</v>
      </c>
      <c r="AF104" s="120">
        <f t="shared" si="16"/>
        <v>0</v>
      </c>
      <c r="AG104" s="120">
        <f t="shared" si="16"/>
        <v>0</v>
      </c>
      <c r="AH104" s="120">
        <f t="shared" si="16"/>
        <v>0</v>
      </c>
      <c r="AI104" s="120">
        <f t="shared" si="16"/>
        <v>0</v>
      </c>
      <c r="AJ104" s="43" t="str">
        <f t="shared" si="6"/>
        <v/>
      </c>
      <c r="AK104" s="56"/>
      <c r="AL104" s="56" t="str">
        <f t="shared" si="9"/>
        <v>00</v>
      </c>
      <c r="AM104" s="58" t="str">
        <f t="shared" si="10"/>
        <v>00</v>
      </c>
      <c r="AN104" s="58" t="str">
        <f t="shared" si="11"/>
        <v>00</v>
      </c>
      <c r="AO104" s="58" t="str">
        <f t="shared" si="12"/>
        <v>00</v>
      </c>
      <c r="AQ104" s="185" t="str">
        <f t="shared" si="7"/>
        <v/>
      </c>
    </row>
    <row r="105" spans="2:43">
      <c r="B105" s="128"/>
      <c r="C105" s="43">
        <f t="shared" si="8"/>
        <v>34</v>
      </c>
      <c r="D105" s="120">
        <f t="shared" si="16"/>
        <v>0</v>
      </c>
      <c r="E105" s="120">
        <f t="shared" si="16"/>
        <v>0</v>
      </c>
      <c r="F105" s="120">
        <f t="shared" si="16"/>
        <v>0</v>
      </c>
      <c r="G105" s="120">
        <f t="shared" si="16"/>
        <v>0</v>
      </c>
      <c r="H105" s="120">
        <f t="shared" si="16"/>
        <v>0</v>
      </c>
      <c r="I105" s="120">
        <f t="shared" si="16"/>
        <v>0</v>
      </c>
      <c r="J105" s="120">
        <f t="shared" si="16"/>
        <v>0</v>
      </c>
      <c r="K105" s="120">
        <f t="shared" si="16"/>
        <v>0</v>
      </c>
      <c r="L105" s="120">
        <f t="shared" si="16"/>
        <v>0</v>
      </c>
      <c r="M105" s="120">
        <f t="shared" si="16"/>
        <v>0</v>
      </c>
      <c r="N105" s="120">
        <f t="shared" si="16"/>
        <v>0</v>
      </c>
      <c r="O105" s="120">
        <f t="shared" si="16"/>
        <v>0</v>
      </c>
      <c r="P105" s="120">
        <f t="shared" si="16"/>
        <v>0</v>
      </c>
      <c r="Q105" s="120">
        <f t="shared" si="16"/>
        <v>0</v>
      </c>
      <c r="R105" s="120">
        <f t="shared" si="16"/>
        <v>0</v>
      </c>
      <c r="S105" s="120">
        <f t="shared" si="16"/>
        <v>0</v>
      </c>
      <c r="T105" s="120">
        <f t="shared" si="16"/>
        <v>0</v>
      </c>
      <c r="U105" s="120">
        <f t="shared" si="16"/>
        <v>0</v>
      </c>
      <c r="V105" s="120">
        <f t="shared" si="16"/>
        <v>0</v>
      </c>
      <c r="W105" s="120">
        <f t="shared" si="16"/>
        <v>0</v>
      </c>
      <c r="X105" s="120">
        <f t="shared" si="16"/>
        <v>0</v>
      </c>
      <c r="Y105" s="120">
        <f t="shared" si="16"/>
        <v>0</v>
      </c>
      <c r="Z105" s="120">
        <f t="shared" si="16"/>
        <v>0</v>
      </c>
      <c r="AA105" s="120">
        <f t="shared" si="16"/>
        <v>0</v>
      </c>
      <c r="AB105" s="120">
        <f t="shared" si="16"/>
        <v>0</v>
      </c>
      <c r="AC105" s="120">
        <f t="shared" si="16"/>
        <v>0</v>
      </c>
      <c r="AD105" s="120">
        <f t="shared" si="16"/>
        <v>0</v>
      </c>
      <c r="AE105" s="120">
        <f t="shared" si="16"/>
        <v>0</v>
      </c>
      <c r="AF105" s="120">
        <f t="shared" si="16"/>
        <v>0</v>
      </c>
      <c r="AG105" s="120">
        <f t="shared" si="16"/>
        <v>0</v>
      </c>
      <c r="AH105" s="120">
        <f t="shared" si="16"/>
        <v>0</v>
      </c>
      <c r="AI105" s="120">
        <f t="shared" si="16"/>
        <v>0</v>
      </c>
      <c r="AJ105" s="43" t="str">
        <f t="shared" si="6"/>
        <v/>
      </c>
      <c r="AK105" s="56"/>
      <c r="AL105" s="56" t="str">
        <f t="shared" si="9"/>
        <v>00</v>
      </c>
      <c r="AM105" s="58" t="str">
        <f t="shared" si="10"/>
        <v>00</v>
      </c>
      <c r="AN105" s="58" t="str">
        <f t="shared" si="11"/>
        <v>00</v>
      </c>
      <c r="AO105" s="58" t="str">
        <f t="shared" si="12"/>
        <v>00</v>
      </c>
      <c r="AQ105" s="185" t="str">
        <f t="shared" si="7"/>
        <v/>
      </c>
    </row>
    <row r="106" spans="2:43">
      <c r="B106" s="128"/>
      <c r="C106" s="43">
        <f t="shared" si="8"/>
        <v>35</v>
      </c>
      <c r="D106" s="120">
        <f t="shared" si="16"/>
        <v>0</v>
      </c>
      <c r="E106" s="120">
        <f t="shared" si="16"/>
        <v>0</v>
      </c>
      <c r="F106" s="120">
        <f t="shared" si="16"/>
        <v>0</v>
      </c>
      <c r="G106" s="120">
        <f t="shared" si="16"/>
        <v>0</v>
      </c>
      <c r="H106" s="120">
        <f t="shared" si="16"/>
        <v>0</v>
      </c>
      <c r="I106" s="120">
        <f t="shared" si="16"/>
        <v>0</v>
      </c>
      <c r="J106" s="120">
        <f t="shared" si="16"/>
        <v>0</v>
      </c>
      <c r="K106" s="120">
        <f t="shared" si="16"/>
        <v>0</v>
      </c>
      <c r="L106" s="120">
        <f t="shared" si="16"/>
        <v>0</v>
      </c>
      <c r="M106" s="120">
        <f t="shared" si="16"/>
        <v>0</v>
      </c>
      <c r="N106" s="120">
        <f t="shared" si="16"/>
        <v>0</v>
      </c>
      <c r="O106" s="120">
        <f t="shared" si="16"/>
        <v>0</v>
      </c>
      <c r="P106" s="120">
        <f t="shared" si="16"/>
        <v>0</v>
      </c>
      <c r="Q106" s="120">
        <f t="shared" si="16"/>
        <v>0</v>
      </c>
      <c r="R106" s="120">
        <f t="shared" si="16"/>
        <v>0</v>
      </c>
      <c r="S106" s="120">
        <f t="shared" si="16"/>
        <v>0</v>
      </c>
      <c r="T106" s="120">
        <f t="shared" si="16"/>
        <v>0</v>
      </c>
      <c r="U106" s="120">
        <f t="shared" si="16"/>
        <v>0</v>
      </c>
      <c r="V106" s="120">
        <f t="shared" si="16"/>
        <v>0</v>
      </c>
      <c r="W106" s="120">
        <f t="shared" si="16"/>
        <v>0</v>
      </c>
      <c r="X106" s="120">
        <f t="shared" si="16"/>
        <v>0</v>
      </c>
      <c r="Y106" s="120">
        <f t="shared" si="16"/>
        <v>0</v>
      </c>
      <c r="Z106" s="120">
        <f t="shared" si="16"/>
        <v>0</v>
      </c>
      <c r="AA106" s="120">
        <f t="shared" si="16"/>
        <v>0</v>
      </c>
      <c r="AB106" s="120">
        <f t="shared" si="16"/>
        <v>0</v>
      </c>
      <c r="AC106" s="120">
        <f t="shared" si="16"/>
        <v>0</v>
      </c>
      <c r="AD106" s="120">
        <f t="shared" si="16"/>
        <v>0</v>
      </c>
      <c r="AE106" s="120">
        <f t="shared" si="16"/>
        <v>0</v>
      </c>
      <c r="AF106" s="120">
        <f t="shared" si="16"/>
        <v>0</v>
      </c>
      <c r="AG106" s="120">
        <f t="shared" si="16"/>
        <v>0</v>
      </c>
      <c r="AH106" s="120">
        <f t="shared" si="16"/>
        <v>0</v>
      </c>
      <c r="AI106" s="120">
        <f t="shared" si="16"/>
        <v>0</v>
      </c>
      <c r="AJ106" s="43" t="str">
        <f t="shared" si="6"/>
        <v/>
      </c>
      <c r="AK106" s="56"/>
      <c r="AL106" s="56" t="str">
        <f t="shared" si="9"/>
        <v>00</v>
      </c>
      <c r="AM106" s="58" t="str">
        <f t="shared" si="10"/>
        <v>00</v>
      </c>
      <c r="AN106" s="58" t="str">
        <f t="shared" si="11"/>
        <v>00</v>
      </c>
      <c r="AO106" s="58" t="str">
        <f t="shared" si="12"/>
        <v>00</v>
      </c>
      <c r="AQ106" s="185" t="str">
        <f t="shared" si="7"/>
        <v/>
      </c>
    </row>
    <row r="107" spans="2:43">
      <c r="B107" s="128"/>
      <c r="C107" s="43">
        <f t="shared" si="8"/>
        <v>36</v>
      </c>
      <c r="D107" s="120">
        <f t="shared" si="16"/>
        <v>0</v>
      </c>
      <c r="E107" s="120">
        <f t="shared" si="16"/>
        <v>0</v>
      </c>
      <c r="F107" s="120">
        <f t="shared" si="16"/>
        <v>0</v>
      </c>
      <c r="G107" s="120">
        <f t="shared" si="16"/>
        <v>0</v>
      </c>
      <c r="H107" s="120">
        <f t="shared" si="16"/>
        <v>0</v>
      </c>
      <c r="I107" s="120">
        <f t="shared" si="16"/>
        <v>0</v>
      </c>
      <c r="J107" s="120">
        <f t="shared" si="16"/>
        <v>0</v>
      </c>
      <c r="K107" s="120">
        <f t="shared" si="16"/>
        <v>0</v>
      </c>
      <c r="L107" s="120">
        <f t="shared" si="16"/>
        <v>0</v>
      </c>
      <c r="M107" s="120">
        <f t="shared" si="16"/>
        <v>0</v>
      </c>
      <c r="N107" s="120">
        <f t="shared" si="16"/>
        <v>0</v>
      </c>
      <c r="O107" s="120">
        <f t="shared" si="16"/>
        <v>0</v>
      </c>
      <c r="P107" s="120">
        <f t="shared" si="16"/>
        <v>0</v>
      </c>
      <c r="Q107" s="120">
        <f t="shared" si="16"/>
        <v>0</v>
      </c>
      <c r="R107" s="120">
        <f t="shared" si="16"/>
        <v>0</v>
      </c>
      <c r="S107" s="120">
        <f t="shared" si="16"/>
        <v>0</v>
      </c>
      <c r="T107" s="120">
        <f t="shared" si="16"/>
        <v>0</v>
      </c>
      <c r="U107" s="120">
        <f t="shared" si="16"/>
        <v>0</v>
      </c>
      <c r="V107" s="120">
        <f t="shared" si="16"/>
        <v>0</v>
      </c>
      <c r="W107" s="120">
        <f t="shared" si="16"/>
        <v>0</v>
      </c>
      <c r="X107" s="120">
        <f t="shared" si="16"/>
        <v>0</v>
      </c>
      <c r="Y107" s="120">
        <f t="shared" si="16"/>
        <v>0</v>
      </c>
      <c r="Z107" s="120">
        <f t="shared" si="16"/>
        <v>0</v>
      </c>
      <c r="AA107" s="120">
        <f t="shared" si="16"/>
        <v>0</v>
      </c>
      <c r="AB107" s="120">
        <f t="shared" si="16"/>
        <v>0</v>
      </c>
      <c r="AC107" s="120">
        <f t="shared" si="16"/>
        <v>0</v>
      </c>
      <c r="AD107" s="120">
        <f t="shared" si="16"/>
        <v>0</v>
      </c>
      <c r="AE107" s="120">
        <f t="shared" si="16"/>
        <v>0</v>
      </c>
      <c r="AF107" s="120">
        <f t="shared" si="16"/>
        <v>0</v>
      </c>
      <c r="AG107" s="120">
        <f t="shared" si="16"/>
        <v>0</v>
      </c>
      <c r="AH107" s="120">
        <f t="shared" si="16"/>
        <v>0</v>
      </c>
      <c r="AI107" s="120">
        <f t="shared" si="16"/>
        <v>0</v>
      </c>
      <c r="AJ107" s="43" t="str">
        <f t="shared" si="6"/>
        <v/>
      </c>
      <c r="AK107" s="56"/>
      <c r="AL107" s="56" t="str">
        <f t="shared" si="9"/>
        <v>00</v>
      </c>
      <c r="AM107" s="58" t="str">
        <f t="shared" si="10"/>
        <v>00</v>
      </c>
      <c r="AN107" s="58" t="str">
        <f t="shared" si="11"/>
        <v>00</v>
      </c>
      <c r="AO107" s="58" t="str">
        <f t="shared" si="12"/>
        <v>00</v>
      </c>
      <c r="AQ107" s="185" t="str">
        <f t="shared" si="7"/>
        <v/>
      </c>
    </row>
    <row r="108" spans="2:43">
      <c r="B108" s="128"/>
      <c r="C108" s="43">
        <f t="shared" si="8"/>
        <v>37</v>
      </c>
      <c r="D108" s="120">
        <f t="shared" si="16"/>
        <v>0</v>
      </c>
      <c r="E108" s="120">
        <f t="shared" si="16"/>
        <v>0</v>
      </c>
      <c r="F108" s="120">
        <f t="shared" si="16"/>
        <v>0</v>
      </c>
      <c r="G108" s="120">
        <f t="shared" si="16"/>
        <v>0</v>
      </c>
      <c r="H108" s="120">
        <f t="shared" si="16"/>
        <v>0</v>
      </c>
      <c r="I108" s="120">
        <f t="shared" si="16"/>
        <v>0</v>
      </c>
      <c r="J108" s="120">
        <f t="shared" si="16"/>
        <v>0</v>
      </c>
      <c r="K108" s="120">
        <f t="shared" si="16"/>
        <v>0</v>
      </c>
      <c r="L108" s="120">
        <f t="shared" si="16"/>
        <v>0</v>
      </c>
      <c r="M108" s="120">
        <f t="shared" si="16"/>
        <v>0</v>
      </c>
      <c r="N108" s="120">
        <f t="shared" si="16"/>
        <v>0</v>
      </c>
      <c r="O108" s="120">
        <f t="shared" si="16"/>
        <v>0</v>
      </c>
      <c r="P108" s="120">
        <f t="shared" si="16"/>
        <v>0</v>
      </c>
      <c r="Q108" s="120">
        <f t="shared" si="16"/>
        <v>0</v>
      </c>
      <c r="R108" s="120">
        <f t="shared" si="16"/>
        <v>0</v>
      </c>
      <c r="S108" s="120">
        <f t="shared" si="16"/>
        <v>0</v>
      </c>
      <c r="T108" s="120">
        <f t="shared" si="16"/>
        <v>0</v>
      </c>
      <c r="U108" s="120">
        <f t="shared" si="16"/>
        <v>0</v>
      </c>
      <c r="V108" s="120">
        <f t="shared" si="16"/>
        <v>0</v>
      </c>
      <c r="W108" s="120">
        <f t="shared" si="16"/>
        <v>0</v>
      </c>
      <c r="X108" s="120">
        <f t="shared" si="16"/>
        <v>0</v>
      </c>
      <c r="Y108" s="120">
        <f t="shared" si="16"/>
        <v>0</v>
      </c>
      <c r="Z108" s="120">
        <f t="shared" si="16"/>
        <v>0</v>
      </c>
      <c r="AA108" s="120">
        <f t="shared" si="16"/>
        <v>0</v>
      </c>
      <c r="AB108" s="120">
        <f t="shared" si="16"/>
        <v>0</v>
      </c>
      <c r="AC108" s="120">
        <f t="shared" si="16"/>
        <v>0</v>
      </c>
      <c r="AD108" s="120">
        <f t="shared" si="16"/>
        <v>0</v>
      </c>
      <c r="AE108" s="120">
        <f t="shared" si="16"/>
        <v>0</v>
      </c>
      <c r="AF108" s="120">
        <f t="shared" si="16"/>
        <v>0</v>
      </c>
      <c r="AG108" s="120">
        <f t="shared" si="16"/>
        <v>0</v>
      </c>
      <c r="AH108" s="120">
        <f t="shared" si="16"/>
        <v>0</v>
      </c>
      <c r="AI108" s="120">
        <f t="shared" si="16"/>
        <v>0</v>
      </c>
      <c r="AJ108" s="43" t="str">
        <f t="shared" si="6"/>
        <v/>
      </c>
      <c r="AK108" s="56"/>
      <c r="AL108" s="56" t="str">
        <f t="shared" si="9"/>
        <v>00</v>
      </c>
      <c r="AM108" s="58" t="str">
        <f t="shared" si="10"/>
        <v>00</v>
      </c>
      <c r="AN108" s="58" t="str">
        <f t="shared" si="11"/>
        <v>00</v>
      </c>
      <c r="AO108" s="58" t="str">
        <f t="shared" si="12"/>
        <v>00</v>
      </c>
      <c r="AQ108" s="185" t="str">
        <f t="shared" si="7"/>
        <v/>
      </c>
    </row>
    <row r="109" spans="2:43">
      <c r="B109" s="128"/>
      <c r="C109" s="43">
        <f t="shared" si="8"/>
        <v>38</v>
      </c>
      <c r="D109" s="120">
        <f t="shared" si="16"/>
        <v>0</v>
      </c>
      <c r="E109" s="120">
        <f t="shared" si="16"/>
        <v>0</v>
      </c>
      <c r="F109" s="120">
        <f t="shared" si="16"/>
        <v>0</v>
      </c>
      <c r="G109" s="120">
        <f t="shared" si="16"/>
        <v>0</v>
      </c>
      <c r="H109" s="120">
        <f t="shared" si="16"/>
        <v>0</v>
      </c>
      <c r="I109" s="120">
        <f t="shared" si="16"/>
        <v>0</v>
      </c>
      <c r="J109" s="120">
        <f t="shared" si="16"/>
        <v>0</v>
      </c>
      <c r="K109" s="120">
        <f t="shared" si="16"/>
        <v>0</v>
      </c>
      <c r="L109" s="120">
        <f t="shared" si="16"/>
        <v>0</v>
      </c>
      <c r="M109" s="120">
        <f t="shared" si="16"/>
        <v>0</v>
      </c>
      <c r="N109" s="120">
        <f t="shared" si="16"/>
        <v>0</v>
      </c>
      <c r="O109" s="120">
        <f t="shared" si="16"/>
        <v>0</v>
      </c>
      <c r="P109" s="120">
        <f t="shared" si="16"/>
        <v>0</v>
      </c>
      <c r="Q109" s="120">
        <f t="shared" si="16"/>
        <v>0</v>
      </c>
      <c r="R109" s="120">
        <f t="shared" si="16"/>
        <v>0</v>
      </c>
      <c r="S109" s="120">
        <f t="shared" si="16"/>
        <v>0</v>
      </c>
      <c r="T109" s="120">
        <f t="shared" si="16"/>
        <v>0</v>
      </c>
      <c r="U109" s="120">
        <f t="shared" si="16"/>
        <v>0</v>
      </c>
      <c r="V109" s="120">
        <f t="shared" si="16"/>
        <v>0</v>
      </c>
      <c r="W109" s="120">
        <f t="shared" si="16"/>
        <v>0</v>
      </c>
      <c r="X109" s="120">
        <f t="shared" si="16"/>
        <v>0</v>
      </c>
      <c r="Y109" s="120">
        <f t="shared" si="16"/>
        <v>0</v>
      </c>
      <c r="Z109" s="120">
        <f t="shared" si="16"/>
        <v>0</v>
      </c>
      <c r="AA109" s="120">
        <f t="shared" si="16"/>
        <v>0</v>
      </c>
      <c r="AB109" s="120">
        <f t="shared" si="16"/>
        <v>0</v>
      </c>
      <c r="AC109" s="120">
        <f t="shared" si="16"/>
        <v>0</v>
      </c>
      <c r="AD109" s="120">
        <f t="shared" si="16"/>
        <v>0</v>
      </c>
      <c r="AE109" s="120">
        <f t="shared" si="16"/>
        <v>0</v>
      </c>
      <c r="AF109" s="120">
        <f t="shared" si="16"/>
        <v>0</v>
      </c>
      <c r="AG109" s="120">
        <f t="shared" si="16"/>
        <v>0</v>
      </c>
      <c r="AH109" s="120">
        <f t="shared" si="16"/>
        <v>0</v>
      </c>
      <c r="AI109" s="120">
        <f t="shared" si="16"/>
        <v>0</v>
      </c>
      <c r="AJ109" s="43" t="str">
        <f t="shared" si="6"/>
        <v/>
      </c>
      <c r="AK109" s="56"/>
      <c r="AL109" s="56" t="str">
        <f t="shared" si="9"/>
        <v>00</v>
      </c>
      <c r="AM109" s="58" t="str">
        <f t="shared" si="10"/>
        <v>00</v>
      </c>
      <c r="AN109" s="58" t="str">
        <f t="shared" si="11"/>
        <v>00</v>
      </c>
      <c r="AO109" s="58" t="str">
        <f t="shared" si="12"/>
        <v>00</v>
      </c>
      <c r="AQ109" s="185" t="str">
        <f t="shared" si="7"/>
        <v/>
      </c>
    </row>
    <row r="110" spans="2:43">
      <c r="B110" s="128"/>
      <c r="C110" s="43">
        <f t="shared" si="8"/>
        <v>39</v>
      </c>
      <c r="D110" s="120">
        <f t="shared" si="16"/>
        <v>0</v>
      </c>
      <c r="E110" s="120">
        <f t="shared" si="16"/>
        <v>0</v>
      </c>
      <c r="F110" s="120">
        <f t="shared" si="16"/>
        <v>0</v>
      </c>
      <c r="G110" s="120">
        <f t="shared" si="16"/>
        <v>0</v>
      </c>
      <c r="H110" s="120">
        <f t="shared" si="16"/>
        <v>0</v>
      </c>
      <c r="I110" s="120">
        <f t="shared" si="16"/>
        <v>0</v>
      </c>
      <c r="J110" s="120">
        <f t="shared" si="16"/>
        <v>0</v>
      </c>
      <c r="K110" s="120">
        <f t="shared" si="16"/>
        <v>0</v>
      </c>
      <c r="L110" s="120">
        <f t="shared" si="16"/>
        <v>0</v>
      </c>
      <c r="M110" s="120">
        <f t="shared" si="16"/>
        <v>0</v>
      </c>
      <c r="N110" s="120">
        <f t="shared" si="16"/>
        <v>0</v>
      </c>
      <c r="O110" s="120">
        <f t="shared" si="16"/>
        <v>0</v>
      </c>
      <c r="P110" s="120">
        <f t="shared" si="16"/>
        <v>0</v>
      </c>
      <c r="Q110" s="120">
        <f t="shared" si="16"/>
        <v>0</v>
      </c>
      <c r="R110" s="120">
        <f t="shared" si="16"/>
        <v>0</v>
      </c>
      <c r="S110" s="120">
        <f t="shared" si="16"/>
        <v>0</v>
      </c>
      <c r="T110" s="120">
        <f t="shared" si="16"/>
        <v>0</v>
      </c>
      <c r="U110" s="120">
        <f t="shared" si="16"/>
        <v>0</v>
      </c>
      <c r="V110" s="120">
        <f t="shared" si="16"/>
        <v>0</v>
      </c>
      <c r="W110" s="120">
        <f t="shared" si="16"/>
        <v>0</v>
      </c>
      <c r="X110" s="120">
        <f t="shared" si="16"/>
        <v>0</v>
      </c>
      <c r="Y110" s="120">
        <f t="shared" si="16"/>
        <v>0</v>
      </c>
      <c r="Z110" s="120">
        <f t="shared" si="16"/>
        <v>0</v>
      </c>
      <c r="AA110" s="120">
        <f t="shared" si="16"/>
        <v>0</v>
      </c>
      <c r="AB110" s="120">
        <f t="shared" si="16"/>
        <v>0</v>
      </c>
      <c r="AC110" s="120">
        <f t="shared" si="16"/>
        <v>0</v>
      </c>
      <c r="AD110" s="120">
        <f t="shared" si="16"/>
        <v>0</v>
      </c>
      <c r="AE110" s="120">
        <f t="shared" si="16"/>
        <v>0</v>
      </c>
      <c r="AF110" s="120">
        <f t="shared" si="16"/>
        <v>0</v>
      </c>
      <c r="AG110" s="120">
        <f t="shared" si="16"/>
        <v>0</v>
      </c>
      <c r="AH110" s="120">
        <f t="shared" si="16"/>
        <v>0</v>
      </c>
      <c r="AI110" s="120">
        <f>IF(AI45=1,1,0)</f>
        <v>0</v>
      </c>
      <c r="AJ110" s="43" t="str">
        <f t="shared" si="6"/>
        <v/>
      </c>
      <c r="AK110" s="56"/>
      <c r="AL110" s="56" t="str">
        <f t="shared" si="9"/>
        <v>00</v>
      </c>
      <c r="AM110" s="58" t="str">
        <f t="shared" si="10"/>
        <v>00</v>
      </c>
      <c r="AN110" s="58" t="str">
        <f t="shared" si="11"/>
        <v>00</v>
      </c>
      <c r="AO110" s="58" t="str">
        <f t="shared" si="12"/>
        <v>00</v>
      </c>
      <c r="AQ110" s="185" t="str">
        <f t="shared" si="7"/>
        <v/>
      </c>
    </row>
    <row r="111" spans="2:43">
      <c r="B111" s="128"/>
      <c r="C111" s="43">
        <f t="shared" si="8"/>
        <v>40</v>
      </c>
      <c r="D111" s="120">
        <f t="shared" ref="D111:AI118" si="17">IF(D46=1,1,0)</f>
        <v>0</v>
      </c>
      <c r="E111" s="120">
        <f t="shared" si="17"/>
        <v>0</v>
      </c>
      <c r="F111" s="120">
        <f t="shared" si="17"/>
        <v>0</v>
      </c>
      <c r="G111" s="120">
        <f t="shared" si="17"/>
        <v>0</v>
      </c>
      <c r="H111" s="120">
        <f t="shared" si="17"/>
        <v>0</v>
      </c>
      <c r="I111" s="120">
        <f t="shared" si="17"/>
        <v>0</v>
      </c>
      <c r="J111" s="120">
        <f t="shared" si="17"/>
        <v>0</v>
      </c>
      <c r="K111" s="120">
        <f t="shared" si="17"/>
        <v>0</v>
      </c>
      <c r="L111" s="120">
        <f t="shared" si="17"/>
        <v>0</v>
      </c>
      <c r="M111" s="120">
        <f t="shared" si="17"/>
        <v>0</v>
      </c>
      <c r="N111" s="120">
        <f t="shared" si="17"/>
        <v>0</v>
      </c>
      <c r="O111" s="120">
        <f t="shared" si="17"/>
        <v>0</v>
      </c>
      <c r="P111" s="120">
        <f t="shared" si="17"/>
        <v>0</v>
      </c>
      <c r="Q111" s="120">
        <f t="shared" si="17"/>
        <v>0</v>
      </c>
      <c r="R111" s="120">
        <f t="shared" si="17"/>
        <v>0</v>
      </c>
      <c r="S111" s="120">
        <f t="shared" si="17"/>
        <v>0</v>
      </c>
      <c r="T111" s="120">
        <f t="shared" si="17"/>
        <v>0</v>
      </c>
      <c r="U111" s="120">
        <f t="shared" si="17"/>
        <v>0</v>
      </c>
      <c r="V111" s="120">
        <f t="shared" si="17"/>
        <v>0</v>
      </c>
      <c r="W111" s="120">
        <f t="shared" si="17"/>
        <v>0</v>
      </c>
      <c r="X111" s="120">
        <f t="shared" si="17"/>
        <v>0</v>
      </c>
      <c r="Y111" s="120">
        <f t="shared" si="17"/>
        <v>0</v>
      </c>
      <c r="Z111" s="120">
        <f t="shared" si="17"/>
        <v>0</v>
      </c>
      <c r="AA111" s="120">
        <f t="shared" si="17"/>
        <v>0</v>
      </c>
      <c r="AB111" s="120">
        <f t="shared" si="17"/>
        <v>0</v>
      </c>
      <c r="AC111" s="120">
        <f t="shared" si="17"/>
        <v>0</v>
      </c>
      <c r="AD111" s="120">
        <f t="shared" si="17"/>
        <v>0</v>
      </c>
      <c r="AE111" s="120">
        <f t="shared" si="17"/>
        <v>0</v>
      </c>
      <c r="AF111" s="120">
        <f t="shared" si="17"/>
        <v>0</v>
      </c>
      <c r="AG111" s="120">
        <f t="shared" si="17"/>
        <v>0</v>
      </c>
      <c r="AH111" s="120">
        <f t="shared" si="17"/>
        <v>0</v>
      </c>
      <c r="AI111" s="120">
        <f t="shared" si="17"/>
        <v>0</v>
      </c>
      <c r="AJ111" s="43" t="str">
        <f t="shared" si="6"/>
        <v/>
      </c>
      <c r="AK111" s="56"/>
      <c r="AL111" s="56" t="str">
        <f t="shared" si="9"/>
        <v>00</v>
      </c>
      <c r="AM111" s="58" t="str">
        <f t="shared" si="10"/>
        <v>00</v>
      </c>
      <c r="AN111" s="58" t="str">
        <f t="shared" si="11"/>
        <v>00</v>
      </c>
      <c r="AO111" s="58" t="str">
        <f t="shared" si="12"/>
        <v>00</v>
      </c>
      <c r="AQ111" s="185" t="str">
        <f t="shared" si="7"/>
        <v/>
      </c>
    </row>
    <row r="112" spans="2:43">
      <c r="B112" s="128"/>
      <c r="C112" s="43">
        <f t="shared" si="8"/>
        <v>41</v>
      </c>
      <c r="D112" s="120">
        <f t="shared" si="17"/>
        <v>0</v>
      </c>
      <c r="E112" s="120">
        <f t="shared" si="17"/>
        <v>0</v>
      </c>
      <c r="F112" s="120">
        <f t="shared" si="17"/>
        <v>0</v>
      </c>
      <c r="G112" s="120">
        <f t="shared" si="17"/>
        <v>0</v>
      </c>
      <c r="H112" s="120">
        <f t="shared" si="17"/>
        <v>0</v>
      </c>
      <c r="I112" s="120">
        <f t="shared" si="17"/>
        <v>0</v>
      </c>
      <c r="J112" s="120">
        <f t="shared" si="17"/>
        <v>0</v>
      </c>
      <c r="K112" s="120">
        <f t="shared" si="17"/>
        <v>0</v>
      </c>
      <c r="L112" s="120">
        <f t="shared" si="17"/>
        <v>0</v>
      </c>
      <c r="M112" s="120">
        <f t="shared" si="17"/>
        <v>0</v>
      </c>
      <c r="N112" s="120">
        <f t="shared" si="17"/>
        <v>0</v>
      </c>
      <c r="O112" s="120">
        <f t="shared" si="17"/>
        <v>0</v>
      </c>
      <c r="P112" s="120">
        <f t="shared" si="17"/>
        <v>0</v>
      </c>
      <c r="Q112" s="120">
        <f t="shared" si="17"/>
        <v>0</v>
      </c>
      <c r="R112" s="120">
        <f t="shared" si="17"/>
        <v>0</v>
      </c>
      <c r="S112" s="120">
        <f t="shared" si="17"/>
        <v>0</v>
      </c>
      <c r="T112" s="120">
        <f t="shared" si="17"/>
        <v>0</v>
      </c>
      <c r="U112" s="120">
        <f t="shared" si="17"/>
        <v>0</v>
      </c>
      <c r="V112" s="120">
        <f t="shared" si="17"/>
        <v>0</v>
      </c>
      <c r="W112" s="120">
        <f t="shared" si="17"/>
        <v>0</v>
      </c>
      <c r="X112" s="120">
        <f t="shared" si="17"/>
        <v>0</v>
      </c>
      <c r="Y112" s="120">
        <f t="shared" si="17"/>
        <v>0</v>
      </c>
      <c r="Z112" s="120">
        <f t="shared" si="17"/>
        <v>0</v>
      </c>
      <c r="AA112" s="120">
        <f t="shared" si="17"/>
        <v>0</v>
      </c>
      <c r="AB112" s="120">
        <f t="shared" si="17"/>
        <v>0</v>
      </c>
      <c r="AC112" s="120">
        <f t="shared" si="17"/>
        <v>0</v>
      </c>
      <c r="AD112" s="120">
        <f t="shared" si="17"/>
        <v>0</v>
      </c>
      <c r="AE112" s="120">
        <f t="shared" si="17"/>
        <v>0</v>
      </c>
      <c r="AF112" s="120">
        <f t="shared" si="17"/>
        <v>0</v>
      </c>
      <c r="AG112" s="120">
        <f t="shared" si="17"/>
        <v>0</v>
      </c>
      <c r="AH112" s="120">
        <f t="shared" si="17"/>
        <v>0</v>
      </c>
      <c r="AI112" s="120">
        <f t="shared" si="17"/>
        <v>0</v>
      </c>
      <c r="AJ112" s="43" t="str">
        <f t="shared" si="6"/>
        <v/>
      </c>
      <c r="AK112" s="56"/>
      <c r="AL112" s="56" t="str">
        <f t="shared" si="9"/>
        <v>00</v>
      </c>
      <c r="AM112" s="58" t="str">
        <f t="shared" si="10"/>
        <v>00</v>
      </c>
      <c r="AN112" s="58" t="str">
        <f t="shared" si="11"/>
        <v>00</v>
      </c>
      <c r="AO112" s="58" t="str">
        <f t="shared" si="12"/>
        <v>00</v>
      </c>
      <c r="AQ112" s="185" t="str">
        <f t="shared" si="7"/>
        <v/>
      </c>
    </row>
    <row r="113" spans="2:43">
      <c r="B113" s="128"/>
      <c r="C113" s="43">
        <f t="shared" si="8"/>
        <v>42</v>
      </c>
      <c r="D113" s="120">
        <f t="shared" si="17"/>
        <v>0</v>
      </c>
      <c r="E113" s="120">
        <f t="shared" si="17"/>
        <v>0</v>
      </c>
      <c r="F113" s="120">
        <f t="shared" si="17"/>
        <v>0</v>
      </c>
      <c r="G113" s="120">
        <f t="shared" si="17"/>
        <v>0</v>
      </c>
      <c r="H113" s="120">
        <f t="shared" si="17"/>
        <v>0</v>
      </c>
      <c r="I113" s="120">
        <f t="shared" si="17"/>
        <v>0</v>
      </c>
      <c r="J113" s="120">
        <f t="shared" si="17"/>
        <v>0</v>
      </c>
      <c r="K113" s="120">
        <f t="shared" si="17"/>
        <v>0</v>
      </c>
      <c r="L113" s="120">
        <f t="shared" si="17"/>
        <v>0</v>
      </c>
      <c r="M113" s="120">
        <f t="shared" si="17"/>
        <v>0</v>
      </c>
      <c r="N113" s="120">
        <f t="shared" si="17"/>
        <v>0</v>
      </c>
      <c r="O113" s="120">
        <f t="shared" si="17"/>
        <v>0</v>
      </c>
      <c r="P113" s="120">
        <f t="shared" si="17"/>
        <v>0</v>
      </c>
      <c r="Q113" s="120">
        <f t="shared" si="17"/>
        <v>0</v>
      </c>
      <c r="R113" s="120">
        <f t="shared" si="17"/>
        <v>0</v>
      </c>
      <c r="S113" s="120">
        <f t="shared" si="17"/>
        <v>0</v>
      </c>
      <c r="T113" s="120">
        <f t="shared" si="17"/>
        <v>0</v>
      </c>
      <c r="U113" s="120">
        <f t="shared" si="17"/>
        <v>0</v>
      </c>
      <c r="V113" s="120">
        <f t="shared" si="17"/>
        <v>0</v>
      </c>
      <c r="W113" s="120">
        <f t="shared" si="17"/>
        <v>0</v>
      </c>
      <c r="X113" s="120">
        <f t="shared" si="17"/>
        <v>0</v>
      </c>
      <c r="Y113" s="120">
        <f t="shared" si="17"/>
        <v>0</v>
      </c>
      <c r="Z113" s="120">
        <f t="shared" si="17"/>
        <v>0</v>
      </c>
      <c r="AA113" s="120">
        <f t="shared" si="17"/>
        <v>0</v>
      </c>
      <c r="AB113" s="120">
        <f t="shared" si="17"/>
        <v>0</v>
      </c>
      <c r="AC113" s="120">
        <f t="shared" si="17"/>
        <v>0</v>
      </c>
      <c r="AD113" s="120">
        <f t="shared" si="17"/>
        <v>0</v>
      </c>
      <c r="AE113" s="120">
        <f t="shared" si="17"/>
        <v>0</v>
      </c>
      <c r="AF113" s="120">
        <f t="shared" si="17"/>
        <v>0</v>
      </c>
      <c r="AG113" s="120">
        <f t="shared" si="17"/>
        <v>0</v>
      </c>
      <c r="AH113" s="120">
        <f t="shared" si="17"/>
        <v>0</v>
      </c>
      <c r="AI113" s="120">
        <f t="shared" si="17"/>
        <v>0</v>
      </c>
      <c r="AJ113" s="43" t="str">
        <f t="shared" si="6"/>
        <v/>
      </c>
      <c r="AK113" s="56"/>
      <c r="AL113" s="56" t="str">
        <f t="shared" si="9"/>
        <v>00</v>
      </c>
      <c r="AM113" s="58" t="str">
        <f t="shared" si="10"/>
        <v>00</v>
      </c>
      <c r="AN113" s="58" t="str">
        <f t="shared" si="11"/>
        <v>00</v>
      </c>
      <c r="AO113" s="58" t="str">
        <f t="shared" si="12"/>
        <v>00</v>
      </c>
      <c r="AQ113" s="185" t="str">
        <f t="shared" si="7"/>
        <v/>
      </c>
    </row>
    <row r="114" spans="2:43">
      <c r="B114" s="128"/>
      <c r="C114" s="43">
        <f t="shared" si="8"/>
        <v>43</v>
      </c>
      <c r="D114" s="120">
        <f t="shared" si="17"/>
        <v>0</v>
      </c>
      <c r="E114" s="120">
        <f t="shared" si="17"/>
        <v>0</v>
      </c>
      <c r="F114" s="120">
        <f t="shared" si="17"/>
        <v>0</v>
      </c>
      <c r="G114" s="120">
        <f t="shared" si="17"/>
        <v>0</v>
      </c>
      <c r="H114" s="120">
        <f t="shared" si="17"/>
        <v>0</v>
      </c>
      <c r="I114" s="120">
        <f t="shared" si="17"/>
        <v>0</v>
      </c>
      <c r="J114" s="120">
        <f t="shared" si="17"/>
        <v>0</v>
      </c>
      <c r="K114" s="120">
        <f t="shared" si="17"/>
        <v>0</v>
      </c>
      <c r="L114" s="120">
        <f t="shared" si="17"/>
        <v>0</v>
      </c>
      <c r="M114" s="120">
        <f t="shared" si="17"/>
        <v>0</v>
      </c>
      <c r="N114" s="120">
        <f t="shared" si="17"/>
        <v>0</v>
      </c>
      <c r="O114" s="120">
        <f t="shared" si="17"/>
        <v>0</v>
      </c>
      <c r="P114" s="120">
        <f t="shared" si="17"/>
        <v>0</v>
      </c>
      <c r="Q114" s="120">
        <f t="shared" si="17"/>
        <v>0</v>
      </c>
      <c r="R114" s="120">
        <f t="shared" si="17"/>
        <v>0</v>
      </c>
      <c r="S114" s="120">
        <f t="shared" si="17"/>
        <v>0</v>
      </c>
      <c r="T114" s="120">
        <f t="shared" si="17"/>
        <v>0</v>
      </c>
      <c r="U114" s="120">
        <f t="shared" si="17"/>
        <v>0</v>
      </c>
      <c r="V114" s="120">
        <f t="shared" si="17"/>
        <v>0</v>
      </c>
      <c r="W114" s="120">
        <f t="shared" si="17"/>
        <v>0</v>
      </c>
      <c r="X114" s="120">
        <f t="shared" si="17"/>
        <v>0</v>
      </c>
      <c r="Y114" s="120">
        <f t="shared" si="17"/>
        <v>0</v>
      </c>
      <c r="Z114" s="120">
        <f t="shared" si="17"/>
        <v>0</v>
      </c>
      <c r="AA114" s="120">
        <f t="shared" si="17"/>
        <v>0</v>
      </c>
      <c r="AB114" s="120">
        <f t="shared" si="17"/>
        <v>0</v>
      </c>
      <c r="AC114" s="120">
        <f t="shared" si="17"/>
        <v>0</v>
      </c>
      <c r="AD114" s="120">
        <f t="shared" si="17"/>
        <v>0</v>
      </c>
      <c r="AE114" s="120">
        <f t="shared" si="17"/>
        <v>0</v>
      </c>
      <c r="AF114" s="120">
        <f t="shared" si="17"/>
        <v>0</v>
      </c>
      <c r="AG114" s="120">
        <f t="shared" si="17"/>
        <v>0</v>
      </c>
      <c r="AH114" s="120">
        <f t="shared" si="17"/>
        <v>0</v>
      </c>
      <c r="AI114" s="120">
        <f t="shared" si="17"/>
        <v>0</v>
      </c>
      <c r="AJ114" s="43" t="str">
        <f t="shared" si="6"/>
        <v/>
      </c>
      <c r="AK114" s="56"/>
      <c r="AL114" s="56" t="str">
        <f t="shared" si="9"/>
        <v>00</v>
      </c>
      <c r="AM114" s="58" t="str">
        <f t="shared" si="10"/>
        <v>00</v>
      </c>
      <c r="AN114" s="58" t="str">
        <f t="shared" si="11"/>
        <v>00</v>
      </c>
      <c r="AO114" s="58" t="str">
        <f t="shared" si="12"/>
        <v>00</v>
      </c>
      <c r="AQ114" s="185" t="str">
        <f t="shared" si="7"/>
        <v/>
      </c>
    </row>
    <row r="115" spans="2:43">
      <c r="B115" s="128"/>
      <c r="C115" s="43">
        <f t="shared" si="8"/>
        <v>44</v>
      </c>
      <c r="D115" s="120">
        <f t="shared" si="17"/>
        <v>0</v>
      </c>
      <c r="E115" s="120">
        <f t="shared" si="17"/>
        <v>0</v>
      </c>
      <c r="F115" s="120">
        <f t="shared" si="17"/>
        <v>0</v>
      </c>
      <c r="G115" s="120">
        <f t="shared" si="17"/>
        <v>0</v>
      </c>
      <c r="H115" s="120">
        <f t="shared" si="17"/>
        <v>0</v>
      </c>
      <c r="I115" s="120">
        <f t="shared" si="17"/>
        <v>0</v>
      </c>
      <c r="J115" s="120">
        <f t="shared" si="17"/>
        <v>0</v>
      </c>
      <c r="K115" s="120">
        <f t="shared" si="17"/>
        <v>0</v>
      </c>
      <c r="L115" s="120">
        <f t="shared" si="17"/>
        <v>0</v>
      </c>
      <c r="M115" s="120">
        <f t="shared" si="17"/>
        <v>0</v>
      </c>
      <c r="N115" s="120">
        <f t="shared" si="17"/>
        <v>0</v>
      </c>
      <c r="O115" s="120">
        <f t="shared" si="17"/>
        <v>0</v>
      </c>
      <c r="P115" s="120">
        <f t="shared" si="17"/>
        <v>0</v>
      </c>
      <c r="Q115" s="120">
        <f t="shared" si="17"/>
        <v>0</v>
      </c>
      <c r="R115" s="120">
        <f t="shared" si="17"/>
        <v>0</v>
      </c>
      <c r="S115" s="120">
        <f t="shared" si="17"/>
        <v>0</v>
      </c>
      <c r="T115" s="120">
        <f t="shared" si="17"/>
        <v>0</v>
      </c>
      <c r="U115" s="120">
        <f t="shared" si="17"/>
        <v>0</v>
      </c>
      <c r="V115" s="120">
        <f t="shared" si="17"/>
        <v>0</v>
      </c>
      <c r="W115" s="120">
        <f t="shared" si="17"/>
        <v>0</v>
      </c>
      <c r="X115" s="120">
        <f t="shared" si="17"/>
        <v>0</v>
      </c>
      <c r="Y115" s="120">
        <f t="shared" si="17"/>
        <v>0</v>
      </c>
      <c r="Z115" s="120">
        <f t="shared" si="17"/>
        <v>0</v>
      </c>
      <c r="AA115" s="120">
        <f t="shared" si="17"/>
        <v>0</v>
      </c>
      <c r="AB115" s="120">
        <f t="shared" si="17"/>
        <v>0</v>
      </c>
      <c r="AC115" s="120">
        <f t="shared" si="17"/>
        <v>0</v>
      </c>
      <c r="AD115" s="120">
        <f t="shared" si="17"/>
        <v>0</v>
      </c>
      <c r="AE115" s="120">
        <f t="shared" si="17"/>
        <v>0</v>
      </c>
      <c r="AF115" s="120">
        <f t="shared" si="17"/>
        <v>0</v>
      </c>
      <c r="AG115" s="120">
        <f t="shared" si="17"/>
        <v>0</v>
      </c>
      <c r="AH115" s="120">
        <f t="shared" si="17"/>
        <v>0</v>
      </c>
      <c r="AI115" s="120">
        <f t="shared" si="17"/>
        <v>0</v>
      </c>
      <c r="AJ115" s="43" t="str">
        <f t="shared" si="6"/>
        <v/>
      </c>
      <c r="AK115" s="56"/>
      <c r="AL115" s="56" t="str">
        <f t="shared" si="9"/>
        <v>00</v>
      </c>
      <c r="AM115" s="58" t="str">
        <f t="shared" si="10"/>
        <v>00</v>
      </c>
      <c r="AN115" s="58" t="str">
        <f t="shared" si="11"/>
        <v>00</v>
      </c>
      <c r="AO115" s="58" t="str">
        <f t="shared" si="12"/>
        <v>00</v>
      </c>
      <c r="AQ115" s="185" t="str">
        <f t="shared" si="7"/>
        <v/>
      </c>
    </row>
    <row r="116" spans="2:43">
      <c r="B116" s="128"/>
      <c r="C116" s="43">
        <f t="shared" si="8"/>
        <v>45</v>
      </c>
      <c r="D116" s="120">
        <f t="shared" si="17"/>
        <v>0</v>
      </c>
      <c r="E116" s="120">
        <f t="shared" si="17"/>
        <v>0</v>
      </c>
      <c r="F116" s="120">
        <f t="shared" si="17"/>
        <v>0</v>
      </c>
      <c r="G116" s="120">
        <f t="shared" si="17"/>
        <v>0</v>
      </c>
      <c r="H116" s="120">
        <f t="shared" si="17"/>
        <v>0</v>
      </c>
      <c r="I116" s="120">
        <f t="shared" si="17"/>
        <v>0</v>
      </c>
      <c r="J116" s="120">
        <f t="shared" si="17"/>
        <v>0</v>
      </c>
      <c r="K116" s="120">
        <f t="shared" si="17"/>
        <v>0</v>
      </c>
      <c r="L116" s="120">
        <f t="shared" si="17"/>
        <v>0</v>
      </c>
      <c r="M116" s="120">
        <f t="shared" si="17"/>
        <v>0</v>
      </c>
      <c r="N116" s="120">
        <f t="shared" si="17"/>
        <v>0</v>
      </c>
      <c r="O116" s="120">
        <f t="shared" si="17"/>
        <v>0</v>
      </c>
      <c r="P116" s="120">
        <f t="shared" si="17"/>
        <v>0</v>
      </c>
      <c r="Q116" s="120">
        <f t="shared" si="17"/>
        <v>0</v>
      </c>
      <c r="R116" s="120">
        <f t="shared" si="17"/>
        <v>0</v>
      </c>
      <c r="S116" s="120">
        <f t="shared" si="17"/>
        <v>0</v>
      </c>
      <c r="T116" s="120">
        <f t="shared" si="17"/>
        <v>0</v>
      </c>
      <c r="U116" s="120">
        <f t="shared" si="17"/>
        <v>0</v>
      </c>
      <c r="V116" s="120">
        <f t="shared" si="17"/>
        <v>0</v>
      </c>
      <c r="W116" s="120">
        <f t="shared" si="17"/>
        <v>0</v>
      </c>
      <c r="X116" s="120">
        <f t="shared" si="17"/>
        <v>0</v>
      </c>
      <c r="Y116" s="120">
        <f t="shared" si="17"/>
        <v>0</v>
      </c>
      <c r="Z116" s="120">
        <f t="shared" si="17"/>
        <v>0</v>
      </c>
      <c r="AA116" s="120">
        <f t="shared" si="17"/>
        <v>0</v>
      </c>
      <c r="AB116" s="120">
        <f t="shared" si="17"/>
        <v>0</v>
      </c>
      <c r="AC116" s="120">
        <f t="shared" si="17"/>
        <v>0</v>
      </c>
      <c r="AD116" s="120">
        <f t="shared" si="17"/>
        <v>0</v>
      </c>
      <c r="AE116" s="120">
        <f t="shared" si="17"/>
        <v>0</v>
      </c>
      <c r="AF116" s="120">
        <f t="shared" si="17"/>
        <v>0</v>
      </c>
      <c r="AG116" s="120">
        <f t="shared" si="17"/>
        <v>0</v>
      </c>
      <c r="AH116" s="120">
        <f t="shared" si="17"/>
        <v>0</v>
      </c>
      <c r="AI116" s="120">
        <f t="shared" si="17"/>
        <v>0</v>
      </c>
      <c r="AJ116" s="43" t="str">
        <f t="shared" si="6"/>
        <v/>
      </c>
      <c r="AK116" s="56"/>
      <c r="AL116" s="56" t="str">
        <f t="shared" si="9"/>
        <v>00</v>
      </c>
      <c r="AM116" s="58" t="str">
        <f t="shared" si="10"/>
        <v>00</v>
      </c>
      <c r="AN116" s="58" t="str">
        <f t="shared" si="11"/>
        <v>00</v>
      </c>
      <c r="AO116" s="58" t="str">
        <f t="shared" si="12"/>
        <v>00</v>
      </c>
      <c r="AQ116" s="185" t="str">
        <f t="shared" si="7"/>
        <v/>
      </c>
    </row>
    <row r="117" spans="2:43">
      <c r="B117" s="128"/>
      <c r="C117" s="43">
        <f t="shared" si="8"/>
        <v>46</v>
      </c>
      <c r="D117" s="120">
        <f t="shared" si="17"/>
        <v>0</v>
      </c>
      <c r="E117" s="120">
        <f t="shared" si="17"/>
        <v>0</v>
      </c>
      <c r="F117" s="120">
        <f t="shared" si="17"/>
        <v>0</v>
      </c>
      <c r="G117" s="120">
        <f t="shared" si="17"/>
        <v>0</v>
      </c>
      <c r="H117" s="120">
        <f t="shared" si="17"/>
        <v>0</v>
      </c>
      <c r="I117" s="120">
        <f t="shared" si="17"/>
        <v>0</v>
      </c>
      <c r="J117" s="120">
        <f t="shared" si="17"/>
        <v>0</v>
      </c>
      <c r="K117" s="120">
        <f t="shared" si="17"/>
        <v>0</v>
      </c>
      <c r="L117" s="120">
        <f t="shared" si="17"/>
        <v>0</v>
      </c>
      <c r="M117" s="120">
        <f t="shared" si="17"/>
        <v>0</v>
      </c>
      <c r="N117" s="120">
        <f t="shared" si="17"/>
        <v>0</v>
      </c>
      <c r="O117" s="120">
        <f t="shared" si="17"/>
        <v>0</v>
      </c>
      <c r="P117" s="120">
        <f t="shared" si="17"/>
        <v>0</v>
      </c>
      <c r="Q117" s="120">
        <f t="shared" si="17"/>
        <v>0</v>
      </c>
      <c r="R117" s="120">
        <f t="shared" si="17"/>
        <v>0</v>
      </c>
      <c r="S117" s="120">
        <f t="shared" si="17"/>
        <v>0</v>
      </c>
      <c r="T117" s="120">
        <f t="shared" si="17"/>
        <v>0</v>
      </c>
      <c r="U117" s="120">
        <f t="shared" si="17"/>
        <v>0</v>
      </c>
      <c r="V117" s="120">
        <f t="shared" si="17"/>
        <v>0</v>
      </c>
      <c r="W117" s="120">
        <f t="shared" si="17"/>
        <v>0</v>
      </c>
      <c r="X117" s="120">
        <f t="shared" si="17"/>
        <v>0</v>
      </c>
      <c r="Y117" s="120">
        <f t="shared" si="17"/>
        <v>0</v>
      </c>
      <c r="Z117" s="120">
        <f t="shared" si="17"/>
        <v>0</v>
      </c>
      <c r="AA117" s="120">
        <f t="shared" si="17"/>
        <v>0</v>
      </c>
      <c r="AB117" s="120">
        <f t="shared" si="17"/>
        <v>0</v>
      </c>
      <c r="AC117" s="120">
        <f t="shared" si="17"/>
        <v>0</v>
      </c>
      <c r="AD117" s="120">
        <f t="shared" si="17"/>
        <v>0</v>
      </c>
      <c r="AE117" s="120">
        <f t="shared" si="17"/>
        <v>0</v>
      </c>
      <c r="AF117" s="120">
        <f t="shared" si="17"/>
        <v>0</v>
      </c>
      <c r="AG117" s="120">
        <f t="shared" si="17"/>
        <v>0</v>
      </c>
      <c r="AH117" s="120">
        <f t="shared" si="17"/>
        <v>0</v>
      </c>
      <c r="AI117" s="120">
        <f t="shared" si="17"/>
        <v>0</v>
      </c>
      <c r="AJ117" s="43" t="str">
        <f t="shared" si="6"/>
        <v/>
      </c>
      <c r="AK117" s="56"/>
      <c r="AL117" s="56" t="str">
        <f t="shared" si="9"/>
        <v>00</v>
      </c>
      <c r="AM117" s="58" t="str">
        <f t="shared" si="10"/>
        <v>00</v>
      </c>
      <c r="AN117" s="58" t="str">
        <f t="shared" si="11"/>
        <v>00</v>
      </c>
      <c r="AO117" s="58" t="str">
        <f t="shared" si="12"/>
        <v>00</v>
      </c>
      <c r="AQ117" s="185" t="str">
        <f t="shared" si="7"/>
        <v/>
      </c>
    </row>
    <row r="118" spans="2:43">
      <c r="B118" s="128"/>
      <c r="C118" s="43">
        <f t="shared" si="8"/>
        <v>47</v>
      </c>
      <c r="D118" s="120">
        <f t="shared" si="17"/>
        <v>0</v>
      </c>
      <c r="E118" s="120">
        <f t="shared" si="17"/>
        <v>0</v>
      </c>
      <c r="F118" s="120">
        <f t="shared" si="17"/>
        <v>0</v>
      </c>
      <c r="G118" s="120">
        <f t="shared" si="17"/>
        <v>0</v>
      </c>
      <c r="H118" s="120">
        <f t="shared" si="17"/>
        <v>0</v>
      </c>
      <c r="I118" s="120">
        <f t="shared" si="17"/>
        <v>0</v>
      </c>
      <c r="J118" s="120">
        <f t="shared" si="17"/>
        <v>0</v>
      </c>
      <c r="K118" s="120">
        <f t="shared" si="17"/>
        <v>0</v>
      </c>
      <c r="L118" s="120">
        <f t="shared" si="17"/>
        <v>0</v>
      </c>
      <c r="M118" s="120">
        <f t="shared" si="17"/>
        <v>0</v>
      </c>
      <c r="N118" s="120">
        <f t="shared" si="17"/>
        <v>0</v>
      </c>
      <c r="O118" s="120">
        <f t="shared" si="17"/>
        <v>0</v>
      </c>
      <c r="P118" s="120">
        <f t="shared" si="17"/>
        <v>0</v>
      </c>
      <c r="Q118" s="120">
        <f t="shared" si="17"/>
        <v>0</v>
      </c>
      <c r="R118" s="120">
        <f t="shared" si="17"/>
        <v>0</v>
      </c>
      <c r="S118" s="120">
        <f t="shared" si="17"/>
        <v>0</v>
      </c>
      <c r="T118" s="120">
        <f t="shared" si="17"/>
        <v>0</v>
      </c>
      <c r="U118" s="120">
        <f t="shared" si="17"/>
        <v>0</v>
      </c>
      <c r="V118" s="120">
        <f t="shared" si="17"/>
        <v>0</v>
      </c>
      <c r="W118" s="120">
        <f t="shared" si="17"/>
        <v>0</v>
      </c>
      <c r="X118" s="120">
        <f t="shared" si="17"/>
        <v>0</v>
      </c>
      <c r="Y118" s="120">
        <f t="shared" si="17"/>
        <v>0</v>
      </c>
      <c r="Z118" s="120">
        <f t="shared" si="17"/>
        <v>0</v>
      </c>
      <c r="AA118" s="120">
        <f t="shared" si="17"/>
        <v>0</v>
      </c>
      <c r="AB118" s="120">
        <f t="shared" si="17"/>
        <v>0</v>
      </c>
      <c r="AC118" s="120">
        <f t="shared" si="17"/>
        <v>0</v>
      </c>
      <c r="AD118" s="120">
        <f t="shared" si="17"/>
        <v>0</v>
      </c>
      <c r="AE118" s="120">
        <f t="shared" si="17"/>
        <v>0</v>
      </c>
      <c r="AF118" s="120">
        <f t="shared" si="17"/>
        <v>0</v>
      </c>
      <c r="AG118" s="120">
        <f t="shared" si="17"/>
        <v>0</v>
      </c>
      <c r="AH118" s="120">
        <f t="shared" si="17"/>
        <v>0</v>
      </c>
      <c r="AI118" s="120">
        <f>IF(AI53=1,1,0)</f>
        <v>0</v>
      </c>
      <c r="AJ118" s="43" t="str">
        <f t="shared" si="6"/>
        <v/>
      </c>
      <c r="AK118" s="56"/>
      <c r="AL118" s="56" t="str">
        <f t="shared" si="9"/>
        <v>00</v>
      </c>
      <c r="AM118" s="58" t="str">
        <f t="shared" si="10"/>
        <v>00</v>
      </c>
      <c r="AN118" s="58" t="str">
        <f t="shared" si="11"/>
        <v>00</v>
      </c>
      <c r="AO118" s="58" t="str">
        <f t="shared" si="12"/>
        <v>00</v>
      </c>
      <c r="AQ118" s="185" t="str">
        <f t="shared" si="7"/>
        <v/>
      </c>
    </row>
    <row r="119" spans="2:43">
      <c r="B119" s="128"/>
      <c r="C119" s="43">
        <f t="shared" si="8"/>
        <v>48</v>
      </c>
      <c r="D119" s="120">
        <f t="shared" ref="D119:AI126" si="18">IF(D54=1,1,0)</f>
        <v>0</v>
      </c>
      <c r="E119" s="120">
        <f t="shared" si="18"/>
        <v>0</v>
      </c>
      <c r="F119" s="120">
        <f t="shared" si="18"/>
        <v>0</v>
      </c>
      <c r="G119" s="120">
        <f t="shared" si="18"/>
        <v>0</v>
      </c>
      <c r="H119" s="120">
        <f t="shared" si="18"/>
        <v>0</v>
      </c>
      <c r="I119" s="120">
        <f t="shared" si="18"/>
        <v>0</v>
      </c>
      <c r="J119" s="120">
        <f t="shared" si="18"/>
        <v>0</v>
      </c>
      <c r="K119" s="120">
        <f t="shared" si="18"/>
        <v>0</v>
      </c>
      <c r="L119" s="120">
        <f t="shared" si="18"/>
        <v>0</v>
      </c>
      <c r="M119" s="120">
        <f t="shared" si="18"/>
        <v>0</v>
      </c>
      <c r="N119" s="120">
        <f t="shared" si="18"/>
        <v>0</v>
      </c>
      <c r="O119" s="120">
        <f t="shared" si="18"/>
        <v>0</v>
      </c>
      <c r="P119" s="120">
        <f t="shared" si="18"/>
        <v>0</v>
      </c>
      <c r="Q119" s="120">
        <f t="shared" si="18"/>
        <v>0</v>
      </c>
      <c r="R119" s="120">
        <f t="shared" si="18"/>
        <v>0</v>
      </c>
      <c r="S119" s="120">
        <f t="shared" si="18"/>
        <v>0</v>
      </c>
      <c r="T119" s="120">
        <f t="shared" si="18"/>
        <v>0</v>
      </c>
      <c r="U119" s="120">
        <f t="shared" si="18"/>
        <v>0</v>
      </c>
      <c r="V119" s="120">
        <f t="shared" si="18"/>
        <v>0</v>
      </c>
      <c r="W119" s="120">
        <f t="shared" si="18"/>
        <v>0</v>
      </c>
      <c r="X119" s="120">
        <f t="shared" si="18"/>
        <v>0</v>
      </c>
      <c r="Y119" s="120">
        <f t="shared" si="18"/>
        <v>0</v>
      </c>
      <c r="Z119" s="120">
        <f t="shared" si="18"/>
        <v>0</v>
      </c>
      <c r="AA119" s="120">
        <f t="shared" si="18"/>
        <v>0</v>
      </c>
      <c r="AB119" s="120">
        <f t="shared" si="18"/>
        <v>0</v>
      </c>
      <c r="AC119" s="120">
        <f t="shared" si="18"/>
        <v>0</v>
      </c>
      <c r="AD119" s="120">
        <f t="shared" si="18"/>
        <v>0</v>
      </c>
      <c r="AE119" s="120">
        <f t="shared" si="18"/>
        <v>0</v>
      </c>
      <c r="AF119" s="120">
        <f t="shared" si="18"/>
        <v>0</v>
      </c>
      <c r="AG119" s="120">
        <f t="shared" si="18"/>
        <v>0</v>
      </c>
      <c r="AH119" s="120">
        <f t="shared" si="18"/>
        <v>0</v>
      </c>
      <c r="AI119" s="120">
        <f t="shared" si="18"/>
        <v>0</v>
      </c>
      <c r="AJ119" s="43" t="str">
        <f t="shared" si="6"/>
        <v/>
      </c>
      <c r="AK119" s="56"/>
      <c r="AL119" s="56" t="str">
        <f t="shared" si="9"/>
        <v>00</v>
      </c>
      <c r="AM119" s="58" t="str">
        <f t="shared" si="10"/>
        <v>00</v>
      </c>
      <c r="AN119" s="58" t="str">
        <f t="shared" si="11"/>
        <v>00</v>
      </c>
      <c r="AO119" s="58" t="str">
        <f t="shared" si="12"/>
        <v>00</v>
      </c>
      <c r="AQ119" s="185" t="str">
        <f t="shared" si="7"/>
        <v/>
      </c>
    </row>
    <row r="120" spans="2:43">
      <c r="B120" s="128"/>
      <c r="C120" s="43">
        <f t="shared" si="8"/>
        <v>49</v>
      </c>
      <c r="D120" s="120">
        <f t="shared" si="18"/>
        <v>0</v>
      </c>
      <c r="E120" s="120">
        <f t="shared" si="18"/>
        <v>0</v>
      </c>
      <c r="F120" s="120">
        <f t="shared" si="18"/>
        <v>0</v>
      </c>
      <c r="G120" s="120">
        <f t="shared" si="18"/>
        <v>0</v>
      </c>
      <c r="H120" s="120">
        <f t="shared" si="18"/>
        <v>0</v>
      </c>
      <c r="I120" s="120">
        <f t="shared" si="18"/>
        <v>0</v>
      </c>
      <c r="J120" s="120">
        <f t="shared" si="18"/>
        <v>0</v>
      </c>
      <c r="K120" s="120">
        <f t="shared" si="18"/>
        <v>0</v>
      </c>
      <c r="L120" s="120">
        <f t="shared" si="18"/>
        <v>0</v>
      </c>
      <c r="M120" s="120">
        <f t="shared" si="18"/>
        <v>0</v>
      </c>
      <c r="N120" s="120">
        <f t="shared" si="18"/>
        <v>0</v>
      </c>
      <c r="O120" s="120">
        <f t="shared" si="18"/>
        <v>0</v>
      </c>
      <c r="P120" s="120">
        <f t="shared" si="18"/>
        <v>0</v>
      </c>
      <c r="Q120" s="120">
        <f t="shared" si="18"/>
        <v>0</v>
      </c>
      <c r="R120" s="120">
        <f t="shared" si="18"/>
        <v>0</v>
      </c>
      <c r="S120" s="120">
        <f t="shared" si="18"/>
        <v>0</v>
      </c>
      <c r="T120" s="120">
        <f t="shared" si="18"/>
        <v>0</v>
      </c>
      <c r="U120" s="120">
        <f t="shared" si="18"/>
        <v>0</v>
      </c>
      <c r="V120" s="120">
        <f t="shared" si="18"/>
        <v>0</v>
      </c>
      <c r="W120" s="120">
        <f t="shared" si="18"/>
        <v>0</v>
      </c>
      <c r="X120" s="120">
        <f t="shared" si="18"/>
        <v>0</v>
      </c>
      <c r="Y120" s="120">
        <f t="shared" si="18"/>
        <v>0</v>
      </c>
      <c r="Z120" s="120">
        <f t="shared" si="18"/>
        <v>0</v>
      </c>
      <c r="AA120" s="120">
        <f t="shared" si="18"/>
        <v>0</v>
      </c>
      <c r="AB120" s="120">
        <f t="shared" si="18"/>
        <v>0</v>
      </c>
      <c r="AC120" s="120">
        <f t="shared" si="18"/>
        <v>0</v>
      </c>
      <c r="AD120" s="120">
        <f t="shared" si="18"/>
        <v>0</v>
      </c>
      <c r="AE120" s="120">
        <f t="shared" si="18"/>
        <v>0</v>
      </c>
      <c r="AF120" s="120">
        <f t="shared" si="18"/>
        <v>0</v>
      </c>
      <c r="AG120" s="120">
        <f t="shared" si="18"/>
        <v>0</v>
      </c>
      <c r="AH120" s="120">
        <f t="shared" si="18"/>
        <v>0</v>
      </c>
      <c r="AI120" s="120">
        <f t="shared" si="18"/>
        <v>0</v>
      </c>
      <c r="AJ120" s="43" t="str">
        <f t="shared" si="6"/>
        <v/>
      </c>
      <c r="AK120" s="56"/>
      <c r="AL120" s="56" t="str">
        <f t="shared" si="9"/>
        <v>00</v>
      </c>
      <c r="AM120" s="58" t="str">
        <f t="shared" si="10"/>
        <v>00</v>
      </c>
      <c r="AN120" s="58" t="str">
        <f t="shared" si="11"/>
        <v>00</v>
      </c>
      <c r="AO120" s="58" t="str">
        <f t="shared" si="12"/>
        <v>00</v>
      </c>
      <c r="AQ120" s="185" t="str">
        <f t="shared" si="7"/>
        <v/>
      </c>
    </row>
    <row r="121" spans="2:43">
      <c r="B121" s="128"/>
      <c r="C121" s="43">
        <f t="shared" si="8"/>
        <v>50</v>
      </c>
      <c r="D121" s="120">
        <f t="shared" si="18"/>
        <v>0</v>
      </c>
      <c r="E121" s="120">
        <f t="shared" si="18"/>
        <v>0</v>
      </c>
      <c r="F121" s="120">
        <f t="shared" si="18"/>
        <v>0</v>
      </c>
      <c r="G121" s="120">
        <f t="shared" si="18"/>
        <v>0</v>
      </c>
      <c r="H121" s="120">
        <f t="shared" si="18"/>
        <v>0</v>
      </c>
      <c r="I121" s="120">
        <f t="shared" si="18"/>
        <v>0</v>
      </c>
      <c r="J121" s="120">
        <f t="shared" si="18"/>
        <v>0</v>
      </c>
      <c r="K121" s="120">
        <f t="shared" si="18"/>
        <v>0</v>
      </c>
      <c r="L121" s="120">
        <f t="shared" si="18"/>
        <v>0</v>
      </c>
      <c r="M121" s="120">
        <f t="shared" si="18"/>
        <v>0</v>
      </c>
      <c r="N121" s="120">
        <f t="shared" si="18"/>
        <v>0</v>
      </c>
      <c r="O121" s="120">
        <f t="shared" si="18"/>
        <v>0</v>
      </c>
      <c r="P121" s="120">
        <f t="shared" si="18"/>
        <v>0</v>
      </c>
      <c r="Q121" s="120">
        <f t="shared" si="18"/>
        <v>0</v>
      </c>
      <c r="R121" s="120">
        <f t="shared" si="18"/>
        <v>0</v>
      </c>
      <c r="S121" s="120">
        <f t="shared" si="18"/>
        <v>0</v>
      </c>
      <c r="T121" s="120">
        <f t="shared" si="18"/>
        <v>0</v>
      </c>
      <c r="U121" s="120">
        <f t="shared" si="18"/>
        <v>0</v>
      </c>
      <c r="V121" s="120">
        <f t="shared" si="18"/>
        <v>0</v>
      </c>
      <c r="W121" s="120">
        <f t="shared" si="18"/>
        <v>0</v>
      </c>
      <c r="X121" s="120">
        <f t="shared" si="18"/>
        <v>0</v>
      </c>
      <c r="Y121" s="120">
        <f t="shared" si="18"/>
        <v>0</v>
      </c>
      <c r="Z121" s="120">
        <f t="shared" si="18"/>
        <v>0</v>
      </c>
      <c r="AA121" s="120">
        <f t="shared" si="18"/>
        <v>0</v>
      </c>
      <c r="AB121" s="120">
        <f t="shared" si="18"/>
        <v>0</v>
      </c>
      <c r="AC121" s="120">
        <f t="shared" si="18"/>
        <v>0</v>
      </c>
      <c r="AD121" s="120">
        <f t="shared" si="18"/>
        <v>0</v>
      </c>
      <c r="AE121" s="120">
        <f t="shared" si="18"/>
        <v>0</v>
      </c>
      <c r="AF121" s="120">
        <f t="shared" si="18"/>
        <v>0</v>
      </c>
      <c r="AG121" s="120">
        <f t="shared" si="18"/>
        <v>0</v>
      </c>
      <c r="AH121" s="120">
        <f t="shared" si="18"/>
        <v>0</v>
      </c>
      <c r="AI121" s="120">
        <f t="shared" si="18"/>
        <v>0</v>
      </c>
      <c r="AJ121" s="43" t="str">
        <f t="shared" si="6"/>
        <v/>
      </c>
      <c r="AK121" s="56"/>
      <c r="AL121" s="56" t="str">
        <f t="shared" si="9"/>
        <v>00</v>
      </c>
      <c r="AM121" s="58" t="str">
        <f t="shared" si="10"/>
        <v>00</v>
      </c>
      <c r="AN121" s="58" t="str">
        <f t="shared" si="11"/>
        <v>00</v>
      </c>
      <c r="AO121" s="58" t="str">
        <f t="shared" si="12"/>
        <v>00</v>
      </c>
      <c r="AQ121" s="185" t="str">
        <f t="shared" si="7"/>
        <v/>
      </c>
    </row>
    <row r="122" spans="2:43">
      <c r="B122" s="128"/>
      <c r="C122" s="43">
        <f t="shared" si="8"/>
        <v>51</v>
      </c>
      <c r="D122" s="120">
        <f t="shared" si="18"/>
        <v>0</v>
      </c>
      <c r="E122" s="120">
        <f t="shared" si="18"/>
        <v>0</v>
      </c>
      <c r="F122" s="120">
        <f t="shared" si="18"/>
        <v>0</v>
      </c>
      <c r="G122" s="120">
        <f t="shared" si="18"/>
        <v>0</v>
      </c>
      <c r="H122" s="120">
        <f t="shared" si="18"/>
        <v>0</v>
      </c>
      <c r="I122" s="120">
        <f t="shared" si="18"/>
        <v>0</v>
      </c>
      <c r="J122" s="120">
        <f t="shared" si="18"/>
        <v>0</v>
      </c>
      <c r="K122" s="120">
        <f t="shared" si="18"/>
        <v>0</v>
      </c>
      <c r="L122" s="120">
        <f t="shared" si="18"/>
        <v>0</v>
      </c>
      <c r="M122" s="120">
        <f t="shared" si="18"/>
        <v>0</v>
      </c>
      <c r="N122" s="120">
        <f t="shared" si="18"/>
        <v>0</v>
      </c>
      <c r="O122" s="120">
        <f t="shared" si="18"/>
        <v>0</v>
      </c>
      <c r="P122" s="120">
        <f t="shared" si="18"/>
        <v>0</v>
      </c>
      <c r="Q122" s="120">
        <f t="shared" si="18"/>
        <v>0</v>
      </c>
      <c r="R122" s="120">
        <f t="shared" si="18"/>
        <v>0</v>
      </c>
      <c r="S122" s="120">
        <f t="shared" si="18"/>
        <v>0</v>
      </c>
      <c r="T122" s="120">
        <f t="shared" si="18"/>
        <v>0</v>
      </c>
      <c r="U122" s="120">
        <f t="shared" si="18"/>
        <v>0</v>
      </c>
      <c r="V122" s="120">
        <f t="shared" si="18"/>
        <v>0</v>
      </c>
      <c r="W122" s="120">
        <f t="shared" si="18"/>
        <v>0</v>
      </c>
      <c r="X122" s="120">
        <f t="shared" si="18"/>
        <v>0</v>
      </c>
      <c r="Y122" s="120">
        <f t="shared" si="18"/>
        <v>0</v>
      </c>
      <c r="Z122" s="120">
        <f t="shared" si="18"/>
        <v>0</v>
      </c>
      <c r="AA122" s="120">
        <f t="shared" si="18"/>
        <v>0</v>
      </c>
      <c r="AB122" s="120">
        <f t="shared" si="18"/>
        <v>0</v>
      </c>
      <c r="AC122" s="120">
        <f t="shared" si="18"/>
        <v>0</v>
      </c>
      <c r="AD122" s="120">
        <f t="shared" si="18"/>
        <v>0</v>
      </c>
      <c r="AE122" s="120">
        <f t="shared" si="18"/>
        <v>0</v>
      </c>
      <c r="AF122" s="120">
        <f t="shared" si="18"/>
        <v>0</v>
      </c>
      <c r="AG122" s="120">
        <f t="shared" si="18"/>
        <v>0</v>
      </c>
      <c r="AH122" s="120">
        <f t="shared" si="18"/>
        <v>0</v>
      </c>
      <c r="AI122" s="120">
        <f t="shared" si="18"/>
        <v>0</v>
      </c>
      <c r="AJ122" s="43" t="str">
        <f t="shared" si="6"/>
        <v/>
      </c>
      <c r="AK122" s="56"/>
      <c r="AL122" s="56" t="str">
        <f t="shared" si="9"/>
        <v>00</v>
      </c>
      <c r="AM122" s="58" t="str">
        <f t="shared" si="10"/>
        <v>00</v>
      </c>
      <c r="AN122" s="58" t="str">
        <f t="shared" si="11"/>
        <v>00</v>
      </c>
      <c r="AO122" s="58" t="str">
        <f t="shared" si="12"/>
        <v>00</v>
      </c>
      <c r="AQ122" s="185" t="str">
        <f t="shared" si="7"/>
        <v/>
      </c>
    </row>
    <row r="123" spans="2:43">
      <c r="B123" s="128"/>
      <c r="C123" s="43">
        <f t="shared" si="8"/>
        <v>52</v>
      </c>
      <c r="D123" s="120">
        <f t="shared" si="18"/>
        <v>0</v>
      </c>
      <c r="E123" s="120">
        <f t="shared" si="18"/>
        <v>0</v>
      </c>
      <c r="F123" s="120">
        <f t="shared" si="18"/>
        <v>0</v>
      </c>
      <c r="G123" s="120">
        <f t="shared" si="18"/>
        <v>0</v>
      </c>
      <c r="H123" s="120">
        <f t="shared" si="18"/>
        <v>0</v>
      </c>
      <c r="I123" s="120">
        <f t="shared" si="18"/>
        <v>0</v>
      </c>
      <c r="J123" s="120">
        <f t="shared" si="18"/>
        <v>0</v>
      </c>
      <c r="K123" s="120">
        <f t="shared" si="18"/>
        <v>0</v>
      </c>
      <c r="L123" s="120">
        <f t="shared" si="18"/>
        <v>0</v>
      </c>
      <c r="M123" s="120">
        <f t="shared" si="18"/>
        <v>0</v>
      </c>
      <c r="N123" s="120">
        <f t="shared" si="18"/>
        <v>0</v>
      </c>
      <c r="O123" s="120">
        <f t="shared" si="18"/>
        <v>0</v>
      </c>
      <c r="P123" s="120">
        <f t="shared" si="18"/>
        <v>0</v>
      </c>
      <c r="Q123" s="120">
        <f t="shared" si="18"/>
        <v>0</v>
      </c>
      <c r="R123" s="120">
        <f t="shared" si="18"/>
        <v>0</v>
      </c>
      <c r="S123" s="120">
        <f t="shared" si="18"/>
        <v>0</v>
      </c>
      <c r="T123" s="120">
        <f t="shared" si="18"/>
        <v>0</v>
      </c>
      <c r="U123" s="120">
        <f t="shared" si="18"/>
        <v>0</v>
      </c>
      <c r="V123" s="120">
        <f t="shared" si="18"/>
        <v>0</v>
      </c>
      <c r="W123" s="120">
        <f t="shared" si="18"/>
        <v>0</v>
      </c>
      <c r="X123" s="120">
        <f t="shared" si="18"/>
        <v>0</v>
      </c>
      <c r="Y123" s="120">
        <f t="shared" si="18"/>
        <v>0</v>
      </c>
      <c r="Z123" s="120">
        <f t="shared" si="18"/>
        <v>0</v>
      </c>
      <c r="AA123" s="120">
        <f t="shared" si="18"/>
        <v>0</v>
      </c>
      <c r="AB123" s="120">
        <f t="shared" si="18"/>
        <v>0</v>
      </c>
      <c r="AC123" s="120">
        <f t="shared" si="18"/>
        <v>0</v>
      </c>
      <c r="AD123" s="120">
        <f t="shared" si="18"/>
        <v>0</v>
      </c>
      <c r="AE123" s="120">
        <f t="shared" si="18"/>
        <v>0</v>
      </c>
      <c r="AF123" s="120">
        <f t="shared" si="18"/>
        <v>0</v>
      </c>
      <c r="AG123" s="120">
        <f t="shared" si="18"/>
        <v>0</v>
      </c>
      <c r="AH123" s="120">
        <f t="shared" si="18"/>
        <v>0</v>
      </c>
      <c r="AI123" s="120">
        <f t="shared" si="18"/>
        <v>0</v>
      </c>
      <c r="AJ123" s="43" t="str">
        <f t="shared" si="6"/>
        <v/>
      </c>
      <c r="AK123" s="56"/>
      <c r="AL123" s="56" t="str">
        <f t="shared" si="9"/>
        <v>00</v>
      </c>
      <c r="AM123" s="58" t="str">
        <f t="shared" si="10"/>
        <v>00</v>
      </c>
      <c r="AN123" s="58" t="str">
        <f t="shared" si="11"/>
        <v>00</v>
      </c>
      <c r="AO123" s="58" t="str">
        <f t="shared" si="12"/>
        <v>00</v>
      </c>
      <c r="AQ123" s="185" t="str">
        <f t="shared" si="7"/>
        <v/>
      </c>
    </row>
    <row r="124" spans="2:43">
      <c r="B124" s="128"/>
      <c r="C124" s="43">
        <f t="shared" si="8"/>
        <v>53</v>
      </c>
      <c r="D124" s="120">
        <f t="shared" si="18"/>
        <v>0</v>
      </c>
      <c r="E124" s="120">
        <f t="shared" si="18"/>
        <v>0</v>
      </c>
      <c r="F124" s="120">
        <f t="shared" si="18"/>
        <v>0</v>
      </c>
      <c r="G124" s="120">
        <f t="shared" si="18"/>
        <v>0</v>
      </c>
      <c r="H124" s="120">
        <f t="shared" si="18"/>
        <v>0</v>
      </c>
      <c r="I124" s="120">
        <f t="shared" si="18"/>
        <v>0</v>
      </c>
      <c r="J124" s="120">
        <f t="shared" si="18"/>
        <v>0</v>
      </c>
      <c r="K124" s="120">
        <f t="shared" si="18"/>
        <v>0</v>
      </c>
      <c r="L124" s="120">
        <f t="shared" si="18"/>
        <v>0</v>
      </c>
      <c r="M124" s="120">
        <f t="shared" si="18"/>
        <v>0</v>
      </c>
      <c r="N124" s="120">
        <f t="shared" si="18"/>
        <v>0</v>
      </c>
      <c r="O124" s="120">
        <f t="shared" si="18"/>
        <v>0</v>
      </c>
      <c r="P124" s="120">
        <f t="shared" si="18"/>
        <v>0</v>
      </c>
      <c r="Q124" s="120">
        <f t="shared" si="18"/>
        <v>0</v>
      </c>
      <c r="R124" s="120">
        <f t="shared" si="18"/>
        <v>0</v>
      </c>
      <c r="S124" s="120">
        <f t="shared" si="18"/>
        <v>0</v>
      </c>
      <c r="T124" s="120">
        <f t="shared" si="18"/>
        <v>0</v>
      </c>
      <c r="U124" s="120">
        <f t="shared" si="18"/>
        <v>0</v>
      </c>
      <c r="V124" s="120">
        <f t="shared" si="18"/>
        <v>0</v>
      </c>
      <c r="W124" s="120">
        <f t="shared" si="18"/>
        <v>0</v>
      </c>
      <c r="X124" s="120">
        <f t="shared" si="18"/>
        <v>0</v>
      </c>
      <c r="Y124" s="120">
        <f t="shared" si="18"/>
        <v>0</v>
      </c>
      <c r="Z124" s="120">
        <f t="shared" si="18"/>
        <v>0</v>
      </c>
      <c r="AA124" s="120">
        <f t="shared" si="18"/>
        <v>0</v>
      </c>
      <c r="AB124" s="120">
        <f t="shared" si="18"/>
        <v>0</v>
      </c>
      <c r="AC124" s="120">
        <f t="shared" si="18"/>
        <v>0</v>
      </c>
      <c r="AD124" s="120">
        <f t="shared" si="18"/>
        <v>0</v>
      </c>
      <c r="AE124" s="120">
        <f t="shared" si="18"/>
        <v>0</v>
      </c>
      <c r="AF124" s="120">
        <f t="shared" si="18"/>
        <v>0</v>
      </c>
      <c r="AG124" s="120">
        <f t="shared" si="18"/>
        <v>0</v>
      </c>
      <c r="AH124" s="120">
        <f t="shared" si="18"/>
        <v>0</v>
      </c>
      <c r="AI124" s="120">
        <f t="shared" si="18"/>
        <v>0</v>
      </c>
      <c r="AJ124" s="43" t="str">
        <f t="shared" si="6"/>
        <v/>
      </c>
      <c r="AK124" s="56"/>
      <c r="AL124" s="56" t="str">
        <f t="shared" si="9"/>
        <v>00</v>
      </c>
      <c r="AM124" s="58" t="str">
        <f t="shared" si="10"/>
        <v>00</v>
      </c>
      <c r="AN124" s="58" t="str">
        <f t="shared" si="11"/>
        <v>00</v>
      </c>
      <c r="AO124" s="58" t="str">
        <f t="shared" si="12"/>
        <v>00</v>
      </c>
      <c r="AQ124" s="185" t="str">
        <f t="shared" si="7"/>
        <v/>
      </c>
    </row>
    <row r="125" spans="2:43">
      <c r="B125" s="128"/>
      <c r="C125" s="43">
        <f t="shared" si="8"/>
        <v>54</v>
      </c>
      <c r="D125" s="120">
        <f t="shared" si="18"/>
        <v>0</v>
      </c>
      <c r="E125" s="120">
        <f t="shared" si="18"/>
        <v>0</v>
      </c>
      <c r="F125" s="120">
        <f t="shared" si="18"/>
        <v>0</v>
      </c>
      <c r="G125" s="120">
        <f t="shared" si="18"/>
        <v>0</v>
      </c>
      <c r="H125" s="120">
        <f t="shared" si="18"/>
        <v>0</v>
      </c>
      <c r="I125" s="120">
        <f t="shared" si="18"/>
        <v>0</v>
      </c>
      <c r="J125" s="120">
        <f t="shared" si="18"/>
        <v>0</v>
      </c>
      <c r="K125" s="120">
        <f t="shared" si="18"/>
        <v>0</v>
      </c>
      <c r="L125" s="120">
        <f t="shared" si="18"/>
        <v>0</v>
      </c>
      <c r="M125" s="120">
        <f t="shared" si="18"/>
        <v>0</v>
      </c>
      <c r="N125" s="120">
        <f t="shared" si="18"/>
        <v>0</v>
      </c>
      <c r="O125" s="120">
        <f t="shared" si="18"/>
        <v>0</v>
      </c>
      <c r="P125" s="120">
        <f t="shared" si="18"/>
        <v>0</v>
      </c>
      <c r="Q125" s="120">
        <f t="shared" si="18"/>
        <v>0</v>
      </c>
      <c r="R125" s="120">
        <f t="shared" si="18"/>
        <v>0</v>
      </c>
      <c r="S125" s="120">
        <f t="shared" si="18"/>
        <v>0</v>
      </c>
      <c r="T125" s="120">
        <f t="shared" si="18"/>
        <v>0</v>
      </c>
      <c r="U125" s="120">
        <f t="shared" si="18"/>
        <v>0</v>
      </c>
      <c r="V125" s="120">
        <f t="shared" si="18"/>
        <v>0</v>
      </c>
      <c r="W125" s="120">
        <f t="shared" si="18"/>
        <v>0</v>
      </c>
      <c r="X125" s="120">
        <f t="shared" si="18"/>
        <v>0</v>
      </c>
      <c r="Y125" s="120">
        <f t="shared" si="18"/>
        <v>0</v>
      </c>
      <c r="Z125" s="120">
        <f t="shared" si="18"/>
        <v>0</v>
      </c>
      <c r="AA125" s="120">
        <f t="shared" si="18"/>
        <v>0</v>
      </c>
      <c r="AB125" s="120">
        <f t="shared" si="18"/>
        <v>0</v>
      </c>
      <c r="AC125" s="120">
        <f t="shared" si="18"/>
        <v>0</v>
      </c>
      <c r="AD125" s="120">
        <f t="shared" si="18"/>
        <v>0</v>
      </c>
      <c r="AE125" s="120">
        <f t="shared" si="18"/>
        <v>0</v>
      </c>
      <c r="AF125" s="120">
        <f t="shared" si="18"/>
        <v>0</v>
      </c>
      <c r="AG125" s="120">
        <f t="shared" si="18"/>
        <v>0</v>
      </c>
      <c r="AH125" s="120">
        <f t="shared" si="18"/>
        <v>0</v>
      </c>
      <c r="AI125" s="120">
        <f t="shared" si="18"/>
        <v>0</v>
      </c>
      <c r="AJ125" s="43" t="str">
        <f t="shared" si="6"/>
        <v/>
      </c>
      <c r="AK125" s="56"/>
      <c r="AL125" s="56" t="str">
        <f t="shared" si="9"/>
        <v>00</v>
      </c>
      <c r="AM125" s="58" t="str">
        <f t="shared" si="10"/>
        <v>00</v>
      </c>
      <c r="AN125" s="58" t="str">
        <f t="shared" si="11"/>
        <v>00</v>
      </c>
      <c r="AO125" s="58" t="str">
        <f t="shared" si="12"/>
        <v>00</v>
      </c>
      <c r="AQ125" s="185" t="str">
        <f t="shared" si="7"/>
        <v/>
      </c>
    </row>
    <row r="126" spans="2:43">
      <c r="B126" s="128"/>
      <c r="C126" s="43">
        <f t="shared" si="8"/>
        <v>55</v>
      </c>
      <c r="D126" s="120">
        <f t="shared" si="18"/>
        <v>0</v>
      </c>
      <c r="E126" s="120">
        <f t="shared" si="18"/>
        <v>0</v>
      </c>
      <c r="F126" s="120">
        <f t="shared" si="18"/>
        <v>0</v>
      </c>
      <c r="G126" s="120">
        <f t="shared" si="18"/>
        <v>0</v>
      </c>
      <c r="H126" s="120">
        <f t="shared" si="18"/>
        <v>0</v>
      </c>
      <c r="I126" s="120">
        <f t="shared" si="18"/>
        <v>0</v>
      </c>
      <c r="J126" s="120">
        <f t="shared" si="18"/>
        <v>0</v>
      </c>
      <c r="K126" s="120">
        <f t="shared" si="18"/>
        <v>0</v>
      </c>
      <c r="L126" s="120">
        <f t="shared" si="18"/>
        <v>0</v>
      </c>
      <c r="M126" s="120">
        <f t="shared" si="18"/>
        <v>0</v>
      </c>
      <c r="N126" s="120">
        <f t="shared" si="18"/>
        <v>0</v>
      </c>
      <c r="O126" s="120">
        <f t="shared" si="18"/>
        <v>0</v>
      </c>
      <c r="P126" s="120">
        <f t="shared" si="18"/>
        <v>0</v>
      </c>
      <c r="Q126" s="120">
        <f t="shared" si="18"/>
        <v>0</v>
      </c>
      <c r="R126" s="120">
        <f t="shared" si="18"/>
        <v>0</v>
      </c>
      <c r="S126" s="120">
        <f t="shared" si="18"/>
        <v>0</v>
      </c>
      <c r="T126" s="120">
        <f t="shared" si="18"/>
        <v>0</v>
      </c>
      <c r="U126" s="120">
        <f t="shared" si="18"/>
        <v>0</v>
      </c>
      <c r="V126" s="120">
        <f t="shared" si="18"/>
        <v>0</v>
      </c>
      <c r="W126" s="120">
        <f t="shared" si="18"/>
        <v>0</v>
      </c>
      <c r="X126" s="120">
        <f t="shared" si="18"/>
        <v>0</v>
      </c>
      <c r="Y126" s="120">
        <f t="shared" si="18"/>
        <v>0</v>
      </c>
      <c r="Z126" s="120">
        <f t="shared" si="18"/>
        <v>0</v>
      </c>
      <c r="AA126" s="120">
        <f t="shared" si="18"/>
        <v>0</v>
      </c>
      <c r="AB126" s="120">
        <f t="shared" si="18"/>
        <v>0</v>
      </c>
      <c r="AC126" s="120">
        <f t="shared" si="18"/>
        <v>0</v>
      </c>
      <c r="AD126" s="120">
        <f t="shared" si="18"/>
        <v>0</v>
      </c>
      <c r="AE126" s="120">
        <f t="shared" si="18"/>
        <v>0</v>
      </c>
      <c r="AF126" s="120">
        <f t="shared" si="18"/>
        <v>0</v>
      </c>
      <c r="AG126" s="120">
        <f t="shared" si="18"/>
        <v>0</v>
      </c>
      <c r="AH126" s="120">
        <f t="shared" si="18"/>
        <v>0</v>
      </c>
      <c r="AI126" s="120">
        <f>IF(AI61=1,1,0)</f>
        <v>0</v>
      </c>
      <c r="AJ126" s="43" t="str">
        <f t="shared" si="6"/>
        <v/>
      </c>
      <c r="AK126" s="56"/>
      <c r="AL126" s="56" t="str">
        <f t="shared" si="9"/>
        <v>00</v>
      </c>
      <c r="AM126" s="58" t="str">
        <f t="shared" si="10"/>
        <v>00</v>
      </c>
      <c r="AN126" s="58" t="str">
        <f t="shared" si="11"/>
        <v>00</v>
      </c>
      <c r="AO126" s="58" t="str">
        <f t="shared" si="12"/>
        <v>00</v>
      </c>
      <c r="AQ126" s="185" t="str">
        <f t="shared" si="7"/>
        <v/>
      </c>
    </row>
    <row r="127" spans="2:43">
      <c r="B127" s="128"/>
      <c r="C127" s="43">
        <f t="shared" si="8"/>
        <v>56</v>
      </c>
      <c r="D127" s="120">
        <f t="shared" ref="D127:AI134" si="19">IF(D62=1,1,0)</f>
        <v>0</v>
      </c>
      <c r="E127" s="120">
        <f t="shared" si="19"/>
        <v>0</v>
      </c>
      <c r="F127" s="120">
        <f t="shared" si="19"/>
        <v>0</v>
      </c>
      <c r="G127" s="120">
        <f t="shared" si="19"/>
        <v>0</v>
      </c>
      <c r="H127" s="120">
        <f t="shared" si="19"/>
        <v>0</v>
      </c>
      <c r="I127" s="120">
        <f t="shared" si="19"/>
        <v>0</v>
      </c>
      <c r="J127" s="120">
        <f t="shared" si="19"/>
        <v>0</v>
      </c>
      <c r="K127" s="120">
        <f t="shared" si="19"/>
        <v>0</v>
      </c>
      <c r="L127" s="120">
        <f t="shared" si="19"/>
        <v>0</v>
      </c>
      <c r="M127" s="120">
        <f t="shared" si="19"/>
        <v>0</v>
      </c>
      <c r="N127" s="120">
        <f t="shared" si="19"/>
        <v>0</v>
      </c>
      <c r="O127" s="120">
        <f t="shared" si="19"/>
        <v>0</v>
      </c>
      <c r="P127" s="120">
        <f t="shared" si="19"/>
        <v>0</v>
      </c>
      <c r="Q127" s="120">
        <f t="shared" si="19"/>
        <v>0</v>
      </c>
      <c r="R127" s="120">
        <f t="shared" si="19"/>
        <v>0</v>
      </c>
      <c r="S127" s="120">
        <f t="shared" si="19"/>
        <v>0</v>
      </c>
      <c r="T127" s="120">
        <f t="shared" si="19"/>
        <v>0</v>
      </c>
      <c r="U127" s="120">
        <f t="shared" si="19"/>
        <v>0</v>
      </c>
      <c r="V127" s="120">
        <f t="shared" si="19"/>
        <v>0</v>
      </c>
      <c r="W127" s="120">
        <f t="shared" si="19"/>
        <v>0</v>
      </c>
      <c r="X127" s="120">
        <f t="shared" si="19"/>
        <v>0</v>
      </c>
      <c r="Y127" s="120">
        <f t="shared" si="19"/>
        <v>0</v>
      </c>
      <c r="Z127" s="120">
        <f t="shared" si="19"/>
        <v>0</v>
      </c>
      <c r="AA127" s="120">
        <f t="shared" si="19"/>
        <v>0</v>
      </c>
      <c r="AB127" s="120">
        <f t="shared" si="19"/>
        <v>0</v>
      </c>
      <c r="AC127" s="120">
        <f t="shared" si="19"/>
        <v>0</v>
      </c>
      <c r="AD127" s="120">
        <f t="shared" si="19"/>
        <v>0</v>
      </c>
      <c r="AE127" s="120">
        <f t="shared" si="19"/>
        <v>0</v>
      </c>
      <c r="AF127" s="120">
        <f t="shared" si="19"/>
        <v>0</v>
      </c>
      <c r="AG127" s="120">
        <f t="shared" si="19"/>
        <v>0</v>
      </c>
      <c r="AH127" s="120">
        <f t="shared" si="19"/>
        <v>0</v>
      </c>
      <c r="AI127" s="120">
        <f t="shared" si="19"/>
        <v>0</v>
      </c>
      <c r="AJ127" s="43" t="str">
        <f t="shared" si="6"/>
        <v/>
      </c>
      <c r="AK127" s="56"/>
      <c r="AL127" s="56" t="str">
        <f t="shared" si="9"/>
        <v>00</v>
      </c>
      <c r="AM127" s="58" t="str">
        <f t="shared" si="10"/>
        <v>00</v>
      </c>
      <c r="AN127" s="58" t="str">
        <f t="shared" si="11"/>
        <v>00</v>
      </c>
      <c r="AO127" s="58" t="str">
        <f t="shared" si="12"/>
        <v>00</v>
      </c>
      <c r="AQ127" s="185" t="str">
        <f t="shared" si="7"/>
        <v/>
      </c>
    </row>
    <row r="128" spans="2:43">
      <c r="B128" s="128"/>
      <c r="C128" s="43">
        <f t="shared" si="8"/>
        <v>57</v>
      </c>
      <c r="D128" s="120">
        <f t="shared" si="19"/>
        <v>0</v>
      </c>
      <c r="E128" s="120">
        <f t="shared" si="19"/>
        <v>0</v>
      </c>
      <c r="F128" s="120">
        <f t="shared" si="19"/>
        <v>0</v>
      </c>
      <c r="G128" s="120">
        <f t="shared" si="19"/>
        <v>0</v>
      </c>
      <c r="H128" s="120">
        <f t="shared" si="19"/>
        <v>0</v>
      </c>
      <c r="I128" s="120">
        <f t="shared" si="19"/>
        <v>0</v>
      </c>
      <c r="J128" s="120">
        <f t="shared" si="19"/>
        <v>0</v>
      </c>
      <c r="K128" s="120">
        <f t="shared" si="19"/>
        <v>0</v>
      </c>
      <c r="L128" s="120">
        <f t="shared" si="19"/>
        <v>0</v>
      </c>
      <c r="M128" s="120">
        <f t="shared" si="19"/>
        <v>0</v>
      </c>
      <c r="N128" s="120">
        <f t="shared" si="19"/>
        <v>0</v>
      </c>
      <c r="O128" s="120">
        <f t="shared" si="19"/>
        <v>0</v>
      </c>
      <c r="P128" s="120">
        <f t="shared" si="19"/>
        <v>0</v>
      </c>
      <c r="Q128" s="120">
        <f t="shared" si="19"/>
        <v>0</v>
      </c>
      <c r="R128" s="120">
        <f t="shared" si="19"/>
        <v>0</v>
      </c>
      <c r="S128" s="120">
        <f t="shared" si="19"/>
        <v>0</v>
      </c>
      <c r="T128" s="120">
        <f t="shared" si="19"/>
        <v>0</v>
      </c>
      <c r="U128" s="120">
        <f t="shared" si="19"/>
        <v>0</v>
      </c>
      <c r="V128" s="120">
        <f t="shared" si="19"/>
        <v>0</v>
      </c>
      <c r="W128" s="120">
        <f t="shared" si="19"/>
        <v>0</v>
      </c>
      <c r="X128" s="120">
        <f t="shared" si="19"/>
        <v>0</v>
      </c>
      <c r="Y128" s="120">
        <f t="shared" si="19"/>
        <v>0</v>
      </c>
      <c r="Z128" s="120">
        <f t="shared" si="19"/>
        <v>0</v>
      </c>
      <c r="AA128" s="120">
        <f t="shared" si="19"/>
        <v>0</v>
      </c>
      <c r="AB128" s="120">
        <f t="shared" si="19"/>
        <v>0</v>
      </c>
      <c r="AC128" s="120">
        <f t="shared" si="19"/>
        <v>0</v>
      </c>
      <c r="AD128" s="120">
        <f t="shared" si="19"/>
        <v>0</v>
      </c>
      <c r="AE128" s="120">
        <f t="shared" si="19"/>
        <v>0</v>
      </c>
      <c r="AF128" s="120">
        <f t="shared" si="19"/>
        <v>0</v>
      </c>
      <c r="AG128" s="120">
        <f t="shared" si="19"/>
        <v>0</v>
      </c>
      <c r="AH128" s="120">
        <f t="shared" si="19"/>
        <v>0</v>
      </c>
      <c r="AI128" s="120">
        <f t="shared" si="19"/>
        <v>0</v>
      </c>
      <c r="AJ128" s="43" t="str">
        <f t="shared" si="6"/>
        <v/>
      </c>
      <c r="AK128" s="56"/>
      <c r="AL128" s="56" t="str">
        <f t="shared" si="9"/>
        <v>00</v>
      </c>
      <c r="AM128" s="58" t="str">
        <f t="shared" si="10"/>
        <v>00</v>
      </c>
      <c r="AN128" s="58" t="str">
        <f t="shared" si="11"/>
        <v>00</v>
      </c>
      <c r="AO128" s="58" t="str">
        <f t="shared" si="12"/>
        <v>00</v>
      </c>
      <c r="AQ128" s="185" t="str">
        <f t="shared" si="7"/>
        <v/>
      </c>
    </row>
    <row r="129" spans="1:43">
      <c r="B129" s="128"/>
      <c r="C129" s="43">
        <f t="shared" si="8"/>
        <v>58</v>
      </c>
      <c r="D129" s="120">
        <f t="shared" si="19"/>
        <v>0</v>
      </c>
      <c r="E129" s="120">
        <f t="shared" si="19"/>
        <v>0</v>
      </c>
      <c r="F129" s="120">
        <f t="shared" si="19"/>
        <v>0</v>
      </c>
      <c r="G129" s="120">
        <f t="shared" si="19"/>
        <v>0</v>
      </c>
      <c r="H129" s="120">
        <f t="shared" si="19"/>
        <v>0</v>
      </c>
      <c r="I129" s="120">
        <f t="shared" si="19"/>
        <v>0</v>
      </c>
      <c r="J129" s="120">
        <f t="shared" si="19"/>
        <v>0</v>
      </c>
      <c r="K129" s="120">
        <f t="shared" si="19"/>
        <v>0</v>
      </c>
      <c r="L129" s="120">
        <f t="shared" si="19"/>
        <v>0</v>
      </c>
      <c r="M129" s="120">
        <f t="shared" si="19"/>
        <v>0</v>
      </c>
      <c r="N129" s="120">
        <f t="shared" si="19"/>
        <v>0</v>
      </c>
      <c r="O129" s="120">
        <f t="shared" si="19"/>
        <v>0</v>
      </c>
      <c r="P129" s="120">
        <f t="shared" si="19"/>
        <v>0</v>
      </c>
      <c r="Q129" s="120">
        <f t="shared" si="19"/>
        <v>0</v>
      </c>
      <c r="R129" s="120">
        <f t="shared" si="19"/>
        <v>0</v>
      </c>
      <c r="S129" s="120">
        <f t="shared" si="19"/>
        <v>0</v>
      </c>
      <c r="T129" s="120">
        <f t="shared" si="19"/>
        <v>0</v>
      </c>
      <c r="U129" s="120">
        <f t="shared" si="19"/>
        <v>0</v>
      </c>
      <c r="V129" s="120">
        <f t="shared" si="19"/>
        <v>0</v>
      </c>
      <c r="W129" s="120">
        <f t="shared" si="19"/>
        <v>0</v>
      </c>
      <c r="X129" s="120">
        <f t="shared" si="19"/>
        <v>0</v>
      </c>
      <c r="Y129" s="120">
        <f t="shared" si="19"/>
        <v>0</v>
      </c>
      <c r="Z129" s="120">
        <f t="shared" si="19"/>
        <v>0</v>
      </c>
      <c r="AA129" s="120">
        <f t="shared" si="19"/>
        <v>0</v>
      </c>
      <c r="AB129" s="120">
        <f t="shared" si="19"/>
        <v>0</v>
      </c>
      <c r="AC129" s="120">
        <f t="shared" si="19"/>
        <v>0</v>
      </c>
      <c r="AD129" s="120">
        <f t="shared" si="19"/>
        <v>0</v>
      </c>
      <c r="AE129" s="120">
        <f t="shared" si="19"/>
        <v>0</v>
      </c>
      <c r="AF129" s="120">
        <f t="shared" si="19"/>
        <v>0</v>
      </c>
      <c r="AG129" s="120">
        <f t="shared" si="19"/>
        <v>0</v>
      </c>
      <c r="AH129" s="120">
        <f t="shared" si="19"/>
        <v>0</v>
      </c>
      <c r="AI129" s="120">
        <f t="shared" si="19"/>
        <v>0</v>
      </c>
      <c r="AJ129" s="43" t="str">
        <f t="shared" si="6"/>
        <v/>
      </c>
      <c r="AK129" s="56"/>
      <c r="AL129" s="56" t="str">
        <f t="shared" si="9"/>
        <v>00</v>
      </c>
      <c r="AM129" s="58" t="str">
        <f t="shared" si="10"/>
        <v>00</v>
      </c>
      <c r="AN129" s="58" t="str">
        <f t="shared" si="11"/>
        <v>00</v>
      </c>
      <c r="AO129" s="58" t="str">
        <f t="shared" si="12"/>
        <v>00</v>
      </c>
      <c r="AQ129" s="185" t="str">
        <f t="shared" si="7"/>
        <v/>
      </c>
    </row>
    <row r="130" spans="1:43">
      <c r="B130" s="128"/>
      <c r="C130" s="43">
        <f t="shared" si="8"/>
        <v>59</v>
      </c>
      <c r="D130" s="120">
        <f t="shared" si="19"/>
        <v>0</v>
      </c>
      <c r="E130" s="120">
        <f t="shared" si="19"/>
        <v>0</v>
      </c>
      <c r="F130" s="120">
        <f t="shared" si="19"/>
        <v>0</v>
      </c>
      <c r="G130" s="120">
        <f t="shared" si="19"/>
        <v>0</v>
      </c>
      <c r="H130" s="120">
        <f t="shared" si="19"/>
        <v>0</v>
      </c>
      <c r="I130" s="120">
        <f t="shared" si="19"/>
        <v>0</v>
      </c>
      <c r="J130" s="120">
        <f t="shared" si="19"/>
        <v>0</v>
      </c>
      <c r="K130" s="120">
        <f t="shared" si="19"/>
        <v>0</v>
      </c>
      <c r="L130" s="120">
        <f t="shared" si="19"/>
        <v>0</v>
      </c>
      <c r="M130" s="120">
        <f t="shared" si="19"/>
        <v>0</v>
      </c>
      <c r="N130" s="120">
        <f t="shared" si="19"/>
        <v>0</v>
      </c>
      <c r="O130" s="120">
        <f t="shared" si="19"/>
        <v>0</v>
      </c>
      <c r="P130" s="120">
        <f t="shared" si="19"/>
        <v>0</v>
      </c>
      <c r="Q130" s="120">
        <f t="shared" si="19"/>
        <v>0</v>
      </c>
      <c r="R130" s="120">
        <f t="shared" si="19"/>
        <v>0</v>
      </c>
      <c r="S130" s="120">
        <f t="shared" si="19"/>
        <v>0</v>
      </c>
      <c r="T130" s="120">
        <f t="shared" si="19"/>
        <v>0</v>
      </c>
      <c r="U130" s="120">
        <f t="shared" si="19"/>
        <v>0</v>
      </c>
      <c r="V130" s="120">
        <f t="shared" si="19"/>
        <v>0</v>
      </c>
      <c r="W130" s="120">
        <f t="shared" si="19"/>
        <v>0</v>
      </c>
      <c r="X130" s="120">
        <f t="shared" si="19"/>
        <v>0</v>
      </c>
      <c r="Y130" s="120">
        <f t="shared" si="19"/>
        <v>0</v>
      </c>
      <c r="Z130" s="120">
        <f t="shared" si="19"/>
        <v>0</v>
      </c>
      <c r="AA130" s="120">
        <f t="shared" si="19"/>
        <v>0</v>
      </c>
      <c r="AB130" s="120">
        <f t="shared" si="19"/>
        <v>0</v>
      </c>
      <c r="AC130" s="120">
        <f t="shared" si="19"/>
        <v>0</v>
      </c>
      <c r="AD130" s="120">
        <f t="shared" si="19"/>
        <v>0</v>
      </c>
      <c r="AE130" s="120">
        <f t="shared" si="19"/>
        <v>0</v>
      </c>
      <c r="AF130" s="120">
        <f t="shared" si="19"/>
        <v>0</v>
      </c>
      <c r="AG130" s="120">
        <f t="shared" si="19"/>
        <v>0</v>
      </c>
      <c r="AH130" s="120">
        <f t="shared" si="19"/>
        <v>0</v>
      </c>
      <c r="AI130" s="120">
        <f t="shared" si="19"/>
        <v>0</v>
      </c>
      <c r="AJ130" s="43" t="str">
        <f t="shared" si="6"/>
        <v/>
      </c>
      <c r="AK130" s="56"/>
      <c r="AL130" s="56" t="str">
        <f t="shared" si="9"/>
        <v>00</v>
      </c>
      <c r="AM130" s="58" t="str">
        <f t="shared" si="10"/>
        <v>00</v>
      </c>
      <c r="AN130" s="58" t="str">
        <f t="shared" si="11"/>
        <v>00</v>
      </c>
      <c r="AO130" s="58" t="str">
        <f t="shared" si="12"/>
        <v>00</v>
      </c>
      <c r="AQ130" s="185" t="str">
        <f t="shared" si="7"/>
        <v/>
      </c>
    </row>
    <row r="131" spans="1:43">
      <c r="B131" s="128"/>
      <c r="C131" s="43">
        <f t="shared" si="8"/>
        <v>60</v>
      </c>
      <c r="D131" s="120">
        <f t="shared" si="19"/>
        <v>0</v>
      </c>
      <c r="E131" s="120">
        <f t="shared" si="19"/>
        <v>0</v>
      </c>
      <c r="F131" s="120">
        <f t="shared" si="19"/>
        <v>0</v>
      </c>
      <c r="G131" s="120">
        <f t="shared" si="19"/>
        <v>0</v>
      </c>
      <c r="H131" s="120">
        <f t="shared" si="19"/>
        <v>0</v>
      </c>
      <c r="I131" s="120">
        <f t="shared" si="19"/>
        <v>0</v>
      </c>
      <c r="J131" s="120">
        <f t="shared" si="19"/>
        <v>0</v>
      </c>
      <c r="K131" s="120">
        <f t="shared" si="19"/>
        <v>0</v>
      </c>
      <c r="L131" s="120">
        <f t="shared" si="19"/>
        <v>0</v>
      </c>
      <c r="M131" s="120">
        <f t="shared" si="19"/>
        <v>0</v>
      </c>
      <c r="N131" s="120">
        <f t="shared" si="19"/>
        <v>0</v>
      </c>
      <c r="O131" s="120">
        <f t="shared" si="19"/>
        <v>0</v>
      </c>
      <c r="P131" s="120">
        <f t="shared" si="19"/>
        <v>0</v>
      </c>
      <c r="Q131" s="120">
        <f t="shared" si="19"/>
        <v>0</v>
      </c>
      <c r="R131" s="120">
        <f t="shared" si="19"/>
        <v>0</v>
      </c>
      <c r="S131" s="120">
        <f t="shared" si="19"/>
        <v>0</v>
      </c>
      <c r="T131" s="120">
        <f t="shared" si="19"/>
        <v>0</v>
      </c>
      <c r="U131" s="120">
        <f t="shared" si="19"/>
        <v>0</v>
      </c>
      <c r="V131" s="120">
        <f t="shared" si="19"/>
        <v>0</v>
      </c>
      <c r="W131" s="120">
        <f t="shared" si="19"/>
        <v>0</v>
      </c>
      <c r="X131" s="120">
        <f t="shared" si="19"/>
        <v>0</v>
      </c>
      <c r="Y131" s="120">
        <f t="shared" si="19"/>
        <v>0</v>
      </c>
      <c r="Z131" s="120">
        <f t="shared" si="19"/>
        <v>0</v>
      </c>
      <c r="AA131" s="120">
        <f t="shared" si="19"/>
        <v>0</v>
      </c>
      <c r="AB131" s="120">
        <f t="shared" si="19"/>
        <v>0</v>
      </c>
      <c r="AC131" s="120">
        <f t="shared" si="19"/>
        <v>0</v>
      </c>
      <c r="AD131" s="120">
        <f t="shared" si="19"/>
        <v>0</v>
      </c>
      <c r="AE131" s="120">
        <f t="shared" si="19"/>
        <v>0</v>
      </c>
      <c r="AF131" s="120">
        <f t="shared" si="19"/>
        <v>0</v>
      </c>
      <c r="AG131" s="120">
        <f t="shared" si="19"/>
        <v>0</v>
      </c>
      <c r="AH131" s="120">
        <f t="shared" si="19"/>
        <v>0</v>
      </c>
      <c r="AI131" s="120">
        <f t="shared" si="19"/>
        <v>0</v>
      </c>
      <c r="AJ131" s="43" t="str">
        <f t="shared" si="6"/>
        <v/>
      </c>
      <c r="AK131" s="56"/>
      <c r="AL131" s="56" t="str">
        <f t="shared" si="9"/>
        <v>00</v>
      </c>
      <c r="AM131" s="58" t="str">
        <f t="shared" si="10"/>
        <v>00</v>
      </c>
      <c r="AN131" s="58" t="str">
        <f t="shared" si="11"/>
        <v>00</v>
      </c>
      <c r="AO131" s="58" t="str">
        <f t="shared" si="12"/>
        <v>00</v>
      </c>
      <c r="AQ131" s="185" t="str">
        <f t="shared" si="7"/>
        <v/>
      </c>
    </row>
    <row r="132" spans="1:43">
      <c r="B132" s="128"/>
      <c r="C132" s="43">
        <f t="shared" si="8"/>
        <v>61</v>
      </c>
      <c r="D132" s="120">
        <f t="shared" si="19"/>
        <v>0</v>
      </c>
      <c r="E132" s="120">
        <f t="shared" si="19"/>
        <v>0</v>
      </c>
      <c r="F132" s="120">
        <f t="shared" si="19"/>
        <v>0</v>
      </c>
      <c r="G132" s="120">
        <f t="shared" si="19"/>
        <v>0</v>
      </c>
      <c r="H132" s="120">
        <f t="shared" si="19"/>
        <v>0</v>
      </c>
      <c r="I132" s="120">
        <f t="shared" si="19"/>
        <v>0</v>
      </c>
      <c r="J132" s="120">
        <f t="shared" si="19"/>
        <v>0</v>
      </c>
      <c r="K132" s="120">
        <f t="shared" si="19"/>
        <v>0</v>
      </c>
      <c r="L132" s="120">
        <f t="shared" si="19"/>
        <v>0</v>
      </c>
      <c r="M132" s="120">
        <f t="shared" si="19"/>
        <v>0</v>
      </c>
      <c r="N132" s="120">
        <f t="shared" si="19"/>
        <v>0</v>
      </c>
      <c r="O132" s="120">
        <f t="shared" si="19"/>
        <v>0</v>
      </c>
      <c r="P132" s="120">
        <f t="shared" si="19"/>
        <v>0</v>
      </c>
      <c r="Q132" s="120">
        <f t="shared" si="19"/>
        <v>0</v>
      </c>
      <c r="R132" s="120">
        <f t="shared" si="19"/>
        <v>0</v>
      </c>
      <c r="S132" s="120">
        <f t="shared" si="19"/>
        <v>0</v>
      </c>
      <c r="T132" s="120">
        <f t="shared" si="19"/>
        <v>0</v>
      </c>
      <c r="U132" s="120">
        <f t="shared" si="19"/>
        <v>0</v>
      </c>
      <c r="V132" s="120">
        <f t="shared" si="19"/>
        <v>0</v>
      </c>
      <c r="W132" s="120">
        <f t="shared" si="19"/>
        <v>0</v>
      </c>
      <c r="X132" s="120">
        <f t="shared" si="19"/>
        <v>0</v>
      </c>
      <c r="Y132" s="120">
        <f t="shared" si="19"/>
        <v>0</v>
      </c>
      <c r="Z132" s="120">
        <f t="shared" si="19"/>
        <v>0</v>
      </c>
      <c r="AA132" s="120">
        <f t="shared" si="19"/>
        <v>0</v>
      </c>
      <c r="AB132" s="120">
        <f t="shared" si="19"/>
        <v>0</v>
      </c>
      <c r="AC132" s="120">
        <f t="shared" si="19"/>
        <v>0</v>
      </c>
      <c r="AD132" s="120">
        <f t="shared" si="19"/>
        <v>0</v>
      </c>
      <c r="AE132" s="120">
        <f t="shared" si="19"/>
        <v>0</v>
      </c>
      <c r="AF132" s="120">
        <f t="shared" si="19"/>
        <v>0</v>
      </c>
      <c r="AG132" s="120">
        <f t="shared" si="19"/>
        <v>0</v>
      </c>
      <c r="AH132" s="120">
        <f t="shared" si="19"/>
        <v>0</v>
      </c>
      <c r="AI132" s="120">
        <f t="shared" si="19"/>
        <v>0</v>
      </c>
      <c r="AJ132" s="43" t="str">
        <f t="shared" si="6"/>
        <v/>
      </c>
      <c r="AK132" s="56"/>
      <c r="AL132" s="56" t="str">
        <f t="shared" si="9"/>
        <v>00</v>
      </c>
      <c r="AM132" s="58" t="str">
        <f t="shared" si="10"/>
        <v>00</v>
      </c>
      <c r="AN132" s="58" t="str">
        <f t="shared" si="11"/>
        <v>00</v>
      </c>
      <c r="AO132" s="58" t="str">
        <f t="shared" si="12"/>
        <v>00</v>
      </c>
      <c r="AQ132" s="185" t="str">
        <f t="shared" si="7"/>
        <v/>
      </c>
    </row>
    <row r="133" spans="1:43">
      <c r="B133" s="128"/>
      <c r="C133" s="43">
        <f t="shared" si="8"/>
        <v>62</v>
      </c>
      <c r="D133" s="120">
        <f t="shared" si="19"/>
        <v>0</v>
      </c>
      <c r="E133" s="120">
        <f t="shared" si="19"/>
        <v>0</v>
      </c>
      <c r="F133" s="120">
        <f t="shared" si="19"/>
        <v>0</v>
      </c>
      <c r="G133" s="120">
        <f t="shared" si="19"/>
        <v>0</v>
      </c>
      <c r="H133" s="120">
        <f t="shared" si="19"/>
        <v>0</v>
      </c>
      <c r="I133" s="120">
        <f t="shared" si="19"/>
        <v>0</v>
      </c>
      <c r="J133" s="120">
        <f t="shared" si="19"/>
        <v>0</v>
      </c>
      <c r="K133" s="120">
        <f t="shared" si="19"/>
        <v>0</v>
      </c>
      <c r="L133" s="120">
        <f t="shared" si="19"/>
        <v>0</v>
      </c>
      <c r="M133" s="120">
        <f t="shared" si="19"/>
        <v>0</v>
      </c>
      <c r="N133" s="120">
        <f t="shared" si="19"/>
        <v>0</v>
      </c>
      <c r="O133" s="120">
        <f t="shared" si="19"/>
        <v>0</v>
      </c>
      <c r="P133" s="120">
        <f t="shared" si="19"/>
        <v>0</v>
      </c>
      <c r="Q133" s="120">
        <f t="shared" si="19"/>
        <v>0</v>
      </c>
      <c r="R133" s="120">
        <f t="shared" si="19"/>
        <v>0</v>
      </c>
      <c r="S133" s="120">
        <f t="shared" si="19"/>
        <v>0</v>
      </c>
      <c r="T133" s="120">
        <f t="shared" si="19"/>
        <v>0</v>
      </c>
      <c r="U133" s="120">
        <f t="shared" si="19"/>
        <v>0</v>
      </c>
      <c r="V133" s="120">
        <f t="shared" si="19"/>
        <v>0</v>
      </c>
      <c r="W133" s="120">
        <f t="shared" si="19"/>
        <v>0</v>
      </c>
      <c r="X133" s="120">
        <f t="shared" si="19"/>
        <v>0</v>
      </c>
      <c r="Y133" s="120">
        <f t="shared" si="19"/>
        <v>0</v>
      </c>
      <c r="Z133" s="120">
        <f t="shared" si="19"/>
        <v>0</v>
      </c>
      <c r="AA133" s="120">
        <f t="shared" si="19"/>
        <v>0</v>
      </c>
      <c r="AB133" s="120">
        <f t="shared" si="19"/>
        <v>0</v>
      </c>
      <c r="AC133" s="120">
        <f t="shared" si="19"/>
        <v>0</v>
      </c>
      <c r="AD133" s="120">
        <f t="shared" si="19"/>
        <v>0</v>
      </c>
      <c r="AE133" s="120">
        <f t="shared" si="19"/>
        <v>0</v>
      </c>
      <c r="AF133" s="120">
        <f t="shared" si="19"/>
        <v>0</v>
      </c>
      <c r="AG133" s="120">
        <f t="shared" si="19"/>
        <v>0</v>
      </c>
      <c r="AH133" s="120">
        <f t="shared" si="19"/>
        <v>0</v>
      </c>
      <c r="AI133" s="120">
        <f t="shared" si="19"/>
        <v>0</v>
      </c>
      <c r="AJ133" s="43" t="str">
        <f t="shared" si="6"/>
        <v/>
      </c>
      <c r="AK133" s="56"/>
      <c r="AL133" s="56" t="str">
        <f t="shared" si="9"/>
        <v>00</v>
      </c>
      <c r="AM133" s="58" t="str">
        <f t="shared" si="10"/>
        <v>00</v>
      </c>
      <c r="AN133" s="58" t="str">
        <f t="shared" si="11"/>
        <v>00</v>
      </c>
      <c r="AO133" s="58" t="str">
        <f t="shared" si="12"/>
        <v>00</v>
      </c>
      <c r="AQ133" s="185" t="str">
        <f t="shared" si="7"/>
        <v/>
      </c>
    </row>
    <row r="134" spans="1:43">
      <c r="B134" s="129"/>
      <c r="C134" s="43">
        <f t="shared" si="8"/>
        <v>63</v>
      </c>
      <c r="D134" s="120">
        <f t="shared" si="19"/>
        <v>0</v>
      </c>
      <c r="E134" s="120">
        <f t="shared" si="19"/>
        <v>0</v>
      </c>
      <c r="F134" s="120">
        <f t="shared" si="19"/>
        <v>0</v>
      </c>
      <c r="G134" s="120">
        <f t="shared" si="19"/>
        <v>0</v>
      </c>
      <c r="H134" s="120">
        <f t="shared" si="19"/>
        <v>0</v>
      </c>
      <c r="I134" s="120">
        <f t="shared" si="19"/>
        <v>0</v>
      </c>
      <c r="J134" s="120">
        <f t="shared" si="19"/>
        <v>0</v>
      </c>
      <c r="K134" s="120">
        <f t="shared" si="19"/>
        <v>0</v>
      </c>
      <c r="L134" s="120">
        <f t="shared" si="19"/>
        <v>0</v>
      </c>
      <c r="M134" s="120">
        <f t="shared" si="19"/>
        <v>0</v>
      </c>
      <c r="N134" s="120">
        <f t="shared" si="19"/>
        <v>0</v>
      </c>
      <c r="O134" s="120">
        <f t="shared" si="19"/>
        <v>0</v>
      </c>
      <c r="P134" s="120">
        <f t="shared" si="19"/>
        <v>0</v>
      </c>
      <c r="Q134" s="120">
        <f t="shared" si="19"/>
        <v>0</v>
      </c>
      <c r="R134" s="120">
        <f t="shared" si="19"/>
        <v>0</v>
      </c>
      <c r="S134" s="120">
        <f t="shared" si="19"/>
        <v>0</v>
      </c>
      <c r="T134" s="120">
        <f t="shared" si="19"/>
        <v>0</v>
      </c>
      <c r="U134" s="120">
        <f t="shared" si="19"/>
        <v>0</v>
      </c>
      <c r="V134" s="120">
        <f t="shared" si="19"/>
        <v>0</v>
      </c>
      <c r="W134" s="120">
        <f t="shared" si="19"/>
        <v>0</v>
      </c>
      <c r="X134" s="120">
        <f t="shared" si="19"/>
        <v>0</v>
      </c>
      <c r="Y134" s="120">
        <f t="shared" si="19"/>
        <v>0</v>
      </c>
      <c r="Z134" s="120">
        <f t="shared" si="19"/>
        <v>0</v>
      </c>
      <c r="AA134" s="120">
        <f t="shared" si="19"/>
        <v>0</v>
      </c>
      <c r="AB134" s="120">
        <f t="shared" si="19"/>
        <v>0</v>
      </c>
      <c r="AC134" s="120">
        <f t="shared" si="19"/>
        <v>0</v>
      </c>
      <c r="AD134" s="120">
        <f t="shared" si="19"/>
        <v>0</v>
      </c>
      <c r="AE134" s="120">
        <f t="shared" si="19"/>
        <v>0</v>
      </c>
      <c r="AF134" s="120">
        <f t="shared" si="19"/>
        <v>0</v>
      </c>
      <c r="AG134" s="120">
        <f t="shared" si="19"/>
        <v>0</v>
      </c>
      <c r="AH134" s="120">
        <f t="shared" si="19"/>
        <v>0</v>
      </c>
      <c r="AI134" s="120">
        <f>IF(AI69=1,1,0)</f>
        <v>0</v>
      </c>
      <c r="AJ134" s="43" t="str">
        <f t="shared" si="6"/>
        <v/>
      </c>
      <c r="AK134" s="56"/>
      <c r="AL134" s="56" t="str">
        <f t="shared" si="9"/>
        <v>00</v>
      </c>
      <c r="AM134" s="58" t="str">
        <f t="shared" si="10"/>
        <v>00</v>
      </c>
      <c r="AN134" s="58" t="str">
        <f t="shared" si="11"/>
        <v>00</v>
      </c>
      <c r="AO134" s="58" t="str">
        <f t="shared" si="12"/>
        <v>00</v>
      </c>
      <c r="AQ134" s="185" t="str">
        <f t="shared" si="7"/>
        <v/>
      </c>
    </row>
    <row r="135" spans="1:43">
      <c r="A135" s="52" t="s">
        <v>64</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0" t="str">
        <f ca="1">IF(B6&lt;&gt;"",B6,"")</f>
        <v>Table S_ADBZR_TCHAR</v>
      </c>
      <c r="C136" s="43">
        <f>IF(C6&lt;&gt;"",C6,"")</f>
        <v>0</v>
      </c>
      <c r="D136" s="120">
        <f t="shared" ref="D136:AI143" si="20">IF(OR(D6=0,D6=1),1,0)</f>
        <v>0</v>
      </c>
      <c r="E136" s="120">
        <f t="shared" si="20"/>
        <v>0</v>
      </c>
      <c r="F136" s="120">
        <f t="shared" si="20"/>
        <v>0</v>
      </c>
      <c r="G136" s="120">
        <f t="shared" si="20"/>
        <v>0</v>
      </c>
      <c r="H136" s="120">
        <f t="shared" si="20"/>
        <v>0</v>
      </c>
      <c r="I136" s="120">
        <f t="shared" si="20"/>
        <v>0</v>
      </c>
      <c r="J136" s="120">
        <f t="shared" si="20"/>
        <v>0</v>
      </c>
      <c r="K136" s="120">
        <f t="shared" si="20"/>
        <v>0</v>
      </c>
      <c r="L136" s="120">
        <f t="shared" si="20"/>
        <v>0</v>
      </c>
      <c r="M136" s="120">
        <f t="shared" si="20"/>
        <v>0</v>
      </c>
      <c r="N136" s="120">
        <f t="shared" si="20"/>
        <v>0</v>
      </c>
      <c r="O136" s="120">
        <f t="shared" si="20"/>
        <v>0</v>
      </c>
      <c r="P136" s="120">
        <f t="shared" si="20"/>
        <v>0</v>
      </c>
      <c r="Q136" s="120">
        <f t="shared" si="20"/>
        <v>0</v>
      </c>
      <c r="R136" s="120">
        <f t="shared" si="20"/>
        <v>0</v>
      </c>
      <c r="S136" s="120">
        <f t="shared" si="20"/>
        <v>0</v>
      </c>
      <c r="T136" s="120">
        <f t="shared" si="20"/>
        <v>0</v>
      </c>
      <c r="U136" s="120">
        <f t="shared" si="20"/>
        <v>0</v>
      </c>
      <c r="V136" s="120">
        <f t="shared" si="20"/>
        <v>0</v>
      </c>
      <c r="W136" s="120">
        <f t="shared" si="20"/>
        <v>0</v>
      </c>
      <c r="X136" s="120">
        <f t="shared" si="20"/>
        <v>0</v>
      </c>
      <c r="Y136" s="120">
        <f t="shared" si="20"/>
        <v>0</v>
      </c>
      <c r="Z136" s="120">
        <f t="shared" si="20"/>
        <v>0</v>
      </c>
      <c r="AA136" s="120">
        <f t="shared" si="20"/>
        <v>0</v>
      </c>
      <c r="AB136" s="120">
        <f t="shared" si="20"/>
        <v>0</v>
      </c>
      <c r="AC136" s="120">
        <f t="shared" si="20"/>
        <v>0</v>
      </c>
      <c r="AD136" s="120">
        <f t="shared" si="20"/>
        <v>0</v>
      </c>
      <c r="AE136" s="120">
        <f t="shared" si="20"/>
        <v>0</v>
      </c>
      <c r="AF136" s="120">
        <f t="shared" si="20"/>
        <v>1</v>
      </c>
      <c r="AG136" s="120">
        <f t="shared" si="20"/>
        <v>1</v>
      </c>
      <c r="AH136" s="120">
        <f t="shared" si="20"/>
        <v>1</v>
      </c>
      <c r="AI136" s="120">
        <f t="shared" si="20"/>
        <v>1</v>
      </c>
      <c r="AJ136" s="43" t="str">
        <f t="shared" ref="AJ136:AJ199" si="21">IF(AJ6&lt;&gt;"",AJ6,"")</f>
        <v>UNKNOWN</v>
      </c>
      <c r="AK136" s="56"/>
      <c r="AL136" s="56"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s="185" t="str">
        <f t="shared" ref="AQ136:AQ199" si="22">IF(AJ136="","","    (U4)0x"&amp;AO136&amp;AN136&amp;AM136&amp;AL136&amp;"U"&amp;IF(AJ137=""," ",",")&amp;REPT(" ",59)&amp;"/* "&amp;IF(C136&lt;10,"0"&amp;C136,C136)&amp;" "&amp;AJ136&amp;REPT(" ",47-LEN(AJ136))&amp;" */")</f>
        <v xml:space="preserve">    (U4)0x0000000FU,                                                           /* 00 UNKNOWN                                         */</v>
      </c>
    </row>
    <row r="137" spans="1:43">
      <c r="B137" s="128"/>
      <c r="C137" s="43">
        <f t="shared" ref="C137:C199" si="23">IF(C7&lt;&gt;"",C7,"")</f>
        <v>1</v>
      </c>
      <c r="D137" s="120">
        <f t="shared" si="20"/>
        <v>0</v>
      </c>
      <c r="E137" s="120">
        <f t="shared" si="20"/>
        <v>0</v>
      </c>
      <c r="F137" s="120">
        <f t="shared" si="20"/>
        <v>0</v>
      </c>
      <c r="G137" s="120">
        <f t="shared" si="20"/>
        <v>0</v>
      </c>
      <c r="H137" s="120">
        <f t="shared" si="20"/>
        <v>0</v>
      </c>
      <c r="I137" s="120">
        <f t="shared" si="20"/>
        <v>0</v>
      </c>
      <c r="J137" s="120">
        <f t="shared" si="20"/>
        <v>0</v>
      </c>
      <c r="K137" s="120">
        <f t="shared" si="20"/>
        <v>0</v>
      </c>
      <c r="L137" s="120">
        <f t="shared" si="20"/>
        <v>0</v>
      </c>
      <c r="M137" s="120">
        <f t="shared" si="20"/>
        <v>0</v>
      </c>
      <c r="N137" s="120">
        <f t="shared" si="20"/>
        <v>0</v>
      </c>
      <c r="O137" s="120">
        <f t="shared" si="20"/>
        <v>0</v>
      </c>
      <c r="P137" s="120">
        <f t="shared" si="20"/>
        <v>0</v>
      </c>
      <c r="Q137" s="120">
        <f t="shared" si="20"/>
        <v>0</v>
      </c>
      <c r="R137" s="120">
        <f t="shared" si="20"/>
        <v>0</v>
      </c>
      <c r="S137" s="120">
        <f t="shared" si="20"/>
        <v>0</v>
      </c>
      <c r="T137" s="120">
        <f t="shared" si="20"/>
        <v>0</v>
      </c>
      <c r="U137" s="120">
        <f t="shared" si="20"/>
        <v>0</v>
      </c>
      <c r="V137" s="120">
        <f t="shared" si="20"/>
        <v>0</v>
      </c>
      <c r="W137" s="120">
        <f t="shared" si="20"/>
        <v>0</v>
      </c>
      <c r="X137" s="120">
        <f t="shared" si="20"/>
        <v>0</v>
      </c>
      <c r="Y137" s="120">
        <f t="shared" si="20"/>
        <v>0</v>
      </c>
      <c r="Z137" s="120">
        <f t="shared" si="20"/>
        <v>0</v>
      </c>
      <c r="AA137" s="120">
        <f t="shared" si="20"/>
        <v>0</v>
      </c>
      <c r="AB137" s="120">
        <f t="shared" si="20"/>
        <v>0</v>
      </c>
      <c r="AC137" s="120">
        <f t="shared" si="20"/>
        <v>0</v>
      </c>
      <c r="AD137" s="120">
        <f t="shared" si="20"/>
        <v>0</v>
      </c>
      <c r="AE137" s="120">
        <f t="shared" si="20"/>
        <v>0</v>
      </c>
      <c r="AF137" s="120">
        <f t="shared" si="20"/>
        <v>1</v>
      </c>
      <c r="AG137" s="120">
        <f t="shared" si="20"/>
        <v>1</v>
      </c>
      <c r="AH137" s="120">
        <f t="shared" si="20"/>
        <v>1</v>
      </c>
      <c r="AI137" s="120">
        <f t="shared" si="20"/>
        <v>1</v>
      </c>
      <c r="AJ137" s="43" t="str">
        <f t="shared" si="21"/>
        <v>CYCL1</v>
      </c>
      <c r="AK137" s="56"/>
      <c r="AL137" s="56" t="str">
        <f t="shared" ref="AL137:AL199" si="24">BIN2HEX(AB137&amp;AC137&amp;AD137&amp;AE137&amp;AF137&amp;AG137&amp;AH137&amp;AI137,2)</f>
        <v>0F</v>
      </c>
      <c r="AM137" s="58" t="str">
        <f t="shared" ref="AM137:AM199" si="25">BIN2HEX(T137&amp;U137&amp;V137&amp;W137&amp;X137&amp;Y137&amp;Z137&amp;AA137,2)</f>
        <v>00</v>
      </c>
      <c r="AN137" s="58" t="str">
        <f t="shared" ref="AN137:AN199" si="26">BIN2HEX(L137&amp;M137&amp;N137&amp;O137&amp;P137&amp;Q137&amp;R137&amp;S137,2)</f>
        <v>00</v>
      </c>
      <c r="AO137" s="58" t="str">
        <f t="shared" ref="AO137:AO199" si="27">BIN2HEX(D137&amp;E137&amp;F137&amp;G137&amp;H137&amp;I137&amp;J137&amp;K137,2)</f>
        <v>00</v>
      </c>
      <c r="AQ137" s="185" t="str">
        <f t="shared" si="22"/>
        <v xml:space="preserve">    (U4)0x0000000FU,                                                           /* 01 CYCL1                                           */</v>
      </c>
    </row>
    <row r="138" spans="1:43">
      <c r="B138" s="128"/>
      <c r="C138" s="43">
        <f t="shared" si="23"/>
        <v>2</v>
      </c>
      <c r="D138" s="120">
        <f t="shared" si="20"/>
        <v>0</v>
      </c>
      <c r="E138" s="120">
        <f t="shared" si="20"/>
        <v>0</v>
      </c>
      <c r="F138" s="120">
        <f t="shared" si="20"/>
        <v>0</v>
      </c>
      <c r="G138" s="120">
        <f t="shared" si="20"/>
        <v>0</v>
      </c>
      <c r="H138" s="120">
        <f t="shared" si="20"/>
        <v>0</v>
      </c>
      <c r="I138" s="120">
        <f t="shared" si="20"/>
        <v>0</v>
      </c>
      <c r="J138" s="120">
        <f t="shared" si="20"/>
        <v>0</v>
      </c>
      <c r="K138" s="120">
        <f t="shared" si="20"/>
        <v>0</v>
      </c>
      <c r="L138" s="120">
        <f t="shared" si="20"/>
        <v>0</v>
      </c>
      <c r="M138" s="120">
        <f t="shared" si="20"/>
        <v>0</v>
      </c>
      <c r="N138" s="120">
        <f t="shared" si="20"/>
        <v>0</v>
      </c>
      <c r="O138" s="120">
        <f t="shared" si="20"/>
        <v>0</v>
      </c>
      <c r="P138" s="120">
        <f t="shared" si="20"/>
        <v>0</v>
      </c>
      <c r="Q138" s="120">
        <f t="shared" si="20"/>
        <v>0</v>
      </c>
      <c r="R138" s="120">
        <f t="shared" si="20"/>
        <v>0</v>
      </c>
      <c r="S138" s="120">
        <f t="shared" si="20"/>
        <v>0</v>
      </c>
      <c r="T138" s="120">
        <f t="shared" si="20"/>
        <v>0</v>
      </c>
      <c r="U138" s="120">
        <f t="shared" si="20"/>
        <v>0</v>
      </c>
      <c r="V138" s="120">
        <f t="shared" si="20"/>
        <v>0</v>
      </c>
      <c r="W138" s="120">
        <f t="shared" si="20"/>
        <v>0</v>
      </c>
      <c r="X138" s="120">
        <f t="shared" si="20"/>
        <v>0</v>
      </c>
      <c r="Y138" s="120">
        <f t="shared" si="20"/>
        <v>0</v>
      </c>
      <c r="Z138" s="120">
        <f t="shared" si="20"/>
        <v>0</v>
      </c>
      <c r="AA138" s="120">
        <f t="shared" si="20"/>
        <v>0</v>
      </c>
      <c r="AB138" s="120">
        <f t="shared" si="20"/>
        <v>0</v>
      </c>
      <c r="AC138" s="120">
        <f t="shared" si="20"/>
        <v>0</v>
      </c>
      <c r="AD138" s="120">
        <f t="shared" si="20"/>
        <v>0</v>
      </c>
      <c r="AE138" s="120">
        <f t="shared" si="20"/>
        <v>0</v>
      </c>
      <c r="AF138" s="120">
        <f t="shared" si="20"/>
        <v>1</v>
      </c>
      <c r="AG138" s="120">
        <f t="shared" si="20"/>
        <v>1</v>
      </c>
      <c r="AH138" s="120">
        <f t="shared" si="20"/>
        <v>1</v>
      </c>
      <c r="AI138" s="120">
        <f t="shared" si="20"/>
        <v>1</v>
      </c>
      <c r="AJ138" s="43" t="str">
        <f t="shared" si="21"/>
        <v>CYCL2</v>
      </c>
      <c r="AK138" s="56"/>
      <c r="AL138" s="56" t="str">
        <f t="shared" si="24"/>
        <v>0F</v>
      </c>
      <c r="AM138" s="58" t="str">
        <f t="shared" si="25"/>
        <v>00</v>
      </c>
      <c r="AN138" s="58" t="str">
        <f t="shared" si="26"/>
        <v>00</v>
      </c>
      <c r="AO138" s="58" t="str">
        <f t="shared" si="27"/>
        <v>00</v>
      </c>
      <c r="AQ138" s="185" t="str">
        <f t="shared" si="22"/>
        <v xml:space="preserve">    (U4)0x0000000FU,                                                           /* 02 CYCL2                                           */</v>
      </c>
    </row>
    <row r="139" spans="1:43">
      <c r="B139" s="128"/>
      <c r="C139" s="43">
        <f t="shared" si="23"/>
        <v>3</v>
      </c>
      <c r="D139" s="120">
        <f t="shared" si="20"/>
        <v>0</v>
      </c>
      <c r="E139" s="120">
        <f t="shared" si="20"/>
        <v>0</v>
      </c>
      <c r="F139" s="120">
        <f t="shared" si="20"/>
        <v>0</v>
      </c>
      <c r="G139" s="120">
        <f t="shared" si="20"/>
        <v>0</v>
      </c>
      <c r="H139" s="120">
        <f t="shared" si="20"/>
        <v>0</v>
      </c>
      <c r="I139" s="120">
        <f t="shared" si="20"/>
        <v>0</v>
      </c>
      <c r="J139" s="120">
        <f t="shared" si="20"/>
        <v>0</v>
      </c>
      <c r="K139" s="120">
        <f t="shared" si="20"/>
        <v>0</v>
      </c>
      <c r="L139" s="120">
        <f t="shared" si="20"/>
        <v>0</v>
      </c>
      <c r="M139" s="120">
        <f t="shared" si="20"/>
        <v>0</v>
      </c>
      <c r="N139" s="120">
        <f t="shared" si="20"/>
        <v>0</v>
      </c>
      <c r="O139" s="120">
        <f t="shared" si="20"/>
        <v>0</v>
      </c>
      <c r="P139" s="120">
        <f t="shared" si="20"/>
        <v>0</v>
      </c>
      <c r="Q139" s="120">
        <f t="shared" si="20"/>
        <v>0</v>
      </c>
      <c r="R139" s="120">
        <f t="shared" si="20"/>
        <v>0</v>
      </c>
      <c r="S139" s="120">
        <f t="shared" si="20"/>
        <v>0</v>
      </c>
      <c r="T139" s="120">
        <f t="shared" si="20"/>
        <v>0</v>
      </c>
      <c r="U139" s="120">
        <f t="shared" si="20"/>
        <v>0</v>
      </c>
      <c r="V139" s="120">
        <f t="shared" si="20"/>
        <v>0</v>
      </c>
      <c r="W139" s="120">
        <f t="shared" si="20"/>
        <v>0</v>
      </c>
      <c r="X139" s="120">
        <f t="shared" si="20"/>
        <v>0</v>
      </c>
      <c r="Y139" s="120">
        <f t="shared" si="20"/>
        <v>0</v>
      </c>
      <c r="Z139" s="120">
        <f t="shared" si="20"/>
        <v>0</v>
      </c>
      <c r="AA139" s="120">
        <f t="shared" si="20"/>
        <v>0</v>
      </c>
      <c r="AB139" s="120">
        <f t="shared" si="20"/>
        <v>0</v>
      </c>
      <c r="AC139" s="120">
        <f t="shared" si="20"/>
        <v>0</v>
      </c>
      <c r="AD139" s="120">
        <f t="shared" si="20"/>
        <v>0</v>
      </c>
      <c r="AE139" s="120">
        <f t="shared" si="20"/>
        <v>0</v>
      </c>
      <c r="AF139" s="120">
        <f t="shared" si="20"/>
        <v>1</v>
      </c>
      <c r="AG139" s="120">
        <f t="shared" si="20"/>
        <v>1</v>
      </c>
      <c r="AH139" s="120">
        <f t="shared" si="20"/>
        <v>1</v>
      </c>
      <c r="AI139" s="120">
        <f t="shared" si="20"/>
        <v>1</v>
      </c>
      <c r="AJ139" s="43" t="str">
        <f t="shared" si="21"/>
        <v>SINGLE</v>
      </c>
      <c r="AK139" s="56"/>
      <c r="AL139" s="56" t="str">
        <f t="shared" si="24"/>
        <v>0F</v>
      </c>
      <c r="AM139" s="58" t="str">
        <f t="shared" si="25"/>
        <v>00</v>
      </c>
      <c r="AN139" s="58" t="str">
        <f t="shared" si="26"/>
        <v>00</v>
      </c>
      <c r="AO139" s="58" t="str">
        <f t="shared" si="27"/>
        <v>00</v>
      </c>
      <c r="AQ139" s="185" t="str">
        <f t="shared" si="22"/>
        <v xml:space="preserve">    (U4)0x0000000FU,                                                           /* 03 SINGLE                                          */</v>
      </c>
    </row>
    <row r="140" spans="1:43">
      <c r="B140" s="128"/>
      <c r="C140" s="43">
        <f t="shared" si="23"/>
        <v>4</v>
      </c>
      <c r="D140" s="120">
        <f t="shared" si="20"/>
        <v>0</v>
      </c>
      <c r="E140" s="120">
        <f t="shared" si="20"/>
        <v>0</v>
      </c>
      <c r="F140" s="120">
        <f t="shared" si="20"/>
        <v>0</v>
      </c>
      <c r="G140" s="120">
        <f t="shared" si="20"/>
        <v>0</v>
      </c>
      <c r="H140" s="120">
        <f t="shared" si="20"/>
        <v>0</v>
      </c>
      <c r="I140" s="120">
        <f t="shared" si="20"/>
        <v>0</v>
      </c>
      <c r="J140" s="120">
        <f t="shared" si="20"/>
        <v>0</v>
      </c>
      <c r="K140" s="120">
        <f t="shared" si="20"/>
        <v>0</v>
      </c>
      <c r="L140" s="120">
        <f t="shared" si="20"/>
        <v>0</v>
      </c>
      <c r="M140" s="120">
        <f t="shared" si="20"/>
        <v>0</v>
      </c>
      <c r="N140" s="120">
        <f t="shared" si="20"/>
        <v>0</v>
      </c>
      <c r="O140" s="120">
        <f t="shared" si="20"/>
        <v>0</v>
      </c>
      <c r="P140" s="120">
        <f t="shared" si="20"/>
        <v>0</v>
      </c>
      <c r="Q140" s="120">
        <f t="shared" si="20"/>
        <v>0</v>
      </c>
      <c r="R140" s="120">
        <f t="shared" si="20"/>
        <v>0</v>
      </c>
      <c r="S140" s="120">
        <f t="shared" si="20"/>
        <v>0</v>
      </c>
      <c r="T140" s="120">
        <f t="shared" si="20"/>
        <v>0</v>
      </c>
      <c r="U140" s="120">
        <f t="shared" si="20"/>
        <v>0</v>
      </c>
      <c r="V140" s="120">
        <f t="shared" si="20"/>
        <v>0</v>
      </c>
      <c r="W140" s="120">
        <f t="shared" si="20"/>
        <v>0</v>
      </c>
      <c r="X140" s="120">
        <f t="shared" si="20"/>
        <v>0</v>
      </c>
      <c r="Y140" s="120">
        <f t="shared" si="20"/>
        <v>0</v>
      </c>
      <c r="Z140" s="120">
        <f t="shared" si="20"/>
        <v>0</v>
      </c>
      <c r="AA140" s="120">
        <f t="shared" si="20"/>
        <v>0</v>
      </c>
      <c r="AB140" s="120">
        <f t="shared" si="20"/>
        <v>0</v>
      </c>
      <c r="AC140" s="120">
        <f t="shared" si="20"/>
        <v>0</v>
      </c>
      <c r="AD140" s="120">
        <f t="shared" si="20"/>
        <v>0</v>
      </c>
      <c r="AE140" s="120">
        <f t="shared" si="20"/>
        <v>0</v>
      </c>
      <c r="AF140" s="120">
        <f t="shared" si="20"/>
        <v>1</v>
      </c>
      <c r="AG140" s="120">
        <f t="shared" si="20"/>
        <v>1</v>
      </c>
      <c r="AH140" s="120">
        <f t="shared" si="20"/>
        <v>1</v>
      </c>
      <c r="AI140" s="120">
        <f t="shared" si="20"/>
        <v>1</v>
      </c>
      <c r="AJ140" s="43" t="str">
        <f t="shared" si="21"/>
        <v>UNKNOWN</v>
      </c>
      <c r="AK140" s="56"/>
      <c r="AL140" s="56" t="str">
        <f t="shared" si="24"/>
        <v>0F</v>
      </c>
      <c r="AM140" s="58" t="str">
        <f t="shared" si="25"/>
        <v>00</v>
      </c>
      <c r="AN140" s="58" t="str">
        <f t="shared" si="26"/>
        <v>00</v>
      </c>
      <c r="AO140" s="58" t="str">
        <f t="shared" si="27"/>
        <v>00</v>
      </c>
      <c r="AQ140" s="185" t="str">
        <f t="shared" si="22"/>
        <v xml:space="preserve">    (U4)0x0000000FU,                                                           /* 04 UNKNOWN                                         */</v>
      </c>
    </row>
    <row r="141" spans="1:43">
      <c r="B141" s="128"/>
      <c r="C141" s="43">
        <f t="shared" si="23"/>
        <v>5</v>
      </c>
      <c r="D141" s="120">
        <f t="shared" si="20"/>
        <v>0</v>
      </c>
      <c r="E141" s="120">
        <f t="shared" si="20"/>
        <v>0</v>
      </c>
      <c r="F141" s="120">
        <f t="shared" si="20"/>
        <v>0</v>
      </c>
      <c r="G141" s="120">
        <f t="shared" si="20"/>
        <v>0</v>
      </c>
      <c r="H141" s="120">
        <f t="shared" si="20"/>
        <v>0</v>
      </c>
      <c r="I141" s="120">
        <f t="shared" si="20"/>
        <v>0</v>
      </c>
      <c r="J141" s="120">
        <f t="shared" si="20"/>
        <v>0</v>
      </c>
      <c r="K141" s="120">
        <f t="shared" si="20"/>
        <v>0</v>
      </c>
      <c r="L141" s="120">
        <f t="shared" si="20"/>
        <v>0</v>
      </c>
      <c r="M141" s="120">
        <f t="shared" si="20"/>
        <v>0</v>
      </c>
      <c r="N141" s="120">
        <f t="shared" si="20"/>
        <v>0</v>
      </c>
      <c r="O141" s="120">
        <f t="shared" si="20"/>
        <v>0</v>
      </c>
      <c r="P141" s="120">
        <f t="shared" si="20"/>
        <v>0</v>
      </c>
      <c r="Q141" s="120">
        <f t="shared" si="20"/>
        <v>0</v>
      </c>
      <c r="R141" s="120">
        <f t="shared" si="20"/>
        <v>0</v>
      </c>
      <c r="S141" s="120">
        <f t="shared" si="20"/>
        <v>0</v>
      </c>
      <c r="T141" s="120">
        <f t="shared" si="20"/>
        <v>0</v>
      </c>
      <c r="U141" s="120">
        <f t="shared" si="20"/>
        <v>0</v>
      </c>
      <c r="V141" s="120">
        <f t="shared" si="20"/>
        <v>0</v>
      </c>
      <c r="W141" s="120">
        <f t="shared" si="20"/>
        <v>0</v>
      </c>
      <c r="X141" s="120">
        <f t="shared" si="20"/>
        <v>0</v>
      </c>
      <c r="Y141" s="120">
        <f t="shared" si="20"/>
        <v>0</v>
      </c>
      <c r="Z141" s="120">
        <f t="shared" si="20"/>
        <v>0</v>
      </c>
      <c r="AA141" s="120">
        <f t="shared" si="20"/>
        <v>0</v>
      </c>
      <c r="AB141" s="120">
        <f t="shared" si="20"/>
        <v>0</v>
      </c>
      <c r="AC141" s="120">
        <f t="shared" si="20"/>
        <v>0</v>
      </c>
      <c r="AD141" s="120">
        <f t="shared" si="20"/>
        <v>0</v>
      </c>
      <c r="AE141" s="120">
        <f t="shared" si="20"/>
        <v>0</v>
      </c>
      <c r="AF141" s="120">
        <f t="shared" si="20"/>
        <v>1</v>
      </c>
      <c r="AG141" s="120">
        <f t="shared" si="20"/>
        <v>1</v>
      </c>
      <c r="AH141" s="120">
        <f t="shared" si="20"/>
        <v>1</v>
      </c>
      <c r="AI141" s="120">
        <f t="shared" si="20"/>
        <v>1</v>
      </c>
      <c r="AJ141" s="43" t="str">
        <f t="shared" si="21"/>
        <v>UNKNOWN</v>
      </c>
      <c r="AK141" s="56"/>
      <c r="AL141" s="56" t="str">
        <f t="shared" si="24"/>
        <v>0F</v>
      </c>
      <c r="AM141" s="58" t="str">
        <f t="shared" si="25"/>
        <v>00</v>
      </c>
      <c r="AN141" s="58" t="str">
        <f t="shared" si="26"/>
        <v>00</v>
      </c>
      <c r="AO141" s="58" t="str">
        <f t="shared" si="27"/>
        <v>00</v>
      </c>
      <c r="AQ141" s="185" t="str">
        <f t="shared" si="22"/>
        <v xml:space="preserve">    (U4)0x0000000FU,                                                           /* 05 UNKNOWN                                         */</v>
      </c>
    </row>
    <row r="142" spans="1:43">
      <c r="B142" s="128"/>
      <c r="C142" s="43">
        <f t="shared" si="23"/>
        <v>6</v>
      </c>
      <c r="D142" s="120">
        <f t="shared" si="20"/>
        <v>0</v>
      </c>
      <c r="E142" s="120">
        <f t="shared" si="20"/>
        <v>0</v>
      </c>
      <c r="F142" s="120">
        <f t="shared" si="20"/>
        <v>0</v>
      </c>
      <c r="G142" s="120">
        <f t="shared" si="20"/>
        <v>0</v>
      </c>
      <c r="H142" s="120">
        <f t="shared" si="20"/>
        <v>0</v>
      </c>
      <c r="I142" s="120">
        <f t="shared" si="20"/>
        <v>0</v>
      </c>
      <c r="J142" s="120">
        <f t="shared" si="20"/>
        <v>0</v>
      </c>
      <c r="K142" s="120">
        <f t="shared" si="20"/>
        <v>0</v>
      </c>
      <c r="L142" s="120">
        <f t="shared" si="20"/>
        <v>0</v>
      </c>
      <c r="M142" s="120">
        <f t="shared" si="20"/>
        <v>0</v>
      </c>
      <c r="N142" s="120">
        <f t="shared" si="20"/>
        <v>0</v>
      </c>
      <c r="O142" s="120">
        <f t="shared" si="20"/>
        <v>0</v>
      </c>
      <c r="P142" s="120">
        <f t="shared" si="20"/>
        <v>0</v>
      </c>
      <c r="Q142" s="120">
        <f t="shared" si="20"/>
        <v>0</v>
      </c>
      <c r="R142" s="120">
        <f t="shared" si="20"/>
        <v>0</v>
      </c>
      <c r="S142" s="120">
        <f t="shared" si="20"/>
        <v>0</v>
      </c>
      <c r="T142" s="120">
        <f t="shared" si="20"/>
        <v>0</v>
      </c>
      <c r="U142" s="120">
        <f t="shared" si="20"/>
        <v>0</v>
      </c>
      <c r="V142" s="120">
        <f t="shared" si="20"/>
        <v>0</v>
      </c>
      <c r="W142" s="120">
        <f t="shared" si="20"/>
        <v>0</v>
      </c>
      <c r="X142" s="120">
        <f t="shared" si="20"/>
        <v>0</v>
      </c>
      <c r="Y142" s="120">
        <f t="shared" si="20"/>
        <v>0</v>
      </c>
      <c r="Z142" s="120">
        <f t="shared" si="20"/>
        <v>0</v>
      </c>
      <c r="AA142" s="120">
        <f t="shared" si="20"/>
        <v>0</v>
      </c>
      <c r="AB142" s="120">
        <f t="shared" si="20"/>
        <v>0</v>
      </c>
      <c r="AC142" s="120">
        <f t="shared" si="20"/>
        <v>0</v>
      </c>
      <c r="AD142" s="120">
        <f t="shared" si="20"/>
        <v>0</v>
      </c>
      <c r="AE142" s="120">
        <f t="shared" si="20"/>
        <v>0</v>
      </c>
      <c r="AF142" s="120">
        <f t="shared" si="20"/>
        <v>1</v>
      </c>
      <c r="AG142" s="120">
        <f t="shared" si="20"/>
        <v>1</v>
      </c>
      <c r="AH142" s="120">
        <f t="shared" si="20"/>
        <v>1</v>
      </c>
      <c r="AI142" s="120">
        <f t="shared" si="20"/>
        <v>1</v>
      </c>
      <c r="AJ142" s="43" t="str">
        <f t="shared" si="21"/>
        <v>UNKNOWN</v>
      </c>
      <c r="AK142" s="56"/>
      <c r="AL142" s="56" t="str">
        <f t="shared" si="24"/>
        <v>0F</v>
      </c>
      <c r="AM142" s="58" t="str">
        <f t="shared" si="25"/>
        <v>00</v>
      </c>
      <c r="AN142" s="58" t="str">
        <f t="shared" si="26"/>
        <v>00</v>
      </c>
      <c r="AO142" s="58" t="str">
        <f t="shared" si="27"/>
        <v>00</v>
      </c>
      <c r="AQ142" s="185" t="str">
        <f t="shared" si="22"/>
        <v xml:space="preserve">    (U4)0x0000000FU,                                                           /* 06 UNKNOWN                                         */</v>
      </c>
    </row>
    <row r="143" spans="1:43">
      <c r="B143" s="128"/>
      <c r="C143" s="43">
        <f t="shared" si="23"/>
        <v>7</v>
      </c>
      <c r="D143" s="120">
        <f t="shared" si="20"/>
        <v>0</v>
      </c>
      <c r="E143" s="120">
        <f t="shared" si="20"/>
        <v>0</v>
      </c>
      <c r="F143" s="120">
        <f t="shared" si="20"/>
        <v>0</v>
      </c>
      <c r="G143" s="120">
        <f t="shared" si="20"/>
        <v>0</v>
      </c>
      <c r="H143" s="120">
        <f t="shared" si="20"/>
        <v>0</v>
      </c>
      <c r="I143" s="120">
        <f t="shared" si="20"/>
        <v>0</v>
      </c>
      <c r="J143" s="120">
        <f t="shared" si="20"/>
        <v>0</v>
      </c>
      <c r="K143" s="120">
        <f t="shared" si="20"/>
        <v>0</v>
      </c>
      <c r="L143" s="120">
        <f t="shared" si="20"/>
        <v>0</v>
      </c>
      <c r="M143" s="120">
        <f t="shared" si="20"/>
        <v>0</v>
      </c>
      <c r="N143" s="120">
        <f t="shared" si="20"/>
        <v>0</v>
      </c>
      <c r="O143" s="120">
        <f t="shared" si="20"/>
        <v>0</v>
      </c>
      <c r="P143" s="120">
        <f t="shared" si="20"/>
        <v>0</v>
      </c>
      <c r="Q143" s="120">
        <f t="shared" si="20"/>
        <v>0</v>
      </c>
      <c r="R143" s="120">
        <f t="shared" si="20"/>
        <v>0</v>
      </c>
      <c r="S143" s="120">
        <f t="shared" si="20"/>
        <v>0</v>
      </c>
      <c r="T143" s="120">
        <f t="shared" si="20"/>
        <v>0</v>
      </c>
      <c r="U143" s="120">
        <f t="shared" si="20"/>
        <v>0</v>
      </c>
      <c r="V143" s="120">
        <f t="shared" si="20"/>
        <v>0</v>
      </c>
      <c r="W143" s="120">
        <f t="shared" si="20"/>
        <v>0</v>
      </c>
      <c r="X143" s="120">
        <f t="shared" si="20"/>
        <v>0</v>
      </c>
      <c r="Y143" s="120">
        <f t="shared" si="20"/>
        <v>0</v>
      </c>
      <c r="Z143" s="120">
        <f t="shared" si="20"/>
        <v>0</v>
      </c>
      <c r="AA143" s="120">
        <f t="shared" si="20"/>
        <v>0</v>
      </c>
      <c r="AB143" s="120">
        <f t="shared" si="20"/>
        <v>0</v>
      </c>
      <c r="AC143" s="120">
        <f t="shared" si="20"/>
        <v>0</v>
      </c>
      <c r="AD143" s="120">
        <f t="shared" si="20"/>
        <v>0</v>
      </c>
      <c r="AE143" s="120">
        <f t="shared" si="20"/>
        <v>0</v>
      </c>
      <c r="AF143" s="120">
        <f t="shared" si="20"/>
        <v>1</v>
      </c>
      <c r="AG143" s="120">
        <f t="shared" si="20"/>
        <v>1</v>
      </c>
      <c r="AH143" s="120">
        <f t="shared" si="20"/>
        <v>1</v>
      </c>
      <c r="AI143" s="120">
        <f>IF(OR(AI13=0,AI13=1),1,0)</f>
        <v>1</v>
      </c>
      <c r="AJ143" s="43" t="str">
        <f t="shared" si="21"/>
        <v>UNKNOWN</v>
      </c>
      <c r="AK143" s="56"/>
      <c r="AL143" s="56" t="str">
        <f t="shared" si="24"/>
        <v>0F</v>
      </c>
      <c r="AM143" s="58" t="str">
        <f t="shared" si="25"/>
        <v>00</v>
      </c>
      <c r="AN143" s="58" t="str">
        <f t="shared" si="26"/>
        <v>00</v>
      </c>
      <c r="AO143" s="58" t="str">
        <f t="shared" si="27"/>
        <v>00</v>
      </c>
      <c r="AQ143" s="185" t="str">
        <f t="shared" si="22"/>
        <v xml:space="preserve">    (U4)0x0000000FU,                                                           /* 07 UNKNOWN                                         */</v>
      </c>
    </row>
    <row r="144" spans="1:43">
      <c r="B144" s="128"/>
      <c r="C144" s="43">
        <f t="shared" si="23"/>
        <v>8</v>
      </c>
      <c r="D144" s="120">
        <f t="shared" ref="D144:AI151" si="28">IF(OR(D14=0,D14=1),1,0)</f>
        <v>0</v>
      </c>
      <c r="E144" s="120">
        <f t="shared" si="28"/>
        <v>0</v>
      </c>
      <c r="F144" s="120">
        <f t="shared" si="28"/>
        <v>0</v>
      </c>
      <c r="G144" s="120">
        <f t="shared" si="28"/>
        <v>0</v>
      </c>
      <c r="H144" s="120">
        <f t="shared" si="28"/>
        <v>0</v>
      </c>
      <c r="I144" s="120">
        <f t="shared" si="28"/>
        <v>0</v>
      </c>
      <c r="J144" s="120">
        <f t="shared" si="28"/>
        <v>0</v>
      </c>
      <c r="K144" s="120">
        <f t="shared" si="28"/>
        <v>0</v>
      </c>
      <c r="L144" s="120">
        <f t="shared" si="28"/>
        <v>0</v>
      </c>
      <c r="M144" s="120">
        <f t="shared" si="28"/>
        <v>0</v>
      </c>
      <c r="N144" s="120">
        <f t="shared" si="28"/>
        <v>0</v>
      </c>
      <c r="O144" s="120">
        <f t="shared" si="28"/>
        <v>0</v>
      </c>
      <c r="P144" s="120">
        <f t="shared" si="28"/>
        <v>0</v>
      </c>
      <c r="Q144" s="120">
        <f t="shared" si="28"/>
        <v>0</v>
      </c>
      <c r="R144" s="120">
        <f t="shared" si="28"/>
        <v>0</v>
      </c>
      <c r="S144" s="120">
        <f t="shared" si="28"/>
        <v>0</v>
      </c>
      <c r="T144" s="120">
        <f t="shared" si="28"/>
        <v>0</v>
      </c>
      <c r="U144" s="120">
        <f t="shared" si="28"/>
        <v>0</v>
      </c>
      <c r="V144" s="120">
        <f t="shared" si="28"/>
        <v>0</v>
      </c>
      <c r="W144" s="120">
        <f t="shared" si="28"/>
        <v>0</v>
      </c>
      <c r="X144" s="120">
        <f t="shared" si="28"/>
        <v>0</v>
      </c>
      <c r="Y144" s="120">
        <f t="shared" si="28"/>
        <v>0</v>
      </c>
      <c r="Z144" s="120">
        <f t="shared" si="28"/>
        <v>0</v>
      </c>
      <c r="AA144" s="120">
        <f t="shared" si="28"/>
        <v>0</v>
      </c>
      <c r="AB144" s="120">
        <f t="shared" si="28"/>
        <v>0</v>
      </c>
      <c r="AC144" s="120">
        <f t="shared" si="28"/>
        <v>0</v>
      </c>
      <c r="AD144" s="120">
        <f t="shared" si="28"/>
        <v>0</v>
      </c>
      <c r="AE144" s="120">
        <f t="shared" si="28"/>
        <v>0</v>
      </c>
      <c r="AF144" s="120">
        <f t="shared" si="28"/>
        <v>1</v>
      </c>
      <c r="AG144" s="120">
        <f t="shared" si="28"/>
        <v>1</v>
      </c>
      <c r="AH144" s="120">
        <f t="shared" si="28"/>
        <v>1</v>
      </c>
      <c r="AI144" s="120">
        <f t="shared" si="28"/>
        <v>1</v>
      </c>
      <c r="AJ144" s="43" t="str">
        <f t="shared" si="21"/>
        <v>UNKNOWN</v>
      </c>
      <c r="AK144" s="56"/>
      <c r="AL144" s="56" t="str">
        <f t="shared" si="24"/>
        <v>0F</v>
      </c>
      <c r="AM144" s="58" t="str">
        <f t="shared" si="25"/>
        <v>00</v>
      </c>
      <c r="AN144" s="58" t="str">
        <f t="shared" si="26"/>
        <v>00</v>
      </c>
      <c r="AO144" s="58" t="str">
        <f t="shared" si="27"/>
        <v>00</v>
      </c>
      <c r="AQ144" s="185" t="str">
        <f t="shared" si="22"/>
        <v xml:space="preserve">    (U4)0x0000000FU,                                                           /* 08 UNKNOWN                                         */</v>
      </c>
    </row>
    <row r="145" spans="2:43">
      <c r="B145" s="128"/>
      <c r="C145" s="43">
        <f t="shared" si="23"/>
        <v>9</v>
      </c>
      <c r="D145" s="120">
        <f t="shared" si="28"/>
        <v>0</v>
      </c>
      <c r="E145" s="120">
        <f t="shared" si="28"/>
        <v>0</v>
      </c>
      <c r="F145" s="120">
        <f t="shared" si="28"/>
        <v>0</v>
      </c>
      <c r="G145" s="120">
        <f t="shared" si="28"/>
        <v>0</v>
      </c>
      <c r="H145" s="120">
        <f t="shared" si="28"/>
        <v>0</v>
      </c>
      <c r="I145" s="120">
        <f t="shared" si="28"/>
        <v>0</v>
      </c>
      <c r="J145" s="120">
        <f t="shared" si="28"/>
        <v>0</v>
      </c>
      <c r="K145" s="120">
        <f t="shared" si="28"/>
        <v>0</v>
      </c>
      <c r="L145" s="120">
        <f t="shared" si="28"/>
        <v>0</v>
      </c>
      <c r="M145" s="120">
        <f t="shared" si="28"/>
        <v>0</v>
      </c>
      <c r="N145" s="120">
        <f t="shared" si="28"/>
        <v>0</v>
      </c>
      <c r="O145" s="120">
        <f t="shared" si="28"/>
        <v>0</v>
      </c>
      <c r="P145" s="120">
        <f t="shared" si="28"/>
        <v>0</v>
      </c>
      <c r="Q145" s="120">
        <f t="shared" si="28"/>
        <v>0</v>
      </c>
      <c r="R145" s="120">
        <f t="shared" si="28"/>
        <v>0</v>
      </c>
      <c r="S145" s="120">
        <f t="shared" si="28"/>
        <v>0</v>
      </c>
      <c r="T145" s="120">
        <f t="shared" si="28"/>
        <v>0</v>
      </c>
      <c r="U145" s="120">
        <f t="shared" si="28"/>
        <v>0</v>
      </c>
      <c r="V145" s="120">
        <f t="shared" si="28"/>
        <v>0</v>
      </c>
      <c r="W145" s="120">
        <f t="shared" si="28"/>
        <v>0</v>
      </c>
      <c r="X145" s="120">
        <f t="shared" si="28"/>
        <v>0</v>
      </c>
      <c r="Y145" s="120">
        <f t="shared" si="28"/>
        <v>0</v>
      </c>
      <c r="Z145" s="120">
        <f t="shared" si="28"/>
        <v>0</v>
      </c>
      <c r="AA145" s="120">
        <f t="shared" si="28"/>
        <v>0</v>
      </c>
      <c r="AB145" s="120">
        <f t="shared" si="28"/>
        <v>0</v>
      </c>
      <c r="AC145" s="120">
        <f t="shared" si="28"/>
        <v>0</v>
      </c>
      <c r="AD145" s="120">
        <f t="shared" si="28"/>
        <v>0</v>
      </c>
      <c r="AE145" s="120">
        <f t="shared" si="28"/>
        <v>0</v>
      </c>
      <c r="AF145" s="120">
        <f t="shared" si="28"/>
        <v>1</v>
      </c>
      <c r="AG145" s="120">
        <f t="shared" si="28"/>
        <v>1</v>
      </c>
      <c r="AH145" s="120">
        <f t="shared" si="28"/>
        <v>1</v>
      </c>
      <c r="AI145" s="120">
        <f t="shared" si="28"/>
        <v>1</v>
      </c>
      <c r="AJ145" s="43" t="str">
        <f t="shared" si="21"/>
        <v>UNKNOWN</v>
      </c>
      <c r="AK145" s="56"/>
      <c r="AL145" s="56" t="str">
        <f t="shared" si="24"/>
        <v>0F</v>
      </c>
      <c r="AM145" s="58" t="str">
        <f t="shared" si="25"/>
        <v>00</v>
      </c>
      <c r="AN145" s="58" t="str">
        <f t="shared" si="26"/>
        <v>00</v>
      </c>
      <c r="AO145" s="58" t="str">
        <f t="shared" si="27"/>
        <v>00</v>
      </c>
      <c r="AQ145" s="185" t="str">
        <f t="shared" si="22"/>
        <v xml:space="preserve">    (U4)0x0000000FU,                                                           /* 09 UNKNOWN                                         */</v>
      </c>
    </row>
    <row r="146" spans="2:43">
      <c r="B146" s="128"/>
      <c r="C146" s="43">
        <f t="shared" si="23"/>
        <v>10</v>
      </c>
      <c r="D146" s="120">
        <f t="shared" si="28"/>
        <v>0</v>
      </c>
      <c r="E146" s="120">
        <f t="shared" si="28"/>
        <v>0</v>
      </c>
      <c r="F146" s="120">
        <f t="shared" si="28"/>
        <v>0</v>
      </c>
      <c r="G146" s="120">
        <f t="shared" si="28"/>
        <v>0</v>
      </c>
      <c r="H146" s="120">
        <f t="shared" si="28"/>
        <v>0</v>
      </c>
      <c r="I146" s="120">
        <f t="shared" si="28"/>
        <v>0</v>
      </c>
      <c r="J146" s="120">
        <f t="shared" si="28"/>
        <v>0</v>
      </c>
      <c r="K146" s="120">
        <f t="shared" si="28"/>
        <v>0</v>
      </c>
      <c r="L146" s="120">
        <f t="shared" si="28"/>
        <v>0</v>
      </c>
      <c r="M146" s="120">
        <f t="shared" si="28"/>
        <v>0</v>
      </c>
      <c r="N146" s="120">
        <f t="shared" si="28"/>
        <v>0</v>
      </c>
      <c r="O146" s="120">
        <f t="shared" si="28"/>
        <v>0</v>
      </c>
      <c r="P146" s="120">
        <f t="shared" si="28"/>
        <v>0</v>
      </c>
      <c r="Q146" s="120">
        <f t="shared" si="28"/>
        <v>0</v>
      </c>
      <c r="R146" s="120">
        <f t="shared" si="28"/>
        <v>0</v>
      </c>
      <c r="S146" s="120">
        <f t="shared" si="28"/>
        <v>0</v>
      </c>
      <c r="T146" s="120">
        <f t="shared" si="28"/>
        <v>0</v>
      </c>
      <c r="U146" s="120">
        <f t="shared" si="28"/>
        <v>0</v>
      </c>
      <c r="V146" s="120">
        <f t="shared" si="28"/>
        <v>0</v>
      </c>
      <c r="W146" s="120">
        <f t="shared" si="28"/>
        <v>0</v>
      </c>
      <c r="X146" s="120">
        <f t="shared" si="28"/>
        <v>0</v>
      </c>
      <c r="Y146" s="120">
        <f t="shared" si="28"/>
        <v>0</v>
      </c>
      <c r="Z146" s="120">
        <f t="shared" si="28"/>
        <v>0</v>
      </c>
      <c r="AA146" s="120">
        <f t="shared" si="28"/>
        <v>0</v>
      </c>
      <c r="AB146" s="120">
        <f t="shared" si="28"/>
        <v>0</v>
      </c>
      <c r="AC146" s="120">
        <f t="shared" si="28"/>
        <v>0</v>
      </c>
      <c r="AD146" s="120">
        <f t="shared" si="28"/>
        <v>0</v>
      </c>
      <c r="AE146" s="120">
        <f t="shared" si="28"/>
        <v>0</v>
      </c>
      <c r="AF146" s="120">
        <f t="shared" si="28"/>
        <v>1</v>
      </c>
      <c r="AG146" s="120">
        <f t="shared" si="28"/>
        <v>1</v>
      </c>
      <c r="AH146" s="120">
        <f t="shared" si="28"/>
        <v>1</v>
      </c>
      <c r="AI146" s="120">
        <f t="shared" si="28"/>
        <v>1</v>
      </c>
      <c r="AJ146" s="43" t="str">
        <f t="shared" si="21"/>
        <v>UNKNOWN</v>
      </c>
      <c r="AK146" s="56"/>
      <c r="AL146" s="56" t="str">
        <f t="shared" si="24"/>
        <v>0F</v>
      </c>
      <c r="AM146" s="58" t="str">
        <f t="shared" si="25"/>
        <v>00</v>
      </c>
      <c r="AN146" s="58" t="str">
        <f t="shared" si="26"/>
        <v>00</v>
      </c>
      <c r="AO146" s="58" t="str">
        <f t="shared" si="27"/>
        <v>00</v>
      </c>
      <c r="AQ146" s="185" t="str">
        <f t="shared" si="22"/>
        <v xml:space="preserve">    (U4)0x0000000FU,                                                           /* 10 UNKNOWN                                         */</v>
      </c>
    </row>
    <row r="147" spans="2:43">
      <c r="B147" s="128"/>
      <c r="C147" s="43">
        <f t="shared" si="23"/>
        <v>11</v>
      </c>
      <c r="D147" s="120">
        <f t="shared" si="28"/>
        <v>0</v>
      </c>
      <c r="E147" s="120">
        <f t="shared" si="28"/>
        <v>0</v>
      </c>
      <c r="F147" s="120">
        <f t="shared" si="28"/>
        <v>0</v>
      </c>
      <c r="G147" s="120">
        <f t="shared" si="28"/>
        <v>0</v>
      </c>
      <c r="H147" s="120">
        <f t="shared" si="28"/>
        <v>0</v>
      </c>
      <c r="I147" s="120">
        <f t="shared" si="28"/>
        <v>0</v>
      </c>
      <c r="J147" s="120">
        <f t="shared" si="28"/>
        <v>0</v>
      </c>
      <c r="K147" s="120">
        <f t="shared" si="28"/>
        <v>0</v>
      </c>
      <c r="L147" s="120">
        <f t="shared" si="28"/>
        <v>0</v>
      </c>
      <c r="M147" s="120">
        <f t="shared" si="28"/>
        <v>0</v>
      </c>
      <c r="N147" s="120">
        <f t="shared" si="28"/>
        <v>0</v>
      </c>
      <c r="O147" s="120">
        <f t="shared" si="28"/>
        <v>0</v>
      </c>
      <c r="P147" s="120">
        <f t="shared" si="28"/>
        <v>0</v>
      </c>
      <c r="Q147" s="120">
        <f t="shared" si="28"/>
        <v>0</v>
      </c>
      <c r="R147" s="120">
        <f t="shared" si="28"/>
        <v>0</v>
      </c>
      <c r="S147" s="120">
        <f t="shared" si="28"/>
        <v>0</v>
      </c>
      <c r="T147" s="120">
        <f t="shared" si="28"/>
        <v>0</v>
      </c>
      <c r="U147" s="120">
        <f t="shared" si="28"/>
        <v>0</v>
      </c>
      <c r="V147" s="120">
        <f t="shared" si="28"/>
        <v>0</v>
      </c>
      <c r="W147" s="120">
        <f t="shared" si="28"/>
        <v>0</v>
      </c>
      <c r="X147" s="120">
        <f t="shared" si="28"/>
        <v>0</v>
      </c>
      <c r="Y147" s="120">
        <f t="shared" si="28"/>
        <v>0</v>
      </c>
      <c r="Z147" s="120">
        <f t="shared" si="28"/>
        <v>0</v>
      </c>
      <c r="AA147" s="120">
        <f t="shared" si="28"/>
        <v>0</v>
      </c>
      <c r="AB147" s="120">
        <f t="shared" si="28"/>
        <v>0</v>
      </c>
      <c r="AC147" s="120">
        <f t="shared" si="28"/>
        <v>0</v>
      </c>
      <c r="AD147" s="120">
        <f t="shared" si="28"/>
        <v>0</v>
      </c>
      <c r="AE147" s="120">
        <f t="shared" si="28"/>
        <v>0</v>
      </c>
      <c r="AF147" s="120">
        <f t="shared" si="28"/>
        <v>1</v>
      </c>
      <c r="AG147" s="120">
        <f t="shared" si="28"/>
        <v>1</v>
      </c>
      <c r="AH147" s="120">
        <f t="shared" si="28"/>
        <v>1</v>
      </c>
      <c r="AI147" s="120">
        <f t="shared" si="28"/>
        <v>1</v>
      </c>
      <c r="AJ147" s="43" t="str">
        <f t="shared" si="21"/>
        <v>UNKNOWN</v>
      </c>
      <c r="AK147" s="56"/>
      <c r="AL147" s="56" t="str">
        <f t="shared" si="24"/>
        <v>0F</v>
      </c>
      <c r="AM147" s="58" t="str">
        <f t="shared" si="25"/>
        <v>00</v>
      </c>
      <c r="AN147" s="58" t="str">
        <f t="shared" si="26"/>
        <v>00</v>
      </c>
      <c r="AO147" s="58" t="str">
        <f t="shared" si="27"/>
        <v>00</v>
      </c>
      <c r="AQ147" s="185" t="str">
        <f t="shared" si="22"/>
        <v xml:space="preserve">    (U4)0x0000000FU,                                                           /* 11 UNKNOWN                                         */</v>
      </c>
    </row>
    <row r="148" spans="2:43">
      <c r="B148" s="128"/>
      <c r="C148" s="43">
        <f t="shared" si="23"/>
        <v>12</v>
      </c>
      <c r="D148" s="120">
        <f t="shared" si="28"/>
        <v>0</v>
      </c>
      <c r="E148" s="120">
        <f t="shared" si="28"/>
        <v>0</v>
      </c>
      <c r="F148" s="120">
        <f t="shared" si="28"/>
        <v>0</v>
      </c>
      <c r="G148" s="120">
        <f t="shared" si="28"/>
        <v>0</v>
      </c>
      <c r="H148" s="120">
        <f t="shared" si="28"/>
        <v>0</v>
      </c>
      <c r="I148" s="120">
        <f t="shared" si="28"/>
        <v>0</v>
      </c>
      <c r="J148" s="120">
        <f t="shared" si="28"/>
        <v>0</v>
      </c>
      <c r="K148" s="120">
        <f t="shared" si="28"/>
        <v>0</v>
      </c>
      <c r="L148" s="120">
        <f t="shared" si="28"/>
        <v>0</v>
      </c>
      <c r="M148" s="120">
        <f t="shared" si="28"/>
        <v>0</v>
      </c>
      <c r="N148" s="120">
        <f t="shared" si="28"/>
        <v>0</v>
      </c>
      <c r="O148" s="120">
        <f t="shared" si="28"/>
        <v>0</v>
      </c>
      <c r="P148" s="120">
        <f t="shared" si="28"/>
        <v>0</v>
      </c>
      <c r="Q148" s="120">
        <f t="shared" si="28"/>
        <v>0</v>
      </c>
      <c r="R148" s="120">
        <f t="shared" si="28"/>
        <v>0</v>
      </c>
      <c r="S148" s="120">
        <f t="shared" si="28"/>
        <v>0</v>
      </c>
      <c r="T148" s="120">
        <f t="shared" si="28"/>
        <v>0</v>
      </c>
      <c r="U148" s="120">
        <f t="shared" si="28"/>
        <v>0</v>
      </c>
      <c r="V148" s="120">
        <f t="shared" si="28"/>
        <v>0</v>
      </c>
      <c r="W148" s="120">
        <f t="shared" si="28"/>
        <v>0</v>
      </c>
      <c r="X148" s="120">
        <f t="shared" si="28"/>
        <v>0</v>
      </c>
      <c r="Y148" s="120">
        <f t="shared" si="28"/>
        <v>0</v>
      </c>
      <c r="Z148" s="120">
        <f t="shared" si="28"/>
        <v>0</v>
      </c>
      <c r="AA148" s="120">
        <f t="shared" si="28"/>
        <v>0</v>
      </c>
      <c r="AB148" s="120">
        <f t="shared" si="28"/>
        <v>0</v>
      </c>
      <c r="AC148" s="120">
        <f t="shared" si="28"/>
        <v>0</v>
      </c>
      <c r="AD148" s="120">
        <f t="shared" si="28"/>
        <v>0</v>
      </c>
      <c r="AE148" s="120">
        <f t="shared" si="28"/>
        <v>0</v>
      </c>
      <c r="AF148" s="120">
        <f t="shared" si="28"/>
        <v>1</v>
      </c>
      <c r="AG148" s="120">
        <f t="shared" si="28"/>
        <v>1</v>
      </c>
      <c r="AH148" s="120">
        <f t="shared" si="28"/>
        <v>1</v>
      </c>
      <c r="AI148" s="120">
        <f t="shared" si="28"/>
        <v>1</v>
      </c>
      <c r="AJ148" s="43" t="str">
        <f t="shared" si="21"/>
        <v>UNKNOWN</v>
      </c>
      <c r="AK148" s="56"/>
      <c r="AL148" s="56" t="str">
        <f t="shared" si="24"/>
        <v>0F</v>
      </c>
      <c r="AM148" s="58" t="str">
        <f t="shared" si="25"/>
        <v>00</v>
      </c>
      <c r="AN148" s="58" t="str">
        <f t="shared" si="26"/>
        <v>00</v>
      </c>
      <c r="AO148" s="58" t="str">
        <f t="shared" si="27"/>
        <v>00</v>
      </c>
      <c r="AQ148" s="185" t="str">
        <f t="shared" si="22"/>
        <v xml:space="preserve">    (U4)0x0000000FU,                                                           /* 12 UNKNOWN                                         */</v>
      </c>
    </row>
    <row r="149" spans="2:43">
      <c r="B149" s="128"/>
      <c r="C149" s="43">
        <f t="shared" si="23"/>
        <v>13</v>
      </c>
      <c r="D149" s="120">
        <f t="shared" si="28"/>
        <v>0</v>
      </c>
      <c r="E149" s="120">
        <f t="shared" si="28"/>
        <v>0</v>
      </c>
      <c r="F149" s="120">
        <f t="shared" si="28"/>
        <v>0</v>
      </c>
      <c r="G149" s="120">
        <f t="shared" si="28"/>
        <v>0</v>
      </c>
      <c r="H149" s="120">
        <f t="shared" si="28"/>
        <v>0</v>
      </c>
      <c r="I149" s="120">
        <f t="shared" si="28"/>
        <v>0</v>
      </c>
      <c r="J149" s="120">
        <f t="shared" si="28"/>
        <v>0</v>
      </c>
      <c r="K149" s="120">
        <f t="shared" si="28"/>
        <v>0</v>
      </c>
      <c r="L149" s="120">
        <f t="shared" si="28"/>
        <v>0</v>
      </c>
      <c r="M149" s="120">
        <f t="shared" si="28"/>
        <v>0</v>
      </c>
      <c r="N149" s="120">
        <f t="shared" si="28"/>
        <v>0</v>
      </c>
      <c r="O149" s="120">
        <f t="shared" si="28"/>
        <v>0</v>
      </c>
      <c r="P149" s="120">
        <f t="shared" si="28"/>
        <v>0</v>
      </c>
      <c r="Q149" s="120">
        <f t="shared" si="28"/>
        <v>0</v>
      </c>
      <c r="R149" s="120">
        <f t="shared" si="28"/>
        <v>0</v>
      </c>
      <c r="S149" s="120">
        <f t="shared" si="28"/>
        <v>0</v>
      </c>
      <c r="T149" s="120">
        <f t="shared" si="28"/>
        <v>0</v>
      </c>
      <c r="U149" s="120">
        <f t="shared" si="28"/>
        <v>0</v>
      </c>
      <c r="V149" s="120">
        <f t="shared" si="28"/>
        <v>0</v>
      </c>
      <c r="W149" s="120">
        <f t="shared" si="28"/>
        <v>0</v>
      </c>
      <c r="X149" s="120">
        <f t="shared" si="28"/>
        <v>0</v>
      </c>
      <c r="Y149" s="120">
        <f t="shared" si="28"/>
        <v>0</v>
      </c>
      <c r="Z149" s="120">
        <f t="shared" si="28"/>
        <v>0</v>
      </c>
      <c r="AA149" s="120">
        <f t="shared" si="28"/>
        <v>0</v>
      </c>
      <c r="AB149" s="120">
        <f t="shared" si="28"/>
        <v>0</v>
      </c>
      <c r="AC149" s="120">
        <f t="shared" si="28"/>
        <v>0</v>
      </c>
      <c r="AD149" s="120">
        <f t="shared" si="28"/>
        <v>0</v>
      </c>
      <c r="AE149" s="120">
        <f t="shared" si="28"/>
        <v>0</v>
      </c>
      <c r="AF149" s="120">
        <f t="shared" si="28"/>
        <v>1</v>
      </c>
      <c r="AG149" s="120">
        <f t="shared" si="28"/>
        <v>1</v>
      </c>
      <c r="AH149" s="120">
        <f t="shared" si="28"/>
        <v>1</v>
      </c>
      <c r="AI149" s="120">
        <f t="shared" si="28"/>
        <v>1</v>
      </c>
      <c r="AJ149" s="43" t="str">
        <f t="shared" si="21"/>
        <v>UNKNOWN</v>
      </c>
      <c r="AK149" s="56"/>
      <c r="AL149" s="56" t="str">
        <f t="shared" si="24"/>
        <v>0F</v>
      </c>
      <c r="AM149" s="58" t="str">
        <f t="shared" si="25"/>
        <v>00</v>
      </c>
      <c r="AN149" s="58" t="str">
        <f t="shared" si="26"/>
        <v>00</v>
      </c>
      <c r="AO149" s="58" t="str">
        <f t="shared" si="27"/>
        <v>00</v>
      </c>
      <c r="AQ149" s="185" t="str">
        <f t="shared" si="22"/>
        <v xml:space="preserve">    (U4)0x0000000FU,                                                           /* 13 UNKNOWN                                         */</v>
      </c>
    </row>
    <row r="150" spans="2:43">
      <c r="B150" s="128"/>
      <c r="C150" s="43">
        <f t="shared" si="23"/>
        <v>14</v>
      </c>
      <c r="D150" s="120">
        <f t="shared" si="28"/>
        <v>0</v>
      </c>
      <c r="E150" s="120">
        <f t="shared" si="28"/>
        <v>0</v>
      </c>
      <c r="F150" s="120">
        <f t="shared" si="28"/>
        <v>0</v>
      </c>
      <c r="G150" s="120">
        <f t="shared" si="28"/>
        <v>0</v>
      </c>
      <c r="H150" s="120">
        <f t="shared" si="28"/>
        <v>0</v>
      </c>
      <c r="I150" s="120">
        <f t="shared" si="28"/>
        <v>0</v>
      </c>
      <c r="J150" s="120">
        <f t="shared" si="28"/>
        <v>0</v>
      </c>
      <c r="K150" s="120">
        <f t="shared" si="28"/>
        <v>0</v>
      </c>
      <c r="L150" s="120">
        <f t="shared" si="28"/>
        <v>0</v>
      </c>
      <c r="M150" s="120">
        <f t="shared" si="28"/>
        <v>0</v>
      </c>
      <c r="N150" s="120">
        <f t="shared" si="28"/>
        <v>0</v>
      </c>
      <c r="O150" s="120">
        <f t="shared" si="28"/>
        <v>0</v>
      </c>
      <c r="P150" s="120">
        <f t="shared" si="28"/>
        <v>0</v>
      </c>
      <c r="Q150" s="120">
        <f t="shared" si="28"/>
        <v>0</v>
      </c>
      <c r="R150" s="120">
        <f t="shared" si="28"/>
        <v>0</v>
      </c>
      <c r="S150" s="120">
        <f t="shared" si="28"/>
        <v>0</v>
      </c>
      <c r="T150" s="120">
        <f t="shared" si="28"/>
        <v>0</v>
      </c>
      <c r="U150" s="120">
        <f t="shared" si="28"/>
        <v>0</v>
      </c>
      <c r="V150" s="120">
        <f t="shared" si="28"/>
        <v>0</v>
      </c>
      <c r="W150" s="120">
        <f t="shared" si="28"/>
        <v>0</v>
      </c>
      <c r="X150" s="120">
        <f t="shared" si="28"/>
        <v>0</v>
      </c>
      <c r="Y150" s="120">
        <f t="shared" si="28"/>
        <v>0</v>
      </c>
      <c r="Z150" s="120">
        <f t="shared" si="28"/>
        <v>0</v>
      </c>
      <c r="AA150" s="120">
        <f t="shared" si="28"/>
        <v>0</v>
      </c>
      <c r="AB150" s="120">
        <f t="shared" si="28"/>
        <v>0</v>
      </c>
      <c r="AC150" s="120">
        <f t="shared" si="28"/>
        <v>0</v>
      </c>
      <c r="AD150" s="120">
        <f t="shared" si="28"/>
        <v>0</v>
      </c>
      <c r="AE150" s="120">
        <f t="shared" si="28"/>
        <v>0</v>
      </c>
      <c r="AF150" s="120">
        <f t="shared" si="28"/>
        <v>1</v>
      </c>
      <c r="AG150" s="120">
        <f t="shared" si="28"/>
        <v>1</v>
      </c>
      <c r="AH150" s="120">
        <f t="shared" si="28"/>
        <v>1</v>
      </c>
      <c r="AI150" s="120">
        <f t="shared" si="28"/>
        <v>1</v>
      </c>
      <c r="AJ150" s="43" t="str">
        <f t="shared" si="21"/>
        <v>UNKNOWN</v>
      </c>
      <c r="AK150" s="56"/>
      <c r="AL150" s="56" t="str">
        <f t="shared" si="24"/>
        <v>0F</v>
      </c>
      <c r="AM150" s="58" t="str">
        <f t="shared" si="25"/>
        <v>00</v>
      </c>
      <c r="AN150" s="58" t="str">
        <f t="shared" si="26"/>
        <v>00</v>
      </c>
      <c r="AO150" s="58" t="str">
        <f t="shared" si="27"/>
        <v>00</v>
      </c>
      <c r="AQ150" s="185" t="str">
        <f t="shared" si="22"/>
        <v xml:space="preserve">    (U4)0x0000000FU,                                                           /* 14 UNKNOWN                                         */</v>
      </c>
    </row>
    <row r="151" spans="2:43">
      <c r="B151" s="128"/>
      <c r="C151" s="43">
        <f t="shared" si="23"/>
        <v>15</v>
      </c>
      <c r="D151" s="120">
        <f t="shared" si="28"/>
        <v>0</v>
      </c>
      <c r="E151" s="120">
        <f t="shared" si="28"/>
        <v>0</v>
      </c>
      <c r="F151" s="120">
        <f t="shared" si="28"/>
        <v>0</v>
      </c>
      <c r="G151" s="120">
        <f t="shared" si="28"/>
        <v>0</v>
      </c>
      <c r="H151" s="120">
        <f t="shared" si="28"/>
        <v>0</v>
      </c>
      <c r="I151" s="120">
        <f t="shared" si="28"/>
        <v>0</v>
      </c>
      <c r="J151" s="120">
        <f t="shared" si="28"/>
        <v>0</v>
      </c>
      <c r="K151" s="120">
        <f t="shared" si="28"/>
        <v>0</v>
      </c>
      <c r="L151" s="120">
        <f t="shared" si="28"/>
        <v>0</v>
      </c>
      <c r="M151" s="120">
        <f t="shared" si="28"/>
        <v>0</v>
      </c>
      <c r="N151" s="120">
        <f t="shared" si="28"/>
        <v>0</v>
      </c>
      <c r="O151" s="120">
        <f t="shared" si="28"/>
        <v>0</v>
      </c>
      <c r="P151" s="120">
        <f t="shared" si="28"/>
        <v>0</v>
      </c>
      <c r="Q151" s="120">
        <f t="shared" si="28"/>
        <v>0</v>
      </c>
      <c r="R151" s="120">
        <f t="shared" si="28"/>
        <v>0</v>
      </c>
      <c r="S151" s="120">
        <f t="shared" si="28"/>
        <v>0</v>
      </c>
      <c r="T151" s="120">
        <f t="shared" si="28"/>
        <v>0</v>
      </c>
      <c r="U151" s="120">
        <f t="shared" si="28"/>
        <v>0</v>
      </c>
      <c r="V151" s="120">
        <f t="shared" si="28"/>
        <v>0</v>
      </c>
      <c r="W151" s="120">
        <f t="shared" si="28"/>
        <v>0</v>
      </c>
      <c r="X151" s="120">
        <f t="shared" si="28"/>
        <v>0</v>
      </c>
      <c r="Y151" s="120">
        <f t="shared" si="28"/>
        <v>0</v>
      </c>
      <c r="Z151" s="120">
        <f t="shared" si="28"/>
        <v>0</v>
      </c>
      <c r="AA151" s="120">
        <f t="shared" si="28"/>
        <v>0</v>
      </c>
      <c r="AB151" s="120">
        <f t="shared" si="28"/>
        <v>0</v>
      </c>
      <c r="AC151" s="120">
        <f t="shared" si="28"/>
        <v>0</v>
      </c>
      <c r="AD151" s="120">
        <f t="shared" si="28"/>
        <v>0</v>
      </c>
      <c r="AE151" s="120">
        <f t="shared" si="28"/>
        <v>0</v>
      </c>
      <c r="AF151" s="120">
        <f t="shared" si="28"/>
        <v>1</v>
      </c>
      <c r="AG151" s="120">
        <f t="shared" si="28"/>
        <v>1</v>
      </c>
      <c r="AH151" s="120">
        <f t="shared" si="28"/>
        <v>1</v>
      </c>
      <c r="AI151" s="120">
        <f>IF(OR(AI21=0,AI21=1),1,0)</f>
        <v>1</v>
      </c>
      <c r="AJ151" s="43" t="str">
        <f t="shared" si="21"/>
        <v>UNKNOWN</v>
      </c>
      <c r="AK151" s="56"/>
      <c r="AL151" s="56" t="str">
        <f t="shared" si="24"/>
        <v>0F</v>
      </c>
      <c r="AM151" s="58" t="str">
        <f t="shared" si="25"/>
        <v>00</v>
      </c>
      <c r="AN151" s="58" t="str">
        <f t="shared" si="26"/>
        <v>00</v>
      </c>
      <c r="AO151" s="58" t="str">
        <f t="shared" si="27"/>
        <v>00</v>
      </c>
      <c r="AQ151" s="185" t="str">
        <f t="shared" si="22"/>
        <v xml:space="preserve">    (U4)0x0000000FU                                                            /* 15 UNKNOWN                                         */</v>
      </c>
    </row>
    <row r="152" spans="2:43">
      <c r="B152" s="128"/>
      <c r="C152" s="43">
        <f t="shared" si="23"/>
        <v>16</v>
      </c>
      <c r="D152" s="120">
        <f t="shared" ref="D152:AI159" si="29">IF(OR(D22=0,D22=1),1,0)</f>
        <v>0</v>
      </c>
      <c r="E152" s="120">
        <f t="shared" si="29"/>
        <v>0</v>
      </c>
      <c r="F152" s="120">
        <f t="shared" si="29"/>
        <v>0</v>
      </c>
      <c r="G152" s="120">
        <f t="shared" si="29"/>
        <v>0</v>
      </c>
      <c r="H152" s="120">
        <f t="shared" si="29"/>
        <v>0</v>
      </c>
      <c r="I152" s="120">
        <f t="shared" si="29"/>
        <v>0</v>
      </c>
      <c r="J152" s="120">
        <f t="shared" si="29"/>
        <v>0</v>
      </c>
      <c r="K152" s="120">
        <f t="shared" si="29"/>
        <v>0</v>
      </c>
      <c r="L152" s="120">
        <f t="shared" si="29"/>
        <v>0</v>
      </c>
      <c r="M152" s="120">
        <f t="shared" si="29"/>
        <v>0</v>
      </c>
      <c r="N152" s="120">
        <f t="shared" si="29"/>
        <v>0</v>
      </c>
      <c r="O152" s="120">
        <f t="shared" si="29"/>
        <v>0</v>
      </c>
      <c r="P152" s="120">
        <f t="shared" si="29"/>
        <v>0</v>
      </c>
      <c r="Q152" s="120">
        <f t="shared" si="29"/>
        <v>0</v>
      </c>
      <c r="R152" s="120">
        <f t="shared" si="29"/>
        <v>0</v>
      </c>
      <c r="S152" s="120">
        <f t="shared" si="29"/>
        <v>0</v>
      </c>
      <c r="T152" s="120">
        <f t="shared" si="29"/>
        <v>0</v>
      </c>
      <c r="U152" s="120">
        <f t="shared" si="29"/>
        <v>0</v>
      </c>
      <c r="V152" s="120">
        <f t="shared" si="29"/>
        <v>0</v>
      </c>
      <c r="W152" s="120">
        <f t="shared" si="29"/>
        <v>0</v>
      </c>
      <c r="X152" s="120">
        <f t="shared" si="29"/>
        <v>0</v>
      </c>
      <c r="Y152" s="120">
        <f t="shared" si="29"/>
        <v>0</v>
      </c>
      <c r="Z152" s="120">
        <f t="shared" si="29"/>
        <v>0</v>
      </c>
      <c r="AA152" s="120">
        <f t="shared" si="29"/>
        <v>0</v>
      </c>
      <c r="AB152" s="120">
        <f t="shared" si="29"/>
        <v>0</v>
      </c>
      <c r="AC152" s="120">
        <f t="shared" si="29"/>
        <v>0</v>
      </c>
      <c r="AD152" s="120">
        <f t="shared" si="29"/>
        <v>0</v>
      </c>
      <c r="AE152" s="120">
        <f t="shared" si="29"/>
        <v>0</v>
      </c>
      <c r="AF152" s="120">
        <f t="shared" si="29"/>
        <v>0</v>
      </c>
      <c r="AG152" s="120">
        <f t="shared" si="29"/>
        <v>0</v>
      </c>
      <c r="AH152" s="120">
        <f t="shared" si="29"/>
        <v>0</v>
      </c>
      <c r="AI152" s="120">
        <f t="shared" si="29"/>
        <v>0</v>
      </c>
      <c r="AJ152" s="43" t="str">
        <f t="shared" si="21"/>
        <v/>
      </c>
      <c r="AK152" s="56"/>
      <c r="AL152" s="56" t="str">
        <f t="shared" si="24"/>
        <v>00</v>
      </c>
      <c r="AM152" s="58" t="str">
        <f t="shared" si="25"/>
        <v>00</v>
      </c>
      <c r="AN152" s="58" t="str">
        <f t="shared" si="26"/>
        <v>00</v>
      </c>
      <c r="AO152" s="58" t="str">
        <f t="shared" si="27"/>
        <v>00</v>
      </c>
      <c r="AQ152" s="185" t="str">
        <f t="shared" si="22"/>
        <v/>
      </c>
    </row>
    <row r="153" spans="2:43">
      <c r="B153" s="128"/>
      <c r="C153" s="43">
        <f t="shared" si="23"/>
        <v>17</v>
      </c>
      <c r="D153" s="120">
        <f t="shared" si="29"/>
        <v>0</v>
      </c>
      <c r="E153" s="120">
        <f t="shared" si="29"/>
        <v>0</v>
      </c>
      <c r="F153" s="120">
        <f t="shared" si="29"/>
        <v>0</v>
      </c>
      <c r="G153" s="120">
        <f t="shared" si="29"/>
        <v>0</v>
      </c>
      <c r="H153" s="120">
        <f t="shared" si="29"/>
        <v>0</v>
      </c>
      <c r="I153" s="120">
        <f t="shared" si="29"/>
        <v>0</v>
      </c>
      <c r="J153" s="120">
        <f t="shared" si="29"/>
        <v>0</v>
      </c>
      <c r="K153" s="120">
        <f t="shared" si="29"/>
        <v>0</v>
      </c>
      <c r="L153" s="120">
        <f t="shared" si="29"/>
        <v>0</v>
      </c>
      <c r="M153" s="120">
        <f t="shared" si="29"/>
        <v>0</v>
      </c>
      <c r="N153" s="120">
        <f t="shared" si="29"/>
        <v>0</v>
      </c>
      <c r="O153" s="120">
        <f t="shared" si="29"/>
        <v>0</v>
      </c>
      <c r="P153" s="120">
        <f t="shared" si="29"/>
        <v>0</v>
      </c>
      <c r="Q153" s="120">
        <f t="shared" si="29"/>
        <v>0</v>
      </c>
      <c r="R153" s="120">
        <f t="shared" si="29"/>
        <v>0</v>
      </c>
      <c r="S153" s="120">
        <f t="shared" si="29"/>
        <v>0</v>
      </c>
      <c r="T153" s="120">
        <f t="shared" si="29"/>
        <v>0</v>
      </c>
      <c r="U153" s="120">
        <f t="shared" si="29"/>
        <v>0</v>
      </c>
      <c r="V153" s="120">
        <f t="shared" si="29"/>
        <v>0</v>
      </c>
      <c r="W153" s="120">
        <f t="shared" si="29"/>
        <v>0</v>
      </c>
      <c r="X153" s="120">
        <f t="shared" si="29"/>
        <v>0</v>
      </c>
      <c r="Y153" s="120">
        <f t="shared" si="29"/>
        <v>0</v>
      </c>
      <c r="Z153" s="120">
        <f t="shared" si="29"/>
        <v>0</v>
      </c>
      <c r="AA153" s="120">
        <f t="shared" si="29"/>
        <v>0</v>
      </c>
      <c r="AB153" s="120">
        <f t="shared" si="29"/>
        <v>0</v>
      </c>
      <c r="AC153" s="120">
        <f t="shared" si="29"/>
        <v>0</v>
      </c>
      <c r="AD153" s="120">
        <f t="shared" si="29"/>
        <v>0</v>
      </c>
      <c r="AE153" s="120">
        <f t="shared" si="29"/>
        <v>0</v>
      </c>
      <c r="AF153" s="120">
        <f t="shared" si="29"/>
        <v>0</v>
      </c>
      <c r="AG153" s="120">
        <f t="shared" si="29"/>
        <v>0</v>
      </c>
      <c r="AH153" s="120">
        <f t="shared" si="29"/>
        <v>0</v>
      </c>
      <c r="AI153" s="120">
        <f t="shared" si="29"/>
        <v>0</v>
      </c>
      <c r="AJ153" s="43" t="str">
        <f t="shared" si="21"/>
        <v/>
      </c>
      <c r="AK153" s="56"/>
      <c r="AL153" s="56" t="str">
        <f t="shared" si="24"/>
        <v>00</v>
      </c>
      <c r="AM153" s="58" t="str">
        <f t="shared" si="25"/>
        <v>00</v>
      </c>
      <c r="AN153" s="58" t="str">
        <f t="shared" si="26"/>
        <v>00</v>
      </c>
      <c r="AO153" s="58" t="str">
        <f t="shared" si="27"/>
        <v>00</v>
      </c>
      <c r="AQ153" s="185" t="str">
        <f t="shared" si="22"/>
        <v/>
      </c>
    </row>
    <row r="154" spans="2:43">
      <c r="B154" s="128"/>
      <c r="C154" s="43">
        <f t="shared" si="23"/>
        <v>18</v>
      </c>
      <c r="D154" s="120">
        <f t="shared" si="29"/>
        <v>0</v>
      </c>
      <c r="E154" s="120">
        <f t="shared" si="29"/>
        <v>0</v>
      </c>
      <c r="F154" s="120">
        <f t="shared" si="29"/>
        <v>0</v>
      </c>
      <c r="G154" s="120">
        <f t="shared" si="29"/>
        <v>0</v>
      </c>
      <c r="H154" s="120">
        <f t="shared" si="29"/>
        <v>0</v>
      </c>
      <c r="I154" s="120">
        <f t="shared" si="29"/>
        <v>0</v>
      </c>
      <c r="J154" s="120">
        <f t="shared" si="29"/>
        <v>0</v>
      </c>
      <c r="K154" s="120">
        <f t="shared" si="29"/>
        <v>0</v>
      </c>
      <c r="L154" s="120">
        <f t="shared" si="29"/>
        <v>0</v>
      </c>
      <c r="M154" s="120">
        <f t="shared" si="29"/>
        <v>0</v>
      </c>
      <c r="N154" s="120">
        <f t="shared" si="29"/>
        <v>0</v>
      </c>
      <c r="O154" s="120">
        <f t="shared" si="29"/>
        <v>0</v>
      </c>
      <c r="P154" s="120">
        <f t="shared" si="29"/>
        <v>0</v>
      </c>
      <c r="Q154" s="120">
        <f t="shared" si="29"/>
        <v>0</v>
      </c>
      <c r="R154" s="120">
        <f t="shared" si="29"/>
        <v>0</v>
      </c>
      <c r="S154" s="120">
        <f t="shared" si="29"/>
        <v>0</v>
      </c>
      <c r="T154" s="120">
        <f t="shared" si="29"/>
        <v>0</v>
      </c>
      <c r="U154" s="120">
        <f t="shared" si="29"/>
        <v>0</v>
      </c>
      <c r="V154" s="120">
        <f t="shared" si="29"/>
        <v>0</v>
      </c>
      <c r="W154" s="120">
        <f t="shared" si="29"/>
        <v>0</v>
      </c>
      <c r="X154" s="120">
        <f t="shared" si="29"/>
        <v>0</v>
      </c>
      <c r="Y154" s="120">
        <f t="shared" si="29"/>
        <v>0</v>
      </c>
      <c r="Z154" s="120">
        <f t="shared" si="29"/>
        <v>0</v>
      </c>
      <c r="AA154" s="120">
        <f t="shared" si="29"/>
        <v>0</v>
      </c>
      <c r="AB154" s="120">
        <f t="shared" si="29"/>
        <v>0</v>
      </c>
      <c r="AC154" s="120">
        <f t="shared" si="29"/>
        <v>0</v>
      </c>
      <c r="AD154" s="120">
        <f t="shared" si="29"/>
        <v>0</v>
      </c>
      <c r="AE154" s="120">
        <f t="shared" si="29"/>
        <v>0</v>
      </c>
      <c r="AF154" s="120">
        <f t="shared" si="29"/>
        <v>0</v>
      </c>
      <c r="AG154" s="120">
        <f t="shared" si="29"/>
        <v>0</v>
      </c>
      <c r="AH154" s="120">
        <f t="shared" si="29"/>
        <v>0</v>
      </c>
      <c r="AI154" s="120">
        <f t="shared" si="29"/>
        <v>0</v>
      </c>
      <c r="AJ154" s="43" t="str">
        <f t="shared" si="21"/>
        <v/>
      </c>
      <c r="AK154" s="56"/>
      <c r="AL154" s="56" t="str">
        <f t="shared" si="24"/>
        <v>00</v>
      </c>
      <c r="AM154" s="58" t="str">
        <f t="shared" si="25"/>
        <v>00</v>
      </c>
      <c r="AN154" s="58" t="str">
        <f t="shared" si="26"/>
        <v>00</v>
      </c>
      <c r="AO154" s="58" t="str">
        <f t="shared" si="27"/>
        <v>00</v>
      </c>
      <c r="AQ154" s="185" t="str">
        <f t="shared" si="22"/>
        <v/>
      </c>
    </row>
    <row r="155" spans="2:43">
      <c r="B155" s="128"/>
      <c r="C155" s="43">
        <f t="shared" si="23"/>
        <v>19</v>
      </c>
      <c r="D155" s="120">
        <f t="shared" si="29"/>
        <v>0</v>
      </c>
      <c r="E155" s="120">
        <f t="shared" si="29"/>
        <v>0</v>
      </c>
      <c r="F155" s="120">
        <f t="shared" si="29"/>
        <v>0</v>
      </c>
      <c r="G155" s="120">
        <f t="shared" si="29"/>
        <v>0</v>
      </c>
      <c r="H155" s="120">
        <f t="shared" si="29"/>
        <v>0</v>
      </c>
      <c r="I155" s="120">
        <f t="shared" si="29"/>
        <v>0</v>
      </c>
      <c r="J155" s="120">
        <f t="shared" si="29"/>
        <v>0</v>
      </c>
      <c r="K155" s="120">
        <f t="shared" si="29"/>
        <v>0</v>
      </c>
      <c r="L155" s="120">
        <f t="shared" si="29"/>
        <v>0</v>
      </c>
      <c r="M155" s="120">
        <f t="shared" si="29"/>
        <v>0</v>
      </c>
      <c r="N155" s="120">
        <f t="shared" si="29"/>
        <v>0</v>
      </c>
      <c r="O155" s="120">
        <f t="shared" si="29"/>
        <v>0</v>
      </c>
      <c r="P155" s="120">
        <f t="shared" si="29"/>
        <v>0</v>
      </c>
      <c r="Q155" s="120">
        <f t="shared" si="29"/>
        <v>0</v>
      </c>
      <c r="R155" s="120">
        <f t="shared" si="29"/>
        <v>0</v>
      </c>
      <c r="S155" s="120">
        <f t="shared" si="29"/>
        <v>0</v>
      </c>
      <c r="T155" s="120">
        <f t="shared" si="29"/>
        <v>0</v>
      </c>
      <c r="U155" s="120">
        <f t="shared" si="29"/>
        <v>0</v>
      </c>
      <c r="V155" s="120">
        <f t="shared" si="29"/>
        <v>0</v>
      </c>
      <c r="W155" s="120">
        <f t="shared" si="29"/>
        <v>0</v>
      </c>
      <c r="X155" s="120">
        <f t="shared" si="29"/>
        <v>0</v>
      </c>
      <c r="Y155" s="120">
        <f t="shared" si="29"/>
        <v>0</v>
      </c>
      <c r="Z155" s="120">
        <f t="shared" si="29"/>
        <v>0</v>
      </c>
      <c r="AA155" s="120">
        <f t="shared" si="29"/>
        <v>0</v>
      </c>
      <c r="AB155" s="120">
        <f t="shared" si="29"/>
        <v>0</v>
      </c>
      <c r="AC155" s="120">
        <f t="shared" si="29"/>
        <v>0</v>
      </c>
      <c r="AD155" s="120">
        <f t="shared" si="29"/>
        <v>0</v>
      </c>
      <c r="AE155" s="120">
        <f t="shared" si="29"/>
        <v>0</v>
      </c>
      <c r="AF155" s="120">
        <f t="shared" si="29"/>
        <v>0</v>
      </c>
      <c r="AG155" s="120">
        <f t="shared" si="29"/>
        <v>0</v>
      </c>
      <c r="AH155" s="120">
        <f t="shared" si="29"/>
        <v>0</v>
      </c>
      <c r="AI155" s="120">
        <f t="shared" si="29"/>
        <v>0</v>
      </c>
      <c r="AJ155" s="43" t="str">
        <f t="shared" si="21"/>
        <v/>
      </c>
      <c r="AK155" s="56"/>
      <c r="AL155" s="56" t="str">
        <f t="shared" si="24"/>
        <v>00</v>
      </c>
      <c r="AM155" s="58" t="str">
        <f t="shared" si="25"/>
        <v>00</v>
      </c>
      <c r="AN155" s="58" t="str">
        <f t="shared" si="26"/>
        <v>00</v>
      </c>
      <c r="AO155" s="58" t="str">
        <f t="shared" si="27"/>
        <v>00</v>
      </c>
      <c r="AQ155" s="185" t="str">
        <f t="shared" si="22"/>
        <v/>
      </c>
    </row>
    <row r="156" spans="2:43">
      <c r="B156" s="128"/>
      <c r="C156" s="43">
        <f t="shared" si="23"/>
        <v>20</v>
      </c>
      <c r="D156" s="120">
        <f t="shared" si="29"/>
        <v>0</v>
      </c>
      <c r="E156" s="120">
        <f t="shared" si="29"/>
        <v>0</v>
      </c>
      <c r="F156" s="120">
        <f t="shared" si="29"/>
        <v>0</v>
      </c>
      <c r="G156" s="120">
        <f t="shared" si="29"/>
        <v>0</v>
      </c>
      <c r="H156" s="120">
        <f t="shared" si="29"/>
        <v>0</v>
      </c>
      <c r="I156" s="120">
        <f t="shared" si="29"/>
        <v>0</v>
      </c>
      <c r="J156" s="120">
        <f t="shared" si="29"/>
        <v>0</v>
      </c>
      <c r="K156" s="120">
        <f t="shared" si="29"/>
        <v>0</v>
      </c>
      <c r="L156" s="120">
        <f t="shared" si="29"/>
        <v>0</v>
      </c>
      <c r="M156" s="120">
        <f t="shared" si="29"/>
        <v>0</v>
      </c>
      <c r="N156" s="120">
        <f t="shared" si="29"/>
        <v>0</v>
      </c>
      <c r="O156" s="120">
        <f t="shared" si="29"/>
        <v>0</v>
      </c>
      <c r="P156" s="120">
        <f t="shared" si="29"/>
        <v>0</v>
      </c>
      <c r="Q156" s="120">
        <f t="shared" si="29"/>
        <v>0</v>
      </c>
      <c r="R156" s="120">
        <f t="shared" si="29"/>
        <v>0</v>
      </c>
      <c r="S156" s="120">
        <f t="shared" si="29"/>
        <v>0</v>
      </c>
      <c r="T156" s="120">
        <f t="shared" si="29"/>
        <v>0</v>
      </c>
      <c r="U156" s="120">
        <f t="shared" si="29"/>
        <v>0</v>
      </c>
      <c r="V156" s="120">
        <f t="shared" si="29"/>
        <v>0</v>
      </c>
      <c r="W156" s="120">
        <f t="shared" si="29"/>
        <v>0</v>
      </c>
      <c r="X156" s="120">
        <f t="shared" si="29"/>
        <v>0</v>
      </c>
      <c r="Y156" s="120">
        <f t="shared" si="29"/>
        <v>0</v>
      </c>
      <c r="Z156" s="120">
        <f t="shared" si="29"/>
        <v>0</v>
      </c>
      <c r="AA156" s="120">
        <f t="shared" si="29"/>
        <v>0</v>
      </c>
      <c r="AB156" s="120">
        <f t="shared" si="29"/>
        <v>0</v>
      </c>
      <c r="AC156" s="120">
        <f t="shared" si="29"/>
        <v>0</v>
      </c>
      <c r="AD156" s="120">
        <f t="shared" si="29"/>
        <v>0</v>
      </c>
      <c r="AE156" s="120">
        <f t="shared" si="29"/>
        <v>0</v>
      </c>
      <c r="AF156" s="120">
        <f t="shared" si="29"/>
        <v>0</v>
      </c>
      <c r="AG156" s="120">
        <f t="shared" si="29"/>
        <v>0</v>
      </c>
      <c r="AH156" s="120">
        <f t="shared" si="29"/>
        <v>0</v>
      </c>
      <c r="AI156" s="120">
        <f t="shared" si="29"/>
        <v>0</v>
      </c>
      <c r="AJ156" s="43" t="str">
        <f t="shared" si="21"/>
        <v/>
      </c>
      <c r="AK156" s="56"/>
      <c r="AL156" s="56" t="str">
        <f t="shared" si="24"/>
        <v>00</v>
      </c>
      <c r="AM156" s="58" t="str">
        <f t="shared" si="25"/>
        <v>00</v>
      </c>
      <c r="AN156" s="58" t="str">
        <f t="shared" si="26"/>
        <v>00</v>
      </c>
      <c r="AO156" s="58" t="str">
        <f t="shared" si="27"/>
        <v>00</v>
      </c>
      <c r="AQ156" s="185" t="str">
        <f t="shared" si="22"/>
        <v/>
      </c>
    </row>
    <row r="157" spans="2:43">
      <c r="B157" s="128"/>
      <c r="C157" s="43">
        <f t="shared" si="23"/>
        <v>21</v>
      </c>
      <c r="D157" s="120">
        <f t="shared" si="29"/>
        <v>0</v>
      </c>
      <c r="E157" s="120">
        <f t="shared" si="29"/>
        <v>0</v>
      </c>
      <c r="F157" s="120">
        <f t="shared" si="29"/>
        <v>0</v>
      </c>
      <c r="G157" s="120">
        <f t="shared" si="29"/>
        <v>0</v>
      </c>
      <c r="H157" s="120">
        <f t="shared" si="29"/>
        <v>0</v>
      </c>
      <c r="I157" s="120">
        <f t="shared" si="29"/>
        <v>0</v>
      </c>
      <c r="J157" s="120">
        <f t="shared" si="29"/>
        <v>0</v>
      </c>
      <c r="K157" s="120">
        <f t="shared" si="29"/>
        <v>0</v>
      </c>
      <c r="L157" s="120">
        <f t="shared" si="29"/>
        <v>0</v>
      </c>
      <c r="M157" s="120">
        <f t="shared" si="29"/>
        <v>0</v>
      </c>
      <c r="N157" s="120">
        <f t="shared" si="29"/>
        <v>0</v>
      </c>
      <c r="O157" s="120">
        <f t="shared" si="29"/>
        <v>0</v>
      </c>
      <c r="P157" s="120">
        <f t="shared" si="29"/>
        <v>0</v>
      </c>
      <c r="Q157" s="120">
        <f t="shared" si="29"/>
        <v>0</v>
      </c>
      <c r="R157" s="120">
        <f t="shared" si="29"/>
        <v>0</v>
      </c>
      <c r="S157" s="120">
        <f t="shared" si="29"/>
        <v>0</v>
      </c>
      <c r="T157" s="120">
        <f t="shared" si="29"/>
        <v>0</v>
      </c>
      <c r="U157" s="120">
        <f t="shared" si="29"/>
        <v>0</v>
      </c>
      <c r="V157" s="120">
        <f t="shared" si="29"/>
        <v>0</v>
      </c>
      <c r="W157" s="120">
        <f t="shared" si="29"/>
        <v>0</v>
      </c>
      <c r="X157" s="120">
        <f t="shared" si="29"/>
        <v>0</v>
      </c>
      <c r="Y157" s="120">
        <f t="shared" si="29"/>
        <v>0</v>
      </c>
      <c r="Z157" s="120">
        <f t="shared" si="29"/>
        <v>0</v>
      </c>
      <c r="AA157" s="120">
        <f t="shared" si="29"/>
        <v>0</v>
      </c>
      <c r="AB157" s="120">
        <f t="shared" si="29"/>
        <v>0</v>
      </c>
      <c r="AC157" s="120">
        <f t="shared" si="29"/>
        <v>0</v>
      </c>
      <c r="AD157" s="120">
        <f t="shared" si="29"/>
        <v>0</v>
      </c>
      <c r="AE157" s="120">
        <f t="shared" si="29"/>
        <v>0</v>
      </c>
      <c r="AF157" s="120">
        <f t="shared" si="29"/>
        <v>0</v>
      </c>
      <c r="AG157" s="120">
        <f t="shared" si="29"/>
        <v>0</v>
      </c>
      <c r="AH157" s="120">
        <f t="shared" si="29"/>
        <v>0</v>
      </c>
      <c r="AI157" s="120">
        <f t="shared" si="29"/>
        <v>0</v>
      </c>
      <c r="AJ157" s="43" t="str">
        <f t="shared" si="21"/>
        <v/>
      </c>
      <c r="AK157" s="56"/>
      <c r="AL157" s="56" t="str">
        <f t="shared" si="24"/>
        <v>00</v>
      </c>
      <c r="AM157" s="58" t="str">
        <f t="shared" si="25"/>
        <v>00</v>
      </c>
      <c r="AN157" s="58" t="str">
        <f t="shared" si="26"/>
        <v>00</v>
      </c>
      <c r="AO157" s="58" t="str">
        <f t="shared" si="27"/>
        <v>00</v>
      </c>
      <c r="AQ157" s="185" t="str">
        <f t="shared" si="22"/>
        <v/>
      </c>
    </row>
    <row r="158" spans="2:43">
      <c r="B158" s="128"/>
      <c r="C158" s="43">
        <f t="shared" si="23"/>
        <v>22</v>
      </c>
      <c r="D158" s="120">
        <f t="shared" si="29"/>
        <v>0</v>
      </c>
      <c r="E158" s="120">
        <f t="shared" si="29"/>
        <v>0</v>
      </c>
      <c r="F158" s="120">
        <f t="shared" si="29"/>
        <v>0</v>
      </c>
      <c r="G158" s="120">
        <f t="shared" si="29"/>
        <v>0</v>
      </c>
      <c r="H158" s="120">
        <f t="shared" si="29"/>
        <v>0</v>
      </c>
      <c r="I158" s="120">
        <f t="shared" si="29"/>
        <v>0</v>
      </c>
      <c r="J158" s="120">
        <f t="shared" si="29"/>
        <v>0</v>
      </c>
      <c r="K158" s="120">
        <f t="shared" si="29"/>
        <v>0</v>
      </c>
      <c r="L158" s="120">
        <f t="shared" si="29"/>
        <v>0</v>
      </c>
      <c r="M158" s="120">
        <f t="shared" si="29"/>
        <v>0</v>
      </c>
      <c r="N158" s="120">
        <f t="shared" si="29"/>
        <v>0</v>
      </c>
      <c r="O158" s="120">
        <f t="shared" si="29"/>
        <v>0</v>
      </c>
      <c r="P158" s="120">
        <f t="shared" si="29"/>
        <v>0</v>
      </c>
      <c r="Q158" s="120">
        <f t="shared" si="29"/>
        <v>0</v>
      </c>
      <c r="R158" s="120">
        <f t="shared" si="29"/>
        <v>0</v>
      </c>
      <c r="S158" s="120">
        <f t="shared" si="29"/>
        <v>0</v>
      </c>
      <c r="T158" s="120">
        <f t="shared" si="29"/>
        <v>0</v>
      </c>
      <c r="U158" s="120">
        <f t="shared" si="29"/>
        <v>0</v>
      </c>
      <c r="V158" s="120">
        <f t="shared" si="29"/>
        <v>0</v>
      </c>
      <c r="W158" s="120">
        <f t="shared" si="29"/>
        <v>0</v>
      </c>
      <c r="X158" s="120">
        <f t="shared" si="29"/>
        <v>0</v>
      </c>
      <c r="Y158" s="120">
        <f t="shared" si="29"/>
        <v>0</v>
      </c>
      <c r="Z158" s="120">
        <f t="shared" si="29"/>
        <v>0</v>
      </c>
      <c r="AA158" s="120">
        <f t="shared" si="29"/>
        <v>0</v>
      </c>
      <c r="AB158" s="120">
        <f t="shared" si="29"/>
        <v>0</v>
      </c>
      <c r="AC158" s="120">
        <f t="shared" si="29"/>
        <v>0</v>
      </c>
      <c r="AD158" s="120">
        <f t="shared" si="29"/>
        <v>0</v>
      </c>
      <c r="AE158" s="120">
        <f t="shared" si="29"/>
        <v>0</v>
      </c>
      <c r="AF158" s="120">
        <f t="shared" si="29"/>
        <v>0</v>
      </c>
      <c r="AG158" s="120">
        <f t="shared" si="29"/>
        <v>0</v>
      </c>
      <c r="AH158" s="120">
        <f t="shared" si="29"/>
        <v>0</v>
      </c>
      <c r="AI158" s="120">
        <f t="shared" si="29"/>
        <v>0</v>
      </c>
      <c r="AJ158" s="43" t="str">
        <f t="shared" si="21"/>
        <v/>
      </c>
      <c r="AK158" s="56"/>
      <c r="AL158" s="56" t="str">
        <f t="shared" si="24"/>
        <v>00</v>
      </c>
      <c r="AM158" s="58" t="str">
        <f t="shared" si="25"/>
        <v>00</v>
      </c>
      <c r="AN158" s="58" t="str">
        <f t="shared" si="26"/>
        <v>00</v>
      </c>
      <c r="AO158" s="58" t="str">
        <f t="shared" si="27"/>
        <v>00</v>
      </c>
      <c r="AQ158" s="185" t="str">
        <f t="shared" si="22"/>
        <v/>
      </c>
    </row>
    <row r="159" spans="2:43">
      <c r="B159" s="128"/>
      <c r="C159" s="43">
        <f t="shared" si="23"/>
        <v>23</v>
      </c>
      <c r="D159" s="120">
        <f t="shared" si="29"/>
        <v>0</v>
      </c>
      <c r="E159" s="120">
        <f t="shared" si="29"/>
        <v>0</v>
      </c>
      <c r="F159" s="120">
        <f t="shared" si="29"/>
        <v>0</v>
      </c>
      <c r="G159" s="120">
        <f t="shared" si="29"/>
        <v>0</v>
      </c>
      <c r="H159" s="120">
        <f t="shared" si="29"/>
        <v>0</v>
      </c>
      <c r="I159" s="120">
        <f t="shared" si="29"/>
        <v>0</v>
      </c>
      <c r="J159" s="120">
        <f t="shared" si="29"/>
        <v>0</v>
      </c>
      <c r="K159" s="120">
        <f t="shared" si="29"/>
        <v>0</v>
      </c>
      <c r="L159" s="120">
        <f t="shared" si="29"/>
        <v>0</v>
      </c>
      <c r="M159" s="120">
        <f t="shared" si="29"/>
        <v>0</v>
      </c>
      <c r="N159" s="120">
        <f t="shared" si="29"/>
        <v>0</v>
      </c>
      <c r="O159" s="120">
        <f t="shared" si="29"/>
        <v>0</v>
      </c>
      <c r="P159" s="120">
        <f t="shared" si="29"/>
        <v>0</v>
      </c>
      <c r="Q159" s="120">
        <f t="shared" si="29"/>
        <v>0</v>
      </c>
      <c r="R159" s="120">
        <f t="shared" si="29"/>
        <v>0</v>
      </c>
      <c r="S159" s="120">
        <f t="shared" si="29"/>
        <v>0</v>
      </c>
      <c r="T159" s="120">
        <f t="shared" si="29"/>
        <v>0</v>
      </c>
      <c r="U159" s="120">
        <f t="shared" si="29"/>
        <v>0</v>
      </c>
      <c r="V159" s="120">
        <f t="shared" si="29"/>
        <v>0</v>
      </c>
      <c r="W159" s="120">
        <f t="shared" si="29"/>
        <v>0</v>
      </c>
      <c r="X159" s="120">
        <f t="shared" si="29"/>
        <v>0</v>
      </c>
      <c r="Y159" s="120">
        <f t="shared" si="29"/>
        <v>0</v>
      </c>
      <c r="Z159" s="120">
        <f t="shared" si="29"/>
        <v>0</v>
      </c>
      <c r="AA159" s="120">
        <f t="shared" si="29"/>
        <v>0</v>
      </c>
      <c r="AB159" s="120">
        <f t="shared" si="29"/>
        <v>0</v>
      </c>
      <c r="AC159" s="120">
        <f t="shared" si="29"/>
        <v>0</v>
      </c>
      <c r="AD159" s="120">
        <f t="shared" si="29"/>
        <v>0</v>
      </c>
      <c r="AE159" s="120">
        <f t="shared" si="29"/>
        <v>0</v>
      </c>
      <c r="AF159" s="120">
        <f t="shared" si="29"/>
        <v>0</v>
      </c>
      <c r="AG159" s="120">
        <f t="shared" si="29"/>
        <v>0</v>
      </c>
      <c r="AH159" s="120">
        <f t="shared" si="29"/>
        <v>0</v>
      </c>
      <c r="AI159" s="120">
        <f>IF(OR(AI29=0,AI29=1),1,0)</f>
        <v>0</v>
      </c>
      <c r="AJ159" s="43" t="str">
        <f t="shared" si="21"/>
        <v/>
      </c>
      <c r="AK159" s="56"/>
      <c r="AL159" s="56" t="str">
        <f t="shared" si="24"/>
        <v>00</v>
      </c>
      <c r="AM159" s="58" t="str">
        <f t="shared" si="25"/>
        <v>00</v>
      </c>
      <c r="AN159" s="58" t="str">
        <f t="shared" si="26"/>
        <v>00</v>
      </c>
      <c r="AO159" s="58" t="str">
        <f t="shared" si="27"/>
        <v>00</v>
      </c>
      <c r="AQ159" s="185" t="str">
        <f t="shared" si="22"/>
        <v/>
      </c>
    </row>
    <row r="160" spans="2:43">
      <c r="B160" s="128"/>
      <c r="C160" s="43">
        <f t="shared" si="23"/>
        <v>24</v>
      </c>
      <c r="D160" s="120">
        <f t="shared" ref="D160:AI167" si="30">IF(OR(D30=0,D30=1),1,0)</f>
        <v>0</v>
      </c>
      <c r="E160" s="120">
        <f t="shared" si="30"/>
        <v>0</v>
      </c>
      <c r="F160" s="120">
        <f t="shared" si="30"/>
        <v>0</v>
      </c>
      <c r="G160" s="120">
        <f t="shared" si="30"/>
        <v>0</v>
      </c>
      <c r="H160" s="120">
        <f t="shared" si="30"/>
        <v>0</v>
      </c>
      <c r="I160" s="120">
        <f t="shared" si="30"/>
        <v>0</v>
      </c>
      <c r="J160" s="120">
        <f t="shared" si="30"/>
        <v>0</v>
      </c>
      <c r="K160" s="120">
        <f t="shared" si="30"/>
        <v>0</v>
      </c>
      <c r="L160" s="120">
        <f t="shared" si="30"/>
        <v>0</v>
      </c>
      <c r="M160" s="120">
        <f t="shared" si="30"/>
        <v>0</v>
      </c>
      <c r="N160" s="120">
        <f t="shared" si="30"/>
        <v>0</v>
      </c>
      <c r="O160" s="120">
        <f t="shared" si="30"/>
        <v>0</v>
      </c>
      <c r="P160" s="120">
        <f t="shared" si="30"/>
        <v>0</v>
      </c>
      <c r="Q160" s="120">
        <f t="shared" si="30"/>
        <v>0</v>
      </c>
      <c r="R160" s="120">
        <f t="shared" si="30"/>
        <v>0</v>
      </c>
      <c r="S160" s="120">
        <f t="shared" si="30"/>
        <v>0</v>
      </c>
      <c r="T160" s="120">
        <f t="shared" si="30"/>
        <v>0</v>
      </c>
      <c r="U160" s="120">
        <f t="shared" si="30"/>
        <v>0</v>
      </c>
      <c r="V160" s="120">
        <f t="shared" si="30"/>
        <v>0</v>
      </c>
      <c r="W160" s="120">
        <f t="shared" si="30"/>
        <v>0</v>
      </c>
      <c r="X160" s="120">
        <f t="shared" si="30"/>
        <v>0</v>
      </c>
      <c r="Y160" s="120">
        <f t="shared" si="30"/>
        <v>0</v>
      </c>
      <c r="Z160" s="120">
        <f t="shared" si="30"/>
        <v>0</v>
      </c>
      <c r="AA160" s="120">
        <f t="shared" si="30"/>
        <v>0</v>
      </c>
      <c r="AB160" s="120">
        <f t="shared" si="30"/>
        <v>0</v>
      </c>
      <c r="AC160" s="120">
        <f t="shared" si="30"/>
        <v>0</v>
      </c>
      <c r="AD160" s="120">
        <f t="shared" si="30"/>
        <v>0</v>
      </c>
      <c r="AE160" s="120">
        <f t="shared" si="30"/>
        <v>0</v>
      </c>
      <c r="AF160" s="120">
        <f t="shared" si="30"/>
        <v>0</v>
      </c>
      <c r="AG160" s="120">
        <f t="shared" si="30"/>
        <v>0</v>
      </c>
      <c r="AH160" s="120">
        <f t="shared" si="30"/>
        <v>0</v>
      </c>
      <c r="AI160" s="120">
        <f t="shared" si="30"/>
        <v>0</v>
      </c>
      <c r="AJ160" s="43" t="str">
        <f t="shared" si="21"/>
        <v/>
      </c>
      <c r="AK160" s="56"/>
      <c r="AL160" s="56" t="str">
        <f t="shared" si="24"/>
        <v>00</v>
      </c>
      <c r="AM160" s="58" t="str">
        <f t="shared" si="25"/>
        <v>00</v>
      </c>
      <c r="AN160" s="58" t="str">
        <f t="shared" si="26"/>
        <v>00</v>
      </c>
      <c r="AO160" s="58" t="str">
        <f t="shared" si="27"/>
        <v>00</v>
      </c>
      <c r="AQ160" s="185" t="str">
        <f t="shared" si="22"/>
        <v/>
      </c>
    </row>
    <row r="161" spans="2:43">
      <c r="B161" s="128"/>
      <c r="C161" s="43">
        <f t="shared" si="23"/>
        <v>25</v>
      </c>
      <c r="D161" s="120">
        <f t="shared" si="30"/>
        <v>0</v>
      </c>
      <c r="E161" s="120">
        <f t="shared" si="30"/>
        <v>0</v>
      </c>
      <c r="F161" s="120">
        <f t="shared" si="30"/>
        <v>0</v>
      </c>
      <c r="G161" s="120">
        <f t="shared" si="30"/>
        <v>0</v>
      </c>
      <c r="H161" s="120">
        <f t="shared" si="30"/>
        <v>0</v>
      </c>
      <c r="I161" s="120">
        <f t="shared" si="30"/>
        <v>0</v>
      </c>
      <c r="J161" s="120">
        <f t="shared" si="30"/>
        <v>0</v>
      </c>
      <c r="K161" s="120">
        <f t="shared" si="30"/>
        <v>0</v>
      </c>
      <c r="L161" s="120">
        <f t="shared" si="30"/>
        <v>0</v>
      </c>
      <c r="M161" s="120">
        <f t="shared" si="30"/>
        <v>0</v>
      </c>
      <c r="N161" s="120">
        <f t="shared" si="30"/>
        <v>0</v>
      </c>
      <c r="O161" s="120">
        <f t="shared" si="30"/>
        <v>0</v>
      </c>
      <c r="P161" s="120">
        <f t="shared" si="30"/>
        <v>0</v>
      </c>
      <c r="Q161" s="120">
        <f t="shared" si="30"/>
        <v>0</v>
      </c>
      <c r="R161" s="120">
        <f t="shared" si="30"/>
        <v>0</v>
      </c>
      <c r="S161" s="120">
        <f t="shared" si="30"/>
        <v>0</v>
      </c>
      <c r="T161" s="120">
        <f t="shared" si="30"/>
        <v>0</v>
      </c>
      <c r="U161" s="120">
        <f t="shared" si="30"/>
        <v>0</v>
      </c>
      <c r="V161" s="120">
        <f t="shared" si="30"/>
        <v>0</v>
      </c>
      <c r="W161" s="120">
        <f t="shared" si="30"/>
        <v>0</v>
      </c>
      <c r="X161" s="120">
        <f t="shared" si="30"/>
        <v>0</v>
      </c>
      <c r="Y161" s="120">
        <f t="shared" si="30"/>
        <v>0</v>
      </c>
      <c r="Z161" s="120">
        <f t="shared" si="30"/>
        <v>0</v>
      </c>
      <c r="AA161" s="120">
        <f t="shared" si="30"/>
        <v>0</v>
      </c>
      <c r="AB161" s="120">
        <f t="shared" si="30"/>
        <v>0</v>
      </c>
      <c r="AC161" s="120">
        <f t="shared" si="30"/>
        <v>0</v>
      </c>
      <c r="AD161" s="120">
        <f t="shared" si="30"/>
        <v>0</v>
      </c>
      <c r="AE161" s="120">
        <f t="shared" si="30"/>
        <v>0</v>
      </c>
      <c r="AF161" s="120">
        <f t="shared" si="30"/>
        <v>0</v>
      </c>
      <c r="AG161" s="120">
        <f t="shared" si="30"/>
        <v>0</v>
      </c>
      <c r="AH161" s="120">
        <f t="shared" si="30"/>
        <v>0</v>
      </c>
      <c r="AI161" s="120">
        <f t="shared" si="30"/>
        <v>0</v>
      </c>
      <c r="AJ161" s="43" t="str">
        <f t="shared" si="21"/>
        <v/>
      </c>
      <c r="AK161" s="56"/>
      <c r="AL161" s="56" t="str">
        <f t="shared" si="24"/>
        <v>00</v>
      </c>
      <c r="AM161" s="58" t="str">
        <f t="shared" si="25"/>
        <v>00</v>
      </c>
      <c r="AN161" s="58" t="str">
        <f t="shared" si="26"/>
        <v>00</v>
      </c>
      <c r="AO161" s="58" t="str">
        <f t="shared" si="27"/>
        <v>00</v>
      </c>
      <c r="AQ161" s="185" t="str">
        <f t="shared" si="22"/>
        <v/>
      </c>
    </row>
    <row r="162" spans="2:43">
      <c r="B162" s="128"/>
      <c r="C162" s="43">
        <f t="shared" si="23"/>
        <v>26</v>
      </c>
      <c r="D162" s="120">
        <f t="shared" si="30"/>
        <v>0</v>
      </c>
      <c r="E162" s="120">
        <f t="shared" si="30"/>
        <v>0</v>
      </c>
      <c r="F162" s="120">
        <f t="shared" si="30"/>
        <v>0</v>
      </c>
      <c r="G162" s="120">
        <f t="shared" si="30"/>
        <v>0</v>
      </c>
      <c r="H162" s="120">
        <f t="shared" si="30"/>
        <v>0</v>
      </c>
      <c r="I162" s="120">
        <f t="shared" si="30"/>
        <v>0</v>
      </c>
      <c r="J162" s="120">
        <f t="shared" si="30"/>
        <v>0</v>
      </c>
      <c r="K162" s="120">
        <f t="shared" si="30"/>
        <v>0</v>
      </c>
      <c r="L162" s="120">
        <f t="shared" si="30"/>
        <v>0</v>
      </c>
      <c r="M162" s="120">
        <f t="shared" si="30"/>
        <v>0</v>
      </c>
      <c r="N162" s="120">
        <f t="shared" si="30"/>
        <v>0</v>
      </c>
      <c r="O162" s="120">
        <f t="shared" si="30"/>
        <v>0</v>
      </c>
      <c r="P162" s="120">
        <f t="shared" si="30"/>
        <v>0</v>
      </c>
      <c r="Q162" s="120">
        <f t="shared" si="30"/>
        <v>0</v>
      </c>
      <c r="R162" s="120">
        <f t="shared" si="30"/>
        <v>0</v>
      </c>
      <c r="S162" s="120">
        <f t="shared" si="30"/>
        <v>0</v>
      </c>
      <c r="T162" s="120">
        <f t="shared" si="30"/>
        <v>0</v>
      </c>
      <c r="U162" s="120">
        <f t="shared" si="30"/>
        <v>0</v>
      </c>
      <c r="V162" s="120">
        <f t="shared" si="30"/>
        <v>0</v>
      </c>
      <c r="W162" s="120">
        <f t="shared" si="30"/>
        <v>0</v>
      </c>
      <c r="X162" s="120">
        <f t="shared" si="30"/>
        <v>0</v>
      </c>
      <c r="Y162" s="120">
        <f t="shared" si="30"/>
        <v>0</v>
      </c>
      <c r="Z162" s="120">
        <f t="shared" si="30"/>
        <v>0</v>
      </c>
      <c r="AA162" s="120">
        <f t="shared" si="30"/>
        <v>0</v>
      </c>
      <c r="AB162" s="120">
        <f t="shared" si="30"/>
        <v>0</v>
      </c>
      <c r="AC162" s="120">
        <f t="shared" si="30"/>
        <v>0</v>
      </c>
      <c r="AD162" s="120">
        <f t="shared" si="30"/>
        <v>0</v>
      </c>
      <c r="AE162" s="120">
        <f t="shared" si="30"/>
        <v>0</v>
      </c>
      <c r="AF162" s="120">
        <f t="shared" si="30"/>
        <v>0</v>
      </c>
      <c r="AG162" s="120">
        <f t="shared" si="30"/>
        <v>0</v>
      </c>
      <c r="AH162" s="120">
        <f t="shared" si="30"/>
        <v>0</v>
      </c>
      <c r="AI162" s="120">
        <f t="shared" si="30"/>
        <v>0</v>
      </c>
      <c r="AJ162" s="43" t="str">
        <f t="shared" si="21"/>
        <v/>
      </c>
      <c r="AK162" s="56"/>
      <c r="AL162" s="56" t="str">
        <f t="shared" si="24"/>
        <v>00</v>
      </c>
      <c r="AM162" s="58" t="str">
        <f t="shared" si="25"/>
        <v>00</v>
      </c>
      <c r="AN162" s="58" t="str">
        <f t="shared" si="26"/>
        <v>00</v>
      </c>
      <c r="AO162" s="58" t="str">
        <f t="shared" si="27"/>
        <v>00</v>
      </c>
      <c r="AQ162" s="185" t="str">
        <f t="shared" si="22"/>
        <v/>
      </c>
    </row>
    <row r="163" spans="2:43">
      <c r="B163" s="128"/>
      <c r="C163" s="43">
        <f t="shared" si="23"/>
        <v>27</v>
      </c>
      <c r="D163" s="120">
        <f t="shared" si="30"/>
        <v>0</v>
      </c>
      <c r="E163" s="120">
        <f t="shared" si="30"/>
        <v>0</v>
      </c>
      <c r="F163" s="120">
        <f t="shared" si="30"/>
        <v>0</v>
      </c>
      <c r="G163" s="120">
        <f t="shared" si="30"/>
        <v>0</v>
      </c>
      <c r="H163" s="120">
        <f t="shared" si="30"/>
        <v>0</v>
      </c>
      <c r="I163" s="120">
        <f t="shared" si="30"/>
        <v>0</v>
      </c>
      <c r="J163" s="120">
        <f t="shared" si="30"/>
        <v>0</v>
      </c>
      <c r="K163" s="120">
        <f t="shared" si="30"/>
        <v>0</v>
      </c>
      <c r="L163" s="120">
        <f t="shared" si="30"/>
        <v>0</v>
      </c>
      <c r="M163" s="120">
        <f t="shared" si="30"/>
        <v>0</v>
      </c>
      <c r="N163" s="120">
        <f t="shared" si="30"/>
        <v>0</v>
      </c>
      <c r="O163" s="120">
        <f t="shared" si="30"/>
        <v>0</v>
      </c>
      <c r="P163" s="120">
        <f t="shared" si="30"/>
        <v>0</v>
      </c>
      <c r="Q163" s="120">
        <f t="shared" si="30"/>
        <v>0</v>
      </c>
      <c r="R163" s="120">
        <f t="shared" si="30"/>
        <v>0</v>
      </c>
      <c r="S163" s="120">
        <f t="shared" si="30"/>
        <v>0</v>
      </c>
      <c r="T163" s="120">
        <f t="shared" si="30"/>
        <v>0</v>
      </c>
      <c r="U163" s="120">
        <f t="shared" si="30"/>
        <v>0</v>
      </c>
      <c r="V163" s="120">
        <f t="shared" si="30"/>
        <v>0</v>
      </c>
      <c r="W163" s="120">
        <f t="shared" si="30"/>
        <v>0</v>
      </c>
      <c r="X163" s="120">
        <f t="shared" si="30"/>
        <v>0</v>
      </c>
      <c r="Y163" s="120">
        <f t="shared" si="30"/>
        <v>0</v>
      </c>
      <c r="Z163" s="120">
        <f t="shared" si="30"/>
        <v>0</v>
      </c>
      <c r="AA163" s="120">
        <f t="shared" si="30"/>
        <v>0</v>
      </c>
      <c r="AB163" s="120">
        <f t="shared" si="30"/>
        <v>0</v>
      </c>
      <c r="AC163" s="120">
        <f t="shared" si="30"/>
        <v>0</v>
      </c>
      <c r="AD163" s="120">
        <f t="shared" si="30"/>
        <v>0</v>
      </c>
      <c r="AE163" s="120">
        <f t="shared" si="30"/>
        <v>0</v>
      </c>
      <c r="AF163" s="120">
        <f t="shared" si="30"/>
        <v>0</v>
      </c>
      <c r="AG163" s="120">
        <f t="shared" si="30"/>
        <v>0</v>
      </c>
      <c r="AH163" s="120">
        <f t="shared" si="30"/>
        <v>0</v>
      </c>
      <c r="AI163" s="120">
        <f t="shared" si="30"/>
        <v>0</v>
      </c>
      <c r="AJ163" s="43" t="str">
        <f t="shared" si="21"/>
        <v/>
      </c>
      <c r="AK163" s="56"/>
      <c r="AL163" s="56" t="str">
        <f t="shared" si="24"/>
        <v>00</v>
      </c>
      <c r="AM163" s="58" t="str">
        <f t="shared" si="25"/>
        <v>00</v>
      </c>
      <c r="AN163" s="58" t="str">
        <f t="shared" si="26"/>
        <v>00</v>
      </c>
      <c r="AO163" s="58" t="str">
        <f t="shared" si="27"/>
        <v>00</v>
      </c>
      <c r="AQ163" s="185" t="str">
        <f t="shared" si="22"/>
        <v/>
      </c>
    </row>
    <row r="164" spans="2:43">
      <c r="B164" s="128"/>
      <c r="C164" s="43">
        <f t="shared" si="23"/>
        <v>28</v>
      </c>
      <c r="D164" s="120">
        <f t="shared" si="30"/>
        <v>0</v>
      </c>
      <c r="E164" s="120">
        <f t="shared" si="30"/>
        <v>0</v>
      </c>
      <c r="F164" s="120">
        <f t="shared" si="30"/>
        <v>0</v>
      </c>
      <c r="G164" s="120">
        <f t="shared" si="30"/>
        <v>0</v>
      </c>
      <c r="H164" s="120">
        <f t="shared" si="30"/>
        <v>0</v>
      </c>
      <c r="I164" s="120">
        <f t="shared" si="30"/>
        <v>0</v>
      </c>
      <c r="J164" s="120">
        <f t="shared" si="30"/>
        <v>0</v>
      </c>
      <c r="K164" s="120">
        <f t="shared" si="30"/>
        <v>0</v>
      </c>
      <c r="L164" s="120">
        <f t="shared" si="30"/>
        <v>0</v>
      </c>
      <c r="M164" s="120">
        <f t="shared" si="30"/>
        <v>0</v>
      </c>
      <c r="N164" s="120">
        <f t="shared" si="30"/>
        <v>0</v>
      </c>
      <c r="O164" s="120">
        <f t="shared" si="30"/>
        <v>0</v>
      </c>
      <c r="P164" s="120">
        <f t="shared" si="30"/>
        <v>0</v>
      </c>
      <c r="Q164" s="120">
        <f t="shared" si="30"/>
        <v>0</v>
      </c>
      <c r="R164" s="120">
        <f t="shared" si="30"/>
        <v>0</v>
      </c>
      <c r="S164" s="120">
        <f t="shared" si="30"/>
        <v>0</v>
      </c>
      <c r="T164" s="120">
        <f t="shared" si="30"/>
        <v>0</v>
      </c>
      <c r="U164" s="120">
        <f t="shared" si="30"/>
        <v>0</v>
      </c>
      <c r="V164" s="120">
        <f t="shared" si="30"/>
        <v>0</v>
      </c>
      <c r="W164" s="120">
        <f t="shared" si="30"/>
        <v>0</v>
      </c>
      <c r="X164" s="120">
        <f t="shared" si="30"/>
        <v>0</v>
      </c>
      <c r="Y164" s="120">
        <f t="shared" si="30"/>
        <v>0</v>
      </c>
      <c r="Z164" s="120">
        <f t="shared" si="30"/>
        <v>0</v>
      </c>
      <c r="AA164" s="120">
        <f t="shared" si="30"/>
        <v>0</v>
      </c>
      <c r="AB164" s="120">
        <f t="shared" si="30"/>
        <v>0</v>
      </c>
      <c r="AC164" s="120">
        <f t="shared" si="30"/>
        <v>0</v>
      </c>
      <c r="AD164" s="120">
        <f t="shared" si="30"/>
        <v>0</v>
      </c>
      <c r="AE164" s="120">
        <f t="shared" si="30"/>
        <v>0</v>
      </c>
      <c r="AF164" s="120">
        <f t="shared" si="30"/>
        <v>0</v>
      </c>
      <c r="AG164" s="120">
        <f t="shared" si="30"/>
        <v>0</v>
      </c>
      <c r="AH164" s="120">
        <f t="shared" si="30"/>
        <v>0</v>
      </c>
      <c r="AI164" s="120">
        <f t="shared" si="30"/>
        <v>0</v>
      </c>
      <c r="AJ164" s="43" t="str">
        <f t="shared" si="21"/>
        <v/>
      </c>
      <c r="AK164" s="56"/>
      <c r="AL164" s="56" t="str">
        <f t="shared" si="24"/>
        <v>00</v>
      </c>
      <c r="AM164" s="58" t="str">
        <f t="shared" si="25"/>
        <v>00</v>
      </c>
      <c r="AN164" s="58" t="str">
        <f t="shared" si="26"/>
        <v>00</v>
      </c>
      <c r="AO164" s="58" t="str">
        <f t="shared" si="27"/>
        <v>00</v>
      </c>
      <c r="AQ164" s="185" t="str">
        <f t="shared" si="22"/>
        <v/>
      </c>
    </row>
    <row r="165" spans="2:43">
      <c r="B165" s="128"/>
      <c r="C165" s="43">
        <f t="shared" si="23"/>
        <v>29</v>
      </c>
      <c r="D165" s="120">
        <f t="shared" si="30"/>
        <v>0</v>
      </c>
      <c r="E165" s="120">
        <f t="shared" si="30"/>
        <v>0</v>
      </c>
      <c r="F165" s="120">
        <f t="shared" si="30"/>
        <v>0</v>
      </c>
      <c r="G165" s="120">
        <f t="shared" si="30"/>
        <v>0</v>
      </c>
      <c r="H165" s="120">
        <f t="shared" si="30"/>
        <v>0</v>
      </c>
      <c r="I165" s="120">
        <f t="shared" si="30"/>
        <v>0</v>
      </c>
      <c r="J165" s="120">
        <f t="shared" si="30"/>
        <v>0</v>
      </c>
      <c r="K165" s="120">
        <f t="shared" si="30"/>
        <v>0</v>
      </c>
      <c r="L165" s="120">
        <f t="shared" si="30"/>
        <v>0</v>
      </c>
      <c r="M165" s="120">
        <f t="shared" si="30"/>
        <v>0</v>
      </c>
      <c r="N165" s="120">
        <f t="shared" si="30"/>
        <v>0</v>
      </c>
      <c r="O165" s="120">
        <f t="shared" si="30"/>
        <v>0</v>
      </c>
      <c r="P165" s="120">
        <f t="shared" si="30"/>
        <v>0</v>
      </c>
      <c r="Q165" s="120">
        <f t="shared" si="30"/>
        <v>0</v>
      </c>
      <c r="R165" s="120">
        <f t="shared" si="30"/>
        <v>0</v>
      </c>
      <c r="S165" s="120">
        <f t="shared" si="30"/>
        <v>0</v>
      </c>
      <c r="T165" s="120">
        <f t="shared" si="30"/>
        <v>0</v>
      </c>
      <c r="U165" s="120">
        <f t="shared" si="30"/>
        <v>0</v>
      </c>
      <c r="V165" s="120">
        <f t="shared" si="30"/>
        <v>0</v>
      </c>
      <c r="W165" s="120">
        <f t="shared" si="30"/>
        <v>0</v>
      </c>
      <c r="X165" s="120">
        <f t="shared" si="30"/>
        <v>0</v>
      </c>
      <c r="Y165" s="120">
        <f t="shared" si="30"/>
        <v>0</v>
      </c>
      <c r="Z165" s="120">
        <f t="shared" si="30"/>
        <v>0</v>
      </c>
      <c r="AA165" s="120">
        <f t="shared" si="30"/>
        <v>0</v>
      </c>
      <c r="AB165" s="120">
        <f t="shared" si="30"/>
        <v>0</v>
      </c>
      <c r="AC165" s="120">
        <f t="shared" si="30"/>
        <v>0</v>
      </c>
      <c r="AD165" s="120">
        <f t="shared" si="30"/>
        <v>0</v>
      </c>
      <c r="AE165" s="120">
        <f t="shared" si="30"/>
        <v>0</v>
      </c>
      <c r="AF165" s="120">
        <f t="shared" si="30"/>
        <v>0</v>
      </c>
      <c r="AG165" s="120">
        <f t="shared" si="30"/>
        <v>0</v>
      </c>
      <c r="AH165" s="120">
        <f t="shared" si="30"/>
        <v>0</v>
      </c>
      <c r="AI165" s="120">
        <f t="shared" si="30"/>
        <v>0</v>
      </c>
      <c r="AJ165" s="43" t="str">
        <f t="shared" si="21"/>
        <v/>
      </c>
      <c r="AK165" s="56"/>
      <c r="AL165" s="56" t="str">
        <f t="shared" si="24"/>
        <v>00</v>
      </c>
      <c r="AM165" s="58" t="str">
        <f t="shared" si="25"/>
        <v>00</v>
      </c>
      <c r="AN165" s="58" t="str">
        <f t="shared" si="26"/>
        <v>00</v>
      </c>
      <c r="AO165" s="58" t="str">
        <f t="shared" si="27"/>
        <v>00</v>
      </c>
      <c r="AQ165" s="185" t="str">
        <f t="shared" si="22"/>
        <v/>
      </c>
    </row>
    <row r="166" spans="2:43">
      <c r="B166" s="128"/>
      <c r="C166" s="43">
        <f t="shared" si="23"/>
        <v>30</v>
      </c>
      <c r="D166" s="120">
        <f t="shared" si="30"/>
        <v>0</v>
      </c>
      <c r="E166" s="120">
        <f t="shared" si="30"/>
        <v>0</v>
      </c>
      <c r="F166" s="120">
        <f t="shared" si="30"/>
        <v>0</v>
      </c>
      <c r="G166" s="120">
        <f t="shared" si="30"/>
        <v>0</v>
      </c>
      <c r="H166" s="120">
        <f t="shared" si="30"/>
        <v>0</v>
      </c>
      <c r="I166" s="120">
        <f t="shared" si="30"/>
        <v>0</v>
      </c>
      <c r="J166" s="120">
        <f t="shared" si="30"/>
        <v>0</v>
      </c>
      <c r="K166" s="120">
        <f t="shared" si="30"/>
        <v>0</v>
      </c>
      <c r="L166" s="120">
        <f t="shared" si="30"/>
        <v>0</v>
      </c>
      <c r="M166" s="120">
        <f t="shared" si="30"/>
        <v>0</v>
      </c>
      <c r="N166" s="120">
        <f t="shared" si="30"/>
        <v>0</v>
      </c>
      <c r="O166" s="120">
        <f t="shared" si="30"/>
        <v>0</v>
      </c>
      <c r="P166" s="120">
        <f t="shared" si="30"/>
        <v>0</v>
      </c>
      <c r="Q166" s="120">
        <f t="shared" si="30"/>
        <v>0</v>
      </c>
      <c r="R166" s="120">
        <f t="shared" si="30"/>
        <v>0</v>
      </c>
      <c r="S166" s="120">
        <f t="shared" si="30"/>
        <v>0</v>
      </c>
      <c r="T166" s="120">
        <f t="shared" si="30"/>
        <v>0</v>
      </c>
      <c r="U166" s="120">
        <f t="shared" si="30"/>
        <v>0</v>
      </c>
      <c r="V166" s="120">
        <f t="shared" si="30"/>
        <v>0</v>
      </c>
      <c r="W166" s="120">
        <f t="shared" si="30"/>
        <v>0</v>
      </c>
      <c r="X166" s="120">
        <f t="shared" si="30"/>
        <v>0</v>
      </c>
      <c r="Y166" s="120">
        <f t="shared" si="30"/>
        <v>0</v>
      </c>
      <c r="Z166" s="120">
        <f t="shared" si="30"/>
        <v>0</v>
      </c>
      <c r="AA166" s="120">
        <f t="shared" si="30"/>
        <v>0</v>
      </c>
      <c r="AB166" s="120">
        <f t="shared" si="30"/>
        <v>0</v>
      </c>
      <c r="AC166" s="120">
        <f t="shared" si="30"/>
        <v>0</v>
      </c>
      <c r="AD166" s="120">
        <f t="shared" si="30"/>
        <v>0</v>
      </c>
      <c r="AE166" s="120">
        <f t="shared" si="30"/>
        <v>0</v>
      </c>
      <c r="AF166" s="120">
        <f t="shared" si="30"/>
        <v>0</v>
      </c>
      <c r="AG166" s="120">
        <f t="shared" si="30"/>
        <v>0</v>
      </c>
      <c r="AH166" s="120">
        <f t="shared" si="30"/>
        <v>0</v>
      </c>
      <c r="AI166" s="120">
        <f t="shared" si="30"/>
        <v>0</v>
      </c>
      <c r="AJ166" s="43" t="str">
        <f t="shared" si="21"/>
        <v/>
      </c>
      <c r="AK166" s="56"/>
      <c r="AL166" s="56" t="str">
        <f t="shared" si="24"/>
        <v>00</v>
      </c>
      <c r="AM166" s="58" t="str">
        <f t="shared" si="25"/>
        <v>00</v>
      </c>
      <c r="AN166" s="58" t="str">
        <f t="shared" si="26"/>
        <v>00</v>
      </c>
      <c r="AO166" s="58" t="str">
        <f t="shared" si="27"/>
        <v>00</v>
      </c>
      <c r="AQ166" s="185" t="str">
        <f t="shared" si="22"/>
        <v/>
      </c>
    </row>
    <row r="167" spans="2:43">
      <c r="B167" s="128"/>
      <c r="C167" s="43">
        <f t="shared" si="23"/>
        <v>31</v>
      </c>
      <c r="D167" s="120">
        <f t="shared" si="30"/>
        <v>0</v>
      </c>
      <c r="E167" s="120">
        <f t="shared" si="30"/>
        <v>0</v>
      </c>
      <c r="F167" s="120">
        <f t="shared" si="30"/>
        <v>0</v>
      </c>
      <c r="G167" s="120">
        <f t="shared" si="30"/>
        <v>0</v>
      </c>
      <c r="H167" s="120">
        <f t="shared" si="30"/>
        <v>0</v>
      </c>
      <c r="I167" s="120">
        <f t="shared" si="30"/>
        <v>0</v>
      </c>
      <c r="J167" s="120">
        <f t="shared" si="30"/>
        <v>0</v>
      </c>
      <c r="K167" s="120">
        <f t="shared" si="30"/>
        <v>0</v>
      </c>
      <c r="L167" s="120">
        <f t="shared" si="30"/>
        <v>0</v>
      </c>
      <c r="M167" s="120">
        <f t="shared" si="30"/>
        <v>0</v>
      </c>
      <c r="N167" s="120">
        <f t="shared" si="30"/>
        <v>0</v>
      </c>
      <c r="O167" s="120">
        <f t="shared" si="30"/>
        <v>0</v>
      </c>
      <c r="P167" s="120">
        <f t="shared" si="30"/>
        <v>0</v>
      </c>
      <c r="Q167" s="120">
        <f t="shared" si="30"/>
        <v>0</v>
      </c>
      <c r="R167" s="120">
        <f t="shared" si="30"/>
        <v>0</v>
      </c>
      <c r="S167" s="120">
        <f t="shared" si="30"/>
        <v>0</v>
      </c>
      <c r="T167" s="120">
        <f t="shared" si="30"/>
        <v>0</v>
      </c>
      <c r="U167" s="120">
        <f t="shared" si="30"/>
        <v>0</v>
      </c>
      <c r="V167" s="120">
        <f t="shared" si="30"/>
        <v>0</v>
      </c>
      <c r="W167" s="120">
        <f t="shared" si="30"/>
        <v>0</v>
      </c>
      <c r="X167" s="120">
        <f t="shared" si="30"/>
        <v>0</v>
      </c>
      <c r="Y167" s="120">
        <f t="shared" si="30"/>
        <v>0</v>
      </c>
      <c r="Z167" s="120">
        <f t="shared" si="30"/>
        <v>0</v>
      </c>
      <c r="AA167" s="120">
        <f t="shared" si="30"/>
        <v>0</v>
      </c>
      <c r="AB167" s="120">
        <f t="shared" si="30"/>
        <v>0</v>
      </c>
      <c r="AC167" s="120">
        <f t="shared" si="30"/>
        <v>0</v>
      </c>
      <c r="AD167" s="120">
        <f t="shared" si="30"/>
        <v>0</v>
      </c>
      <c r="AE167" s="120">
        <f t="shared" si="30"/>
        <v>0</v>
      </c>
      <c r="AF167" s="120">
        <f t="shared" si="30"/>
        <v>0</v>
      </c>
      <c r="AG167" s="120">
        <f t="shared" si="30"/>
        <v>0</v>
      </c>
      <c r="AH167" s="120">
        <f t="shared" si="30"/>
        <v>0</v>
      </c>
      <c r="AI167" s="120">
        <f>IF(OR(AI37=0,AI37=1),1,0)</f>
        <v>0</v>
      </c>
      <c r="AJ167" s="43" t="str">
        <f t="shared" si="21"/>
        <v/>
      </c>
      <c r="AK167" s="56"/>
      <c r="AL167" s="56" t="str">
        <f t="shared" si="24"/>
        <v>00</v>
      </c>
      <c r="AM167" s="58" t="str">
        <f t="shared" si="25"/>
        <v>00</v>
      </c>
      <c r="AN167" s="58" t="str">
        <f t="shared" si="26"/>
        <v>00</v>
      </c>
      <c r="AO167" s="58" t="str">
        <f t="shared" si="27"/>
        <v>00</v>
      </c>
      <c r="AQ167" s="185" t="str">
        <f t="shared" si="22"/>
        <v/>
      </c>
    </row>
    <row r="168" spans="2:43">
      <c r="B168" s="128"/>
      <c r="C168" s="43">
        <f t="shared" si="23"/>
        <v>32</v>
      </c>
      <c r="D168" s="120">
        <f t="shared" ref="D168:AI175" si="31">IF(OR(D38=0,D38=1),1,0)</f>
        <v>0</v>
      </c>
      <c r="E168" s="120">
        <f t="shared" si="31"/>
        <v>0</v>
      </c>
      <c r="F168" s="120">
        <f t="shared" si="31"/>
        <v>0</v>
      </c>
      <c r="G168" s="120">
        <f t="shared" si="31"/>
        <v>0</v>
      </c>
      <c r="H168" s="120">
        <f t="shared" si="31"/>
        <v>0</v>
      </c>
      <c r="I168" s="120">
        <f t="shared" si="31"/>
        <v>0</v>
      </c>
      <c r="J168" s="120">
        <f t="shared" si="31"/>
        <v>0</v>
      </c>
      <c r="K168" s="120">
        <f t="shared" si="31"/>
        <v>0</v>
      </c>
      <c r="L168" s="120">
        <f t="shared" si="31"/>
        <v>0</v>
      </c>
      <c r="M168" s="120">
        <f t="shared" si="31"/>
        <v>0</v>
      </c>
      <c r="N168" s="120">
        <f t="shared" si="31"/>
        <v>0</v>
      </c>
      <c r="O168" s="120">
        <f t="shared" si="31"/>
        <v>0</v>
      </c>
      <c r="P168" s="120">
        <f t="shared" si="31"/>
        <v>0</v>
      </c>
      <c r="Q168" s="120">
        <f t="shared" si="31"/>
        <v>0</v>
      </c>
      <c r="R168" s="120">
        <f t="shared" si="31"/>
        <v>0</v>
      </c>
      <c r="S168" s="120">
        <f t="shared" si="31"/>
        <v>0</v>
      </c>
      <c r="T168" s="120">
        <f t="shared" si="31"/>
        <v>0</v>
      </c>
      <c r="U168" s="120">
        <f t="shared" si="31"/>
        <v>0</v>
      </c>
      <c r="V168" s="120">
        <f t="shared" si="31"/>
        <v>0</v>
      </c>
      <c r="W168" s="120">
        <f t="shared" si="31"/>
        <v>0</v>
      </c>
      <c r="X168" s="120">
        <f t="shared" si="31"/>
        <v>0</v>
      </c>
      <c r="Y168" s="120">
        <f t="shared" si="31"/>
        <v>0</v>
      </c>
      <c r="Z168" s="120">
        <f t="shared" si="31"/>
        <v>0</v>
      </c>
      <c r="AA168" s="120">
        <f t="shared" si="31"/>
        <v>0</v>
      </c>
      <c r="AB168" s="120">
        <f t="shared" si="31"/>
        <v>0</v>
      </c>
      <c r="AC168" s="120">
        <f t="shared" si="31"/>
        <v>0</v>
      </c>
      <c r="AD168" s="120">
        <f t="shared" si="31"/>
        <v>0</v>
      </c>
      <c r="AE168" s="120">
        <f t="shared" si="31"/>
        <v>0</v>
      </c>
      <c r="AF168" s="120">
        <f t="shared" si="31"/>
        <v>0</v>
      </c>
      <c r="AG168" s="120">
        <f t="shared" si="31"/>
        <v>0</v>
      </c>
      <c r="AH168" s="120">
        <f t="shared" si="31"/>
        <v>0</v>
      </c>
      <c r="AI168" s="120">
        <f t="shared" si="31"/>
        <v>0</v>
      </c>
      <c r="AJ168" s="43" t="str">
        <f t="shared" si="21"/>
        <v/>
      </c>
      <c r="AK168" s="56"/>
      <c r="AL168" s="56" t="str">
        <f t="shared" si="24"/>
        <v>00</v>
      </c>
      <c r="AM168" s="58" t="str">
        <f t="shared" si="25"/>
        <v>00</v>
      </c>
      <c r="AN168" s="58" t="str">
        <f t="shared" si="26"/>
        <v>00</v>
      </c>
      <c r="AO168" s="58" t="str">
        <f t="shared" si="27"/>
        <v>00</v>
      </c>
      <c r="AQ168" s="185" t="str">
        <f t="shared" si="22"/>
        <v/>
      </c>
    </row>
    <row r="169" spans="2:43">
      <c r="B169" s="128"/>
      <c r="C169" s="43">
        <f t="shared" si="23"/>
        <v>33</v>
      </c>
      <c r="D169" s="120">
        <f t="shared" si="31"/>
        <v>0</v>
      </c>
      <c r="E169" s="120">
        <f t="shared" si="31"/>
        <v>0</v>
      </c>
      <c r="F169" s="120">
        <f t="shared" si="31"/>
        <v>0</v>
      </c>
      <c r="G169" s="120">
        <f t="shared" si="31"/>
        <v>0</v>
      </c>
      <c r="H169" s="120">
        <f t="shared" si="31"/>
        <v>0</v>
      </c>
      <c r="I169" s="120">
        <f t="shared" si="31"/>
        <v>0</v>
      </c>
      <c r="J169" s="120">
        <f t="shared" si="31"/>
        <v>0</v>
      </c>
      <c r="K169" s="120">
        <f t="shared" si="31"/>
        <v>0</v>
      </c>
      <c r="L169" s="120">
        <f t="shared" si="31"/>
        <v>0</v>
      </c>
      <c r="M169" s="120">
        <f t="shared" si="31"/>
        <v>0</v>
      </c>
      <c r="N169" s="120">
        <f t="shared" si="31"/>
        <v>0</v>
      </c>
      <c r="O169" s="120">
        <f t="shared" si="31"/>
        <v>0</v>
      </c>
      <c r="P169" s="120">
        <f t="shared" si="31"/>
        <v>0</v>
      </c>
      <c r="Q169" s="120">
        <f t="shared" si="31"/>
        <v>0</v>
      </c>
      <c r="R169" s="120">
        <f t="shared" si="31"/>
        <v>0</v>
      </c>
      <c r="S169" s="120">
        <f t="shared" si="31"/>
        <v>0</v>
      </c>
      <c r="T169" s="120">
        <f t="shared" si="31"/>
        <v>0</v>
      </c>
      <c r="U169" s="120">
        <f t="shared" si="31"/>
        <v>0</v>
      </c>
      <c r="V169" s="120">
        <f t="shared" si="31"/>
        <v>0</v>
      </c>
      <c r="W169" s="120">
        <f t="shared" si="31"/>
        <v>0</v>
      </c>
      <c r="X169" s="120">
        <f t="shared" si="31"/>
        <v>0</v>
      </c>
      <c r="Y169" s="120">
        <f t="shared" si="31"/>
        <v>0</v>
      </c>
      <c r="Z169" s="120">
        <f t="shared" si="31"/>
        <v>0</v>
      </c>
      <c r="AA169" s="120">
        <f t="shared" si="31"/>
        <v>0</v>
      </c>
      <c r="AB169" s="120">
        <f t="shared" si="31"/>
        <v>0</v>
      </c>
      <c r="AC169" s="120">
        <f t="shared" si="31"/>
        <v>0</v>
      </c>
      <c r="AD169" s="120">
        <f t="shared" si="31"/>
        <v>0</v>
      </c>
      <c r="AE169" s="120">
        <f t="shared" si="31"/>
        <v>0</v>
      </c>
      <c r="AF169" s="120">
        <f t="shared" si="31"/>
        <v>0</v>
      </c>
      <c r="AG169" s="120">
        <f t="shared" si="31"/>
        <v>0</v>
      </c>
      <c r="AH169" s="120">
        <f t="shared" si="31"/>
        <v>0</v>
      </c>
      <c r="AI169" s="120">
        <f t="shared" si="31"/>
        <v>0</v>
      </c>
      <c r="AJ169" s="43" t="str">
        <f t="shared" si="21"/>
        <v/>
      </c>
      <c r="AK169" s="56"/>
      <c r="AL169" s="56" t="str">
        <f t="shared" si="24"/>
        <v>00</v>
      </c>
      <c r="AM169" s="58" t="str">
        <f t="shared" si="25"/>
        <v>00</v>
      </c>
      <c r="AN169" s="58" t="str">
        <f t="shared" si="26"/>
        <v>00</v>
      </c>
      <c r="AO169" s="58" t="str">
        <f t="shared" si="27"/>
        <v>00</v>
      </c>
      <c r="AQ169" s="185" t="str">
        <f t="shared" si="22"/>
        <v/>
      </c>
    </row>
    <row r="170" spans="2:43">
      <c r="B170" s="128"/>
      <c r="C170" s="43">
        <f t="shared" si="23"/>
        <v>34</v>
      </c>
      <c r="D170" s="120">
        <f t="shared" si="31"/>
        <v>0</v>
      </c>
      <c r="E170" s="120">
        <f t="shared" si="31"/>
        <v>0</v>
      </c>
      <c r="F170" s="120">
        <f t="shared" si="31"/>
        <v>0</v>
      </c>
      <c r="G170" s="120">
        <f t="shared" si="31"/>
        <v>0</v>
      </c>
      <c r="H170" s="120">
        <f t="shared" si="31"/>
        <v>0</v>
      </c>
      <c r="I170" s="120">
        <f t="shared" si="31"/>
        <v>0</v>
      </c>
      <c r="J170" s="120">
        <f t="shared" si="31"/>
        <v>0</v>
      </c>
      <c r="K170" s="120">
        <f t="shared" si="31"/>
        <v>0</v>
      </c>
      <c r="L170" s="120">
        <f t="shared" si="31"/>
        <v>0</v>
      </c>
      <c r="M170" s="120">
        <f t="shared" si="31"/>
        <v>0</v>
      </c>
      <c r="N170" s="120">
        <f t="shared" si="31"/>
        <v>0</v>
      </c>
      <c r="O170" s="120">
        <f t="shared" si="31"/>
        <v>0</v>
      </c>
      <c r="P170" s="120">
        <f t="shared" si="31"/>
        <v>0</v>
      </c>
      <c r="Q170" s="120">
        <f t="shared" si="31"/>
        <v>0</v>
      </c>
      <c r="R170" s="120">
        <f t="shared" si="31"/>
        <v>0</v>
      </c>
      <c r="S170" s="120">
        <f t="shared" si="31"/>
        <v>0</v>
      </c>
      <c r="T170" s="120">
        <f t="shared" si="31"/>
        <v>0</v>
      </c>
      <c r="U170" s="120">
        <f t="shared" si="31"/>
        <v>0</v>
      </c>
      <c r="V170" s="120">
        <f t="shared" si="31"/>
        <v>0</v>
      </c>
      <c r="W170" s="120">
        <f t="shared" si="31"/>
        <v>0</v>
      </c>
      <c r="X170" s="120">
        <f t="shared" si="31"/>
        <v>0</v>
      </c>
      <c r="Y170" s="120">
        <f t="shared" si="31"/>
        <v>0</v>
      </c>
      <c r="Z170" s="120">
        <f t="shared" si="31"/>
        <v>0</v>
      </c>
      <c r="AA170" s="120">
        <f t="shared" si="31"/>
        <v>0</v>
      </c>
      <c r="AB170" s="120">
        <f t="shared" si="31"/>
        <v>0</v>
      </c>
      <c r="AC170" s="120">
        <f t="shared" si="31"/>
        <v>0</v>
      </c>
      <c r="AD170" s="120">
        <f t="shared" si="31"/>
        <v>0</v>
      </c>
      <c r="AE170" s="120">
        <f t="shared" si="31"/>
        <v>0</v>
      </c>
      <c r="AF170" s="120">
        <f t="shared" si="31"/>
        <v>0</v>
      </c>
      <c r="AG170" s="120">
        <f t="shared" si="31"/>
        <v>0</v>
      </c>
      <c r="AH170" s="120">
        <f t="shared" si="31"/>
        <v>0</v>
      </c>
      <c r="AI170" s="120">
        <f t="shared" si="31"/>
        <v>0</v>
      </c>
      <c r="AJ170" s="43" t="str">
        <f t="shared" si="21"/>
        <v/>
      </c>
      <c r="AK170" s="56"/>
      <c r="AL170" s="56" t="str">
        <f t="shared" si="24"/>
        <v>00</v>
      </c>
      <c r="AM170" s="58" t="str">
        <f t="shared" si="25"/>
        <v>00</v>
      </c>
      <c r="AN170" s="58" t="str">
        <f t="shared" si="26"/>
        <v>00</v>
      </c>
      <c r="AO170" s="58" t="str">
        <f t="shared" si="27"/>
        <v>00</v>
      </c>
      <c r="AQ170" s="185" t="str">
        <f t="shared" si="22"/>
        <v/>
      </c>
    </row>
    <row r="171" spans="2:43">
      <c r="B171" s="128"/>
      <c r="C171" s="43">
        <f t="shared" si="23"/>
        <v>35</v>
      </c>
      <c r="D171" s="120">
        <f t="shared" si="31"/>
        <v>0</v>
      </c>
      <c r="E171" s="120">
        <f t="shared" si="31"/>
        <v>0</v>
      </c>
      <c r="F171" s="120">
        <f t="shared" si="31"/>
        <v>0</v>
      </c>
      <c r="G171" s="120">
        <f t="shared" si="31"/>
        <v>0</v>
      </c>
      <c r="H171" s="120">
        <f t="shared" si="31"/>
        <v>0</v>
      </c>
      <c r="I171" s="120">
        <f t="shared" si="31"/>
        <v>0</v>
      </c>
      <c r="J171" s="120">
        <f t="shared" si="31"/>
        <v>0</v>
      </c>
      <c r="K171" s="120">
        <f t="shared" si="31"/>
        <v>0</v>
      </c>
      <c r="L171" s="120">
        <f t="shared" si="31"/>
        <v>0</v>
      </c>
      <c r="M171" s="120">
        <f t="shared" si="31"/>
        <v>0</v>
      </c>
      <c r="N171" s="120">
        <f t="shared" si="31"/>
        <v>0</v>
      </c>
      <c r="O171" s="120">
        <f t="shared" si="31"/>
        <v>0</v>
      </c>
      <c r="P171" s="120">
        <f t="shared" si="31"/>
        <v>0</v>
      </c>
      <c r="Q171" s="120">
        <f t="shared" si="31"/>
        <v>0</v>
      </c>
      <c r="R171" s="120">
        <f t="shared" si="31"/>
        <v>0</v>
      </c>
      <c r="S171" s="120">
        <f t="shared" si="31"/>
        <v>0</v>
      </c>
      <c r="T171" s="120">
        <f t="shared" si="31"/>
        <v>0</v>
      </c>
      <c r="U171" s="120">
        <f t="shared" si="31"/>
        <v>0</v>
      </c>
      <c r="V171" s="120">
        <f t="shared" si="31"/>
        <v>0</v>
      </c>
      <c r="W171" s="120">
        <f t="shared" si="31"/>
        <v>0</v>
      </c>
      <c r="X171" s="120">
        <f t="shared" si="31"/>
        <v>0</v>
      </c>
      <c r="Y171" s="120">
        <f t="shared" si="31"/>
        <v>0</v>
      </c>
      <c r="Z171" s="120">
        <f t="shared" si="31"/>
        <v>0</v>
      </c>
      <c r="AA171" s="120">
        <f t="shared" si="31"/>
        <v>0</v>
      </c>
      <c r="AB171" s="120">
        <f t="shared" si="31"/>
        <v>0</v>
      </c>
      <c r="AC171" s="120">
        <f t="shared" si="31"/>
        <v>0</v>
      </c>
      <c r="AD171" s="120">
        <f t="shared" si="31"/>
        <v>0</v>
      </c>
      <c r="AE171" s="120">
        <f t="shared" si="31"/>
        <v>0</v>
      </c>
      <c r="AF171" s="120">
        <f t="shared" si="31"/>
        <v>0</v>
      </c>
      <c r="AG171" s="120">
        <f t="shared" si="31"/>
        <v>0</v>
      </c>
      <c r="AH171" s="120">
        <f t="shared" si="31"/>
        <v>0</v>
      </c>
      <c r="AI171" s="120">
        <f t="shared" si="31"/>
        <v>0</v>
      </c>
      <c r="AJ171" s="43" t="str">
        <f t="shared" si="21"/>
        <v/>
      </c>
      <c r="AK171" s="56"/>
      <c r="AL171" s="56" t="str">
        <f t="shared" si="24"/>
        <v>00</v>
      </c>
      <c r="AM171" s="58" t="str">
        <f t="shared" si="25"/>
        <v>00</v>
      </c>
      <c r="AN171" s="58" t="str">
        <f t="shared" si="26"/>
        <v>00</v>
      </c>
      <c r="AO171" s="58" t="str">
        <f t="shared" si="27"/>
        <v>00</v>
      </c>
      <c r="AQ171" s="185" t="str">
        <f t="shared" si="22"/>
        <v/>
      </c>
    </row>
    <row r="172" spans="2:43">
      <c r="B172" s="128"/>
      <c r="C172" s="43">
        <f t="shared" si="23"/>
        <v>36</v>
      </c>
      <c r="D172" s="120">
        <f t="shared" si="31"/>
        <v>0</v>
      </c>
      <c r="E172" s="120">
        <f t="shared" si="31"/>
        <v>0</v>
      </c>
      <c r="F172" s="120">
        <f t="shared" si="31"/>
        <v>0</v>
      </c>
      <c r="G172" s="120">
        <f t="shared" si="31"/>
        <v>0</v>
      </c>
      <c r="H172" s="120">
        <f t="shared" si="31"/>
        <v>0</v>
      </c>
      <c r="I172" s="120">
        <f t="shared" si="31"/>
        <v>0</v>
      </c>
      <c r="J172" s="120">
        <f t="shared" si="31"/>
        <v>0</v>
      </c>
      <c r="K172" s="120">
        <f t="shared" si="31"/>
        <v>0</v>
      </c>
      <c r="L172" s="120">
        <f t="shared" si="31"/>
        <v>0</v>
      </c>
      <c r="M172" s="120">
        <f t="shared" si="31"/>
        <v>0</v>
      </c>
      <c r="N172" s="120">
        <f t="shared" si="31"/>
        <v>0</v>
      </c>
      <c r="O172" s="120">
        <f t="shared" si="31"/>
        <v>0</v>
      </c>
      <c r="P172" s="120">
        <f t="shared" si="31"/>
        <v>0</v>
      </c>
      <c r="Q172" s="120">
        <f t="shared" si="31"/>
        <v>0</v>
      </c>
      <c r="R172" s="120">
        <f t="shared" si="31"/>
        <v>0</v>
      </c>
      <c r="S172" s="120">
        <f t="shared" si="31"/>
        <v>0</v>
      </c>
      <c r="T172" s="120">
        <f t="shared" si="31"/>
        <v>0</v>
      </c>
      <c r="U172" s="120">
        <f t="shared" si="31"/>
        <v>0</v>
      </c>
      <c r="V172" s="120">
        <f t="shared" si="31"/>
        <v>0</v>
      </c>
      <c r="W172" s="120">
        <f t="shared" si="31"/>
        <v>0</v>
      </c>
      <c r="X172" s="120">
        <f t="shared" si="31"/>
        <v>0</v>
      </c>
      <c r="Y172" s="120">
        <f t="shared" si="31"/>
        <v>0</v>
      </c>
      <c r="Z172" s="120">
        <f t="shared" si="31"/>
        <v>0</v>
      </c>
      <c r="AA172" s="120">
        <f t="shared" si="31"/>
        <v>0</v>
      </c>
      <c r="AB172" s="120">
        <f t="shared" si="31"/>
        <v>0</v>
      </c>
      <c r="AC172" s="120">
        <f t="shared" si="31"/>
        <v>0</v>
      </c>
      <c r="AD172" s="120">
        <f t="shared" si="31"/>
        <v>0</v>
      </c>
      <c r="AE172" s="120">
        <f t="shared" si="31"/>
        <v>0</v>
      </c>
      <c r="AF172" s="120">
        <f t="shared" si="31"/>
        <v>0</v>
      </c>
      <c r="AG172" s="120">
        <f t="shared" si="31"/>
        <v>0</v>
      </c>
      <c r="AH172" s="120">
        <f t="shared" si="31"/>
        <v>0</v>
      </c>
      <c r="AI172" s="120">
        <f t="shared" si="31"/>
        <v>0</v>
      </c>
      <c r="AJ172" s="43" t="str">
        <f t="shared" si="21"/>
        <v/>
      </c>
      <c r="AK172" s="56"/>
      <c r="AL172" s="56" t="str">
        <f t="shared" si="24"/>
        <v>00</v>
      </c>
      <c r="AM172" s="58" t="str">
        <f t="shared" si="25"/>
        <v>00</v>
      </c>
      <c r="AN172" s="58" t="str">
        <f t="shared" si="26"/>
        <v>00</v>
      </c>
      <c r="AO172" s="58" t="str">
        <f t="shared" si="27"/>
        <v>00</v>
      </c>
      <c r="AQ172" s="185" t="str">
        <f t="shared" si="22"/>
        <v/>
      </c>
    </row>
    <row r="173" spans="2:43">
      <c r="B173" s="128"/>
      <c r="C173" s="43">
        <f t="shared" si="23"/>
        <v>37</v>
      </c>
      <c r="D173" s="120">
        <f t="shared" si="31"/>
        <v>0</v>
      </c>
      <c r="E173" s="120">
        <f t="shared" si="31"/>
        <v>0</v>
      </c>
      <c r="F173" s="120">
        <f t="shared" si="31"/>
        <v>0</v>
      </c>
      <c r="G173" s="120">
        <f t="shared" si="31"/>
        <v>0</v>
      </c>
      <c r="H173" s="120">
        <f t="shared" si="31"/>
        <v>0</v>
      </c>
      <c r="I173" s="120">
        <f t="shared" si="31"/>
        <v>0</v>
      </c>
      <c r="J173" s="120">
        <f t="shared" si="31"/>
        <v>0</v>
      </c>
      <c r="K173" s="120">
        <f t="shared" si="31"/>
        <v>0</v>
      </c>
      <c r="L173" s="120">
        <f t="shared" si="31"/>
        <v>0</v>
      </c>
      <c r="M173" s="120">
        <f t="shared" si="31"/>
        <v>0</v>
      </c>
      <c r="N173" s="120">
        <f t="shared" si="31"/>
        <v>0</v>
      </c>
      <c r="O173" s="120">
        <f t="shared" si="31"/>
        <v>0</v>
      </c>
      <c r="P173" s="120">
        <f t="shared" si="31"/>
        <v>0</v>
      </c>
      <c r="Q173" s="120">
        <f t="shared" si="31"/>
        <v>0</v>
      </c>
      <c r="R173" s="120">
        <f t="shared" si="31"/>
        <v>0</v>
      </c>
      <c r="S173" s="120">
        <f t="shared" si="31"/>
        <v>0</v>
      </c>
      <c r="T173" s="120">
        <f t="shared" si="31"/>
        <v>0</v>
      </c>
      <c r="U173" s="120">
        <f t="shared" si="31"/>
        <v>0</v>
      </c>
      <c r="V173" s="120">
        <f t="shared" si="31"/>
        <v>0</v>
      </c>
      <c r="W173" s="120">
        <f t="shared" si="31"/>
        <v>0</v>
      </c>
      <c r="X173" s="120">
        <f t="shared" si="31"/>
        <v>0</v>
      </c>
      <c r="Y173" s="120">
        <f t="shared" si="31"/>
        <v>0</v>
      </c>
      <c r="Z173" s="120">
        <f t="shared" si="31"/>
        <v>0</v>
      </c>
      <c r="AA173" s="120">
        <f t="shared" si="31"/>
        <v>0</v>
      </c>
      <c r="AB173" s="120">
        <f t="shared" si="31"/>
        <v>0</v>
      </c>
      <c r="AC173" s="120">
        <f t="shared" si="31"/>
        <v>0</v>
      </c>
      <c r="AD173" s="120">
        <f t="shared" si="31"/>
        <v>0</v>
      </c>
      <c r="AE173" s="120">
        <f t="shared" si="31"/>
        <v>0</v>
      </c>
      <c r="AF173" s="120">
        <f t="shared" si="31"/>
        <v>0</v>
      </c>
      <c r="AG173" s="120">
        <f t="shared" si="31"/>
        <v>0</v>
      </c>
      <c r="AH173" s="120">
        <f t="shared" si="31"/>
        <v>0</v>
      </c>
      <c r="AI173" s="120">
        <f t="shared" si="31"/>
        <v>0</v>
      </c>
      <c r="AJ173" s="43" t="str">
        <f t="shared" si="21"/>
        <v/>
      </c>
      <c r="AK173" s="56"/>
      <c r="AL173" s="56" t="str">
        <f t="shared" si="24"/>
        <v>00</v>
      </c>
      <c r="AM173" s="58" t="str">
        <f t="shared" si="25"/>
        <v>00</v>
      </c>
      <c r="AN173" s="58" t="str">
        <f t="shared" si="26"/>
        <v>00</v>
      </c>
      <c r="AO173" s="58" t="str">
        <f t="shared" si="27"/>
        <v>00</v>
      </c>
      <c r="AQ173" s="185" t="str">
        <f t="shared" si="22"/>
        <v/>
      </c>
    </row>
    <row r="174" spans="2:43">
      <c r="B174" s="128"/>
      <c r="C174" s="43">
        <f t="shared" si="23"/>
        <v>38</v>
      </c>
      <c r="D174" s="120">
        <f t="shared" si="31"/>
        <v>0</v>
      </c>
      <c r="E174" s="120">
        <f t="shared" si="31"/>
        <v>0</v>
      </c>
      <c r="F174" s="120">
        <f t="shared" si="31"/>
        <v>0</v>
      </c>
      <c r="G174" s="120">
        <f t="shared" si="31"/>
        <v>0</v>
      </c>
      <c r="H174" s="120">
        <f t="shared" si="31"/>
        <v>0</v>
      </c>
      <c r="I174" s="120">
        <f t="shared" si="31"/>
        <v>0</v>
      </c>
      <c r="J174" s="120">
        <f t="shared" si="31"/>
        <v>0</v>
      </c>
      <c r="K174" s="120">
        <f t="shared" si="31"/>
        <v>0</v>
      </c>
      <c r="L174" s="120">
        <f t="shared" si="31"/>
        <v>0</v>
      </c>
      <c r="M174" s="120">
        <f t="shared" si="31"/>
        <v>0</v>
      </c>
      <c r="N174" s="120">
        <f t="shared" si="31"/>
        <v>0</v>
      </c>
      <c r="O174" s="120">
        <f t="shared" si="31"/>
        <v>0</v>
      </c>
      <c r="P174" s="120">
        <f t="shared" si="31"/>
        <v>0</v>
      </c>
      <c r="Q174" s="120">
        <f t="shared" si="31"/>
        <v>0</v>
      </c>
      <c r="R174" s="120">
        <f t="shared" si="31"/>
        <v>0</v>
      </c>
      <c r="S174" s="120">
        <f t="shared" si="31"/>
        <v>0</v>
      </c>
      <c r="T174" s="120">
        <f t="shared" si="31"/>
        <v>0</v>
      </c>
      <c r="U174" s="120">
        <f t="shared" si="31"/>
        <v>0</v>
      </c>
      <c r="V174" s="120">
        <f t="shared" si="31"/>
        <v>0</v>
      </c>
      <c r="W174" s="120">
        <f t="shared" si="31"/>
        <v>0</v>
      </c>
      <c r="X174" s="120">
        <f t="shared" si="31"/>
        <v>0</v>
      </c>
      <c r="Y174" s="120">
        <f t="shared" si="31"/>
        <v>0</v>
      </c>
      <c r="Z174" s="120">
        <f t="shared" si="31"/>
        <v>0</v>
      </c>
      <c r="AA174" s="120">
        <f t="shared" si="31"/>
        <v>0</v>
      </c>
      <c r="AB174" s="120">
        <f t="shared" si="31"/>
        <v>0</v>
      </c>
      <c r="AC174" s="120">
        <f t="shared" si="31"/>
        <v>0</v>
      </c>
      <c r="AD174" s="120">
        <f t="shared" si="31"/>
        <v>0</v>
      </c>
      <c r="AE174" s="120">
        <f t="shared" si="31"/>
        <v>0</v>
      </c>
      <c r="AF174" s="120">
        <f t="shared" si="31"/>
        <v>0</v>
      </c>
      <c r="AG174" s="120">
        <f t="shared" si="31"/>
        <v>0</v>
      </c>
      <c r="AH174" s="120">
        <f t="shared" si="31"/>
        <v>0</v>
      </c>
      <c r="AI174" s="120">
        <f t="shared" si="31"/>
        <v>0</v>
      </c>
      <c r="AJ174" s="43" t="str">
        <f t="shared" si="21"/>
        <v/>
      </c>
      <c r="AK174" s="56"/>
      <c r="AL174" s="56" t="str">
        <f t="shared" si="24"/>
        <v>00</v>
      </c>
      <c r="AM174" s="58" t="str">
        <f t="shared" si="25"/>
        <v>00</v>
      </c>
      <c r="AN174" s="58" t="str">
        <f t="shared" si="26"/>
        <v>00</v>
      </c>
      <c r="AO174" s="58" t="str">
        <f t="shared" si="27"/>
        <v>00</v>
      </c>
      <c r="AQ174" s="185" t="str">
        <f t="shared" si="22"/>
        <v/>
      </c>
    </row>
    <row r="175" spans="2:43">
      <c r="B175" s="128"/>
      <c r="C175" s="43">
        <f t="shared" si="23"/>
        <v>39</v>
      </c>
      <c r="D175" s="120">
        <f t="shared" si="31"/>
        <v>0</v>
      </c>
      <c r="E175" s="120">
        <f t="shared" si="31"/>
        <v>0</v>
      </c>
      <c r="F175" s="120">
        <f t="shared" si="31"/>
        <v>0</v>
      </c>
      <c r="G175" s="120">
        <f t="shared" si="31"/>
        <v>0</v>
      </c>
      <c r="H175" s="120">
        <f t="shared" si="31"/>
        <v>0</v>
      </c>
      <c r="I175" s="120">
        <f t="shared" si="31"/>
        <v>0</v>
      </c>
      <c r="J175" s="120">
        <f t="shared" si="31"/>
        <v>0</v>
      </c>
      <c r="K175" s="120">
        <f t="shared" si="31"/>
        <v>0</v>
      </c>
      <c r="L175" s="120">
        <f t="shared" si="31"/>
        <v>0</v>
      </c>
      <c r="M175" s="120">
        <f t="shared" si="31"/>
        <v>0</v>
      </c>
      <c r="N175" s="120">
        <f t="shared" si="31"/>
        <v>0</v>
      </c>
      <c r="O175" s="120">
        <f t="shared" si="31"/>
        <v>0</v>
      </c>
      <c r="P175" s="120">
        <f t="shared" si="31"/>
        <v>0</v>
      </c>
      <c r="Q175" s="120">
        <f t="shared" si="31"/>
        <v>0</v>
      </c>
      <c r="R175" s="120">
        <f t="shared" si="31"/>
        <v>0</v>
      </c>
      <c r="S175" s="120">
        <f t="shared" si="31"/>
        <v>0</v>
      </c>
      <c r="T175" s="120">
        <f t="shared" si="31"/>
        <v>0</v>
      </c>
      <c r="U175" s="120">
        <f t="shared" si="31"/>
        <v>0</v>
      </c>
      <c r="V175" s="120">
        <f t="shared" si="31"/>
        <v>0</v>
      </c>
      <c r="W175" s="120">
        <f t="shared" si="31"/>
        <v>0</v>
      </c>
      <c r="X175" s="120">
        <f t="shared" si="31"/>
        <v>0</v>
      </c>
      <c r="Y175" s="120">
        <f t="shared" si="31"/>
        <v>0</v>
      </c>
      <c r="Z175" s="120">
        <f t="shared" si="31"/>
        <v>0</v>
      </c>
      <c r="AA175" s="120">
        <f t="shared" si="31"/>
        <v>0</v>
      </c>
      <c r="AB175" s="120">
        <f t="shared" si="31"/>
        <v>0</v>
      </c>
      <c r="AC175" s="120">
        <f t="shared" si="31"/>
        <v>0</v>
      </c>
      <c r="AD175" s="120">
        <f t="shared" si="31"/>
        <v>0</v>
      </c>
      <c r="AE175" s="120">
        <f t="shared" si="31"/>
        <v>0</v>
      </c>
      <c r="AF175" s="120">
        <f t="shared" si="31"/>
        <v>0</v>
      </c>
      <c r="AG175" s="120">
        <f t="shared" si="31"/>
        <v>0</v>
      </c>
      <c r="AH175" s="120">
        <f t="shared" si="31"/>
        <v>0</v>
      </c>
      <c r="AI175" s="120">
        <f>IF(OR(AI45=0,AI45=1),1,0)</f>
        <v>0</v>
      </c>
      <c r="AJ175" s="43" t="str">
        <f t="shared" si="21"/>
        <v/>
      </c>
      <c r="AK175" s="56"/>
      <c r="AL175" s="56" t="str">
        <f t="shared" si="24"/>
        <v>00</v>
      </c>
      <c r="AM175" s="58" t="str">
        <f t="shared" si="25"/>
        <v>00</v>
      </c>
      <c r="AN175" s="58" t="str">
        <f t="shared" si="26"/>
        <v>00</v>
      </c>
      <c r="AO175" s="58" t="str">
        <f t="shared" si="27"/>
        <v>00</v>
      </c>
      <c r="AQ175" s="185" t="str">
        <f t="shared" si="22"/>
        <v/>
      </c>
    </row>
    <row r="176" spans="2:43">
      <c r="B176" s="128"/>
      <c r="C176" s="43">
        <f t="shared" si="23"/>
        <v>40</v>
      </c>
      <c r="D176" s="120">
        <f t="shared" ref="D176:AI183" si="32">IF(OR(D46=0,D46=1),1,0)</f>
        <v>0</v>
      </c>
      <c r="E176" s="120">
        <f t="shared" si="32"/>
        <v>0</v>
      </c>
      <c r="F176" s="120">
        <f t="shared" si="32"/>
        <v>0</v>
      </c>
      <c r="G176" s="120">
        <f t="shared" si="32"/>
        <v>0</v>
      </c>
      <c r="H176" s="120">
        <f t="shared" si="32"/>
        <v>0</v>
      </c>
      <c r="I176" s="120">
        <f t="shared" si="32"/>
        <v>0</v>
      </c>
      <c r="J176" s="120">
        <f t="shared" si="32"/>
        <v>0</v>
      </c>
      <c r="K176" s="120">
        <f t="shared" si="32"/>
        <v>0</v>
      </c>
      <c r="L176" s="120">
        <f t="shared" si="32"/>
        <v>0</v>
      </c>
      <c r="M176" s="120">
        <f t="shared" si="32"/>
        <v>0</v>
      </c>
      <c r="N176" s="120">
        <f t="shared" si="32"/>
        <v>0</v>
      </c>
      <c r="O176" s="120">
        <f t="shared" si="32"/>
        <v>0</v>
      </c>
      <c r="P176" s="120">
        <f t="shared" si="32"/>
        <v>0</v>
      </c>
      <c r="Q176" s="120">
        <f t="shared" si="32"/>
        <v>0</v>
      </c>
      <c r="R176" s="120">
        <f t="shared" si="32"/>
        <v>0</v>
      </c>
      <c r="S176" s="120">
        <f t="shared" si="32"/>
        <v>0</v>
      </c>
      <c r="T176" s="120">
        <f t="shared" si="32"/>
        <v>0</v>
      </c>
      <c r="U176" s="120">
        <f t="shared" si="32"/>
        <v>0</v>
      </c>
      <c r="V176" s="120">
        <f t="shared" si="32"/>
        <v>0</v>
      </c>
      <c r="W176" s="120">
        <f t="shared" si="32"/>
        <v>0</v>
      </c>
      <c r="X176" s="120">
        <f t="shared" si="32"/>
        <v>0</v>
      </c>
      <c r="Y176" s="120">
        <f t="shared" si="32"/>
        <v>0</v>
      </c>
      <c r="Z176" s="120">
        <f t="shared" si="32"/>
        <v>0</v>
      </c>
      <c r="AA176" s="120">
        <f t="shared" si="32"/>
        <v>0</v>
      </c>
      <c r="AB176" s="120">
        <f t="shared" si="32"/>
        <v>0</v>
      </c>
      <c r="AC176" s="120">
        <f t="shared" si="32"/>
        <v>0</v>
      </c>
      <c r="AD176" s="120">
        <f t="shared" si="32"/>
        <v>0</v>
      </c>
      <c r="AE176" s="120">
        <f t="shared" si="32"/>
        <v>0</v>
      </c>
      <c r="AF176" s="120">
        <f t="shared" si="32"/>
        <v>0</v>
      </c>
      <c r="AG176" s="120">
        <f t="shared" si="32"/>
        <v>0</v>
      </c>
      <c r="AH176" s="120">
        <f t="shared" si="32"/>
        <v>0</v>
      </c>
      <c r="AI176" s="120">
        <f t="shared" si="32"/>
        <v>0</v>
      </c>
      <c r="AJ176" s="43" t="str">
        <f t="shared" si="21"/>
        <v/>
      </c>
      <c r="AK176" s="56"/>
      <c r="AL176" s="56" t="str">
        <f t="shared" si="24"/>
        <v>00</v>
      </c>
      <c r="AM176" s="58" t="str">
        <f t="shared" si="25"/>
        <v>00</v>
      </c>
      <c r="AN176" s="58" t="str">
        <f t="shared" si="26"/>
        <v>00</v>
      </c>
      <c r="AO176" s="58" t="str">
        <f t="shared" si="27"/>
        <v>00</v>
      </c>
      <c r="AQ176" s="185" t="str">
        <f t="shared" si="22"/>
        <v/>
      </c>
    </row>
    <row r="177" spans="2:43">
      <c r="B177" s="128"/>
      <c r="C177" s="43">
        <f t="shared" si="23"/>
        <v>41</v>
      </c>
      <c r="D177" s="120">
        <f t="shared" si="32"/>
        <v>0</v>
      </c>
      <c r="E177" s="120">
        <f t="shared" si="32"/>
        <v>0</v>
      </c>
      <c r="F177" s="120">
        <f t="shared" si="32"/>
        <v>0</v>
      </c>
      <c r="G177" s="120">
        <f t="shared" si="32"/>
        <v>0</v>
      </c>
      <c r="H177" s="120">
        <f t="shared" si="32"/>
        <v>0</v>
      </c>
      <c r="I177" s="120">
        <f t="shared" si="32"/>
        <v>0</v>
      </c>
      <c r="J177" s="120">
        <f t="shared" si="32"/>
        <v>0</v>
      </c>
      <c r="K177" s="120">
        <f t="shared" si="32"/>
        <v>0</v>
      </c>
      <c r="L177" s="120">
        <f t="shared" si="32"/>
        <v>0</v>
      </c>
      <c r="M177" s="120">
        <f t="shared" si="32"/>
        <v>0</v>
      </c>
      <c r="N177" s="120">
        <f t="shared" si="32"/>
        <v>0</v>
      </c>
      <c r="O177" s="120">
        <f t="shared" si="32"/>
        <v>0</v>
      </c>
      <c r="P177" s="120">
        <f t="shared" si="32"/>
        <v>0</v>
      </c>
      <c r="Q177" s="120">
        <f t="shared" si="32"/>
        <v>0</v>
      </c>
      <c r="R177" s="120">
        <f t="shared" si="32"/>
        <v>0</v>
      </c>
      <c r="S177" s="120">
        <f t="shared" si="32"/>
        <v>0</v>
      </c>
      <c r="T177" s="120">
        <f t="shared" si="32"/>
        <v>0</v>
      </c>
      <c r="U177" s="120">
        <f t="shared" si="32"/>
        <v>0</v>
      </c>
      <c r="V177" s="120">
        <f t="shared" si="32"/>
        <v>0</v>
      </c>
      <c r="W177" s="120">
        <f t="shared" si="32"/>
        <v>0</v>
      </c>
      <c r="X177" s="120">
        <f t="shared" si="32"/>
        <v>0</v>
      </c>
      <c r="Y177" s="120">
        <f t="shared" si="32"/>
        <v>0</v>
      </c>
      <c r="Z177" s="120">
        <f t="shared" si="32"/>
        <v>0</v>
      </c>
      <c r="AA177" s="120">
        <f t="shared" si="32"/>
        <v>0</v>
      </c>
      <c r="AB177" s="120">
        <f t="shared" si="32"/>
        <v>0</v>
      </c>
      <c r="AC177" s="120">
        <f t="shared" si="32"/>
        <v>0</v>
      </c>
      <c r="AD177" s="120">
        <f t="shared" si="32"/>
        <v>0</v>
      </c>
      <c r="AE177" s="120">
        <f t="shared" si="32"/>
        <v>0</v>
      </c>
      <c r="AF177" s="120">
        <f t="shared" si="32"/>
        <v>0</v>
      </c>
      <c r="AG177" s="120">
        <f t="shared" si="32"/>
        <v>0</v>
      </c>
      <c r="AH177" s="120">
        <f t="shared" si="32"/>
        <v>0</v>
      </c>
      <c r="AI177" s="120">
        <f t="shared" si="32"/>
        <v>0</v>
      </c>
      <c r="AJ177" s="43" t="str">
        <f t="shared" si="21"/>
        <v/>
      </c>
      <c r="AK177" s="56"/>
      <c r="AL177" s="56" t="str">
        <f t="shared" si="24"/>
        <v>00</v>
      </c>
      <c r="AM177" s="58" t="str">
        <f t="shared" si="25"/>
        <v>00</v>
      </c>
      <c r="AN177" s="58" t="str">
        <f t="shared" si="26"/>
        <v>00</v>
      </c>
      <c r="AO177" s="58" t="str">
        <f t="shared" si="27"/>
        <v>00</v>
      </c>
      <c r="AQ177" s="185" t="str">
        <f t="shared" si="22"/>
        <v/>
      </c>
    </row>
    <row r="178" spans="2:43">
      <c r="B178" s="128"/>
      <c r="C178" s="43">
        <f t="shared" si="23"/>
        <v>42</v>
      </c>
      <c r="D178" s="120">
        <f t="shared" si="32"/>
        <v>0</v>
      </c>
      <c r="E178" s="120">
        <f t="shared" si="32"/>
        <v>0</v>
      </c>
      <c r="F178" s="120">
        <f t="shared" si="32"/>
        <v>0</v>
      </c>
      <c r="G178" s="120">
        <f t="shared" si="32"/>
        <v>0</v>
      </c>
      <c r="H178" s="120">
        <f t="shared" si="32"/>
        <v>0</v>
      </c>
      <c r="I178" s="120">
        <f t="shared" si="32"/>
        <v>0</v>
      </c>
      <c r="J178" s="120">
        <f t="shared" si="32"/>
        <v>0</v>
      </c>
      <c r="K178" s="120">
        <f t="shared" si="32"/>
        <v>0</v>
      </c>
      <c r="L178" s="120">
        <f t="shared" si="32"/>
        <v>0</v>
      </c>
      <c r="M178" s="120">
        <f t="shared" si="32"/>
        <v>0</v>
      </c>
      <c r="N178" s="120">
        <f t="shared" si="32"/>
        <v>0</v>
      </c>
      <c r="O178" s="120">
        <f t="shared" si="32"/>
        <v>0</v>
      </c>
      <c r="P178" s="120">
        <f t="shared" si="32"/>
        <v>0</v>
      </c>
      <c r="Q178" s="120">
        <f t="shared" si="32"/>
        <v>0</v>
      </c>
      <c r="R178" s="120">
        <f t="shared" si="32"/>
        <v>0</v>
      </c>
      <c r="S178" s="120">
        <f t="shared" si="32"/>
        <v>0</v>
      </c>
      <c r="T178" s="120">
        <f t="shared" si="32"/>
        <v>0</v>
      </c>
      <c r="U178" s="120">
        <f t="shared" si="32"/>
        <v>0</v>
      </c>
      <c r="V178" s="120">
        <f t="shared" si="32"/>
        <v>0</v>
      </c>
      <c r="W178" s="120">
        <f t="shared" si="32"/>
        <v>0</v>
      </c>
      <c r="X178" s="120">
        <f t="shared" si="32"/>
        <v>0</v>
      </c>
      <c r="Y178" s="120">
        <f t="shared" si="32"/>
        <v>0</v>
      </c>
      <c r="Z178" s="120">
        <f t="shared" si="32"/>
        <v>0</v>
      </c>
      <c r="AA178" s="120">
        <f t="shared" si="32"/>
        <v>0</v>
      </c>
      <c r="AB178" s="120">
        <f t="shared" si="32"/>
        <v>0</v>
      </c>
      <c r="AC178" s="120">
        <f t="shared" si="32"/>
        <v>0</v>
      </c>
      <c r="AD178" s="120">
        <f t="shared" si="32"/>
        <v>0</v>
      </c>
      <c r="AE178" s="120">
        <f t="shared" si="32"/>
        <v>0</v>
      </c>
      <c r="AF178" s="120">
        <f t="shared" si="32"/>
        <v>0</v>
      </c>
      <c r="AG178" s="120">
        <f t="shared" si="32"/>
        <v>0</v>
      </c>
      <c r="AH178" s="120">
        <f t="shared" si="32"/>
        <v>0</v>
      </c>
      <c r="AI178" s="120">
        <f t="shared" si="32"/>
        <v>0</v>
      </c>
      <c r="AJ178" s="43" t="str">
        <f t="shared" si="21"/>
        <v/>
      </c>
      <c r="AK178" s="56"/>
      <c r="AL178" s="56" t="str">
        <f t="shared" si="24"/>
        <v>00</v>
      </c>
      <c r="AM178" s="58" t="str">
        <f t="shared" si="25"/>
        <v>00</v>
      </c>
      <c r="AN178" s="58" t="str">
        <f t="shared" si="26"/>
        <v>00</v>
      </c>
      <c r="AO178" s="58" t="str">
        <f t="shared" si="27"/>
        <v>00</v>
      </c>
      <c r="AQ178" s="185" t="str">
        <f t="shared" si="22"/>
        <v/>
      </c>
    </row>
    <row r="179" spans="2:43">
      <c r="B179" s="128"/>
      <c r="C179" s="43">
        <f t="shared" si="23"/>
        <v>43</v>
      </c>
      <c r="D179" s="120">
        <f t="shared" si="32"/>
        <v>0</v>
      </c>
      <c r="E179" s="120">
        <f t="shared" si="32"/>
        <v>0</v>
      </c>
      <c r="F179" s="120">
        <f t="shared" si="32"/>
        <v>0</v>
      </c>
      <c r="G179" s="120">
        <f t="shared" si="32"/>
        <v>0</v>
      </c>
      <c r="H179" s="120">
        <f t="shared" si="32"/>
        <v>0</v>
      </c>
      <c r="I179" s="120">
        <f t="shared" si="32"/>
        <v>0</v>
      </c>
      <c r="J179" s="120">
        <f t="shared" si="32"/>
        <v>0</v>
      </c>
      <c r="K179" s="120">
        <f t="shared" si="32"/>
        <v>0</v>
      </c>
      <c r="L179" s="120">
        <f t="shared" si="32"/>
        <v>0</v>
      </c>
      <c r="M179" s="120">
        <f t="shared" si="32"/>
        <v>0</v>
      </c>
      <c r="N179" s="120">
        <f t="shared" si="32"/>
        <v>0</v>
      </c>
      <c r="O179" s="120">
        <f t="shared" si="32"/>
        <v>0</v>
      </c>
      <c r="P179" s="120">
        <f t="shared" si="32"/>
        <v>0</v>
      </c>
      <c r="Q179" s="120">
        <f t="shared" si="32"/>
        <v>0</v>
      </c>
      <c r="R179" s="120">
        <f t="shared" si="32"/>
        <v>0</v>
      </c>
      <c r="S179" s="120">
        <f t="shared" si="32"/>
        <v>0</v>
      </c>
      <c r="T179" s="120">
        <f t="shared" si="32"/>
        <v>0</v>
      </c>
      <c r="U179" s="120">
        <f t="shared" si="32"/>
        <v>0</v>
      </c>
      <c r="V179" s="120">
        <f t="shared" si="32"/>
        <v>0</v>
      </c>
      <c r="W179" s="120">
        <f t="shared" si="32"/>
        <v>0</v>
      </c>
      <c r="X179" s="120">
        <f t="shared" si="32"/>
        <v>0</v>
      </c>
      <c r="Y179" s="120">
        <f t="shared" si="32"/>
        <v>0</v>
      </c>
      <c r="Z179" s="120">
        <f t="shared" si="32"/>
        <v>0</v>
      </c>
      <c r="AA179" s="120">
        <f t="shared" si="32"/>
        <v>0</v>
      </c>
      <c r="AB179" s="120">
        <f t="shared" si="32"/>
        <v>0</v>
      </c>
      <c r="AC179" s="120">
        <f t="shared" si="32"/>
        <v>0</v>
      </c>
      <c r="AD179" s="120">
        <f t="shared" si="32"/>
        <v>0</v>
      </c>
      <c r="AE179" s="120">
        <f t="shared" si="32"/>
        <v>0</v>
      </c>
      <c r="AF179" s="120">
        <f t="shared" si="32"/>
        <v>0</v>
      </c>
      <c r="AG179" s="120">
        <f t="shared" si="32"/>
        <v>0</v>
      </c>
      <c r="AH179" s="120">
        <f t="shared" si="32"/>
        <v>0</v>
      </c>
      <c r="AI179" s="120">
        <f t="shared" si="32"/>
        <v>0</v>
      </c>
      <c r="AJ179" s="43" t="str">
        <f t="shared" si="21"/>
        <v/>
      </c>
      <c r="AK179" s="56"/>
      <c r="AL179" s="56" t="str">
        <f t="shared" si="24"/>
        <v>00</v>
      </c>
      <c r="AM179" s="58" t="str">
        <f t="shared" si="25"/>
        <v>00</v>
      </c>
      <c r="AN179" s="58" t="str">
        <f t="shared" si="26"/>
        <v>00</v>
      </c>
      <c r="AO179" s="58" t="str">
        <f t="shared" si="27"/>
        <v>00</v>
      </c>
      <c r="AQ179" s="185" t="str">
        <f t="shared" si="22"/>
        <v/>
      </c>
    </row>
    <row r="180" spans="2:43">
      <c r="B180" s="128"/>
      <c r="C180" s="43">
        <f t="shared" si="23"/>
        <v>44</v>
      </c>
      <c r="D180" s="120">
        <f t="shared" si="32"/>
        <v>0</v>
      </c>
      <c r="E180" s="120">
        <f t="shared" si="32"/>
        <v>0</v>
      </c>
      <c r="F180" s="120">
        <f t="shared" si="32"/>
        <v>0</v>
      </c>
      <c r="G180" s="120">
        <f t="shared" si="32"/>
        <v>0</v>
      </c>
      <c r="H180" s="120">
        <f t="shared" si="32"/>
        <v>0</v>
      </c>
      <c r="I180" s="120">
        <f t="shared" si="32"/>
        <v>0</v>
      </c>
      <c r="J180" s="120">
        <f t="shared" si="32"/>
        <v>0</v>
      </c>
      <c r="K180" s="120">
        <f t="shared" si="32"/>
        <v>0</v>
      </c>
      <c r="L180" s="120">
        <f t="shared" si="32"/>
        <v>0</v>
      </c>
      <c r="M180" s="120">
        <f t="shared" si="32"/>
        <v>0</v>
      </c>
      <c r="N180" s="120">
        <f t="shared" si="32"/>
        <v>0</v>
      </c>
      <c r="O180" s="120">
        <f t="shared" si="32"/>
        <v>0</v>
      </c>
      <c r="P180" s="120">
        <f t="shared" si="32"/>
        <v>0</v>
      </c>
      <c r="Q180" s="120">
        <f t="shared" si="32"/>
        <v>0</v>
      </c>
      <c r="R180" s="120">
        <f t="shared" si="32"/>
        <v>0</v>
      </c>
      <c r="S180" s="120">
        <f t="shared" si="32"/>
        <v>0</v>
      </c>
      <c r="T180" s="120">
        <f t="shared" si="32"/>
        <v>0</v>
      </c>
      <c r="U180" s="120">
        <f t="shared" si="32"/>
        <v>0</v>
      </c>
      <c r="V180" s="120">
        <f t="shared" si="32"/>
        <v>0</v>
      </c>
      <c r="W180" s="120">
        <f t="shared" si="32"/>
        <v>0</v>
      </c>
      <c r="X180" s="120">
        <f t="shared" si="32"/>
        <v>0</v>
      </c>
      <c r="Y180" s="120">
        <f t="shared" si="32"/>
        <v>0</v>
      </c>
      <c r="Z180" s="120">
        <f t="shared" si="32"/>
        <v>0</v>
      </c>
      <c r="AA180" s="120">
        <f t="shared" si="32"/>
        <v>0</v>
      </c>
      <c r="AB180" s="120">
        <f t="shared" si="32"/>
        <v>0</v>
      </c>
      <c r="AC180" s="120">
        <f t="shared" si="32"/>
        <v>0</v>
      </c>
      <c r="AD180" s="120">
        <f t="shared" si="32"/>
        <v>0</v>
      </c>
      <c r="AE180" s="120">
        <f t="shared" si="32"/>
        <v>0</v>
      </c>
      <c r="AF180" s="120">
        <f t="shared" si="32"/>
        <v>0</v>
      </c>
      <c r="AG180" s="120">
        <f t="shared" si="32"/>
        <v>0</v>
      </c>
      <c r="AH180" s="120">
        <f t="shared" si="32"/>
        <v>0</v>
      </c>
      <c r="AI180" s="120">
        <f t="shared" si="32"/>
        <v>0</v>
      </c>
      <c r="AJ180" s="43" t="str">
        <f t="shared" si="21"/>
        <v/>
      </c>
      <c r="AK180" s="56"/>
      <c r="AL180" s="56" t="str">
        <f t="shared" si="24"/>
        <v>00</v>
      </c>
      <c r="AM180" s="58" t="str">
        <f t="shared" si="25"/>
        <v>00</v>
      </c>
      <c r="AN180" s="58" t="str">
        <f t="shared" si="26"/>
        <v>00</v>
      </c>
      <c r="AO180" s="58" t="str">
        <f t="shared" si="27"/>
        <v>00</v>
      </c>
      <c r="AQ180" s="185" t="str">
        <f t="shared" si="22"/>
        <v/>
      </c>
    </row>
    <row r="181" spans="2:43">
      <c r="B181" s="128"/>
      <c r="C181" s="43">
        <f t="shared" si="23"/>
        <v>45</v>
      </c>
      <c r="D181" s="120">
        <f t="shared" si="32"/>
        <v>0</v>
      </c>
      <c r="E181" s="120">
        <f t="shared" si="32"/>
        <v>0</v>
      </c>
      <c r="F181" s="120">
        <f t="shared" si="32"/>
        <v>0</v>
      </c>
      <c r="G181" s="120">
        <f t="shared" si="32"/>
        <v>0</v>
      </c>
      <c r="H181" s="120">
        <f t="shared" si="32"/>
        <v>0</v>
      </c>
      <c r="I181" s="120">
        <f t="shared" si="32"/>
        <v>0</v>
      </c>
      <c r="J181" s="120">
        <f t="shared" si="32"/>
        <v>0</v>
      </c>
      <c r="K181" s="120">
        <f t="shared" si="32"/>
        <v>0</v>
      </c>
      <c r="L181" s="120">
        <f t="shared" si="32"/>
        <v>0</v>
      </c>
      <c r="M181" s="120">
        <f t="shared" si="32"/>
        <v>0</v>
      </c>
      <c r="N181" s="120">
        <f t="shared" si="32"/>
        <v>0</v>
      </c>
      <c r="O181" s="120">
        <f t="shared" si="32"/>
        <v>0</v>
      </c>
      <c r="P181" s="120">
        <f t="shared" si="32"/>
        <v>0</v>
      </c>
      <c r="Q181" s="120">
        <f t="shared" si="32"/>
        <v>0</v>
      </c>
      <c r="R181" s="120">
        <f t="shared" si="32"/>
        <v>0</v>
      </c>
      <c r="S181" s="120">
        <f t="shared" si="32"/>
        <v>0</v>
      </c>
      <c r="T181" s="120">
        <f t="shared" si="32"/>
        <v>0</v>
      </c>
      <c r="U181" s="120">
        <f t="shared" si="32"/>
        <v>0</v>
      </c>
      <c r="V181" s="120">
        <f t="shared" si="32"/>
        <v>0</v>
      </c>
      <c r="W181" s="120">
        <f t="shared" si="32"/>
        <v>0</v>
      </c>
      <c r="X181" s="120">
        <f t="shared" si="32"/>
        <v>0</v>
      </c>
      <c r="Y181" s="120">
        <f t="shared" si="32"/>
        <v>0</v>
      </c>
      <c r="Z181" s="120">
        <f t="shared" si="32"/>
        <v>0</v>
      </c>
      <c r="AA181" s="120">
        <f t="shared" si="32"/>
        <v>0</v>
      </c>
      <c r="AB181" s="120">
        <f t="shared" si="32"/>
        <v>0</v>
      </c>
      <c r="AC181" s="120">
        <f t="shared" si="32"/>
        <v>0</v>
      </c>
      <c r="AD181" s="120">
        <f t="shared" si="32"/>
        <v>0</v>
      </c>
      <c r="AE181" s="120">
        <f t="shared" si="32"/>
        <v>0</v>
      </c>
      <c r="AF181" s="120">
        <f t="shared" si="32"/>
        <v>0</v>
      </c>
      <c r="AG181" s="120">
        <f t="shared" si="32"/>
        <v>0</v>
      </c>
      <c r="AH181" s="120">
        <f t="shared" si="32"/>
        <v>0</v>
      </c>
      <c r="AI181" s="120">
        <f t="shared" si="32"/>
        <v>0</v>
      </c>
      <c r="AJ181" s="43" t="str">
        <f t="shared" si="21"/>
        <v/>
      </c>
      <c r="AK181" s="56"/>
      <c r="AL181" s="56" t="str">
        <f t="shared" si="24"/>
        <v>00</v>
      </c>
      <c r="AM181" s="58" t="str">
        <f t="shared" si="25"/>
        <v>00</v>
      </c>
      <c r="AN181" s="58" t="str">
        <f t="shared" si="26"/>
        <v>00</v>
      </c>
      <c r="AO181" s="58" t="str">
        <f t="shared" si="27"/>
        <v>00</v>
      </c>
      <c r="AQ181" s="185" t="str">
        <f t="shared" si="22"/>
        <v/>
      </c>
    </row>
    <row r="182" spans="2:43">
      <c r="B182" s="128"/>
      <c r="C182" s="43">
        <f t="shared" si="23"/>
        <v>46</v>
      </c>
      <c r="D182" s="120">
        <f t="shared" si="32"/>
        <v>0</v>
      </c>
      <c r="E182" s="120">
        <f t="shared" si="32"/>
        <v>0</v>
      </c>
      <c r="F182" s="120">
        <f t="shared" si="32"/>
        <v>0</v>
      </c>
      <c r="G182" s="120">
        <f t="shared" si="32"/>
        <v>0</v>
      </c>
      <c r="H182" s="120">
        <f t="shared" si="32"/>
        <v>0</v>
      </c>
      <c r="I182" s="120">
        <f t="shared" si="32"/>
        <v>0</v>
      </c>
      <c r="J182" s="120">
        <f t="shared" si="32"/>
        <v>0</v>
      </c>
      <c r="K182" s="120">
        <f t="shared" si="32"/>
        <v>0</v>
      </c>
      <c r="L182" s="120">
        <f t="shared" si="32"/>
        <v>0</v>
      </c>
      <c r="M182" s="120">
        <f t="shared" si="32"/>
        <v>0</v>
      </c>
      <c r="N182" s="120">
        <f t="shared" si="32"/>
        <v>0</v>
      </c>
      <c r="O182" s="120">
        <f t="shared" si="32"/>
        <v>0</v>
      </c>
      <c r="P182" s="120">
        <f t="shared" si="32"/>
        <v>0</v>
      </c>
      <c r="Q182" s="120">
        <f t="shared" si="32"/>
        <v>0</v>
      </c>
      <c r="R182" s="120">
        <f t="shared" si="32"/>
        <v>0</v>
      </c>
      <c r="S182" s="120">
        <f t="shared" si="32"/>
        <v>0</v>
      </c>
      <c r="T182" s="120">
        <f t="shared" si="32"/>
        <v>0</v>
      </c>
      <c r="U182" s="120">
        <f t="shared" si="32"/>
        <v>0</v>
      </c>
      <c r="V182" s="120">
        <f t="shared" si="32"/>
        <v>0</v>
      </c>
      <c r="W182" s="120">
        <f t="shared" si="32"/>
        <v>0</v>
      </c>
      <c r="X182" s="120">
        <f t="shared" si="32"/>
        <v>0</v>
      </c>
      <c r="Y182" s="120">
        <f t="shared" si="32"/>
        <v>0</v>
      </c>
      <c r="Z182" s="120">
        <f t="shared" si="32"/>
        <v>0</v>
      </c>
      <c r="AA182" s="120">
        <f t="shared" si="32"/>
        <v>0</v>
      </c>
      <c r="AB182" s="120">
        <f t="shared" si="32"/>
        <v>0</v>
      </c>
      <c r="AC182" s="120">
        <f t="shared" si="32"/>
        <v>0</v>
      </c>
      <c r="AD182" s="120">
        <f t="shared" si="32"/>
        <v>0</v>
      </c>
      <c r="AE182" s="120">
        <f t="shared" si="32"/>
        <v>0</v>
      </c>
      <c r="AF182" s="120">
        <f t="shared" si="32"/>
        <v>0</v>
      </c>
      <c r="AG182" s="120">
        <f t="shared" si="32"/>
        <v>0</v>
      </c>
      <c r="AH182" s="120">
        <f t="shared" si="32"/>
        <v>0</v>
      </c>
      <c r="AI182" s="120">
        <f t="shared" si="32"/>
        <v>0</v>
      </c>
      <c r="AJ182" s="43" t="str">
        <f t="shared" si="21"/>
        <v/>
      </c>
      <c r="AK182" s="56"/>
      <c r="AL182" s="56" t="str">
        <f t="shared" si="24"/>
        <v>00</v>
      </c>
      <c r="AM182" s="58" t="str">
        <f t="shared" si="25"/>
        <v>00</v>
      </c>
      <c r="AN182" s="58" t="str">
        <f t="shared" si="26"/>
        <v>00</v>
      </c>
      <c r="AO182" s="58" t="str">
        <f t="shared" si="27"/>
        <v>00</v>
      </c>
      <c r="AQ182" s="185" t="str">
        <f t="shared" si="22"/>
        <v/>
      </c>
    </row>
    <row r="183" spans="2:43">
      <c r="B183" s="128"/>
      <c r="C183" s="43">
        <f t="shared" si="23"/>
        <v>47</v>
      </c>
      <c r="D183" s="120">
        <f t="shared" si="32"/>
        <v>0</v>
      </c>
      <c r="E183" s="120">
        <f t="shared" si="32"/>
        <v>0</v>
      </c>
      <c r="F183" s="120">
        <f t="shared" si="32"/>
        <v>0</v>
      </c>
      <c r="G183" s="120">
        <f t="shared" si="32"/>
        <v>0</v>
      </c>
      <c r="H183" s="120">
        <f t="shared" si="32"/>
        <v>0</v>
      </c>
      <c r="I183" s="120">
        <f t="shared" si="32"/>
        <v>0</v>
      </c>
      <c r="J183" s="120">
        <f t="shared" si="32"/>
        <v>0</v>
      </c>
      <c r="K183" s="120">
        <f t="shared" si="32"/>
        <v>0</v>
      </c>
      <c r="L183" s="120">
        <f t="shared" si="32"/>
        <v>0</v>
      </c>
      <c r="M183" s="120">
        <f t="shared" si="32"/>
        <v>0</v>
      </c>
      <c r="N183" s="120">
        <f t="shared" si="32"/>
        <v>0</v>
      </c>
      <c r="O183" s="120">
        <f t="shared" si="32"/>
        <v>0</v>
      </c>
      <c r="P183" s="120">
        <f t="shared" si="32"/>
        <v>0</v>
      </c>
      <c r="Q183" s="120">
        <f t="shared" si="32"/>
        <v>0</v>
      </c>
      <c r="R183" s="120">
        <f t="shared" si="32"/>
        <v>0</v>
      </c>
      <c r="S183" s="120">
        <f t="shared" si="32"/>
        <v>0</v>
      </c>
      <c r="T183" s="120">
        <f t="shared" si="32"/>
        <v>0</v>
      </c>
      <c r="U183" s="120">
        <f t="shared" si="32"/>
        <v>0</v>
      </c>
      <c r="V183" s="120">
        <f t="shared" si="32"/>
        <v>0</v>
      </c>
      <c r="W183" s="120">
        <f t="shared" si="32"/>
        <v>0</v>
      </c>
      <c r="X183" s="120">
        <f t="shared" si="32"/>
        <v>0</v>
      </c>
      <c r="Y183" s="120">
        <f t="shared" si="32"/>
        <v>0</v>
      </c>
      <c r="Z183" s="120">
        <f t="shared" si="32"/>
        <v>0</v>
      </c>
      <c r="AA183" s="120">
        <f t="shared" si="32"/>
        <v>0</v>
      </c>
      <c r="AB183" s="120">
        <f t="shared" si="32"/>
        <v>0</v>
      </c>
      <c r="AC183" s="120">
        <f t="shared" si="32"/>
        <v>0</v>
      </c>
      <c r="AD183" s="120">
        <f t="shared" si="32"/>
        <v>0</v>
      </c>
      <c r="AE183" s="120">
        <f t="shared" si="32"/>
        <v>0</v>
      </c>
      <c r="AF183" s="120">
        <f t="shared" si="32"/>
        <v>0</v>
      </c>
      <c r="AG183" s="120">
        <f t="shared" si="32"/>
        <v>0</v>
      </c>
      <c r="AH183" s="120">
        <f t="shared" si="32"/>
        <v>0</v>
      </c>
      <c r="AI183" s="120">
        <f>IF(OR(AI53=0,AI53=1),1,0)</f>
        <v>0</v>
      </c>
      <c r="AJ183" s="43" t="str">
        <f t="shared" si="21"/>
        <v/>
      </c>
      <c r="AK183" s="56"/>
      <c r="AL183" s="56" t="str">
        <f t="shared" si="24"/>
        <v>00</v>
      </c>
      <c r="AM183" s="58" t="str">
        <f t="shared" si="25"/>
        <v>00</v>
      </c>
      <c r="AN183" s="58" t="str">
        <f t="shared" si="26"/>
        <v>00</v>
      </c>
      <c r="AO183" s="58" t="str">
        <f t="shared" si="27"/>
        <v>00</v>
      </c>
      <c r="AQ183" s="185" t="str">
        <f t="shared" si="22"/>
        <v/>
      </c>
    </row>
    <row r="184" spans="2:43">
      <c r="B184" s="128"/>
      <c r="C184" s="43">
        <f t="shared" si="23"/>
        <v>48</v>
      </c>
      <c r="D184" s="120">
        <f t="shared" ref="D184:AI191" si="33">IF(OR(D54=0,D54=1),1,0)</f>
        <v>0</v>
      </c>
      <c r="E184" s="120">
        <f t="shared" si="33"/>
        <v>0</v>
      </c>
      <c r="F184" s="120">
        <f t="shared" si="33"/>
        <v>0</v>
      </c>
      <c r="G184" s="120">
        <f t="shared" si="33"/>
        <v>0</v>
      </c>
      <c r="H184" s="120">
        <f t="shared" si="33"/>
        <v>0</v>
      </c>
      <c r="I184" s="120">
        <f t="shared" si="33"/>
        <v>0</v>
      </c>
      <c r="J184" s="120">
        <f t="shared" si="33"/>
        <v>0</v>
      </c>
      <c r="K184" s="120">
        <f t="shared" si="33"/>
        <v>0</v>
      </c>
      <c r="L184" s="120">
        <f t="shared" si="33"/>
        <v>0</v>
      </c>
      <c r="M184" s="120">
        <f t="shared" si="33"/>
        <v>0</v>
      </c>
      <c r="N184" s="120">
        <f t="shared" si="33"/>
        <v>0</v>
      </c>
      <c r="O184" s="120">
        <f t="shared" si="33"/>
        <v>0</v>
      </c>
      <c r="P184" s="120">
        <f t="shared" si="33"/>
        <v>0</v>
      </c>
      <c r="Q184" s="120">
        <f t="shared" si="33"/>
        <v>0</v>
      </c>
      <c r="R184" s="120">
        <f t="shared" si="33"/>
        <v>0</v>
      </c>
      <c r="S184" s="120">
        <f t="shared" si="33"/>
        <v>0</v>
      </c>
      <c r="T184" s="120">
        <f t="shared" si="33"/>
        <v>0</v>
      </c>
      <c r="U184" s="120">
        <f t="shared" si="33"/>
        <v>0</v>
      </c>
      <c r="V184" s="120">
        <f t="shared" si="33"/>
        <v>0</v>
      </c>
      <c r="W184" s="120">
        <f t="shared" si="33"/>
        <v>0</v>
      </c>
      <c r="X184" s="120">
        <f t="shared" si="33"/>
        <v>0</v>
      </c>
      <c r="Y184" s="120">
        <f t="shared" si="33"/>
        <v>0</v>
      </c>
      <c r="Z184" s="120">
        <f t="shared" si="33"/>
        <v>0</v>
      </c>
      <c r="AA184" s="120">
        <f t="shared" si="33"/>
        <v>0</v>
      </c>
      <c r="AB184" s="120">
        <f t="shared" si="33"/>
        <v>0</v>
      </c>
      <c r="AC184" s="120">
        <f t="shared" si="33"/>
        <v>0</v>
      </c>
      <c r="AD184" s="120">
        <f t="shared" si="33"/>
        <v>0</v>
      </c>
      <c r="AE184" s="120">
        <f t="shared" si="33"/>
        <v>0</v>
      </c>
      <c r="AF184" s="120">
        <f t="shared" si="33"/>
        <v>0</v>
      </c>
      <c r="AG184" s="120">
        <f t="shared" si="33"/>
        <v>0</v>
      </c>
      <c r="AH184" s="120">
        <f t="shared" si="33"/>
        <v>0</v>
      </c>
      <c r="AI184" s="120">
        <f t="shared" si="33"/>
        <v>0</v>
      </c>
      <c r="AJ184" s="43" t="str">
        <f t="shared" si="21"/>
        <v/>
      </c>
      <c r="AK184" s="56"/>
      <c r="AL184" s="56" t="str">
        <f t="shared" si="24"/>
        <v>00</v>
      </c>
      <c r="AM184" s="58" t="str">
        <f t="shared" si="25"/>
        <v>00</v>
      </c>
      <c r="AN184" s="58" t="str">
        <f t="shared" si="26"/>
        <v>00</v>
      </c>
      <c r="AO184" s="58" t="str">
        <f t="shared" si="27"/>
        <v>00</v>
      </c>
      <c r="AQ184" s="185" t="str">
        <f t="shared" si="22"/>
        <v/>
      </c>
    </row>
    <row r="185" spans="2:43">
      <c r="B185" s="128"/>
      <c r="C185" s="43">
        <f t="shared" si="23"/>
        <v>49</v>
      </c>
      <c r="D185" s="120">
        <f t="shared" si="33"/>
        <v>0</v>
      </c>
      <c r="E185" s="120">
        <f t="shared" si="33"/>
        <v>0</v>
      </c>
      <c r="F185" s="120">
        <f t="shared" si="33"/>
        <v>0</v>
      </c>
      <c r="G185" s="120">
        <f t="shared" si="33"/>
        <v>0</v>
      </c>
      <c r="H185" s="120">
        <f t="shared" si="33"/>
        <v>0</v>
      </c>
      <c r="I185" s="120">
        <f t="shared" si="33"/>
        <v>0</v>
      </c>
      <c r="J185" s="120">
        <f t="shared" si="33"/>
        <v>0</v>
      </c>
      <c r="K185" s="120">
        <f t="shared" si="33"/>
        <v>0</v>
      </c>
      <c r="L185" s="120">
        <f t="shared" si="33"/>
        <v>0</v>
      </c>
      <c r="M185" s="120">
        <f t="shared" si="33"/>
        <v>0</v>
      </c>
      <c r="N185" s="120">
        <f t="shared" si="33"/>
        <v>0</v>
      </c>
      <c r="O185" s="120">
        <f t="shared" si="33"/>
        <v>0</v>
      </c>
      <c r="P185" s="120">
        <f t="shared" si="33"/>
        <v>0</v>
      </c>
      <c r="Q185" s="120">
        <f t="shared" si="33"/>
        <v>0</v>
      </c>
      <c r="R185" s="120">
        <f t="shared" si="33"/>
        <v>0</v>
      </c>
      <c r="S185" s="120">
        <f t="shared" si="33"/>
        <v>0</v>
      </c>
      <c r="T185" s="120">
        <f t="shared" si="33"/>
        <v>0</v>
      </c>
      <c r="U185" s="120">
        <f t="shared" si="33"/>
        <v>0</v>
      </c>
      <c r="V185" s="120">
        <f t="shared" si="33"/>
        <v>0</v>
      </c>
      <c r="W185" s="120">
        <f t="shared" si="33"/>
        <v>0</v>
      </c>
      <c r="X185" s="120">
        <f t="shared" si="33"/>
        <v>0</v>
      </c>
      <c r="Y185" s="120">
        <f t="shared" si="33"/>
        <v>0</v>
      </c>
      <c r="Z185" s="120">
        <f t="shared" si="33"/>
        <v>0</v>
      </c>
      <c r="AA185" s="120">
        <f t="shared" si="33"/>
        <v>0</v>
      </c>
      <c r="AB185" s="120">
        <f t="shared" si="33"/>
        <v>0</v>
      </c>
      <c r="AC185" s="120">
        <f t="shared" si="33"/>
        <v>0</v>
      </c>
      <c r="AD185" s="120">
        <f t="shared" si="33"/>
        <v>0</v>
      </c>
      <c r="AE185" s="120">
        <f t="shared" si="33"/>
        <v>0</v>
      </c>
      <c r="AF185" s="120">
        <f t="shared" si="33"/>
        <v>0</v>
      </c>
      <c r="AG185" s="120">
        <f t="shared" si="33"/>
        <v>0</v>
      </c>
      <c r="AH185" s="120">
        <f t="shared" si="33"/>
        <v>0</v>
      </c>
      <c r="AI185" s="120">
        <f t="shared" si="33"/>
        <v>0</v>
      </c>
      <c r="AJ185" s="43" t="str">
        <f t="shared" si="21"/>
        <v/>
      </c>
      <c r="AK185" s="56"/>
      <c r="AL185" s="56" t="str">
        <f t="shared" si="24"/>
        <v>00</v>
      </c>
      <c r="AM185" s="58" t="str">
        <f t="shared" si="25"/>
        <v>00</v>
      </c>
      <c r="AN185" s="58" t="str">
        <f t="shared" si="26"/>
        <v>00</v>
      </c>
      <c r="AO185" s="58" t="str">
        <f t="shared" si="27"/>
        <v>00</v>
      </c>
      <c r="AQ185" s="185" t="str">
        <f t="shared" si="22"/>
        <v/>
      </c>
    </row>
    <row r="186" spans="2:43">
      <c r="B186" s="128"/>
      <c r="C186" s="43">
        <f t="shared" si="23"/>
        <v>50</v>
      </c>
      <c r="D186" s="120">
        <f t="shared" si="33"/>
        <v>0</v>
      </c>
      <c r="E186" s="120">
        <f t="shared" si="33"/>
        <v>0</v>
      </c>
      <c r="F186" s="120">
        <f t="shared" si="33"/>
        <v>0</v>
      </c>
      <c r="G186" s="120">
        <f t="shared" si="33"/>
        <v>0</v>
      </c>
      <c r="H186" s="120">
        <f t="shared" si="33"/>
        <v>0</v>
      </c>
      <c r="I186" s="120">
        <f t="shared" si="33"/>
        <v>0</v>
      </c>
      <c r="J186" s="120">
        <f t="shared" si="33"/>
        <v>0</v>
      </c>
      <c r="K186" s="120">
        <f t="shared" si="33"/>
        <v>0</v>
      </c>
      <c r="L186" s="120">
        <f t="shared" si="33"/>
        <v>0</v>
      </c>
      <c r="M186" s="120">
        <f t="shared" si="33"/>
        <v>0</v>
      </c>
      <c r="N186" s="120">
        <f t="shared" si="33"/>
        <v>0</v>
      </c>
      <c r="O186" s="120">
        <f t="shared" si="33"/>
        <v>0</v>
      </c>
      <c r="P186" s="120">
        <f t="shared" si="33"/>
        <v>0</v>
      </c>
      <c r="Q186" s="120">
        <f t="shared" si="33"/>
        <v>0</v>
      </c>
      <c r="R186" s="120">
        <f t="shared" si="33"/>
        <v>0</v>
      </c>
      <c r="S186" s="120">
        <f t="shared" si="33"/>
        <v>0</v>
      </c>
      <c r="T186" s="120">
        <f t="shared" si="33"/>
        <v>0</v>
      </c>
      <c r="U186" s="120">
        <f t="shared" si="33"/>
        <v>0</v>
      </c>
      <c r="V186" s="120">
        <f t="shared" si="33"/>
        <v>0</v>
      </c>
      <c r="W186" s="120">
        <f t="shared" si="33"/>
        <v>0</v>
      </c>
      <c r="X186" s="120">
        <f t="shared" si="33"/>
        <v>0</v>
      </c>
      <c r="Y186" s="120">
        <f t="shared" si="33"/>
        <v>0</v>
      </c>
      <c r="Z186" s="120">
        <f t="shared" si="33"/>
        <v>0</v>
      </c>
      <c r="AA186" s="120">
        <f t="shared" si="33"/>
        <v>0</v>
      </c>
      <c r="AB186" s="120">
        <f t="shared" si="33"/>
        <v>0</v>
      </c>
      <c r="AC186" s="120">
        <f t="shared" si="33"/>
        <v>0</v>
      </c>
      <c r="AD186" s="120">
        <f t="shared" si="33"/>
        <v>0</v>
      </c>
      <c r="AE186" s="120">
        <f t="shared" si="33"/>
        <v>0</v>
      </c>
      <c r="AF186" s="120">
        <f t="shared" si="33"/>
        <v>0</v>
      </c>
      <c r="AG186" s="120">
        <f t="shared" si="33"/>
        <v>0</v>
      </c>
      <c r="AH186" s="120">
        <f t="shared" si="33"/>
        <v>0</v>
      </c>
      <c r="AI186" s="120">
        <f t="shared" si="33"/>
        <v>0</v>
      </c>
      <c r="AJ186" s="43" t="str">
        <f t="shared" si="21"/>
        <v/>
      </c>
      <c r="AK186" s="56"/>
      <c r="AL186" s="56" t="str">
        <f t="shared" si="24"/>
        <v>00</v>
      </c>
      <c r="AM186" s="58" t="str">
        <f t="shared" si="25"/>
        <v>00</v>
      </c>
      <c r="AN186" s="58" t="str">
        <f t="shared" si="26"/>
        <v>00</v>
      </c>
      <c r="AO186" s="58" t="str">
        <f t="shared" si="27"/>
        <v>00</v>
      </c>
      <c r="AQ186" s="185" t="str">
        <f t="shared" si="22"/>
        <v/>
      </c>
    </row>
    <row r="187" spans="2:43">
      <c r="B187" s="128"/>
      <c r="C187" s="43">
        <f t="shared" si="23"/>
        <v>51</v>
      </c>
      <c r="D187" s="120">
        <f t="shared" si="33"/>
        <v>0</v>
      </c>
      <c r="E187" s="120">
        <f t="shared" si="33"/>
        <v>0</v>
      </c>
      <c r="F187" s="120">
        <f t="shared" si="33"/>
        <v>0</v>
      </c>
      <c r="G187" s="120">
        <f t="shared" si="33"/>
        <v>0</v>
      </c>
      <c r="H187" s="120">
        <f t="shared" si="33"/>
        <v>0</v>
      </c>
      <c r="I187" s="120">
        <f t="shared" si="33"/>
        <v>0</v>
      </c>
      <c r="J187" s="120">
        <f t="shared" si="33"/>
        <v>0</v>
      </c>
      <c r="K187" s="120">
        <f t="shared" si="33"/>
        <v>0</v>
      </c>
      <c r="L187" s="120">
        <f t="shared" si="33"/>
        <v>0</v>
      </c>
      <c r="M187" s="120">
        <f t="shared" si="33"/>
        <v>0</v>
      </c>
      <c r="N187" s="120">
        <f t="shared" si="33"/>
        <v>0</v>
      </c>
      <c r="O187" s="120">
        <f t="shared" si="33"/>
        <v>0</v>
      </c>
      <c r="P187" s="120">
        <f t="shared" si="33"/>
        <v>0</v>
      </c>
      <c r="Q187" s="120">
        <f t="shared" si="33"/>
        <v>0</v>
      </c>
      <c r="R187" s="120">
        <f t="shared" si="33"/>
        <v>0</v>
      </c>
      <c r="S187" s="120">
        <f t="shared" si="33"/>
        <v>0</v>
      </c>
      <c r="T187" s="120">
        <f t="shared" si="33"/>
        <v>0</v>
      </c>
      <c r="U187" s="120">
        <f t="shared" si="33"/>
        <v>0</v>
      </c>
      <c r="V187" s="120">
        <f t="shared" si="33"/>
        <v>0</v>
      </c>
      <c r="W187" s="120">
        <f t="shared" si="33"/>
        <v>0</v>
      </c>
      <c r="X187" s="120">
        <f t="shared" si="33"/>
        <v>0</v>
      </c>
      <c r="Y187" s="120">
        <f t="shared" si="33"/>
        <v>0</v>
      </c>
      <c r="Z187" s="120">
        <f t="shared" si="33"/>
        <v>0</v>
      </c>
      <c r="AA187" s="120">
        <f t="shared" si="33"/>
        <v>0</v>
      </c>
      <c r="AB187" s="120">
        <f t="shared" si="33"/>
        <v>0</v>
      </c>
      <c r="AC187" s="120">
        <f t="shared" si="33"/>
        <v>0</v>
      </c>
      <c r="AD187" s="120">
        <f t="shared" si="33"/>
        <v>0</v>
      </c>
      <c r="AE187" s="120">
        <f t="shared" si="33"/>
        <v>0</v>
      </c>
      <c r="AF187" s="120">
        <f t="shared" si="33"/>
        <v>0</v>
      </c>
      <c r="AG187" s="120">
        <f t="shared" si="33"/>
        <v>0</v>
      </c>
      <c r="AH187" s="120">
        <f t="shared" si="33"/>
        <v>0</v>
      </c>
      <c r="AI187" s="120">
        <f t="shared" si="33"/>
        <v>0</v>
      </c>
      <c r="AJ187" s="43" t="str">
        <f t="shared" si="21"/>
        <v/>
      </c>
      <c r="AK187" s="56"/>
      <c r="AL187" s="56" t="str">
        <f t="shared" si="24"/>
        <v>00</v>
      </c>
      <c r="AM187" s="58" t="str">
        <f t="shared" si="25"/>
        <v>00</v>
      </c>
      <c r="AN187" s="58" t="str">
        <f t="shared" si="26"/>
        <v>00</v>
      </c>
      <c r="AO187" s="58" t="str">
        <f t="shared" si="27"/>
        <v>00</v>
      </c>
      <c r="AQ187" s="185" t="str">
        <f t="shared" si="22"/>
        <v/>
      </c>
    </row>
    <row r="188" spans="2:43">
      <c r="B188" s="128"/>
      <c r="C188" s="43">
        <f t="shared" si="23"/>
        <v>52</v>
      </c>
      <c r="D188" s="120">
        <f t="shared" si="33"/>
        <v>0</v>
      </c>
      <c r="E188" s="120">
        <f t="shared" si="33"/>
        <v>0</v>
      </c>
      <c r="F188" s="120">
        <f t="shared" si="33"/>
        <v>0</v>
      </c>
      <c r="G188" s="120">
        <f t="shared" si="33"/>
        <v>0</v>
      </c>
      <c r="H188" s="120">
        <f t="shared" si="33"/>
        <v>0</v>
      </c>
      <c r="I188" s="120">
        <f t="shared" si="33"/>
        <v>0</v>
      </c>
      <c r="J188" s="120">
        <f t="shared" si="33"/>
        <v>0</v>
      </c>
      <c r="K188" s="120">
        <f t="shared" si="33"/>
        <v>0</v>
      </c>
      <c r="L188" s="120">
        <f t="shared" si="33"/>
        <v>0</v>
      </c>
      <c r="M188" s="120">
        <f t="shared" si="33"/>
        <v>0</v>
      </c>
      <c r="N188" s="120">
        <f t="shared" si="33"/>
        <v>0</v>
      </c>
      <c r="O188" s="120">
        <f t="shared" si="33"/>
        <v>0</v>
      </c>
      <c r="P188" s="120">
        <f t="shared" si="33"/>
        <v>0</v>
      </c>
      <c r="Q188" s="120">
        <f t="shared" si="33"/>
        <v>0</v>
      </c>
      <c r="R188" s="120">
        <f t="shared" si="33"/>
        <v>0</v>
      </c>
      <c r="S188" s="120">
        <f t="shared" si="33"/>
        <v>0</v>
      </c>
      <c r="T188" s="120">
        <f t="shared" si="33"/>
        <v>0</v>
      </c>
      <c r="U188" s="120">
        <f t="shared" si="33"/>
        <v>0</v>
      </c>
      <c r="V188" s="120">
        <f t="shared" si="33"/>
        <v>0</v>
      </c>
      <c r="W188" s="120">
        <f t="shared" si="33"/>
        <v>0</v>
      </c>
      <c r="X188" s="120">
        <f t="shared" si="33"/>
        <v>0</v>
      </c>
      <c r="Y188" s="120">
        <f t="shared" si="33"/>
        <v>0</v>
      </c>
      <c r="Z188" s="120">
        <f t="shared" si="33"/>
        <v>0</v>
      </c>
      <c r="AA188" s="120">
        <f t="shared" si="33"/>
        <v>0</v>
      </c>
      <c r="AB188" s="120">
        <f t="shared" si="33"/>
        <v>0</v>
      </c>
      <c r="AC188" s="120">
        <f t="shared" si="33"/>
        <v>0</v>
      </c>
      <c r="AD188" s="120">
        <f t="shared" si="33"/>
        <v>0</v>
      </c>
      <c r="AE188" s="120">
        <f t="shared" si="33"/>
        <v>0</v>
      </c>
      <c r="AF188" s="120">
        <f t="shared" si="33"/>
        <v>0</v>
      </c>
      <c r="AG188" s="120">
        <f t="shared" si="33"/>
        <v>0</v>
      </c>
      <c r="AH188" s="120">
        <f t="shared" si="33"/>
        <v>0</v>
      </c>
      <c r="AI188" s="120">
        <f t="shared" si="33"/>
        <v>0</v>
      </c>
      <c r="AJ188" s="43" t="str">
        <f t="shared" si="21"/>
        <v/>
      </c>
      <c r="AK188" s="56"/>
      <c r="AL188" s="56" t="str">
        <f t="shared" si="24"/>
        <v>00</v>
      </c>
      <c r="AM188" s="58" t="str">
        <f t="shared" si="25"/>
        <v>00</v>
      </c>
      <c r="AN188" s="58" t="str">
        <f t="shared" si="26"/>
        <v>00</v>
      </c>
      <c r="AO188" s="58" t="str">
        <f t="shared" si="27"/>
        <v>00</v>
      </c>
      <c r="AQ188" s="185" t="str">
        <f t="shared" si="22"/>
        <v/>
      </c>
    </row>
    <row r="189" spans="2:43">
      <c r="B189" s="128"/>
      <c r="C189" s="43">
        <f t="shared" si="23"/>
        <v>53</v>
      </c>
      <c r="D189" s="120">
        <f t="shared" si="33"/>
        <v>0</v>
      </c>
      <c r="E189" s="120">
        <f t="shared" si="33"/>
        <v>0</v>
      </c>
      <c r="F189" s="120">
        <f t="shared" si="33"/>
        <v>0</v>
      </c>
      <c r="G189" s="120">
        <f t="shared" si="33"/>
        <v>0</v>
      </c>
      <c r="H189" s="120">
        <f t="shared" si="33"/>
        <v>0</v>
      </c>
      <c r="I189" s="120">
        <f t="shared" si="33"/>
        <v>0</v>
      </c>
      <c r="J189" s="120">
        <f t="shared" si="33"/>
        <v>0</v>
      </c>
      <c r="K189" s="120">
        <f t="shared" si="33"/>
        <v>0</v>
      </c>
      <c r="L189" s="120">
        <f t="shared" si="33"/>
        <v>0</v>
      </c>
      <c r="M189" s="120">
        <f t="shared" si="33"/>
        <v>0</v>
      </c>
      <c r="N189" s="120">
        <f t="shared" si="33"/>
        <v>0</v>
      </c>
      <c r="O189" s="120">
        <f t="shared" si="33"/>
        <v>0</v>
      </c>
      <c r="P189" s="120">
        <f t="shared" si="33"/>
        <v>0</v>
      </c>
      <c r="Q189" s="120">
        <f t="shared" si="33"/>
        <v>0</v>
      </c>
      <c r="R189" s="120">
        <f t="shared" si="33"/>
        <v>0</v>
      </c>
      <c r="S189" s="120">
        <f t="shared" si="33"/>
        <v>0</v>
      </c>
      <c r="T189" s="120">
        <f t="shared" si="33"/>
        <v>0</v>
      </c>
      <c r="U189" s="120">
        <f t="shared" si="33"/>
        <v>0</v>
      </c>
      <c r="V189" s="120">
        <f t="shared" si="33"/>
        <v>0</v>
      </c>
      <c r="W189" s="120">
        <f t="shared" si="33"/>
        <v>0</v>
      </c>
      <c r="X189" s="120">
        <f t="shared" si="33"/>
        <v>0</v>
      </c>
      <c r="Y189" s="120">
        <f t="shared" si="33"/>
        <v>0</v>
      </c>
      <c r="Z189" s="120">
        <f t="shared" si="33"/>
        <v>0</v>
      </c>
      <c r="AA189" s="120">
        <f t="shared" si="33"/>
        <v>0</v>
      </c>
      <c r="AB189" s="120">
        <f t="shared" si="33"/>
        <v>0</v>
      </c>
      <c r="AC189" s="120">
        <f t="shared" si="33"/>
        <v>0</v>
      </c>
      <c r="AD189" s="120">
        <f t="shared" si="33"/>
        <v>0</v>
      </c>
      <c r="AE189" s="120">
        <f t="shared" si="33"/>
        <v>0</v>
      </c>
      <c r="AF189" s="120">
        <f t="shared" si="33"/>
        <v>0</v>
      </c>
      <c r="AG189" s="120">
        <f t="shared" si="33"/>
        <v>0</v>
      </c>
      <c r="AH189" s="120">
        <f t="shared" si="33"/>
        <v>0</v>
      </c>
      <c r="AI189" s="120">
        <f t="shared" si="33"/>
        <v>0</v>
      </c>
      <c r="AJ189" s="43" t="str">
        <f t="shared" si="21"/>
        <v/>
      </c>
      <c r="AK189" s="56"/>
      <c r="AL189" s="56" t="str">
        <f t="shared" si="24"/>
        <v>00</v>
      </c>
      <c r="AM189" s="58" t="str">
        <f t="shared" si="25"/>
        <v>00</v>
      </c>
      <c r="AN189" s="58" t="str">
        <f t="shared" si="26"/>
        <v>00</v>
      </c>
      <c r="AO189" s="58" t="str">
        <f t="shared" si="27"/>
        <v>00</v>
      </c>
      <c r="AQ189" s="185" t="str">
        <f t="shared" si="22"/>
        <v/>
      </c>
    </row>
    <row r="190" spans="2:43">
      <c r="B190" s="128"/>
      <c r="C190" s="43">
        <f t="shared" si="23"/>
        <v>54</v>
      </c>
      <c r="D190" s="120">
        <f t="shared" si="33"/>
        <v>0</v>
      </c>
      <c r="E190" s="120">
        <f t="shared" si="33"/>
        <v>0</v>
      </c>
      <c r="F190" s="120">
        <f t="shared" si="33"/>
        <v>0</v>
      </c>
      <c r="G190" s="120">
        <f t="shared" si="33"/>
        <v>0</v>
      </c>
      <c r="H190" s="120">
        <f t="shared" si="33"/>
        <v>0</v>
      </c>
      <c r="I190" s="120">
        <f t="shared" si="33"/>
        <v>0</v>
      </c>
      <c r="J190" s="120">
        <f t="shared" si="33"/>
        <v>0</v>
      </c>
      <c r="K190" s="120">
        <f t="shared" si="33"/>
        <v>0</v>
      </c>
      <c r="L190" s="120">
        <f t="shared" si="33"/>
        <v>0</v>
      </c>
      <c r="M190" s="120">
        <f t="shared" si="33"/>
        <v>0</v>
      </c>
      <c r="N190" s="120">
        <f t="shared" si="33"/>
        <v>0</v>
      </c>
      <c r="O190" s="120">
        <f t="shared" si="33"/>
        <v>0</v>
      </c>
      <c r="P190" s="120">
        <f t="shared" si="33"/>
        <v>0</v>
      </c>
      <c r="Q190" s="120">
        <f t="shared" si="33"/>
        <v>0</v>
      </c>
      <c r="R190" s="120">
        <f t="shared" si="33"/>
        <v>0</v>
      </c>
      <c r="S190" s="120">
        <f t="shared" si="33"/>
        <v>0</v>
      </c>
      <c r="T190" s="120">
        <f t="shared" si="33"/>
        <v>0</v>
      </c>
      <c r="U190" s="120">
        <f t="shared" si="33"/>
        <v>0</v>
      </c>
      <c r="V190" s="120">
        <f t="shared" si="33"/>
        <v>0</v>
      </c>
      <c r="W190" s="120">
        <f t="shared" si="33"/>
        <v>0</v>
      </c>
      <c r="X190" s="120">
        <f t="shared" si="33"/>
        <v>0</v>
      </c>
      <c r="Y190" s="120">
        <f t="shared" si="33"/>
        <v>0</v>
      </c>
      <c r="Z190" s="120">
        <f t="shared" si="33"/>
        <v>0</v>
      </c>
      <c r="AA190" s="120">
        <f t="shared" si="33"/>
        <v>0</v>
      </c>
      <c r="AB190" s="120">
        <f t="shared" si="33"/>
        <v>0</v>
      </c>
      <c r="AC190" s="120">
        <f t="shared" si="33"/>
        <v>0</v>
      </c>
      <c r="AD190" s="120">
        <f t="shared" si="33"/>
        <v>0</v>
      </c>
      <c r="AE190" s="120">
        <f t="shared" si="33"/>
        <v>0</v>
      </c>
      <c r="AF190" s="120">
        <f t="shared" si="33"/>
        <v>0</v>
      </c>
      <c r="AG190" s="120">
        <f t="shared" si="33"/>
        <v>0</v>
      </c>
      <c r="AH190" s="120">
        <f t="shared" si="33"/>
        <v>0</v>
      </c>
      <c r="AI190" s="120">
        <f t="shared" si="33"/>
        <v>0</v>
      </c>
      <c r="AJ190" s="43" t="str">
        <f t="shared" si="21"/>
        <v/>
      </c>
      <c r="AK190" s="56"/>
      <c r="AL190" s="56" t="str">
        <f t="shared" si="24"/>
        <v>00</v>
      </c>
      <c r="AM190" s="58" t="str">
        <f t="shared" si="25"/>
        <v>00</v>
      </c>
      <c r="AN190" s="58" t="str">
        <f t="shared" si="26"/>
        <v>00</v>
      </c>
      <c r="AO190" s="58" t="str">
        <f t="shared" si="27"/>
        <v>00</v>
      </c>
      <c r="AQ190" s="185" t="str">
        <f t="shared" si="22"/>
        <v/>
      </c>
    </row>
    <row r="191" spans="2:43">
      <c r="B191" s="128"/>
      <c r="C191" s="43">
        <f t="shared" si="23"/>
        <v>55</v>
      </c>
      <c r="D191" s="120">
        <f t="shared" si="33"/>
        <v>0</v>
      </c>
      <c r="E191" s="120">
        <f t="shared" si="33"/>
        <v>0</v>
      </c>
      <c r="F191" s="120">
        <f t="shared" si="33"/>
        <v>0</v>
      </c>
      <c r="G191" s="120">
        <f t="shared" si="33"/>
        <v>0</v>
      </c>
      <c r="H191" s="120">
        <f t="shared" si="33"/>
        <v>0</v>
      </c>
      <c r="I191" s="120">
        <f t="shared" si="33"/>
        <v>0</v>
      </c>
      <c r="J191" s="120">
        <f t="shared" si="33"/>
        <v>0</v>
      </c>
      <c r="K191" s="120">
        <f t="shared" si="33"/>
        <v>0</v>
      </c>
      <c r="L191" s="120">
        <f t="shared" si="33"/>
        <v>0</v>
      </c>
      <c r="M191" s="120">
        <f t="shared" si="33"/>
        <v>0</v>
      </c>
      <c r="N191" s="120">
        <f t="shared" si="33"/>
        <v>0</v>
      </c>
      <c r="O191" s="120">
        <f t="shared" si="33"/>
        <v>0</v>
      </c>
      <c r="P191" s="120">
        <f t="shared" si="33"/>
        <v>0</v>
      </c>
      <c r="Q191" s="120">
        <f t="shared" si="33"/>
        <v>0</v>
      </c>
      <c r="R191" s="120">
        <f t="shared" si="33"/>
        <v>0</v>
      </c>
      <c r="S191" s="120">
        <f t="shared" si="33"/>
        <v>0</v>
      </c>
      <c r="T191" s="120">
        <f t="shared" si="33"/>
        <v>0</v>
      </c>
      <c r="U191" s="120">
        <f t="shared" si="33"/>
        <v>0</v>
      </c>
      <c r="V191" s="120">
        <f t="shared" si="33"/>
        <v>0</v>
      </c>
      <c r="W191" s="120">
        <f t="shared" si="33"/>
        <v>0</v>
      </c>
      <c r="X191" s="120">
        <f t="shared" si="33"/>
        <v>0</v>
      </c>
      <c r="Y191" s="120">
        <f t="shared" si="33"/>
        <v>0</v>
      </c>
      <c r="Z191" s="120">
        <f t="shared" si="33"/>
        <v>0</v>
      </c>
      <c r="AA191" s="120">
        <f t="shared" si="33"/>
        <v>0</v>
      </c>
      <c r="AB191" s="120">
        <f t="shared" si="33"/>
        <v>0</v>
      </c>
      <c r="AC191" s="120">
        <f t="shared" si="33"/>
        <v>0</v>
      </c>
      <c r="AD191" s="120">
        <f t="shared" si="33"/>
        <v>0</v>
      </c>
      <c r="AE191" s="120">
        <f t="shared" si="33"/>
        <v>0</v>
      </c>
      <c r="AF191" s="120">
        <f t="shared" si="33"/>
        <v>0</v>
      </c>
      <c r="AG191" s="120">
        <f t="shared" si="33"/>
        <v>0</v>
      </c>
      <c r="AH191" s="120">
        <f t="shared" si="33"/>
        <v>0</v>
      </c>
      <c r="AI191" s="120">
        <f>IF(OR(AI61=0,AI61=1),1,0)</f>
        <v>0</v>
      </c>
      <c r="AJ191" s="43" t="str">
        <f t="shared" si="21"/>
        <v/>
      </c>
      <c r="AK191" s="56"/>
      <c r="AL191" s="56" t="str">
        <f t="shared" si="24"/>
        <v>00</v>
      </c>
      <c r="AM191" s="58" t="str">
        <f t="shared" si="25"/>
        <v>00</v>
      </c>
      <c r="AN191" s="58" t="str">
        <f t="shared" si="26"/>
        <v>00</v>
      </c>
      <c r="AO191" s="58" t="str">
        <f t="shared" si="27"/>
        <v>00</v>
      </c>
      <c r="AQ191" s="185" t="str">
        <f t="shared" si="22"/>
        <v/>
      </c>
    </row>
    <row r="192" spans="2:43">
      <c r="B192" s="128"/>
      <c r="C192" s="43">
        <f t="shared" si="23"/>
        <v>56</v>
      </c>
      <c r="D192" s="120">
        <f t="shared" ref="D192:AI199" si="34">IF(OR(D62=0,D62=1),1,0)</f>
        <v>0</v>
      </c>
      <c r="E192" s="120">
        <f t="shared" si="34"/>
        <v>0</v>
      </c>
      <c r="F192" s="120">
        <f t="shared" si="34"/>
        <v>0</v>
      </c>
      <c r="G192" s="120">
        <f t="shared" si="34"/>
        <v>0</v>
      </c>
      <c r="H192" s="120">
        <f t="shared" si="34"/>
        <v>0</v>
      </c>
      <c r="I192" s="120">
        <f t="shared" si="34"/>
        <v>0</v>
      </c>
      <c r="J192" s="120">
        <f t="shared" si="34"/>
        <v>0</v>
      </c>
      <c r="K192" s="120">
        <f t="shared" si="34"/>
        <v>0</v>
      </c>
      <c r="L192" s="120">
        <f t="shared" si="34"/>
        <v>0</v>
      </c>
      <c r="M192" s="120">
        <f t="shared" si="34"/>
        <v>0</v>
      </c>
      <c r="N192" s="120">
        <f t="shared" si="34"/>
        <v>0</v>
      </c>
      <c r="O192" s="120">
        <f t="shared" si="34"/>
        <v>0</v>
      </c>
      <c r="P192" s="120">
        <f t="shared" si="34"/>
        <v>0</v>
      </c>
      <c r="Q192" s="120">
        <f t="shared" si="34"/>
        <v>0</v>
      </c>
      <c r="R192" s="120">
        <f t="shared" si="34"/>
        <v>0</v>
      </c>
      <c r="S192" s="120">
        <f t="shared" si="34"/>
        <v>0</v>
      </c>
      <c r="T192" s="120">
        <f t="shared" si="34"/>
        <v>0</v>
      </c>
      <c r="U192" s="120">
        <f t="shared" si="34"/>
        <v>0</v>
      </c>
      <c r="V192" s="120">
        <f t="shared" si="34"/>
        <v>0</v>
      </c>
      <c r="W192" s="120">
        <f t="shared" si="34"/>
        <v>0</v>
      </c>
      <c r="X192" s="120">
        <f t="shared" si="34"/>
        <v>0</v>
      </c>
      <c r="Y192" s="120">
        <f t="shared" si="34"/>
        <v>0</v>
      </c>
      <c r="Z192" s="120">
        <f t="shared" si="34"/>
        <v>0</v>
      </c>
      <c r="AA192" s="120">
        <f t="shared" si="34"/>
        <v>0</v>
      </c>
      <c r="AB192" s="120">
        <f t="shared" si="34"/>
        <v>0</v>
      </c>
      <c r="AC192" s="120">
        <f t="shared" si="34"/>
        <v>0</v>
      </c>
      <c r="AD192" s="120">
        <f t="shared" si="34"/>
        <v>0</v>
      </c>
      <c r="AE192" s="120">
        <f t="shared" si="34"/>
        <v>0</v>
      </c>
      <c r="AF192" s="120">
        <f t="shared" si="34"/>
        <v>0</v>
      </c>
      <c r="AG192" s="120">
        <f t="shared" si="34"/>
        <v>0</v>
      </c>
      <c r="AH192" s="120">
        <f t="shared" si="34"/>
        <v>0</v>
      </c>
      <c r="AI192" s="120">
        <f t="shared" si="34"/>
        <v>0</v>
      </c>
      <c r="AJ192" s="43" t="str">
        <f t="shared" si="21"/>
        <v/>
      </c>
      <c r="AK192" s="56"/>
      <c r="AL192" s="56" t="str">
        <f t="shared" si="24"/>
        <v>00</v>
      </c>
      <c r="AM192" s="58" t="str">
        <f t="shared" si="25"/>
        <v>00</v>
      </c>
      <c r="AN192" s="58" t="str">
        <f t="shared" si="26"/>
        <v>00</v>
      </c>
      <c r="AO192" s="58" t="str">
        <f t="shared" si="27"/>
        <v>00</v>
      </c>
      <c r="AQ192" s="185" t="str">
        <f t="shared" si="22"/>
        <v/>
      </c>
    </row>
    <row r="193" spans="2:43">
      <c r="B193" s="128"/>
      <c r="C193" s="43">
        <f t="shared" si="23"/>
        <v>57</v>
      </c>
      <c r="D193" s="120">
        <f t="shared" si="34"/>
        <v>0</v>
      </c>
      <c r="E193" s="120">
        <f t="shared" si="34"/>
        <v>0</v>
      </c>
      <c r="F193" s="120">
        <f t="shared" si="34"/>
        <v>0</v>
      </c>
      <c r="G193" s="120">
        <f t="shared" si="34"/>
        <v>0</v>
      </c>
      <c r="H193" s="120">
        <f t="shared" si="34"/>
        <v>0</v>
      </c>
      <c r="I193" s="120">
        <f t="shared" si="34"/>
        <v>0</v>
      </c>
      <c r="J193" s="120">
        <f t="shared" si="34"/>
        <v>0</v>
      </c>
      <c r="K193" s="120">
        <f t="shared" si="34"/>
        <v>0</v>
      </c>
      <c r="L193" s="120">
        <f t="shared" si="34"/>
        <v>0</v>
      </c>
      <c r="M193" s="120">
        <f t="shared" si="34"/>
        <v>0</v>
      </c>
      <c r="N193" s="120">
        <f t="shared" si="34"/>
        <v>0</v>
      </c>
      <c r="O193" s="120">
        <f t="shared" si="34"/>
        <v>0</v>
      </c>
      <c r="P193" s="120">
        <f t="shared" si="34"/>
        <v>0</v>
      </c>
      <c r="Q193" s="120">
        <f t="shared" si="34"/>
        <v>0</v>
      </c>
      <c r="R193" s="120">
        <f t="shared" si="34"/>
        <v>0</v>
      </c>
      <c r="S193" s="120">
        <f t="shared" si="34"/>
        <v>0</v>
      </c>
      <c r="T193" s="120">
        <f t="shared" si="34"/>
        <v>0</v>
      </c>
      <c r="U193" s="120">
        <f t="shared" si="34"/>
        <v>0</v>
      </c>
      <c r="V193" s="120">
        <f t="shared" si="34"/>
        <v>0</v>
      </c>
      <c r="W193" s="120">
        <f t="shared" si="34"/>
        <v>0</v>
      </c>
      <c r="X193" s="120">
        <f t="shared" si="34"/>
        <v>0</v>
      </c>
      <c r="Y193" s="120">
        <f t="shared" si="34"/>
        <v>0</v>
      </c>
      <c r="Z193" s="120">
        <f t="shared" si="34"/>
        <v>0</v>
      </c>
      <c r="AA193" s="120">
        <f t="shared" si="34"/>
        <v>0</v>
      </c>
      <c r="AB193" s="120">
        <f t="shared" si="34"/>
        <v>0</v>
      </c>
      <c r="AC193" s="120">
        <f t="shared" si="34"/>
        <v>0</v>
      </c>
      <c r="AD193" s="120">
        <f t="shared" si="34"/>
        <v>0</v>
      </c>
      <c r="AE193" s="120">
        <f t="shared" si="34"/>
        <v>0</v>
      </c>
      <c r="AF193" s="120">
        <f t="shared" si="34"/>
        <v>0</v>
      </c>
      <c r="AG193" s="120">
        <f t="shared" si="34"/>
        <v>0</v>
      </c>
      <c r="AH193" s="120">
        <f t="shared" si="34"/>
        <v>0</v>
      </c>
      <c r="AI193" s="120">
        <f t="shared" si="34"/>
        <v>0</v>
      </c>
      <c r="AJ193" s="43" t="str">
        <f t="shared" si="21"/>
        <v/>
      </c>
      <c r="AK193" s="56"/>
      <c r="AL193" s="56" t="str">
        <f t="shared" si="24"/>
        <v>00</v>
      </c>
      <c r="AM193" s="58" t="str">
        <f t="shared" si="25"/>
        <v>00</v>
      </c>
      <c r="AN193" s="58" t="str">
        <f t="shared" si="26"/>
        <v>00</v>
      </c>
      <c r="AO193" s="58" t="str">
        <f t="shared" si="27"/>
        <v>00</v>
      </c>
      <c r="AQ193" s="185" t="str">
        <f t="shared" si="22"/>
        <v/>
      </c>
    </row>
    <row r="194" spans="2:43">
      <c r="B194" s="128"/>
      <c r="C194" s="43">
        <f t="shared" si="23"/>
        <v>58</v>
      </c>
      <c r="D194" s="120">
        <f t="shared" si="34"/>
        <v>0</v>
      </c>
      <c r="E194" s="120">
        <f t="shared" si="34"/>
        <v>0</v>
      </c>
      <c r="F194" s="120">
        <f t="shared" si="34"/>
        <v>0</v>
      </c>
      <c r="G194" s="120">
        <f t="shared" si="34"/>
        <v>0</v>
      </c>
      <c r="H194" s="120">
        <f t="shared" si="34"/>
        <v>0</v>
      </c>
      <c r="I194" s="120">
        <f t="shared" si="34"/>
        <v>0</v>
      </c>
      <c r="J194" s="120">
        <f t="shared" si="34"/>
        <v>0</v>
      </c>
      <c r="K194" s="120">
        <f t="shared" si="34"/>
        <v>0</v>
      </c>
      <c r="L194" s="120">
        <f t="shared" si="34"/>
        <v>0</v>
      </c>
      <c r="M194" s="120">
        <f t="shared" si="34"/>
        <v>0</v>
      </c>
      <c r="N194" s="120">
        <f t="shared" si="34"/>
        <v>0</v>
      </c>
      <c r="O194" s="120">
        <f t="shared" si="34"/>
        <v>0</v>
      </c>
      <c r="P194" s="120">
        <f t="shared" si="34"/>
        <v>0</v>
      </c>
      <c r="Q194" s="120">
        <f t="shared" si="34"/>
        <v>0</v>
      </c>
      <c r="R194" s="120">
        <f t="shared" si="34"/>
        <v>0</v>
      </c>
      <c r="S194" s="120">
        <f t="shared" si="34"/>
        <v>0</v>
      </c>
      <c r="T194" s="120">
        <f t="shared" si="34"/>
        <v>0</v>
      </c>
      <c r="U194" s="120">
        <f t="shared" si="34"/>
        <v>0</v>
      </c>
      <c r="V194" s="120">
        <f t="shared" si="34"/>
        <v>0</v>
      </c>
      <c r="W194" s="120">
        <f t="shared" si="34"/>
        <v>0</v>
      </c>
      <c r="X194" s="120">
        <f t="shared" si="34"/>
        <v>0</v>
      </c>
      <c r="Y194" s="120">
        <f t="shared" si="34"/>
        <v>0</v>
      </c>
      <c r="Z194" s="120">
        <f t="shared" si="34"/>
        <v>0</v>
      </c>
      <c r="AA194" s="120">
        <f t="shared" si="34"/>
        <v>0</v>
      </c>
      <c r="AB194" s="120">
        <f t="shared" si="34"/>
        <v>0</v>
      </c>
      <c r="AC194" s="120">
        <f t="shared" si="34"/>
        <v>0</v>
      </c>
      <c r="AD194" s="120">
        <f t="shared" si="34"/>
        <v>0</v>
      </c>
      <c r="AE194" s="120">
        <f t="shared" si="34"/>
        <v>0</v>
      </c>
      <c r="AF194" s="120">
        <f t="shared" si="34"/>
        <v>0</v>
      </c>
      <c r="AG194" s="120">
        <f t="shared" si="34"/>
        <v>0</v>
      </c>
      <c r="AH194" s="120">
        <f t="shared" si="34"/>
        <v>0</v>
      </c>
      <c r="AI194" s="120">
        <f t="shared" si="34"/>
        <v>0</v>
      </c>
      <c r="AJ194" s="43" t="str">
        <f t="shared" si="21"/>
        <v/>
      </c>
      <c r="AK194" s="56"/>
      <c r="AL194" s="56" t="str">
        <f t="shared" si="24"/>
        <v>00</v>
      </c>
      <c r="AM194" s="58" t="str">
        <f t="shared" si="25"/>
        <v>00</v>
      </c>
      <c r="AN194" s="58" t="str">
        <f t="shared" si="26"/>
        <v>00</v>
      </c>
      <c r="AO194" s="58" t="str">
        <f t="shared" si="27"/>
        <v>00</v>
      </c>
      <c r="AQ194" s="185" t="str">
        <f t="shared" si="22"/>
        <v/>
      </c>
    </row>
    <row r="195" spans="2:43">
      <c r="B195" s="128"/>
      <c r="C195" s="43">
        <f t="shared" si="23"/>
        <v>59</v>
      </c>
      <c r="D195" s="120">
        <f t="shared" si="34"/>
        <v>0</v>
      </c>
      <c r="E195" s="120">
        <f t="shared" si="34"/>
        <v>0</v>
      </c>
      <c r="F195" s="120">
        <f t="shared" si="34"/>
        <v>0</v>
      </c>
      <c r="G195" s="120">
        <f t="shared" si="34"/>
        <v>0</v>
      </c>
      <c r="H195" s="120">
        <f t="shared" si="34"/>
        <v>0</v>
      </c>
      <c r="I195" s="120">
        <f t="shared" si="34"/>
        <v>0</v>
      </c>
      <c r="J195" s="120">
        <f t="shared" si="34"/>
        <v>0</v>
      </c>
      <c r="K195" s="120">
        <f t="shared" si="34"/>
        <v>0</v>
      </c>
      <c r="L195" s="120">
        <f t="shared" si="34"/>
        <v>0</v>
      </c>
      <c r="M195" s="120">
        <f t="shared" si="34"/>
        <v>0</v>
      </c>
      <c r="N195" s="120">
        <f t="shared" si="34"/>
        <v>0</v>
      </c>
      <c r="O195" s="120">
        <f t="shared" si="34"/>
        <v>0</v>
      </c>
      <c r="P195" s="120">
        <f t="shared" si="34"/>
        <v>0</v>
      </c>
      <c r="Q195" s="120">
        <f t="shared" si="34"/>
        <v>0</v>
      </c>
      <c r="R195" s="120">
        <f t="shared" si="34"/>
        <v>0</v>
      </c>
      <c r="S195" s="120">
        <f t="shared" si="34"/>
        <v>0</v>
      </c>
      <c r="T195" s="120">
        <f t="shared" si="34"/>
        <v>0</v>
      </c>
      <c r="U195" s="120">
        <f t="shared" si="34"/>
        <v>0</v>
      </c>
      <c r="V195" s="120">
        <f t="shared" si="34"/>
        <v>0</v>
      </c>
      <c r="W195" s="120">
        <f t="shared" si="34"/>
        <v>0</v>
      </c>
      <c r="X195" s="120">
        <f t="shared" si="34"/>
        <v>0</v>
      </c>
      <c r="Y195" s="120">
        <f t="shared" si="34"/>
        <v>0</v>
      </c>
      <c r="Z195" s="120">
        <f t="shared" si="34"/>
        <v>0</v>
      </c>
      <c r="AA195" s="120">
        <f t="shared" si="34"/>
        <v>0</v>
      </c>
      <c r="AB195" s="120">
        <f t="shared" si="34"/>
        <v>0</v>
      </c>
      <c r="AC195" s="120">
        <f t="shared" si="34"/>
        <v>0</v>
      </c>
      <c r="AD195" s="120">
        <f t="shared" si="34"/>
        <v>0</v>
      </c>
      <c r="AE195" s="120">
        <f t="shared" si="34"/>
        <v>0</v>
      </c>
      <c r="AF195" s="120">
        <f t="shared" si="34"/>
        <v>0</v>
      </c>
      <c r="AG195" s="120">
        <f t="shared" si="34"/>
        <v>0</v>
      </c>
      <c r="AH195" s="120">
        <f t="shared" si="34"/>
        <v>0</v>
      </c>
      <c r="AI195" s="120">
        <f t="shared" si="34"/>
        <v>0</v>
      </c>
      <c r="AJ195" s="43" t="str">
        <f t="shared" si="21"/>
        <v/>
      </c>
      <c r="AK195" s="56"/>
      <c r="AL195" s="56" t="str">
        <f t="shared" si="24"/>
        <v>00</v>
      </c>
      <c r="AM195" s="58" t="str">
        <f t="shared" si="25"/>
        <v>00</v>
      </c>
      <c r="AN195" s="58" t="str">
        <f t="shared" si="26"/>
        <v>00</v>
      </c>
      <c r="AO195" s="58" t="str">
        <f t="shared" si="27"/>
        <v>00</v>
      </c>
      <c r="AQ195" s="185" t="str">
        <f t="shared" si="22"/>
        <v/>
      </c>
    </row>
    <row r="196" spans="2:43">
      <c r="B196" s="128"/>
      <c r="C196" s="43">
        <f t="shared" si="23"/>
        <v>60</v>
      </c>
      <c r="D196" s="120">
        <f t="shared" si="34"/>
        <v>0</v>
      </c>
      <c r="E196" s="120">
        <f t="shared" si="34"/>
        <v>0</v>
      </c>
      <c r="F196" s="120">
        <f t="shared" si="34"/>
        <v>0</v>
      </c>
      <c r="G196" s="120">
        <f t="shared" si="34"/>
        <v>0</v>
      </c>
      <c r="H196" s="120">
        <f t="shared" si="34"/>
        <v>0</v>
      </c>
      <c r="I196" s="120">
        <f t="shared" si="34"/>
        <v>0</v>
      </c>
      <c r="J196" s="120">
        <f t="shared" si="34"/>
        <v>0</v>
      </c>
      <c r="K196" s="120">
        <f t="shared" si="34"/>
        <v>0</v>
      </c>
      <c r="L196" s="120">
        <f t="shared" si="34"/>
        <v>0</v>
      </c>
      <c r="M196" s="120">
        <f t="shared" si="34"/>
        <v>0</v>
      </c>
      <c r="N196" s="120">
        <f t="shared" si="34"/>
        <v>0</v>
      </c>
      <c r="O196" s="120">
        <f t="shared" si="34"/>
        <v>0</v>
      </c>
      <c r="P196" s="120">
        <f t="shared" si="34"/>
        <v>0</v>
      </c>
      <c r="Q196" s="120">
        <f t="shared" si="34"/>
        <v>0</v>
      </c>
      <c r="R196" s="120">
        <f t="shared" si="34"/>
        <v>0</v>
      </c>
      <c r="S196" s="120">
        <f t="shared" si="34"/>
        <v>0</v>
      </c>
      <c r="T196" s="120">
        <f t="shared" si="34"/>
        <v>0</v>
      </c>
      <c r="U196" s="120">
        <f t="shared" si="34"/>
        <v>0</v>
      </c>
      <c r="V196" s="120">
        <f t="shared" si="34"/>
        <v>0</v>
      </c>
      <c r="W196" s="120">
        <f t="shared" si="34"/>
        <v>0</v>
      </c>
      <c r="X196" s="120">
        <f t="shared" si="34"/>
        <v>0</v>
      </c>
      <c r="Y196" s="120">
        <f t="shared" si="34"/>
        <v>0</v>
      </c>
      <c r="Z196" s="120">
        <f t="shared" si="34"/>
        <v>0</v>
      </c>
      <c r="AA196" s="120">
        <f t="shared" si="34"/>
        <v>0</v>
      </c>
      <c r="AB196" s="120">
        <f t="shared" si="34"/>
        <v>0</v>
      </c>
      <c r="AC196" s="120">
        <f t="shared" si="34"/>
        <v>0</v>
      </c>
      <c r="AD196" s="120">
        <f t="shared" si="34"/>
        <v>0</v>
      </c>
      <c r="AE196" s="120">
        <f t="shared" si="34"/>
        <v>0</v>
      </c>
      <c r="AF196" s="120">
        <f t="shared" si="34"/>
        <v>0</v>
      </c>
      <c r="AG196" s="120">
        <f t="shared" si="34"/>
        <v>0</v>
      </c>
      <c r="AH196" s="120">
        <f t="shared" si="34"/>
        <v>0</v>
      </c>
      <c r="AI196" s="120">
        <f t="shared" si="34"/>
        <v>0</v>
      </c>
      <c r="AJ196" s="43" t="str">
        <f t="shared" si="21"/>
        <v/>
      </c>
      <c r="AK196" s="56"/>
      <c r="AL196" s="56" t="str">
        <f t="shared" si="24"/>
        <v>00</v>
      </c>
      <c r="AM196" s="58" t="str">
        <f t="shared" si="25"/>
        <v>00</v>
      </c>
      <c r="AN196" s="58" t="str">
        <f t="shared" si="26"/>
        <v>00</v>
      </c>
      <c r="AO196" s="58" t="str">
        <f t="shared" si="27"/>
        <v>00</v>
      </c>
      <c r="AQ196" s="185" t="str">
        <f t="shared" si="22"/>
        <v/>
      </c>
    </row>
    <row r="197" spans="2:43">
      <c r="B197" s="128"/>
      <c r="C197" s="43">
        <f t="shared" si="23"/>
        <v>61</v>
      </c>
      <c r="D197" s="120">
        <f t="shared" si="34"/>
        <v>0</v>
      </c>
      <c r="E197" s="120">
        <f t="shared" si="34"/>
        <v>0</v>
      </c>
      <c r="F197" s="120">
        <f t="shared" si="34"/>
        <v>0</v>
      </c>
      <c r="G197" s="120">
        <f t="shared" si="34"/>
        <v>0</v>
      </c>
      <c r="H197" s="120">
        <f t="shared" si="34"/>
        <v>0</v>
      </c>
      <c r="I197" s="120">
        <f t="shared" si="34"/>
        <v>0</v>
      </c>
      <c r="J197" s="120">
        <f t="shared" si="34"/>
        <v>0</v>
      </c>
      <c r="K197" s="120">
        <f t="shared" si="34"/>
        <v>0</v>
      </c>
      <c r="L197" s="120">
        <f t="shared" si="34"/>
        <v>0</v>
      </c>
      <c r="M197" s="120">
        <f t="shared" si="34"/>
        <v>0</v>
      </c>
      <c r="N197" s="120">
        <f t="shared" si="34"/>
        <v>0</v>
      </c>
      <c r="O197" s="120">
        <f t="shared" si="34"/>
        <v>0</v>
      </c>
      <c r="P197" s="120">
        <f t="shared" si="34"/>
        <v>0</v>
      </c>
      <c r="Q197" s="120">
        <f t="shared" si="34"/>
        <v>0</v>
      </c>
      <c r="R197" s="120">
        <f t="shared" si="34"/>
        <v>0</v>
      </c>
      <c r="S197" s="120">
        <f t="shared" si="34"/>
        <v>0</v>
      </c>
      <c r="T197" s="120">
        <f t="shared" si="34"/>
        <v>0</v>
      </c>
      <c r="U197" s="120">
        <f t="shared" si="34"/>
        <v>0</v>
      </c>
      <c r="V197" s="120">
        <f t="shared" si="34"/>
        <v>0</v>
      </c>
      <c r="W197" s="120">
        <f t="shared" si="34"/>
        <v>0</v>
      </c>
      <c r="X197" s="120">
        <f t="shared" si="34"/>
        <v>0</v>
      </c>
      <c r="Y197" s="120">
        <f t="shared" si="34"/>
        <v>0</v>
      </c>
      <c r="Z197" s="120">
        <f t="shared" si="34"/>
        <v>0</v>
      </c>
      <c r="AA197" s="120">
        <f t="shared" si="34"/>
        <v>0</v>
      </c>
      <c r="AB197" s="120">
        <f t="shared" si="34"/>
        <v>0</v>
      </c>
      <c r="AC197" s="120">
        <f t="shared" si="34"/>
        <v>0</v>
      </c>
      <c r="AD197" s="120">
        <f t="shared" si="34"/>
        <v>0</v>
      </c>
      <c r="AE197" s="120">
        <f t="shared" si="34"/>
        <v>0</v>
      </c>
      <c r="AF197" s="120">
        <f t="shared" si="34"/>
        <v>0</v>
      </c>
      <c r="AG197" s="120">
        <f t="shared" si="34"/>
        <v>0</v>
      </c>
      <c r="AH197" s="120">
        <f t="shared" si="34"/>
        <v>0</v>
      </c>
      <c r="AI197" s="120">
        <f t="shared" si="34"/>
        <v>0</v>
      </c>
      <c r="AJ197" s="43" t="str">
        <f t="shared" si="21"/>
        <v/>
      </c>
      <c r="AK197" s="56"/>
      <c r="AL197" s="56" t="str">
        <f t="shared" si="24"/>
        <v>00</v>
      </c>
      <c r="AM197" s="58" t="str">
        <f t="shared" si="25"/>
        <v>00</v>
      </c>
      <c r="AN197" s="58" t="str">
        <f t="shared" si="26"/>
        <v>00</v>
      </c>
      <c r="AO197" s="58" t="str">
        <f t="shared" si="27"/>
        <v>00</v>
      </c>
      <c r="AQ197" s="185" t="str">
        <f t="shared" si="22"/>
        <v/>
      </c>
    </row>
    <row r="198" spans="2:43">
      <c r="B198" s="128"/>
      <c r="C198" s="43">
        <f t="shared" si="23"/>
        <v>62</v>
      </c>
      <c r="D198" s="120">
        <f t="shared" si="34"/>
        <v>0</v>
      </c>
      <c r="E198" s="120">
        <f t="shared" si="34"/>
        <v>0</v>
      </c>
      <c r="F198" s="120">
        <f t="shared" si="34"/>
        <v>0</v>
      </c>
      <c r="G198" s="120">
        <f t="shared" si="34"/>
        <v>0</v>
      </c>
      <c r="H198" s="120">
        <f t="shared" si="34"/>
        <v>0</v>
      </c>
      <c r="I198" s="120">
        <f t="shared" si="34"/>
        <v>0</v>
      </c>
      <c r="J198" s="120">
        <f t="shared" si="34"/>
        <v>0</v>
      </c>
      <c r="K198" s="120">
        <f t="shared" si="34"/>
        <v>0</v>
      </c>
      <c r="L198" s="120">
        <f t="shared" si="34"/>
        <v>0</v>
      </c>
      <c r="M198" s="120">
        <f t="shared" si="34"/>
        <v>0</v>
      </c>
      <c r="N198" s="120">
        <f t="shared" si="34"/>
        <v>0</v>
      </c>
      <c r="O198" s="120">
        <f t="shared" si="34"/>
        <v>0</v>
      </c>
      <c r="P198" s="120">
        <f t="shared" si="34"/>
        <v>0</v>
      </c>
      <c r="Q198" s="120">
        <f t="shared" si="34"/>
        <v>0</v>
      </c>
      <c r="R198" s="120">
        <f t="shared" si="34"/>
        <v>0</v>
      </c>
      <c r="S198" s="120">
        <f t="shared" si="34"/>
        <v>0</v>
      </c>
      <c r="T198" s="120">
        <f t="shared" si="34"/>
        <v>0</v>
      </c>
      <c r="U198" s="120">
        <f t="shared" si="34"/>
        <v>0</v>
      </c>
      <c r="V198" s="120">
        <f t="shared" si="34"/>
        <v>0</v>
      </c>
      <c r="W198" s="120">
        <f t="shared" si="34"/>
        <v>0</v>
      </c>
      <c r="X198" s="120">
        <f t="shared" si="34"/>
        <v>0</v>
      </c>
      <c r="Y198" s="120">
        <f t="shared" si="34"/>
        <v>0</v>
      </c>
      <c r="Z198" s="120">
        <f t="shared" si="34"/>
        <v>0</v>
      </c>
      <c r="AA198" s="120">
        <f t="shared" si="34"/>
        <v>0</v>
      </c>
      <c r="AB198" s="120">
        <f t="shared" si="34"/>
        <v>0</v>
      </c>
      <c r="AC198" s="120">
        <f t="shared" si="34"/>
        <v>0</v>
      </c>
      <c r="AD198" s="120">
        <f t="shared" si="34"/>
        <v>0</v>
      </c>
      <c r="AE198" s="120">
        <f t="shared" si="34"/>
        <v>0</v>
      </c>
      <c r="AF198" s="120">
        <f t="shared" si="34"/>
        <v>0</v>
      </c>
      <c r="AG198" s="120">
        <f t="shared" si="34"/>
        <v>0</v>
      </c>
      <c r="AH198" s="120">
        <f t="shared" si="34"/>
        <v>0</v>
      </c>
      <c r="AI198" s="120">
        <f t="shared" si="34"/>
        <v>0</v>
      </c>
      <c r="AJ198" s="43" t="str">
        <f t="shared" si="21"/>
        <v/>
      </c>
      <c r="AK198" s="56"/>
      <c r="AL198" s="56" t="str">
        <f t="shared" si="24"/>
        <v>00</v>
      </c>
      <c r="AM198" s="58" t="str">
        <f t="shared" si="25"/>
        <v>00</v>
      </c>
      <c r="AN198" s="58" t="str">
        <f t="shared" si="26"/>
        <v>00</v>
      </c>
      <c r="AO198" s="58" t="str">
        <f t="shared" si="27"/>
        <v>00</v>
      </c>
      <c r="AQ198" s="185" t="str">
        <f t="shared" si="22"/>
        <v/>
      </c>
    </row>
    <row r="199" spans="2:43">
      <c r="B199" s="129"/>
      <c r="C199" s="43">
        <f t="shared" si="23"/>
        <v>63</v>
      </c>
      <c r="D199" s="120">
        <f t="shared" si="34"/>
        <v>0</v>
      </c>
      <c r="E199" s="120">
        <f t="shared" si="34"/>
        <v>0</v>
      </c>
      <c r="F199" s="120">
        <f t="shared" si="34"/>
        <v>0</v>
      </c>
      <c r="G199" s="120">
        <f t="shared" si="34"/>
        <v>0</v>
      </c>
      <c r="H199" s="120">
        <f t="shared" si="34"/>
        <v>0</v>
      </c>
      <c r="I199" s="120">
        <f t="shared" si="34"/>
        <v>0</v>
      </c>
      <c r="J199" s="120">
        <f t="shared" si="34"/>
        <v>0</v>
      </c>
      <c r="K199" s="120">
        <f t="shared" si="34"/>
        <v>0</v>
      </c>
      <c r="L199" s="120">
        <f t="shared" si="34"/>
        <v>0</v>
      </c>
      <c r="M199" s="120">
        <f t="shared" si="34"/>
        <v>0</v>
      </c>
      <c r="N199" s="120">
        <f t="shared" si="34"/>
        <v>0</v>
      </c>
      <c r="O199" s="120">
        <f t="shared" si="34"/>
        <v>0</v>
      </c>
      <c r="P199" s="120">
        <f t="shared" si="34"/>
        <v>0</v>
      </c>
      <c r="Q199" s="120">
        <f t="shared" si="34"/>
        <v>0</v>
      </c>
      <c r="R199" s="120">
        <f t="shared" si="34"/>
        <v>0</v>
      </c>
      <c r="S199" s="120">
        <f t="shared" si="34"/>
        <v>0</v>
      </c>
      <c r="T199" s="120">
        <f t="shared" si="34"/>
        <v>0</v>
      </c>
      <c r="U199" s="120">
        <f t="shared" si="34"/>
        <v>0</v>
      </c>
      <c r="V199" s="120">
        <f t="shared" si="34"/>
        <v>0</v>
      </c>
      <c r="W199" s="120">
        <f t="shared" si="34"/>
        <v>0</v>
      </c>
      <c r="X199" s="120">
        <f t="shared" si="34"/>
        <v>0</v>
      </c>
      <c r="Y199" s="120">
        <f t="shared" si="34"/>
        <v>0</v>
      </c>
      <c r="Z199" s="120">
        <f t="shared" si="34"/>
        <v>0</v>
      </c>
      <c r="AA199" s="120">
        <f t="shared" si="34"/>
        <v>0</v>
      </c>
      <c r="AB199" s="120">
        <f t="shared" si="34"/>
        <v>0</v>
      </c>
      <c r="AC199" s="120">
        <f t="shared" si="34"/>
        <v>0</v>
      </c>
      <c r="AD199" s="120">
        <f t="shared" si="34"/>
        <v>0</v>
      </c>
      <c r="AE199" s="120">
        <f t="shared" si="34"/>
        <v>0</v>
      </c>
      <c r="AF199" s="120">
        <f t="shared" si="34"/>
        <v>0</v>
      </c>
      <c r="AG199" s="120">
        <f t="shared" si="34"/>
        <v>0</v>
      </c>
      <c r="AH199" s="120">
        <f t="shared" si="34"/>
        <v>0</v>
      </c>
      <c r="AI199" s="120">
        <f>IF(OR(AI69=0,AI69=1),1,0)</f>
        <v>0</v>
      </c>
      <c r="AJ199" s="43" t="str">
        <f t="shared" si="21"/>
        <v/>
      </c>
      <c r="AK199" s="56"/>
      <c r="AL199" s="56" t="str">
        <f t="shared" si="24"/>
        <v>00</v>
      </c>
      <c r="AM199" s="58" t="str">
        <f t="shared" si="25"/>
        <v>00</v>
      </c>
      <c r="AN199" s="58" t="str">
        <f t="shared" si="26"/>
        <v>00</v>
      </c>
      <c r="AO199" s="58" t="str">
        <f t="shared" si="27"/>
        <v>00</v>
      </c>
      <c r="AQ199" s="185" t="str">
        <f t="shared" si="22"/>
        <v/>
      </c>
    </row>
  </sheetData>
  <protectedRanges>
    <protectedRange sqref="L3:AE3 D22:AJ69 D6:AE21" name="Table作成編集範囲"/>
    <protectedRange sqref="B3" name="Table作成編集範囲_1"/>
    <protectedRange sqref="AG3" name="Table作成編集範囲_3"/>
    <protectedRange sqref="AF3" name="Table作成編集範囲_2_1"/>
    <protectedRange sqref="AF6:AJ21" name="Table作成編集範囲_4"/>
  </protectedRanges>
  <mergeCells count="5">
    <mergeCell ref="A4:B5"/>
    <mergeCell ref="C2:C3"/>
    <mergeCell ref="AJ2:AJ3"/>
    <mergeCell ref="AH3:AI3"/>
    <mergeCell ref="AF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CH_Design!$C$3:$C$103</xm:f>
          </x14:formula1>
          <xm:sqref>AJ22:AJ69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2:CY142"/>
  <sheetViews>
    <sheetView zoomScaleNormal="100" workbookViewId="0"/>
  </sheetViews>
  <sheetFormatPr defaultRowHeight="13.2"/>
  <cols>
    <col min="2" max="2" width="71.88671875" customWidth="1"/>
    <col min="3" max="10" width="3.33203125" customWidth="1"/>
    <col min="11" max="11" width="19.77734375" bestFit="1" customWidth="1"/>
    <col min="12" max="12" width="26.21875" bestFit="1" customWidth="1"/>
    <col min="13" max="13" width="20" bestFit="1" customWidth="1"/>
    <col min="14" max="14" width="17.109375" customWidth="1"/>
    <col min="15" max="15" width="29.21875" customWidth="1"/>
    <col min="16" max="16" width="18" customWidth="1"/>
    <col min="17" max="17" width="10.88671875" customWidth="1"/>
  </cols>
  <sheetData>
    <row r="2" spans="1:17" ht="15" thickBot="1">
      <c r="A2" s="84" t="s">
        <v>269</v>
      </c>
      <c r="B2" s="247" t="s">
        <v>273</v>
      </c>
      <c r="C2" s="185"/>
      <c r="D2" s="185"/>
      <c r="E2" s="185"/>
      <c r="F2" s="185"/>
      <c r="G2" s="185"/>
      <c r="H2" s="185"/>
      <c r="I2" s="185"/>
      <c r="J2" s="185"/>
      <c r="K2" s="185"/>
      <c r="L2" s="185"/>
      <c r="M2" s="185"/>
      <c r="N2" s="185"/>
      <c r="O2" s="185"/>
      <c r="P2" s="185"/>
      <c r="Q2" s="185"/>
    </row>
    <row r="3" spans="1:17" ht="15" thickBot="1">
      <c r="B3" s="89" t="s">
        <v>122</v>
      </c>
      <c r="C3" s="320" t="s">
        <v>202</v>
      </c>
      <c r="D3" s="321"/>
      <c r="E3" s="321"/>
      <c r="F3" s="321"/>
      <c r="G3" s="321"/>
      <c r="H3" s="321"/>
      <c r="I3" s="321"/>
      <c r="J3" s="322"/>
      <c r="K3" s="163"/>
      <c r="L3" s="163"/>
      <c r="M3" s="166"/>
      <c r="N3" s="164"/>
      <c r="O3" s="164"/>
      <c r="P3" s="164"/>
      <c r="Q3" s="165"/>
    </row>
    <row r="4" spans="1:17">
      <c r="B4" s="66"/>
      <c r="C4" s="31" t="s">
        <v>153</v>
      </c>
      <c r="D4" s="31"/>
      <c r="E4" s="31"/>
      <c r="F4" s="31"/>
      <c r="G4" s="31"/>
      <c r="H4" s="31"/>
      <c r="I4" s="31"/>
      <c r="J4" s="31"/>
      <c r="K4" s="31"/>
      <c r="L4" s="31"/>
      <c r="M4" s="27" t="s">
        <v>121</v>
      </c>
      <c r="N4" s="39" t="s">
        <v>20</v>
      </c>
      <c r="O4" s="40"/>
      <c r="P4" s="40"/>
      <c r="Q4" s="41"/>
    </row>
    <row r="5" spans="1:17">
      <c r="A5" s="84" t="s">
        <v>269</v>
      </c>
      <c r="B5" s="67" t="s">
        <v>21</v>
      </c>
      <c r="C5" s="323" t="s">
        <v>171</v>
      </c>
      <c r="D5" s="324"/>
      <c r="E5" s="324"/>
      <c r="F5" s="324"/>
      <c r="G5" s="324"/>
      <c r="H5" s="324"/>
      <c r="I5" s="324"/>
      <c r="J5" s="325"/>
      <c r="K5" s="221" t="s">
        <v>230</v>
      </c>
      <c r="L5" s="222"/>
      <c r="M5" s="259" t="s">
        <v>264</v>
      </c>
      <c r="N5" s="233" t="s">
        <v>241</v>
      </c>
      <c r="O5" s="233" t="s">
        <v>164</v>
      </c>
      <c r="P5" s="184" t="s">
        <v>24</v>
      </c>
      <c r="Q5" s="131" t="s">
        <v>25</v>
      </c>
    </row>
    <row r="6" spans="1:17">
      <c r="B6" s="67" t="s">
        <v>32</v>
      </c>
      <c r="C6" s="157" t="s">
        <v>163</v>
      </c>
      <c r="D6" s="157" t="s">
        <v>154</v>
      </c>
      <c r="E6" s="157" t="s">
        <v>163</v>
      </c>
      <c r="F6" s="157" t="s">
        <v>163</v>
      </c>
      <c r="G6" s="157" t="s">
        <v>163</v>
      </c>
      <c r="H6" s="157" t="s">
        <v>163</v>
      </c>
      <c r="I6" s="157" t="s">
        <v>163</v>
      </c>
      <c r="J6" s="157" t="s">
        <v>163</v>
      </c>
      <c r="K6" s="223" t="s">
        <v>231</v>
      </c>
      <c r="L6" s="224" t="s">
        <v>231</v>
      </c>
      <c r="M6" s="28" t="s">
        <v>232</v>
      </c>
      <c r="N6" s="234"/>
      <c r="O6" s="234"/>
      <c r="P6" s="38"/>
      <c r="Q6" s="131"/>
    </row>
    <row r="7" spans="1:17" ht="26.4">
      <c r="B7" s="68" t="s">
        <v>26</v>
      </c>
      <c r="C7" s="326" t="s">
        <v>150</v>
      </c>
      <c r="D7" s="324"/>
      <c r="E7" s="324"/>
      <c r="F7" s="324"/>
      <c r="G7" s="324"/>
      <c r="H7" s="324"/>
      <c r="I7" s="324"/>
      <c r="J7" s="325"/>
      <c r="K7" s="225" t="s">
        <v>240</v>
      </c>
      <c r="L7" s="225" t="s">
        <v>240</v>
      </c>
      <c r="M7" s="29"/>
      <c r="N7" s="234"/>
      <c r="O7" s="234"/>
      <c r="P7" s="38"/>
      <c r="Q7" s="131"/>
    </row>
    <row r="8" spans="1:17" ht="133.19999999999999">
      <c r="B8" s="67" t="s">
        <v>27</v>
      </c>
      <c r="C8" s="158" t="s">
        <v>155</v>
      </c>
      <c r="D8" s="158" t="s">
        <v>61</v>
      </c>
      <c r="E8" s="158" t="s">
        <v>156</v>
      </c>
      <c r="F8" s="158" t="s">
        <v>157</v>
      </c>
      <c r="G8" s="158" t="s">
        <v>158</v>
      </c>
      <c r="H8" s="158" t="s">
        <v>159</v>
      </c>
      <c r="I8" s="158" t="s">
        <v>204</v>
      </c>
      <c r="J8" s="158" t="s">
        <v>160</v>
      </c>
      <c r="K8" s="225" t="s">
        <v>240</v>
      </c>
      <c r="L8" s="225" t="s">
        <v>242</v>
      </c>
      <c r="M8" s="28" t="s">
        <v>28</v>
      </c>
      <c r="N8" s="234"/>
      <c r="O8" s="234"/>
      <c r="P8" s="38"/>
      <c r="Q8" s="131"/>
    </row>
    <row r="9" spans="1:17" ht="154.5" customHeight="1" thickBot="1">
      <c r="B9" s="69" t="s">
        <v>29</v>
      </c>
      <c r="C9" s="159" t="s">
        <v>162</v>
      </c>
      <c r="D9" s="159" t="s">
        <v>154</v>
      </c>
      <c r="E9" s="159" t="s">
        <v>162</v>
      </c>
      <c r="F9" s="159" t="s">
        <v>162</v>
      </c>
      <c r="G9" s="159" t="s">
        <v>162</v>
      </c>
      <c r="H9" s="159" t="s">
        <v>162</v>
      </c>
      <c r="I9" s="159" t="s">
        <v>162</v>
      </c>
      <c r="J9" s="159" t="s">
        <v>162</v>
      </c>
      <c r="K9" s="226" t="s">
        <v>245</v>
      </c>
      <c r="L9" s="227" t="s">
        <v>244</v>
      </c>
      <c r="M9" s="30" t="s">
        <v>254</v>
      </c>
      <c r="N9" s="236"/>
      <c r="O9" s="236"/>
      <c r="P9" s="235" t="s">
        <v>243</v>
      </c>
      <c r="Q9" s="132"/>
    </row>
    <row r="10" spans="1:17" ht="13.8" thickTop="1">
      <c r="B10" s="243" t="s">
        <v>255</v>
      </c>
      <c r="C10" s="160" t="s">
        <v>161</v>
      </c>
      <c r="D10" s="160" t="s">
        <v>161</v>
      </c>
      <c r="E10" s="160" t="s">
        <v>161</v>
      </c>
      <c r="F10" s="160" t="s">
        <v>161</v>
      </c>
      <c r="G10" s="160" t="s">
        <v>161</v>
      </c>
      <c r="H10" s="160" t="s">
        <v>161</v>
      </c>
      <c r="I10" s="160" t="s">
        <v>161</v>
      </c>
      <c r="J10" s="160" t="s">
        <v>161</v>
      </c>
      <c r="K10" s="228" t="s">
        <v>205</v>
      </c>
      <c r="L10" s="229" t="s">
        <v>205</v>
      </c>
      <c r="M10" s="230" t="s">
        <v>107</v>
      </c>
      <c r="N10" s="238"/>
      <c r="O10" s="238"/>
      <c r="P10" s="237" t="s">
        <v>154</v>
      </c>
      <c r="Q10" s="239"/>
    </row>
    <row r="11" spans="1:17">
      <c r="B11" s="244" t="s">
        <v>256</v>
      </c>
      <c r="C11" s="160" t="s">
        <v>161</v>
      </c>
      <c r="D11" s="160" t="s">
        <v>161</v>
      </c>
      <c r="E11" s="160" t="s">
        <v>161</v>
      </c>
      <c r="F11" s="160" t="s">
        <v>161</v>
      </c>
      <c r="G11" s="160" t="s">
        <v>161</v>
      </c>
      <c r="H11" s="160" t="s">
        <v>161</v>
      </c>
      <c r="I11" s="160" t="s">
        <v>161</v>
      </c>
      <c r="J11" s="160" t="s">
        <v>161</v>
      </c>
      <c r="K11" s="220" t="s">
        <v>246</v>
      </c>
      <c r="L11" s="231" t="s">
        <v>209</v>
      </c>
      <c r="M11" s="34" t="s">
        <v>249</v>
      </c>
      <c r="N11" s="161"/>
      <c r="O11" s="161"/>
      <c r="P11" s="240" t="s">
        <v>252</v>
      </c>
      <c r="Q11" s="241"/>
    </row>
    <row r="12" spans="1:17">
      <c r="B12" s="244" t="s">
        <v>257</v>
      </c>
      <c r="C12" s="160" t="s">
        <v>161</v>
      </c>
      <c r="D12" s="160" t="s">
        <v>161</v>
      </c>
      <c r="E12" s="160" t="s">
        <v>161</v>
      </c>
      <c r="F12" s="160" t="s">
        <v>161</v>
      </c>
      <c r="G12" s="160" t="s">
        <v>161</v>
      </c>
      <c r="H12" s="160" t="s">
        <v>161</v>
      </c>
      <c r="I12" s="160" t="s">
        <v>161</v>
      </c>
      <c r="J12" s="160" t="s">
        <v>161</v>
      </c>
      <c r="K12" s="220" t="s">
        <v>246</v>
      </c>
      <c r="L12" s="231" t="s">
        <v>210</v>
      </c>
      <c r="M12" s="32" t="s">
        <v>250</v>
      </c>
      <c r="N12" s="161"/>
      <c r="O12" s="161"/>
      <c r="P12" s="240" t="s">
        <v>252</v>
      </c>
      <c r="Q12" s="133"/>
    </row>
    <row r="13" spans="1:17">
      <c r="B13" s="244" t="s">
        <v>258</v>
      </c>
      <c r="C13" s="161" t="s">
        <v>161</v>
      </c>
      <c r="D13" s="161" t="s">
        <v>161</v>
      </c>
      <c r="E13" s="161" t="s">
        <v>161</v>
      </c>
      <c r="F13" s="161" t="s">
        <v>161</v>
      </c>
      <c r="G13" s="161" t="s">
        <v>161</v>
      </c>
      <c r="H13" s="161" t="s">
        <v>161</v>
      </c>
      <c r="I13" s="161" t="s">
        <v>161</v>
      </c>
      <c r="J13" s="161" t="s">
        <v>161</v>
      </c>
      <c r="K13" s="220" t="s">
        <v>246</v>
      </c>
      <c r="L13" s="231" t="s">
        <v>206</v>
      </c>
      <c r="M13" s="32" t="s">
        <v>251</v>
      </c>
      <c r="N13" s="161"/>
      <c r="O13" s="161"/>
      <c r="P13" s="242" t="s">
        <v>253</v>
      </c>
      <c r="Q13" s="133"/>
    </row>
    <row r="14" spans="1:17">
      <c r="B14" s="244" t="s">
        <v>233</v>
      </c>
      <c r="C14" s="161" t="s">
        <v>161</v>
      </c>
      <c r="D14" s="161" t="s">
        <v>161</v>
      </c>
      <c r="E14" s="161" t="s">
        <v>161</v>
      </c>
      <c r="F14" s="161" t="s">
        <v>161</v>
      </c>
      <c r="G14" s="161" t="s">
        <v>161</v>
      </c>
      <c r="H14" s="161" t="s">
        <v>161</v>
      </c>
      <c r="I14" s="161" t="s">
        <v>161</v>
      </c>
      <c r="J14" s="161" t="s">
        <v>161</v>
      </c>
      <c r="K14" s="220" t="s">
        <v>209</v>
      </c>
      <c r="L14" s="231" t="s">
        <v>207</v>
      </c>
      <c r="M14" s="32" t="s">
        <v>31</v>
      </c>
      <c r="N14" s="160"/>
      <c r="O14" s="160"/>
      <c r="P14" s="33" t="s">
        <v>154</v>
      </c>
      <c r="Q14" s="133"/>
    </row>
    <row r="15" spans="1:17" s="185" customFormat="1">
      <c r="B15" s="244" t="s">
        <v>247</v>
      </c>
      <c r="C15" s="161" t="s">
        <v>161</v>
      </c>
      <c r="D15" s="161" t="s">
        <v>161</v>
      </c>
      <c r="E15" s="161" t="s">
        <v>161</v>
      </c>
      <c r="F15" s="161" t="s">
        <v>161</v>
      </c>
      <c r="G15" s="161" t="s">
        <v>161</v>
      </c>
      <c r="H15" s="161" t="s">
        <v>161</v>
      </c>
      <c r="I15" s="161" t="s">
        <v>161</v>
      </c>
      <c r="J15" s="161" t="s">
        <v>161</v>
      </c>
      <c r="K15" s="246" t="s">
        <v>210</v>
      </c>
      <c r="L15" s="231" t="s">
        <v>207</v>
      </c>
      <c r="M15" s="32" t="s">
        <v>31</v>
      </c>
      <c r="N15" s="160"/>
      <c r="O15" s="160"/>
      <c r="P15" s="33" t="s">
        <v>154</v>
      </c>
      <c r="Q15" s="133"/>
    </row>
    <row r="16" spans="1:17" s="185" customFormat="1">
      <c r="B16" s="244" t="s">
        <v>248</v>
      </c>
      <c r="C16" s="161" t="s">
        <v>161</v>
      </c>
      <c r="D16" s="161" t="s">
        <v>161</v>
      </c>
      <c r="E16" s="161" t="s">
        <v>161</v>
      </c>
      <c r="F16" s="161" t="s">
        <v>161</v>
      </c>
      <c r="G16" s="161" t="s">
        <v>161</v>
      </c>
      <c r="H16" s="161" t="s">
        <v>161</v>
      </c>
      <c r="I16" s="161" t="s">
        <v>161</v>
      </c>
      <c r="J16" s="161" t="s">
        <v>161</v>
      </c>
      <c r="K16" s="246" t="s">
        <v>206</v>
      </c>
      <c r="L16" s="231" t="s">
        <v>207</v>
      </c>
      <c r="M16" s="32" t="s">
        <v>31</v>
      </c>
      <c r="N16" s="160"/>
      <c r="O16" s="160"/>
      <c r="P16" s="33" t="s">
        <v>154</v>
      </c>
      <c r="Q16" s="133"/>
    </row>
    <row r="17" spans="2:90" ht="13.8" thickBot="1">
      <c r="B17" s="23" t="s">
        <v>234</v>
      </c>
      <c r="C17" s="245" t="s">
        <v>161</v>
      </c>
      <c r="D17" s="162" t="s">
        <v>161</v>
      </c>
      <c r="E17" s="162" t="s">
        <v>161</v>
      </c>
      <c r="F17" s="162" t="s">
        <v>161</v>
      </c>
      <c r="G17" s="162" t="s">
        <v>161</v>
      </c>
      <c r="H17" s="162" t="s">
        <v>161</v>
      </c>
      <c r="I17" s="162" t="s">
        <v>161</v>
      </c>
      <c r="J17" s="162" t="s">
        <v>161</v>
      </c>
      <c r="K17" s="35" t="s">
        <v>207</v>
      </c>
      <c r="L17" s="232" t="s">
        <v>207</v>
      </c>
      <c r="M17" s="36" t="s">
        <v>31</v>
      </c>
      <c r="N17" s="162"/>
      <c r="O17" s="162"/>
      <c r="P17" s="37" t="s">
        <v>154</v>
      </c>
      <c r="Q17" s="134"/>
      <c r="W17" s="185"/>
      <c r="X17" s="185"/>
      <c r="Y17" s="185"/>
      <c r="Z17" s="185"/>
      <c r="AA17" s="185"/>
      <c r="AB17" s="185"/>
      <c r="AC17" s="185"/>
      <c r="AD17" s="185"/>
      <c r="AE17" s="185"/>
      <c r="AF17" s="185"/>
      <c r="AG17" s="185"/>
      <c r="AH17" s="185"/>
      <c r="AI17" s="185"/>
      <c r="AJ17" s="185"/>
      <c r="AK17" s="185"/>
      <c r="AL17" s="185"/>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5"/>
      <c r="BK17" s="185"/>
      <c r="BL17" s="185"/>
      <c r="BM17" s="185"/>
      <c r="BN17" s="185"/>
      <c r="BO17" s="185"/>
      <c r="BP17" s="185"/>
      <c r="BQ17" s="185"/>
      <c r="BR17" s="185"/>
      <c r="BS17" s="185"/>
      <c r="BT17" s="185"/>
      <c r="BU17" s="185"/>
      <c r="BV17" s="185"/>
      <c r="BW17" s="185"/>
      <c r="BX17" s="185"/>
      <c r="BY17" s="185"/>
      <c r="BZ17" s="185"/>
      <c r="CA17" s="185"/>
      <c r="CB17" s="185"/>
      <c r="CC17" s="185"/>
      <c r="CD17" s="185"/>
      <c r="CE17" s="185"/>
      <c r="CF17" s="185"/>
      <c r="CG17" s="185"/>
      <c r="CH17" s="185"/>
      <c r="CI17" s="185"/>
      <c r="CJ17" s="185"/>
      <c r="CK17" s="185"/>
      <c r="CL17" s="185"/>
    </row>
    <row r="18" spans="2:90">
      <c r="B18" s="185"/>
      <c r="C18" s="185"/>
      <c r="D18" s="185"/>
      <c r="E18" s="185"/>
      <c r="F18" s="185"/>
      <c r="G18" s="185"/>
      <c r="H18" s="185"/>
      <c r="I18" s="185"/>
      <c r="J18" s="185"/>
      <c r="K18" s="185"/>
      <c r="L18" s="185"/>
      <c r="M18" s="185"/>
      <c r="N18" s="185"/>
      <c r="O18" s="185"/>
      <c r="P18" s="185"/>
      <c r="Q18" s="185"/>
      <c r="R18" s="185"/>
      <c r="W18" s="185"/>
      <c r="X18" s="185"/>
      <c r="Y18" s="185"/>
      <c r="Z18" s="185"/>
      <c r="AA18" s="185"/>
      <c r="AB18" s="185"/>
      <c r="AC18" s="185"/>
      <c r="AD18" s="185"/>
      <c r="AE18" s="185"/>
      <c r="AF18" s="185"/>
      <c r="AG18" s="185"/>
      <c r="AH18" s="185"/>
      <c r="AI18" s="185"/>
      <c r="AJ18" s="185"/>
      <c r="AK18" s="185"/>
      <c r="AL18" s="185"/>
      <c r="AM18" s="185"/>
      <c r="AN18" s="185"/>
      <c r="AO18" s="185"/>
      <c r="AP18" s="185"/>
      <c r="AQ18" s="185"/>
      <c r="AR18" s="185"/>
      <c r="AS18" s="185"/>
      <c r="AT18" s="185"/>
      <c r="AU18" s="185"/>
      <c r="AV18" s="185"/>
      <c r="AW18" s="185"/>
      <c r="AX18" s="185"/>
      <c r="AY18" s="185"/>
      <c r="AZ18" s="185"/>
      <c r="BA18" s="185"/>
      <c r="BB18" s="185"/>
      <c r="BC18" s="185"/>
      <c r="BD18" s="185"/>
      <c r="BE18" s="185"/>
      <c r="BF18" s="185"/>
      <c r="BG18" s="185"/>
      <c r="BH18" s="185"/>
      <c r="BI18" s="185"/>
      <c r="BJ18" s="185"/>
      <c r="BK18" s="185"/>
      <c r="BL18" s="185"/>
      <c r="BM18" s="185"/>
      <c r="BN18" s="185"/>
      <c r="BO18" s="185"/>
      <c r="BP18" s="185"/>
      <c r="BQ18" s="185"/>
      <c r="BR18" s="185"/>
      <c r="BS18" s="185"/>
      <c r="BT18" s="185"/>
      <c r="BU18" s="185"/>
      <c r="BV18" s="185"/>
      <c r="BW18" s="185"/>
      <c r="BX18" s="185"/>
      <c r="BY18" s="185"/>
      <c r="BZ18" s="185"/>
      <c r="CA18" s="185"/>
      <c r="CB18" s="185"/>
      <c r="CC18" s="185"/>
      <c r="CD18" s="185"/>
      <c r="CE18" s="185"/>
      <c r="CF18" s="185"/>
      <c r="CG18" s="185"/>
      <c r="CH18" s="185"/>
      <c r="CI18" s="185"/>
      <c r="CJ18" s="185"/>
      <c r="CK18" s="185"/>
      <c r="CL18" s="185"/>
    </row>
    <row r="19" spans="2:90">
      <c r="B19" s="185"/>
      <c r="C19" s="185"/>
      <c r="D19" s="185"/>
      <c r="E19" s="185"/>
      <c r="F19" s="185"/>
      <c r="G19" s="185"/>
      <c r="H19" s="185"/>
      <c r="I19" s="185"/>
      <c r="J19" s="185"/>
      <c r="K19" s="185"/>
      <c r="L19" s="185"/>
      <c r="M19" s="185"/>
      <c r="N19" s="185"/>
      <c r="O19" s="185"/>
      <c r="P19" s="185"/>
      <c r="Q19" s="185"/>
      <c r="R19" s="185"/>
      <c r="W19" s="185"/>
      <c r="X19" s="185"/>
      <c r="Y19" s="185"/>
      <c r="Z19" s="185"/>
      <c r="AA19" s="185"/>
      <c r="AB19" s="185"/>
      <c r="AC19" s="185"/>
      <c r="AD19" s="185"/>
      <c r="AE19" s="185"/>
      <c r="AF19" s="185"/>
      <c r="AG19" s="185"/>
      <c r="AH19" s="185"/>
      <c r="AI19" s="185"/>
      <c r="AJ19" s="185"/>
      <c r="AK19" s="185"/>
      <c r="AL19" s="185"/>
      <c r="AM19" s="185"/>
      <c r="AN19" s="185"/>
      <c r="AO19" s="185"/>
      <c r="AP19" s="185"/>
      <c r="AQ19" s="185"/>
      <c r="AR19" s="185"/>
      <c r="AS19" s="185"/>
      <c r="AT19" s="185"/>
      <c r="AU19" s="185"/>
      <c r="AV19" s="185"/>
      <c r="AW19" s="185"/>
      <c r="AX19" s="185"/>
      <c r="AY19" s="185"/>
      <c r="AZ19" s="185"/>
      <c r="BA19" s="185"/>
      <c r="BB19" s="185"/>
      <c r="BC19" s="185"/>
      <c r="BD19" s="185"/>
      <c r="BE19" s="185"/>
      <c r="BF19" s="185"/>
      <c r="BG19" s="185"/>
      <c r="BH19" s="185"/>
      <c r="BI19" s="185"/>
      <c r="BJ19" s="185"/>
      <c r="BK19" s="185"/>
      <c r="BL19" s="185"/>
      <c r="BM19" s="185"/>
      <c r="BN19" s="185"/>
      <c r="BO19" s="185"/>
      <c r="BP19" s="185"/>
      <c r="BQ19" s="185"/>
      <c r="BR19" s="185"/>
      <c r="BS19" s="185"/>
      <c r="BT19" s="185"/>
      <c r="BU19" s="185"/>
      <c r="BV19" s="185"/>
      <c r="BW19" s="185"/>
      <c r="BX19" s="185"/>
      <c r="BY19" s="185"/>
      <c r="BZ19" s="185"/>
      <c r="CA19" s="185"/>
      <c r="CB19" s="185"/>
      <c r="CC19" s="185"/>
      <c r="CD19" s="185"/>
      <c r="CE19" s="185"/>
      <c r="CF19" s="185"/>
      <c r="CG19" s="185"/>
      <c r="CH19" s="185"/>
      <c r="CI19" s="185"/>
      <c r="CJ19" s="185"/>
      <c r="CK19" s="185"/>
      <c r="CL19" s="185"/>
    </row>
    <row r="20" spans="2:90">
      <c r="B20" s="185"/>
      <c r="C20" s="185"/>
      <c r="D20" s="185"/>
      <c r="E20" s="185"/>
      <c r="F20" s="185"/>
      <c r="G20" s="185"/>
      <c r="H20" s="185"/>
      <c r="I20" s="185"/>
      <c r="J20" s="185"/>
      <c r="K20" s="185"/>
      <c r="L20" s="185"/>
      <c r="M20" s="185"/>
      <c r="N20" s="185"/>
      <c r="O20" s="185"/>
      <c r="P20" s="185"/>
      <c r="Q20" s="185"/>
      <c r="R20" s="185"/>
      <c r="W20" s="185"/>
      <c r="X20" s="185"/>
      <c r="Y20" s="185"/>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5"/>
      <c r="AV20" s="185"/>
      <c r="AW20" s="185"/>
      <c r="AX20" s="185"/>
      <c r="AY20" s="185"/>
      <c r="AZ20" s="185"/>
      <c r="BA20" s="185"/>
      <c r="BB20" s="185"/>
      <c r="BC20" s="185"/>
      <c r="BD20" s="185"/>
      <c r="BE20" s="185"/>
      <c r="BF20" s="185"/>
      <c r="BG20" s="185"/>
      <c r="BH20" s="185"/>
      <c r="BI20" s="185"/>
      <c r="BJ20" s="185"/>
      <c r="BK20" s="185"/>
      <c r="BL20" s="185"/>
      <c r="BM20" s="185"/>
      <c r="BN20" s="185"/>
      <c r="BO20" s="185"/>
      <c r="BP20" s="185"/>
      <c r="BQ20" s="185"/>
      <c r="BR20" s="185"/>
      <c r="BS20" s="185"/>
      <c r="BT20" s="185"/>
      <c r="BU20" s="185"/>
      <c r="BV20" s="185"/>
      <c r="BW20" s="185"/>
      <c r="BX20" s="185"/>
      <c r="BY20" s="185"/>
      <c r="BZ20" s="185"/>
      <c r="CA20" s="185"/>
      <c r="CB20" s="185"/>
      <c r="CC20" s="185"/>
      <c r="CD20" s="185"/>
      <c r="CE20" s="185"/>
      <c r="CF20" s="185"/>
      <c r="CG20" s="185"/>
      <c r="CH20" s="185"/>
      <c r="CI20" s="185"/>
      <c r="CJ20" s="185"/>
      <c r="CK20" s="185"/>
      <c r="CL20" s="185"/>
    </row>
    <row r="21" spans="2:90">
      <c r="B21" s="185"/>
      <c r="C21" s="185"/>
      <c r="D21" s="185"/>
      <c r="E21" s="185"/>
      <c r="F21" s="185"/>
      <c r="G21" s="185"/>
      <c r="H21" s="185"/>
      <c r="I21" s="185"/>
      <c r="J21" s="185"/>
      <c r="K21" s="185"/>
      <c r="L21" s="185"/>
      <c r="M21" s="185"/>
      <c r="N21" s="185"/>
      <c r="O21" s="185"/>
      <c r="P21" s="185"/>
      <c r="Q21" s="185"/>
      <c r="R21" s="185"/>
      <c r="W21" s="185"/>
      <c r="X21" s="185"/>
      <c r="Y21" s="185"/>
      <c r="Z21" s="185"/>
      <c r="AA21" s="185"/>
      <c r="AB21" s="185"/>
      <c r="AC21" s="185"/>
      <c r="AD21" s="185"/>
      <c r="AE21" s="185"/>
      <c r="AF21" s="185"/>
      <c r="AG21" s="185"/>
      <c r="AH21" s="185"/>
      <c r="AI21" s="185"/>
      <c r="AJ21" s="185"/>
      <c r="AK21" s="185"/>
      <c r="AL21" s="185"/>
      <c r="AM21" s="185"/>
      <c r="AN21" s="185"/>
      <c r="AO21" s="185"/>
      <c r="AP21" s="185"/>
      <c r="AQ21" s="185"/>
      <c r="AR21" s="185"/>
      <c r="AS21" s="185"/>
      <c r="AT21" s="185"/>
      <c r="AU21" s="185"/>
      <c r="AV21" s="185"/>
      <c r="AW21" s="185"/>
      <c r="AX21" s="185"/>
      <c r="AY21" s="185"/>
      <c r="AZ21" s="185"/>
      <c r="BA21" s="185"/>
      <c r="BB21" s="185"/>
      <c r="BC21" s="185"/>
      <c r="BD21" s="185"/>
      <c r="BE21" s="185"/>
      <c r="BF21" s="185"/>
      <c r="BG21" s="185"/>
      <c r="BH21" s="185"/>
      <c r="BI21" s="185"/>
      <c r="BJ21" s="185"/>
      <c r="BK21" s="185"/>
      <c r="BL21" s="185"/>
      <c r="BM21" s="185"/>
      <c r="BN21" s="185"/>
      <c r="BO21" s="185"/>
      <c r="BP21" s="185"/>
      <c r="BQ21" s="185"/>
      <c r="BR21" s="185"/>
      <c r="BS21" s="185"/>
      <c r="BT21" s="185"/>
      <c r="BU21" s="185"/>
      <c r="BV21" s="185"/>
      <c r="BW21" s="185"/>
      <c r="BX21" s="185"/>
      <c r="BY21" s="185"/>
      <c r="BZ21" s="185"/>
      <c r="CA21" s="185"/>
      <c r="CB21" s="185"/>
      <c r="CC21" s="185"/>
      <c r="CD21" s="185"/>
      <c r="CE21" s="185"/>
      <c r="CF21" s="185"/>
      <c r="CG21" s="185"/>
      <c r="CH21" s="185"/>
      <c r="CI21" s="185"/>
      <c r="CJ21" s="185"/>
      <c r="CK21" s="185"/>
      <c r="CL21" s="185"/>
    </row>
    <row r="22" spans="2:90">
      <c r="B22" s="185"/>
      <c r="C22" s="185"/>
      <c r="D22" s="185"/>
      <c r="E22" s="185"/>
      <c r="F22" s="185"/>
      <c r="G22" s="185"/>
      <c r="H22" s="185"/>
      <c r="I22" s="185"/>
      <c r="J22" s="185"/>
      <c r="K22" s="185"/>
      <c r="L22" s="185"/>
      <c r="M22" s="185"/>
      <c r="N22" s="185"/>
      <c r="O22" s="185"/>
      <c r="P22" s="185"/>
      <c r="Q22" s="185"/>
      <c r="R22" s="185"/>
      <c r="W22" s="185"/>
      <c r="X22" s="185"/>
      <c r="Y22" s="185"/>
      <c r="Z22" s="185"/>
      <c r="AA22" s="185"/>
      <c r="AB22" s="185"/>
      <c r="AC22" s="185"/>
      <c r="AD22" s="185"/>
      <c r="AE22" s="185"/>
      <c r="AF22" s="185"/>
      <c r="AG22" s="185"/>
      <c r="AH22" s="185"/>
      <c r="AI22" s="185"/>
      <c r="AJ22" s="185"/>
      <c r="AK22" s="185"/>
      <c r="AL22" s="185"/>
      <c r="AM22" s="185"/>
      <c r="AN22" s="185"/>
      <c r="AO22" s="185"/>
      <c r="AP22" s="185"/>
      <c r="AQ22" s="185"/>
      <c r="AR22" s="185"/>
      <c r="AS22" s="185"/>
      <c r="AT22" s="185"/>
      <c r="AU22" s="185"/>
      <c r="AV22" s="185"/>
      <c r="AW22" s="185"/>
      <c r="AX22" s="185"/>
      <c r="AY22" s="185"/>
      <c r="AZ22" s="185"/>
      <c r="BA22" s="185"/>
      <c r="BB22" s="185"/>
      <c r="BC22" s="185"/>
      <c r="BD22" s="185"/>
      <c r="BE22" s="185"/>
      <c r="BF22" s="185"/>
      <c r="BG22" s="185"/>
      <c r="BH22" s="185"/>
      <c r="BI22" s="185"/>
      <c r="BJ22" s="185"/>
      <c r="BK22" s="185"/>
      <c r="BL22" s="185"/>
      <c r="BM22" s="185"/>
      <c r="BN22" s="185"/>
      <c r="BO22" s="185"/>
      <c r="BP22" s="185"/>
      <c r="BQ22" s="185"/>
      <c r="BR22" s="185"/>
      <c r="BS22" s="185"/>
      <c r="BT22" s="185"/>
      <c r="BU22" s="185"/>
      <c r="BV22" s="185"/>
      <c r="BW22" s="185"/>
      <c r="BX22" s="185"/>
      <c r="BY22" s="185"/>
      <c r="BZ22" s="185"/>
      <c r="CA22" s="185"/>
      <c r="CB22" s="185"/>
      <c r="CC22" s="185"/>
      <c r="CD22" s="185"/>
      <c r="CE22" s="185"/>
      <c r="CF22" s="185"/>
      <c r="CG22" s="185"/>
      <c r="CH22" s="185"/>
      <c r="CI22" s="185"/>
      <c r="CJ22" s="185"/>
      <c r="CK22" s="185"/>
      <c r="CL22" s="185"/>
    </row>
    <row r="23" spans="2:90">
      <c r="B23" s="185"/>
      <c r="C23" s="185"/>
      <c r="D23" s="185"/>
      <c r="E23" s="185"/>
      <c r="F23" s="185"/>
      <c r="G23" s="185"/>
      <c r="H23" s="185"/>
      <c r="I23" s="185"/>
      <c r="J23" s="185"/>
      <c r="K23" s="185"/>
      <c r="L23" s="185"/>
      <c r="M23" s="185"/>
      <c r="N23" s="185"/>
      <c r="O23" s="185"/>
      <c r="P23" s="185"/>
      <c r="Q23" s="185"/>
      <c r="R23" s="185"/>
      <c r="W23" s="185"/>
      <c r="X23" s="185"/>
      <c r="Y23" s="18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c r="AX23" s="185"/>
      <c r="AY23" s="185"/>
      <c r="AZ23" s="185"/>
      <c r="BA23" s="185"/>
      <c r="BB23" s="185"/>
      <c r="BC23" s="185"/>
      <c r="BD23" s="185"/>
      <c r="BE23" s="185"/>
      <c r="BF23" s="185"/>
      <c r="BG23" s="185"/>
      <c r="BH23" s="185"/>
      <c r="BI23" s="185"/>
      <c r="BJ23" s="185"/>
      <c r="BK23" s="185"/>
      <c r="BL23" s="185"/>
      <c r="BM23" s="185"/>
      <c r="BN23" s="185"/>
      <c r="BO23" s="185"/>
      <c r="BP23" s="185"/>
      <c r="BQ23" s="185"/>
      <c r="BR23" s="185"/>
      <c r="BS23" s="185"/>
      <c r="BT23" s="185"/>
      <c r="BU23" s="185"/>
      <c r="BV23" s="185"/>
      <c r="BW23" s="185"/>
      <c r="BX23" s="185"/>
      <c r="BY23" s="185"/>
      <c r="BZ23" s="185"/>
      <c r="CA23" s="185"/>
      <c r="CB23" s="185"/>
      <c r="CC23" s="185"/>
      <c r="CD23" s="185"/>
      <c r="CE23" s="185"/>
      <c r="CF23" s="185"/>
      <c r="CG23" s="185"/>
      <c r="CH23" s="185"/>
      <c r="CI23" s="185"/>
      <c r="CJ23" s="185"/>
      <c r="CK23" s="185"/>
      <c r="CL23" s="185"/>
    </row>
    <row r="24" spans="2:90">
      <c r="B24" s="185"/>
      <c r="C24" s="185"/>
      <c r="D24" s="185"/>
      <c r="E24" s="185"/>
      <c r="F24" s="185"/>
      <c r="G24" s="185"/>
      <c r="H24" s="185"/>
      <c r="I24" s="185"/>
      <c r="J24" s="185"/>
      <c r="K24" s="185"/>
      <c r="L24" s="185"/>
      <c r="M24" s="185"/>
      <c r="N24" s="185"/>
      <c r="O24" s="185"/>
      <c r="P24" s="185"/>
      <c r="Q24" s="185"/>
      <c r="R24" s="185"/>
      <c r="W24" s="185"/>
      <c r="X24" s="185"/>
      <c r="Y24" s="185"/>
      <c r="Z24" s="185"/>
      <c r="AA24" s="185"/>
      <c r="AB24" s="185"/>
      <c r="AC24" s="185"/>
      <c r="AD24" s="185"/>
      <c r="AE24" s="185"/>
      <c r="AF24" s="185"/>
      <c r="AG24" s="185"/>
      <c r="AH24" s="185"/>
      <c r="AI24" s="185"/>
      <c r="AJ24" s="185"/>
      <c r="AK24" s="185"/>
      <c r="AL24" s="185"/>
      <c r="AM24" s="185"/>
      <c r="AN24" s="185"/>
      <c r="AO24" s="185"/>
      <c r="AP24" s="185"/>
      <c r="AQ24" s="185"/>
      <c r="AR24" s="185"/>
      <c r="AS24" s="185"/>
      <c r="AT24" s="185"/>
      <c r="AU24" s="185"/>
      <c r="AV24" s="185"/>
      <c r="AW24" s="185"/>
      <c r="AX24" s="185"/>
      <c r="AY24" s="185"/>
      <c r="AZ24" s="185"/>
      <c r="BA24" s="185"/>
      <c r="BB24" s="185"/>
      <c r="BC24" s="185"/>
      <c r="BD24" s="185"/>
      <c r="BE24" s="185"/>
      <c r="BF24" s="185"/>
      <c r="BG24" s="185"/>
      <c r="BH24" s="185"/>
      <c r="BI24" s="185"/>
      <c r="BJ24" s="185"/>
      <c r="BK24" s="185"/>
      <c r="BL24" s="185"/>
      <c r="BM24" s="185"/>
      <c r="BN24" s="185"/>
      <c r="BO24" s="185"/>
      <c r="BP24" s="185"/>
      <c r="BQ24" s="185"/>
      <c r="BR24" s="185"/>
      <c r="BS24" s="185"/>
      <c r="BT24" s="185"/>
      <c r="BU24" s="185"/>
      <c r="BV24" s="185"/>
      <c r="BW24" s="185"/>
      <c r="BX24" s="185"/>
      <c r="BY24" s="185"/>
      <c r="BZ24" s="185"/>
      <c r="CA24" s="185"/>
      <c r="CB24" s="185"/>
      <c r="CC24" s="185"/>
      <c r="CD24" s="185"/>
      <c r="CE24" s="185"/>
      <c r="CF24" s="185"/>
      <c r="CG24" s="185"/>
      <c r="CH24" s="185"/>
      <c r="CI24" s="185"/>
      <c r="CJ24" s="185"/>
      <c r="CK24" s="185"/>
      <c r="CL24" s="185"/>
    </row>
    <row r="25" spans="2:90">
      <c r="B25" s="185"/>
      <c r="C25" s="185"/>
      <c r="D25" s="185"/>
      <c r="E25" s="185"/>
      <c r="F25" s="185"/>
      <c r="G25" s="185"/>
      <c r="H25" s="185"/>
      <c r="I25" s="185"/>
      <c r="J25" s="185"/>
      <c r="K25" s="185"/>
      <c r="L25" s="185"/>
      <c r="M25" s="185"/>
      <c r="N25" s="185"/>
      <c r="O25" s="185"/>
      <c r="P25" s="185"/>
      <c r="Q25" s="185"/>
      <c r="R25" s="185"/>
      <c r="W25" s="185"/>
      <c r="X25" s="185"/>
      <c r="Y25" s="185"/>
      <c r="Z25" s="185"/>
      <c r="AA25" s="185"/>
      <c r="AB25" s="185"/>
      <c r="AC25" s="185"/>
      <c r="AD25" s="185"/>
      <c r="AE25" s="185"/>
      <c r="AF25" s="185"/>
      <c r="AG25" s="185"/>
      <c r="AH25" s="185"/>
      <c r="AI25" s="185"/>
      <c r="AJ25" s="185"/>
      <c r="AK25" s="185"/>
      <c r="AL25" s="185"/>
      <c r="AM25" s="185"/>
      <c r="AN25" s="185"/>
      <c r="AO25" s="185"/>
      <c r="AP25" s="185"/>
      <c r="AQ25" s="185"/>
      <c r="AR25" s="185"/>
      <c r="AS25" s="185"/>
      <c r="AT25" s="185"/>
      <c r="AU25" s="185"/>
      <c r="AV25" s="185"/>
      <c r="AW25" s="185"/>
      <c r="AX25" s="185"/>
      <c r="AY25" s="185"/>
      <c r="AZ25" s="185"/>
      <c r="BA25" s="185"/>
      <c r="BB25" s="185"/>
      <c r="BC25" s="185"/>
      <c r="BD25" s="185"/>
      <c r="BE25" s="185"/>
      <c r="BF25" s="185"/>
      <c r="BG25" s="185"/>
      <c r="BH25" s="185"/>
      <c r="BI25" s="185"/>
      <c r="BJ25" s="185"/>
      <c r="BK25" s="185"/>
      <c r="BL25" s="185"/>
      <c r="BM25" s="185"/>
      <c r="BN25" s="185"/>
      <c r="BO25" s="185"/>
      <c r="BP25" s="185"/>
      <c r="BQ25" s="185"/>
      <c r="BR25" s="185"/>
      <c r="BS25" s="185"/>
      <c r="BT25" s="185"/>
      <c r="BU25" s="185"/>
      <c r="BV25" s="185"/>
      <c r="BW25" s="185"/>
      <c r="BX25" s="185"/>
      <c r="BY25" s="185"/>
      <c r="BZ25" s="185"/>
      <c r="CA25" s="185"/>
      <c r="CB25" s="185"/>
      <c r="CC25" s="185"/>
      <c r="CD25" s="185"/>
      <c r="CE25" s="185"/>
      <c r="CF25" s="185"/>
      <c r="CG25" s="185"/>
      <c r="CH25" s="185"/>
      <c r="CI25" s="185"/>
      <c r="CJ25" s="185"/>
      <c r="CK25" s="185"/>
      <c r="CL25" s="185"/>
    </row>
    <row r="26" spans="2:90">
      <c r="C26" s="185"/>
      <c r="D26" s="185"/>
      <c r="E26" s="185"/>
      <c r="F26" s="185"/>
      <c r="G26" s="185"/>
      <c r="H26" s="185"/>
      <c r="I26" s="185"/>
      <c r="J26" s="185"/>
      <c r="K26" s="185"/>
      <c r="L26" s="185"/>
      <c r="M26" s="185"/>
      <c r="N26" s="185"/>
      <c r="O26" s="185"/>
      <c r="P26" s="185"/>
      <c r="Q26" s="185"/>
      <c r="R26" s="185"/>
      <c r="W26" s="185"/>
      <c r="X26" s="185"/>
      <c r="Y26" s="185"/>
      <c r="Z26" s="185"/>
      <c r="AA26" s="185"/>
      <c r="AB26" s="185"/>
      <c r="AC26" s="185"/>
      <c r="AD26" s="185"/>
      <c r="AE26" s="185"/>
      <c r="AF26" s="185"/>
      <c r="AG26" s="185"/>
      <c r="AH26" s="185"/>
      <c r="AI26" s="185"/>
      <c r="AJ26" s="185"/>
      <c r="AK26" s="185"/>
      <c r="AL26" s="185"/>
      <c r="AM26" s="185"/>
      <c r="AN26" s="185"/>
      <c r="AO26" s="185"/>
      <c r="AP26" s="185"/>
      <c r="AQ26" s="185"/>
      <c r="AR26" s="185"/>
      <c r="AS26" s="185"/>
      <c r="AT26" s="185"/>
      <c r="AU26" s="185"/>
      <c r="AV26" s="185"/>
      <c r="AW26" s="185"/>
      <c r="AX26" s="185"/>
      <c r="AY26" s="185"/>
      <c r="AZ26" s="185"/>
      <c r="BA26" s="185"/>
      <c r="BB26" s="185"/>
      <c r="BC26" s="185"/>
      <c r="BD26" s="185"/>
      <c r="BE26" s="185"/>
      <c r="BF26" s="185"/>
      <c r="BG26" s="185"/>
      <c r="BH26" s="185"/>
      <c r="BI26" s="185"/>
      <c r="BJ26" s="185"/>
      <c r="BK26" s="185"/>
      <c r="BL26" s="185"/>
      <c r="BM26" s="185"/>
      <c r="BN26" s="185"/>
      <c r="BO26" s="185"/>
      <c r="BP26" s="185"/>
      <c r="BQ26" s="185"/>
      <c r="BR26" s="185"/>
      <c r="BS26" s="185"/>
      <c r="BT26" s="185"/>
      <c r="BU26" s="185"/>
      <c r="BV26" s="185"/>
      <c r="BW26" s="185"/>
      <c r="BX26" s="185"/>
      <c r="BY26" s="185"/>
      <c r="BZ26" s="185"/>
      <c r="CA26" s="185"/>
      <c r="CB26" s="185"/>
      <c r="CC26" s="185"/>
      <c r="CD26" s="185"/>
      <c r="CE26" s="185"/>
      <c r="CF26" s="185"/>
      <c r="CG26" s="185"/>
      <c r="CH26" s="185"/>
      <c r="CI26" s="185"/>
      <c r="CJ26" s="185"/>
      <c r="CK26" s="185"/>
      <c r="CL26" s="185"/>
    </row>
    <row r="27" spans="2:90">
      <c r="W27" s="185"/>
      <c r="X27" s="185"/>
      <c r="Y27" s="185"/>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c r="AX27" s="185"/>
      <c r="AY27" s="185"/>
      <c r="AZ27" s="185"/>
      <c r="BA27" s="185"/>
      <c r="BB27" s="185"/>
      <c r="BC27" s="185"/>
      <c r="BD27" s="185"/>
      <c r="BE27" s="185"/>
      <c r="BF27" s="185"/>
      <c r="BG27" s="185"/>
      <c r="BH27" s="185"/>
      <c r="BI27" s="185"/>
      <c r="BJ27" s="185"/>
      <c r="BK27" s="185"/>
      <c r="BL27" s="185"/>
      <c r="BM27" s="185"/>
      <c r="BN27" s="185"/>
      <c r="BO27" s="185"/>
      <c r="BP27" s="185"/>
      <c r="BQ27" s="185"/>
      <c r="BR27" s="185"/>
      <c r="BS27" s="185"/>
      <c r="BT27" s="185"/>
      <c r="BU27" s="185"/>
      <c r="BV27" s="185"/>
      <c r="BW27" s="185"/>
      <c r="BX27" s="185"/>
      <c r="BY27" s="185"/>
      <c r="BZ27" s="185"/>
      <c r="CA27" s="185"/>
      <c r="CB27" s="185"/>
      <c r="CC27" s="185"/>
      <c r="CD27" s="185"/>
      <c r="CE27" s="185"/>
      <c r="CF27" s="185"/>
      <c r="CG27" s="185"/>
      <c r="CH27" s="185"/>
      <c r="CI27" s="185"/>
      <c r="CJ27" s="185"/>
      <c r="CK27" s="185"/>
      <c r="CL27" s="185"/>
    </row>
    <row r="28" spans="2:90">
      <c r="B28" s="185"/>
      <c r="C28" s="185"/>
      <c r="D28" s="185"/>
      <c r="E28" s="185"/>
      <c r="F28" s="185"/>
      <c r="G28" s="185"/>
      <c r="H28" s="185"/>
      <c r="I28" s="185"/>
      <c r="J28" s="185"/>
      <c r="K28" s="185"/>
      <c r="L28" s="185"/>
      <c r="M28" s="185"/>
      <c r="N28" s="185"/>
      <c r="O28" s="185"/>
      <c r="P28" s="185"/>
      <c r="Q28" s="185"/>
      <c r="W28" s="185"/>
      <c r="X28" s="185"/>
      <c r="Y28" s="185"/>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c r="AX28" s="185"/>
      <c r="AY28" s="185"/>
      <c r="AZ28" s="185"/>
      <c r="BA28" s="185"/>
      <c r="BB28" s="185"/>
      <c r="BC28" s="185"/>
      <c r="BD28" s="185"/>
      <c r="BE28" s="185"/>
      <c r="BF28" s="185"/>
      <c r="BG28" s="185"/>
      <c r="BH28" s="185"/>
      <c r="BI28" s="185"/>
      <c r="BJ28" s="185"/>
      <c r="BK28" s="185"/>
      <c r="BL28" s="185"/>
      <c r="BM28" s="185"/>
      <c r="BN28" s="185"/>
      <c r="BO28" s="185"/>
      <c r="BP28" s="185"/>
      <c r="BQ28" s="185"/>
      <c r="BR28" s="185"/>
      <c r="BS28" s="185"/>
      <c r="BT28" s="185"/>
      <c r="BU28" s="185"/>
      <c r="BV28" s="185"/>
      <c r="BW28" s="185"/>
      <c r="BX28" s="185"/>
      <c r="BY28" s="185"/>
      <c r="BZ28" s="185"/>
      <c r="CA28" s="185"/>
      <c r="CB28" s="185"/>
      <c r="CC28" s="185"/>
      <c r="CD28" s="185"/>
      <c r="CE28" s="185"/>
      <c r="CF28" s="185"/>
      <c r="CG28" s="185"/>
      <c r="CH28" s="185"/>
      <c r="CI28" s="185"/>
      <c r="CJ28" s="185"/>
      <c r="CK28" s="185"/>
      <c r="CL28" s="185"/>
    </row>
    <row r="29" spans="2:90">
      <c r="B29" s="185"/>
      <c r="C29" s="185"/>
      <c r="D29" s="185"/>
      <c r="E29" s="185"/>
      <c r="F29" s="185"/>
      <c r="G29" s="185"/>
      <c r="H29" s="185"/>
      <c r="I29" s="185"/>
      <c r="J29" s="185"/>
      <c r="K29" s="185"/>
      <c r="L29" s="185"/>
      <c r="M29" s="185"/>
      <c r="N29" s="185"/>
      <c r="O29" s="185"/>
      <c r="P29" s="185"/>
      <c r="Q29" s="185"/>
      <c r="W29" s="185"/>
      <c r="X29" s="185"/>
      <c r="Y29" s="185"/>
      <c r="Z29" s="185"/>
      <c r="AA29" s="185"/>
      <c r="AB29" s="185"/>
      <c r="AC29" s="185"/>
      <c r="AD29" s="185"/>
      <c r="AE29" s="185"/>
      <c r="AF29" s="185"/>
      <c r="AG29" s="185"/>
      <c r="AH29" s="185"/>
      <c r="AI29" s="185"/>
      <c r="AJ29" s="185"/>
      <c r="AK29" s="185"/>
      <c r="AL29" s="185"/>
      <c r="AM29" s="185"/>
      <c r="AN29" s="185"/>
      <c r="AO29" s="185"/>
      <c r="AP29" s="185"/>
      <c r="AQ29" s="185"/>
      <c r="AR29" s="185"/>
      <c r="AS29" s="185"/>
      <c r="AT29" s="185"/>
      <c r="AU29" s="185"/>
      <c r="AV29" s="185"/>
      <c r="AW29" s="185"/>
      <c r="AX29" s="185"/>
      <c r="AY29" s="185"/>
      <c r="AZ29" s="185"/>
      <c r="BA29" s="185"/>
      <c r="BB29" s="185"/>
      <c r="BC29" s="185"/>
      <c r="BD29" s="185"/>
      <c r="BE29" s="185"/>
      <c r="BF29" s="185"/>
      <c r="BG29" s="185"/>
      <c r="BH29" s="185"/>
      <c r="BI29" s="185"/>
      <c r="BJ29" s="185"/>
      <c r="BK29" s="185"/>
      <c r="BL29" s="185"/>
      <c r="BM29" s="185"/>
      <c r="BN29" s="185"/>
      <c r="BO29" s="185"/>
      <c r="BP29" s="185"/>
      <c r="BQ29" s="185"/>
      <c r="BR29" s="185"/>
      <c r="BS29" s="185"/>
      <c r="BT29" s="185"/>
      <c r="BU29" s="185"/>
      <c r="BV29" s="185"/>
      <c r="BW29" s="185"/>
      <c r="BX29" s="185"/>
      <c r="BY29" s="185"/>
      <c r="BZ29" s="185"/>
      <c r="CA29" s="185"/>
      <c r="CB29" s="185"/>
      <c r="CC29" s="185"/>
      <c r="CD29" s="185"/>
      <c r="CE29" s="185"/>
      <c r="CF29" s="185"/>
      <c r="CG29" s="185"/>
      <c r="CH29" s="185"/>
      <c r="CI29" s="185"/>
      <c r="CJ29" s="185"/>
      <c r="CK29" s="185"/>
      <c r="CL29" s="185"/>
    </row>
    <row r="30" spans="2:90">
      <c r="B30" s="185"/>
      <c r="C30" s="185"/>
      <c r="D30" s="185"/>
      <c r="E30" s="185"/>
      <c r="F30" s="185"/>
      <c r="G30" s="185"/>
      <c r="H30" s="185"/>
      <c r="I30" s="185"/>
      <c r="J30" s="185"/>
      <c r="K30" s="185"/>
      <c r="L30" s="185"/>
      <c r="M30" s="185"/>
      <c r="N30" s="185"/>
      <c r="O30" s="185"/>
      <c r="P30" s="185"/>
      <c r="Q30" s="185"/>
      <c r="W30" s="185"/>
      <c r="X30" s="185"/>
      <c r="Y30" s="185"/>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c r="AX30" s="185"/>
      <c r="AY30" s="185"/>
      <c r="AZ30" s="185"/>
      <c r="BA30" s="185"/>
      <c r="BB30" s="185"/>
      <c r="BC30" s="185"/>
      <c r="BD30" s="185"/>
      <c r="BE30" s="185"/>
      <c r="BF30" s="185"/>
      <c r="BG30" s="185"/>
      <c r="BH30" s="185"/>
      <c r="BI30" s="185"/>
      <c r="BJ30" s="185"/>
      <c r="BK30" s="185"/>
      <c r="BL30" s="185"/>
      <c r="BM30" s="185"/>
      <c r="BN30" s="185"/>
      <c r="BO30" s="185"/>
      <c r="BP30" s="185"/>
      <c r="BQ30" s="185"/>
      <c r="BR30" s="185"/>
      <c r="BS30" s="185"/>
      <c r="BT30" s="185"/>
      <c r="BU30" s="185"/>
      <c r="BV30" s="185"/>
      <c r="BW30" s="185"/>
      <c r="BX30" s="185"/>
      <c r="BY30" s="185"/>
      <c r="BZ30" s="185"/>
      <c r="CA30" s="185"/>
      <c r="CB30" s="185"/>
      <c r="CC30" s="185"/>
      <c r="CD30" s="185"/>
      <c r="CE30" s="185"/>
      <c r="CF30" s="185"/>
      <c r="CG30" s="185"/>
      <c r="CH30" s="185"/>
      <c r="CI30" s="185"/>
      <c r="CJ30" s="185"/>
      <c r="CK30" s="185"/>
      <c r="CL30" s="185"/>
    </row>
    <row r="31" spans="2:90">
      <c r="B31" s="185"/>
      <c r="C31" s="185"/>
      <c r="D31" s="185"/>
      <c r="E31" s="185"/>
      <c r="F31" s="185"/>
      <c r="G31" s="185"/>
      <c r="H31" s="185"/>
      <c r="I31" s="185"/>
      <c r="J31" s="185"/>
      <c r="K31" s="185"/>
      <c r="L31" s="185"/>
      <c r="M31" s="185"/>
      <c r="N31" s="185"/>
      <c r="O31" s="185"/>
      <c r="P31" s="185"/>
      <c r="Q31" s="185"/>
      <c r="W31" s="185"/>
      <c r="X31" s="185"/>
      <c r="Y31" s="185"/>
      <c r="Z31" s="185"/>
      <c r="AA31" s="185"/>
      <c r="AB31" s="185"/>
      <c r="AC31" s="185"/>
      <c r="AD31" s="185"/>
      <c r="AE31" s="185"/>
      <c r="AF31" s="185"/>
      <c r="AG31" s="185"/>
      <c r="AH31" s="185"/>
      <c r="AI31" s="185"/>
      <c r="AJ31" s="185"/>
      <c r="AK31" s="185"/>
      <c r="AL31" s="185"/>
      <c r="AM31" s="185"/>
      <c r="AN31" s="185"/>
      <c r="AO31" s="185"/>
      <c r="AP31" s="185"/>
      <c r="AQ31" s="185"/>
      <c r="AR31" s="185"/>
      <c r="AS31" s="185"/>
      <c r="AT31" s="185"/>
      <c r="AU31" s="185"/>
      <c r="AV31" s="185"/>
      <c r="AW31" s="185"/>
      <c r="AX31" s="185"/>
      <c r="AY31" s="185"/>
      <c r="AZ31" s="185"/>
      <c r="BA31" s="185"/>
      <c r="BB31" s="185"/>
      <c r="BC31" s="185"/>
      <c r="BD31" s="185"/>
      <c r="BE31" s="185"/>
      <c r="BF31" s="185"/>
      <c r="BG31" s="185"/>
      <c r="BH31" s="185"/>
      <c r="BI31" s="185"/>
      <c r="BJ31" s="185"/>
      <c r="BK31" s="185"/>
      <c r="BL31" s="185"/>
      <c r="BM31" s="185"/>
      <c r="BN31" s="185"/>
      <c r="BO31" s="185"/>
      <c r="BP31" s="185"/>
      <c r="BQ31" s="185"/>
      <c r="BR31" s="185"/>
      <c r="BS31" s="185"/>
      <c r="BT31" s="185"/>
      <c r="BU31" s="185"/>
      <c r="BV31" s="185"/>
      <c r="BW31" s="185"/>
      <c r="BX31" s="185"/>
      <c r="BY31" s="185"/>
      <c r="BZ31" s="185"/>
      <c r="CA31" s="185"/>
      <c r="CB31" s="185"/>
      <c r="CC31" s="185"/>
      <c r="CD31" s="185"/>
      <c r="CE31" s="185"/>
      <c r="CF31" s="185"/>
      <c r="CG31" s="185"/>
      <c r="CH31" s="185"/>
      <c r="CI31" s="185"/>
      <c r="CJ31" s="185"/>
      <c r="CK31" s="185"/>
      <c r="CL31" s="185"/>
    </row>
    <row r="32" spans="2:90">
      <c r="B32" s="185"/>
      <c r="C32" s="185"/>
      <c r="D32" s="185"/>
      <c r="E32" s="185"/>
      <c r="F32" s="185"/>
      <c r="G32" s="185"/>
      <c r="H32" s="185"/>
      <c r="I32" s="185"/>
      <c r="J32" s="185"/>
      <c r="K32" s="185"/>
      <c r="L32" s="185"/>
      <c r="M32" s="185"/>
      <c r="N32" s="185"/>
      <c r="O32" s="185"/>
      <c r="P32" s="185"/>
      <c r="Q32" s="185"/>
    </row>
    <row r="33" spans="2:90">
      <c r="B33" s="185"/>
      <c r="C33" s="185"/>
      <c r="D33" s="185"/>
      <c r="E33" s="185"/>
      <c r="F33" s="185"/>
      <c r="G33" s="185"/>
      <c r="H33" s="185"/>
      <c r="I33" s="185"/>
      <c r="J33" s="185"/>
      <c r="K33" s="185"/>
      <c r="L33" s="185"/>
      <c r="M33" s="185"/>
      <c r="N33" s="185"/>
      <c r="O33" s="185"/>
      <c r="P33" s="185"/>
      <c r="Q33" s="185"/>
    </row>
    <row r="34" spans="2:90">
      <c r="B34" s="185"/>
      <c r="C34" s="185"/>
      <c r="D34" s="185"/>
      <c r="E34" s="185"/>
      <c r="F34" s="185"/>
      <c r="G34" s="185"/>
      <c r="H34" s="185"/>
      <c r="I34" s="185"/>
      <c r="J34" s="185"/>
      <c r="K34" s="185"/>
      <c r="L34" s="185"/>
      <c r="M34" s="185"/>
      <c r="N34" s="185"/>
      <c r="O34" s="185"/>
      <c r="P34" s="185"/>
      <c r="Q34" s="185"/>
    </row>
    <row r="35" spans="2:90">
      <c r="B35" s="185"/>
      <c r="C35" s="185"/>
      <c r="D35" s="185"/>
      <c r="E35" s="185"/>
      <c r="F35" s="185"/>
      <c r="G35" s="185"/>
      <c r="H35" s="185"/>
      <c r="I35" s="185"/>
      <c r="J35" s="185"/>
      <c r="K35" s="185"/>
      <c r="L35" s="185"/>
      <c r="M35" s="185"/>
      <c r="N35" s="185"/>
      <c r="O35" s="185"/>
      <c r="P35" s="185"/>
      <c r="Q35" s="185"/>
    </row>
    <row r="36" spans="2:90">
      <c r="B36" s="185"/>
      <c r="C36" s="185"/>
      <c r="D36" s="185"/>
      <c r="E36" s="185"/>
      <c r="F36" s="185"/>
      <c r="G36" s="185"/>
      <c r="H36" s="185"/>
      <c r="I36" s="185"/>
      <c r="J36" s="185"/>
      <c r="K36" s="185"/>
      <c r="L36" s="185"/>
      <c r="M36" s="185"/>
      <c r="N36" s="185"/>
      <c r="O36" s="185"/>
      <c r="P36" s="185"/>
      <c r="Q36" s="185"/>
    </row>
    <row r="37" spans="2:90" s="185" customFormat="1">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s="198"/>
      <c r="BJ37"/>
      <c r="BK37"/>
      <c r="BL37"/>
      <c r="BM37"/>
      <c r="BN37"/>
      <c r="BO37"/>
      <c r="BP37"/>
      <c r="BQ37"/>
      <c r="BR37"/>
      <c r="BS37"/>
      <c r="BT37"/>
      <c r="BU37"/>
      <c r="BV37"/>
      <c r="BW37"/>
      <c r="BX37"/>
      <c r="BY37"/>
      <c r="BZ37"/>
      <c r="CA37"/>
      <c r="CB37"/>
      <c r="CC37"/>
      <c r="CD37"/>
      <c r="CE37"/>
      <c r="CF37"/>
      <c r="CG37"/>
      <c r="CH37"/>
      <c r="CI37"/>
      <c r="CJ37"/>
      <c r="CK37"/>
      <c r="CL37"/>
    </row>
    <row r="38" spans="2:90" s="185" customFormat="1">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s="198"/>
      <c r="BI38"/>
      <c r="BJ38"/>
      <c r="BK38"/>
      <c r="BL38"/>
      <c r="BM38"/>
      <c r="BN38"/>
      <c r="BO38"/>
      <c r="BP38"/>
      <c r="BQ38"/>
      <c r="BR38"/>
      <c r="BS38"/>
      <c r="BT38"/>
      <c r="BU38"/>
      <c r="BV38"/>
      <c r="BW38"/>
      <c r="BX38"/>
      <c r="BY38"/>
      <c r="BZ38"/>
      <c r="CA38"/>
      <c r="CB38"/>
      <c r="CC38"/>
      <c r="CD38"/>
      <c r="CE38"/>
      <c r="CF38"/>
      <c r="CG38"/>
      <c r="CH38"/>
      <c r="CI38"/>
      <c r="CJ38"/>
      <c r="CK38"/>
      <c r="CL38"/>
    </row>
    <row r="39" spans="2:90" s="185" customFormat="1">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s="198"/>
      <c r="BI39"/>
      <c r="BJ39"/>
      <c r="BK39"/>
      <c r="BL39"/>
      <c r="BM39"/>
      <c r="BN39"/>
      <c r="BO39"/>
      <c r="BP39"/>
      <c r="BQ39"/>
      <c r="BR39"/>
      <c r="BS39"/>
      <c r="BT39"/>
      <c r="BU39"/>
      <c r="BV39"/>
      <c r="BW39"/>
      <c r="BX39"/>
      <c r="BY39"/>
      <c r="BZ39"/>
      <c r="CA39"/>
      <c r="CB39"/>
      <c r="CC39"/>
      <c r="CD39"/>
      <c r="CE39"/>
      <c r="CF39"/>
      <c r="CG39"/>
      <c r="CH39"/>
      <c r="CI39"/>
      <c r="CJ39"/>
      <c r="CK39"/>
      <c r="CL39"/>
    </row>
    <row r="40" spans="2:90" s="185" customFormat="1">
      <c r="B40"/>
      <c r="C40"/>
      <c r="D40"/>
      <c r="E40"/>
      <c r="F40"/>
      <c r="G40"/>
      <c r="H40"/>
      <c r="I40"/>
      <c r="J40"/>
      <c r="K40"/>
      <c r="L40"/>
      <c r="M40"/>
      <c r="N40"/>
      <c r="O40"/>
      <c r="P40"/>
      <c r="Q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s="198"/>
      <c r="BI40"/>
      <c r="BJ40"/>
      <c r="BK40"/>
      <c r="BL40"/>
      <c r="BM40"/>
      <c r="BN40"/>
      <c r="BO40"/>
      <c r="BP40"/>
      <c r="BQ40"/>
      <c r="BR40"/>
      <c r="BS40"/>
      <c r="BT40"/>
      <c r="BU40"/>
      <c r="BV40"/>
      <c r="BW40"/>
      <c r="BX40"/>
      <c r="BY40"/>
      <c r="BZ40"/>
      <c r="CA40"/>
      <c r="CB40"/>
      <c r="CC40"/>
      <c r="CD40"/>
      <c r="CE40"/>
      <c r="CF40"/>
      <c r="CG40"/>
      <c r="CH40"/>
      <c r="CI40"/>
      <c r="CJ40"/>
      <c r="CK40"/>
      <c r="CL40"/>
    </row>
    <row r="41" spans="2:90" s="185" customFormat="1">
      <c r="B41"/>
      <c r="C41"/>
      <c r="D41"/>
      <c r="E41"/>
      <c r="F41"/>
      <c r="G41"/>
      <c r="H41"/>
      <c r="I41"/>
      <c r="J41"/>
      <c r="K41"/>
      <c r="L41"/>
      <c r="M41"/>
      <c r="N41"/>
      <c r="O41"/>
      <c r="P41"/>
      <c r="Q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s="198"/>
      <c r="BI41"/>
      <c r="BJ41"/>
      <c r="BK41"/>
      <c r="BL41"/>
      <c r="BM41"/>
      <c r="BN41"/>
      <c r="BO41"/>
      <c r="BP41"/>
      <c r="BQ41"/>
      <c r="BR41"/>
      <c r="BS41"/>
      <c r="BT41"/>
      <c r="BU41"/>
      <c r="BV41"/>
      <c r="BW41"/>
      <c r="BX41"/>
      <c r="BY41"/>
      <c r="BZ41"/>
      <c r="CA41"/>
      <c r="CB41"/>
      <c r="CC41"/>
      <c r="CD41"/>
      <c r="CE41"/>
      <c r="CF41"/>
      <c r="CG41"/>
      <c r="CH41"/>
      <c r="CI41"/>
      <c r="CJ41"/>
      <c r="CK41"/>
      <c r="CL41"/>
    </row>
    <row r="42" spans="2:90" s="185" customFormat="1">
      <c r="B42"/>
      <c r="C42"/>
      <c r="D42"/>
      <c r="E42"/>
      <c r="F42"/>
      <c r="G42"/>
      <c r="H42"/>
      <c r="I42"/>
      <c r="J42"/>
      <c r="K42"/>
      <c r="L42"/>
      <c r="M42"/>
      <c r="N42"/>
      <c r="O42"/>
      <c r="P42"/>
      <c r="Q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s="198"/>
      <c r="BI42"/>
      <c r="BJ42"/>
      <c r="BK42"/>
      <c r="BL42"/>
      <c r="BM42"/>
      <c r="BN42"/>
      <c r="BO42"/>
      <c r="BP42"/>
      <c r="BQ42"/>
      <c r="BR42"/>
      <c r="BS42"/>
      <c r="BT42"/>
      <c r="BU42"/>
      <c r="BV42"/>
      <c r="BW42"/>
      <c r="BX42"/>
      <c r="BY42"/>
      <c r="BZ42"/>
      <c r="CA42"/>
      <c r="CB42"/>
      <c r="CC42"/>
      <c r="CD42"/>
      <c r="CE42"/>
      <c r="CF42"/>
      <c r="CG42"/>
      <c r="CH42"/>
      <c r="CI42"/>
      <c r="CJ42"/>
      <c r="CK42"/>
      <c r="CL42"/>
    </row>
    <row r="43" spans="2:90" s="185" customFormat="1">
      <c r="B43"/>
      <c r="C43"/>
      <c r="D43"/>
      <c r="E43"/>
      <c r="F43"/>
      <c r="G43"/>
      <c r="H43"/>
      <c r="I43"/>
      <c r="J43"/>
      <c r="K43"/>
      <c r="L43"/>
      <c r="M43"/>
      <c r="N43"/>
      <c r="O43"/>
      <c r="P43"/>
      <c r="Q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s="198"/>
      <c r="BI43"/>
      <c r="BJ43"/>
      <c r="BK43"/>
      <c r="BL43"/>
      <c r="BM43"/>
      <c r="BN43"/>
      <c r="BO43"/>
      <c r="BP43"/>
      <c r="BQ43"/>
      <c r="BR43"/>
      <c r="BS43"/>
      <c r="BT43"/>
      <c r="BU43"/>
      <c r="BV43"/>
      <c r="BW43"/>
      <c r="BX43"/>
      <c r="BY43"/>
      <c r="BZ43"/>
      <c r="CA43"/>
      <c r="CB43"/>
      <c r="CC43"/>
      <c r="CD43"/>
      <c r="CE43"/>
      <c r="CF43"/>
      <c r="CG43"/>
      <c r="CH43"/>
      <c r="CI43"/>
      <c r="CJ43"/>
      <c r="CK43"/>
      <c r="CL43"/>
    </row>
    <row r="44" spans="2:90" s="185" customFormat="1">
      <c r="B44"/>
      <c r="C44"/>
      <c r="D44"/>
      <c r="E44"/>
      <c r="F44"/>
      <c r="G44"/>
      <c r="H44"/>
      <c r="I44"/>
      <c r="J44"/>
      <c r="K44"/>
      <c r="L44"/>
      <c r="M44"/>
      <c r="N44"/>
      <c r="O44"/>
      <c r="P44"/>
      <c r="Q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s="198"/>
      <c r="BI44"/>
      <c r="BJ44"/>
      <c r="BK44"/>
      <c r="BL44"/>
      <c r="BM44"/>
      <c r="BN44"/>
      <c r="BO44"/>
      <c r="BP44"/>
      <c r="BQ44"/>
      <c r="BR44"/>
      <c r="BS44"/>
      <c r="BT44"/>
      <c r="BU44"/>
      <c r="BV44"/>
      <c r="BW44"/>
      <c r="BX44"/>
      <c r="BY44"/>
      <c r="BZ44"/>
      <c r="CA44"/>
      <c r="CB44"/>
      <c r="CC44"/>
      <c r="CD44"/>
      <c r="CE44"/>
      <c r="CF44"/>
      <c r="CG44"/>
      <c r="CH44"/>
      <c r="CI44"/>
      <c r="CJ44"/>
      <c r="CK44"/>
      <c r="CL44"/>
    </row>
    <row r="45" spans="2:90" s="185" customFormat="1">
      <c r="B45"/>
      <c r="C45"/>
      <c r="D45"/>
      <c r="E45"/>
      <c r="F45"/>
      <c r="G45"/>
      <c r="H45"/>
      <c r="I45"/>
      <c r="J45"/>
      <c r="K45"/>
      <c r="L45"/>
      <c r="M45"/>
      <c r="N45"/>
      <c r="O45"/>
      <c r="P45"/>
      <c r="Q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s="198"/>
      <c r="BI45"/>
      <c r="BJ45"/>
      <c r="BK45"/>
      <c r="BL45"/>
      <c r="BM45"/>
      <c r="BN45"/>
      <c r="BO45"/>
      <c r="BP45"/>
      <c r="BQ45"/>
      <c r="BR45"/>
      <c r="BS45"/>
      <c r="BT45"/>
      <c r="BU45"/>
      <c r="BV45"/>
      <c r="BW45"/>
      <c r="BX45"/>
      <c r="BY45"/>
      <c r="BZ45"/>
      <c r="CA45"/>
      <c r="CB45"/>
      <c r="CC45"/>
      <c r="CD45"/>
      <c r="CE45"/>
      <c r="CF45"/>
      <c r="CG45"/>
      <c r="CH45"/>
      <c r="CI45"/>
      <c r="CJ45"/>
      <c r="CK45"/>
      <c r="CL45"/>
    </row>
    <row r="46" spans="2:90" s="185" customFormat="1">
      <c r="B46"/>
      <c r="C46"/>
      <c r="D46"/>
      <c r="E46"/>
      <c r="F46"/>
      <c r="G46"/>
      <c r="H46"/>
      <c r="I46"/>
      <c r="J46"/>
      <c r="K46"/>
      <c r="L46"/>
      <c r="M46"/>
      <c r="N46"/>
      <c r="O46"/>
      <c r="P46"/>
      <c r="Q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s="198"/>
      <c r="BI46"/>
      <c r="BJ46"/>
      <c r="BK46"/>
      <c r="BL46"/>
      <c r="BM46"/>
      <c r="BN46"/>
      <c r="BO46"/>
      <c r="BP46"/>
      <c r="BQ46"/>
      <c r="BR46"/>
      <c r="BS46"/>
      <c r="BT46"/>
      <c r="BU46"/>
      <c r="BV46"/>
      <c r="BW46"/>
      <c r="BX46"/>
      <c r="BY46"/>
      <c r="BZ46"/>
      <c r="CA46"/>
      <c r="CB46"/>
      <c r="CC46"/>
      <c r="CD46"/>
      <c r="CE46"/>
      <c r="CF46"/>
      <c r="CG46"/>
      <c r="CH46"/>
      <c r="CI46"/>
      <c r="CJ46"/>
      <c r="CK46"/>
      <c r="CL46"/>
    </row>
    <row r="47" spans="2:90" s="185" customFormat="1">
      <c r="B47"/>
      <c r="C47"/>
      <c r="D47"/>
      <c r="E47"/>
      <c r="F47"/>
      <c r="G47"/>
      <c r="H47"/>
      <c r="I47"/>
      <c r="J47"/>
      <c r="K47"/>
      <c r="L47"/>
      <c r="M47"/>
      <c r="N47"/>
      <c r="O47"/>
      <c r="P47"/>
      <c r="Q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s="198"/>
      <c r="BI47"/>
      <c r="BJ47"/>
      <c r="BK47"/>
      <c r="BL47"/>
      <c r="BM47"/>
      <c r="BN47"/>
      <c r="BO47"/>
      <c r="BP47"/>
      <c r="BQ47"/>
      <c r="BR47"/>
      <c r="BS47"/>
      <c r="BT47"/>
      <c r="BU47"/>
      <c r="BV47"/>
      <c r="BW47"/>
      <c r="BX47"/>
      <c r="BY47"/>
      <c r="BZ47"/>
      <c r="CA47"/>
      <c r="CB47"/>
      <c r="CC47"/>
      <c r="CD47"/>
      <c r="CE47"/>
      <c r="CF47"/>
      <c r="CG47"/>
      <c r="CH47"/>
      <c r="CI47"/>
      <c r="CJ47"/>
      <c r="CK47"/>
      <c r="CL47"/>
    </row>
    <row r="48" spans="2:90" s="185" customFormat="1">
      <c r="B48"/>
      <c r="C48"/>
      <c r="D48"/>
      <c r="E48"/>
      <c r="F48"/>
      <c r="G48"/>
      <c r="H48"/>
      <c r="I48"/>
      <c r="J48"/>
      <c r="K48"/>
      <c r="L48"/>
      <c r="M48"/>
      <c r="N48"/>
      <c r="O48"/>
      <c r="P48"/>
      <c r="Q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s="198"/>
      <c r="BI48"/>
      <c r="BJ48"/>
      <c r="BK48"/>
      <c r="BL48"/>
      <c r="BM48"/>
      <c r="BN48"/>
      <c r="BO48"/>
      <c r="BP48"/>
      <c r="BQ48"/>
      <c r="BR48"/>
      <c r="BS48"/>
      <c r="BT48"/>
      <c r="BU48"/>
      <c r="BV48"/>
      <c r="BW48"/>
      <c r="BX48"/>
      <c r="BY48"/>
      <c r="BZ48"/>
      <c r="CA48"/>
      <c r="CB48"/>
      <c r="CC48"/>
      <c r="CD48"/>
      <c r="CE48"/>
      <c r="CF48"/>
      <c r="CG48"/>
      <c r="CH48"/>
      <c r="CI48"/>
      <c r="CJ48"/>
      <c r="CK48"/>
      <c r="CL48"/>
    </row>
    <row r="49" spans="2:90" s="185" customFormat="1">
      <c r="B49"/>
      <c r="C49"/>
      <c r="D49"/>
      <c r="E49"/>
      <c r="F49"/>
      <c r="G49"/>
      <c r="H49"/>
      <c r="I49"/>
      <c r="J49"/>
      <c r="K49"/>
      <c r="L49"/>
      <c r="M49"/>
      <c r="N49"/>
      <c r="O49"/>
      <c r="P49"/>
      <c r="Q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s="198"/>
      <c r="BI49"/>
      <c r="BJ49"/>
      <c r="BK49"/>
      <c r="BL49"/>
      <c r="BM49"/>
      <c r="BN49"/>
      <c r="BO49"/>
      <c r="BP49"/>
      <c r="BQ49"/>
      <c r="BR49"/>
      <c r="BS49"/>
      <c r="BT49"/>
      <c r="BU49"/>
      <c r="BV49"/>
      <c r="BW49"/>
      <c r="BX49"/>
      <c r="BY49"/>
      <c r="BZ49"/>
      <c r="CA49"/>
      <c r="CB49"/>
      <c r="CC49"/>
      <c r="CD49"/>
      <c r="CE49"/>
      <c r="CF49"/>
      <c r="CG49"/>
      <c r="CH49"/>
      <c r="CI49"/>
      <c r="CJ49"/>
      <c r="CK49"/>
      <c r="CL49"/>
    </row>
    <row r="50" spans="2:90">
      <c r="BH50" s="198"/>
    </row>
    <row r="51" spans="2:90">
      <c r="BH51" s="198"/>
    </row>
    <row r="52" spans="2:90">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85"/>
      <c r="BG52" s="185"/>
      <c r="BH52" s="198"/>
      <c r="BI52" s="185"/>
      <c r="BJ52" s="185"/>
      <c r="BK52" s="185"/>
      <c r="BL52" s="185"/>
      <c r="BM52" s="185"/>
      <c r="BN52" s="185"/>
      <c r="BO52" s="185"/>
      <c r="BP52" s="185"/>
      <c r="BQ52" s="185"/>
      <c r="BR52" s="185"/>
      <c r="BS52" s="185"/>
      <c r="BT52" s="185"/>
      <c r="BU52" s="185"/>
      <c r="BV52" s="185"/>
      <c r="BW52" s="185"/>
      <c r="BX52" s="185"/>
      <c r="BY52" s="185"/>
      <c r="BZ52" s="185"/>
      <c r="CA52" s="185"/>
      <c r="CB52" s="185"/>
      <c r="CC52" s="185"/>
      <c r="CD52" s="185"/>
      <c r="CE52" s="185"/>
      <c r="CF52" s="185"/>
      <c r="CG52" s="185"/>
      <c r="CH52" s="185"/>
      <c r="CI52" s="185"/>
      <c r="CJ52" s="185"/>
      <c r="CK52" s="185"/>
      <c r="CL52" s="185"/>
    </row>
    <row r="53" spans="2:90">
      <c r="W53" s="185"/>
      <c r="X53" s="185"/>
      <c r="Y53" s="185"/>
      <c r="Z53" s="185"/>
      <c r="AA53" s="185"/>
      <c r="AB53" s="185"/>
      <c r="AC53" s="185"/>
      <c r="AD53" s="185"/>
      <c r="AE53" s="185"/>
      <c r="AF53" s="185"/>
      <c r="AG53" s="185"/>
      <c r="AH53" s="185"/>
      <c r="AI53" s="185"/>
      <c r="AJ53" s="185"/>
      <c r="AK53" s="185"/>
      <c r="AL53" s="185"/>
      <c r="AM53" s="185"/>
      <c r="AN53" s="185"/>
      <c r="AO53" s="185"/>
      <c r="AP53" s="185"/>
      <c r="AQ53" s="185"/>
      <c r="AR53" s="185"/>
      <c r="AS53" s="185"/>
      <c r="AT53" s="185"/>
      <c r="AU53" s="185"/>
      <c r="AV53" s="185"/>
      <c r="AW53" s="185"/>
      <c r="AX53" s="185"/>
      <c r="AY53" s="185"/>
      <c r="AZ53" s="185"/>
      <c r="BA53" s="185"/>
      <c r="BB53" s="185"/>
      <c r="BC53" s="185"/>
      <c r="BD53" s="185"/>
      <c r="BE53" s="185"/>
      <c r="BF53" s="185"/>
      <c r="BG53" s="185"/>
      <c r="BH53" s="198"/>
      <c r="BI53" s="185"/>
      <c r="BJ53" s="185"/>
      <c r="BK53" s="185"/>
      <c r="BL53" s="185"/>
      <c r="BM53" s="185"/>
      <c r="BN53" s="185"/>
      <c r="BO53" s="185"/>
      <c r="BP53" s="185"/>
      <c r="BQ53" s="185"/>
      <c r="BR53" s="185"/>
      <c r="BS53" s="185"/>
      <c r="BT53" s="185"/>
      <c r="BU53" s="185"/>
      <c r="BV53" s="185"/>
      <c r="BW53" s="185"/>
      <c r="BX53" s="185"/>
      <c r="BY53" s="185"/>
      <c r="BZ53" s="185"/>
      <c r="CA53" s="185"/>
      <c r="CB53" s="185"/>
      <c r="CC53" s="185"/>
      <c r="CD53" s="185"/>
      <c r="CE53" s="185"/>
      <c r="CF53" s="185"/>
      <c r="CG53" s="185"/>
      <c r="CH53" s="185"/>
      <c r="CI53" s="185"/>
      <c r="CJ53" s="185"/>
      <c r="CK53" s="185"/>
      <c r="CL53" s="185"/>
    </row>
    <row r="54" spans="2:90">
      <c r="W54" s="185"/>
      <c r="X54" s="185"/>
      <c r="Y54" s="185"/>
      <c r="Z54" s="185"/>
      <c r="AA54" s="185"/>
      <c r="AB54" s="185"/>
      <c r="AC54" s="185"/>
      <c r="AD54" s="185"/>
      <c r="AE54" s="185"/>
      <c r="AF54" s="185"/>
      <c r="AG54" s="185"/>
      <c r="AH54" s="185"/>
      <c r="AI54" s="185"/>
      <c r="AJ54" s="185"/>
      <c r="AK54" s="185"/>
      <c r="AL54" s="185"/>
      <c r="AM54" s="185"/>
      <c r="AN54" s="185"/>
      <c r="AO54" s="185"/>
      <c r="AP54" s="185"/>
      <c r="AQ54" s="185"/>
      <c r="AR54" s="185"/>
      <c r="AS54" s="185"/>
      <c r="AT54" s="185"/>
      <c r="AU54" s="185"/>
      <c r="AV54" s="185"/>
      <c r="AW54" s="185"/>
      <c r="AX54" s="185"/>
      <c r="AY54" s="185"/>
      <c r="AZ54" s="185"/>
      <c r="BA54" s="185"/>
      <c r="BB54" s="185"/>
      <c r="BC54" s="185"/>
      <c r="BD54" s="185"/>
      <c r="BE54" s="185"/>
      <c r="BF54" s="185"/>
      <c r="BG54" s="185"/>
      <c r="BH54" s="198"/>
      <c r="BI54" s="185"/>
      <c r="BJ54" s="185"/>
      <c r="BK54" s="185"/>
      <c r="BL54" s="185"/>
      <c r="BM54" s="185"/>
      <c r="BN54" s="185"/>
      <c r="BO54" s="185"/>
      <c r="BP54" s="185"/>
      <c r="BQ54" s="185"/>
      <c r="BR54" s="185"/>
      <c r="BS54" s="185"/>
      <c r="BT54" s="185"/>
      <c r="BU54" s="185"/>
      <c r="BV54" s="185"/>
      <c r="BW54" s="185"/>
      <c r="BX54" s="185"/>
      <c r="BY54" s="185"/>
      <c r="BZ54" s="185"/>
      <c r="CA54" s="185"/>
      <c r="CB54" s="185"/>
      <c r="CC54" s="185"/>
      <c r="CD54" s="185"/>
      <c r="CE54" s="185"/>
      <c r="CF54" s="185"/>
      <c r="CG54" s="185"/>
      <c r="CH54" s="185"/>
      <c r="CI54" s="185"/>
      <c r="CJ54" s="185"/>
      <c r="CK54" s="185"/>
      <c r="CL54" s="185"/>
    </row>
    <row r="55" spans="2:90">
      <c r="W55" s="185"/>
      <c r="X55" s="185"/>
      <c r="Y55" s="185"/>
      <c r="Z55" s="185"/>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85"/>
      <c r="BG55" s="185"/>
      <c r="BH55" s="198"/>
      <c r="BI55" s="185"/>
      <c r="BJ55" s="185"/>
      <c r="BK55" s="185"/>
      <c r="BL55" s="185"/>
      <c r="BM55" s="185"/>
      <c r="BN55" s="185"/>
      <c r="BO55" s="185"/>
      <c r="BP55" s="185"/>
      <c r="BQ55" s="185"/>
      <c r="BR55" s="185"/>
      <c r="BS55" s="185"/>
      <c r="BT55" s="185"/>
      <c r="BU55" s="185"/>
      <c r="BV55" s="185"/>
      <c r="BW55" s="185"/>
      <c r="BX55" s="185"/>
      <c r="BY55" s="185"/>
      <c r="BZ55" s="185"/>
      <c r="CA55" s="185"/>
      <c r="CB55" s="185"/>
      <c r="CC55" s="185"/>
      <c r="CD55" s="185"/>
      <c r="CE55" s="185"/>
      <c r="CF55" s="185"/>
      <c r="CG55" s="185"/>
      <c r="CH55" s="185"/>
      <c r="CI55" s="185"/>
      <c r="CJ55" s="185"/>
      <c r="CK55" s="185"/>
      <c r="CL55" s="185"/>
    </row>
    <row r="56" spans="2:90">
      <c r="W56" s="185"/>
      <c r="X56" s="185"/>
      <c r="Y56" s="185"/>
      <c r="Z56" s="185"/>
      <c r="AA56" s="185"/>
      <c r="AB56" s="185"/>
      <c r="AC56" s="185"/>
      <c r="AD56" s="185"/>
      <c r="AE56" s="185"/>
      <c r="AF56" s="185"/>
      <c r="AG56" s="185"/>
      <c r="AH56" s="185"/>
      <c r="AI56" s="185"/>
      <c r="AJ56" s="185"/>
      <c r="AK56" s="185"/>
      <c r="AL56" s="185"/>
      <c r="AM56" s="185"/>
      <c r="AN56" s="185"/>
      <c r="AO56" s="185"/>
      <c r="AP56" s="185"/>
      <c r="AQ56" s="185"/>
      <c r="AR56" s="185"/>
      <c r="AS56" s="185"/>
      <c r="AT56" s="185"/>
      <c r="AU56" s="185"/>
      <c r="AV56" s="185"/>
      <c r="AW56" s="185"/>
      <c r="AX56" s="185"/>
      <c r="AY56" s="185"/>
      <c r="AZ56" s="185"/>
      <c r="BA56" s="185"/>
      <c r="BB56" s="185"/>
      <c r="BC56" s="185"/>
      <c r="BD56" s="185"/>
      <c r="BE56" s="185"/>
      <c r="BF56" s="185"/>
      <c r="BG56" s="185"/>
      <c r="BH56" s="198"/>
      <c r="BI56" s="185"/>
      <c r="BJ56" s="185"/>
      <c r="BK56" s="185"/>
      <c r="BL56" s="185"/>
      <c r="BM56" s="185"/>
      <c r="BN56" s="185"/>
      <c r="BO56" s="185"/>
      <c r="BP56" s="185"/>
      <c r="BQ56" s="185"/>
      <c r="BR56" s="185"/>
      <c r="BS56" s="185"/>
      <c r="BT56" s="185"/>
      <c r="BU56" s="185"/>
      <c r="BV56" s="185"/>
      <c r="BW56" s="185"/>
      <c r="BX56" s="185"/>
      <c r="BY56" s="185"/>
      <c r="BZ56" s="185"/>
      <c r="CA56" s="185"/>
      <c r="CB56" s="185"/>
      <c r="CC56" s="185"/>
      <c r="CD56" s="185"/>
      <c r="CE56" s="185"/>
      <c r="CF56" s="185"/>
      <c r="CG56" s="185"/>
      <c r="CH56" s="185"/>
      <c r="CI56" s="185"/>
      <c r="CJ56" s="185"/>
      <c r="CK56" s="185"/>
      <c r="CL56" s="185"/>
    </row>
    <row r="57" spans="2:90">
      <c r="W57" s="185"/>
      <c r="X57" s="185"/>
      <c r="Y57" s="185"/>
      <c r="Z57" s="185"/>
      <c r="AA57" s="185"/>
      <c r="AB57" s="185"/>
      <c r="AC57" s="185"/>
      <c r="AD57" s="185"/>
      <c r="AE57" s="185"/>
      <c r="AF57" s="185"/>
      <c r="AG57" s="185"/>
      <c r="AH57" s="185"/>
      <c r="AI57" s="185"/>
      <c r="AJ57" s="185"/>
      <c r="AK57" s="185"/>
      <c r="AL57" s="185"/>
      <c r="AM57" s="185"/>
      <c r="AN57" s="185"/>
      <c r="AO57" s="185"/>
      <c r="AP57" s="185"/>
      <c r="AQ57" s="185"/>
      <c r="AR57" s="185"/>
      <c r="AS57" s="185"/>
      <c r="AT57" s="185"/>
      <c r="AU57" s="185"/>
      <c r="AV57" s="185"/>
      <c r="AW57" s="185"/>
      <c r="AX57" s="185"/>
      <c r="AY57" s="185"/>
      <c r="AZ57" s="185"/>
      <c r="BA57" s="185"/>
      <c r="BB57" s="185"/>
      <c r="BC57" s="185"/>
      <c r="BD57" s="185"/>
      <c r="BE57" s="185"/>
      <c r="BF57" s="185"/>
      <c r="BG57" s="185"/>
      <c r="BH57" s="198"/>
      <c r="BI57" s="185"/>
      <c r="BJ57" s="185"/>
      <c r="BK57" s="185"/>
      <c r="BL57" s="185"/>
      <c r="BM57" s="185"/>
      <c r="BN57" s="185"/>
      <c r="BO57" s="185"/>
      <c r="BP57" s="185"/>
      <c r="BQ57" s="185"/>
      <c r="BR57" s="185"/>
      <c r="BS57" s="185"/>
      <c r="BT57" s="185"/>
      <c r="BU57" s="185"/>
      <c r="BV57" s="185"/>
      <c r="BW57" s="185"/>
      <c r="BX57" s="185"/>
      <c r="BY57" s="185"/>
      <c r="BZ57" s="185"/>
      <c r="CA57" s="185"/>
      <c r="CB57" s="185"/>
      <c r="CC57" s="185"/>
      <c r="CD57" s="185"/>
      <c r="CE57" s="185"/>
      <c r="CF57" s="185"/>
      <c r="CG57" s="185"/>
      <c r="CH57" s="185"/>
      <c r="CI57" s="185"/>
      <c r="CJ57" s="185"/>
      <c r="CK57" s="185"/>
      <c r="CL57" s="185"/>
    </row>
    <row r="58" spans="2:90">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5"/>
      <c r="AV58" s="185"/>
      <c r="AW58" s="185"/>
      <c r="AX58" s="185"/>
      <c r="AY58" s="185"/>
      <c r="AZ58" s="185"/>
      <c r="BA58" s="185"/>
      <c r="BB58" s="185"/>
      <c r="BC58" s="185"/>
      <c r="BD58" s="185"/>
      <c r="BE58" s="185"/>
      <c r="BF58" s="185"/>
      <c r="BG58" s="185"/>
      <c r="BH58" s="198"/>
      <c r="BI58" s="185"/>
      <c r="BJ58" s="185"/>
      <c r="BK58" s="185"/>
      <c r="BL58" s="185"/>
      <c r="BM58" s="185"/>
      <c r="BN58" s="185"/>
      <c r="BO58" s="185"/>
      <c r="BP58" s="185"/>
      <c r="BQ58" s="185"/>
      <c r="BR58" s="185"/>
      <c r="BS58" s="185"/>
      <c r="BT58" s="185"/>
      <c r="BU58" s="185"/>
      <c r="BV58" s="185"/>
      <c r="BW58" s="185"/>
      <c r="BX58" s="185"/>
      <c r="BY58" s="185"/>
      <c r="BZ58" s="185"/>
      <c r="CA58" s="185"/>
      <c r="CB58" s="185"/>
      <c r="CC58" s="185"/>
      <c r="CD58" s="185"/>
      <c r="CE58" s="185"/>
      <c r="CF58" s="185"/>
      <c r="CG58" s="185"/>
      <c r="CH58" s="185"/>
      <c r="CI58" s="185"/>
      <c r="CJ58" s="185"/>
      <c r="CK58" s="185"/>
      <c r="CL58" s="185"/>
    </row>
    <row r="59" spans="2:90">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5"/>
      <c r="AV59" s="185"/>
      <c r="AW59" s="185"/>
      <c r="AX59" s="185"/>
      <c r="AY59" s="185"/>
      <c r="AZ59" s="185"/>
      <c r="BA59" s="185"/>
      <c r="BB59" s="185"/>
      <c r="BC59" s="185"/>
      <c r="BD59" s="185"/>
      <c r="BE59" s="185"/>
      <c r="BF59" s="185"/>
      <c r="BG59" s="185"/>
      <c r="BH59" s="198"/>
      <c r="BI59" s="185"/>
      <c r="BJ59" s="185"/>
      <c r="BK59" s="185"/>
      <c r="BL59" s="185"/>
      <c r="BM59" s="185"/>
      <c r="BN59" s="185"/>
      <c r="BO59" s="185"/>
      <c r="BP59" s="185"/>
      <c r="BQ59" s="185"/>
      <c r="BR59" s="185"/>
      <c r="BS59" s="185"/>
      <c r="BT59" s="185"/>
      <c r="BU59" s="185"/>
      <c r="BV59" s="185"/>
      <c r="BW59" s="185"/>
      <c r="BX59" s="185"/>
      <c r="BY59" s="185"/>
      <c r="BZ59" s="185"/>
      <c r="CA59" s="185"/>
      <c r="CB59" s="185"/>
      <c r="CC59" s="185"/>
      <c r="CD59" s="185"/>
      <c r="CE59" s="185"/>
      <c r="CF59" s="185"/>
      <c r="CG59" s="185"/>
      <c r="CH59" s="185"/>
      <c r="CI59" s="185"/>
      <c r="CJ59" s="185"/>
      <c r="CK59" s="185"/>
      <c r="CL59" s="185"/>
    </row>
    <row r="60" spans="2:90">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c r="AX60" s="185"/>
      <c r="AY60" s="185"/>
      <c r="AZ60" s="185"/>
      <c r="BA60" s="185"/>
      <c r="BB60" s="185"/>
      <c r="BC60" s="185"/>
      <c r="BD60" s="185"/>
      <c r="BE60" s="185"/>
      <c r="BF60" s="185"/>
      <c r="BG60" s="185"/>
      <c r="BH60" s="198"/>
      <c r="BI60" s="185"/>
      <c r="BJ60" s="185"/>
      <c r="BK60" s="185"/>
      <c r="BL60" s="185"/>
      <c r="BM60" s="185"/>
      <c r="BN60" s="185"/>
      <c r="BO60" s="185"/>
      <c r="BP60" s="185"/>
      <c r="BQ60" s="185"/>
      <c r="BR60" s="185"/>
      <c r="BS60" s="185"/>
      <c r="BT60" s="185"/>
      <c r="BU60" s="185"/>
      <c r="BV60" s="185"/>
      <c r="BW60" s="185"/>
      <c r="BX60" s="185"/>
      <c r="BY60" s="185"/>
      <c r="BZ60" s="185"/>
      <c r="CA60" s="185"/>
      <c r="CB60" s="185"/>
      <c r="CC60" s="185"/>
      <c r="CD60" s="185"/>
      <c r="CE60" s="185"/>
      <c r="CF60" s="185"/>
      <c r="CG60" s="185"/>
      <c r="CH60" s="185"/>
      <c r="CI60" s="185"/>
      <c r="CJ60" s="185"/>
      <c r="CK60" s="185"/>
      <c r="CL60" s="185"/>
    </row>
    <row r="61" spans="2:90">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5"/>
      <c r="AV61" s="185"/>
      <c r="AW61" s="185"/>
      <c r="AX61" s="185"/>
      <c r="AY61" s="185"/>
      <c r="AZ61" s="185"/>
      <c r="BA61" s="185"/>
      <c r="BB61" s="185"/>
      <c r="BC61" s="185"/>
      <c r="BD61" s="185"/>
      <c r="BE61" s="185"/>
      <c r="BF61" s="185"/>
      <c r="BG61" s="185"/>
      <c r="BH61" s="198"/>
      <c r="BI61" s="185"/>
      <c r="BJ61" s="185"/>
      <c r="BK61" s="185"/>
      <c r="BL61" s="185"/>
      <c r="BM61" s="185"/>
      <c r="BN61" s="185"/>
      <c r="BO61" s="185"/>
      <c r="BP61" s="185"/>
      <c r="BQ61" s="185"/>
      <c r="BR61" s="185"/>
      <c r="BS61" s="185"/>
      <c r="BT61" s="185"/>
      <c r="BU61" s="185"/>
      <c r="BV61" s="185"/>
      <c r="BW61" s="185"/>
      <c r="BX61" s="185"/>
      <c r="BY61" s="185"/>
      <c r="BZ61" s="185"/>
      <c r="CA61" s="185"/>
      <c r="CB61" s="185"/>
      <c r="CC61" s="185"/>
      <c r="CD61" s="185"/>
      <c r="CE61" s="185"/>
      <c r="CF61" s="185"/>
      <c r="CG61" s="185"/>
      <c r="CH61" s="185"/>
      <c r="CI61" s="185"/>
      <c r="CJ61" s="185"/>
      <c r="CK61" s="185"/>
      <c r="CL61" s="185"/>
    </row>
    <row r="62" spans="2:90">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5"/>
      <c r="AV62" s="185"/>
      <c r="AW62" s="185"/>
      <c r="AX62" s="185"/>
      <c r="AY62" s="185"/>
      <c r="AZ62" s="185"/>
      <c r="BA62" s="185"/>
      <c r="BB62" s="185"/>
      <c r="BC62" s="185"/>
      <c r="BD62" s="185"/>
      <c r="BE62" s="185"/>
      <c r="BF62" s="185"/>
      <c r="BG62" s="185"/>
      <c r="BH62" s="198"/>
      <c r="BI62" s="185"/>
      <c r="BJ62" s="185"/>
      <c r="BK62" s="185"/>
      <c r="BL62" s="185"/>
      <c r="BM62" s="185"/>
      <c r="BN62" s="185"/>
      <c r="BO62" s="185"/>
      <c r="BP62" s="185"/>
      <c r="BQ62" s="185"/>
      <c r="BR62" s="185"/>
      <c r="BS62" s="185"/>
      <c r="BT62" s="185"/>
      <c r="BU62" s="185"/>
      <c r="BV62" s="185"/>
      <c r="BW62" s="185"/>
      <c r="BX62" s="185"/>
      <c r="BY62" s="185"/>
      <c r="BZ62" s="185"/>
      <c r="CA62" s="185"/>
      <c r="CB62" s="185"/>
      <c r="CC62" s="185"/>
      <c r="CD62" s="185"/>
      <c r="CE62" s="185"/>
      <c r="CF62" s="185"/>
      <c r="CG62" s="185"/>
      <c r="CH62" s="185"/>
      <c r="CI62" s="185"/>
      <c r="CJ62" s="185"/>
      <c r="CK62" s="185"/>
      <c r="CL62" s="185"/>
    </row>
    <row r="63" spans="2:90">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5"/>
      <c r="AV63" s="185"/>
      <c r="AW63" s="185"/>
      <c r="AX63" s="185"/>
      <c r="AY63" s="185"/>
      <c r="AZ63" s="185"/>
      <c r="BA63" s="185"/>
      <c r="BB63" s="185"/>
      <c r="BC63" s="185"/>
      <c r="BD63" s="185"/>
      <c r="BE63" s="185"/>
      <c r="BF63" s="185"/>
      <c r="BG63" s="185"/>
      <c r="BH63" s="198"/>
      <c r="BI63" s="185"/>
      <c r="BJ63" s="185"/>
      <c r="BK63" s="185"/>
      <c r="BL63" s="185"/>
      <c r="BM63" s="185"/>
      <c r="BN63" s="185"/>
      <c r="BO63" s="185"/>
      <c r="BP63" s="185"/>
      <c r="BQ63" s="185"/>
      <c r="BR63" s="185"/>
      <c r="BS63" s="185"/>
      <c r="BT63" s="185"/>
      <c r="BU63" s="185"/>
      <c r="BV63" s="185"/>
      <c r="BW63" s="185"/>
      <c r="BX63" s="185"/>
      <c r="BY63" s="185"/>
      <c r="BZ63" s="185"/>
      <c r="CA63" s="185"/>
      <c r="CB63" s="185"/>
      <c r="CC63" s="185"/>
      <c r="CD63" s="185"/>
      <c r="CE63" s="185"/>
      <c r="CF63" s="185"/>
      <c r="CG63" s="185"/>
      <c r="CH63" s="185"/>
      <c r="CI63" s="185"/>
      <c r="CJ63" s="185"/>
      <c r="CK63" s="185"/>
      <c r="CL63" s="185"/>
    </row>
    <row r="64" spans="2:90">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c r="AX64" s="185"/>
      <c r="AY64" s="185"/>
      <c r="AZ64" s="185"/>
      <c r="BA64" s="185"/>
      <c r="BB64" s="185"/>
      <c r="BC64" s="185"/>
      <c r="BD64" s="185"/>
      <c r="BE64" s="185"/>
      <c r="BF64" s="185"/>
      <c r="BG64" s="185"/>
      <c r="BH64" s="198"/>
      <c r="BI64" s="185"/>
      <c r="BJ64" s="185"/>
      <c r="BK64" s="185"/>
      <c r="BL64" s="185"/>
      <c r="BM64" s="185"/>
      <c r="BN64" s="185"/>
      <c r="BO64" s="185"/>
      <c r="BP64" s="185"/>
      <c r="BQ64" s="185"/>
      <c r="BR64" s="185"/>
      <c r="BS64" s="185"/>
      <c r="BT64" s="185"/>
      <c r="BU64" s="185"/>
      <c r="BV64" s="185"/>
      <c r="BW64" s="185"/>
      <c r="BX64" s="185"/>
      <c r="BY64" s="185"/>
      <c r="BZ64" s="185"/>
      <c r="CA64" s="185"/>
      <c r="CB64" s="185"/>
      <c r="CC64" s="185"/>
      <c r="CD64" s="185"/>
      <c r="CE64" s="185"/>
      <c r="CF64" s="185"/>
      <c r="CG64" s="185"/>
      <c r="CH64" s="185"/>
      <c r="CI64" s="185"/>
      <c r="CJ64" s="185"/>
      <c r="CK64" s="185"/>
      <c r="CL64" s="185"/>
    </row>
    <row r="65" spans="60:103">
      <c r="BH65" s="198"/>
    </row>
    <row r="66" spans="60:103">
      <c r="BH66" s="198"/>
      <c r="CM66" s="185"/>
      <c r="CN66" s="185"/>
      <c r="CO66" s="185"/>
      <c r="CP66" s="185"/>
      <c r="CQ66" s="185"/>
      <c r="CR66" s="185"/>
      <c r="CS66" s="185"/>
      <c r="CT66" s="185"/>
      <c r="CU66" s="185"/>
      <c r="CV66" s="185"/>
      <c r="CW66" s="185"/>
      <c r="CX66" s="185"/>
      <c r="CY66" s="185"/>
    </row>
    <row r="67" spans="60:103">
      <c r="BH67" s="198"/>
      <c r="CM67" s="185"/>
      <c r="CN67" s="185"/>
      <c r="CO67" s="185"/>
      <c r="CP67" s="185"/>
      <c r="CQ67" s="185"/>
      <c r="CR67" s="185"/>
      <c r="CS67" s="185"/>
      <c r="CT67" s="185"/>
      <c r="CU67" s="185"/>
      <c r="CV67" s="185"/>
      <c r="CW67" s="185"/>
      <c r="CX67" s="185"/>
      <c r="CY67" s="185"/>
    </row>
    <row r="68" spans="60:103">
      <c r="BH68" s="198"/>
    </row>
    <row r="69" spans="60:103">
      <c r="BH69" s="198"/>
    </row>
    <row r="70" spans="60:103">
      <c r="BH70" s="198"/>
    </row>
    <row r="71" spans="60:103">
      <c r="BH71" s="198"/>
    </row>
    <row r="72" spans="60:103">
      <c r="BH72" s="198"/>
    </row>
    <row r="73" spans="60:103">
      <c r="BH73" s="198"/>
    </row>
    <row r="74" spans="60:103">
      <c r="BH74" s="198"/>
    </row>
    <row r="75" spans="60:103">
      <c r="BH75" s="198"/>
    </row>
    <row r="76" spans="60:103">
      <c r="BH76" s="198"/>
    </row>
    <row r="77" spans="60:103">
      <c r="BH77" s="198"/>
    </row>
    <row r="78" spans="60:103">
      <c r="BH78" s="198"/>
    </row>
    <row r="79" spans="60:103">
      <c r="BH79" s="198"/>
    </row>
    <row r="80" spans="60:103">
      <c r="BH80" s="198"/>
    </row>
    <row r="81" spans="2:103">
      <c r="W81" s="185"/>
      <c r="X81" s="185"/>
      <c r="Y81" s="185"/>
      <c r="Z81" s="185"/>
      <c r="AA81" s="185"/>
      <c r="AB81" s="185"/>
      <c r="AC81" s="185"/>
      <c r="AD81" s="185"/>
      <c r="AE81" s="185"/>
      <c r="AF81" s="185"/>
      <c r="AG81" s="185"/>
      <c r="AH81" s="185"/>
      <c r="AI81" s="185"/>
      <c r="AJ81" s="185"/>
      <c r="AK81" s="185"/>
      <c r="AL81" s="185"/>
      <c r="AM81" s="185"/>
      <c r="AN81" s="185"/>
      <c r="AO81" s="185"/>
      <c r="AP81" s="185"/>
      <c r="AQ81" s="185"/>
      <c r="AR81" s="185"/>
      <c r="AS81" s="185"/>
      <c r="AT81" s="185"/>
      <c r="AU81" s="185"/>
      <c r="AV81" s="185"/>
      <c r="AW81" s="185"/>
      <c r="AX81" s="185"/>
      <c r="AY81" s="185"/>
      <c r="AZ81" s="185"/>
      <c r="BA81" s="185"/>
      <c r="BB81" s="185"/>
      <c r="BC81" s="185"/>
      <c r="BD81" s="185"/>
      <c r="BE81" s="185"/>
      <c r="BF81" s="185"/>
      <c r="BG81" s="185"/>
      <c r="BH81" s="198"/>
      <c r="BI81" s="185"/>
      <c r="BJ81" s="185"/>
      <c r="BK81" s="185"/>
      <c r="BL81" s="185"/>
      <c r="BM81" s="185"/>
      <c r="BN81" s="185"/>
      <c r="BO81" s="185"/>
      <c r="BP81" s="185"/>
      <c r="BQ81" s="185"/>
      <c r="BR81" s="185"/>
      <c r="BS81" s="185"/>
      <c r="BT81" s="185"/>
      <c r="BU81" s="185"/>
      <c r="BV81" s="185"/>
      <c r="BW81" s="185"/>
      <c r="BX81" s="185"/>
      <c r="BY81" s="185"/>
      <c r="BZ81" s="185"/>
      <c r="CA81" s="185"/>
      <c r="CB81" s="185"/>
      <c r="CC81" s="185"/>
      <c r="CD81" s="185"/>
      <c r="CE81" s="185"/>
      <c r="CF81" s="185"/>
      <c r="CG81" s="185"/>
      <c r="CH81" s="185"/>
      <c r="CI81" s="185"/>
      <c r="CJ81" s="185"/>
      <c r="CK81" s="185"/>
      <c r="CL81" s="185"/>
    </row>
    <row r="82" spans="2:103">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98"/>
      <c r="BI82" s="185"/>
      <c r="BJ82" s="185"/>
      <c r="BK82" s="185"/>
      <c r="BL82" s="185"/>
      <c r="BM82" s="185"/>
      <c r="BN82" s="185"/>
      <c r="BO82" s="185"/>
      <c r="BP82" s="185"/>
      <c r="BQ82" s="185"/>
      <c r="BR82" s="185"/>
      <c r="BS82" s="185"/>
      <c r="BT82" s="185"/>
      <c r="BU82" s="185"/>
      <c r="BV82" s="185"/>
      <c r="BW82" s="185"/>
      <c r="BX82" s="185"/>
      <c r="BY82" s="185"/>
      <c r="BZ82" s="185"/>
      <c r="CA82" s="185"/>
      <c r="CB82" s="185"/>
      <c r="CC82" s="185"/>
      <c r="CD82" s="185"/>
      <c r="CE82" s="185"/>
      <c r="CF82" s="185"/>
      <c r="CG82" s="185"/>
      <c r="CH82" s="185"/>
      <c r="CI82" s="185"/>
      <c r="CJ82" s="185"/>
      <c r="CK82" s="185"/>
      <c r="CL82" s="185"/>
    </row>
    <row r="83" spans="2:103">
      <c r="BH83" s="198"/>
    </row>
    <row r="84" spans="2:103">
      <c r="BH84" s="198"/>
    </row>
    <row r="85" spans="2:103">
      <c r="BH85" s="198"/>
    </row>
    <row r="86" spans="2:103">
      <c r="BH86" s="198"/>
    </row>
    <row r="87" spans="2:103" s="185" customFormat="1">
      <c r="B87"/>
      <c r="C87"/>
      <c r="D87"/>
      <c r="E87"/>
      <c r="F87"/>
      <c r="G87"/>
      <c r="H87"/>
      <c r="I87"/>
      <c r="J87"/>
      <c r="K87"/>
      <c r="L87"/>
      <c r="M87"/>
      <c r="N87"/>
      <c r="O87"/>
      <c r="P87"/>
      <c r="Q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s="198"/>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row>
    <row r="88" spans="2:103" s="185" customFormat="1">
      <c r="B88"/>
      <c r="C88"/>
      <c r="D88"/>
      <c r="E88"/>
      <c r="F88"/>
      <c r="G88"/>
      <c r="H88"/>
      <c r="I88"/>
      <c r="J88"/>
      <c r="K88"/>
      <c r="L88"/>
      <c r="M88"/>
      <c r="N88"/>
      <c r="O88"/>
      <c r="P88"/>
      <c r="Q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s="19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row>
    <row r="89" spans="2:103">
      <c r="BH89" s="198"/>
    </row>
    <row r="90" spans="2:103">
      <c r="BH90" s="198"/>
    </row>
    <row r="91" spans="2:103">
      <c r="BH91" s="198"/>
    </row>
    <row r="92" spans="2:103">
      <c r="BH92" s="198"/>
    </row>
    <row r="93" spans="2:103">
      <c r="BH93" s="198"/>
    </row>
    <row r="94" spans="2:103">
      <c r="BH94" s="198"/>
    </row>
    <row r="95" spans="2:103">
      <c r="BH95" s="198"/>
    </row>
    <row r="96" spans="2:103">
      <c r="BH96" s="198"/>
    </row>
    <row r="141" spans="50:55">
      <c r="AX141" s="199"/>
      <c r="AY141" s="199"/>
      <c r="AZ141" s="199"/>
      <c r="BA141" s="199"/>
      <c r="BB141" s="199"/>
      <c r="BC141" s="199"/>
    </row>
    <row r="142" spans="50:55">
      <c r="AX142" s="199"/>
      <c r="AY142" s="199"/>
      <c r="AZ142" s="199"/>
      <c r="BA142" s="199"/>
      <c r="BB142" s="199"/>
      <c r="BC142" s="199"/>
    </row>
  </sheetData>
  <mergeCells count="3">
    <mergeCell ref="C3:J3"/>
    <mergeCell ref="C5:J5"/>
    <mergeCell ref="C7:J7"/>
  </mergeCells>
  <phoneticPr fontId="2"/>
  <dataValidations disablePrompts="1" count="1">
    <dataValidation type="list" allowBlank="1" showInputMessage="1" showErrorMessage="1" sqref="C3"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2"/>
  <cols>
    <col min="1" max="1" width="9" style="185"/>
    <col min="2" max="2" width="4.88671875" style="185" bestFit="1" customWidth="1"/>
    <col min="3" max="3" width="12.21875" style="185" customWidth="1"/>
    <col min="4" max="4" width="86" style="185" customWidth="1"/>
    <col min="5" max="16384" width="9" style="185"/>
  </cols>
  <sheetData>
    <row r="2" spans="2:4" ht="13.8" thickBot="1">
      <c r="B2" s="77" t="s">
        <v>84</v>
      </c>
      <c r="C2" s="78">
        <f>MAX(B4:B28)</f>
        <v>20</v>
      </c>
      <c r="D2" s="78"/>
    </row>
    <row r="3" spans="2:4" ht="13.8" thickBot="1">
      <c r="B3" s="71" t="s">
        <v>84</v>
      </c>
      <c r="C3" s="79" t="s">
        <v>88</v>
      </c>
      <c r="D3" s="72" t="s">
        <v>85</v>
      </c>
    </row>
    <row r="4" spans="2:4" ht="13.8" thickTop="1">
      <c r="B4" s="13">
        <v>0</v>
      </c>
      <c r="C4" s="80" t="s">
        <v>89</v>
      </c>
      <c r="D4" s="15" t="s">
        <v>19</v>
      </c>
    </row>
    <row r="5" spans="2:4" ht="39.6">
      <c r="B5" s="2">
        <v>1</v>
      </c>
      <c r="C5" s="81" t="s">
        <v>89</v>
      </c>
      <c r="D5" s="83" t="s">
        <v>90</v>
      </c>
    </row>
    <row r="6" spans="2:4" ht="26.4">
      <c r="B6" s="2">
        <v>2</v>
      </c>
      <c r="C6" s="81" t="s">
        <v>92</v>
      </c>
      <c r="D6" s="83" t="s">
        <v>93</v>
      </c>
    </row>
    <row r="7" spans="2:4" ht="52.8">
      <c r="B7" s="2">
        <v>3</v>
      </c>
      <c r="C7" s="81" t="s">
        <v>89</v>
      </c>
      <c r="D7" s="83" t="s">
        <v>96</v>
      </c>
    </row>
    <row r="8" spans="2:4" ht="79.2">
      <c r="B8" s="2">
        <v>4</v>
      </c>
      <c r="C8" s="81" t="s">
        <v>104</v>
      </c>
      <c r="D8" s="83" t="s">
        <v>110</v>
      </c>
    </row>
    <row r="9" spans="2:4" ht="41.25" customHeight="1">
      <c r="B9" s="2">
        <v>5</v>
      </c>
      <c r="C9" s="81" t="s">
        <v>105</v>
      </c>
      <c r="D9" s="83" t="s">
        <v>106</v>
      </c>
    </row>
    <row r="10" spans="2:4" ht="26.4">
      <c r="B10" s="2">
        <v>6</v>
      </c>
      <c r="C10" s="81" t="s">
        <v>89</v>
      </c>
      <c r="D10" s="83" t="s">
        <v>109</v>
      </c>
    </row>
    <row r="11" spans="2:4" ht="26.4">
      <c r="B11" s="2">
        <v>7</v>
      </c>
      <c r="C11" s="81" t="s">
        <v>104</v>
      </c>
      <c r="D11" s="83" t="s">
        <v>108</v>
      </c>
    </row>
    <row r="12" spans="2:4" ht="26.4">
      <c r="B12" s="2">
        <v>8</v>
      </c>
      <c r="C12" s="81" t="s">
        <v>89</v>
      </c>
      <c r="D12" s="83" t="s">
        <v>111</v>
      </c>
    </row>
    <row r="13" spans="2:4" ht="26.4">
      <c r="B13" s="2">
        <v>9</v>
      </c>
      <c r="C13" s="81" t="s">
        <v>89</v>
      </c>
      <c r="D13" s="83" t="s">
        <v>112</v>
      </c>
    </row>
    <row r="14" spans="2:4" ht="26.4">
      <c r="B14" s="2">
        <v>10</v>
      </c>
      <c r="C14" s="81" t="s">
        <v>113</v>
      </c>
      <c r="D14" s="83" t="s">
        <v>114</v>
      </c>
    </row>
    <row r="15" spans="2:4" ht="132">
      <c r="B15" s="2">
        <v>11</v>
      </c>
      <c r="C15" s="81" t="s">
        <v>89</v>
      </c>
      <c r="D15" s="83" t="s">
        <v>124</v>
      </c>
    </row>
    <row r="16" spans="2:4" ht="191.25" customHeight="1">
      <c r="B16" s="2">
        <v>12</v>
      </c>
      <c r="C16" s="81" t="s">
        <v>151</v>
      </c>
      <c r="D16" s="83" t="s">
        <v>168</v>
      </c>
    </row>
    <row r="17" spans="2:4" ht="26.4">
      <c r="B17" s="2">
        <v>13</v>
      </c>
      <c r="C17" s="81" t="s">
        <v>92</v>
      </c>
      <c r="D17" s="83" t="s">
        <v>172</v>
      </c>
    </row>
    <row r="18" spans="2:4" ht="92.4">
      <c r="B18" s="2">
        <v>14</v>
      </c>
      <c r="C18" s="81" t="s">
        <v>92</v>
      </c>
      <c r="D18" s="83" t="s">
        <v>174</v>
      </c>
    </row>
    <row r="19" spans="2:4" ht="39.6">
      <c r="B19" s="2">
        <v>15</v>
      </c>
      <c r="C19" s="81" t="s">
        <v>105</v>
      </c>
      <c r="D19" s="83" t="s">
        <v>178</v>
      </c>
    </row>
    <row r="20" spans="2:4" ht="64.5" customHeight="1">
      <c r="B20" s="2">
        <v>16</v>
      </c>
      <c r="C20" s="81" t="s">
        <v>105</v>
      </c>
      <c r="D20" s="83" t="s">
        <v>182</v>
      </c>
    </row>
    <row r="21" spans="2:4" ht="66.75" customHeight="1">
      <c r="B21" s="2">
        <v>17</v>
      </c>
      <c r="C21" s="81" t="s">
        <v>104</v>
      </c>
      <c r="D21" s="83" t="s">
        <v>197</v>
      </c>
    </row>
    <row r="22" spans="2:4" ht="26.4">
      <c r="B22" s="2">
        <v>18</v>
      </c>
      <c r="C22" s="81" t="s">
        <v>211</v>
      </c>
      <c r="D22" s="83" t="s">
        <v>212</v>
      </c>
    </row>
    <row r="23" spans="2:4" ht="26.4">
      <c r="B23" s="2">
        <v>19</v>
      </c>
      <c r="C23" s="81" t="s">
        <v>211</v>
      </c>
      <c r="D23" s="83" t="s">
        <v>213</v>
      </c>
    </row>
    <row r="24" spans="2:4" ht="92.4">
      <c r="B24" s="2">
        <v>20</v>
      </c>
      <c r="C24" s="81" t="s">
        <v>216</v>
      </c>
      <c r="D24" s="83" t="s">
        <v>217</v>
      </c>
    </row>
    <row r="25" spans="2:4">
      <c r="B25" s="2"/>
      <c r="C25" s="81"/>
      <c r="D25" s="70"/>
    </row>
    <row r="26" spans="2:4">
      <c r="B26" s="2"/>
      <c r="C26" s="81"/>
      <c r="D26" s="70"/>
    </row>
    <row r="27" spans="2:4" ht="13.8" thickBot="1">
      <c r="B27" s="4"/>
      <c r="C27" s="82"/>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S_ADBZR_TCHAR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2025-12-18T05:03:29Z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2025-06-30T08:08:02Z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e8c6ce1a-578c-4ee6-a5db-7178e7367df8</vt:lpwstr>
  </property>
  <property fmtid="{D5CDD505-2E9C-101B-9397-08002B2CF9AE}" pid="8" name="MSIP_Label_7ed1414a-99f2-46f9-bbe5-740af8d1b502_ContentBits">
    <vt:lpwstr>1</vt:lpwstr>
  </property>
</Properties>
</file>