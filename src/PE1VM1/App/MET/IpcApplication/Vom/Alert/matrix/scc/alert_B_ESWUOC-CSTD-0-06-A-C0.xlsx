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Users\10035695664\Desktop\Fusion3\19epf_v3(Jan)\実装\SoftMerge2\src\IpcApplication\Vom\Alert\matrix-CSTD-1-03-A-C0\scc\"/>
    </mc:Choice>
  </mc:AlternateContent>
  <xr:revisionPtr revIDLastSave="0" documentId="13_ncr:1_{357696C7-4315-40A0-81F7-7669992C804F}" xr6:coauthVersionLast="47" xr6:coauthVersionMax="47" xr10:uidLastSave="{00000000-0000-0000-0000-000000000000}"/>
  <bookViews>
    <workbookView xWindow="574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CB" sheetId="15" r:id="rId6"/>
    <sheet name="BC" sheetId="12" r:id="rId7"/>
    <sheet name="PD" sheetId="8" r:id="rId8"/>
    <sheet name="PDB" sheetId="14" r:id="rId9"/>
    <sheet name="Reference" sheetId="13" r:id="rId10"/>
    <sheet name="History" sheetId="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L195" i="15" s="1"/>
  <c r="AA195" i="15"/>
  <c r="Z195" i="15"/>
  <c r="Y195" i="15"/>
  <c r="X195" i="15"/>
  <c r="W195" i="15"/>
  <c r="V195" i="15"/>
  <c r="U195" i="15"/>
  <c r="T195" i="15"/>
  <c r="AM195" i="15" s="1"/>
  <c r="S195" i="15"/>
  <c r="R195" i="15"/>
  <c r="Q195" i="15"/>
  <c r="P195" i="15"/>
  <c r="O195" i="15"/>
  <c r="N195" i="15"/>
  <c r="M195" i="15"/>
  <c r="L195" i="15"/>
  <c r="AN195" i="15" s="1"/>
  <c r="K195" i="15"/>
  <c r="J195" i="15"/>
  <c r="I195" i="15"/>
  <c r="H195" i="15"/>
  <c r="G195" i="15"/>
  <c r="F195" i="15"/>
  <c r="E195" i="15"/>
  <c r="D195" i="15"/>
  <c r="AO195" i="15" s="1"/>
  <c r="AQ194"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AN193" i="15" s="1"/>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S61" i="15" s="1"/>
  <c r="AJ191" i="15"/>
  <c r="AI191" i="15"/>
  <c r="AH191" i="15"/>
  <c r="AG191" i="15"/>
  <c r="AF191" i="15"/>
  <c r="AE191" i="15"/>
  <c r="AD191" i="15"/>
  <c r="AC191" i="15"/>
  <c r="AL191" i="15" s="1"/>
  <c r="AB191" i="15"/>
  <c r="AA191" i="15"/>
  <c r="Z191" i="15"/>
  <c r="Y191" i="15"/>
  <c r="X191" i="15"/>
  <c r="W191" i="15"/>
  <c r="V191" i="15"/>
  <c r="U191" i="15"/>
  <c r="AM191" i="15" s="1"/>
  <c r="T191" i="15"/>
  <c r="S191" i="15"/>
  <c r="R191" i="15"/>
  <c r="Q191" i="15"/>
  <c r="P191" i="15"/>
  <c r="O191" i="15"/>
  <c r="N191" i="15"/>
  <c r="M191" i="15"/>
  <c r="AN191" i="15" s="1"/>
  <c r="L191" i="15"/>
  <c r="K191" i="15"/>
  <c r="J191" i="15"/>
  <c r="I191" i="15"/>
  <c r="H191" i="15"/>
  <c r="G191" i="15"/>
  <c r="F191" i="15"/>
  <c r="E191" i="15"/>
  <c r="AO191" i="15" s="1"/>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2" i="15" s="1"/>
  <c r="AI181" i="15"/>
  <c r="AH181" i="15"/>
  <c r="AG181" i="15"/>
  <c r="AF181" i="15"/>
  <c r="AE181" i="15"/>
  <c r="AD181" i="15"/>
  <c r="AC181" i="15"/>
  <c r="AB181" i="15"/>
  <c r="AL181" i="15" s="1"/>
  <c r="AA181" i="15"/>
  <c r="Z181" i="15"/>
  <c r="Y181" i="15"/>
  <c r="X181" i="15"/>
  <c r="W181" i="15"/>
  <c r="V181" i="15"/>
  <c r="U181" i="15"/>
  <c r="T181" i="15"/>
  <c r="AM181" i="15" s="1"/>
  <c r="S181" i="15"/>
  <c r="R181" i="15"/>
  <c r="Q181" i="15"/>
  <c r="P181" i="15"/>
  <c r="O181" i="15"/>
  <c r="N181" i="15"/>
  <c r="M181" i="15"/>
  <c r="L181" i="15"/>
  <c r="AN181" i="15" s="1"/>
  <c r="K181" i="15"/>
  <c r="J181" i="15"/>
  <c r="I181" i="15"/>
  <c r="H181" i="15"/>
  <c r="G181" i="15"/>
  <c r="F181" i="15"/>
  <c r="E181" i="15"/>
  <c r="D181" i="15"/>
  <c r="AO181" i="15" s="1"/>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AO178" i="15" s="1"/>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S4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L171" i="15" s="1"/>
  <c r="AA171" i="15"/>
  <c r="Z171" i="15"/>
  <c r="Y171" i="15"/>
  <c r="X171" i="15"/>
  <c r="W171" i="15"/>
  <c r="V171" i="15"/>
  <c r="U171" i="15"/>
  <c r="T171" i="15"/>
  <c r="AM171" i="15" s="1"/>
  <c r="S171" i="15"/>
  <c r="R171" i="15"/>
  <c r="Q171" i="15"/>
  <c r="P171" i="15"/>
  <c r="O171" i="15"/>
  <c r="N171" i="15"/>
  <c r="M171" i="15"/>
  <c r="L171" i="15"/>
  <c r="AN171" i="15" s="1"/>
  <c r="K171" i="15"/>
  <c r="J171" i="15"/>
  <c r="I171" i="15"/>
  <c r="H171" i="15"/>
  <c r="G171" i="15"/>
  <c r="F171" i="15"/>
  <c r="E171" i="15"/>
  <c r="D171" i="15"/>
  <c r="AO171" i="15" s="1"/>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AN169" i="15" s="1"/>
  <c r="N169" i="15"/>
  <c r="M169" i="15"/>
  <c r="L169" i="15"/>
  <c r="K169" i="15"/>
  <c r="J169" i="15"/>
  <c r="I169" i="15"/>
  <c r="H169" i="15"/>
  <c r="G169" i="15"/>
  <c r="AO169" i="15" s="1"/>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S3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N161"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AM160" i="15" s="1"/>
  <c r="S160" i="15"/>
  <c r="R160" i="15"/>
  <c r="Q160" i="15"/>
  <c r="P160" i="15"/>
  <c r="O160" i="15"/>
  <c r="N160" i="15"/>
  <c r="M160" i="15"/>
  <c r="L160" i="15"/>
  <c r="K160" i="15"/>
  <c r="J160" i="15"/>
  <c r="I160" i="15"/>
  <c r="H160" i="15"/>
  <c r="G160" i="15"/>
  <c r="F160" i="15"/>
  <c r="E160" i="15"/>
  <c r="D160" i="15"/>
  <c r="AQ159"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S2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Q156" i="15" s="1"/>
  <c r="AI156" i="15"/>
  <c r="AH156" i="15"/>
  <c r="AG156" i="15"/>
  <c r="AF156" i="15"/>
  <c r="AE156" i="15"/>
  <c r="AD156" i="15"/>
  <c r="AC156" i="15"/>
  <c r="AL156" i="15" s="1"/>
  <c r="AB156" i="15"/>
  <c r="AA156" i="15"/>
  <c r="Z156" i="15"/>
  <c r="Y156" i="15"/>
  <c r="X156" i="15"/>
  <c r="W156" i="15"/>
  <c r="V156" i="15"/>
  <c r="U156" i="15"/>
  <c r="T156" i="15"/>
  <c r="S156" i="15"/>
  <c r="R156" i="15"/>
  <c r="Q156" i="15"/>
  <c r="P156" i="15"/>
  <c r="O156" i="15"/>
  <c r="N156" i="15"/>
  <c r="M156" i="15"/>
  <c r="AN156" i="15" s="1"/>
  <c r="L156" i="15"/>
  <c r="K156" i="15"/>
  <c r="J156" i="15"/>
  <c r="I156" i="15"/>
  <c r="H156" i="15"/>
  <c r="G156" i="15"/>
  <c r="F156" i="15"/>
  <c r="E156" i="15"/>
  <c r="D156" i="15"/>
  <c r="AJ155" i="15"/>
  <c r="AQ15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Q154" i="15" s="1"/>
  <c r="AS24" i="15" s="1"/>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Q153" i="15" s="1"/>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AN153" i="15" s="1"/>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AM152" i="15" s="1"/>
  <c r="T152" i="15"/>
  <c r="S152" i="15"/>
  <c r="R152" i="15"/>
  <c r="Q152" i="15"/>
  <c r="P152" i="15"/>
  <c r="O152" i="15"/>
  <c r="N152" i="15"/>
  <c r="AN152" i="15" s="1"/>
  <c r="M152" i="15"/>
  <c r="L152" i="15"/>
  <c r="K152" i="15"/>
  <c r="J152" i="15"/>
  <c r="I152" i="15"/>
  <c r="H152" i="15"/>
  <c r="G152" i="15"/>
  <c r="F152" i="15"/>
  <c r="AO152" i="15" s="1"/>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AN145" i="15" s="1"/>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AM140" i="15" s="1"/>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R68" i="15" s="1"/>
  <c r="AI133" i="15"/>
  <c r="AH133" i="15"/>
  <c r="AG133" i="15"/>
  <c r="AF133" i="15"/>
  <c r="AE133" i="15"/>
  <c r="AD133" i="15"/>
  <c r="AC133" i="15"/>
  <c r="AL133" i="15" s="1"/>
  <c r="AB133" i="15"/>
  <c r="AA133" i="15"/>
  <c r="Z133" i="15"/>
  <c r="Y133" i="15"/>
  <c r="X133" i="15"/>
  <c r="W133" i="15"/>
  <c r="V133" i="15"/>
  <c r="U133" i="15"/>
  <c r="AM133" i="15" s="1"/>
  <c r="T133" i="15"/>
  <c r="S133" i="15"/>
  <c r="R133" i="15"/>
  <c r="Q133" i="15"/>
  <c r="P133" i="15"/>
  <c r="O133" i="15"/>
  <c r="N133" i="15"/>
  <c r="M133" i="15"/>
  <c r="AN133" i="15" s="1"/>
  <c r="L133" i="15"/>
  <c r="K133" i="15"/>
  <c r="J133" i="15"/>
  <c r="I133" i="15"/>
  <c r="H133" i="15"/>
  <c r="G133" i="15"/>
  <c r="F133" i="15"/>
  <c r="E133" i="15"/>
  <c r="AO133" i="15" s="1"/>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Q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AM128" i="15" s="1"/>
  <c r="S128" i="15"/>
  <c r="R128" i="15"/>
  <c r="Q128" i="15"/>
  <c r="P128" i="15"/>
  <c r="O128" i="15"/>
  <c r="N128" i="15"/>
  <c r="M128" i="15"/>
  <c r="L128" i="15"/>
  <c r="K128" i="15"/>
  <c r="J128" i="15"/>
  <c r="I128" i="15"/>
  <c r="H128" i="15"/>
  <c r="G128" i="15"/>
  <c r="F128" i="15"/>
  <c r="E128" i="15"/>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AM123" i="15" s="1"/>
  <c r="S123" i="15"/>
  <c r="R123" i="15"/>
  <c r="Q123" i="15"/>
  <c r="P123" i="15"/>
  <c r="O123" i="15"/>
  <c r="N123" i="15"/>
  <c r="M123" i="15"/>
  <c r="L123" i="15"/>
  <c r="K123" i="15"/>
  <c r="J123" i="15"/>
  <c r="I123" i="15"/>
  <c r="H123" i="15"/>
  <c r="G123" i="15"/>
  <c r="F123" i="15"/>
  <c r="E123" i="15"/>
  <c r="D123" i="15"/>
  <c r="AJ122" i="15"/>
  <c r="AQ122" i="15" s="1"/>
  <c r="AR57"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R53"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AN118" i="15" s="1"/>
  <c r="K118" i="15"/>
  <c r="J118" i="15"/>
  <c r="I118" i="15"/>
  <c r="H118" i="15"/>
  <c r="G118" i="15"/>
  <c r="F118" i="15"/>
  <c r="E118" i="15"/>
  <c r="D118" i="15"/>
  <c r="AJ117" i="15"/>
  <c r="AQ117" i="15" s="1"/>
  <c r="AR52" i="15" s="1"/>
  <c r="AI117" i="15"/>
  <c r="AH117" i="15"/>
  <c r="AG117" i="15"/>
  <c r="AF117" i="15"/>
  <c r="AE117" i="15"/>
  <c r="AD117" i="15"/>
  <c r="AC117" i="15"/>
  <c r="AL117" i="15" s="1"/>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AO117" i="15" s="1"/>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AM115" i="15" s="1"/>
  <c r="S115" i="15"/>
  <c r="R115" i="15"/>
  <c r="Q115" i="15"/>
  <c r="P115" i="15"/>
  <c r="O115" i="15"/>
  <c r="N115" i="15"/>
  <c r="M115" i="15"/>
  <c r="L115" i="15"/>
  <c r="K115" i="15"/>
  <c r="J115" i="15"/>
  <c r="I115" i="15"/>
  <c r="H115" i="15"/>
  <c r="G115" i="15"/>
  <c r="F115" i="15"/>
  <c r="E115" i="15"/>
  <c r="D115" i="15"/>
  <c r="AJ114" i="15"/>
  <c r="AQ114" i="15" s="1"/>
  <c r="AR50"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R47" i="15" s="1"/>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AO111" i="15" s="1"/>
  <c r="D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AN110" i="15" s="1"/>
  <c r="L110" i="15"/>
  <c r="K110" i="15"/>
  <c r="J110" i="15"/>
  <c r="I110" i="15"/>
  <c r="H110" i="15"/>
  <c r="G110" i="15"/>
  <c r="F110" i="15"/>
  <c r="E110" i="15"/>
  <c r="D110" i="15"/>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M109" i="15"/>
  <c r="L109" i="15"/>
  <c r="K109" i="15"/>
  <c r="J109" i="15"/>
  <c r="I109" i="15"/>
  <c r="H109" i="15"/>
  <c r="G109" i="15"/>
  <c r="F109" i="15"/>
  <c r="E109" i="15"/>
  <c r="D109" i="15"/>
  <c r="AJ108" i="15"/>
  <c r="AQ108"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AN108" i="15" s="1"/>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J103" i="15"/>
  <c r="AQ103" i="15" s="1"/>
  <c r="AR38"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Q102" i="15"/>
  <c r="AJ102" i="15"/>
  <c r="AI102" i="15"/>
  <c r="AH102" i="15"/>
  <c r="AG102" i="15"/>
  <c r="AF102" i="15"/>
  <c r="AE102" i="15"/>
  <c r="AD102" i="15"/>
  <c r="AC102" i="15"/>
  <c r="AB102" i="15"/>
  <c r="AA102" i="15"/>
  <c r="Z102" i="15"/>
  <c r="Y102" i="15"/>
  <c r="X102" i="15"/>
  <c r="W102" i="15"/>
  <c r="V102" i="15"/>
  <c r="AM102" i="15" s="1"/>
  <c r="U102" i="15"/>
  <c r="T102" i="15"/>
  <c r="S102" i="15"/>
  <c r="R102" i="15"/>
  <c r="Q102" i="15"/>
  <c r="P102" i="15"/>
  <c r="O102" i="15"/>
  <c r="N102" i="15"/>
  <c r="AN102" i="15" s="1"/>
  <c r="M102" i="15"/>
  <c r="L102" i="15"/>
  <c r="K102" i="15"/>
  <c r="J102" i="15"/>
  <c r="I102" i="15"/>
  <c r="H102" i="15"/>
  <c r="G102" i="15"/>
  <c r="F102" i="15"/>
  <c r="AO102" i="15" s="1"/>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R34"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Q94" i="15"/>
  <c r="AJ94" i="15"/>
  <c r="AI94" i="15"/>
  <c r="AH94" i="15"/>
  <c r="AG94" i="15"/>
  <c r="AF94" i="15"/>
  <c r="AE94" i="15"/>
  <c r="AD94" i="15"/>
  <c r="AC94" i="15"/>
  <c r="AB94" i="15"/>
  <c r="AA94" i="15"/>
  <c r="Z94" i="15"/>
  <c r="Y94" i="15"/>
  <c r="X94" i="15"/>
  <c r="W94" i="15"/>
  <c r="V94" i="15"/>
  <c r="U94" i="15"/>
  <c r="AM94" i="15" s="1"/>
  <c r="T94" i="15"/>
  <c r="S94" i="15"/>
  <c r="R94" i="15"/>
  <c r="Q94" i="15"/>
  <c r="P94" i="15"/>
  <c r="O94" i="15"/>
  <c r="N94" i="15"/>
  <c r="M94" i="15"/>
  <c r="L94" i="15"/>
  <c r="K94" i="15"/>
  <c r="J94" i="15"/>
  <c r="I94" i="15"/>
  <c r="H94" i="15"/>
  <c r="G94" i="15"/>
  <c r="F94" i="15"/>
  <c r="E94" i="15"/>
  <c r="D94" i="15"/>
  <c r="AJ93" i="15"/>
  <c r="AQ93"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Q92" i="15"/>
  <c r="AR28" i="15" s="1"/>
  <c r="AJ92" i="15"/>
  <c r="AI92" i="15"/>
  <c r="AH92" i="15"/>
  <c r="AG92" i="15"/>
  <c r="AF92" i="15"/>
  <c r="AE92" i="15"/>
  <c r="AD92" i="15"/>
  <c r="AC92" i="15"/>
  <c r="AB92" i="15"/>
  <c r="AA92" i="15"/>
  <c r="Z92" i="15"/>
  <c r="Y92" i="15"/>
  <c r="X92" i="15"/>
  <c r="W92" i="15"/>
  <c r="V92" i="15"/>
  <c r="U92" i="15"/>
  <c r="AM92" i="15" s="1"/>
  <c r="T92" i="15"/>
  <c r="S92" i="15"/>
  <c r="R92" i="15"/>
  <c r="Q92" i="15"/>
  <c r="P92" i="15"/>
  <c r="O92" i="15"/>
  <c r="N92" i="15"/>
  <c r="AN92" i="15" s="1"/>
  <c r="M92" i="15"/>
  <c r="L92" i="15"/>
  <c r="K92" i="15"/>
  <c r="J92" i="15"/>
  <c r="I92" i="15"/>
  <c r="H92" i="15"/>
  <c r="G92" i="15"/>
  <c r="F92" i="15"/>
  <c r="E92" i="15"/>
  <c r="D92" i="15"/>
  <c r="AJ91" i="15"/>
  <c r="AQ91" i="15" s="1"/>
  <c r="AI91" i="15"/>
  <c r="AH91" i="15"/>
  <c r="AG91" i="15"/>
  <c r="AF91" i="15"/>
  <c r="AE91" i="15"/>
  <c r="AD91" i="15"/>
  <c r="AC91" i="15"/>
  <c r="AB91" i="15"/>
  <c r="AA91" i="15"/>
  <c r="Z91" i="15"/>
  <c r="Y91" i="15"/>
  <c r="X91" i="15"/>
  <c r="W91" i="15"/>
  <c r="V91" i="15"/>
  <c r="U91" i="15"/>
  <c r="T91" i="15"/>
  <c r="AM91" i="15" s="1"/>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Q89" i="15" s="1"/>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Q88" i="15"/>
  <c r="AR23" i="15" s="1"/>
  <c r="AJ88" i="15"/>
  <c r="AI88" i="15"/>
  <c r="AH88" i="15"/>
  <c r="AG88" i="15"/>
  <c r="AF88" i="15"/>
  <c r="AE88" i="15"/>
  <c r="AD88" i="15"/>
  <c r="AC88" i="15"/>
  <c r="AL88" i="15" s="1"/>
  <c r="AB88" i="15"/>
  <c r="AA88" i="15"/>
  <c r="Z88" i="15"/>
  <c r="Y88" i="15"/>
  <c r="X88" i="15"/>
  <c r="W88" i="15"/>
  <c r="V88" i="15"/>
  <c r="U88" i="15"/>
  <c r="T88" i="15"/>
  <c r="S88" i="15"/>
  <c r="R88" i="15"/>
  <c r="Q88" i="15"/>
  <c r="P88" i="15"/>
  <c r="O88" i="15"/>
  <c r="N88" i="15"/>
  <c r="M88" i="15"/>
  <c r="L88" i="15"/>
  <c r="K88" i="15"/>
  <c r="J88" i="15"/>
  <c r="I88" i="15"/>
  <c r="H88" i="15"/>
  <c r="G88" i="15"/>
  <c r="F88" i="15"/>
  <c r="E88" i="15"/>
  <c r="AO88" i="15" s="1"/>
  <c r="D88" i="15"/>
  <c r="AJ87" i="15"/>
  <c r="AQ87" i="15" s="1"/>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AO87" i="15" s="1"/>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O84" i="15" s="1"/>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K71" i="15"/>
  <c r="J71" i="15"/>
  <c r="I71" i="15"/>
  <c r="H71" i="15"/>
  <c r="G71" i="15"/>
  <c r="F71" i="15"/>
  <c r="E71" i="15"/>
  <c r="D71" i="15"/>
  <c r="AT70" i="15"/>
  <c r="AT69" i="15"/>
  <c r="C69" i="15"/>
  <c r="AT68" i="15"/>
  <c r="AS68" i="15"/>
  <c r="C68" i="15"/>
  <c r="AT67" i="15"/>
  <c r="AS67" i="15"/>
  <c r="AR67" i="15"/>
  <c r="C67" i="15"/>
  <c r="AT66" i="15"/>
  <c r="AR66" i="15"/>
  <c r="C66" i="15"/>
  <c r="AT65" i="15"/>
  <c r="AR65" i="15"/>
  <c r="C65" i="15"/>
  <c r="AT64" i="15"/>
  <c r="AS64" i="15"/>
  <c r="C64" i="15"/>
  <c r="AT63" i="15"/>
  <c r="C63" i="15"/>
  <c r="AT62" i="15"/>
  <c r="AR62" i="15"/>
  <c r="C62" i="15"/>
  <c r="AT61" i="15"/>
  <c r="AR61" i="15"/>
  <c r="C61" i="15"/>
  <c r="AT60" i="15"/>
  <c r="AS60" i="15"/>
  <c r="AR60" i="15"/>
  <c r="C60" i="15"/>
  <c r="AT59" i="15"/>
  <c r="AS59" i="15"/>
  <c r="AR59" i="15"/>
  <c r="C59" i="15"/>
  <c r="AT58" i="15"/>
  <c r="AS58" i="15"/>
  <c r="C58" i="15"/>
  <c r="AT57" i="15"/>
  <c r="C57" i="15"/>
  <c r="AT56" i="15"/>
  <c r="C56" i="15"/>
  <c r="AT55" i="15"/>
  <c r="C55" i="15"/>
  <c r="AT54" i="15"/>
  <c r="C54" i="15"/>
  <c r="AT53" i="15"/>
  <c r="AS53" i="15"/>
  <c r="C53" i="15"/>
  <c r="AT52" i="15"/>
  <c r="C52" i="15"/>
  <c r="AT51" i="15"/>
  <c r="AS51" i="15"/>
  <c r="AR51" i="15"/>
  <c r="C51" i="15"/>
  <c r="AT50" i="15"/>
  <c r="C50" i="15"/>
  <c r="AT49" i="15"/>
  <c r="C49" i="15"/>
  <c r="AT48" i="15"/>
  <c r="AS48" i="15"/>
  <c r="C48" i="15"/>
  <c r="AT47" i="15"/>
  <c r="C47" i="15"/>
  <c r="AT46" i="15"/>
  <c r="C46" i="15"/>
  <c r="AT45" i="15"/>
  <c r="C45" i="15"/>
  <c r="AT44" i="15"/>
  <c r="AS44" i="15"/>
  <c r="C44" i="15"/>
  <c r="AT43" i="15"/>
  <c r="AS43" i="15"/>
  <c r="C43" i="15"/>
  <c r="C108" i="15" s="1"/>
  <c r="AT42" i="15"/>
  <c r="AR42" i="15"/>
  <c r="C42" i="15"/>
  <c r="AT41" i="15"/>
  <c r="AR41" i="15"/>
  <c r="C41" i="15"/>
  <c r="AT40" i="15"/>
  <c r="AS40" i="15"/>
  <c r="AR40" i="15"/>
  <c r="C40" i="15"/>
  <c r="AT39" i="15"/>
  <c r="C39" i="15"/>
  <c r="AT38" i="15"/>
  <c r="C38" i="15"/>
  <c r="AT37" i="15"/>
  <c r="AR37" i="15"/>
  <c r="C37" i="15"/>
  <c r="AT36" i="15"/>
  <c r="AS36" i="15"/>
  <c r="C36" i="15"/>
  <c r="AT35" i="15"/>
  <c r="AS35" i="15"/>
  <c r="C35" i="15"/>
  <c r="AT34" i="15"/>
  <c r="C34" i="15"/>
  <c r="AT33" i="15"/>
  <c r="C33" i="15"/>
  <c r="AT32" i="15"/>
  <c r="C32" i="15"/>
  <c r="AT31" i="15"/>
  <c r="AR31" i="15"/>
  <c r="C31" i="15"/>
  <c r="AT30" i="15"/>
  <c r="C30" i="15"/>
  <c r="AT29" i="15"/>
  <c r="AS29" i="15"/>
  <c r="AR29" i="15"/>
  <c r="C29" i="15"/>
  <c r="AT28" i="15"/>
  <c r="AS28" i="15"/>
  <c r="C28" i="15"/>
  <c r="AT27" i="15"/>
  <c r="C27" i="15"/>
  <c r="AT26" i="15"/>
  <c r="AR26" i="15"/>
  <c r="C26" i="15"/>
  <c r="C156" i="15" s="1"/>
  <c r="AT25" i="15"/>
  <c r="C25" i="15"/>
  <c r="AT24" i="15"/>
  <c r="C24" i="15"/>
  <c r="C154" i="15" s="1"/>
  <c r="AT23" i="15"/>
  <c r="AS23" i="15"/>
  <c r="C23" i="15"/>
  <c r="C153" i="15" s="1"/>
  <c r="AT22" i="15"/>
  <c r="C22" i="15"/>
  <c r="C21" i="15"/>
  <c r="C151" i="15" s="1"/>
  <c r="C20" i="15"/>
  <c r="C19" i="15"/>
  <c r="C149" i="15" s="1"/>
  <c r="C18" i="15"/>
  <c r="C17" i="15"/>
  <c r="C16" i="15"/>
  <c r="C146" i="15" s="1"/>
  <c r="C15" i="15"/>
  <c r="C145" i="15" s="1"/>
  <c r="C14" i="15"/>
  <c r="C144" i="15" s="1"/>
  <c r="AW13" i="15"/>
  <c r="AL13" i="15"/>
  <c r="AT13" i="15" s="1"/>
  <c r="C13" i="15"/>
  <c r="C143" i="15" s="1"/>
  <c r="AL12" i="15"/>
  <c r="AT12" i="15" s="1"/>
  <c r="C12" i="15"/>
  <c r="AT11" i="15"/>
  <c r="AL11" i="15"/>
  <c r="C11" i="15"/>
  <c r="C141" i="15" s="1"/>
  <c r="AL10" i="15"/>
  <c r="AT10" i="15" s="1"/>
  <c r="C10" i="15"/>
  <c r="C9" i="15"/>
  <c r="C139" i="15" s="1"/>
  <c r="C8" i="15"/>
  <c r="AL7" i="15"/>
  <c r="C7" i="15"/>
  <c r="C137" i="15" s="1"/>
  <c r="AW6" i="15"/>
  <c r="AL6" i="15"/>
  <c r="C6" i="15"/>
  <c r="C136" i="15" s="1"/>
  <c r="B3" i="15"/>
  <c r="AW7" i="15" s="1"/>
  <c r="AS25" i="15" l="1"/>
  <c r="AS26" i="15"/>
  <c r="AR36" i="15"/>
  <c r="AR35" i="15"/>
  <c r="AR55" i="15"/>
  <c r="AR56" i="15"/>
  <c r="AS34" i="15"/>
  <c r="AS33" i="15"/>
  <c r="AS46" i="15"/>
  <c r="AS65" i="15"/>
  <c r="AS66" i="15"/>
  <c r="AR48" i="15"/>
  <c r="AR49" i="15"/>
  <c r="AR70" i="15"/>
  <c r="AR69" i="15"/>
  <c r="AR63" i="15"/>
  <c r="AR64" i="15"/>
  <c r="AS41" i="15"/>
  <c r="AS42" i="15"/>
  <c r="AS55" i="15"/>
  <c r="AS54" i="15"/>
  <c r="AS31" i="15"/>
  <c r="AS30" i="15"/>
  <c r="AS38" i="15"/>
  <c r="AS37" i="15"/>
  <c r="AS63" i="15"/>
  <c r="AS62" i="15"/>
  <c r="AS70" i="15"/>
  <c r="AS69" i="15"/>
  <c r="AL80" i="15"/>
  <c r="AR58" i="15"/>
  <c r="AN76" i="15"/>
  <c r="AL76" i="15"/>
  <c r="AM79" i="15"/>
  <c r="AO83" i="15"/>
  <c r="AN83" i="15"/>
  <c r="AM83" i="15"/>
  <c r="AO85" i="15"/>
  <c r="AQ85" i="15" s="1"/>
  <c r="AR20" i="15" s="1"/>
  <c r="AO96" i="15"/>
  <c r="AL96" i="15"/>
  <c r="AL116" i="15"/>
  <c r="AO126" i="15"/>
  <c r="AN126" i="15"/>
  <c r="AM126" i="15"/>
  <c r="AM131" i="15"/>
  <c r="AO137" i="15"/>
  <c r="AL152" i="15"/>
  <c r="AO154" i="15"/>
  <c r="AO156" i="15"/>
  <c r="AM156" i="15"/>
  <c r="AO166" i="15"/>
  <c r="AN166" i="15"/>
  <c r="AM166" i="15"/>
  <c r="AL166" i="15"/>
  <c r="AO180" i="15"/>
  <c r="AM180" i="15"/>
  <c r="AS50" i="15"/>
  <c r="AR33" i="15"/>
  <c r="AO76" i="15"/>
  <c r="AL78" i="15"/>
  <c r="AN87" i="15"/>
  <c r="C89" i="15"/>
  <c r="AN90" i="15"/>
  <c r="AN104" i="15"/>
  <c r="AM104" i="15"/>
  <c r="AO109" i="15"/>
  <c r="AL109" i="15"/>
  <c r="AN111" i="15"/>
  <c r="AO113" i="15"/>
  <c r="AN113" i="15"/>
  <c r="AM113" i="15"/>
  <c r="AL113" i="15"/>
  <c r="AM117" i="15"/>
  <c r="AL122" i="15"/>
  <c r="AN140" i="15"/>
  <c r="AO145" i="15"/>
  <c r="AM153" i="15"/>
  <c r="AL153" i="15"/>
  <c r="AO158" i="15"/>
  <c r="AN158" i="15"/>
  <c r="AM158" i="15"/>
  <c r="AL158" i="15"/>
  <c r="AO167" i="15"/>
  <c r="AN167" i="15"/>
  <c r="AM167" i="15"/>
  <c r="AL167" i="15"/>
  <c r="AO176" i="15"/>
  <c r="AN176" i="15"/>
  <c r="AM176" i="15"/>
  <c r="AO182" i="15"/>
  <c r="AN182" i="15"/>
  <c r="AM182" i="15"/>
  <c r="AL182" i="15"/>
  <c r="AL192" i="15"/>
  <c r="AS47" i="15"/>
  <c r="AO71" i="15"/>
  <c r="AN72" i="15"/>
  <c r="AL72" i="15"/>
  <c r="AO73" i="15"/>
  <c r="AN80" i="15"/>
  <c r="AO89" i="15"/>
  <c r="AN89" i="15"/>
  <c r="AM89" i="15"/>
  <c r="AL89" i="15"/>
  <c r="AO93" i="15"/>
  <c r="AN93" i="15"/>
  <c r="AM93" i="15"/>
  <c r="AL93" i="15"/>
  <c r="AL94" i="15"/>
  <c r="AN98" i="15"/>
  <c r="AL98" i="15"/>
  <c r="AL104" i="15"/>
  <c r="AO118" i="15"/>
  <c r="AM118" i="15"/>
  <c r="AN127" i="15"/>
  <c r="AO134" i="15"/>
  <c r="AN134" i="15"/>
  <c r="AM134" i="15"/>
  <c r="AO138" i="15"/>
  <c r="AO142" i="15"/>
  <c r="AN142" i="15"/>
  <c r="AM142" i="15"/>
  <c r="AL142" i="15"/>
  <c r="AO148" i="15"/>
  <c r="AM148" i="15"/>
  <c r="AO161" i="15"/>
  <c r="AL168" i="15"/>
  <c r="AO170" i="15"/>
  <c r="AO185" i="15"/>
  <c r="AN185" i="15"/>
  <c r="AO81" i="15"/>
  <c r="AM81" i="15"/>
  <c r="AN84" i="15"/>
  <c r="AQ84" i="15" s="1"/>
  <c r="AR19" i="15" s="1"/>
  <c r="AO112" i="15"/>
  <c r="AR54" i="15"/>
  <c r="AN124" i="15"/>
  <c r="AO127" i="15"/>
  <c r="AN148" i="15"/>
  <c r="AN154" i="15"/>
  <c r="AM154" i="15"/>
  <c r="AO159" i="15"/>
  <c r="AN159" i="15"/>
  <c r="AM159" i="15"/>
  <c r="AL159" i="15"/>
  <c r="AO163" i="15"/>
  <c r="AN163" i="15"/>
  <c r="AM163" i="15"/>
  <c r="AL163" i="15"/>
  <c r="AN172" i="15"/>
  <c r="AL172" i="15"/>
  <c r="AL178" i="15"/>
  <c r="AO183" i="15"/>
  <c r="AN183" i="15"/>
  <c r="AM183" i="15"/>
  <c r="AL183" i="15"/>
  <c r="AS57" i="15"/>
  <c r="AO192" i="15"/>
  <c r="AN192" i="15"/>
  <c r="AM192" i="15"/>
  <c r="AO197" i="15"/>
  <c r="AN197" i="15"/>
  <c r="AM197" i="15"/>
  <c r="AL197" i="15"/>
  <c r="AM73" i="15"/>
  <c r="AM74" i="15"/>
  <c r="AL74" i="15"/>
  <c r="AO75" i="15"/>
  <c r="AN75" i="15"/>
  <c r="AM75" i="15"/>
  <c r="AM86" i="15"/>
  <c r="AR27" i="15"/>
  <c r="AO94" i="15"/>
  <c r="AN94" i="15"/>
  <c r="AL100" i="15"/>
  <c r="AO110" i="15"/>
  <c r="AM110" i="15"/>
  <c r="AR45" i="15"/>
  <c r="AL124" i="15"/>
  <c r="AO128" i="15"/>
  <c r="AO136" i="15"/>
  <c r="AN136" i="15"/>
  <c r="AO143" i="15"/>
  <c r="AN143" i="15"/>
  <c r="AM143" i="15"/>
  <c r="AL143" i="15"/>
  <c r="AO146" i="15"/>
  <c r="AO150" i="15"/>
  <c r="AN150" i="15"/>
  <c r="AM150" i="15"/>
  <c r="AO153" i="15"/>
  <c r="AL160" i="15"/>
  <c r="AO168" i="15"/>
  <c r="AN168" i="15"/>
  <c r="AO174" i="15"/>
  <c r="AN174" i="15"/>
  <c r="AM174" i="15"/>
  <c r="AL174" i="15"/>
  <c r="AO177" i="15"/>
  <c r="AN177" i="15"/>
  <c r="AL184" i="15"/>
  <c r="AO186" i="15"/>
  <c r="AO198" i="15"/>
  <c r="AN198" i="15"/>
  <c r="AM198" i="15"/>
  <c r="AL198" i="15"/>
  <c r="AN81" i="15"/>
  <c r="AL81" i="15"/>
  <c r="C76" i="15"/>
  <c r="AO77" i="15"/>
  <c r="AN82" i="15"/>
  <c r="AR30" i="15"/>
  <c r="AO106" i="15"/>
  <c r="AM106" i="15"/>
  <c r="AL125" i="15"/>
  <c r="AN130" i="15"/>
  <c r="AL130" i="15"/>
  <c r="AL131" i="15"/>
  <c r="AO162" i="15"/>
  <c r="AM169" i="15"/>
  <c r="AL169" i="15"/>
  <c r="AS39" i="15"/>
  <c r="AO179" i="15"/>
  <c r="AN179" i="15"/>
  <c r="AM179" i="15"/>
  <c r="AL179" i="15"/>
  <c r="AN194" i="15"/>
  <c r="AM194" i="15"/>
  <c r="AR39" i="15"/>
  <c r="AN74" i="15"/>
  <c r="AM82" i="15"/>
  <c r="AL92" i="15"/>
  <c r="AN100" i="15"/>
  <c r="AO101" i="15"/>
  <c r="AN101" i="15"/>
  <c r="AM101" i="15"/>
  <c r="AL101" i="15"/>
  <c r="AN106" i="15"/>
  <c r="AL106" i="15"/>
  <c r="AO107" i="15"/>
  <c r="AN107" i="15"/>
  <c r="AM107" i="15"/>
  <c r="AL107" i="15"/>
  <c r="AR43" i="15"/>
  <c r="AN116" i="15"/>
  <c r="AO125" i="15"/>
  <c r="AM125" i="15"/>
  <c r="AO132" i="15"/>
  <c r="AN132" i="15"/>
  <c r="AM132" i="15"/>
  <c r="AL132" i="15"/>
  <c r="AO144" i="15"/>
  <c r="AN144" i="15"/>
  <c r="AM145" i="15"/>
  <c r="AQ145" i="15" s="1"/>
  <c r="AS15" i="15" s="1"/>
  <c r="AO151" i="15"/>
  <c r="AQ151" i="15" s="1"/>
  <c r="AN151" i="15"/>
  <c r="AM151" i="15"/>
  <c r="AO160" i="15"/>
  <c r="AN160" i="15"/>
  <c r="AO165" i="15"/>
  <c r="AN165" i="15"/>
  <c r="AM165" i="15"/>
  <c r="AL165" i="15"/>
  <c r="AO175" i="15"/>
  <c r="AN175" i="15"/>
  <c r="AM175" i="15"/>
  <c r="AL175" i="15"/>
  <c r="AO184" i="15"/>
  <c r="AN184" i="15"/>
  <c r="AO190" i="15"/>
  <c r="AN190" i="15"/>
  <c r="AM190" i="15"/>
  <c r="AL190" i="15"/>
  <c r="AO193" i="15"/>
  <c r="AL194" i="15"/>
  <c r="AO199" i="15"/>
  <c r="AN199" i="15"/>
  <c r="AM199" i="15"/>
  <c r="AL199" i="15"/>
  <c r="AL150" i="15"/>
  <c r="AQ150" i="15" s="1"/>
  <c r="AS20" i="15" s="1"/>
  <c r="AL82" i="15"/>
  <c r="AL144" i="15"/>
  <c r="AQ144" i="15" s="1"/>
  <c r="AL148" i="15"/>
  <c r="AQ148" i="15" s="1"/>
  <c r="AS18" i="15" s="1"/>
  <c r="AL145" i="15"/>
  <c r="AL151" i="15"/>
  <c r="AL75" i="15"/>
  <c r="AL140" i="15"/>
  <c r="AQ140" i="15" s="1"/>
  <c r="AS10" i="15" s="1"/>
  <c r="AL73" i="15"/>
  <c r="AL136" i="15"/>
  <c r="AQ136" i="15" s="1"/>
  <c r="AS6" i="15" s="1"/>
  <c r="AR24" i="15"/>
  <c r="AR25" i="15"/>
  <c r="AU10" i="15"/>
  <c r="AU11" i="15"/>
  <c r="C182" i="15"/>
  <c r="C117" i="15"/>
  <c r="C191" i="15"/>
  <c r="C126" i="15"/>
  <c r="C150" i="15"/>
  <c r="C85" i="15"/>
  <c r="C92" i="15"/>
  <c r="C157" i="15"/>
  <c r="C159" i="15"/>
  <c r="C94" i="15"/>
  <c r="C166" i="15"/>
  <c r="C101" i="15"/>
  <c r="C177" i="15"/>
  <c r="C112" i="15"/>
  <c r="C72" i="15"/>
  <c r="C79" i="15"/>
  <c r="AL83" i="15"/>
  <c r="AQ83" i="15" s="1"/>
  <c r="AR18" i="15" s="1"/>
  <c r="AM87" i="15"/>
  <c r="AL87" i="15"/>
  <c r="AO95" i="15"/>
  <c r="AN95" i="15"/>
  <c r="AM95" i="15"/>
  <c r="AL95" i="15"/>
  <c r="AL102" i="15"/>
  <c r="C155" i="15"/>
  <c r="C90" i="15"/>
  <c r="C164" i="15"/>
  <c r="C99" i="15"/>
  <c r="C175" i="15"/>
  <c r="C110" i="15"/>
  <c r="B6" i="15"/>
  <c r="C140" i="15"/>
  <c r="C75" i="15"/>
  <c r="C161" i="15"/>
  <c r="C96" i="15"/>
  <c r="C188" i="15"/>
  <c r="C123" i="15"/>
  <c r="C193" i="15"/>
  <c r="C128" i="15"/>
  <c r="AO72" i="15"/>
  <c r="AQ72" i="15" s="1"/>
  <c r="AR7" i="15" s="1"/>
  <c r="AM72" i="15"/>
  <c r="C74" i="15"/>
  <c r="AN77" i="15"/>
  <c r="AM77" i="15"/>
  <c r="AL77" i="15"/>
  <c r="AO79" i="15"/>
  <c r="AQ79" i="15" s="1"/>
  <c r="AN79" i="15"/>
  <c r="AL79" i="15"/>
  <c r="AN85" i="15"/>
  <c r="AM85" i="15"/>
  <c r="AL85" i="15"/>
  <c r="AL90" i="15"/>
  <c r="AN96" i="15"/>
  <c r="AM96" i="15"/>
  <c r="AO99" i="15"/>
  <c r="AN99" i="15"/>
  <c r="AM99" i="15"/>
  <c r="AL99" i="15"/>
  <c r="AO105" i="15"/>
  <c r="AN105" i="15"/>
  <c r="AM105" i="15"/>
  <c r="AL105" i="15"/>
  <c r="AO119" i="15"/>
  <c r="AN119" i="15"/>
  <c r="C172" i="15"/>
  <c r="C107" i="15"/>
  <c r="C179" i="15"/>
  <c r="C114" i="15"/>
  <c r="C190" i="15"/>
  <c r="C125" i="15"/>
  <c r="C195" i="15"/>
  <c r="C130" i="15"/>
  <c r="C173" i="15"/>
  <c r="C147" i="15"/>
  <c r="C82" i="15"/>
  <c r="AT7" i="15"/>
  <c r="C163" i="15"/>
  <c r="C98" i="15"/>
  <c r="C174" i="15"/>
  <c r="C109" i="15"/>
  <c r="C116" i="15"/>
  <c r="C181" i="15"/>
  <c r="C183" i="15"/>
  <c r="C118" i="15"/>
  <c r="C132" i="15"/>
  <c r="C197" i="15"/>
  <c r="C199" i="15"/>
  <c r="C134" i="15"/>
  <c r="AO74" i="15"/>
  <c r="AQ74" i="15" s="1"/>
  <c r="C80" i="15"/>
  <c r="C88" i="15"/>
  <c r="C91" i="15"/>
  <c r="C158" i="15"/>
  <c r="C93" i="15"/>
  <c r="C100" i="15"/>
  <c r="C165" i="15"/>
  <c r="C167" i="15"/>
  <c r="C102" i="15"/>
  <c r="C185" i="15"/>
  <c r="C120" i="15"/>
  <c r="C71" i="15"/>
  <c r="C78" i="15"/>
  <c r="AO80" i="15"/>
  <c r="AQ80" i="15" s="1"/>
  <c r="AR15" i="15" s="1"/>
  <c r="AM80" i="15"/>
  <c r="AO82" i="15"/>
  <c r="AQ82" i="15" s="1"/>
  <c r="AR17" i="15" s="1"/>
  <c r="C84" i="15"/>
  <c r="C86" i="15"/>
  <c r="AO91" i="15"/>
  <c r="AN91" i="15"/>
  <c r="AL91" i="15"/>
  <c r="AO103" i="15"/>
  <c r="AN103" i="15"/>
  <c r="AM103" i="15"/>
  <c r="AL103" i="15"/>
  <c r="AO114" i="15"/>
  <c r="AM114" i="15"/>
  <c r="C148" i="15"/>
  <c r="C83" i="15"/>
  <c r="AT6" i="15"/>
  <c r="C138" i="15"/>
  <c r="C73" i="15"/>
  <c r="AN71" i="15"/>
  <c r="AL71" i="15"/>
  <c r="AN73" i="15"/>
  <c r="AM76" i="15"/>
  <c r="AQ76" i="15" s="1"/>
  <c r="AR11" i="15" s="1"/>
  <c r="AO78" i="15"/>
  <c r="AM78" i="15"/>
  <c r="AN86" i="15"/>
  <c r="AO97" i="15"/>
  <c r="AN97" i="15"/>
  <c r="AM97" i="15"/>
  <c r="AL97" i="15"/>
  <c r="AL114" i="15"/>
  <c r="AM119" i="15"/>
  <c r="AL119" i="15"/>
  <c r="C169" i="15"/>
  <c r="C104" i="15"/>
  <c r="C142" i="15"/>
  <c r="AQ142" i="15" s="1"/>
  <c r="AS12" i="15" s="1"/>
  <c r="C77" i="15"/>
  <c r="C171" i="15"/>
  <c r="C106" i="15"/>
  <c r="C180" i="15"/>
  <c r="C115" i="15"/>
  <c r="C187" i="15"/>
  <c r="C122" i="15"/>
  <c r="C124" i="15"/>
  <c r="C189" i="15"/>
  <c r="C196" i="15"/>
  <c r="C131" i="15"/>
  <c r="AN78" i="15"/>
  <c r="AM84" i="15"/>
  <c r="AL84" i="15"/>
  <c r="AO86" i="15"/>
  <c r="AQ86" i="15" s="1"/>
  <c r="AO98" i="15"/>
  <c r="AM98" i="15"/>
  <c r="AM111" i="15"/>
  <c r="AL111" i="15"/>
  <c r="AR46" i="15"/>
  <c r="C87" i="15"/>
  <c r="C152" i="15"/>
  <c r="C95" i="15"/>
  <c r="C160" i="15"/>
  <c r="C103" i="15"/>
  <c r="C168" i="15"/>
  <c r="C111" i="15"/>
  <c r="C176" i="15"/>
  <c r="C119" i="15"/>
  <c r="C184" i="15"/>
  <c r="C127" i="15"/>
  <c r="C192" i="15"/>
  <c r="AN88" i="15"/>
  <c r="AM88" i="15"/>
  <c r="AN114" i="15"/>
  <c r="AN117" i="15"/>
  <c r="AO129" i="15"/>
  <c r="AN129" i="15"/>
  <c r="AM129" i="15"/>
  <c r="AL129" i="15"/>
  <c r="AM138" i="15"/>
  <c r="AQ143" i="15"/>
  <c r="AN146" i="15"/>
  <c r="AQ146" i="15" s="1"/>
  <c r="AS16" i="15" s="1"/>
  <c r="AL146" i="15"/>
  <c r="AL154" i="15"/>
  <c r="AN162" i="15"/>
  <c r="AM162" i="15"/>
  <c r="AO173" i="15"/>
  <c r="AN173" i="15"/>
  <c r="AM173" i="15"/>
  <c r="AL173" i="15"/>
  <c r="AM177" i="15"/>
  <c r="AL177" i="15"/>
  <c r="AN180" i="15"/>
  <c r="AL180" i="15"/>
  <c r="AO188" i="15"/>
  <c r="AM188" i="15"/>
  <c r="AO90" i="15"/>
  <c r="AM90" i="15"/>
  <c r="AO92" i="15"/>
  <c r="AL110" i="15"/>
  <c r="AN112" i="15"/>
  <c r="AM112" i="15"/>
  <c r="AO122" i="15"/>
  <c r="AM122" i="15"/>
  <c r="AM127" i="15"/>
  <c r="AL127" i="15"/>
  <c r="AN138" i="15"/>
  <c r="AQ138" i="15" s="1"/>
  <c r="AL138" i="15"/>
  <c r="AL162" i="15"/>
  <c r="AN170" i="15"/>
  <c r="AM170" i="15"/>
  <c r="AM185" i="15"/>
  <c r="AL185" i="15"/>
  <c r="AN188" i="15"/>
  <c r="AL188" i="15"/>
  <c r="AO196" i="15"/>
  <c r="AM196" i="15"/>
  <c r="C162" i="15"/>
  <c r="C97" i="15"/>
  <c r="C170" i="15"/>
  <c r="C105" i="15"/>
  <c r="C178" i="15"/>
  <c r="C113" i="15"/>
  <c r="C186" i="15"/>
  <c r="C121" i="15"/>
  <c r="C194" i="15"/>
  <c r="C129" i="15"/>
  <c r="C81" i="15"/>
  <c r="AQ81" i="15" s="1"/>
  <c r="AR16" i="15" s="1"/>
  <c r="AO100" i="15"/>
  <c r="AM100" i="15"/>
  <c r="AO108" i="15"/>
  <c r="AM108" i="15"/>
  <c r="AL112" i="15"/>
  <c r="AO115" i="15"/>
  <c r="AN115" i="15"/>
  <c r="AL115" i="15"/>
  <c r="AN122" i="15"/>
  <c r="AN125" i="15"/>
  <c r="AO130" i="15"/>
  <c r="AM130" i="15"/>
  <c r="AL134" i="15"/>
  <c r="AO139" i="15"/>
  <c r="AN139" i="15"/>
  <c r="AM139" i="15"/>
  <c r="AL139" i="15"/>
  <c r="AO147" i="15"/>
  <c r="AQ147" i="15" s="1"/>
  <c r="AS17" i="15" s="1"/>
  <c r="AN147" i="15"/>
  <c r="AM147" i="15"/>
  <c r="AL147" i="15"/>
  <c r="AO155" i="15"/>
  <c r="AN155" i="15"/>
  <c r="AM155" i="15"/>
  <c r="AL155" i="15"/>
  <c r="AL170" i="15"/>
  <c r="AN178" i="15"/>
  <c r="AM178" i="15"/>
  <c r="AO189" i="15"/>
  <c r="AN189" i="15"/>
  <c r="AM189" i="15"/>
  <c r="AL189" i="15"/>
  <c r="AM193" i="15"/>
  <c r="AL193" i="15"/>
  <c r="AN196" i="15"/>
  <c r="AL196" i="15"/>
  <c r="AM120" i="15"/>
  <c r="AN186" i="15"/>
  <c r="AM186" i="15"/>
  <c r="AO116" i="15"/>
  <c r="AM116" i="15"/>
  <c r="AL118" i="15"/>
  <c r="AN120" i="15"/>
  <c r="AL120" i="15"/>
  <c r="AO123" i="15"/>
  <c r="AN123" i="15"/>
  <c r="AL123" i="15"/>
  <c r="AL186" i="15"/>
  <c r="AO131" i="15"/>
  <c r="AN131" i="15"/>
  <c r="AO164" i="15"/>
  <c r="AM164" i="15"/>
  <c r="AL176" i="15"/>
  <c r="C198" i="15"/>
  <c r="C133" i="15"/>
  <c r="AL86" i="15"/>
  <c r="AN109" i="15"/>
  <c r="AO121" i="15"/>
  <c r="AN121" i="15"/>
  <c r="AM121" i="15"/>
  <c r="AL121" i="15"/>
  <c r="AO124" i="15"/>
  <c r="AM124" i="15"/>
  <c r="AL126" i="15"/>
  <c r="AN128" i="15"/>
  <c r="AL128" i="15"/>
  <c r="AM137" i="15"/>
  <c r="AL137" i="15"/>
  <c r="AO141" i="15"/>
  <c r="AN141" i="15"/>
  <c r="AM141" i="15"/>
  <c r="AL141" i="15"/>
  <c r="AO149" i="15"/>
  <c r="AQ149" i="15" s="1"/>
  <c r="AS19" i="15" s="1"/>
  <c r="AN149" i="15"/>
  <c r="AM149" i="15"/>
  <c r="AL149" i="15"/>
  <c r="AO157" i="15"/>
  <c r="AN157" i="15"/>
  <c r="AM157" i="15"/>
  <c r="AL157" i="15"/>
  <c r="AM161" i="15"/>
  <c r="AL161" i="15"/>
  <c r="AN164" i="15"/>
  <c r="AL164" i="15"/>
  <c r="AO172" i="15"/>
  <c r="AM172" i="15"/>
  <c r="AO187" i="15"/>
  <c r="AN187" i="15"/>
  <c r="AM187" i="15"/>
  <c r="AL187" i="15"/>
  <c r="AR22" i="15" l="1"/>
  <c r="AR21" i="15"/>
  <c r="AS21" i="15"/>
  <c r="AS22" i="15"/>
  <c r="AQ77" i="15"/>
  <c r="AR12" i="15" s="1"/>
  <c r="AQ141" i="15"/>
  <c r="AS11" i="15" s="1"/>
  <c r="AQ73" i="15"/>
  <c r="AR8" i="15" s="1"/>
  <c r="AQ137" i="15"/>
  <c r="AS7" i="15" s="1"/>
  <c r="AQ75" i="15"/>
  <c r="AR10" i="15" s="1"/>
  <c r="AS8" i="15"/>
  <c r="AQ71" i="15"/>
  <c r="AR6" i="15" s="1"/>
  <c r="AR9" i="15"/>
  <c r="AS13" i="15"/>
  <c r="AS14" i="15"/>
  <c r="AQ139" i="15"/>
  <c r="AS9" i="15" s="1"/>
  <c r="AQ78" i="15"/>
  <c r="B136" i="15"/>
  <c r="B71" i="15"/>
  <c r="AR13" i="15" l="1"/>
  <c r="AR14" i="15"/>
  <c r="B13" i="1"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AN196" i="14" s="1"/>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AM195" i="14" s="1"/>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Q191"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O189" i="14" s="1"/>
  <c r="AJ188" i="14"/>
  <c r="AQ188" i="14" s="1"/>
  <c r="AS59"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AO186" i="14" s="1"/>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S5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O181" i="14" s="1"/>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L176" i="14" s="1"/>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Q175"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AM172" i="14" s="1"/>
  <c r="S172" i="14"/>
  <c r="R172" i="14"/>
  <c r="Q172" i="14"/>
  <c r="P172" i="14"/>
  <c r="O172" i="14"/>
  <c r="N172" i="14"/>
  <c r="M172" i="14"/>
  <c r="L172" i="14"/>
  <c r="AN172" i="14" s="1"/>
  <c r="K172" i="14"/>
  <c r="J172" i="14"/>
  <c r="I172" i="14"/>
  <c r="H172" i="14"/>
  <c r="G172" i="14"/>
  <c r="F172" i="14"/>
  <c r="E172" i="14"/>
  <c r="D172" i="14"/>
  <c r="AO172" i="14" s="1"/>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AO167" i="14" s="1"/>
  <c r="D167" i="14"/>
  <c r="AJ166" i="14"/>
  <c r="AI166" i="14"/>
  <c r="AH166" i="14"/>
  <c r="AG166" i="14"/>
  <c r="AF166" i="14"/>
  <c r="AE166" i="14"/>
  <c r="AD166" i="14"/>
  <c r="AC166" i="14"/>
  <c r="AB166" i="14"/>
  <c r="AA166" i="14"/>
  <c r="Z166" i="14"/>
  <c r="Y166" i="14"/>
  <c r="X166" i="14"/>
  <c r="W166" i="14"/>
  <c r="V166" i="14"/>
  <c r="AM166" i="14" s="1"/>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AM165" i="14" s="1"/>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AN164" i="14" s="1"/>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AN160" i="14" s="1"/>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AM157" i="14" s="1"/>
  <c r="S157" i="14"/>
  <c r="R157" i="14"/>
  <c r="Q157" i="14"/>
  <c r="P157" i="14"/>
  <c r="O157" i="14"/>
  <c r="N157" i="14"/>
  <c r="M157" i="14"/>
  <c r="L157" i="14"/>
  <c r="AN157" i="14" s="1"/>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O150" i="14" s="1"/>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O143" i="14" s="1"/>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AM139" i="14" s="1"/>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8"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AJ132" i="14"/>
  <c r="AQ132" i="14" s="1"/>
  <c r="AR67"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AM129" i="14" s="1"/>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R59"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J120" i="14"/>
  <c r="AQ120" i="14" s="1"/>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Q117"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AN114" i="14" s="1"/>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L111" i="14" s="1"/>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Q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Q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AN107" i="14" s="1"/>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AN100" i="14" s="1"/>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O99" i="14" s="1"/>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AN83" i="14" s="1"/>
  <c r="M83" i="14"/>
  <c r="L83" i="14"/>
  <c r="K83" i="14"/>
  <c r="J83" i="14"/>
  <c r="I83" i="14"/>
  <c r="H83" i="14"/>
  <c r="G83" i="14"/>
  <c r="F83" i="14"/>
  <c r="AO83" i="14" s="1"/>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AO76" i="14" s="1"/>
  <c r="F76" i="14"/>
  <c r="E76" i="14"/>
  <c r="D76" i="14"/>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T69" i="14"/>
  <c r="C69" i="14"/>
  <c r="AT68" i="14"/>
  <c r="C68" i="14"/>
  <c r="AT67" i="14"/>
  <c r="AS67" i="14"/>
  <c r="C67" i="14"/>
  <c r="AT66" i="14"/>
  <c r="AS66" i="14"/>
  <c r="AR66" i="14"/>
  <c r="C66" i="14"/>
  <c r="AT65" i="14"/>
  <c r="AR65" i="14"/>
  <c r="C65" i="14"/>
  <c r="AT64" i="14"/>
  <c r="AR64" i="14"/>
  <c r="C64" i="14"/>
  <c r="AT63" i="14"/>
  <c r="AR63" i="14"/>
  <c r="C63" i="14"/>
  <c r="C193" i="14" s="1"/>
  <c r="AT62" i="14"/>
  <c r="C62" i="14"/>
  <c r="C127" i="14" s="1"/>
  <c r="AT61" i="14"/>
  <c r="C61" i="14"/>
  <c r="AT60" i="14"/>
  <c r="C60" i="14"/>
  <c r="AT59" i="14"/>
  <c r="C59" i="14"/>
  <c r="AT58" i="14"/>
  <c r="AS58" i="14"/>
  <c r="AR58" i="14"/>
  <c r="C58" i="14"/>
  <c r="AT57" i="14"/>
  <c r="AS57" i="14"/>
  <c r="AR57" i="14"/>
  <c r="C57" i="14"/>
  <c r="AT56" i="14"/>
  <c r="AS56" i="14"/>
  <c r="AR56" i="14"/>
  <c r="C56" i="14"/>
  <c r="AT55" i="14"/>
  <c r="AR55" i="14"/>
  <c r="C55" i="14"/>
  <c r="AT54" i="14"/>
  <c r="C54" i="14"/>
  <c r="AT53" i="14"/>
  <c r="C53" i="14"/>
  <c r="C183" i="14" s="1"/>
  <c r="AT52" i="14"/>
  <c r="AR52" i="14"/>
  <c r="C52" i="14"/>
  <c r="AT51" i="14"/>
  <c r="AS51" i="14"/>
  <c r="AR51" i="14"/>
  <c r="C51" i="14"/>
  <c r="AT50" i="14"/>
  <c r="AS50" i="14"/>
  <c r="AR50" i="14"/>
  <c r="C50" i="14"/>
  <c r="AT49" i="14"/>
  <c r="AR49" i="14"/>
  <c r="C49" i="14"/>
  <c r="AT48" i="14"/>
  <c r="C48" i="14"/>
  <c r="AT47" i="14"/>
  <c r="AS47" i="14"/>
  <c r="AR47" i="14"/>
  <c r="C47" i="14"/>
  <c r="AT46" i="14"/>
  <c r="AS46" i="14"/>
  <c r="C46" i="14"/>
  <c r="AT45" i="14"/>
  <c r="C45" i="14"/>
  <c r="AT44" i="14"/>
  <c r="C44" i="14"/>
  <c r="AT43" i="14"/>
  <c r="AS43" i="14"/>
  <c r="C43" i="14"/>
  <c r="AT42" i="14"/>
  <c r="AS42" i="14"/>
  <c r="AR42" i="14"/>
  <c r="C42" i="14"/>
  <c r="AT41" i="14"/>
  <c r="AS41" i="14"/>
  <c r="AR41" i="14"/>
  <c r="C41" i="14"/>
  <c r="AT40" i="14"/>
  <c r="AS40" i="14"/>
  <c r="AR40" i="14"/>
  <c r="C40" i="14"/>
  <c r="C105" i="14" s="1"/>
  <c r="AT39" i="14"/>
  <c r="AS39" i="14"/>
  <c r="C39" i="14"/>
  <c r="C169" i="14" s="1"/>
  <c r="AT38" i="14"/>
  <c r="C38" i="14"/>
  <c r="C37" i="14"/>
  <c r="C167" i="14" s="1"/>
  <c r="C36" i="14"/>
  <c r="C35" i="14"/>
  <c r="C34" i="14"/>
  <c r="C33" i="14"/>
  <c r="C32" i="14"/>
  <c r="C97" i="14" s="1"/>
  <c r="C31" i="14"/>
  <c r="C30" i="14"/>
  <c r="C29" i="14"/>
  <c r="C28" i="14"/>
  <c r="C27" i="14"/>
  <c r="C26" i="14"/>
  <c r="C25" i="14"/>
  <c r="C24" i="14"/>
  <c r="C154" i="14" s="1"/>
  <c r="C23" i="14"/>
  <c r="C153" i="14" s="1"/>
  <c r="C22" i="14"/>
  <c r="C152" i="14" s="1"/>
  <c r="C21" i="14"/>
  <c r="C151" i="14" s="1"/>
  <c r="C20" i="14"/>
  <c r="C150" i="14" s="1"/>
  <c r="C19" i="14"/>
  <c r="C149" i="14" s="1"/>
  <c r="C18" i="14"/>
  <c r="C148" i="14" s="1"/>
  <c r="C17" i="14"/>
  <c r="C147" i="14" s="1"/>
  <c r="C16" i="14"/>
  <c r="C81" i="14" s="1"/>
  <c r="C15" i="14"/>
  <c r="C145" i="14" s="1"/>
  <c r="C14" i="14"/>
  <c r="C144" i="14" s="1"/>
  <c r="AW13" i="14"/>
  <c r="C13" i="14"/>
  <c r="C143" i="14" s="1"/>
  <c r="C12" i="14"/>
  <c r="C142" i="14" s="1"/>
  <c r="C11" i="14"/>
  <c r="C141" i="14" s="1"/>
  <c r="C10" i="14"/>
  <c r="C140" i="14" s="1"/>
  <c r="C9" i="14"/>
  <c r="C139" i="14" s="1"/>
  <c r="C8" i="14"/>
  <c r="C7" i="14"/>
  <c r="C137" i="14" s="1"/>
  <c r="AW6" i="14"/>
  <c r="B6" i="14" s="1"/>
  <c r="B136" i="14" s="1"/>
  <c r="C6" i="14"/>
  <c r="C136" i="14" s="1"/>
  <c r="B3" i="14"/>
  <c r="AW7" i="14" s="1"/>
  <c r="AS48" i="14" l="1"/>
  <c r="AS49" i="14"/>
  <c r="AS62" i="14"/>
  <c r="AS63" i="14"/>
  <c r="AR69" i="14"/>
  <c r="AR70" i="14"/>
  <c r="AR43" i="14"/>
  <c r="AR44" i="14"/>
  <c r="AS44" i="14"/>
  <c r="AS45" i="14"/>
  <c r="AS64" i="14"/>
  <c r="AS65" i="14"/>
  <c r="AS53" i="14"/>
  <c r="AS61" i="14"/>
  <c r="AS60" i="14"/>
  <c r="AR61" i="14"/>
  <c r="AR60" i="14"/>
  <c r="AS54" i="14"/>
  <c r="AS55" i="14"/>
  <c r="AS68" i="14"/>
  <c r="AS69" i="14"/>
  <c r="AR54" i="14"/>
  <c r="AR53" i="14"/>
  <c r="AM78" i="14"/>
  <c r="AO82" i="14"/>
  <c r="AO115" i="14"/>
  <c r="AL120" i="14"/>
  <c r="AL126" i="14"/>
  <c r="AN130" i="14"/>
  <c r="AL130" i="14"/>
  <c r="AN131" i="14"/>
  <c r="AM134" i="14"/>
  <c r="AO141" i="14"/>
  <c r="AO156" i="14"/>
  <c r="AM156" i="14"/>
  <c r="C162" i="14"/>
  <c r="AO171" i="14"/>
  <c r="AN171" i="14"/>
  <c r="AM171" i="14"/>
  <c r="AL171" i="14"/>
  <c r="AN184" i="14"/>
  <c r="AN186" i="14"/>
  <c r="AM186" i="14"/>
  <c r="AN73" i="14"/>
  <c r="AN84" i="14"/>
  <c r="AM79" i="14"/>
  <c r="AM89" i="14"/>
  <c r="AO90" i="14"/>
  <c r="AN90" i="14"/>
  <c r="AM90" i="14"/>
  <c r="AN92" i="14"/>
  <c r="AO100" i="14"/>
  <c r="AM100" i="14"/>
  <c r="AR46" i="14"/>
  <c r="AO74" i="14"/>
  <c r="AN74" i="14"/>
  <c r="AN75" i="14"/>
  <c r="AO79" i="14"/>
  <c r="AN79" i="14"/>
  <c r="AO80" i="14"/>
  <c r="AM85" i="14"/>
  <c r="AO86" i="14"/>
  <c r="AO97" i="14"/>
  <c r="AN97" i="14"/>
  <c r="AM97" i="14"/>
  <c r="AN102" i="14"/>
  <c r="AM102" i="14"/>
  <c r="AO107" i="14"/>
  <c r="AO112" i="14"/>
  <c r="AN112" i="14"/>
  <c r="AM112" i="14"/>
  <c r="AM126" i="14"/>
  <c r="AR62" i="14"/>
  <c r="AO131" i="14"/>
  <c r="AM131" i="14"/>
  <c r="AO134" i="14"/>
  <c r="AM141" i="14"/>
  <c r="AO149" i="14"/>
  <c r="AM149" i="14"/>
  <c r="AL157" i="14"/>
  <c r="AO160" i="14"/>
  <c r="AM163" i="14"/>
  <c r="AM167" i="14"/>
  <c r="AQ167" i="14" s="1"/>
  <c r="AL172" i="14"/>
  <c r="AO177" i="14"/>
  <c r="AN177" i="14"/>
  <c r="AM177" i="14"/>
  <c r="AL177" i="14"/>
  <c r="AM191" i="14"/>
  <c r="AM73" i="14"/>
  <c r="AO77" i="14"/>
  <c r="AM80" i="14"/>
  <c r="AO81" i="14"/>
  <c r="AM81" i="14"/>
  <c r="AO84" i="14"/>
  <c r="C87" i="14"/>
  <c r="AO91" i="14"/>
  <c r="AN91" i="14"/>
  <c r="AO98" i="14"/>
  <c r="AM98" i="14"/>
  <c r="AO103" i="14"/>
  <c r="AN103" i="14"/>
  <c r="AM103" i="14"/>
  <c r="AO109" i="14"/>
  <c r="AL112" i="14"/>
  <c r="AO113" i="14"/>
  <c r="AN113" i="14"/>
  <c r="AM113" i="14"/>
  <c r="AL113" i="14"/>
  <c r="AR48" i="14"/>
  <c r="AN116" i="14"/>
  <c r="AN122" i="14"/>
  <c r="AL122" i="14"/>
  <c r="AN126" i="14"/>
  <c r="AO128" i="14"/>
  <c r="AN128" i="14"/>
  <c r="AM128" i="14"/>
  <c r="AN136" i="14"/>
  <c r="AO139" i="14"/>
  <c r="AN139" i="14"/>
  <c r="AO157" i="14"/>
  <c r="AO158" i="14"/>
  <c r="AO164" i="14"/>
  <c r="AM164" i="14"/>
  <c r="AN167" i="14"/>
  <c r="AN173" i="14"/>
  <c r="AM173" i="14"/>
  <c r="AL173" i="14"/>
  <c r="AN176" i="14"/>
  <c r="AN178" i="14"/>
  <c r="AM178" i="14"/>
  <c r="AO188" i="14"/>
  <c r="AM188" i="14"/>
  <c r="AL188" i="14"/>
  <c r="AL192" i="14"/>
  <c r="AN197" i="14"/>
  <c r="AM197" i="14"/>
  <c r="AL197" i="14"/>
  <c r="C84" i="14"/>
  <c r="AO73" i="14"/>
  <c r="AN72" i="14"/>
  <c r="AN101" i="14"/>
  <c r="AN118" i="14"/>
  <c r="AM118" i="14"/>
  <c r="AL118" i="14"/>
  <c r="AO126" i="14"/>
  <c r="AL128" i="14"/>
  <c r="AL133" i="14"/>
  <c r="AN166" i="14"/>
  <c r="AO174" i="14"/>
  <c r="AN174" i="14"/>
  <c r="AM174" i="14"/>
  <c r="AO178" i="14"/>
  <c r="AL178" i="14"/>
  <c r="AM187" i="14"/>
  <c r="AN189" i="14"/>
  <c r="AM189" i="14"/>
  <c r="AL189" i="14"/>
  <c r="AO193" i="14"/>
  <c r="AN193" i="14"/>
  <c r="AM193" i="14"/>
  <c r="AL193" i="14"/>
  <c r="AN71" i="14"/>
  <c r="AN78" i="14"/>
  <c r="AO75" i="14"/>
  <c r="AN76" i="14"/>
  <c r="C77" i="14"/>
  <c r="AN80" i="14"/>
  <c r="AN82" i="14"/>
  <c r="AM82" i="14"/>
  <c r="C88" i="14"/>
  <c r="AL114" i="14"/>
  <c r="AO123" i="14"/>
  <c r="AO129" i="14"/>
  <c r="AN129" i="14"/>
  <c r="AL129" i="14"/>
  <c r="AM133" i="14"/>
  <c r="AO153" i="14"/>
  <c r="AN153" i="14"/>
  <c r="AQ153" i="14" s="1"/>
  <c r="AS23" i="14" s="1"/>
  <c r="AM153" i="14"/>
  <c r="AM158" i="14"/>
  <c r="AN165" i="14"/>
  <c r="AN168" i="14"/>
  <c r="C170" i="14"/>
  <c r="AL174" i="14"/>
  <c r="AO179" i="14"/>
  <c r="AN179" i="14"/>
  <c r="AL179" i="14"/>
  <c r="AO194" i="14"/>
  <c r="AN194" i="14"/>
  <c r="AM194" i="14"/>
  <c r="AM71" i="14"/>
  <c r="AO72" i="14"/>
  <c r="AM72" i="14"/>
  <c r="AM77" i="14"/>
  <c r="AN81" i="14"/>
  <c r="AO85" i="14"/>
  <c r="AM88" i="14"/>
  <c r="AO102" i="14"/>
  <c r="AO106" i="14"/>
  <c r="AM106" i="14"/>
  <c r="AN108" i="14"/>
  <c r="AO117" i="14"/>
  <c r="AN132" i="14"/>
  <c r="AN140" i="14"/>
  <c r="AO147" i="14"/>
  <c r="AN147" i="14"/>
  <c r="AM147" i="14"/>
  <c r="AN150" i="14"/>
  <c r="AO151" i="14"/>
  <c r="AN158" i="14"/>
  <c r="AM159" i="14"/>
  <c r="AN188" i="14"/>
  <c r="AO190" i="14"/>
  <c r="AN190" i="14"/>
  <c r="AM190" i="14"/>
  <c r="AL194" i="14"/>
  <c r="C89" i="14"/>
  <c r="AN94" i="14"/>
  <c r="AM94" i="14"/>
  <c r="AL94" i="14"/>
  <c r="AM99" i="14"/>
  <c r="AM105" i="14"/>
  <c r="AL106" i="14"/>
  <c r="AM109" i="14"/>
  <c r="AL115" i="14"/>
  <c r="AN124" i="14"/>
  <c r="AN159" i="14"/>
  <c r="AL160" i="14"/>
  <c r="AO165" i="14"/>
  <c r="AL170" i="14"/>
  <c r="AO173" i="14"/>
  <c r="AM179" i="14"/>
  <c r="AL180" i="14"/>
  <c r="AO184" i="14"/>
  <c r="AM184" i="14"/>
  <c r="AO185" i="14"/>
  <c r="AN185" i="14"/>
  <c r="AM185" i="14"/>
  <c r="AL185" i="14"/>
  <c r="AL190" i="14"/>
  <c r="AO195" i="14"/>
  <c r="AN195" i="14"/>
  <c r="AL195" i="14"/>
  <c r="AL103" i="14"/>
  <c r="AL165" i="14"/>
  <c r="AL154" i="14"/>
  <c r="AL159" i="14"/>
  <c r="AL167" i="14"/>
  <c r="AL98" i="14"/>
  <c r="AQ98" i="14" s="1"/>
  <c r="AR33" i="14" s="1"/>
  <c r="AL102" i="14"/>
  <c r="AL164" i="14"/>
  <c r="AL95" i="14"/>
  <c r="AQ95" i="14" s="1"/>
  <c r="AR30" i="14" s="1"/>
  <c r="AL92" i="14"/>
  <c r="AL153" i="14"/>
  <c r="AL96" i="14"/>
  <c r="AL97" i="14"/>
  <c r="AQ97" i="14" s="1"/>
  <c r="AR32" i="14" s="1"/>
  <c r="AL89" i="14"/>
  <c r="AL90" i="14"/>
  <c r="AQ90" i="14" s="1"/>
  <c r="AR25" i="14" s="1"/>
  <c r="AL91" i="14"/>
  <c r="AL139" i="14"/>
  <c r="AL156" i="14"/>
  <c r="AQ156" i="14" s="1"/>
  <c r="AS26" i="14" s="1"/>
  <c r="AL76" i="14"/>
  <c r="AL82" i="14"/>
  <c r="AL87" i="14"/>
  <c r="AL152" i="14"/>
  <c r="AL88" i="14"/>
  <c r="AL140" i="14"/>
  <c r="AL146" i="14"/>
  <c r="AO71" i="14"/>
  <c r="AL74" i="14"/>
  <c r="AL84" i="14"/>
  <c r="AL142" i="14"/>
  <c r="AL79" i="14"/>
  <c r="AL85" i="14"/>
  <c r="AL150" i="14"/>
  <c r="AL80" i="14"/>
  <c r="AL81" i="14"/>
  <c r="AQ81" i="14" s="1"/>
  <c r="AL143" i="14"/>
  <c r="AL138" i="14"/>
  <c r="AL72" i="14"/>
  <c r="AL77" i="14"/>
  <c r="AL147" i="14"/>
  <c r="AQ147" i="14" s="1"/>
  <c r="AL73" i="14"/>
  <c r="AL78" i="14"/>
  <c r="AL71" i="14"/>
  <c r="AL137" i="14"/>
  <c r="AQ137" i="14" s="1"/>
  <c r="C190" i="14"/>
  <c r="C125" i="14"/>
  <c r="C195" i="14"/>
  <c r="C130" i="14"/>
  <c r="C78" i="14"/>
  <c r="C83" i="14"/>
  <c r="AN144" i="14"/>
  <c r="C138" i="14"/>
  <c r="C73" i="14"/>
  <c r="C175" i="14"/>
  <c r="C110" i="14"/>
  <c r="C180" i="14"/>
  <c r="C115" i="14"/>
  <c r="AO78" i="14"/>
  <c r="AQ78" i="14" s="1"/>
  <c r="C82" i="14"/>
  <c r="AL83" i="14"/>
  <c r="AQ83" i="14" s="1"/>
  <c r="AO101" i="14"/>
  <c r="AN117" i="14"/>
  <c r="C118" i="14"/>
  <c r="AO122" i="14"/>
  <c r="AM122" i="14"/>
  <c r="AM136" i="14"/>
  <c r="AO146" i="14"/>
  <c r="AM151" i="14"/>
  <c r="C192" i="14"/>
  <c r="C158" i="14"/>
  <c r="C93" i="14"/>
  <c r="C163" i="14"/>
  <c r="C98" i="14"/>
  <c r="C165" i="14"/>
  <c r="AQ165" i="14" s="1"/>
  <c r="AS35" i="14" s="1"/>
  <c r="C100" i="14"/>
  <c r="C155" i="14"/>
  <c r="C90" i="14"/>
  <c r="C172" i="14"/>
  <c r="C107" i="14"/>
  <c r="C199" i="14"/>
  <c r="C134" i="14"/>
  <c r="B71" i="14"/>
  <c r="AN77" i="14"/>
  <c r="AN86" i="14"/>
  <c r="AM86" i="14"/>
  <c r="AL86" i="14"/>
  <c r="AO88" i="14"/>
  <c r="AN88" i="14"/>
  <c r="C104" i="14"/>
  <c r="C182" i="14"/>
  <c r="C117" i="14"/>
  <c r="C187" i="14"/>
  <c r="C122" i="14"/>
  <c r="C157" i="14"/>
  <c r="AQ157" i="14" s="1"/>
  <c r="AS27" i="14" s="1"/>
  <c r="C92" i="14"/>
  <c r="C174" i="14"/>
  <c r="C109" i="14"/>
  <c r="C179" i="14"/>
  <c r="C114" i="14"/>
  <c r="C119" i="14"/>
  <c r="C184" i="14"/>
  <c r="C189" i="14"/>
  <c r="C124" i="14"/>
  <c r="C71" i="14"/>
  <c r="C76" i="14"/>
  <c r="C80" i="14"/>
  <c r="AQ80" i="14" s="1"/>
  <c r="C85" i="14"/>
  <c r="AO104" i="14"/>
  <c r="AN104" i="14"/>
  <c r="AM104" i="14"/>
  <c r="AL108" i="14"/>
  <c r="AO125" i="14"/>
  <c r="AO127" i="14"/>
  <c r="AN127" i="14"/>
  <c r="AM127" i="14"/>
  <c r="AL127" i="14"/>
  <c r="AN148" i="14"/>
  <c r="AL148" i="14"/>
  <c r="AN149" i="14"/>
  <c r="AL162" i="14"/>
  <c r="AO170" i="14"/>
  <c r="C159" i="14"/>
  <c r="C94" i="14"/>
  <c r="C164" i="14"/>
  <c r="C99" i="14"/>
  <c r="C191" i="14"/>
  <c r="C126" i="14"/>
  <c r="C196" i="14"/>
  <c r="C131" i="14"/>
  <c r="AM76" i="14"/>
  <c r="AQ76" i="14" s="1"/>
  <c r="AN85" i="14"/>
  <c r="AM93" i="14"/>
  <c r="AL101" i="14"/>
  <c r="AL104" i="14"/>
  <c r="AO110" i="14"/>
  <c r="AM123" i="14"/>
  <c r="C128" i="14"/>
  <c r="C173" i="14"/>
  <c r="C108" i="14"/>
  <c r="C185" i="14"/>
  <c r="C120" i="14"/>
  <c r="C177" i="14"/>
  <c r="C112" i="14"/>
  <c r="C197" i="14"/>
  <c r="C132" i="14"/>
  <c r="C72" i="14"/>
  <c r="C86" i="14"/>
  <c r="C161" i="14"/>
  <c r="C96" i="14"/>
  <c r="C111" i="14"/>
  <c r="C176" i="14"/>
  <c r="C181" i="14"/>
  <c r="C116" i="14"/>
  <c r="C198" i="14"/>
  <c r="C133" i="14"/>
  <c r="AO124" i="14"/>
  <c r="AL124" i="14"/>
  <c r="AO155" i="14"/>
  <c r="AQ155" i="14" s="1"/>
  <c r="AS25" i="14" s="1"/>
  <c r="AN155" i="14"/>
  <c r="AM155" i="14"/>
  <c r="AL155" i="14"/>
  <c r="C103" i="14"/>
  <c r="C168" i="14"/>
  <c r="C95" i="14"/>
  <c r="C160" i="14"/>
  <c r="C166" i="14"/>
  <c r="C101" i="14"/>
  <c r="AR39" i="14"/>
  <c r="C171" i="14"/>
  <c r="C106" i="14"/>
  <c r="C75" i="14"/>
  <c r="C156" i="14"/>
  <c r="C91" i="14"/>
  <c r="C188" i="14"/>
  <c r="C123" i="14"/>
  <c r="C74" i="14"/>
  <c r="AQ74" i="14" s="1"/>
  <c r="AR9" i="14" s="1"/>
  <c r="AL75" i="14"/>
  <c r="AQ75" i="14" s="1"/>
  <c r="AM84" i="14"/>
  <c r="C102" i="14"/>
  <c r="AL109" i="14"/>
  <c r="AL117" i="14"/>
  <c r="AM124" i="14"/>
  <c r="AL132" i="14"/>
  <c r="C146" i="14"/>
  <c r="C178" i="14"/>
  <c r="C113" i="14"/>
  <c r="C186" i="14"/>
  <c r="C121" i="14"/>
  <c r="C194" i="14"/>
  <c r="C129" i="14"/>
  <c r="AO87" i="14"/>
  <c r="AN87" i="14"/>
  <c r="AM87" i="14"/>
  <c r="AO89" i="14"/>
  <c r="AN89" i="14"/>
  <c r="AN93" i="14"/>
  <c r="AL100" i="14"/>
  <c r="AQ100" i="14" s="1"/>
  <c r="AR35" i="14" s="1"/>
  <c r="AO108" i="14"/>
  <c r="AM108" i="14"/>
  <c r="AN115" i="14"/>
  <c r="AM117" i="14"/>
  <c r="AO121" i="14"/>
  <c r="AN121" i="14"/>
  <c r="AL121" i="14"/>
  <c r="AO130" i="14"/>
  <c r="AM130" i="14"/>
  <c r="AM132" i="14"/>
  <c r="AN134" i="14"/>
  <c r="AL136" i="14"/>
  <c r="AO140" i="14"/>
  <c r="AM140" i="14"/>
  <c r="AM142" i="14"/>
  <c r="AO144" i="14"/>
  <c r="AN146" i="14"/>
  <c r="AM146" i="14"/>
  <c r="AL149" i="14"/>
  <c r="AN151" i="14"/>
  <c r="AL158" i="14"/>
  <c r="AM160" i="14"/>
  <c r="AO161" i="14"/>
  <c r="AQ161" i="14" s="1"/>
  <c r="AS31" i="14" s="1"/>
  <c r="AN161" i="14"/>
  <c r="AM161" i="14"/>
  <c r="AL161" i="14"/>
  <c r="AO168" i="14"/>
  <c r="AN170" i="14"/>
  <c r="AM170" i="14"/>
  <c r="AO176" i="14"/>
  <c r="AM176" i="14"/>
  <c r="AN181" i="14"/>
  <c r="AM181" i="14"/>
  <c r="AL181" i="14"/>
  <c r="AL184" i="14"/>
  <c r="AO196" i="14"/>
  <c r="AM196" i="14"/>
  <c r="AL196" i="14"/>
  <c r="AM152" i="14"/>
  <c r="AN162" i="14"/>
  <c r="AM162" i="14"/>
  <c r="AO182" i="14"/>
  <c r="AN182" i="14"/>
  <c r="AM182" i="14"/>
  <c r="AO192" i="14"/>
  <c r="AN192" i="14"/>
  <c r="AM192" i="14"/>
  <c r="AN141" i="14"/>
  <c r="AM143" i="14"/>
  <c r="AQ143" i="14" s="1"/>
  <c r="AN152" i="14"/>
  <c r="AO162" i="14"/>
  <c r="AL182" i="14"/>
  <c r="AO92" i="14"/>
  <c r="AM92" i="14"/>
  <c r="AN109" i="14"/>
  <c r="AO116" i="14"/>
  <c r="AL116" i="14"/>
  <c r="AO119" i="14"/>
  <c r="AN119" i="14"/>
  <c r="AM119" i="14"/>
  <c r="AL119" i="14"/>
  <c r="AL125" i="14"/>
  <c r="AL131" i="14"/>
  <c r="AN133" i="14"/>
  <c r="AO136" i="14"/>
  <c r="AO138" i="14"/>
  <c r="AN138" i="14"/>
  <c r="AM138" i="14"/>
  <c r="AL141" i="14"/>
  <c r="AN143" i="14"/>
  <c r="AL144" i="14"/>
  <c r="AO148" i="14"/>
  <c r="AM148" i="14"/>
  <c r="AM150" i="14"/>
  <c r="AQ150" i="14" s="1"/>
  <c r="AO152" i="14"/>
  <c r="AN154" i="14"/>
  <c r="AM154" i="14"/>
  <c r="AO175" i="14"/>
  <c r="AN175" i="14"/>
  <c r="AL175" i="14"/>
  <c r="AO198" i="14"/>
  <c r="AN198" i="14"/>
  <c r="AM198" i="14"/>
  <c r="AL198" i="14"/>
  <c r="AL93" i="14"/>
  <c r="AQ93" i="14" s="1"/>
  <c r="AR28" i="14" s="1"/>
  <c r="AO94" i="14"/>
  <c r="AO96" i="14"/>
  <c r="AN96" i="14"/>
  <c r="AM96" i="14"/>
  <c r="AN99" i="14"/>
  <c r="AL99" i="14"/>
  <c r="AQ99" i="14" s="1"/>
  <c r="AR34" i="14" s="1"/>
  <c r="AM101" i="14"/>
  <c r="AO105" i="14"/>
  <c r="AN105" i="14"/>
  <c r="AL105" i="14"/>
  <c r="AN110" i="14"/>
  <c r="AM110" i="14"/>
  <c r="AL110" i="14"/>
  <c r="AO114" i="14"/>
  <c r="AM114" i="14"/>
  <c r="AM116" i="14"/>
  <c r="AN123" i="14"/>
  <c r="AM125" i="14"/>
  <c r="AL134" i="14"/>
  <c r="AO154" i="14"/>
  <c r="AO163" i="14"/>
  <c r="AN163" i="14"/>
  <c r="AL163" i="14"/>
  <c r="AO166" i="14"/>
  <c r="AL168" i="14"/>
  <c r="AM175" i="14"/>
  <c r="AN183" i="14"/>
  <c r="AL183" i="14"/>
  <c r="AO187" i="14"/>
  <c r="AN187" i="14"/>
  <c r="AL187" i="14"/>
  <c r="AO118" i="14"/>
  <c r="AO120" i="14"/>
  <c r="AN120" i="14"/>
  <c r="AM120" i="14"/>
  <c r="AL123" i="14"/>
  <c r="AN125" i="14"/>
  <c r="AO132" i="14"/>
  <c r="AQ139" i="14"/>
  <c r="AO142" i="14"/>
  <c r="AM144" i="14"/>
  <c r="AO145" i="14"/>
  <c r="AN145" i="14"/>
  <c r="AM145" i="14"/>
  <c r="AL145" i="14"/>
  <c r="AL151" i="14"/>
  <c r="AL166" i="14"/>
  <c r="AM168" i="14"/>
  <c r="AO169" i="14"/>
  <c r="AN169" i="14"/>
  <c r="AM169" i="14"/>
  <c r="AL169" i="14"/>
  <c r="AO180" i="14"/>
  <c r="AM180" i="14"/>
  <c r="AO183" i="14"/>
  <c r="AM183" i="14"/>
  <c r="AO191" i="14"/>
  <c r="AN191" i="14"/>
  <c r="AL191" i="14"/>
  <c r="AO199" i="14"/>
  <c r="AN199" i="14"/>
  <c r="AM199" i="14"/>
  <c r="AL199" i="14"/>
  <c r="AQ101" i="14" l="1"/>
  <c r="AR36" i="14" s="1"/>
  <c r="AQ82" i="14"/>
  <c r="AR17" i="14" s="1"/>
  <c r="AQ96" i="14"/>
  <c r="AR31" i="14" s="1"/>
  <c r="AQ154" i="14"/>
  <c r="AS24" i="14" s="1"/>
  <c r="AQ162" i="14"/>
  <c r="AS32" i="14" s="1"/>
  <c r="AQ164" i="14"/>
  <c r="AS34" i="14" s="1"/>
  <c r="AQ158" i="14"/>
  <c r="AS28" i="14" s="1"/>
  <c r="AQ92" i="14"/>
  <c r="AR27" i="14" s="1"/>
  <c r="AQ102" i="14"/>
  <c r="AR37" i="14" s="1"/>
  <c r="AQ160" i="14"/>
  <c r="AS30" i="14" s="1"/>
  <c r="AQ94" i="14"/>
  <c r="AR29" i="14" s="1"/>
  <c r="AQ166" i="14"/>
  <c r="AS36" i="14" s="1"/>
  <c r="AQ163" i="14"/>
  <c r="AS33" i="14" s="1"/>
  <c r="AQ73" i="14"/>
  <c r="AQ140" i="14"/>
  <c r="AQ91" i="14"/>
  <c r="AR26" i="14" s="1"/>
  <c r="AQ88" i="14"/>
  <c r="AQ79" i="14"/>
  <c r="AQ152" i="14"/>
  <c r="AQ89" i="14"/>
  <c r="AR24" i="14" s="1"/>
  <c r="AQ148" i="14"/>
  <c r="AQ87" i="14"/>
  <c r="AQ159" i="14"/>
  <c r="AS29" i="14" s="1"/>
  <c r="AQ138" i="14"/>
  <c r="AS8" i="14" s="1"/>
  <c r="AQ85" i="14"/>
  <c r="AQ72" i="14"/>
  <c r="AR7" i="14" s="1"/>
  <c r="AR23" i="14"/>
  <c r="AR38" i="14"/>
  <c r="AS38" i="14"/>
  <c r="AS37" i="14"/>
  <c r="AQ141" i="14"/>
  <c r="AS11" i="14" s="1"/>
  <c r="AS18" i="14"/>
  <c r="AQ71" i="14"/>
  <c r="AR6" i="14" s="1"/>
  <c r="AR10" i="14"/>
  <c r="AS9" i="14"/>
  <c r="AS13" i="14"/>
  <c r="AR15" i="14"/>
  <c r="AR16" i="14"/>
  <c r="AR18" i="14"/>
  <c r="AS10" i="14"/>
  <c r="AR8" i="14"/>
  <c r="AR14" i="14"/>
  <c r="AR11" i="14"/>
  <c r="AQ86" i="14"/>
  <c r="AR22" i="14" s="1"/>
  <c r="AQ142" i="14"/>
  <c r="AS12" i="14" s="1"/>
  <c r="AQ77" i="14"/>
  <c r="AR12" i="14" s="1"/>
  <c r="AQ149" i="14"/>
  <c r="AS19" i="14" s="1"/>
  <c r="AQ151" i="14"/>
  <c r="AS21" i="14" s="1"/>
  <c r="AQ84" i="14"/>
  <c r="AR19" i="14" s="1"/>
  <c r="AQ145" i="14"/>
  <c r="AS15" i="14" s="1"/>
  <c r="AQ136" i="14"/>
  <c r="AS6" i="14" s="1"/>
  <c r="AQ146" i="14"/>
  <c r="AQ144" i="14"/>
  <c r="AS14" i="14" s="1"/>
  <c r="AR21" i="14" l="1"/>
  <c r="AR20" i="14"/>
  <c r="AS20" i="14"/>
  <c r="AS7" i="14"/>
  <c r="AS16" i="14"/>
  <c r="AS17" i="14"/>
  <c r="AR13" i="14"/>
  <c r="AS22" i="14"/>
  <c r="C2" i="7" l="1"/>
  <c r="B3" i="12"/>
  <c r="B3" i="8"/>
  <c r="B10" i="1" l="1"/>
  <c r="AJ199" i="12" l="1"/>
  <c r="AQ199" i="12" s="1"/>
  <c r="AS70"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S6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S6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S61"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S58"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S5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S50"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S4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3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L129" i="12" s="1"/>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O129" i="12" s="1"/>
  <c r="AQ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R61"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R57"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6"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Q108"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40"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R70" i="12"/>
  <c r="AT69" i="12"/>
  <c r="AS69" i="12"/>
  <c r="AR69" i="12"/>
  <c r="C69" i="12"/>
  <c r="AT68" i="12"/>
  <c r="AS68" i="12"/>
  <c r="C68" i="12"/>
  <c r="AT67" i="12"/>
  <c r="AS67" i="12"/>
  <c r="C67" i="12"/>
  <c r="AT66" i="12"/>
  <c r="AS66" i="12"/>
  <c r="C66" i="12"/>
  <c r="C131" i="12" s="1"/>
  <c r="AT65" i="12"/>
  <c r="C65" i="12"/>
  <c r="AT64" i="12"/>
  <c r="C64" i="12"/>
  <c r="C129" i="12" s="1"/>
  <c r="AT63" i="12"/>
  <c r="C63" i="12"/>
  <c r="AT62" i="12"/>
  <c r="AS62" i="12"/>
  <c r="C62" i="12"/>
  <c r="AT61" i="12"/>
  <c r="C61" i="12"/>
  <c r="AT60" i="12"/>
  <c r="AS60" i="12"/>
  <c r="C60" i="12"/>
  <c r="C125" i="12" s="1"/>
  <c r="AT59" i="12"/>
  <c r="AS59" i="12"/>
  <c r="C59" i="12"/>
  <c r="AT58" i="12"/>
  <c r="C58" i="12"/>
  <c r="C123" i="12" s="1"/>
  <c r="AT57" i="12"/>
  <c r="C57" i="12"/>
  <c r="AT56" i="12"/>
  <c r="C56" i="12"/>
  <c r="AT55" i="12"/>
  <c r="C55" i="12"/>
  <c r="AT54" i="12"/>
  <c r="AS54" i="12"/>
  <c r="C54" i="12"/>
  <c r="C119" i="12" s="1"/>
  <c r="AT53" i="12"/>
  <c r="AS53" i="12"/>
  <c r="C53" i="12"/>
  <c r="AT52" i="12"/>
  <c r="C52" i="12"/>
  <c r="C117" i="12" s="1"/>
  <c r="AT51" i="12"/>
  <c r="C51" i="12"/>
  <c r="C181" i="12" s="1"/>
  <c r="AT50" i="12"/>
  <c r="C50" i="12"/>
  <c r="C180" i="12" s="1"/>
  <c r="AT49" i="12"/>
  <c r="C49" i="12"/>
  <c r="C179" i="12" s="1"/>
  <c r="AT48" i="12"/>
  <c r="C48" i="12"/>
  <c r="C178" i="12" s="1"/>
  <c r="AT47" i="12"/>
  <c r="C47" i="12"/>
  <c r="C177" i="12" s="1"/>
  <c r="AT46" i="12"/>
  <c r="AS46" i="12"/>
  <c r="C46" i="12"/>
  <c r="C111" i="12" s="1"/>
  <c r="AT45" i="12"/>
  <c r="AS45" i="12"/>
  <c r="C45" i="12"/>
  <c r="C175" i="12" s="1"/>
  <c r="AT44" i="12"/>
  <c r="C44" i="12"/>
  <c r="AT43" i="12"/>
  <c r="C43" i="12"/>
  <c r="C173" i="12" s="1"/>
  <c r="AT42" i="12"/>
  <c r="AS42" i="12"/>
  <c r="C42" i="12"/>
  <c r="AT41" i="12"/>
  <c r="C41" i="12"/>
  <c r="C171" i="12" s="1"/>
  <c r="AT40" i="12"/>
  <c r="C40" i="12"/>
  <c r="C105" i="12" s="1"/>
  <c r="AT39" i="12"/>
  <c r="C39" i="12"/>
  <c r="C169" i="12" s="1"/>
  <c r="AT38" i="12"/>
  <c r="C38" i="12"/>
  <c r="C37" i="12"/>
  <c r="C167" i="12" s="1"/>
  <c r="C36" i="12"/>
  <c r="C35" i="12"/>
  <c r="C165" i="12" s="1"/>
  <c r="C34" i="12"/>
  <c r="C99" i="12" s="1"/>
  <c r="C33" i="12"/>
  <c r="C163" i="12" s="1"/>
  <c r="C32" i="12"/>
  <c r="C31" i="12"/>
  <c r="C161" i="12" s="1"/>
  <c r="C30" i="12"/>
  <c r="C29" i="12"/>
  <c r="C159" i="12" s="1"/>
  <c r="C28" i="12"/>
  <c r="C93" i="12" s="1"/>
  <c r="C27" i="12"/>
  <c r="C157" i="12" s="1"/>
  <c r="C26" i="12"/>
  <c r="C25" i="12"/>
  <c r="C155" i="12" s="1"/>
  <c r="C24" i="12"/>
  <c r="C23" i="12"/>
  <c r="C153" i="12" s="1"/>
  <c r="C22" i="12"/>
  <c r="C87" i="12" s="1"/>
  <c r="C21" i="12"/>
  <c r="C151" i="12" s="1"/>
  <c r="C20" i="12"/>
  <c r="C19" i="12"/>
  <c r="C149" i="12" s="1"/>
  <c r="C18" i="12"/>
  <c r="C17" i="12"/>
  <c r="C147" i="12" s="1"/>
  <c r="C16" i="12"/>
  <c r="C81" i="12" s="1"/>
  <c r="C15" i="12"/>
  <c r="C145" i="12" s="1"/>
  <c r="C14" i="12"/>
  <c r="AW13" i="12"/>
  <c r="C13" i="12"/>
  <c r="C143" i="12" s="1"/>
  <c r="C12" i="12"/>
  <c r="C11" i="12"/>
  <c r="C141" i="12" s="1"/>
  <c r="C10" i="12"/>
  <c r="C75" i="12" s="1"/>
  <c r="C9" i="12"/>
  <c r="C139" i="12" s="1"/>
  <c r="C8" i="12"/>
  <c r="AW7" i="12"/>
  <c r="C7" i="12"/>
  <c r="C137" i="12" s="1"/>
  <c r="AW6" i="12"/>
  <c r="B6" i="12" s="1"/>
  <c r="B136" i="12" s="1"/>
  <c r="C6" i="12"/>
  <c r="C88" i="12" l="1"/>
  <c r="AS40" i="12"/>
  <c r="AM184" i="12"/>
  <c r="AS48" i="12"/>
  <c r="AS56" i="12"/>
  <c r="AR67" i="12"/>
  <c r="AO127" i="12"/>
  <c r="AL130" i="12"/>
  <c r="AO133" i="12"/>
  <c r="AL133" i="12"/>
  <c r="AS51" i="12"/>
  <c r="AS44" i="12"/>
  <c r="AL180" i="12"/>
  <c r="AS52" i="12"/>
  <c r="AO85" i="12"/>
  <c r="AR56" i="12"/>
  <c r="AN142" i="12"/>
  <c r="AU10" i="12"/>
  <c r="AU11" i="12"/>
  <c r="AR66" i="12"/>
  <c r="AR65" i="12"/>
  <c r="AM79" i="12"/>
  <c r="AO88" i="12"/>
  <c r="AO91" i="12"/>
  <c r="AR64" i="12"/>
  <c r="AO134" i="12"/>
  <c r="AN154" i="12"/>
  <c r="AN166" i="12"/>
  <c r="AO196" i="12"/>
  <c r="AS41" i="12"/>
  <c r="AS49" i="12"/>
  <c r="AS57" i="12"/>
  <c r="AN76" i="12"/>
  <c r="AO77" i="12"/>
  <c r="AL77" i="12"/>
  <c r="AO81" i="12"/>
  <c r="AL81" i="12"/>
  <c r="AM91" i="12"/>
  <c r="AM95" i="12"/>
  <c r="AR44" i="12"/>
  <c r="AN127" i="12"/>
  <c r="AR62" i="12"/>
  <c r="AM140" i="12"/>
  <c r="AN178" i="12"/>
  <c r="AO187" i="12"/>
  <c r="AL187" i="12"/>
  <c r="AN190" i="12"/>
  <c r="AN117" i="12"/>
  <c r="AN122" i="12"/>
  <c r="AN131" i="12"/>
  <c r="C170" i="12"/>
  <c r="AN170" i="12"/>
  <c r="AN181" i="12"/>
  <c r="AL115" i="12"/>
  <c r="AO123" i="12"/>
  <c r="AN126" i="12"/>
  <c r="AO178" i="12"/>
  <c r="AR47" i="12"/>
  <c r="AR51" i="12"/>
  <c r="AN136" i="12"/>
  <c r="AN148" i="12"/>
  <c r="AO157" i="12"/>
  <c r="AN160" i="12"/>
  <c r="AO169" i="12"/>
  <c r="AN172" i="12"/>
  <c r="AS43" i="12"/>
  <c r="AO113" i="12"/>
  <c r="AL113" i="12"/>
  <c r="AO131" i="12"/>
  <c r="AM150" i="12"/>
  <c r="AM154" i="12"/>
  <c r="AM166" i="12"/>
  <c r="AN184" i="12"/>
  <c r="AM105" i="12"/>
  <c r="AN147" i="12"/>
  <c r="AN163" i="12"/>
  <c r="AN196" i="12"/>
  <c r="AO99" i="12"/>
  <c r="AM109" i="12"/>
  <c r="C112" i="12"/>
  <c r="AR59" i="12"/>
  <c r="AO144" i="12"/>
  <c r="AL144" i="12"/>
  <c r="AO156" i="12"/>
  <c r="AO160" i="12"/>
  <c r="C82" i="12"/>
  <c r="AR68" i="12"/>
  <c r="AM141" i="12"/>
  <c r="AM149" i="12"/>
  <c r="AM153" i="12"/>
  <c r="C188" i="12"/>
  <c r="AN188" i="12"/>
  <c r="AN199" i="12"/>
  <c r="AR50" i="12"/>
  <c r="AR49" i="12"/>
  <c r="AO103" i="12"/>
  <c r="AO72" i="12"/>
  <c r="C76" i="12"/>
  <c r="AN79" i="12"/>
  <c r="AN80" i="12"/>
  <c r="AN88" i="12"/>
  <c r="AO89" i="12"/>
  <c r="AO93" i="12"/>
  <c r="AO98" i="12"/>
  <c r="AN98" i="12"/>
  <c r="AM99" i="12"/>
  <c r="AO102" i="12"/>
  <c r="AR41" i="12"/>
  <c r="AO107" i="12"/>
  <c r="AL107" i="12"/>
  <c r="AL108" i="12"/>
  <c r="AO117" i="12"/>
  <c r="AL127" i="12"/>
  <c r="AM129" i="12"/>
  <c r="AN137" i="12"/>
  <c r="AN138" i="12"/>
  <c r="AN141" i="12"/>
  <c r="AM144" i="12"/>
  <c r="AO147" i="12"/>
  <c r="C164" i="12"/>
  <c r="AN164" i="12"/>
  <c r="AL174" i="12"/>
  <c r="C182" i="12"/>
  <c r="AN182" i="12"/>
  <c r="AL192" i="12"/>
  <c r="AR42" i="12"/>
  <c r="AL82" i="12"/>
  <c r="AM73" i="12"/>
  <c r="AO82" i="12"/>
  <c r="AM103" i="12"/>
  <c r="C106" i="12"/>
  <c r="AM118" i="12"/>
  <c r="AM123" i="12"/>
  <c r="AR60" i="12"/>
  <c r="AL128" i="12"/>
  <c r="AO138" i="12"/>
  <c r="AO142" i="12"/>
  <c r="AN145" i="12"/>
  <c r="AM148" i="12"/>
  <c r="AN167" i="12"/>
  <c r="AN168" i="12"/>
  <c r="AL178" i="12"/>
  <c r="AN185" i="12"/>
  <c r="AN186" i="12"/>
  <c r="AL196" i="12"/>
  <c r="AL134" i="12"/>
  <c r="AM77" i="12"/>
  <c r="AO80" i="12"/>
  <c r="AM81" i="12"/>
  <c r="AO84" i="12"/>
  <c r="AN91" i="12"/>
  <c r="AN96" i="12"/>
  <c r="AO111" i="12"/>
  <c r="AL111" i="12"/>
  <c r="AM113" i="12"/>
  <c r="AO121" i="12"/>
  <c r="AL121" i="12"/>
  <c r="AL122" i="12"/>
  <c r="AO126" i="12"/>
  <c r="AN130" i="12"/>
  <c r="C146" i="12"/>
  <c r="AN146" i="12"/>
  <c r="AO159" i="12"/>
  <c r="AM165" i="12"/>
  <c r="AO168" i="12"/>
  <c r="AN171" i="12"/>
  <c r="AM174" i="12"/>
  <c r="AO177" i="12"/>
  <c r="AL177" i="12"/>
  <c r="AM183" i="12"/>
  <c r="AO186" i="12"/>
  <c r="AN189" i="12"/>
  <c r="AM192" i="12"/>
  <c r="AO195" i="12"/>
  <c r="AL195" i="12"/>
  <c r="AR63" i="12"/>
  <c r="AL78" i="12"/>
  <c r="AR58" i="12"/>
  <c r="AO71" i="12"/>
  <c r="AN74" i="12"/>
  <c r="AN109" i="12"/>
  <c r="AL112" i="12"/>
  <c r="AL116" i="12"/>
  <c r="AN119" i="12"/>
  <c r="AR54" i="12"/>
  <c r="AL131" i="12"/>
  <c r="AM133" i="12"/>
  <c r="AM143" i="12"/>
  <c r="AN149" i="12"/>
  <c r="AN150" i="12"/>
  <c r="AN153" i="12"/>
  <c r="AM156" i="12"/>
  <c r="AM160" i="12"/>
  <c r="AO163" i="12"/>
  <c r="AO172" i="12"/>
  <c r="AN175" i="12"/>
  <c r="AM178" i="12"/>
  <c r="AO181" i="12"/>
  <c r="AL181" i="12"/>
  <c r="AO190" i="12"/>
  <c r="AN193" i="12"/>
  <c r="AM196" i="12"/>
  <c r="AO199" i="12"/>
  <c r="AL199" i="12"/>
  <c r="AR52" i="12"/>
  <c r="AR43" i="12"/>
  <c r="AN84" i="12"/>
  <c r="AO100" i="12"/>
  <c r="AN106" i="12"/>
  <c r="AL71" i="12"/>
  <c r="AM85" i="12"/>
  <c r="AO94" i="12"/>
  <c r="AN100" i="12"/>
  <c r="AO101" i="12"/>
  <c r="AL76" i="12"/>
  <c r="AN78" i="12"/>
  <c r="AO79" i="12"/>
  <c r="AL79" i="12"/>
  <c r="AM89" i="12"/>
  <c r="AO92" i="12"/>
  <c r="AN92" i="12"/>
  <c r="AM93" i="12"/>
  <c r="AO97" i="12"/>
  <c r="AO105" i="12"/>
  <c r="AL105" i="12"/>
  <c r="AM107" i="12"/>
  <c r="AN114" i="12"/>
  <c r="AN115" i="12"/>
  <c r="AN124" i="12"/>
  <c r="AM127" i="12"/>
  <c r="AL132" i="12"/>
  <c r="AN134" i="12"/>
  <c r="AO141" i="12"/>
  <c r="AM147" i="12"/>
  <c r="AO150" i="12"/>
  <c r="AQ150" i="12" s="1"/>
  <c r="AO154" i="12"/>
  <c r="AN157" i="12"/>
  <c r="AN158" i="12"/>
  <c r="C176" i="12"/>
  <c r="AN176" i="12"/>
  <c r="AL186" i="12"/>
  <c r="C194" i="12"/>
  <c r="AN194" i="12"/>
  <c r="AL72" i="12"/>
  <c r="AO75" i="12"/>
  <c r="AN73" i="12"/>
  <c r="AN82" i="12"/>
  <c r="AO83" i="12"/>
  <c r="AL84" i="12"/>
  <c r="AO87" i="12"/>
  <c r="AO96" i="12"/>
  <c r="C100" i="12"/>
  <c r="AL106" i="12"/>
  <c r="AO110" i="12"/>
  <c r="AN110" i="12"/>
  <c r="AL110" i="12"/>
  <c r="AO112" i="12"/>
  <c r="AN120" i="12"/>
  <c r="AL120" i="12"/>
  <c r="AN123" i="12"/>
  <c r="AO125" i="12"/>
  <c r="AL125" i="12"/>
  <c r="AL126" i="12"/>
  <c r="AO130" i="12"/>
  <c r="AM138" i="12"/>
  <c r="AM142" i="12"/>
  <c r="AO145" i="12"/>
  <c r="AN161" i="12"/>
  <c r="AN162" i="12"/>
  <c r="AL172" i="12"/>
  <c r="AN179" i="12"/>
  <c r="AN180" i="12"/>
  <c r="AL190" i="12"/>
  <c r="AN197" i="12"/>
  <c r="AN198" i="12"/>
  <c r="AO76" i="12"/>
  <c r="AN90" i="12"/>
  <c r="AM97" i="12"/>
  <c r="AN108" i="12"/>
  <c r="AM111" i="12"/>
  <c r="AR48" i="12"/>
  <c r="AM121" i="12"/>
  <c r="AO136" i="12"/>
  <c r="AN139" i="12"/>
  <c r="AN140" i="12"/>
  <c r="AM159" i="12"/>
  <c r="AO162" i="12"/>
  <c r="AN165" i="12"/>
  <c r="AM168" i="12"/>
  <c r="AO171" i="12"/>
  <c r="AL171" i="12"/>
  <c r="AM177" i="12"/>
  <c r="AO180" i="12"/>
  <c r="AN183" i="12"/>
  <c r="AM186" i="12"/>
  <c r="AO189" i="12"/>
  <c r="AL189" i="12"/>
  <c r="AM195" i="12"/>
  <c r="AO198" i="12"/>
  <c r="AM71" i="12"/>
  <c r="AO74" i="12"/>
  <c r="AM75" i="12"/>
  <c r="AO78" i="12"/>
  <c r="AN85" i="12"/>
  <c r="AN86" i="12"/>
  <c r="AN94" i="12"/>
  <c r="AO95" i="12"/>
  <c r="AM101" i="12"/>
  <c r="AO104" i="12"/>
  <c r="AN104" i="12"/>
  <c r="AO106" i="12"/>
  <c r="AL109" i="12"/>
  <c r="AO114" i="12"/>
  <c r="AM131" i="12"/>
  <c r="AN143" i="12"/>
  <c r="AN144" i="12"/>
  <c r="AO153" i="12"/>
  <c r="AO166" i="12"/>
  <c r="AN169" i="12"/>
  <c r="AM172" i="12"/>
  <c r="AO175" i="12"/>
  <c r="AL175" i="12"/>
  <c r="AO184" i="12"/>
  <c r="AN187" i="12"/>
  <c r="AM190" i="12"/>
  <c r="AO193" i="12"/>
  <c r="AL193" i="12"/>
  <c r="AN72" i="12"/>
  <c r="AO73" i="12"/>
  <c r="AM83" i="12"/>
  <c r="AO86" i="12"/>
  <c r="AL86" i="12"/>
  <c r="AM87" i="12"/>
  <c r="AO90" i="12"/>
  <c r="C94" i="12"/>
  <c r="AN102" i="12"/>
  <c r="AO108" i="12"/>
  <c r="AO109" i="12"/>
  <c r="AN112" i="12"/>
  <c r="AM115" i="12"/>
  <c r="AO119" i="12"/>
  <c r="AL123" i="12"/>
  <c r="AO148" i="12"/>
  <c r="AN151" i="12"/>
  <c r="AN152" i="12"/>
  <c r="AN173" i="12"/>
  <c r="AN174" i="12"/>
  <c r="AL184" i="12"/>
  <c r="AN191" i="12"/>
  <c r="AN192" i="12"/>
  <c r="AL114" i="12"/>
  <c r="AN118" i="12"/>
  <c r="AL118" i="12"/>
  <c r="AN121" i="12"/>
  <c r="AL124" i="12"/>
  <c r="AN132" i="12"/>
  <c r="AM136" i="12"/>
  <c r="AN155" i="12"/>
  <c r="AN156" i="12"/>
  <c r="AN159" i="12"/>
  <c r="AM162" i="12"/>
  <c r="AO165" i="12"/>
  <c r="AM171" i="12"/>
  <c r="AO174" i="12"/>
  <c r="AN177" i="12"/>
  <c r="AM180" i="12"/>
  <c r="AO183" i="12"/>
  <c r="AL183" i="12"/>
  <c r="AM189" i="12"/>
  <c r="AO192" i="12"/>
  <c r="AN195" i="12"/>
  <c r="AM198" i="12"/>
  <c r="AL90" i="12"/>
  <c r="AL100" i="12"/>
  <c r="AL103" i="12"/>
  <c r="AL147" i="12"/>
  <c r="AL104" i="12"/>
  <c r="AL136" i="12"/>
  <c r="AL141" i="12"/>
  <c r="AL150" i="12"/>
  <c r="AL168" i="12"/>
  <c r="AL85" i="12"/>
  <c r="AQ90" i="12"/>
  <c r="AR39" i="12"/>
  <c r="AL169" i="12"/>
  <c r="AQ100" i="12"/>
  <c r="AQ165" i="12"/>
  <c r="AL93" i="12"/>
  <c r="AQ93" i="12" s="1"/>
  <c r="AL153" i="12"/>
  <c r="AQ153" i="12" s="1"/>
  <c r="AL156" i="12"/>
  <c r="AQ156" i="12" s="1"/>
  <c r="AL160" i="12"/>
  <c r="AQ160" i="12" s="1"/>
  <c r="AL91" i="12"/>
  <c r="AQ91" i="12" s="1"/>
  <c r="AL99" i="12"/>
  <c r="AQ99" i="12" s="1"/>
  <c r="AL154" i="12"/>
  <c r="AQ154" i="12" s="1"/>
  <c r="AL87" i="12"/>
  <c r="AQ87" i="12" s="1"/>
  <c r="AL94" i="12"/>
  <c r="AQ94" i="12" s="1"/>
  <c r="AL101" i="12"/>
  <c r="AQ101" i="12" s="1"/>
  <c r="AL102" i="12"/>
  <c r="AQ102" i="12" s="1"/>
  <c r="AL157" i="12"/>
  <c r="AQ157" i="12" s="1"/>
  <c r="AL159" i="12"/>
  <c r="AQ159" i="12" s="1"/>
  <c r="AL162" i="12"/>
  <c r="AQ162" i="12" s="1"/>
  <c r="AL88" i="12"/>
  <c r="AQ88" i="12" s="1"/>
  <c r="AL95" i="12"/>
  <c r="AQ95" i="12" s="1"/>
  <c r="AL98" i="12"/>
  <c r="AQ98" i="12" s="1"/>
  <c r="AL163" i="12"/>
  <c r="AQ163" i="12" s="1"/>
  <c r="AL166" i="12"/>
  <c r="AQ166" i="12" s="1"/>
  <c r="AL89" i="12"/>
  <c r="AQ89" i="12" s="1"/>
  <c r="AL92" i="12"/>
  <c r="AQ92" i="12" s="1"/>
  <c r="AL96" i="12"/>
  <c r="AQ96" i="12" s="1"/>
  <c r="AL165" i="12"/>
  <c r="AL97" i="12"/>
  <c r="AQ97" i="12" s="1"/>
  <c r="AL83" i="12"/>
  <c r="AL142" i="12"/>
  <c r="AL138" i="12"/>
  <c r="AL74" i="12"/>
  <c r="AL148" i="12"/>
  <c r="AL80" i="12"/>
  <c r="AL73" i="12"/>
  <c r="AL75" i="12"/>
  <c r="AL145" i="12"/>
  <c r="C144" i="12"/>
  <c r="C79" i="12"/>
  <c r="AQ79" i="12" s="1"/>
  <c r="C150" i="12"/>
  <c r="C85" i="12"/>
  <c r="C156" i="12"/>
  <c r="C91" i="12"/>
  <c r="C162" i="12"/>
  <c r="C97" i="12"/>
  <c r="C183" i="12"/>
  <c r="C118" i="12"/>
  <c r="C121" i="12"/>
  <c r="C186" i="12"/>
  <c r="C133" i="12"/>
  <c r="C198" i="12"/>
  <c r="B71" i="12"/>
  <c r="AM72" i="12"/>
  <c r="AM78" i="12"/>
  <c r="AM84" i="12"/>
  <c r="AM90" i="12"/>
  <c r="AM96" i="12"/>
  <c r="AM102" i="12"/>
  <c r="AM108" i="12"/>
  <c r="AN116" i="12"/>
  <c r="AL119" i="12"/>
  <c r="AO122" i="12"/>
  <c r="AM125" i="12"/>
  <c r="AO139" i="12"/>
  <c r="AL139" i="12"/>
  <c r="AM152" i="12"/>
  <c r="AL158" i="12"/>
  <c r="AQ158" i="12" s="1"/>
  <c r="C136" i="12"/>
  <c r="AQ136" i="12" s="1"/>
  <c r="AS6" i="12" s="1"/>
  <c r="C71" i="12"/>
  <c r="C166" i="12"/>
  <c r="C101" i="12"/>
  <c r="C174" i="12"/>
  <c r="C109" i="12"/>
  <c r="AR53" i="12"/>
  <c r="C193" i="12"/>
  <c r="C128" i="12"/>
  <c r="C72" i="12"/>
  <c r="AN75" i="12"/>
  <c r="C78" i="12"/>
  <c r="AN81" i="12"/>
  <c r="AQ81" i="12" s="1"/>
  <c r="C84" i="12"/>
  <c r="AN87" i="12"/>
  <c r="C90" i="12"/>
  <c r="AN93" i="12"/>
  <c r="C96" i="12"/>
  <c r="AN99" i="12"/>
  <c r="C102" i="12"/>
  <c r="AN105" i="12"/>
  <c r="C108" i="12"/>
  <c r="AN111" i="12"/>
  <c r="C114" i="12"/>
  <c r="AM117" i="12"/>
  <c r="AO118" i="12"/>
  <c r="AO132" i="12"/>
  <c r="C152" i="12"/>
  <c r="AN97" i="12"/>
  <c r="C138" i="12"/>
  <c r="C73" i="12"/>
  <c r="C148" i="12"/>
  <c r="C83" i="12"/>
  <c r="C154" i="12"/>
  <c r="C89" i="12"/>
  <c r="C160" i="12"/>
  <c r="C95" i="12"/>
  <c r="AR45" i="12"/>
  <c r="C185" i="12"/>
  <c r="C120" i="12"/>
  <c r="C189" i="12"/>
  <c r="C124" i="12"/>
  <c r="C127" i="12"/>
  <c r="C192" i="12"/>
  <c r="C197" i="12"/>
  <c r="C132" i="12"/>
  <c r="AM74" i="12"/>
  <c r="AM80" i="12"/>
  <c r="AM86" i="12"/>
  <c r="AM92" i="12"/>
  <c r="AM98" i="12"/>
  <c r="AM104" i="12"/>
  <c r="AM110" i="12"/>
  <c r="C115" i="12"/>
  <c r="AM120" i="12"/>
  <c r="AO128" i="12"/>
  <c r="AL164" i="12"/>
  <c r="AQ164" i="12" s="1"/>
  <c r="C142" i="12"/>
  <c r="AQ142" i="12" s="1"/>
  <c r="AS12" i="12" s="1"/>
  <c r="C77" i="12"/>
  <c r="C195" i="12"/>
  <c r="C130" i="12"/>
  <c r="AN103" i="12"/>
  <c r="AN128" i="12"/>
  <c r="C168" i="12"/>
  <c r="C103" i="12"/>
  <c r="AN71" i="12"/>
  <c r="C74" i="12"/>
  <c r="AN77" i="12"/>
  <c r="C80" i="12"/>
  <c r="AN83" i="12"/>
  <c r="C86" i="12"/>
  <c r="AN89" i="12"/>
  <c r="C92" i="12"/>
  <c r="AN95" i="12"/>
  <c r="C98" i="12"/>
  <c r="AN101" i="12"/>
  <c r="C104" i="12"/>
  <c r="AN107" i="12"/>
  <c r="C110" i="12"/>
  <c r="AN113" i="12"/>
  <c r="AO115" i="12"/>
  <c r="C116" i="12"/>
  <c r="AL117" i="12"/>
  <c r="AO124" i="12"/>
  <c r="C140" i="12"/>
  <c r="C158" i="12"/>
  <c r="C172" i="12"/>
  <c r="C107" i="12"/>
  <c r="C187" i="12"/>
  <c r="C122" i="12"/>
  <c r="C191" i="12"/>
  <c r="C126" i="12"/>
  <c r="C199" i="12"/>
  <c r="C134" i="12"/>
  <c r="AM76" i="12"/>
  <c r="AM82" i="12"/>
  <c r="AM88" i="12"/>
  <c r="AM94" i="12"/>
  <c r="AM100" i="12"/>
  <c r="AM106" i="12"/>
  <c r="AM112" i="12"/>
  <c r="AM119" i="12"/>
  <c r="AO120" i="12"/>
  <c r="AM137" i="12"/>
  <c r="AQ145" i="12"/>
  <c r="AM146" i="12"/>
  <c r="AO151" i="12"/>
  <c r="AL151" i="12"/>
  <c r="AM122" i="12"/>
  <c r="AN125" i="12"/>
  <c r="AM126" i="12"/>
  <c r="AN129" i="12"/>
  <c r="AM130" i="12"/>
  <c r="AN133" i="12"/>
  <c r="AM134" i="12"/>
  <c r="AO137" i="12"/>
  <c r="AL137" i="12"/>
  <c r="AM139" i="12"/>
  <c r="AO140" i="12"/>
  <c r="AL140" i="12"/>
  <c r="AO143" i="12"/>
  <c r="AL143" i="12"/>
  <c r="AM145" i="12"/>
  <c r="AO146" i="12"/>
  <c r="AL146" i="12"/>
  <c r="AO149" i="12"/>
  <c r="AL149" i="12"/>
  <c r="AM151" i="12"/>
  <c r="AO152" i="12"/>
  <c r="AL152" i="12"/>
  <c r="AQ152" i="12" s="1"/>
  <c r="AO155" i="12"/>
  <c r="AL155" i="12"/>
  <c r="AQ155" i="12" s="1"/>
  <c r="AM157" i="12"/>
  <c r="AO158" i="12"/>
  <c r="AO161" i="12"/>
  <c r="AL161" i="12"/>
  <c r="AQ161" i="12" s="1"/>
  <c r="AM163" i="12"/>
  <c r="AO164" i="12"/>
  <c r="AO167" i="12"/>
  <c r="AL167" i="12"/>
  <c r="AQ167" i="12" s="1"/>
  <c r="AM169" i="12"/>
  <c r="AO170" i="12"/>
  <c r="AO173" i="12"/>
  <c r="AL173" i="12"/>
  <c r="AM175" i="12"/>
  <c r="AO176" i="12"/>
  <c r="AO179" i="12"/>
  <c r="AL179" i="12"/>
  <c r="AM181" i="12"/>
  <c r="AO182" i="12"/>
  <c r="AO185" i="12"/>
  <c r="AL185" i="12"/>
  <c r="AM187" i="12"/>
  <c r="AO188" i="12"/>
  <c r="AO191" i="12"/>
  <c r="AL191" i="12"/>
  <c r="AM193" i="12"/>
  <c r="AO194" i="12"/>
  <c r="AO197" i="12"/>
  <c r="AL197" i="12"/>
  <c r="AL198" i="12"/>
  <c r="AM199" i="12"/>
  <c r="C113" i="12"/>
  <c r="AM116" i="12"/>
  <c r="C184" i="12"/>
  <c r="C190" i="12"/>
  <c r="C196" i="12"/>
  <c r="AL170" i="12"/>
  <c r="AL176" i="12"/>
  <c r="AL182" i="12"/>
  <c r="AL188" i="12"/>
  <c r="AL194" i="12"/>
  <c r="AM114" i="12"/>
  <c r="AO116" i="12"/>
  <c r="AM124" i="12"/>
  <c r="AM128" i="12"/>
  <c r="AM132" i="12"/>
  <c r="AM155" i="12"/>
  <c r="AM158" i="12"/>
  <c r="AM161" i="12"/>
  <c r="AM164" i="12"/>
  <c r="AM167" i="12"/>
  <c r="AM170" i="12"/>
  <c r="AM173" i="12"/>
  <c r="AM176" i="12"/>
  <c r="AM179" i="12"/>
  <c r="AM182" i="12"/>
  <c r="AM185" i="12"/>
  <c r="AM188" i="12"/>
  <c r="AM191" i="12"/>
  <c r="AM194" i="12"/>
  <c r="AM197" i="12"/>
  <c r="AR36" i="12" l="1"/>
  <c r="AR30" i="12"/>
  <c r="AS28" i="12"/>
  <c r="AQ76" i="12"/>
  <c r="AR11" i="12" s="1"/>
  <c r="AQ82" i="12"/>
  <c r="AR17" i="12" s="1"/>
  <c r="AQ141" i="12"/>
  <c r="AQ77" i="12"/>
  <c r="AQ144" i="12"/>
  <c r="AQ71" i="12"/>
  <c r="AR6" i="12" s="1"/>
  <c r="AQ84" i="12"/>
  <c r="AQ75" i="12"/>
  <c r="AR10" i="12" s="1"/>
  <c r="AR31" i="12"/>
  <c r="AQ148" i="12"/>
  <c r="AQ86" i="12"/>
  <c r="AR34" i="12"/>
  <c r="AS30" i="12"/>
  <c r="AS34" i="12"/>
  <c r="AQ72" i="12"/>
  <c r="AR7" i="12" s="1"/>
  <c r="AS32" i="12"/>
  <c r="AQ83" i="12"/>
  <c r="AQ147" i="12"/>
  <c r="AS27" i="12"/>
  <c r="AQ78" i="12"/>
  <c r="AR13" i="12" s="1"/>
  <c r="AR27" i="12"/>
  <c r="AR29" i="12"/>
  <c r="AR24" i="12"/>
  <c r="AS31" i="12"/>
  <c r="AR23" i="12"/>
  <c r="AS26" i="12"/>
  <c r="AR25" i="12"/>
  <c r="AS29" i="12"/>
  <c r="AS24" i="12"/>
  <c r="AR28" i="12"/>
  <c r="AR32" i="12"/>
  <c r="AS33" i="12"/>
  <c r="AR33" i="12"/>
  <c r="AR26" i="12"/>
  <c r="AR35" i="12"/>
  <c r="AS23" i="12"/>
  <c r="AS37" i="12"/>
  <c r="AS38" i="12"/>
  <c r="AR37" i="12"/>
  <c r="AR38" i="12"/>
  <c r="AQ85" i="12"/>
  <c r="AQ74" i="12"/>
  <c r="AR9" i="12" s="1"/>
  <c r="AQ73" i="12"/>
  <c r="AR8" i="12" s="1"/>
  <c r="AQ80" i="12"/>
  <c r="AR15" i="12" s="1"/>
  <c r="AQ138" i="12"/>
  <c r="AS36" i="12"/>
  <c r="AS25" i="12"/>
  <c r="AS35" i="12"/>
  <c r="AR12" i="12"/>
  <c r="AQ140" i="12"/>
  <c r="AQ151" i="12"/>
  <c r="AS21" i="12" s="1"/>
  <c r="AQ149" i="12"/>
  <c r="AS19" i="12" s="1"/>
  <c r="AQ143" i="12"/>
  <c r="AS13" i="12" s="1"/>
  <c r="AQ137" i="12"/>
  <c r="AS7" i="12" s="1"/>
  <c r="AQ146" i="12"/>
  <c r="AS16" i="12" s="1"/>
  <c r="AQ139" i="12"/>
  <c r="AS9" i="12" s="1"/>
  <c r="AR20" i="12" l="1"/>
  <c r="AR18" i="12"/>
  <c r="AS14" i="12"/>
  <c r="AR19" i="12"/>
  <c r="AR14" i="12"/>
  <c r="AR21" i="12"/>
  <c r="AS18" i="12"/>
  <c r="AS15" i="12"/>
  <c r="AR16" i="12"/>
  <c r="AR22" i="12"/>
  <c r="AS8" i="12"/>
  <c r="AS17" i="12"/>
  <c r="AS10" i="12"/>
  <c r="AS11" i="12"/>
  <c r="AS20" i="12"/>
  <c r="AS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52" i="8" l="1"/>
  <c r="AU10" i="8"/>
  <c r="AU11" i="8"/>
  <c r="AR55" i="8"/>
  <c r="AR60" i="8"/>
  <c r="AL182" i="8"/>
  <c r="AM163" i="8"/>
  <c r="AS34" i="8"/>
  <c r="AS46" i="8"/>
  <c r="AR34" i="8"/>
  <c r="AR57" i="8"/>
  <c r="AR47" i="8"/>
  <c r="AS26" i="8"/>
  <c r="AM121" i="8"/>
  <c r="AN122" i="8"/>
  <c r="AO189" i="8"/>
  <c r="AS67" i="8"/>
  <c r="AS25"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81" i="8" l="1"/>
  <c r="AR16" i="8" s="1"/>
  <c r="AQ142" i="8"/>
  <c r="AS12" i="8" s="1"/>
  <c r="AQ145" i="8"/>
  <c r="AS15" i="8" s="1"/>
  <c r="AQ84" i="8"/>
  <c r="AR19" i="8" s="1"/>
  <c r="AQ86" i="8"/>
  <c r="AR21" i="8" s="1"/>
  <c r="AQ148" i="8"/>
  <c r="AS18" i="8" s="1"/>
  <c r="AQ73" i="8"/>
  <c r="AQ143" i="8"/>
  <c r="AS13" i="8" s="1"/>
  <c r="AQ77" i="8"/>
  <c r="AR12" i="8" s="1"/>
  <c r="AQ150" i="8"/>
  <c r="AS20" i="8" s="1"/>
  <c r="AQ149" i="8"/>
  <c r="AS19" i="8" s="1"/>
  <c r="AQ82" i="8"/>
  <c r="AR17" i="8" s="1"/>
  <c r="AQ146" i="8"/>
  <c r="AS16" i="8" s="1"/>
  <c r="AQ138" i="8"/>
  <c r="AQ147" i="8"/>
  <c r="AS17" i="8" s="1"/>
  <c r="AQ80" i="8"/>
  <c r="AR15" i="8" s="1"/>
  <c r="AQ74" i="8"/>
  <c r="AR9" i="8" s="1"/>
  <c r="AQ141" i="8"/>
  <c r="AS11" i="8" s="1"/>
  <c r="AQ139" i="8"/>
  <c r="AS9" i="8" s="1"/>
  <c r="AQ144" i="8"/>
  <c r="AS14" i="8" s="1"/>
  <c r="AQ85" i="8"/>
  <c r="AR20" i="8" s="1"/>
  <c r="AQ140" i="8"/>
  <c r="AS10" i="8" s="1"/>
  <c r="AQ78" i="8"/>
  <c r="AR13" i="8" s="1"/>
  <c r="AQ75" i="8"/>
  <c r="AR10" i="8" s="1"/>
  <c r="AQ76" i="8"/>
  <c r="AR11" i="8" s="1"/>
  <c r="AQ151" i="8"/>
  <c r="AS21" i="8" s="1"/>
  <c r="AQ83" i="8"/>
  <c r="AR18" i="8" s="1"/>
  <c r="AQ79" i="8"/>
  <c r="AR14" i="8" s="1"/>
  <c r="AS24" i="8"/>
  <c r="AS23" i="8"/>
  <c r="AR23" i="8"/>
  <c r="AR24" i="8"/>
  <c r="AQ137" i="8"/>
  <c r="AQ72" i="8"/>
  <c r="AQ71" i="8"/>
  <c r="AR6" i="8" s="1"/>
  <c r="AQ136" i="8"/>
  <c r="AS6" i="8" s="1"/>
  <c r="B136" i="8"/>
  <c r="B71" i="8"/>
  <c r="D7" i="4"/>
  <c r="M13" i="4"/>
  <c r="N13" i="4" s="1"/>
  <c r="AR22" i="8" l="1"/>
  <c r="AR8" i="8"/>
  <c r="AS8" i="8"/>
  <c r="AS22" i="8"/>
  <c r="AS7" i="8"/>
  <c r="AR7" i="8"/>
  <c r="D3" i="1"/>
  <c r="D5" i="4" s="1"/>
  <c r="D4" i="4" l="1"/>
  <c r="D6" i="4" s="1"/>
  <c r="AW17" i="15" s="1"/>
  <c r="AL63" i="15" l="1"/>
  <c r="AL67" i="15"/>
  <c r="AL59" i="15"/>
  <c r="AL51" i="15"/>
  <c r="AL43" i="15"/>
  <c r="AL35" i="15"/>
  <c r="AL27" i="15"/>
  <c r="AL19" i="15"/>
  <c r="AT19" i="15" s="1"/>
  <c r="AL15" i="15"/>
  <c r="AT15" i="15" s="1"/>
  <c r="AL65" i="15"/>
  <c r="AL57" i="15"/>
  <c r="AL49" i="15"/>
  <c r="AL41" i="15"/>
  <c r="AL33" i="15"/>
  <c r="AL25" i="15"/>
  <c r="AL64" i="15"/>
  <c r="AL48" i="15"/>
  <c r="AL39" i="15"/>
  <c r="AL30" i="15"/>
  <c r="AL23" i="15"/>
  <c r="AL16" i="15"/>
  <c r="AT16" i="15" s="1"/>
  <c r="AL8" i="15"/>
  <c r="AT8" i="15" s="1"/>
  <c r="AL28" i="15"/>
  <c r="AL21" i="15"/>
  <c r="AT21" i="15" s="1"/>
  <c r="AL62" i="15"/>
  <c r="AL55" i="15"/>
  <c r="AL46" i="15"/>
  <c r="AL37" i="15"/>
  <c r="AW11" i="15"/>
  <c r="AL50" i="15"/>
  <c r="AL69" i="15"/>
  <c r="AL53" i="15"/>
  <c r="AL44" i="15"/>
  <c r="AL26" i="15"/>
  <c r="AL9" i="15"/>
  <c r="AT9" i="15" s="1"/>
  <c r="AL60" i="15"/>
  <c r="AL42" i="15"/>
  <c r="AL24" i="15"/>
  <c r="AL17" i="15"/>
  <c r="AT17" i="15" s="1"/>
  <c r="AL22" i="15"/>
  <c r="AL58" i="15"/>
  <c r="AL56" i="15"/>
  <c r="AL40" i="15"/>
  <c r="AL38" i="15"/>
  <c r="AL31" i="15"/>
  <c r="AL14" i="15"/>
  <c r="AT14" i="15" s="1"/>
  <c r="AL32" i="15"/>
  <c r="AW10" i="15"/>
  <c r="AL54" i="15"/>
  <c r="AL47" i="15"/>
  <c r="AL36" i="15"/>
  <c r="AL29" i="15"/>
  <c r="AL20" i="15"/>
  <c r="AT20" i="15" s="1"/>
  <c r="AL68" i="15"/>
  <c r="AL61" i="15"/>
  <c r="AL52" i="15"/>
  <c r="AL45" i="15"/>
  <c r="AL34" i="15"/>
  <c r="AL18" i="15"/>
  <c r="AT18" i="15" s="1"/>
  <c r="AL66" i="15"/>
  <c r="AW8" i="15"/>
  <c r="AW9" i="15"/>
  <c r="AW16" i="15"/>
  <c r="AU15" i="15" s="1"/>
  <c r="AW17" i="12"/>
  <c r="AL18" i="12" s="1"/>
  <c r="AT18" i="12" s="1"/>
  <c r="AW17" i="14"/>
  <c r="AL6" i="12"/>
  <c r="AT6" i="12" s="1"/>
  <c r="AL10" i="12"/>
  <c r="AT10" i="12" s="1"/>
  <c r="AL11" i="12"/>
  <c r="AT11" i="12" s="1"/>
  <c r="AL7" i="12"/>
  <c r="AT7" i="12" s="1"/>
  <c r="AL13" i="12"/>
  <c r="AT13" i="12" s="1"/>
  <c r="AL12" i="12"/>
  <c r="AT12"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S5" i="15" l="1"/>
  <c r="AR5" i="15"/>
  <c r="AW12" i="14"/>
  <c r="AU5" i="14" s="1"/>
  <c r="AW12" i="15"/>
  <c r="AU5" i="15" s="1"/>
  <c r="AU14" i="15"/>
  <c r="AV5" i="15"/>
  <c r="AU13" i="15"/>
  <c r="AT5" i="15"/>
  <c r="AW16" i="12"/>
  <c r="AU15" i="12" s="1"/>
  <c r="AL48" i="12"/>
  <c r="AL34" i="12"/>
  <c r="AT34" i="12" s="1"/>
  <c r="AL26" i="12"/>
  <c r="AT26" i="12" s="1"/>
  <c r="AL32" i="12"/>
  <c r="AT32" i="12" s="1"/>
  <c r="AL25" i="12"/>
  <c r="AT25" i="12" s="1"/>
  <c r="AL66" i="12"/>
  <c r="AL27" i="12"/>
  <c r="AT27" i="12" s="1"/>
  <c r="AL56" i="12"/>
  <c r="AL40" i="12"/>
  <c r="AL35" i="12"/>
  <c r="AT35" i="12" s="1"/>
  <c r="AL33" i="12"/>
  <c r="AT33" i="12" s="1"/>
  <c r="AL60" i="12"/>
  <c r="AL52" i="12"/>
  <c r="AL53" i="12"/>
  <c r="AW8" i="12"/>
  <c r="AL37" i="12"/>
  <c r="AT37" i="12" s="1"/>
  <c r="AL64" i="12"/>
  <c r="AW11" i="12"/>
  <c r="AU13" i="12" s="1"/>
  <c r="AL46" i="12"/>
  <c r="AL68" i="12"/>
  <c r="AL50" i="12"/>
  <c r="AL16" i="12"/>
  <c r="AT16" i="12" s="1"/>
  <c r="AL22" i="12"/>
  <c r="AT22" i="12" s="1"/>
  <c r="AL28" i="12"/>
  <c r="AT28" i="12" s="1"/>
  <c r="AL54" i="12"/>
  <c r="AL8" i="12"/>
  <c r="AT8" i="12" s="1"/>
  <c r="AL31" i="12"/>
  <c r="AT31" i="12" s="1"/>
  <c r="AL43" i="12"/>
  <c r="AL41" i="12"/>
  <c r="AL44" i="12"/>
  <c r="AL62" i="12"/>
  <c r="AL29" i="12"/>
  <c r="AT29" i="12" s="1"/>
  <c r="AL14" i="12"/>
  <c r="AT14" i="12" s="1"/>
  <c r="AL42" i="12"/>
  <c r="AL38" i="12"/>
  <c r="AL6" i="14"/>
  <c r="AT6" i="14" s="1"/>
  <c r="AL17" i="14"/>
  <c r="AT17" i="14" s="1"/>
  <c r="AL20" i="14"/>
  <c r="AT20" i="14" s="1"/>
  <c r="AL16" i="14"/>
  <c r="AT16" i="14" s="1"/>
  <c r="AL15" i="14"/>
  <c r="AT15" i="14" s="1"/>
  <c r="AL21" i="14"/>
  <c r="AT21" i="14" s="1"/>
  <c r="AL19" i="14"/>
  <c r="AT19" i="14" s="1"/>
  <c r="AL14" i="14"/>
  <c r="AT14" i="14" s="1"/>
  <c r="AL18" i="14"/>
  <c r="AT18" i="14" s="1"/>
  <c r="AL36" i="12"/>
  <c r="AT36" i="12" s="1"/>
  <c r="AL69" i="12"/>
  <c r="AL51" i="12"/>
  <c r="AL58" i="12"/>
  <c r="AL47" i="12"/>
  <c r="AL19" i="12"/>
  <c r="AT19" i="12" s="1"/>
  <c r="AW10" i="12"/>
  <c r="AU14" i="12" s="1"/>
  <c r="AL57" i="12"/>
  <c r="AL49" i="12"/>
  <c r="AL59" i="12"/>
  <c r="AL17" i="12"/>
  <c r="AT17" i="12" s="1"/>
  <c r="AL24" i="12"/>
  <c r="AT24" i="12" s="1"/>
  <c r="AL9" i="12"/>
  <c r="AT9" i="12" s="1"/>
  <c r="AL55" i="12"/>
  <c r="AL65" i="12"/>
  <c r="AL15" i="12"/>
  <c r="AT15" i="12" s="1"/>
  <c r="AL63" i="12"/>
  <c r="AL30" i="12"/>
  <c r="AT30" i="12" s="1"/>
  <c r="AL61" i="12"/>
  <c r="AL21" i="12"/>
  <c r="AT21" i="12" s="1"/>
  <c r="AL20" i="12"/>
  <c r="AT20" i="12" s="1"/>
  <c r="AL45" i="12"/>
  <c r="AW9" i="12"/>
  <c r="AL39" i="12"/>
  <c r="AL23" i="12"/>
  <c r="AT23" i="12" s="1"/>
  <c r="AL67" i="12"/>
  <c r="AL67" i="14"/>
  <c r="AL59" i="14"/>
  <c r="AL51" i="14"/>
  <c r="AL43" i="14"/>
  <c r="AL35" i="14"/>
  <c r="AT35" i="14" s="1"/>
  <c r="AL27" i="14"/>
  <c r="AT27" i="14" s="1"/>
  <c r="AL68" i="14"/>
  <c r="AL63" i="14"/>
  <c r="AL46" i="14"/>
  <c r="AL41" i="14"/>
  <c r="AL36" i="14"/>
  <c r="AT36" i="14" s="1"/>
  <c r="AL31" i="14"/>
  <c r="AT31" i="14" s="1"/>
  <c r="AL24" i="14"/>
  <c r="AT24" i="14" s="1"/>
  <c r="AL10" i="14"/>
  <c r="AT10" i="14" s="1"/>
  <c r="AW8" i="14"/>
  <c r="AU11" i="14" s="1"/>
  <c r="AL66" i="14"/>
  <c r="AL61" i="14"/>
  <c r="AL56" i="14"/>
  <c r="AL34" i="14"/>
  <c r="AT34" i="14" s="1"/>
  <c r="AL11" i="14"/>
  <c r="AT11" i="14" s="1"/>
  <c r="AL50" i="14"/>
  <c r="AL8" i="14"/>
  <c r="AT8" i="14" s="1"/>
  <c r="AL29" i="14"/>
  <c r="AT29" i="14" s="1"/>
  <c r="AL22" i="14"/>
  <c r="AT22" i="14" s="1"/>
  <c r="AL26" i="14"/>
  <c r="AT26" i="14" s="1"/>
  <c r="AL54" i="14"/>
  <c r="AL49" i="14"/>
  <c r="AL44" i="14"/>
  <c r="AL39" i="14"/>
  <c r="AL12" i="14"/>
  <c r="AT12" i="14" s="1"/>
  <c r="AW9" i="14"/>
  <c r="AU10" i="14" s="1"/>
  <c r="AL69" i="14"/>
  <c r="AL64" i="14"/>
  <c r="AL42" i="14"/>
  <c r="AL37" i="14"/>
  <c r="AT37" i="14" s="1"/>
  <c r="AL32" i="14"/>
  <c r="AT32" i="14" s="1"/>
  <c r="AL25" i="14"/>
  <c r="AT25" i="14" s="1"/>
  <c r="AW16" i="14"/>
  <c r="AU15" i="14" s="1"/>
  <c r="AW10" i="14"/>
  <c r="AL13" i="14"/>
  <c r="AT13" i="14" s="1"/>
  <c r="AW11" i="14"/>
  <c r="AL7" i="14"/>
  <c r="AT7" i="14" s="1"/>
  <c r="AL40" i="14"/>
  <c r="AL23" i="14"/>
  <c r="AT23" i="14" s="1"/>
  <c r="AL53" i="14"/>
  <c r="AL62" i="14"/>
  <c r="AL57" i="14"/>
  <c r="AL52" i="14"/>
  <c r="AL47" i="14"/>
  <c r="AL30" i="14"/>
  <c r="AT30" i="14" s="1"/>
  <c r="AL45" i="14"/>
  <c r="AL65" i="14"/>
  <c r="AL60" i="14"/>
  <c r="AL55" i="14"/>
  <c r="AL38" i="14"/>
  <c r="AL33" i="14"/>
  <c r="AT33" i="14" s="1"/>
  <c r="AL28" i="14"/>
  <c r="AT28" i="14" s="1"/>
  <c r="AL9" i="14"/>
  <c r="AT9" i="14" s="1"/>
  <c r="AL58" i="14"/>
  <c r="AL48" i="14"/>
  <c r="AW12" i="8"/>
  <c r="AU5" i="8" s="1"/>
  <c r="AW12" i="12"/>
  <c r="AU5" i="12" s="1"/>
  <c r="AL66" i="8"/>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S5" i="12" l="1"/>
  <c r="AR5" i="12"/>
  <c r="AT5" i="12"/>
  <c r="AV5" i="12"/>
  <c r="AR5" i="14"/>
  <c r="AU13" i="14"/>
  <c r="AT5" i="14"/>
  <c r="AU14" i="14"/>
  <c r="AV5" i="14"/>
  <c r="AS5" i="14"/>
  <c r="AT5" i="8"/>
  <c r="AS5" i="8"/>
  <c r="AR5" i="8"/>
  <c r="AV5" i="8"/>
  <c r="B15" i="1"/>
  <c r="B14" i="1"/>
  <c r="B12" i="1"/>
  <c r="B11" i="1"/>
  <c r="B9" i="1"/>
  <c r="G14" i="4" l="1"/>
  <c r="AW15" i="12" s="1"/>
  <c r="AU8" i="12" s="1"/>
  <c r="H14" i="4"/>
  <c r="I14" i="4"/>
  <c r="H15" i="4"/>
  <c r="I15" i="4"/>
  <c r="H16" i="4"/>
  <c r="I16"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G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7" i="4" l="1"/>
  <c r="F16" i="4"/>
  <c r="AW14" i="14" s="1"/>
  <c r="AU7" i="14" s="1"/>
  <c r="G15" i="4"/>
  <c r="AW15" i="14" s="1"/>
  <c r="AU8" i="14" s="1"/>
  <c r="G13" i="4" l="1"/>
  <c r="F13" i="4"/>
  <c r="AW15" i="8" l="1"/>
  <c r="AU8" i="8" s="1"/>
  <c r="AW15" i="15"/>
  <c r="AU8" i="15" s="1"/>
  <c r="AW14" i="8"/>
  <c r="AU7" i="8" s="1"/>
  <c r="AW14" i="15"/>
  <c r="AU7" i="15"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10" authorId="2" shapeId="0" xr:uid="{00000000-0006-0000-0400-00000A000000}">
      <text>
        <r>
          <rPr>
            <b/>
            <sz val="9"/>
            <color indexed="81"/>
            <rFont val="MS P ゴシック"/>
            <family val="3"/>
            <charset val="128"/>
          </rPr>
          <t>下記はSV側で実施を行う
【4-1 No17,18】
安心降車アシスト標準メータ要求仕様書のVariable_MID 5-1 No2 表示
優先順位＜本e-Latchシステムメータ要求仕様書のMID 4-1 No17,18の表示優先順位とする事（ﾒｰﾀECU内にて優先順位を設定する事）</t>
        </r>
        <r>
          <rPr>
            <sz val="9"/>
            <color indexed="81"/>
            <rFont val="MS P ゴシック"/>
            <family val="3"/>
            <charset val="128"/>
          </rPr>
          <t xml:space="preserve">
</t>
        </r>
      </text>
    </comment>
    <comment ref="J11" authorId="2" shapeId="0" xr:uid="{00000000-0006-0000-0400-00000B000000}">
      <text>
        <r>
          <rPr>
            <b/>
            <sz val="9"/>
            <color indexed="81"/>
            <rFont val="MS P ゴシック"/>
            <family val="3"/>
            <charset val="128"/>
          </rPr>
          <t>下記はSV側で実施を行う
【4-1 No17,18】
安心降車アシスト標準メータ要求仕様書のVariable_MID 5-1 No2 表示
優先順位＜本e-Latchシステムメータ要求仕様書のMID 4-1 No17,18の表示優先順位とする事（ﾒｰﾀECU内にて優先順位を設定する事）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900-000002000000}">
      <text>
        <r>
          <rPr>
            <b/>
            <sz val="9"/>
            <color indexed="81"/>
            <rFont val="MS P ゴシック"/>
            <family val="3"/>
            <charset val="128"/>
          </rPr>
          <t xml:space="preserve">リモート送信条件成立：IG ON 且つ PTS ONが15[s]以上
</t>
        </r>
      </text>
    </comment>
    <comment ref="E10" authorId="1" shapeId="0" xr:uid="{00000000-0006-0000-0900-000003000000}">
      <text>
        <r>
          <rPr>
            <b/>
            <sz val="9"/>
            <color indexed="81"/>
            <rFont val="MS P ゴシック"/>
            <family val="3"/>
            <charset val="128"/>
          </rPr>
          <t xml:space="preserve">IG ON 且つ ST OFF
</t>
        </r>
      </text>
    </comment>
    <comment ref="F10" authorId="1" shapeId="0" xr:uid="{00000000-0006-0000-0900-000004000000}">
      <text>
        <r>
          <rPr>
            <b/>
            <sz val="9"/>
            <color indexed="81"/>
            <rFont val="MS P ゴシック"/>
            <family val="3"/>
            <charset val="128"/>
          </rPr>
          <t>IG ON</t>
        </r>
      </text>
    </comment>
    <comment ref="G10" authorId="1" shapeId="0" xr:uid="{00000000-0006-0000-0900-000005000000}">
      <text>
        <r>
          <rPr>
            <b/>
            <sz val="9"/>
            <color indexed="81"/>
            <rFont val="MS P ゴシック"/>
            <family val="3"/>
            <charset val="128"/>
          </rPr>
          <t xml:space="preserve">IG OFF 且つ IG OFF後25[m]未満
</t>
        </r>
      </text>
    </comment>
    <comment ref="H10" authorId="1" shapeId="0" xr:uid="{00000000-0006-0000-0900-000006000000}">
      <text>
        <r>
          <rPr>
            <b/>
            <sz val="9"/>
            <color indexed="81"/>
            <rFont val="MS P ゴシック"/>
            <family val="3"/>
            <charset val="128"/>
          </rPr>
          <t xml:space="preserve">IG OFF
</t>
        </r>
      </text>
    </comment>
    <comment ref="I10" authorId="1" shapeId="0" xr:uid="{00000000-0006-0000-0900-000007000000}">
      <text>
        <r>
          <rPr>
            <b/>
            <sz val="9"/>
            <color indexed="81"/>
            <rFont val="MS P ゴシック"/>
            <family val="3"/>
            <charset val="128"/>
          </rPr>
          <t xml:space="preserve">IG ON 又は IG OFF後25[m]未満
</t>
        </r>
      </text>
    </comment>
    <comment ref="J10" authorId="1" shapeId="0" xr:uid="{00000000-0006-0000-0900-000008000000}">
      <text>
        <r>
          <rPr>
            <b/>
            <sz val="9"/>
            <color indexed="81"/>
            <rFont val="MS P ゴシック"/>
            <family val="3"/>
            <charset val="128"/>
          </rPr>
          <t>+B ON 又は ACC ON</t>
        </r>
      </text>
    </comment>
    <comment ref="B32"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 authorId="1" shapeId="0" xr:uid="{00000000-0006-0000-0900-00000A000000}">
      <text>
        <r>
          <rPr>
            <b/>
            <sz val="9"/>
            <color indexed="81"/>
            <rFont val="MS P ゴシック"/>
            <family val="3"/>
            <charset val="128"/>
          </rPr>
          <t xml:space="preserve">リモート送信条件成立：IG ON 且つ PTS ONが15[s]以上
</t>
        </r>
      </text>
    </comment>
    <comment ref="E35" authorId="1" shapeId="0" xr:uid="{00000000-0006-0000-0900-00000B000000}">
      <text>
        <r>
          <rPr>
            <b/>
            <sz val="9"/>
            <color indexed="81"/>
            <rFont val="MS P ゴシック"/>
            <family val="3"/>
            <charset val="128"/>
          </rPr>
          <t xml:space="preserve">IG ON 且つ ST OFF
</t>
        </r>
      </text>
    </comment>
    <comment ref="F35" authorId="1" shapeId="0" xr:uid="{00000000-0006-0000-0900-00000C000000}">
      <text>
        <r>
          <rPr>
            <b/>
            <sz val="9"/>
            <color indexed="81"/>
            <rFont val="MS P ゴシック"/>
            <family val="3"/>
            <charset val="128"/>
          </rPr>
          <t>IG ON</t>
        </r>
      </text>
    </comment>
    <comment ref="G35" authorId="1" shapeId="0" xr:uid="{00000000-0006-0000-0900-00000D000000}">
      <text>
        <r>
          <rPr>
            <b/>
            <sz val="9"/>
            <color indexed="81"/>
            <rFont val="MS P ゴシック"/>
            <family val="3"/>
            <charset val="128"/>
          </rPr>
          <t xml:space="preserve">IG OFF 且つ IG OFF後25[m]未満
</t>
        </r>
      </text>
    </comment>
    <comment ref="H35" authorId="1" shapeId="0" xr:uid="{00000000-0006-0000-0900-00000E000000}">
      <text>
        <r>
          <rPr>
            <b/>
            <sz val="9"/>
            <color indexed="81"/>
            <rFont val="MS P ゴシック"/>
            <family val="3"/>
            <charset val="128"/>
          </rPr>
          <t xml:space="preserve">IG OFF
</t>
        </r>
      </text>
    </comment>
    <comment ref="I35" authorId="1" shapeId="0" xr:uid="{00000000-0006-0000-0900-00000F000000}">
      <text>
        <r>
          <rPr>
            <b/>
            <sz val="9"/>
            <color indexed="81"/>
            <rFont val="MS P ゴシック"/>
            <family val="3"/>
            <charset val="128"/>
          </rPr>
          <t xml:space="preserve">IG ON 又は IG OFF後25[m]未満
</t>
        </r>
      </text>
    </comment>
    <comment ref="J35" authorId="1" shapeId="0" xr:uid="{00000000-0006-0000-0900-000010000000}">
      <text>
        <r>
          <rPr>
            <b/>
            <sz val="9"/>
            <color indexed="81"/>
            <rFont val="MS P ゴシック"/>
            <family val="3"/>
            <charset val="128"/>
          </rPr>
          <t>+B ON 又は ACC ON</t>
        </r>
      </text>
    </comment>
    <comment ref="B54"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00000000-0006-0000-0900-000012000000}">
      <text>
        <r>
          <rPr>
            <b/>
            <sz val="9"/>
            <color indexed="81"/>
            <rFont val="MS P ゴシック"/>
            <family val="3"/>
            <charset val="128"/>
          </rPr>
          <t xml:space="preserve">リモート送信条件成立：IG ON 且つ PTS ONが15[s]以上
</t>
        </r>
      </text>
    </comment>
    <comment ref="E57" authorId="1" shapeId="0" xr:uid="{00000000-0006-0000-0900-000013000000}">
      <text>
        <r>
          <rPr>
            <b/>
            <sz val="9"/>
            <color indexed="81"/>
            <rFont val="MS P ゴシック"/>
            <family val="3"/>
            <charset val="128"/>
          </rPr>
          <t xml:space="preserve">IG ON 且つ ST OFF
</t>
        </r>
      </text>
    </comment>
    <comment ref="F57" authorId="1" shapeId="0" xr:uid="{00000000-0006-0000-0900-000014000000}">
      <text>
        <r>
          <rPr>
            <b/>
            <sz val="9"/>
            <color indexed="81"/>
            <rFont val="MS P ゴシック"/>
            <family val="3"/>
            <charset val="128"/>
          </rPr>
          <t>IG ON</t>
        </r>
      </text>
    </comment>
    <comment ref="G57" authorId="1" shapeId="0" xr:uid="{00000000-0006-0000-0900-000015000000}">
      <text>
        <r>
          <rPr>
            <b/>
            <sz val="9"/>
            <color indexed="81"/>
            <rFont val="MS P ゴシック"/>
            <family val="3"/>
            <charset val="128"/>
          </rPr>
          <t xml:space="preserve">IG OFF 且つ IG OFF後25[m]未満
</t>
        </r>
      </text>
    </comment>
    <comment ref="H57" authorId="1" shapeId="0" xr:uid="{00000000-0006-0000-0900-000016000000}">
      <text>
        <r>
          <rPr>
            <b/>
            <sz val="9"/>
            <color indexed="81"/>
            <rFont val="MS P ゴシック"/>
            <family val="3"/>
            <charset val="128"/>
          </rPr>
          <t xml:space="preserve">IG OFF
</t>
        </r>
      </text>
    </comment>
    <comment ref="I57" authorId="1" shapeId="0" xr:uid="{00000000-0006-0000-0900-000017000000}">
      <text>
        <r>
          <rPr>
            <b/>
            <sz val="9"/>
            <color indexed="81"/>
            <rFont val="MS P ゴシック"/>
            <family val="3"/>
            <charset val="128"/>
          </rPr>
          <t xml:space="preserve">IG ON 又は IG OFF後25[m]未満
</t>
        </r>
      </text>
    </comment>
    <comment ref="J57" authorId="1" shapeId="0" xr:uid="{00000000-0006-0000-0900-000018000000}">
      <text>
        <r>
          <rPr>
            <b/>
            <sz val="9"/>
            <color indexed="81"/>
            <rFont val="MS P ゴシック"/>
            <family val="3"/>
            <charset val="128"/>
          </rPr>
          <t>+B ON 又は ACC ON</t>
        </r>
      </text>
    </comment>
    <comment ref="B82"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5" authorId="1" shapeId="0" xr:uid="{00000000-0006-0000-0900-00001A000000}">
      <text>
        <r>
          <rPr>
            <b/>
            <sz val="9"/>
            <color indexed="81"/>
            <rFont val="MS P ゴシック"/>
            <family val="3"/>
            <charset val="128"/>
          </rPr>
          <t xml:space="preserve">リモート送信条件成立：IG ON 且つ PTS ONが15[s]以上
</t>
        </r>
      </text>
    </comment>
    <comment ref="E85" authorId="1" shapeId="0" xr:uid="{00000000-0006-0000-0900-00001B000000}">
      <text>
        <r>
          <rPr>
            <b/>
            <sz val="9"/>
            <color indexed="81"/>
            <rFont val="MS P ゴシック"/>
            <family val="3"/>
            <charset val="128"/>
          </rPr>
          <t xml:space="preserve">IG ON 且つ ST OFF
</t>
        </r>
      </text>
    </comment>
    <comment ref="F85" authorId="1" shapeId="0" xr:uid="{00000000-0006-0000-0900-00001C000000}">
      <text>
        <r>
          <rPr>
            <b/>
            <sz val="9"/>
            <color indexed="81"/>
            <rFont val="MS P ゴシック"/>
            <family val="3"/>
            <charset val="128"/>
          </rPr>
          <t>IG ON</t>
        </r>
      </text>
    </comment>
    <comment ref="G85" authorId="1" shapeId="0" xr:uid="{00000000-0006-0000-0900-00001D000000}">
      <text>
        <r>
          <rPr>
            <b/>
            <sz val="9"/>
            <color indexed="81"/>
            <rFont val="MS P ゴシック"/>
            <family val="3"/>
            <charset val="128"/>
          </rPr>
          <t xml:space="preserve">IG OFF 且つ IG OFF後25[m]未満
</t>
        </r>
      </text>
    </comment>
    <comment ref="H85" authorId="1" shapeId="0" xr:uid="{00000000-0006-0000-0900-00001E000000}">
      <text>
        <r>
          <rPr>
            <b/>
            <sz val="9"/>
            <color indexed="81"/>
            <rFont val="MS P ゴシック"/>
            <family val="3"/>
            <charset val="128"/>
          </rPr>
          <t xml:space="preserve">IG OFF
</t>
        </r>
      </text>
    </comment>
    <comment ref="I85" authorId="1" shapeId="0" xr:uid="{00000000-0006-0000-0900-00001F000000}">
      <text>
        <r>
          <rPr>
            <b/>
            <sz val="9"/>
            <color indexed="81"/>
            <rFont val="MS P ゴシック"/>
            <family val="3"/>
            <charset val="128"/>
          </rPr>
          <t xml:space="preserve">IG ON 又は IG OFF後25[m]未満
</t>
        </r>
      </text>
    </comment>
    <comment ref="J85"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<sst xmlns="http://schemas.openxmlformats.org/spreadsheetml/2006/main" count="9148" uniqueCount="357">
  <si>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</si>
  <si>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</si>
  <si>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</si>
  <si>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</si>
  <si>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</si>
  <si>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</si>
  <si>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</si>
  <si>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</si>
  <si>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</si>
  <si>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</si>
  <si>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</si>
  <si>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</si>
  <si>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</si>
  <si>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</si>
  <si>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</si>
  <si>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</si>
  <si>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</si>
  <si>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</si>
  <si>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</si>
  <si>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</si>
  <si>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</si>
  <si>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</si>
  <si>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</si>
  <si>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</si>
  <si>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</si>
  <si>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</si>
  <si>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</si>
  <si>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</si>
  <si>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</si>
  <si>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</si>
  <si>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</si>
  <si>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</si>
  <si>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</si>
  <si>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</si>
  <si>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</si>
  <si>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</si>
  <si>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</si>
  <si>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</si>
  <si>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</si>
  <si>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</si>
  <si>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</si>
  <si>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</si>
  <si>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</si>
  <si>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</si>
  <si>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</si>
  <si>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</si>
  <si>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</si>
  <si>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</si>
  <si>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</si>
  <si>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</si>
  <si>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</si>
  <si>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</si>
  <si>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</si>
  <si>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</si>
  <si>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</si>
  <si>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</si>
  <si>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</si>
  <si>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</si>
  <si>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</si>
  <si>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</si>
  <si>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</si>
  <si>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</si>
  <si>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</si>
  <si>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</si>
  <si>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</si>
  <si>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</si>
  <si>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</si>
  <si>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</si>
  <si>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</si>
  <si>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</si>
  <si>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</si>
  <si>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</si>
  <si>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</si>
  <si>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</si>
  <si>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</si>
  <si>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</si>
  <si>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</si>
  <si>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</si>
  <si>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</si>
  <si>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</si>
  <si>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</si>
  <si>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</si>
  <si>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</si>
  <si>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</si>
  <si>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</si>
  <si>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</si>
  <si>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</si>
  <si>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</si>
  <si>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</si>
  <si>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</si>
  <si>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</si>
  <si>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</si>
  <si>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</si>
  <si>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</si>
  <si>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</si>
  <si>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</si>
  <si>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</si>
  <si>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</si>
  <si>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</si>
  <si>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</si>
  <si>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</si>
  <si>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</si>
  <si>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</si>
  <si>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</si>
  <si>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</si>
  <si>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</si>
  <si>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</si>
  <si>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</si>
  <si>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</si>
  <si>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</si>
  <si>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</si>
  <si>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</si>
  <si>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</si>
  <si>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</si>
  <si>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</si>
  <si>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</si>
  <si>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</si>
  <si>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</si>
  <si>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</si>
  <si>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</si>
  <si>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</si>
  <si>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</si>
  <si>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</si>
  <si>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</si>
  <si>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</si>
  <si>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</si>
  <si>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</si>
  <si>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</si>
  <si>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</si>
  <si>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</si>
  <si>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</si>
  <si>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</si>
  <si>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</si>
  <si>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</si>
  <si>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</si>
  <si>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</si>
  <si>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</si>
  <si>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</si>
  <si>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</si>
  <si>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</si>
  <si>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</si>
  <si>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</si>
  <si>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</si>
  <si>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</si>
  <si>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</si>
  <si>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</si>
  <si>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</si>
  <si>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</si>
  <si>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</si>
  <si>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</si>
  <si>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</si>
  <si>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</si>
  <si>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</si>
  <si>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</si>
  <si>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</si>
  <si>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</si>
  <si>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</si>
  <si>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</si>
  <si>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</si>
  <si>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</si>
  <si>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</si>
  <si>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</si>
  <si>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</si>
  <si>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</si>
  <si>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</si>
  <si>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</si>
  <si>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</si>
  <si>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</si>
  <si>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</si>
  <si>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</si>
  <si>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</si>
  <si>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</si>
  <si>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</si>
  <si>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</si>
  <si>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</si>
  <si>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</si>
  <si>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</si>
  <si>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</si>
  <si>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</si>
  <si>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</si>
  <si>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</si>
  <si>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</si>
  <si>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</si>
  <si>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</si>
  <si>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</si>
  <si>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</si>
  <si>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</si>
  <si>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</si>
  <si>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</si>
  <si>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</si>
  <si>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</si>
  <si>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</si>
  <si>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</si>
  <si>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</si>
  <si>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</si>
  <si>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</si>
  <si>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</si>
  <si>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</si>
  <si>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</si>
  <si>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</si>
  <si>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</si>
  <si>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</si>
  <si>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</si>
  <si>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</si>
  <si>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</si>
  <si>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</si>
  <si>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</si>
  <si>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</si>
  <si>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</si>
  <si>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</si>
  <si>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PD</t>
    <phoneticPr fontId="2"/>
  </si>
  <si>
    <t>RWT_EN
機能有無：-</t>
    <rPh sb="7" eb="9">
      <t>キノウ</t>
    </rPh>
    <rPh sb="9" eb="11">
      <t>ウム</t>
    </rPh>
    <phoneticPr fontId="2"/>
  </si>
  <si>
    <t>-/
要求有り</t>
    <rPh sb="4" eb="6">
      <t>ヨウキュウ</t>
    </rPh>
    <rPh sb="6" eb="7">
      <t>ア</t>
    </rPh>
    <phoneticPr fontId="2"/>
  </si>
  <si>
    <t>Index</t>
  </si>
  <si>
    <t>○</t>
  </si>
  <si>
    <t>000b</t>
    <phoneticPr fontId="2"/>
  </si>
  <si>
    <t>001b</t>
    <phoneticPr fontId="2"/>
  </si>
  <si>
    <t>010b</t>
    <phoneticPr fontId="2"/>
  </si>
  <si>
    <t>011b</t>
    <phoneticPr fontId="2"/>
  </si>
  <si>
    <t>100b</t>
    <phoneticPr fontId="2"/>
  </si>
  <si>
    <t>101b</t>
    <phoneticPr fontId="2"/>
  </si>
  <si>
    <t>110b</t>
    <phoneticPr fontId="2"/>
  </si>
  <si>
    <t>111b</t>
    <phoneticPr fontId="2"/>
  </si>
  <si>
    <t>0b</t>
    <phoneticPr fontId="2"/>
  </si>
  <si>
    <t>1b</t>
    <phoneticPr fontId="2"/>
  </si>
  <si>
    <t>REQ10</t>
    <phoneticPr fontId="2"/>
  </si>
  <si>
    <t>REQ04</t>
    <phoneticPr fontId="2"/>
  </si>
  <si>
    <t>REQ06</t>
    <phoneticPr fontId="2"/>
  </si>
  <si>
    <t>BDB1S05</t>
    <phoneticPr fontId="2"/>
  </si>
  <si>
    <t>BDB1S05</t>
    <phoneticPr fontId="2"/>
  </si>
  <si>
    <t>BDB1S05_STS</t>
    <phoneticPr fontId="2"/>
  </si>
  <si>
    <t>IG-ON + 通常 + システム異常</t>
  </si>
  <si>
    <t>IG-ON + 通常 + アンラッチ作動条件不成立</t>
  </si>
  <si>
    <t>IG-ON + 通常 + シフトＰオートアンロック条件成立</t>
  </si>
  <si>
    <t>IG-ON + 通常 + 車速オートアンロック条件成立</t>
  </si>
  <si>
    <t>IG-ON + 未受信 + *</t>
    <rPh sb="8" eb="9">
      <t>ミ</t>
    </rPh>
    <rPh sb="9" eb="11">
      <t>ジュシン</t>
    </rPh>
    <phoneticPr fontId="2"/>
  </si>
  <si>
    <t>SYSMLFNC</t>
  </si>
  <si>
    <t>SYSMLFNC</t>
    <phoneticPr fontId="2"/>
  </si>
  <si>
    <t>ELSW</t>
    <phoneticPr fontId="2"/>
  </si>
  <si>
    <t>MET1S34</t>
    <phoneticPr fontId="2"/>
  </si>
  <si>
    <t>BDB1S05_STS</t>
    <phoneticPr fontId="2"/>
  </si>
  <si>
    <t>***b</t>
    <phoneticPr fontId="2"/>
  </si>
  <si>
    <t xml:space="preserve"> </t>
    <phoneticPr fontId="2"/>
  </si>
  <si>
    <t>－</t>
  </si>
  <si>
    <t>通常(0b)/
未受信(1b)</t>
    <rPh sb="0" eb="2">
      <t>ツウジョウ</t>
    </rPh>
    <phoneticPr fontId="2"/>
  </si>
  <si>
    <t>TT</t>
    <phoneticPr fontId="2"/>
  </si>
  <si>
    <t>PD</t>
    <phoneticPr fontId="2"/>
  </si>
  <si>
    <t>**b</t>
    <phoneticPr fontId="2"/>
  </si>
  <si>
    <t>IG-ON + 通常 + 表示要求無し</t>
    <phoneticPr fontId="2"/>
  </si>
  <si>
    <t>IG-OFF + * + *</t>
    <phoneticPr fontId="2"/>
  </si>
  <si>
    <t>*b</t>
    <phoneticPr fontId="2"/>
  </si>
  <si>
    <t>BC</t>
    <phoneticPr fontId="2"/>
  </si>
  <si>
    <t>BDB1S05_STS</t>
    <phoneticPr fontId="2"/>
  </si>
  <si>
    <t>ELSW</t>
  </si>
  <si>
    <t>5.5.0</t>
    <phoneticPr fontId="2"/>
  </si>
  <si>
    <t xml:space="preserve">IG-ON + 未受信 + * </t>
    <rPh sb="8" eb="9">
      <t>ミ</t>
    </rPh>
    <rPh sb="9" eb="11">
      <t>ジュシン</t>
    </rPh>
    <phoneticPr fontId="2"/>
  </si>
  <si>
    <t>BC</t>
    <phoneticPr fontId="2"/>
  </si>
  <si>
    <t>ALERT_CH_B_ESWUOC_BC</t>
  </si>
  <si>
    <t>ALERT_CH_B_ESWUOC_BC</t>
    <phoneticPr fontId="2"/>
  </si>
  <si>
    <t>UNKNOWN</t>
    <phoneticPr fontId="2"/>
  </si>
  <si>
    <t>IG-ON + 通常 + アンラッチ作動条件違反ブザー要求有り</t>
    <phoneticPr fontId="2"/>
  </si>
  <si>
    <t>IG-ON + 通常 + 衝撃感知作動有り</t>
    <phoneticPr fontId="2"/>
  </si>
  <si>
    <t>IG-ON + 通常 + 衝撃感知作動無し</t>
    <phoneticPr fontId="2"/>
  </si>
  <si>
    <t>IG-ON + 通常 + 未定義</t>
    <rPh sb="13" eb="16">
      <t>ミテイギ</t>
    </rPh>
    <phoneticPr fontId="2"/>
  </si>
  <si>
    <t>衝撃感知作動無し(00b)/
未定義(01b)/
アンラッチ作動条件違反ブザー要求有り(10b)/
衝撃感知作動有り(11b)</t>
    <rPh sb="0" eb="2">
      <t>ショウゲキ</t>
    </rPh>
    <rPh sb="2" eb="4">
      <t>カンチ</t>
    </rPh>
    <rPh sb="4" eb="6">
      <t>サドウ</t>
    </rPh>
    <rPh sb="6" eb="7">
      <t>ナ</t>
    </rPh>
    <phoneticPr fontId="2"/>
  </si>
  <si>
    <t>0b</t>
  </si>
  <si>
    <t>BDB1S05_STS</t>
  </si>
  <si>
    <t>×</t>
  </si>
  <si>
    <t xml:space="preserve">    {</t>
  </si>
  <si>
    <t xml:space="preserve">    }</t>
  </si>
  <si>
    <t>};</t>
  </si>
  <si>
    <t>EL_MID_SIG</t>
    <phoneticPr fontId="2"/>
  </si>
  <si>
    <t>EL_BZ_SIG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</si>
  <si>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</si>
  <si>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</si>
  <si>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</si>
  <si>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e-Latchシステムメータ表示判定(+B,ACC)</t>
    <rPh sb="14" eb="16">
      <t>ヒョウジ</t>
    </rPh>
    <rPh sb="16" eb="18">
      <t>ハンテイ</t>
    </rPh>
    <phoneticPr fontId="2"/>
  </si>
  <si>
    <t>1b</t>
    <phoneticPr fontId="2"/>
  </si>
  <si>
    <t>UNKNOWN</t>
    <phoneticPr fontId="2"/>
  </si>
  <si>
    <t>ALERT_CH_B_ESWUOC_PDB</t>
    <phoneticPr fontId="2"/>
  </si>
  <si>
    <t>vd_g_AlertB_eswuocInit</t>
  </si>
  <si>
    <t>ALERT_CH_B_ESWUOC_PD</t>
    <phoneticPr fontId="2"/>
  </si>
  <si>
    <t>SPDATUNLCK</t>
  </si>
  <si>
    <t>STPATUNLCK</t>
  </si>
  <si>
    <t>UNKNOWN</t>
    <phoneticPr fontId="2"/>
  </si>
  <si>
    <t>e-Latchシステムメータ表示判定</t>
    <rPh sb="14" eb="16">
      <t>ヒョウジ</t>
    </rPh>
    <rPh sb="16" eb="18">
      <t>ハンテイ</t>
    </rPh>
    <phoneticPr fontId="2"/>
  </si>
  <si>
    <t>BAT_WT_ON + 通常 + 表示要求無し</t>
    <phoneticPr fontId="2"/>
  </si>
  <si>
    <t>BAT_WT_ON + 通常 + システム異常</t>
    <phoneticPr fontId="2"/>
  </si>
  <si>
    <t>BAT_WT_ON + 通常 + アンラッチ作動条件不成立</t>
    <phoneticPr fontId="2"/>
  </si>
  <si>
    <t>BAT_WT_ON + 通常 + シフトＰオートアンロック条件成立</t>
    <phoneticPr fontId="2"/>
  </si>
  <si>
    <t>BAT_WT_ON + 通常 + 車速オートアンロック条件成立</t>
    <phoneticPr fontId="2"/>
  </si>
  <si>
    <t>BAT_WT_ON + 通常 + 衝撃感知作動有り</t>
    <phoneticPr fontId="2"/>
  </si>
  <si>
    <t>BAT_WT_ON + 未受信 + *</t>
    <rPh sb="12" eb="13">
      <t>ミ</t>
    </rPh>
    <rPh sb="13" eb="15">
      <t>ジュシン</t>
    </rPh>
    <phoneticPr fontId="2"/>
  </si>
  <si>
    <t>BAT_WT_OFF + * + *</t>
    <phoneticPr fontId="2"/>
  </si>
  <si>
    <t>衝撃感知作動判定(+B,ACC)</t>
    <rPh sb="6" eb="8">
      <t>ハンテイ</t>
    </rPh>
    <phoneticPr fontId="2"/>
  </si>
  <si>
    <t>アンラッチ作動条件違反ブザー要求判定</t>
    <rPh sb="16" eb="18">
      <t>ハンテイ</t>
    </rPh>
    <phoneticPr fontId="2"/>
  </si>
  <si>
    <t>BCB</t>
    <phoneticPr fontId="2"/>
  </si>
  <si>
    <t>ALERT_CH_B_ESWUOC_PD</t>
  </si>
  <si>
    <t>B_ESWUOC-CSTD-0-MEF01-REQ10</t>
  </si>
  <si>
    <t>ALERT_CH_B_ESWUOC_BCB</t>
    <phoneticPr fontId="2"/>
  </si>
  <si>
    <t>UNKNOWN/
DOUBLE/</t>
    <phoneticPr fontId="2"/>
  </si>
  <si>
    <t>ALERT_VOM_BAT_WT</t>
    <phoneticPr fontId="2"/>
  </si>
  <si>
    <t>DOUBLE</t>
  </si>
  <si>
    <t>DOUBLE</t>
    <phoneticPr fontId="2"/>
  </si>
  <si>
    <t>なし</t>
    <phoneticPr fontId="2"/>
  </si>
  <si>
    <t>-</t>
    <phoneticPr fontId="2"/>
  </si>
  <si>
    <t>B_ESWUOC-CSTD-0-BZR01-REQ02</t>
    <phoneticPr fontId="2"/>
  </si>
  <si>
    <t>B_ESWUOC-CSTD-0-BZR01-REQ06</t>
    <phoneticPr fontId="2"/>
  </si>
  <si>
    <t>DOUBLE</t>
    <phoneticPr fontId="2"/>
  </si>
  <si>
    <t>BAT_WT_ON + 通常 + 衝撃感知作動無し</t>
    <phoneticPr fontId="2"/>
  </si>
  <si>
    <t>BAT_WT_ON + 通常 + 未定義</t>
    <rPh sb="17" eb="20">
      <t>ミテイギ</t>
    </rPh>
    <phoneticPr fontId="2"/>
  </si>
  <si>
    <t>BAT_WT_ON + 通常 + アンラッチ作動条件違反ブザー要求有り</t>
    <phoneticPr fontId="2"/>
  </si>
  <si>
    <t xml:space="preserve">BAT_WT_ON + 未受信 + * </t>
    <rPh sb="12" eb="13">
      <t>ミ</t>
    </rPh>
    <rPh sb="13" eb="15">
      <t>ジュシン</t>
    </rPh>
    <phoneticPr fontId="2"/>
  </si>
  <si>
    <t>-/
2連発</t>
    <phoneticPr fontId="2"/>
  </si>
  <si>
    <t>2連発</t>
    <phoneticPr fontId="2"/>
  </si>
  <si>
    <t>UNKNOWN/
DOUBLE</t>
    <phoneticPr fontId="2"/>
  </si>
  <si>
    <t>2連発</t>
    <rPh sb="1" eb="3">
      <t>レンパツ</t>
    </rPh>
    <phoneticPr fontId="2"/>
  </si>
  <si>
    <t>UNKNOWN</t>
    <phoneticPr fontId="2"/>
  </si>
  <si>
    <t>UNLTCHFL</t>
  </si>
  <si>
    <t>UNLTCHFL</t>
    <phoneticPr fontId="2"/>
  </si>
  <si>
    <t>UNKNOWN/
UNLTCHFL/
STPATUNLCK/
SPDATUNLCK</t>
    <phoneticPr fontId="2"/>
  </si>
  <si>
    <t>REQ16</t>
    <phoneticPr fontId="2"/>
  </si>
  <si>
    <t>RW</t>
    <phoneticPr fontId="2"/>
  </si>
  <si>
    <t>要求有り</t>
    <rPh sb="0" eb="2">
      <t>ヨウキュウ</t>
    </rPh>
    <rPh sb="2" eb="3">
      <t>ア</t>
    </rPh>
    <phoneticPr fontId="2"/>
  </si>
  <si>
    <t>ALERT_CH_B_ESWUOC_PDB</t>
  </si>
  <si>
    <t>ALERT_CH_B_ESWUOC_BCB</t>
    <phoneticPr fontId="2"/>
  </si>
  <si>
    <t>PDB</t>
  </si>
  <si>
    <t>B_ESWUOC-CSTD-0-MEF01-REQ16</t>
  </si>
  <si>
    <t>B_ESWUOC-CSTD-0-MEF01-REQ04</t>
  </si>
  <si>
    <t>B_ESWUOC-CSTD-0-MEF01-REQ06</t>
  </si>
  <si>
    <t>B_ESWUOC-CSTD-0-MEF01-REQ17</t>
    <phoneticPr fontId="2"/>
  </si>
  <si>
    <t>-</t>
    <phoneticPr fontId="2"/>
  </si>
  <si>
    <t>B_ESWUOC-CSTD-0-MEF01-REQ18</t>
    <phoneticPr fontId="2"/>
  </si>
  <si>
    <r>
      <t xml:space="preserve">-/
REQ10/
</t>
    </r>
    <r>
      <rPr>
        <sz val="11"/>
        <color rgb="FFFF0000"/>
        <rFont val="ＭＳ Ｐゴシック"/>
        <family val="3"/>
        <charset val="128"/>
        <scheme val="minor"/>
      </rPr>
      <t>REQ17/
REQ18</t>
    </r>
    <phoneticPr fontId="2"/>
  </si>
  <si>
    <t>REQ17</t>
    <phoneticPr fontId="2"/>
  </si>
  <si>
    <t>REQ18</t>
    <phoneticPr fontId="2"/>
  </si>
  <si>
    <t>RHDSHOCK</t>
    <phoneticPr fontId="2"/>
  </si>
  <si>
    <t>LHDSHOCK</t>
    <phoneticPr fontId="2"/>
  </si>
  <si>
    <t>MET-B_ESWUOC-CSTD-0-06-A-C0.xlsm</t>
    <phoneticPr fontId="2"/>
  </si>
  <si>
    <t>大藤</t>
    <rPh sb="0" eb="2">
      <t>オオフジ</t>
    </rPh>
    <phoneticPr fontId="2"/>
  </si>
  <si>
    <t>https://aip01.dndev.net/svn/met/toyota/std/rd/spec/個車/050D/branches/00.Product/20210610_暫定リリース/MET</t>
    <phoneticPr fontId="2"/>
  </si>
  <si>
    <t>LHDSHOCK</t>
    <phoneticPr fontId="2"/>
  </si>
  <si>
    <t>RHDSHOCK</t>
    <phoneticPr fontId="2"/>
  </si>
  <si>
    <r>
      <t xml:space="preserve">-/
REQ04/
REQ06/
</t>
    </r>
    <r>
      <rPr>
        <sz val="11"/>
        <color rgb="FFFF0000"/>
        <rFont val="ＭＳ Ｐゴシック"/>
        <family val="3"/>
        <charset val="128"/>
        <scheme val="minor"/>
      </rPr>
      <t>REQ16</t>
    </r>
    <phoneticPr fontId="2"/>
  </si>
  <si>
    <r>
      <t xml:space="preserve">UNKNOWN/
</t>
    </r>
    <r>
      <rPr>
        <sz val="11"/>
        <color rgb="FFFF0000"/>
        <rFont val="ＭＳ Ｐゴシック"/>
        <family val="3"/>
        <charset val="128"/>
        <scheme val="minor"/>
      </rPr>
      <t>SYSMLFNC/</t>
    </r>
    <r>
      <rPr>
        <sz val="11"/>
        <rFont val="ＭＳ Ｐゴシック"/>
        <family val="3"/>
        <charset val="128"/>
        <scheme val="minor"/>
      </rPr>
      <t xml:space="preserve">
</t>
    </r>
    <r>
      <rPr>
        <sz val="11"/>
        <color rgb="FFFF0000"/>
        <rFont val="ＭＳ Ｐゴシック"/>
        <family val="3"/>
        <charset val="128"/>
        <scheme val="minor"/>
      </rPr>
      <t>LHDSHOCK/
RHDSHOCK</t>
    </r>
    <phoneticPr fontId="2"/>
  </si>
  <si>
    <r>
      <t>BAT_WT_ON + 通常 +</t>
    </r>
    <r>
      <rPr>
        <sz val="11"/>
        <color rgb="FFFF0000"/>
        <rFont val="ＭＳ Ｐゴシック"/>
        <family val="3"/>
        <charset val="128"/>
        <scheme val="minor"/>
      </rPr>
      <t xml:space="preserve"> 未定義</t>
    </r>
    <rPh sb="17" eb="20">
      <t>ミテイギ</t>
    </rPh>
    <phoneticPr fontId="2"/>
  </si>
  <si>
    <r>
      <t xml:space="preserve">BAT_WT_ON + 通常 + </t>
    </r>
    <r>
      <rPr>
        <sz val="11"/>
        <color rgb="FFFF0000"/>
        <rFont val="ＭＳ Ｐゴシック"/>
        <family val="3"/>
        <charset val="128"/>
        <scheme val="minor"/>
      </rPr>
      <t>衝撃感知時ｱﾝﾗｯﾁSW禁止 (LHD)</t>
    </r>
    <rPh sb="17" eb="19">
      <t>ショウゲキ</t>
    </rPh>
    <rPh sb="19" eb="21">
      <t>カンチ</t>
    </rPh>
    <rPh sb="21" eb="22">
      <t>ジ</t>
    </rPh>
    <rPh sb="29" eb="31">
      <t>キンシ</t>
    </rPh>
    <phoneticPr fontId="2"/>
  </si>
  <si>
    <r>
      <t xml:space="preserve">BAT_WT_ON + 通常 + </t>
    </r>
    <r>
      <rPr>
        <sz val="11"/>
        <color rgb="FFFF0000"/>
        <rFont val="ＭＳ Ｐゴシック"/>
        <family val="3"/>
        <charset val="128"/>
        <scheme val="minor"/>
      </rPr>
      <t>衝撃感知時ｱﾝﾗｯﾁSW禁止 (RHD)</t>
    </r>
    <phoneticPr fontId="2"/>
  </si>
  <si>
    <r>
      <t xml:space="preserve">表示無し(000b)/
システム異常(001b)/
</t>
    </r>
    <r>
      <rPr>
        <sz val="11"/>
        <color rgb="FFFF0000"/>
        <rFont val="ＭＳ Ｐゴシック"/>
        <family val="3"/>
        <charset val="128"/>
        <scheme val="minor"/>
      </rPr>
      <t>衝撃感知時ｱﾝﾗｯﾁSW禁止 (LHD)(010b)/</t>
    </r>
    <r>
      <rPr>
        <sz val="11"/>
        <rFont val="ＭＳ Ｐゴシック"/>
        <family val="3"/>
        <charset val="128"/>
        <scheme val="minor"/>
      </rPr>
      <t xml:space="preserve">
アンラッチ作動条件不成立(011b)/
</t>
    </r>
    <r>
      <rPr>
        <sz val="11"/>
        <color rgb="FFFF0000"/>
        <rFont val="ＭＳ Ｐゴシック"/>
        <family val="3"/>
        <charset val="128"/>
        <scheme val="minor"/>
      </rPr>
      <t>未定義(100b)/</t>
    </r>
    <r>
      <rPr>
        <sz val="11"/>
        <rFont val="ＭＳ Ｐゴシック"/>
        <family val="3"/>
        <charset val="128"/>
        <scheme val="minor"/>
      </rPr>
      <t xml:space="preserve">
シフトＰオートアンロック条件成立(101b)/
車速オートアンロック条件成立(110b)/
</t>
    </r>
    <r>
      <rPr>
        <sz val="11"/>
        <color rgb="FFFF0000"/>
        <rFont val="ＭＳ Ｐゴシック"/>
        <family val="3"/>
        <charset val="128"/>
        <scheme val="minor"/>
      </rPr>
      <t>衝撃感知時ｱﾝﾗｯﾁSW禁止 (RHD)</t>
    </r>
    <r>
      <rPr>
        <sz val="11"/>
        <rFont val="ＭＳ Ｐゴシック"/>
        <family val="3"/>
        <charset val="128"/>
        <scheme val="minor"/>
      </rPr>
      <t>(111b)</t>
    </r>
    <phoneticPr fontId="2"/>
  </si>
  <si>
    <r>
      <t xml:space="preserve">IG-ON + 通常 + </t>
    </r>
    <r>
      <rPr>
        <sz val="11"/>
        <color rgb="FFFF0000"/>
        <rFont val="ＭＳ Ｐゴシック"/>
        <family val="3"/>
        <charset val="128"/>
        <scheme val="minor"/>
      </rPr>
      <t>衝撃感知時ｱﾝﾗｯﾁSW禁止 (LHD)</t>
    </r>
    <rPh sb="13" eb="15">
      <t>ショウゲキ</t>
    </rPh>
    <rPh sb="15" eb="17">
      <t>カンチ</t>
    </rPh>
    <rPh sb="17" eb="18">
      <t>ジ</t>
    </rPh>
    <rPh sb="25" eb="27">
      <t>キンシ</t>
    </rPh>
    <phoneticPr fontId="2"/>
  </si>
  <si>
    <r>
      <t xml:space="preserve">IG-ON + 通常 + </t>
    </r>
    <r>
      <rPr>
        <sz val="11"/>
        <color rgb="FFFF0000"/>
        <rFont val="ＭＳ Ｐゴシック"/>
        <family val="3"/>
        <charset val="128"/>
        <scheme val="minor"/>
      </rPr>
      <t>未定義</t>
    </r>
    <rPh sb="13" eb="16">
      <t>ミテイギ</t>
    </rPh>
    <phoneticPr fontId="2"/>
  </si>
  <si>
    <r>
      <t xml:space="preserve">IG-ON + 通常 + </t>
    </r>
    <r>
      <rPr>
        <sz val="11"/>
        <color rgb="FFFF0000"/>
        <rFont val="ＭＳ Ｐゴシック"/>
        <family val="3"/>
        <charset val="128"/>
        <scheme val="minor"/>
      </rPr>
      <t>衝撃感知時ｱﾝﾗｯﾁSW禁止 (RHD)</t>
    </r>
    <phoneticPr fontId="2"/>
  </si>
  <si>
    <t>新規作成(流用元：alert_B_ESWUOC-CSTD-0-03-A-C0.xlsx ※800B 1A)
050D CV対応
[Matrix]シート
・対象仕様書、ロケーション変更
・BCBのCH追加
[CH_Design]
・ALERT_CH_B_ESWUOC_BCB追加
・ALERT_CH_B_ESWUOC_PDBにRHDSHOCK、LHDSHOCKの記載追加
[PDB]シート
・RHDSHOCK、LHDSHOCKの記載追加
[Reference]シート
  衝撃感知作動判定(+B,ACC)真理値表追加
　REQ02：要求廃止 に変更
　REQ08：要求廃止 に変更
　REQ10：有効電源状態に+B追加
　REQ12：要求廃止 に変更
　REQ14：要求廃止 に変更
　REQ16：要求ID追加(No.14と同内容) ※有効電源状態：IG
　REQ17：要求ID追加　※有効電源状態：IG, +B
　REQ18：要求ID追加　※有効電源状態：IG, +B</t>
    <rPh sb="78" eb="80">
      <t>タイショウ</t>
    </rPh>
    <rPh sb="80" eb="83">
      <t>シヨウショ</t>
    </rPh>
    <rPh sb="90" eb="92">
      <t>ヘンコウ</t>
    </rPh>
    <rPh sb="181" eb="183">
      <t>キサイ</t>
    </rPh>
    <rPh sb="183" eb="185">
      <t>ツイカ</t>
    </rPh>
    <rPh sb="252" eb="256">
      <t>シンリチヒョウ</t>
    </rPh>
    <rPh sb="256" eb="258">
      <t>ツイカ</t>
    </rPh>
    <phoneticPr fontId="2"/>
  </si>
  <si>
    <t>1.0.1</t>
    <phoneticPr fontId="2"/>
  </si>
  <si>
    <t>作成者</t>
    <phoneticPr fontId="2"/>
  </si>
  <si>
    <t>DTPH Yhana</t>
    <phoneticPr fontId="2"/>
  </si>
  <si>
    <t xml:space="preserve">19PFv3向けに発行（1.0.0から変更なし）
</t>
    <rPh sb="6" eb="7">
      <t>ム</t>
    </rPh>
    <rPh sb="9" eb="11">
      <t>ハッコウ</t>
    </rPh>
    <rPh sb="19" eb="21">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</si>
</sst>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b&quot;"/>
  </numFmts>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9"/>
      <color indexed="81"/>
      <name val="MS P ゴシック"/>
      <family val="3"/>
      <charset val="128"/>
    </font>
    <font>
      <b/>
      <sz val="12"/>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horizontal="center" vertical="center" textRotation="90"/>
    </xf>
    <xf numFmtId="0" fontId="0" fillId="15" borderId="15" xfId="0" applyFill="1" applyBorder="1" applyAlignment="1">
      <alignment horizontal="center" vertical="center"/>
    </xf>
    <xf numFmtId="0" fontId="0" fillId="15" borderId="17" xfId="0" quotePrefix="1" applyFill="1" applyBorder="1" applyAlignment="1">
      <alignment vertical="center" wrapText="1"/>
    </xf>
    <xf numFmtId="0" fontId="0" fillId="15" borderId="7" xfId="0" applyFill="1" applyBorder="1" applyAlignment="1">
      <alignment horizontal="center" vertical="center"/>
    </xf>
    <xf numFmtId="0" fontId="0" fillId="15" borderId="80" xfId="0" applyFill="1" applyBorder="1" applyAlignment="1">
      <alignment horizontal="center" vertical="center"/>
    </xf>
    <xf numFmtId="14" fontId="0" fillId="0" borderId="7" xfId="0" applyNumberFormat="1" applyBorder="1">
      <alignment vertical="center"/>
    </xf>
    <xf numFmtId="0" fontId="0" fillId="0" borderId="2" xfId="0" applyBorder="1" applyAlignment="1">
      <alignment vertical="center" wrapText="1"/>
    </xf>
    <xf numFmtId="0" fontId="0" fillId="22" borderId="31" xfId="0" applyFill="1" applyBorder="1" applyAlignment="1" applyProtection="1">
      <alignment vertical="center" textRotation="90"/>
    </xf>
    <xf numFmtId="14" fontId="0" fillId="0" borderId="2"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7" borderId="62" xfId="0" applyFont="1" applyFill="1" applyBorder="1" applyAlignment="1">
      <alignment vertical="center"/>
    </xf>
    <xf numFmtId="0" fontId="0" fillId="15" borderId="81" xfId="0" applyFill="1" applyBorder="1" applyAlignment="1">
      <alignment horizontal="center" vertical="center"/>
    </xf>
    <xf numFmtId="0" fontId="19" fillId="0" borderId="33" xfId="0" applyFont="1" applyBorder="1" applyAlignment="1">
      <alignment horizontal="center" vertical="center"/>
    </xf>
    <xf numFmtId="0" fontId="19" fillId="0" borderId="33" xfId="0" applyFon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8" fillId="0" borderId="31" xfId="0" applyFont="1" applyBorder="1" applyAlignment="1">
      <alignment horizontal="center" vertical="center"/>
    </xf>
    <xf numFmtId="0" fontId="0" fillId="0" borderId="2" xfId="0" applyFill="1" applyBorder="1" applyAlignment="1">
      <alignment vertical="center" wrapText="1"/>
    </xf>
    <xf numFmtId="0" fontId="0" fillId="0" borderId="14" xfId="0" applyBorder="1" applyAlignment="1">
      <alignment vertical="center" wrapText="1"/>
    </xf>
    <xf numFmtId="0" fontId="20" fillId="0" borderId="0" xfId="0" applyFont="1">
      <alignment vertical="center"/>
    </xf>
    <xf numFmtId="0" fontId="19" fillId="0" borderId="0" xfId="0" applyFont="1">
      <alignment vertical="center"/>
    </xf>
    <xf numFmtId="0" fontId="21"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31" xfId="0" applyFont="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20" borderId="2" xfId="0" applyFont="1" applyFill="1" applyBorder="1">
      <alignment vertical="center"/>
    </xf>
    <xf numFmtId="0" fontId="19" fillId="14" borderId="31" xfId="0" applyFont="1" applyFill="1" applyBorder="1">
      <alignment vertical="center"/>
    </xf>
    <xf numFmtId="0" fontId="19" fillId="15" borderId="7" xfId="0" applyFont="1" applyFill="1" applyBorder="1" applyAlignment="1">
      <alignment vertical="center" wrapText="1"/>
    </xf>
    <xf numFmtId="0" fontId="19" fillId="12" borderId="19" xfId="0" applyFont="1" applyFill="1" applyBorder="1" applyAlignment="1">
      <alignment vertical="center" wrapText="1"/>
    </xf>
    <xf numFmtId="0" fontId="19" fillId="0" borderId="2" xfId="0" applyFont="1" applyBorder="1">
      <alignment vertical="center"/>
    </xf>
    <xf numFmtId="0" fontId="19" fillId="0" borderId="27" xfId="0" applyFont="1" applyBorder="1">
      <alignment vertical="center"/>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32" xfId="0" quotePrefix="1" applyFont="1" applyBorder="1" applyAlignment="1">
      <alignment vertical="center" wrapText="1"/>
    </xf>
    <xf numFmtId="0" fontId="19" fillId="15" borderId="17" xfId="0" quotePrefix="1"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5" xfId="0" applyFont="1" applyFill="1" applyBorder="1" applyAlignment="1">
      <alignment horizontal="center" vertical="center"/>
    </xf>
    <xf numFmtId="176" fontId="19" fillId="0" borderId="29" xfId="0" applyNumberFormat="1" applyFont="1" applyBorder="1" applyAlignment="1">
      <alignment horizontal="center" vertical="center"/>
    </xf>
    <xf numFmtId="176" fontId="19" fillId="0" borderId="14" xfId="0" applyNumberFormat="1"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25" xfId="0" applyFont="1" applyBorder="1" applyAlignment="1">
      <alignment horizontal="center" vertical="center"/>
    </xf>
    <xf numFmtId="0" fontId="19" fillId="15" borderId="15" xfId="0" applyFont="1" applyFill="1" applyBorder="1" applyAlignment="1">
      <alignment horizontal="center" vertical="center"/>
    </xf>
    <xf numFmtId="0" fontId="19" fillId="15" borderId="31" xfId="0" applyFont="1" applyFill="1" applyBorder="1" applyAlignment="1">
      <alignment horizontal="center" vertical="center"/>
    </xf>
    <xf numFmtId="0" fontId="19" fillId="0" borderId="31" xfId="0" applyFont="1" applyFill="1" applyBorder="1" applyAlignment="1">
      <alignment horizontal="center" vertical="center"/>
    </xf>
    <xf numFmtId="176" fontId="19" fillId="0" borderId="2" xfId="0" applyNumberFormat="1" applyFont="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31" xfId="0" applyFont="1" applyBorder="1" applyAlignment="1">
      <alignment horizontal="center" vertical="center"/>
    </xf>
    <xf numFmtId="0" fontId="19" fillId="0" borderId="27"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26" xfId="0" applyFont="1" applyFill="1" applyBorder="1" applyAlignment="1">
      <alignment horizontal="center" vertical="center"/>
    </xf>
    <xf numFmtId="0" fontId="19" fillId="0" borderId="79" xfId="0" applyFont="1" applyBorder="1" applyAlignment="1">
      <alignment horizontal="center" vertical="center"/>
    </xf>
    <xf numFmtId="176" fontId="19" fillId="0" borderId="9" xfId="0" applyNumberFormat="1" applyFont="1" applyBorder="1" applyAlignment="1">
      <alignment horizontal="center" vertical="center"/>
    </xf>
    <xf numFmtId="0" fontId="19" fillId="0" borderId="35" xfId="0" applyFont="1" applyBorder="1" applyAlignment="1">
      <alignment horizontal="center" vertical="center"/>
    </xf>
    <xf numFmtId="0" fontId="19" fillId="15" borderId="9" xfId="0" applyFont="1" applyFill="1" applyBorder="1" applyAlignment="1">
      <alignment horizontal="center" vertical="center"/>
    </xf>
    <xf numFmtId="0" fontId="19" fillId="0" borderId="26" xfId="0" applyFont="1" applyBorder="1" applyAlignment="1">
      <alignment horizontal="center" vertical="center"/>
    </xf>
    <xf numFmtId="0" fontId="19" fillId="15" borderId="10" xfId="0" applyFont="1" applyFill="1" applyBorder="1" applyAlignment="1">
      <alignment horizontal="center" vertical="center"/>
    </xf>
    <xf numFmtId="0" fontId="16" fillId="12" borderId="48" xfId="0" applyFont="1" applyFill="1" applyBorder="1">
      <alignment vertical="center"/>
    </xf>
    <xf numFmtId="0" fontId="19" fillId="0" borderId="29" xfId="0" applyFont="1" applyBorder="1" applyAlignment="1">
      <alignment horizontal="center" vertical="center"/>
    </xf>
    <xf numFmtId="0" fontId="19" fillId="0" borderId="14" xfId="0" applyFont="1" applyBorder="1" applyAlignment="1">
      <alignment horizontal="center" vertical="center"/>
    </xf>
    <xf numFmtId="0" fontId="19" fillId="0" borderId="19" xfId="0" applyFont="1" applyBorder="1">
      <alignment vertical="center"/>
    </xf>
    <xf numFmtId="0" fontId="19" fillId="0" borderId="2" xfId="0" applyFont="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80" xfId="0" applyFont="1" applyBorder="1" applyAlignment="1">
      <alignment horizontal="center" vertical="center"/>
    </xf>
    <xf numFmtId="0" fontId="19" fillId="0" borderId="42" xfId="0" applyFont="1" applyBorder="1" applyAlignment="1">
      <alignment horizontal="center" vertical="center"/>
    </xf>
    <xf numFmtId="0" fontId="19" fillId="15" borderId="80" xfId="0" applyFont="1" applyFill="1" applyBorder="1" applyAlignment="1">
      <alignment horizontal="center" vertical="center"/>
    </xf>
    <xf numFmtId="0" fontId="19" fillId="0" borderId="78" xfId="0" applyFont="1" applyBorder="1" applyAlignment="1">
      <alignment horizontal="center" vertical="center"/>
    </xf>
    <xf numFmtId="0" fontId="19" fillId="0" borderId="78" xfId="0" applyFont="1" applyFill="1" applyBorder="1" applyAlignment="1">
      <alignment horizontal="center" vertical="center"/>
    </xf>
    <xf numFmtId="0" fontId="23" fillId="0" borderId="0" xfId="0" applyFont="1">
      <alignment vertical="center"/>
    </xf>
    <xf numFmtId="0" fontId="18" fillId="0" borderId="34" xfId="0" applyFont="1" applyBorder="1" applyAlignment="1">
      <alignment vertical="center" wrapText="1"/>
    </xf>
    <xf numFmtId="0" fontId="18" fillId="0" borderId="33" xfId="0" applyFont="1" applyBorder="1" applyAlignment="1">
      <alignment horizontal="center" vertical="center"/>
    </xf>
    <xf numFmtId="0" fontId="18" fillId="0" borderId="32" xfId="0" quotePrefix="1" applyFont="1" applyBorder="1" applyAlignment="1">
      <alignment vertical="center" wrapText="1"/>
    </xf>
    <xf numFmtId="0" fontId="11" fillId="23" borderId="7" xfId="0" applyFont="1" applyFill="1" applyBorder="1">
      <alignment vertical="center"/>
    </xf>
    <xf numFmtId="0" fontId="18" fillId="0" borderId="7" xfId="0" applyFont="1" applyFill="1" applyBorder="1" applyAlignment="1">
      <alignment vertical="center" wrapText="1"/>
    </xf>
    <xf numFmtId="0" fontId="18" fillId="23" borderId="7" xfId="0" applyFont="1" applyFill="1" applyBorder="1">
      <alignment vertical="center"/>
    </xf>
    <xf numFmtId="0" fontId="18" fillId="23" borderId="7" xfId="0" applyFont="1" applyFill="1" applyBorder="1" applyAlignment="1">
      <alignment vertical="center" wrapText="1"/>
    </xf>
    <xf numFmtId="0" fontId="18" fillId="0" borderId="17" xfId="0" quotePrefix="1" applyFont="1" applyFill="1" applyBorder="1" applyAlignment="1">
      <alignment vertical="center" wrapText="1"/>
    </xf>
    <xf numFmtId="0" fontId="18" fillId="0" borderId="15"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81"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0" fontId="18" fillId="0" borderId="14" xfId="0" applyFont="1" applyBorder="1">
      <alignment vertical="center"/>
    </xf>
    <xf numFmtId="14" fontId="18" fillId="0" borderId="2" xfId="0" applyNumberFormat="1" applyFont="1" applyBorder="1">
      <alignment vertical="center"/>
    </xf>
  </cellXfs>
  <cellStyles count="2">
    <cellStyle name="ハイパーリンク" xfId="1" builtinId="8"/>
    <cellStyle name="標準" xfId="0" builtinId="0"/>
  </cellStyles>
  <dxfs count="17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DBEEF4"/>
      <color rgb="FF0000FF"/>
      <color rgb="FFFFCC99"/>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https://aip01.dndev.net/jira/browse/METHUD800B-6221" TargetMode="Externa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hyperlink" Target="https://aip01.dndev.net/jira/browse/METHUD800B-14769" TargetMode="External"/></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56</xdr:col>
      <xdr:colOff>285750</xdr:colOff>
      <xdr:row>33</xdr:row>
      <xdr:rowOff>1115786</xdr:rowOff>
    </xdr:from>
    <xdr:to>
      <xdr:col>80</xdr:col>
      <xdr:colOff>435429</xdr:colOff>
      <xdr:row>57</xdr:row>
      <xdr:rowOff>27214</xdr:rowOff>
    </xdr:to>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a:stretch>
          <a:fillRect/>
        </a:stretch>
      </xdr:blipFill>
      <xdr:spPr>
        <a:xfrm>
          <a:off x="46835786" y="9402536"/>
          <a:ext cx="16478250" cy="8354785"/>
        </a:xfrm>
        <a:prstGeom prst="rect">
          <a:avLst/>
        </a:prstGeom>
      </xdr:spPr>
    </xdr:pic>
    <xdr:clientData/>
  </xdr:twoCellAnchor>
  <xdr:twoCellAnchor editAs="oneCell">
    <xdr:from>
      <xdr:col>55</xdr:col>
      <xdr:colOff>612321</xdr:colOff>
      <xdr:row>62</xdr:row>
      <xdr:rowOff>88446</xdr:rowOff>
    </xdr:from>
    <xdr:to>
      <xdr:col>80</xdr:col>
      <xdr:colOff>639536</xdr:colOff>
      <xdr:row>88</xdr:row>
      <xdr:rowOff>13327</xdr:rowOff>
    </xdr:to>
    <xdr:pic>
      <xdr:nvPicPr>
        <xdr:cNvPr id="12" name="図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2"/>
        <a:stretch>
          <a:fillRect/>
        </a:stretch>
      </xdr:blipFill>
      <xdr:spPr>
        <a:xfrm>
          <a:off x="46482000" y="18526125"/>
          <a:ext cx="17036143" cy="7830631"/>
        </a:xfrm>
        <a:prstGeom prst="rect">
          <a:avLst/>
        </a:prstGeom>
      </xdr:spPr>
    </xdr:pic>
    <xdr:clientData/>
  </xdr:twoCellAnchor>
  <xdr:twoCellAnchor editAs="oneCell">
    <xdr:from>
      <xdr:col>26</xdr:col>
      <xdr:colOff>76200</xdr:colOff>
      <xdr:row>108</xdr:row>
      <xdr:rowOff>38100</xdr:rowOff>
    </xdr:from>
    <xdr:to>
      <xdr:col>46</xdr:col>
      <xdr:colOff>440115</xdr:colOff>
      <xdr:row>133</xdr:row>
      <xdr:rowOff>95856</xdr:rowOff>
    </xdr:to>
    <xdr:pic>
      <xdr:nvPicPr>
        <xdr:cNvPr id="11" name="図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3"/>
        <a:stretch>
          <a:fillRect/>
        </a:stretch>
      </xdr:blipFill>
      <xdr:spPr>
        <a:xfrm>
          <a:off x="26241375" y="29356050"/>
          <a:ext cx="14079915" cy="4344006"/>
        </a:xfrm>
        <a:prstGeom prst="rect">
          <a:avLst/>
        </a:prstGeom>
      </xdr:spPr>
    </xdr:pic>
    <xdr:clientData/>
  </xdr:twoCellAnchor>
  <xdr:twoCellAnchor editAs="oneCell">
    <xdr:from>
      <xdr:col>25</xdr:col>
      <xdr:colOff>653142</xdr:colOff>
      <xdr:row>67</xdr:row>
      <xdr:rowOff>40820</xdr:rowOff>
    </xdr:from>
    <xdr:to>
      <xdr:col>51</xdr:col>
      <xdr:colOff>598713</xdr:colOff>
      <xdr:row>105</xdr:row>
      <xdr:rowOff>40821</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4"/>
        <a:stretch>
          <a:fillRect/>
        </a:stretch>
      </xdr:blipFill>
      <xdr:spPr>
        <a:xfrm>
          <a:off x="26112106" y="19362963"/>
          <a:ext cx="17634857" cy="10028465"/>
        </a:xfrm>
        <a:prstGeom prst="rect">
          <a:avLst/>
        </a:prstGeom>
      </xdr:spPr>
    </xdr:pic>
    <xdr:clientData/>
  </xdr:twoCellAnchor>
  <xdr:twoCellAnchor editAs="oneCell">
    <xdr:from>
      <xdr:col>26</xdr:col>
      <xdr:colOff>22413</xdr:colOff>
      <xdr:row>145</xdr:row>
      <xdr:rowOff>-1</xdr:rowOff>
    </xdr:from>
    <xdr:to>
      <xdr:col>48</xdr:col>
      <xdr:colOff>283403</xdr:colOff>
      <xdr:row>177</xdr:row>
      <xdr:rowOff>22605</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5"/>
        <a:stretch>
          <a:fillRect/>
        </a:stretch>
      </xdr:blipFill>
      <xdr:spPr>
        <a:xfrm>
          <a:off x="26176942" y="35287323"/>
          <a:ext cx="15299285" cy="5401429"/>
        </a:xfrm>
        <a:prstGeom prst="rect">
          <a:avLst/>
        </a:prstGeom>
      </xdr:spPr>
    </xdr:pic>
    <xdr:clientData/>
  </xdr:twoCellAnchor>
  <xdr:twoCellAnchor editAs="oneCell">
    <xdr:from>
      <xdr:col>25</xdr:col>
      <xdr:colOff>593910</xdr:colOff>
      <xdr:row>1</xdr:row>
      <xdr:rowOff>78439</xdr:rowOff>
    </xdr:from>
    <xdr:to>
      <xdr:col>43</xdr:col>
      <xdr:colOff>493058</xdr:colOff>
      <xdr:row>21</xdr:row>
      <xdr:rowOff>89646</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6"/>
        <a:stretch>
          <a:fillRect/>
        </a:stretch>
      </xdr:blipFill>
      <xdr:spPr>
        <a:xfrm>
          <a:off x="26064881" y="246527"/>
          <a:ext cx="12203206" cy="5715001"/>
        </a:xfrm>
        <a:prstGeom prst="rect">
          <a:avLst/>
        </a:prstGeom>
      </xdr:spPr>
    </xdr:pic>
    <xdr:clientData/>
  </xdr:twoCellAnchor>
  <xdr:twoCellAnchor>
    <xdr:from>
      <xdr:col>1</xdr:col>
      <xdr:colOff>2668603</xdr:colOff>
      <xdr:row>68</xdr:row>
      <xdr:rowOff>125665</xdr:rowOff>
    </xdr:from>
    <xdr:to>
      <xdr:col>10</xdr:col>
      <xdr:colOff>1131794</xdr:colOff>
      <xdr:row>73</xdr:row>
      <xdr:rowOff>41224</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3352162" y="19265312"/>
          <a:ext cx="6105603" cy="756000"/>
        </a:xfrm>
        <a:prstGeom prst="borderCallout1">
          <a:avLst>
            <a:gd name="adj1" fmla="val 2967"/>
            <a:gd name="adj2" fmla="val 17884"/>
            <a:gd name="adj3" fmla="val -43184"/>
            <a:gd name="adj4" fmla="val 2281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56829</xdr:colOff>
      <xdr:row>68</xdr:row>
      <xdr:rowOff>131267</xdr:rowOff>
    </xdr:from>
    <xdr:to>
      <xdr:col>12</xdr:col>
      <xdr:colOff>1602441</xdr:colOff>
      <xdr:row>73</xdr:row>
      <xdr:rowOff>89647</xdr:rowOff>
    </xdr:to>
    <xdr:sp macro="" textlink="">
      <xdr:nvSpPr>
        <xdr:cNvPr id="18" name="線吹き出し 1 (枠付き) 17">
          <a:extLst>
            <a:ext uri="{FF2B5EF4-FFF2-40B4-BE49-F238E27FC236}">
              <a16:creationId xmlns:a16="http://schemas.microsoft.com/office/drawing/2014/main" id="{00000000-0008-0000-0900-000012000000}"/>
            </a:ext>
          </a:extLst>
        </xdr:cNvPr>
        <xdr:cNvSpPr/>
      </xdr:nvSpPr>
      <xdr:spPr>
        <a:xfrm>
          <a:off x="9682682" y="19270914"/>
          <a:ext cx="4380700" cy="798821"/>
        </a:xfrm>
        <a:prstGeom prst="borderCallout1">
          <a:avLst>
            <a:gd name="adj1" fmla="val -954"/>
            <a:gd name="adj2" fmla="val 35657"/>
            <a:gd name="adj3" fmla="val -296651"/>
            <a:gd name="adj4" fmla="val -116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2277341</xdr:colOff>
      <xdr:row>42</xdr:row>
      <xdr:rowOff>66804</xdr:rowOff>
    </xdr:from>
    <xdr:to>
      <xdr:col>10</xdr:col>
      <xdr:colOff>691490</xdr:colOff>
      <xdr:row>46</xdr:row>
      <xdr:rowOff>44393</xdr:rowOff>
    </xdr:to>
    <xdr:sp macro="" textlink="">
      <xdr:nvSpPr>
        <xdr:cNvPr id="31" name="線吹き出し 1 (枠付き) 30">
          <a:extLst>
            <a:ext uri="{FF2B5EF4-FFF2-40B4-BE49-F238E27FC236}">
              <a16:creationId xmlns:a16="http://schemas.microsoft.com/office/drawing/2014/main" id="{00000000-0008-0000-0900-00001F000000}"/>
            </a:ext>
          </a:extLst>
        </xdr:cNvPr>
        <xdr:cNvSpPr/>
      </xdr:nvSpPr>
      <xdr:spPr>
        <a:xfrm>
          <a:off x="2960900" y="11306304"/>
          <a:ext cx="6056561" cy="649942"/>
        </a:xfrm>
        <a:prstGeom prst="borderCallout1">
          <a:avLst>
            <a:gd name="adj1" fmla="val 2967"/>
            <a:gd name="adj2" fmla="val 17884"/>
            <a:gd name="adj3" fmla="val -33672"/>
            <a:gd name="adj4" fmla="val 3685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3895353</xdr:colOff>
      <xdr:row>0</xdr:row>
      <xdr:rowOff>64326</xdr:rowOff>
    </xdr:from>
    <xdr:to>
      <xdr:col>5</xdr:col>
      <xdr:colOff>12834</xdr:colOff>
      <xdr:row>2</xdr:row>
      <xdr:rowOff>84816</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4588080" y="757053"/>
          <a:ext cx="2473254" cy="366854"/>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1009402</xdr:colOff>
      <xdr:row>42</xdr:row>
      <xdr:rowOff>53199</xdr:rowOff>
    </xdr:from>
    <xdr:to>
      <xdr:col>12</xdr:col>
      <xdr:colOff>834327</xdr:colOff>
      <xdr:row>46</xdr:row>
      <xdr:rowOff>76405</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9335373" y="11292699"/>
          <a:ext cx="3959895" cy="695559"/>
        </a:xfrm>
        <a:prstGeom prst="borderCallout1">
          <a:avLst>
            <a:gd name="adj1" fmla="val -954"/>
            <a:gd name="adj2" fmla="val 35657"/>
            <a:gd name="adj3" fmla="val -221407"/>
            <a:gd name="adj4" fmla="val -2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594710</xdr:colOff>
      <xdr:row>96</xdr:row>
      <xdr:rowOff>86445</xdr:rowOff>
    </xdr:from>
    <xdr:to>
      <xdr:col>12</xdr:col>
      <xdr:colOff>593912</xdr:colOff>
      <xdr:row>102</xdr:row>
      <xdr:rowOff>33617</xdr:rowOff>
    </xdr:to>
    <xdr:sp macro="" textlink="">
      <xdr:nvSpPr>
        <xdr:cNvPr id="47" name="線吹き出し 1 (枠付き) 46">
          <a:extLst>
            <a:ext uri="{FF2B5EF4-FFF2-40B4-BE49-F238E27FC236}">
              <a16:creationId xmlns:a16="http://schemas.microsoft.com/office/drawing/2014/main" id="{00000000-0008-0000-0900-00002F000000}"/>
            </a:ext>
          </a:extLst>
        </xdr:cNvPr>
        <xdr:cNvSpPr/>
      </xdr:nvSpPr>
      <xdr:spPr>
        <a:xfrm>
          <a:off x="8920681" y="28650239"/>
          <a:ext cx="4134172" cy="955702"/>
        </a:xfrm>
        <a:prstGeom prst="borderCallout1">
          <a:avLst>
            <a:gd name="adj1" fmla="val -954"/>
            <a:gd name="adj2" fmla="val 35657"/>
            <a:gd name="adj3" fmla="val -231698"/>
            <a:gd name="adj4" fmla="val 7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状態に応じて以下のように変換する。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時：最終値保持→途絶ビットをマスクする。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時：非表示→通信状態を未受信に変換する。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666750</xdr:colOff>
      <xdr:row>55</xdr:row>
      <xdr:rowOff>1724025</xdr:rowOff>
    </xdr:from>
    <xdr:to>
      <xdr:col>15</xdr:col>
      <xdr:colOff>34017</xdr:colOff>
      <xdr:row>66</xdr:row>
      <xdr:rowOff>157843</xdr:rowOff>
    </xdr:to>
    <xdr:sp macro="" textlink="">
      <xdr:nvSpPr>
        <xdr:cNvPr id="41" name="正方形/長方形 40">
          <a:extLst>
            <a:ext uri="{FF2B5EF4-FFF2-40B4-BE49-F238E27FC236}">
              <a16:creationId xmlns:a16="http://schemas.microsoft.com/office/drawing/2014/main" id="{00000000-0008-0000-0900-000029000000}"/>
            </a:ext>
          </a:extLst>
        </xdr:cNvPr>
        <xdr:cNvSpPr/>
      </xdr:nvSpPr>
      <xdr:spPr>
        <a:xfrm>
          <a:off x="666750" y="16161204"/>
          <a:ext cx="16199303" cy="33187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667231</xdr:colOff>
      <xdr:row>23</xdr:row>
      <xdr:rowOff>111148</xdr:rowOff>
    </xdr:from>
    <xdr:to>
      <xdr:col>30</xdr:col>
      <xdr:colOff>110353</xdr:colOff>
      <xdr:row>26</xdr:row>
      <xdr:rowOff>143605</xdr:rowOff>
    </xdr:to>
    <xdr:pic>
      <xdr:nvPicPr>
        <xdr:cNvPr id="28" name="図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7"/>
        <a:stretch>
          <a:fillRect/>
        </a:stretch>
      </xdr:blipFill>
      <xdr:spPr>
        <a:xfrm>
          <a:off x="26138202" y="6319207"/>
          <a:ext cx="2860916" cy="536722"/>
        </a:xfrm>
        <a:prstGeom prst="rect">
          <a:avLst/>
        </a:prstGeom>
      </xdr:spPr>
    </xdr:pic>
    <xdr:clientData/>
  </xdr:twoCellAnchor>
  <xdr:twoCellAnchor>
    <xdr:from>
      <xdr:col>25</xdr:col>
      <xdr:colOff>667231</xdr:colOff>
      <xdr:row>27</xdr:row>
      <xdr:rowOff>120432</xdr:rowOff>
    </xdr:from>
    <xdr:to>
      <xdr:col>29</xdr:col>
      <xdr:colOff>537255</xdr:colOff>
      <xdr:row>31</xdr:row>
      <xdr:rowOff>44649</xdr:rowOff>
    </xdr:to>
    <xdr:pic>
      <xdr:nvPicPr>
        <xdr:cNvPr id="29" name="図 28">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8"/>
        <a:stretch>
          <a:fillRect/>
        </a:stretch>
      </xdr:blipFill>
      <xdr:spPr>
        <a:xfrm>
          <a:off x="26138202" y="7000844"/>
          <a:ext cx="2604259" cy="641393"/>
        </a:xfrm>
        <a:prstGeom prst="rect">
          <a:avLst/>
        </a:prstGeom>
      </xdr:spPr>
    </xdr:pic>
    <xdr:clientData/>
  </xdr:twoCellAnchor>
  <xdr:twoCellAnchor>
    <xdr:from>
      <xdr:col>25</xdr:col>
      <xdr:colOff>667231</xdr:colOff>
      <xdr:row>32</xdr:row>
      <xdr:rowOff>87214</xdr:rowOff>
    </xdr:from>
    <xdr:to>
      <xdr:col>29</xdr:col>
      <xdr:colOff>547019</xdr:colOff>
      <xdr:row>33</xdr:row>
      <xdr:rowOff>338628</xdr:rowOff>
    </xdr:to>
    <xdr:pic>
      <xdr:nvPicPr>
        <xdr:cNvPr id="30" name="図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9"/>
        <a:stretch>
          <a:fillRect/>
        </a:stretch>
      </xdr:blipFill>
      <xdr:spPr>
        <a:xfrm>
          <a:off x="26138202" y="7852890"/>
          <a:ext cx="2614023" cy="598797"/>
        </a:xfrm>
        <a:prstGeom prst="rect">
          <a:avLst/>
        </a:prstGeom>
      </xdr:spPr>
    </xdr:pic>
    <xdr:clientData/>
  </xdr:twoCellAnchor>
  <xdr:twoCellAnchor>
    <xdr:from>
      <xdr:col>25</xdr:col>
      <xdr:colOff>667231</xdr:colOff>
      <xdr:row>33</xdr:row>
      <xdr:rowOff>993557</xdr:rowOff>
    </xdr:from>
    <xdr:to>
      <xdr:col>50</xdr:col>
      <xdr:colOff>184417</xdr:colOff>
      <xdr:row>55</xdr:row>
      <xdr:rowOff>1377246</xdr:rowOff>
    </xdr:to>
    <xdr:pic>
      <xdr:nvPicPr>
        <xdr:cNvPr id="32" name="図 31">
          <a:extLst>
            <a:ext uri="{FF2B5EF4-FFF2-40B4-BE49-F238E27FC236}">
              <a16:creationId xmlns:a16="http://schemas.microsoft.com/office/drawing/2014/main" id="{00000000-0008-0000-0900-000020000000}"/>
            </a:ext>
          </a:extLst>
        </xdr:cNvPr>
        <xdr:cNvPicPr>
          <a:picLocks noChangeAspect="1"/>
        </xdr:cNvPicPr>
      </xdr:nvPicPr>
      <xdr:blipFill>
        <a:blip xmlns:r="http://schemas.openxmlformats.org/officeDocument/2006/relationships" r:embed="rId10"/>
        <a:stretch>
          <a:fillRect/>
        </a:stretch>
      </xdr:blipFill>
      <xdr:spPr>
        <a:xfrm>
          <a:off x="26138202" y="9106616"/>
          <a:ext cx="16606156" cy="6423659"/>
        </a:xfrm>
        <a:prstGeom prst="rect">
          <a:avLst/>
        </a:prstGeom>
      </xdr:spPr>
    </xdr:pic>
    <xdr:clientData/>
  </xdr:twoCellAnchor>
  <xdr:twoCellAnchor>
    <xdr:from>
      <xdr:col>25</xdr:col>
      <xdr:colOff>667231</xdr:colOff>
      <xdr:row>182</xdr:row>
      <xdr:rowOff>164085</xdr:rowOff>
    </xdr:from>
    <xdr:to>
      <xdr:col>30</xdr:col>
      <xdr:colOff>484186</xdr:colOff>
      <xdr:row>188</xdr:row>
      <xdr:rowOff>17240</xdr:rowOff>
    </xdr:to>
    <xdr:pic>
      <xdr:nvPicPr>
        <xdr:cNvPr id="54" name="図 53">
          <a:extLst>
            <a:ext uri="{FF2B5EF4-FFF2-40B4-BE49-F238E27FC236}">
              <a16:creationId xmlns:a16="http://schemas.microsoft.com/office/drawing/2014/main" id="{00000000-0008-0000-0900-000036000000}"/>
            </a:ext>
          </a:extLst>
        </xdr:cNvPr>
        <xdr:cNvPicPr>
          <a:picLocks noChangeAspect="1"/>
        </xdr:cNvPicPr>
      </xdr:nvPicPr>
      <xdr:blipFill>
        <a:blip xmlns:r="http://schemas.openxmlformats.org/officeDocument/2006/relationships" r:embed="rId11"/>
        <a:stretch>
          <a:fillRect/>
        </a:stretch>
      </xdr:blipFill>
      <xdr:spPr>
        <a:xfrm>
          <a:off x="26138202" y="37972732"/>
          <a:ext cx="3234749" cy="861684"/>
        </a:xfrm>
        <a:prstGeom prst="rect">
          <a:avLst/>
        </a:prstGeom>
      </xdr:spPr>
    </xdr:pic>
    <xdr:clientData/>
  </xdr:twoCellAnchor>
  <xdr:twoCellAnchor>
    <xdr:from>
      <xdr:col>25</xdr:col>
      <xdr:colOff>667231</xdr:colOff>
      <xdr:row>190</xdr:row>
      <xdr:rowOff>12245</xdr:rowOff>
    </xdr:from>
    <xdr:to>
      <xdr:col>29</xdr:col>
      <xdr:colOff>644661</xdr:colOff>
      <xdr:row>193</xdr:row>
      <xdr:rowOff>128077</xdr:rowOff>
    </xdr:to>
    <xdr:pic>
      <xdr:nvPicPr>
        <xdr:cNvPr id="55" name="図 54">
          <a:extLst>
            <a:ext uri="{FF2B5EF4-FFF2-40B4-BE49-F238E27FC236}">
              <a16:creationId xmlns:a16="http://schemas.microsoft.com/office/drawing/2014/main" id="{00000000-0008-0000-0900-000037000000}"/>
            </a:ext>
          </a:extLst>
        </xdr:cNvPr>
        <xdr:cNvPicPr>
          <a:picLocks noChangeAspect="1"/>
        </xdr:cNvPicPr>
      </xdr:nvPicPr>
      <xdr:blipFill>
        <a:blip xmlns:r="http://schemas.openxmlformats.org/officeDocument/2006/relationships" r:embed="rId12"/>
        <a:stretch>
          <a:fillRect/>
        </a:stretch>
      </xdr:blipFill>
      <xdr:spPr>
        <a:xfrm>
          <a:off x="26138202" y="39165598"/>
          <a:ext cx="2711665" cy="620097"/>
        </a:xfrm>
        <a:prstGeom prst="rect">
          <a:avLst/>
        </a:prstGeom>
      </xdr:spPr>
    </xdr:pic>
    <xdr:clientData/>
  </xdr:twoCellAnchor>
  <xdr:twoCellAnchor>
    <xdr:from>
      <xdr:col>33</xdr:col>
      <xdr:colOff>537683</xdr:colOff>
      <xdr:row>8</xdr:row>
      <xdr:rowOff>1597810</xdr:rowOff>
    </xdr:from>
    <xdr:to>
      <xdr:col>34</xdr:col>
      <xdr:colOff>257298</xdr:colOff>
      <xdr:row>9</xdr:row>
      <xdr:rowOff>120218</xdr:rowOff>
    </xdr:to>
    <xdr:sp macro="" textlink="">
      <xdr:nvSpPr>
        <xdr:cNvPr id="57" name="正方形/長方形 56">
          <a:extLst>
            <a:ext uri="{FF2B5EF4-FFF2-40B4-BE49-F238E27FC236}">
              <a16:creationId xmlns:a16="http://schemas.microsoft.com/office/drawing/2014/main" id="{00000000-0008-0000-0900-000039000000}"/>
            </a:ext>
          </a:extLst>
        </xdr:cNvPr>
        <xdr:cNvSpPr/>
      </xdr:nvSpPr>
      <xdr:spPr>
        <a:xfrm>
          <a:off x="31477124" y="3166634"/>
          <a:ext cx="403174" cy="259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180368</xdr:colOff>
      <xdr:row>8</xdr:row>
      <xdr:rowOff>1171787</xdr:rowOff>
    </xdr:from>
    <xdr:to>
      <xdr:col>52</xdr:col>
      <xdr:colOff>484844</xdr:colOff>
      <xdr:row>10</xdr:row>
      <xdr:rowOff>85120</xdr:rowOff>
    </xdr:to>
    <xdr:sp macro="" textlink="">
      <xdr:nvSpPr>
        <xdr:cNvPr id="58" name="線吹き出し 1 (枠付き) 57">
          <a:hlinkClick xmlns:r="http://schemas.openxmlformats.org/officeDocument/2006/relationships" r:id="rId13"/>
          <a:extLst>
            <a:ext uri="{FF2B5EF4-FFF2-40B4-BE49-F238E27FC236}">
              <a16:creationId xmlns:a16="http://schemas.microsoft.com/office/drawing/2014/main" id="{00000000-0008-0000-0900-00003A000000}"/>
            </a:ext>
          </a:extLst>
        </xdr:cNvPr>
        <xdr:cNvSpPr/>
      </xdr:nvSpPr>
      <xdr:spPr>
        <a:xfrm>
          <a:off x="38638956" y="2740611"/>
          <a:ext cx="5772947" cy="1345009"/>
        </a:xfrm>
        <a:prstGeom prst="borderCallout1">
          <a:avLst>
            <a:gd name="adj1" fmla="val 66092"/>
            <a:gd name="adj2" fmla="val -129"/>
            <a:gd name="adj3" fmla="val 38944"/>
            <a:gd name="adj4" fmla="val -1175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仕様書では送信信号が記載されているので、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ありとして実装する。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時から変更無し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METHUD800B-6221</a:t>
          </a:r>
        </a:p>
      </xdr:txBody>
    </xdr:sp>
    <xdr:clientData/>
  </xdr:twoCellAnchor>
  <xdr:twoCellAnchor>
    <xdr:from>
      <xdr:col>25</xdr:col>
      <xdr:colOff>657465</xdr:colOff>
      <xdr:row>23</xdr:row>
      <xdr:rowOff>87757</xdr:rowOff>
    </xdr:from>
    <xdr:to>
      <xdr:col>30</xdr:col>
      <xdr:colOff>374387</xdr:colOff>
      <xdr:row>33</xdr:row>
      <xdr:rowOff>378866</xdr:rowOff>
    </xdr:to>
    <xdr:sp macro="" textlink="">
      <xdr:nvSpPr>
        <xdr:cNvPr id="59" name="正方形/長方形 58">
          <a:extLst>
            <a:ext uri="{FF2B5EF4-FFF2-40B4-BE49-F238E27FC236}">
              <a16:creationId xmlns:a16="http://schemas.microsoft.com/office/drawing/2014/main" id="{00000000-0008-0000-0900-00003B000000}"/>
            </a:ext>
          </a:extLst>
        </xdr:cNvPr>
        <xdr:cNvSpPr/>
      </xdr:nvSpPr>
      <xdr:spPr>
        <a:xfrm>
          <a:off x="26128436" y="6295816"/>
          <a:ext cx="3134716" cy="21961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91115</xdr:colOff>
      <xdr:row>25</xdr:row>
      <xdr:rowOff>166913</xdr:rowOff>
    </xdr:from>
    <xdr:to>
      <xdr:col>34</xdr:col>
      <xdr:colOff>589155</xdr:colOff>
      <xdr:row>28</xdr:row>
      <xdr:rowOff>140204</xdr:rowOff>
    </xdr:to>
    <xdr:sp macro="" textlink="">
      <xdr:nvSpPr>
        <xdr:cNvPr id="60" name="線吹き出し 1 (枠付き) 59">
          <a:extLst>
            <a:ext uri="{FF2B5EF4-FFF2-40B4-BE49-F238E27FC236}">
              <a16:creationId xmlns:a16="http://schemas.microsoft.com/office/drawing/2014/main" id="{00000000-0008-0000-0900-00003C000000}"/>
            </a:ext>
          </a:extLst>
        </xdr:cNvPr>
        <xdr:cNvSpPr/>
      </xdr:nvSpPr>
      <xdr:spPr>
        <a:xfrm>
          <a:off x="29663439" y="6711148"/>
          <a:ext cx="2548716" cy="49996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clientData/>
  </xdr:twoCellAnchor>
  <xdr:twoCellAnchor>
    <xdr:from>
      <xdr:col>25</xdr:col>
      <xdr:colOff>647700</xdr:colOff>
      <xdr:row>182</xdr:row>
      <xdr:rowOff>151305</xdr:rowOff>
    </xdr:from>
    <xdr:to>
      <xdr:col>30</xdr:col>
      <xdr:colOff>364622</xdr:colOff>
      <xdr:row>188</xdr:row>
      <xdr:rowOff>7604</xdr:rowOff>
    </xdr:to>
    <xdr:sp macro="" textlink="">
      <xdr:nvSpPr>
        <xdr:cNvPr id="63" name="正方形/長方形 62">
          <a:extLst>
            <a:ext uri="{FF2B5EF4-FFF2-40B4-BE49-F238E27FC236}">
              <a16:creationId xmlns:a16="http://schemas.microsoft.com/office/drawing/2014/main" id="{00000000-0008-0000-0900-00003F000000}"/>
            </a:ext>
          </a:extLst>
        </xdr:cNvPr>
        <xdr:cNvSpPr/>
      </xdr:nvSpPr>
      <xdr:spPr>
        <a:xfrm>
          <a:off x="26118671" y="37959952"/>
          <a:ext cx="3134716" cy="8648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81350</xdr:colOff>
      <xdr:row>183</xdr:row>
      <xdr:rowOff>10867</xdr:rowOff>
    </xdr:from>
    <xdr:to>
      <xdr:col>34</xdr:col>
      <xdr:colOff>579390</xdr:colOff>
      <xdr:row>186</xdr:row>
      <xdr:rowOff>6571</xdr:rowOff>
    </xdr:to>
    <xdr:sp macro="" textlink="">
      <xdr:nvSpPr>
        <xdr:cNvPr id="64" name="線吹き出し 1 (枠付き) 63">
          <a:extLst>
            <a:ext uri="{FF2B5EF4-FFF2-40B4-BE49-F238E27FC236}">
              <a16:creationId xmlns:a16="http://schemas.microsoft.com/office/drawing/2014/main" id="{00000000-0008-0000-0900-000040000000}"/>
            </a:ext>
          </a:extLst>
        </xdr:cNvPr>
        <xdr:cNvSpPr/>
      </xdr:nvSpPr>
      <xdr:spPr>
        <a:xfrm>
          <a:off x="29653674" y="37987602"/>
          <a:ext cx="2548716" cy="499969"/>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clientData/>
  </xdr:twoCellAnchor>
  <xdr:twoCellAnchor>
    <xdr:from>
      <xdr:col>25</xdr:col>
      <xdr:colOff>647700</xdr:colOff>
      <xdr:row>189</xdr:row>
      <xdr:rowOff>65307</xdr:rowOff>
    </xdr:from>
    <xdr:to>
      <xdr:col>30</xdr:col>
      <xdr:colOff>364622</xdr:colOff>
      <xdr:row>194</xdr:row>
      <xdr:rowOff>93953</xdr:rowOff>
    </xdr:to>
    <xdr:sp macro="" textlink="">
      <xdr:nvSpPr>
        <xdr:cNvPr id="67" name="正方形/長方形 66">
          <a:extLst>
            <a:ext uri="{FF2B5EF4-FFF2-40B4-BE49-F238E27FC236}">
              <a16:creationId xmlns:a16="http://schemas.microsoft.com/office/drawing/2014/main" id="{00000000-0008-0000-0900-000043000000}"/>
            </a:ext>
          </a:extLst>
        </xdr:cNvPr>
        <xdr:cNvSpPr/>
      </xdr:nvSpPr>
      <xdr:spPr>
        <a:xfrm>
          <a:off x="26118671" y="39050572"/>
          <a:ext cx="3134716" cy="8690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81350</xdr:colOff>
      <xdr:row>189</xdr:row>
      <xdr:rowOff>97217</xdr:rowOff>
    </xdr:from>
    <xdr:to>
      <xdr:col>34</xdr:col>
      <xdr:colOff>579390</xdr:colOff>
      <xdr:row>192</xdr:row>
      <xdr:rowOff>92921</xdr:rowOff>
    </xdr:to>
    <xdr:sp macro="" textlink="">
      <xdr:nvSpPr>
        <xdr:cNvPr id="68" name="線吹き出し 1 (枠付き) 67">
          <a:extLst>
            <a:ext uri="{FF2B5EF4-FFF2-40B4-BE49-F238E27FC236}">
              <a16:creationId xmlns:a16="http://schemas.microsoft.com/office/drawing/2014/main" id="{00000000-0008-0000-0900-000044000000}"/>
            </a:ext>
          </a:extLst>
        </xdr:cNvPr>
        <xdr:cNvSpPr/>
      </xdr:nvSpPr>
      <xdr:spPr>
        <a:xfrm>
          <a:off x="29653674" y="39082482"/>
          <a:ext cx="2548716" cy="49996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a:t>
          </a:r>
          <a:r>
            <a:rPr kumimoji="1" lang="ja-JP" altLang="en-US" sz="1200" b="1">
              <a:solidFill>
                <a:schemeClr val="tx1"/>
              </a:solidFill>
              <a:latin typeface="+mn-ea"/>
              <a:ea typeface="+mn-ea"/>
              <a:cs typeface="Meiryo UI" panose="020B0604030504040204" pitchFamily="50" charset="-128"/>
            </a:rPr>
            <a:t>無しと判断</a:t>
          </a:r>
        </a:p>
      </xdr:txBody>
    </xdr:sp>
    <xdr:clientData/>
  </xdr:twoCellAnchor>
  <xdr:twoCellAnchor>
    <xdr:from>
      <xdr:col>35</xdr:col>
      <xdr:colOff>374508</xdr:colOff>
      <xdr:row>34</xdr:row>
      <xdr:rowOff>360266</xdr:rowOff>
    </xdr:from>
    <xdr:to>
      <xdr:col>36</xdr:col>
      <xdr:colOff>267112</xdr:colOff>
      <xdr:row>49</xdr:row>
      <xdr:rowOff>85866</xdr:rowOff>
    </xdr:to>
    <xdr:sp macro="" textlink="">
      <xdr:nvSpPr>
        <xdr:cNvPr id="69" name="正方形/長方形 68">
          <a:extLst>
            <a:ext uri="{FF2B5EF4-FFF2-40B4-BE49-F238E27FC236}">
              <a16:creationId xmlns:a16="http://schemas.microsoft.com/office/drawing/2014/main" id="{00000000-0008-0000-0900-000045000000}"/>
            </a:ext>
          </a:extLst>
        </xdr:cNvPr>
        <xdr:cNvSpPr/>
      </xdr:nvSpPr>
      <xdr:spPr>
        <a:xfrm>
          <a:off x="32681067" y="10210237"/>
          <a:ext cx="576163" cy="2796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261733</xdr:colOff>
      <xdr:row>33</xdr:row>
      <xdr:rowOff>1040113</xdr:rowOff>
    </xdr:from>
    <xdr:to>
      <xdr:col>35</xdr:col>
      <xdr:colOff>321096</xdr:colOff>
      <xdr:row>33</xdr:row>
      <xdr:rowOff>1422529</xdr:rowOff>
    </xdr:to>
    <xdr:sp macro="" textlink="">
      <xdr:nvSpPr>
        <xdr:cNvPr id="70" name="線吹き出し 1 (枠付き) 69">
          <a:extLst>
            <a:ext uri="{FF2B5EF4-FFF2-40B4-BE49-F238E27FC236}">
              <a16:creationId xmlns:a16="http://schemas.microsoft.com/office/drawing/2014/main" id="{00000000-0008-0000-0900-000046000000}"/>
            </a:ext>
          </a:extLst>
        </xdr:cNvPr>
        <xdr:cNvSpPr/>
      </xdr:nvSpPr>
      <xdr:spPr>
        <a:xfrm>
          <a:off x="31201174" y="9153172"/>
          <a:ext cx="1426481" cy="382416"/>
        </a:xfrm>
        <a:prstGeom prst="borderCallout1">
          <a:avLst>
            <a:gd name="adj1" fmla="val 98688"/>
            <a:gd name="adj2" fmla="val 44306"/>
            <a:gd name="adj3" fmla="val 442206"/>
            <a:gd name="adj4" fmla="val 102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276877</xdr:colOff>
      <xdr:row>37</xdr:row>
      <xdr:rowOff>16796</xdr:rowOff>
    </xdr:from>
    <xdr:to>
      <xdr:col>37</xdr:col>
      <xdr:colOff>169482</xdr:colOff>
      <xdr:row>39</xdr:row>
      <xdr:rowOff>115165</xdr:rowOff>
    </xdr:to>
    <xdr:sp macro="" textlink="">
      <xdr:nvSpPr>
        <xdr:cNvPr id="71" name="正方形/長方形 70">
          <a:extLst>
            <a:ext uri="{FF2B5EF4-FFF2-40B4-BE49-F238E27FC236}">
              <a16:creationId xmlns:a16="http://schemas.microsoft.com/office/drawing/2014/main" id="{00000000-0008-0000-0900-000047000000}"/>
            </a:ext>
          </a:extLst>
        </xdr:cNvPr>
        <xdr:cNvSpPr/>
      </xdr:nvSpPr>
      <xdr:spPr>
        <a:xfrm>
          <a:off x="33266995" y="10908914"/>
          <a:ext cx="576163" cy="434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179246</xdr:colOff>
      <xdr:row>52</xdr:row>
      <xdr:rowOff>2130</xdr:rowOff>
    </xdr:from>
    <xdr:to>
      <xdr:col>39</xdr:col>
      <xdr:colOff>489097</xdr:colOff>
      <xdr:row>55</xdr:row>
      <xdr:rowOff>67785</xdr:rowOff>
    </xdr:to>
    <xdr:sp macro="" textlink="">
      <xdr:nvSpPr>
        <xdr:cNvPr id="73" name="正方形/長方形 72">
          <a:extLst>
            <a:ext uri="{FF2B5EF4-FFF2-40B4-BE49-F238E27FC236}">
              <a16:creationId xmlns:a16="http://schemas.microsoft.com/office/drawing/2014/main" id="{00000000-0008-0000-0900-000049000000}"/>
            </a:ext>
          </a:extLst>
        </xdr:cNvPr>
        <xdr:cNvSpPr/>
      </xdr:nvSpPr>
      <xdr:spPr>
        <a:xfrm>
          <a:off x="33852922" y="13471601"/>
          <a:ext cx="1676969" cy="749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141791</xdr:colOff>
      <xdr:row>49</xdr:row>
      <xdr:rowOff>186308</xdr:rowOff>
    </xdr:from>
    <xdr:to>
      <xdr:col>40</xdr:col>
      <xdr:colOff>379819</xdr:colOff>
      <xdr:row>51</xdr:row>
      <xdr:rowOff>140857</xdr:rowOff>
    </xdr:to>
    <xdr:sp macro="" textlink="">
      <xdr:nvSpPr>
        <xdr:cNvPr id="74" name="線吹き出し 1 (枠付き) 73">
          <a:extLst>
            <a:ext uri="{FF2B5EF4-FFF2-40B4-BE49-F238E27FC236}">
              <a16:creationId xmlns:a16="http://schemas.microsoft.com/office/drawing/2014/main" id="{00000000-0008-0000-0900-00004A000000}"/>
            </a:ext>
          </a:extLst>
        </xdr:cNvPr>
        <xdr:cNvSpPr/>
      </xdr:nvSpPr>
      <xdr:spPr>
        <a:xfrm>
          <a:off x="34499026" y="13106690"/>
          <a:ext cx="1605146" cy="335549"/>
        </a:xfrm>
        <a:prstGeom prst="borderCallout1">
          <a:avLst>
            <a:gd name="adj1" fmla="val 37636"/>
            <a:gd name="adj2" fmla="val 544"/>
            <a:gd name="adj3" fmla="val 109585"/>
            <a:gd name="adj4" fmla="val -175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588372</xdr:colOff>
      <xdr:row>55</xdr:row>
      <xdr:rowOff>152786</xdr:rowOff>
    </xdr:from>
    <xdr:to>
      <xdr:col>47</xdr:col>
      <xdr:colOff>197848</xdr:colOff>
      <xdr:row>55</xdr:row>
      <xdr:rowOff>866949</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38363401" y="14305815"/>
          <a:ext cx="2343712" cy="714163"/>
        </a:xfrm>
        <a:prstGeom prst="borderCallout1">
          <a:avLst>
            <a:gd name="adj1" fmla="val 57454"/>
            <a:gd name="adj2" fmla="val -275"/>
            <a:gd name="adj3" fmla="val -33385"/>
            <a:gd name="adj4" fmla="val -487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通信途絶時：最終信号状態保持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489096</xdr:colOff>
      <xdr:row>52</xdr:row>
      <xdr:rowOff>2130</xdr:rowOff>
    </xdr:from>
    <xdr:to>
      <xdr:col>42</xdr:col>
      <xdr:colOff>98549</xdr:colOff>
      <xdr:row>55</xdr:row>
      <xdr:rowOff>67785</xdr:rowOff>
    </xdr:to>
    <xdr:sp macro="" textlink="">
      <xdr:nvSpPr>
        <xdr:cNvPr id="76" name="正方形/長方形 75">
          <a:extLst>
            <a:ext uri="{FF2B5EF4-FFF2-40B4-BE49-F238E27FC236}">
              <a16:creationId xmlns:a16="http://schemas.microsoft.com/office/drawing/2014/main" id="{00000000-0008-0000-0900-00004C000000}"/>
            </a:ext>
          </a:extLst>
        </xdr:cNvPr>
        <xdr:cNvSpPr/>
      </xdr:nvSpPr>
      <xdr:spPr>
        <a:xfrm>
          <a:off x="35529890" y="13471601"/>
          <a:ext cx="1660130" cy="749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398463</xdr:colOff>
      <xdr:row>68</xdr:row>
      <xdr:rowOff>86126</xdr:rowOff>
    </xdr:from>
    <xdr:to>
      <xdr:col>35</xdr:col>
      <xdr:colOff>222708</xdr:colOff>
      <xdr:row>105</xdr:row>
      <xdr:rowOff>16565</xdr:rowOff>
    </xdr:to>
    <xdr:sp macro="" textlink="">
      <xdr:nvSpPr>
        <xdr:cNvPr id="77" name="正方形/長方形 76">
          <a:extLst>
            <a:ext uri="{FF2B5EF4-FFF2-40B4-BE49-F238E27FC236}">
              <a16:creationId xmlns:a16="http://schemas.microsoft.com/office/drawing/2014/main" id="{00000000-0008-0000-0900-00004D000000}"/>
            </a:ext>
          </a:extLst>
        </xdr:cNvPr>
        <xdr:cNvSpPr/>
      </xdr:nvSpPr>
      <xdr:spPr>
        <a:xfrm>
          <a:off x="31980642" y="19585162"/>
          <a:ext cx="504602" cy="97820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236571</xdr:colOff>
      <xdr:row>83</xdr:row>
      <xdr:rowOff>1633316</xdr:rowOff>
    </xdr:from>
    <xdr:to>
      <xdr:col>36</xdr:col>
      <xdr:colOff>90522</xdr:colOff>
      <xdr:row>84</xdr:row>
      <xdr:rowOff>299201</xdr:rowOff>
    </xdr:to>
    <xdr:sp macro="" textlink="">
      <xdr:nvSpPr>
        <xdr:cNvPr id="79" name="正方形/長方形 78">
          <a:extLst>
            <a:ext uri="{FF2B5EF4-FFF2-40B4-BE49-F238E27FC236}">
              <a16:creationId xmlns:a16="http://schemas.microsoft.com/office/drawing/2014/main" id="{00000000-0008-0000-0900-00004F000000}"/>
            </a:ext>
          </a:extLst>
        </xdr:cNvPr>
        <xdr:cNvSpPr/>
      </xdr:nvSpPr>
      <xdr:spPr>
        <a:xfrm>
          <a:off x="32596723" y="24004642"/>
          <a:ext cx="541408" cy="396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330068</xdr:colOff>
      <xdr:row>63</xdr:row>
      <xdr:rowOff>114137</xdr:rowOff>
    </xdr:from>
    <xdr:to>
      <xdr:col>34</xdr:col>
      <xdr:colOff>389431</xdr:colOff>
      <xdr:row>65</xdr:row>
      <xdr:rowOff>156118</xdr:rowOff>
    </xdr:to>
    <xdr:sp macro="" textlink="">
      <xdr:nvSpPr>
        <xdr:cNvPr id="81" name="線吹き出し 1 (枠付き) 80">
          <a:extLst>
            <a:ext uri="{FF2B5EF4-FFF2-40B4-BE49-F238E27FC236}">
              <a16:creationId xmlns:a16="http://schemas.microsoft.com/office/drawing/2014/main" id="{00000000-0008-0000-0900-000051000000}"/>
            </a:ext>
          </a:extLst>
        </xdr:cNvPr>
        <xdr:cNvSpPr/>
      </xdr:nvSpPr>
      <xdr:spPr>
        <a:xfrm>
          <a:off x="30585950" y="18402137"/>
          <a:ext cx="1426481" cy="378157"/>
        </a:xfrm>
        <a:prstGeom prst="borderCallout1">
          <a:avLst>
            <a:gd name="adj1" fmla="val 98688"/>
            <a:gd name="adj2" fmla="val 44306"/>
            <a:gd name="adj3" fmla="val 442206"/>
            <a:gd name="adj4" fmla="val 102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35</xdr:col>
      <xdr:colOff>236571</xdr:colOff>
      <xdr:row>97</xdr:row>
      <xdr:rowOff>105399</xdr:rowOff>
    </xdr:from>
    <xdr:to>
      <xdr:col>36</xdr:col>
      <xdr:colOff>90522</xdr:colOff>
      <xdr:row>105</xdr:row>
      <xdr:rowOff>22482</xdr:rowOff>
    </xdr:to>
    <xdr:sp macro="" textlink="">
      <xdr:nvSpPr>
        <xdr:cNvPr id="83" name="正方形/長方形 82">
          <a:extLst>
            <a:ext uri="{FF2B5EF4-FFF2-40B4-BE49-F238E27FC236}">
              <a16:creationId xmlns:a16="http://schemas.microsoft.com/office/drawing/2014/main" id="{00000000-0008-0000-0900-000053000000}"/>
            </a:ext>
          </a:extLst>
        </xdr:cNvPr>
        <xdr:cNvSpPr/>
      </xdr:nvSpPr>
      <xdr:spPr>
        <a:xfrm>
          <a:off x="32499107" y="28040863"/>
          <a:ext cx="534308" cy="13322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10261</xdr:colOff>
      <xdr:row>110</xdr:row>
      <xdr:rowOff>46725</xdr:rowOff>
    </xdr:from>
    <xdr:to>
      <xdr:col>38</xdr:col>
      <xdr:colOff>676274</xdr:colOff>
      <xdr:row>115</xdr:row>
      <xdr:rowOff>161924</xdr:rowOff>
    </xdr:to>
    <xdr:sp macro="" textlink="">
      <xdr:nvSpPr>
        <xdr:cNvPr id="86" name="正方形/長方形 85">
          <a:extLst>
            <a:ext uri="{FF2B5EF4-FFF2-40B4-BE49-F238E27FC236}">
              <a16:creationId xmlns:a16="http://schemas.microsoft.com/office/drawing/2014/main" id="{00000000-0008-0000-0900-000056000000}"/>
            </a:ext>
          </a:extLst>
        </xdr:cNvPr>
        <xdr:cNvSpPr/>
      </xdr:nvSpPr>
      <xdr:spPr>
        <a:xfrm>
          <a:off x="33719236" y="29707575"/>
          <a:ext cx="1351813" cy="9724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682999</xdr:colOff>
      <xdr:row>108</xdr:row>
      <xdr:rowOff>159343</xdr:rowOff>
    </xdr:from>
    <xdr:to>
      <xdr:col>36</xdr:col>
      <xdr:colOff>242363</xdr:colOff>
      <xdr:row>111</xdr:row>
      <xdr:rowOff>23872</xdr:rowOff>
    </xdr:to>
    <xdr:sp macro="" textlink="">
      <xdr:nvSpPr>
        <xdr:cNvPr id="87" name="線吹き出し 1 (枠付き) 86">
          <a:extLst>
            <a:ext uri="{FF2B5EF4-FFF2-40B4-BE49-F238E27FC236}">
              <a16:creationId xmlns:a16="http://schemas.microsoft.com/office/drawing/2014/main" id="{00000000-0008-0000-0900-000057000000}"/>
            </a:ext>
          </a:extLst>
        </xdr:cNvPr>
        <xdr:cNvSpPr/>
      </xdr:nvSpPr>
      <xdr:spPr>
        <a:xfrm>
          <a:off x="31648774" y="29477293"/>
          <a:ext cx="1616764" cy="378879"/>
        </a:xfrm>
        <a:prstGeom prst="borderCallout1">
          <a:avLst>
            <a:gd name="adj1" fmla="val 96698"/>
            <a:gd name="adj2" fmla="val 79956"/>
            <a:gd name="adj3" fmla="val 198436"/>
            <a:gd name="adj4" fmla="val 1281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242620</xdr:colOff>
      <xdr:row>112</xdr:row>
      <xdr:rowOff>151102</xdr:rowOff>
    </xdr:from>
    <xdr:to>
      <xdr:col>54</xdr:col>
      <xdr:colOff>613558</xdr:colOff>
      <xdr:row>123</xdr:row>
      <xdr:rowOff>116488</xdr:rowOff>
    </xdr:to>
    <xdr:sp macro="" textlink="">
      <xdr:nvSpPr>
        <xdr:cNvPr id="88" name="線吹き出し 1 (枠付き) 87">
          <a:hlinkClick xmlns:r="http://schemas.openxmlformats.org/officeDocument/2006/relationships" r:id="rId14"/>
          <a:extLst>
            <a:ext uri="{FF2B5EF4-FFF2-40B4-BE49-F238E27FC236}">
              <a16:creationId xmlns:a16="http://schemas.microsoft.com/office/drawing/2014/main" id="{00000000-0008-0000-0900-000058000000}"/>
            </a:ext>
          </a:extLst>
        </xdr:cNvPr>
        <xdr:cNvSpPr/>
      </xdr:nvSpPr>
      <xdr:spPr>
        <a:xfrm>
          <a:off x="40809595" y="30154852"/>
          <a:ext cx="5171538" cy="1851336"/>
        </a:xfrm>
        <a:prstGeom prst="borderCallout1">
          <a:avLst>
            <a:gd name="adj1" fmla="val 10590"/>
            <a:gd name="adj2" fmla="val -42"/>
            <a:gd name="adj3" fmla="val 19004"/>
            <a:gd name="adj4" fmla="val -500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METHUD800B-14769</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の回答により、以下とする。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中の途絶時：最終信号状態保持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中の途絶時：非表示</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途絶時間は、信号送信周期</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倍の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上記の記載通りに仕様書が修正</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664856</xdr:colOff>
      <xdr:row>110</xdr:row>
      <xdr:rowOff>45364</xdr:rowOff>
    </xdr:from>
    <xdr:to>
      <xdr:col>43</xdr:col>
      <xdr:colOff>361949</xdr:colOff>
      <xdr:row>115</xdr:row>
      <xdr:rowOff>156883</xdr:rowOff>
    </xdr:to>
    <xdr:sp macro="" textlink="">
      <xdr:nvSpPr>
        <xdr:cNvPr id="89" name="正方形/長方形 88">
          <a:extLst>
            <a:ext uri="{FF2B5EF4-FFF2-40B4-BE49-F238E27FC236}">
              <a16:creationId xmlns:a16="http://schemas.microsoft.com/office/drawing/2014/main" id="{00000000-0008-0000-0900-000059000000}"/>
            </a:ext>
          </a:extLst>
        </xdr:cNvPr>
        <xdr:cNvSpPr/>
      </xdr:nvSpPr>
      <xdr:spPr>
        <a:xfrm>
          <a:off x="35022091" y="29449599"/>
          <a:ext cx="3114887" cy="9519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661485</xdr:colOff>
      <xdr:row>142</xdr:row>
      <xdr:rowOff>97307</xdr:rowOff>
    </xdr:from>
    <xdr:to>
      <xdr:col>37</xdr:col>
      <xdr:colOff>87682</xdr:colOff>
      <xdr:row>144</xdr:row>
      <xdr:rowOff>10533</xdr:rowOff>
    </xdr:to>
    <xdr:sp macro="" textlink="">
      <xdr:nvSpPr>
        <xdr:cNvPr id="91" name="テキスト ボックス 90">
          <a:extLst>
            <a:ext uri="{FF2B5EF4-FFF2-40B4-BE49-F238E27FC236}">
              <a16:creationId xmlns:a16="http://schemas.microsoft.com/office/drawing/2014/main" id="{00000000-0008-0000-0900-00005B000000}"/>
            </a:ext>
          </a:extLst>
        </xdr:cNvPr>
        <xdr:cNvSpPr txBox="1"/>
      </xdr:nvSpPr>
      <xdr:spPr>
        <a:xfrm>
          <a:off x="26132456" y="31182425"/>
          <a:ext cx="7628902" cy="24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noAutofit/>
        </a:bodyPr>
        <a:lstStyle/>
        <a:p>
          <a:r>
            <a:rPr kumimoji="1" lang="en-US" altLang="ja-JP" sz="1100"/>
            <a:t>■</a:t>
          </a:r>
          <a:r>
            <a:rPr kumimoji="1" lang="en-US" altLang="ja-JP" sz="1100">
              <a:solidFill>
                <a:srgbClr val="FF0000"/>
              </a:solidFill>
            </a:rPr>
            <a:t>MET-M_REMWAR-CSTD-1-03-C-C0.xlsx</a:t>
          </a:r>
          <a:endParaRPr kumimoji="1" lang="ja-JP" altLang="en-US" sz="1100">
            <a:solidFill>
              <a:srgbClr val="FF0000"/>
            </a:solidFill>
          </a:endParaRPr>
        </a:p>
      </xdr:txBody>
    </xdr:sp>
    <xdr:clientData/>
  </xdr:twoCellAnchor>
  <xdr:twoCellAnchor>
    <xdr:from>
      <xdr:col>26</xdr:col>
      <xdr:colOff>23317</xdr:colOff>
      <xdr:row>166</xdr:row>
      <xdr:rowOff>104692</xdr:rowOff>
    </xdr:from>
    <xdr:to>
      <xdr:col>48</xdr:col>
      <xdr:colOff>156882</xdr:colOff>
      <xdr:row>176</xdr:row>
      <xdr:rowOff>113742</xdr:rowOff>
    </xdr:to>
    <xdr:sp macro="" textlink="">
      <xdr:nvSpPr>
        <xdr:cNvPr id="94" name="正方形/長方形 93">
          <a:extLst>
            <a:ext uri="{FF2B5EF4-FFF2-40B4-BE49-F238E27FC236}">
              <a16:creationId xmlns:a16="http://schemas.microsoft.com/office/drawing/2014/main" id="{00000000-0008-0000-0900-00005E000000}"/>
            </a:ext>
          </a:extLst>
        </xdr:cNvPr>
        <xdr:cNvSpPr/>
      </xdr:nvSpPr>
      <xdr:spPr>
        <a:xfrm>
          <a:off x="26177846" y="38921868"/>
          <a:ext cx="15171860" cy="1689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558708</xdr:colOff>
      <xdr:row>178</xdr:row>
      <xdr:rowOff>41450</xdr:rowOff>
    </xdr:from>
    <xdr:to>
      <xdr:col>45</xdr:col>
      <xdr:colOff>138938</xdr:colOff>
      <xdr:row>182</xdr:row>
      <xdr:rowOff>110376</xdr:rowOff>
    </xdr:to>
    <xdr:sp macro="" textlink="">
      <xdr:nvSpPr>
        <xdr:cNvPr id="101" name="線吹き出し 1 (枠付き) 100">
          <a:extLst>
            <a:ext uri="{FF2B5EF4-FFF2-40B4-BE49-F238E27FC236}">
              <a16:creationId xmlns:a16="http://schemas.microsoft.com/office/drawing/2014/main" id="{00000000-0008-0000-0900-000065000000}"/>
            </a:ext>
          </a:extLst>
        </xdr:cNvPr>
        <xdr:cNvSpPr/>
      </xdr:nvSpPr>
      <xdr:spPr>
        <a:xfrm>
          <a:off x="35599502" y="40875685"/>
          <a:ext cx="3681583" cy="741279"/>
        </a:xfrm>
        <a:prstGeom prst="borderCallout1">
          <a:avLst>
            <a:gd name="adj1" fmla="val 927"/>
            <a:gd name="adj2" fmla="val 33830"/>
            <a:gd name="adj3" fmla="val -37001"/>
            <a:gd name="adj4" fmla="val 191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No.10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と同実施条件で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670392</xdr:colOff>
      <xdr:row>33</xdr:row>
      <xdr:rowOff>702143</xdr:rowOff>
    </xdr:from>
    <xdr:to>
      <xdr:col>52</xdr:col>
      <xdr:colOff>421823</xdr:colOff>
      <xdr:row>33</xdr:row>
      <xdr:rowOff>1244761</xdr:rowOff>
    </xdr:to>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42457928" y="8988893"/>
          <a:ext cx="1792502" cy="542618"/>
        </a:xfrm>
        <a:prstGeom prst="borderCallout1">
          <a:avLst>
            <a:gd name="adj1" fmla="val 104001"/>
            <a:gd name="adj2" fmla="val 22781"/>
            <a:gd name="adj3" fmla="val 446863"/>
            <a:gd name="adj4" fmla="val -295230"/>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特別条件無し</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39</xdr:col>
      <xdr:colOff>500979</xdr:colOff>
      <xdr:row>34</xdr:row>
      <xdr:rowOff>66302</xdr:rowOff>
    </xdr:from>
    <xdr:to>
      <xdr:col>42</xdr:col>
      <xdr:colOff>87455</xdr:colOff>
      <xdr:row>49</xdr:row>
      <xdr:rowOff>68313</xdr:rowOff>
    </xdr:to>
    <xdr:sp macro="" textlink="">
      <xdr:nvSpPr>
        <xdr:cNvPr id="108" name="正方形/長方形 107">
          <a:extLst>
            <a:ext uri="{FF2B5EF4-FFF2-40B4-BE49-F238E27FC236}">
              <a16:creationId xmlns:a16="http://schemas.microsoft.com/office/drawing/2014/main" id="{00000000-0008-0000-0900-00006C000000}"/>
            </a:ext>
          </a:extLst>
        </xdr:cNvPr>
        <xdr:cNvSpPr/>
      </xdr:nvSpPr>
      <xdr:spPr>
        <a:xfrm>
          <a:off x="35541773" y="9916273"/>
          <a:ext cx="1637153" cy="3072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89647</xdr:colOff>
      <xdr:row>33</xdr:row>
      <xdr:rowOff>1714499</xdr:rowOff>
    </xdr:from>
    <xdr:to>
      <xdr:col>80</xdr:col>
      <xdr:colOff>398569</xdr:colOff>
      <xdr:row>57</xdr:row>
      <xdr:rowOff>134470</xdr:rowOff>
    </xdr:to>
    <xdr:sp macro="" textlink="">
      <xdr:nvSpPr>
        <xdr:cNvPr id="110" name="正方形/長方形 109">
          <a:extLst>
            <a:ext uri="{FF2B5EF4-FFF2-40B4-BE49-F238E27FC236}">
              <a16:creationId xmlns:a16="http://schemas.microsoft.com/office/drawing/2014/main" id="{00000000-0008-0000-0900-00006E000000}"/>
            </a:ext>
          </a:extLst>
        </xdr:cNvPr>
        <xdr:cNvSpPr/>
      </xdr:nvSpPr>
      <xdr:spPr>
        <a:xfrm>
          <a:off x="54953647" y="9827558"/>
          <a:ext cx="8511628" cy="75751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421823</xdr:colOff>
      <xdr:row>33</xdr:row>
      <xdr:rowOff>973452</xdr:rowOff>
    </xdr:from>
    <xdr:to>
      <xdr:col>68</xdr:col>
      <xdr:colOff>89647</xdr:colOff>
      <xdr:row>52</xdr:row>
      <xdr:rowOff>101253</xdr:rowOff>
    </xdr:to>
    <xdr:cxnSp macro="">
      <xdr:nvCxnSpPr>
        <xdr:cNvPr id="112" name="直線コネクタ 111">
          <a:extLst>
            <a:ext uri="{FF2B5EF4-FFF2-40B4-BE49-F238E27FC236}">
              <a16:creationId xmlns:a16="http://schemas.microsoft.com/office/drawing/2014/main" id="{00000000-0008-0000-0900-000070000000}"/>
            </a:ext>
          </a:extLst>
        </xdr:cNvPr>
        <xdr:cNvCxnSpPr>
          <a:stCxn id="107" idx="0"/>
          <a:endCxn id="110" idx="1"/>
        </xdr:cNvCxnSpPr>
      </xdr:nvCxnSpPr>
      <xdr:spPr>
        <a:xfrm>
          <a:off x="44250430" y="9260202"/>
          <a:ext cx="10553538" cy="458426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672353</xdr:colOff>
      <xdr:row>58</xdr:row>
      <xdr:rowOff>103624</xdr:rowOff>
    </xdr:from>
    <xdr:to>
      <xdr:col>54</xdr:col>
      <xdr:colOff>661148</xdr:colOff>
      <xdr:row>63</xdr:row>
      <xdr:rowOff>166667</xdr:rowOff>
    </xdr:to>
    <xdr:sp macro="" textlink="">
      <xdr:nvSpPr>
        <xdr:cNvPr id="113" name="線吹き出し 1 (枠付き) 112">
          <a:extLst>
            <a:ext uri="{FF2B5EF4-FFF2-40B4-BE49-F238E27FC236}">
              <a16:creationId xmlns:a16="http://schemas.microsoft.com/office/drawing/2014/main" id="{00000000-0008-0000-0900-000071000000}"/>
            </a:ext>
          </a:extLst>
        </xdr:cNvPr>
        <xdr:cNvSpPr/>
      </xdr:nvSpPr>
      <xdr:spPr>
        <a:xfrm>
          <a:off x="40498059" y="17551183"/>
          <a:ext cx="5457265" cy="903484"/>
        </a:xfrm>
        <a:prstGeom prst="borderCallout1">
          <a:avLst>
            <a:gd name="adj1" fmla="val 104001"/>
            <a:gd name="adj2" fmla="val 22781"/>
            <a:gd name="adj3" fmla="val 226366"/>
            <a:gd name="adj4" fmla="val -89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EL_MID=111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時、特別条件有りだが、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表示優先順位の記載となり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305647</xdr:colOff>
      <xdr:row>66</xdr:row>
      <xdr:rowOff>172216</xdr:rowOff>
    </xdr:from>
    <xdr:to>
      <xdr:col>39</xdr:col>
      <xdr:colOff>530087</xdr:colOff>
      <xdr:row>105</xdr:row>
      <xdr:rowOff>1</xdr:rowOff>
    </xdr:to>
    <xdr:sp macro="" textlink="">
      <xdr:nvSpPr>
        <xdr:cNvPr id="114" name="正方形/長方形 113">
          <a:extLst>
            <a:ext uri="{FF2B5EF4-FFF2-40B4-BE49-F238E27FC236}">
              <a16:creationId xmlns:a16="http://schemas.microsoft.com/office/drawing/2014/main" id="{00000000-0008-0000-0900-000072000000}"/>
            </a:ext>
          </a:extLst>
        </xdr:cNvPr>
        <xdr:cNvSpPr/>
      </xdr:nvSpPr>
      <xdr:spPr>
        <a:xfrm>
          <a:off x="34609254" y="19317466"/>
          <a:ext cx="904797" cy="10033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661148</xdr:colOff>
      <xdr:row>61</xdr:row>
      <xdr:rowOff>51101</xdr:rowOff>
    </xdr:from>
    <xdr:to>
      <xdr:col>68</xdr:col>
      <xdr:colOff>27214</xdr:colOff>
      <xdr:row>72</xdr:row>
      <xdr:rowOff>121785</xdr:rowOff>
    </xdr:to>
    <xdr:cxnSp macro="">
      <xdr:nvCxnSpPr>
        <xdr:cNvPr id="115" name="直線コネクタ 114">
          <a:extLst>
            <a:ext uri="{FF2B5EF4-FFF2-40B4-BE49-F238E27FC236}">
              <a16:creationId xmlns:a16="http://schemas.microsoft.com/office/drawing/2014/main" id="{00000000-0008-0000-0900-000073000000}"/>
            </a:ext>
          </a:extLst>
        </xdr:cNvPr>
        <xdr:cNvCxnSpPr>
          <a:stCxn id="113" idx="0"/>
          <a:endCxn id="119" idx="1"/>
        </xdr:cNvCxnSpPr>
      </xdr:nvCxnSpPr>
      <xdr:spPr>
        <a:xfrm>
          <a:off x="45955324" y="18002925"/>
          <a:ext cx="8935890" cy="193086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27214</xdr:colOff>
      <xdr:row>67</xdr:row>
      <xdr:rowOff>13608</xdr:rowOff>
    </xdr:from>
    <xdr:to>
      <xdr:col>80</xdr:col>
      <xdr:colOff>642255</xdr:colOff>
      <xdr:row>78</xdr:row>
      <xdr:rowOff>39462</xdr:rowOff>
    </xdr:to>
    <xdr:sp macro="" textlink="">
      <xdr:nvSpPr>
        <xdr:cNvPr id="119" name="正方形/長方形 118">
          <a:extLst>
            <a:ext uri="{FF2B5EF4-FFF2-40B4-BE49-F238E27FC236}">
              <a16:creationId xmlns:a16="http://schemas.microsoft.com/office/drawing/2014/main" id="{00000000-0008-0000-0900-000077000000}"/>
            </a:ext>
          </a:extLst>
        </xdr:cNvPr>
        <xdr:cNvSpPr/>
      </xdr:nvSpPr>
      <xdr:spPr>
        <a:xfrm>
          <a:off x="54741535" y="19335751"/>
          <a:ext cx="8779327" cy="19852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3895353</xdr:colOff>
      <xdr:row>25</xdr:row>
      <xdr:rowOff>64326</xdr:rowOff>
    </xdr:from>
    <xdr:to>
      <xdr:col>5</xdr:col>
      <xdr:colOff>12834</xdr:colOff>
      <xdr:row>27</xdr:row>
      <xdr:rowOff>84816</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4578912" y="6104297"/>
          <a:ext cx="2471216" cy="356666"/>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638175</xdr:colOff>
      <xdr:row>32</xdr:row>
      <xdr:rowOff>109104</xdr:rowOff>
    </xdr:from>
    <xdr:to>
      <xdr:col>23</xdr:col>
      <xdr:colOff>518343</xdr:colOff>
      <xdr:row>33</xdr:row>
      <xdr:rowOff>788516</xdr:rowOff>
    </xdr:to>
    <xdr:sp macro="" textlink="">
      <xdr:nvSpPr>
        <xdr:cNvPr id="131" name="線吹き出し 1 (枠付き) 130">
          <a:extLst>
            <a:ext uri="{FF2B5EF4-FFF2-40B4-BE49-F238E27FC236}">
              <a16:creationId xmlns:a16="http://schemas.microsoft.com/office/drawing/2014/main" id="{00000000-0008-0000-0900-000083000000}"/>
            </a:ext>
          </a:extLst>
        </xdr:cNvPr>
        <xdr:cNvSpPr/>
      </xdr:nvSpPr>
      <xdr:spPr>
        <a:xfrm>
          <a:off x="20069175" y="7971559"/>
          <a:ext cx="4625350" cy="1025775"/>
        </a:xfrm>
        <a:prstGeom prst="borderCallout1">
          <a:avLst>
            <a:gd name="adj1" fmla="val 65308"/>
            <a:gd name="adj2" fmla="val 99445"/>
            <a:gd name="adj3" fmla="val 330942"/>
            <a:gd name="adj4" fmla="val 275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衝撃感知作動有り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電源状態毎に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2828924</xdr:colOff>
      <xdr:row>34</xdr:row>
      <xdr:rowOff>9525</xdr:rowOff>
    </xdr:from>
    <xdr:to>
      <xdr:col>15</xdr:col>
      <xdr:colOff>1295399</xdr:colOff>
      <xdr:row>41</xdr:row>
      <xdr:rowOff>9525</xdr:rowOff>
    </xdr:to>
    <xdr:sp macro="" textlink="">
      <xdr:nvSpPr>
        <xdr:cNvPr id="132" name="正方形/長方形 131">
          <a:extLst>
            <a:ext uri="{FF2B5EF4-FFF2-40B4-BE49-F238E27FC236}">
              <a16:creationId xmlns:a16="http://schemas.microsoft.com/office/drawing/2014/main" id="{00000000-0008-0000-0900-000084000000}"/>
            </a:ext>
          </a:extLst>
        </xdr:cNvPr>
        <xdr:cNvSpPr/>
      </xdr:nvSpPr>
      <xdr:spPr>
        <a:xfrm>
          <a:off x="12449174" y="9925050"/>
          <a:ext cx="5324475" cy="1743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1295399</xdr:colOff>
      <xdr:row>33</xdr:row>
      <xdr:rowOff>788516</xdr:rowOff>
    </xdr:from>
    <xdr:to>
      <xdr:col>20</xdr:col>
      <xdr:colOff>283850</xdr:colOff>
      <xdr:row>36</xdr:row>
      <xdr:rowOff>9526</xdr:rowOff>
    </xdr:to>
    <xdr:cxnSp macro="">
      <xdr:nvCxnSpPr>
        <xdr:cNvPr id="134" name="カギ線コネクタ 133">
          <a:extLst>
            <a:ext uri="{FF2B5EF4-FFF2-40B4-BE49-F238E27FC236}">
              <a16:creationId xmlns:a16="http://schemas.microsoft.com/office/drawing/2014/main" id="{00000000-0008-0000-0900-000086000000}"/>
            </a:ext>
          </a:extLst>
        </xdr:cNvPr>
        <xdr:cNvCxnSpPr>
          <a:stCxn id="132" idx="3"/>
          <a:endCxn id="131" idx="1"/>
        </xdr:cNvCxnSpPr>
      </xdr:nvCxnSpPr>
      <xdr:spPr>
        <a:xfrm flipV="1">
          <a:off x="18145990" y="8997334"/>
          <a:ext cx="4235860" cy="1818737"/>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3895353</xdr:colOff>
      <xdr:row>47</xdr:row>
      <xdr:rowOff>77932</xdr:rowOff>
    </xdr:from>
    <xdr:to>
      <xdr:col>5</xdr:col>
      <xdr:colOff>12834</xdr:colOff>
      <xdr:row>49</xdr:row>
      <xdr:rowOff>98423</xdr:rowOff>
    </xdr:to>
    <xdr:sp macro="" textlink="">
      <xdr:nvSpPr>
        <xdr:cNvPr id="136" name="線吹き出し 1 (枠付き) 135">
          <a:extLst>
            <a:ext uri="{FF2B5EF4-FFF2-40B4-BE49-F238E27FC236}">
              <a16:creationId xmlns:a16="http://schemas.microsoft.com/office/drawing/2014/main" id="{00000000-0008-0000-0900-000088000000}"/>
            </a:ext>
          </a:extLst>
        </xdr:cNvPr>
        <xdr:cNvSpPr/>
      </xdr:nvSpPr>
      <xdr:spPr>
        <a:xfrm>
          <a:off x="4575710" y="12909468"/>
          <a:ext cx="2472017" cy="374276"/>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3552265</xdr:colOff>
      <xdr:row>75</xdr:row>
      <xdr:rowOff>56029</xdr:rowOff>
    </xdr:from>
    <xdr:to>
      <xdr:col>3</xdr:col>
      <xdr:colOff>185216</xdr:colOff>
      <xdr:row>77</xdr:row>
      <xdr:rowOff>76520</xdr:rowOff>
    </xdr:to>
    <xdr:sp macro="" textlink="">
      <xdr:nvSpPr>
        <xdr:cNvPr id="137" name="線吹き出し 1 (枠付き) 136">
          <a:extLst>
            <a:ext uri="{FF2B5EF4-FFF2-40B4-BE49-F238E27FC236}">
              <a16:creationId xmlns:a16="http://schemas.microsoft.com/office/drawing/2014/main" id="{00000000-0008-0000-0900-000089000000}"/>
            </a:ext>
          </a:extLst>
        </xdr:cNvPr>
        <xdr:cNvSpPr/>
      </xdr:nvSpPr>
      <xdr:spPr>
        <a:xfrm>
          <a:off x="4235824" y="20372294"/>
          <a:ext cx="2471216" cy="356667"/>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676275</xdr:colOff>
      <xdr:row>84</xdr:row>
      <xdr:rowOff>9525</xdr:rowOff>
    </xdr:from>
    <xdr:to>
      <xdr:col>17</xdr:col>
      <xdr:colOff>9525</xdr:colOff>
      <xdr:row>95</xdr:row>
      <xdr:rowOff>19050</xdr:rowOff>
    </xdr:to>
    <xdr:sp macro="" textlink="">
      <xdr:nvSpPr>
        <xdr:cNvPr id="139" name="正方形/長方形 138">
          <a:extLst>
            <a:ext uri="{FF2B5EF4-FFF2-40B4-BE49-F238E27FC236}">
              <a16:creationId xmlns:a16="http://schemas.microsoft.com/office/drawing/2014/main" id="{00000000-0008-0000-0900-00008B000000}"/>
            </a:ext>
          </a:extLst>
        </xdr:cNvPr>
        <xdr:cNvSpPr/>
      </xdr:nvSpPr>
      <xdr:spPr>
        <a:xfrm>
          <a:off x="676275" y="23983950"/>
          <a:ext cx="18726150" cy="3124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9525</xdr:colOff>
      <xdr:row>83</xdr:row>
      <xdr:rowOff>707572</xdr:rowOff>
    </xdr:from>
    <xdr:to>
      <xdr:col>21</xdr:col>
      <xdr:colOff>170089</xdr:colOff>
      <xdr:row>85</xdr:row>
      <xdr:rowOff>109538</xdr:rowOff>
    </xdr:to>
    <xdr:cxnSp macro="">
      <xdr:nvCxnSpPr>
        <xdr:cNvPr id="141" name="カギ線コネクタ 140">
          <a:extLst>
            <a:ext uri="{FF2B5EF4-FFF2-40B4-BE49-F238E27FC236}">
              <a16:creationId xmlns:a16="http://schemas.microsoft.com/office/drawing/2014/main" id="{00000000-0008-0000-0900-00008D000000}"/>
            </a:ext>
          </a:extLst>
        </xdr:cNvPr>
        <xdr:cNvCxnSpPr>
          <a:stCxn id="139" idx="3"/>
          <a:endCxn id="45" idx="1"/>
        </xdr:cNvCxnSpPr>
      </xdr:nvCxnSpPr>
      <xdr:spPr>
        <a:xfrm flipV="1">
          <a:off x="19413311" y="23213786"/>
          <a:ext cx="3494314" cy="2708502"/>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200025</xdr:colOff>
      <xdr:row>8</xdr:row>
      <xdr:rowOff>1622281</xdr:rowOff>
    </xdr:from>
    <xdr:to>
      <xdr:col>20</xdr:col>
      <xdr:colOff>283850</xdr:colOff>
      <xdr:row>32</xdr:row>
      <xdr:rowOff>109104</xdr:rowOff>
    </xdr:to>
    <xdr:cxnSp macro="">
      <xdr:nvCxnSpPr>
        <xdr:cNvPr id="151" name="カギ線コネクタ 150">
          <a:extLst>
            <a:ext uri="{FF2B5EF4-FFF2-40B4-BE49-F238E27FC236}">
              <a16:creationId xmlns:a16="http://schemas.microsoft.com/office/drawing/2014/main" id="{00000000-0008-0000-0900-000097000000}"/>
            </a:ext>
          </a:extLst>
        </xdr:cNvPr>
        <xdr:cNvCxnSpPr>
          <a:endCxn id="131" idx="3"/>
        </xdr:cNvCxnSpPr>
      </xdr:nvCxnSpPr>
      <xdr:spPr>
        <a:xfrm>
          <a:off x="19631025" y="3215554"/>
          <a:ext cx="2750825" cy="4756005"/>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600075</xdr:colOff>
      <xdr:row>66</xdr:row>
      <xdr:rowOff>136071</xdr:rowOff>
    </xdr:from>
    <xdr:to>
      <xdr:col>25</xdr:col>
      <xdr:colOff>352425</xdr:colOff>
      <xdr:row>83</xdr:row>
      <xdr:rowOff>707572</xdr:rowOff>
    </xdr:to>
    <xdr:sp macro="" textlink="">
      <xdr:nvSpPr>
        <xdr:cNvPr id="45" name="線吹き出し 1 (枠付き) 44">
          <a:extLst>
            <a:ext uri="{FF2B5EF4-FFF2-40B4-BE49-F238E27FC236}">
              <a16:creationId xmlns:a16="http://schemas.microsoft.com/office/drawing/2014/main" id="{00000000-0008-0000-0900-00002D000000}"/>
            </a:ext>
          </a:extLst>
        </xdr:cNvPr>
        <xdr:cNvSpPr/>
      </xdr:nvSpPr>
      <xdr:spPr>
        <a:xfrm>
          <a:off x="20003861" y="19281321"/>
          <a:ext cx="5807528" cy="3932465"/>
        </a:xfrm>
        <a:prstGeom prst="borderCallout1">
          <a:avLst>
            <a:gd name="adj1" fmla="val 38684"/>
            <a:gd name="adj2" fmla="val 99924"/>
            <a:gd name="adj3" fmla="val 64320"/>
            <a:gd name="adj4" fmla="val 2069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との差異は以下となり、電源状態毎に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と同内容</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有効電源状態：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a:p>
          <a:pPr eaLnBrk="1" fontAlgn="auto" latinLnBrk="0" hangingPunct="1"/>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REQ17</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追加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有効電源状態：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 +B</a:t>
          </a:r>
          <a:endParaRPr lang="ja-JP" altLang="ja-JP" sz="1200">
            <a:solidFill>
              <a:srgbClr val="FF0000"/>
            </a:solidFill>
            <a:effectLst/>
            <a:latin typeface="Meiryo UI" panose="020B0604030504040204" pitchFamily="50" charset="-128"/>
            <a:ea typeface="Meiryo UI" panose="020B0604030504040204" pitchFamily="50" charset="-128"/>
          </a:endParaRPr>
        </a:p>
        <a:p>
          <a:pPr eaLnBrk="1" fontAlgn="auto" latinLnBrk="0" hangingPunct="1"/>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REQ18</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追加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有効電源状態：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 +B</a:t>
          </a:r>
          <a:endParaRPr lang="ja-JP" altLang="ja-JP" sz="1200">
            <a:solidFill>
              <a:srgbClr val="FF0000"/>
            </a:solidFill>
            <a:effectLst/>
            <a:latin typeface="Meiryo UI" panose="020B0604030504040204" pitchFamily="50" charset="-128"/>
            <a:ea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システム異常</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追加されたため、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34017</xdr:colOff>
      <xdr:row>57</xdr:row>
      <xdr:rowOff>90488</xdr:rowOff>
    </xdr:from>
    <xdr:to>
      <xdr:col>21</xdr:col>
      <xdr:colOff>170089</xdr:colOff>
      <xdr:row>66</xdr:row>
      <xdr:rowOff>136071</xdr:rowOff>
    </xdr:to>
    <xdr:cxnSp macro="">
      <xdr:nvCxnSpPr>
        <xdr:cNvPr id="157" name="カギ線コネクタ 156">
          <a:extLst>
            <a:ext uri="{FF2B5EF4-FFF2-40B4-BE49-F238E27FC236}">
              <a16:creationId xmlns:a16="http://schemas.microsoft.com/office/drawing/2014/main" id="{00000000-0008-0000-0900-00009D000000}"/>
            </a:ext>
          </a:extLst>
        </xdr:cNvPr>
        <xdr:cNvCxnSpPr>
          <a:stCxn id="41" idx="3"/>
          <a:endCxn id="45" idx="3"/>
        </xdr:cNvCxnSpPr>
      </xdr:nvCxnSpPr>
      <xdr:spPr>
        <a:xfrm>
          <a:off x="16866053" y="17820595"/>
          <a:ext cx="6041572" cy="1637619"/>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314325</xdr:colOff>
      <xdr:row>7</xdr:row>
      <xdr:rowOff>19051</xdr:rowOff>
    </xdr:from>
    <xdr:to>
      <xdr:col>51</xdr:col>
      <xdr:colOff>28575</xdr:colOff>
      <xdr:row>8</xdr:row>
      <xdr:rowOff>209551</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40195500" y="1257301"/>
          <a:ext cx="3143250" cy="533400"/>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rPr>
            <a:t>からの変更点を赤文字で記載</a:t>
          </a:r>
        </a:p>
      </xdr:txBody>
    </xdr:sp>
    <xdr:clientData/>
  </xdr:twoCellAnchor>
  <xdr:twoCellAnchor>
    <xdr:from>
      <xdr:col>45</xdr:col>
      <xdr:colOff>493059</xdr:colOff>
      <xdr:row>67</xdr:row>
      <xdr:rowOff>15208</xdr:rowOff>
    </xdr:from>
    <xdr:to>
      <xdr:col>46</xdr:col>
      <xdr:colOff>370117</xdr:colOff>
      <xdr:row>105</xdr:row>
      <xdr:rowOff>0</xdr:rowOff>
    </xdr:to>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39559166" y="19337351"/>
          <a:ext cx="557415" cy="10013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22410</xdr:colOff>
      <xdr:row>77</xdr:row>
      <xdr:rowOff>33618</xdr:rowOff>
    </xdr:from>
    <xdr:to>
      <xdr:col>54</xdr:col>
      <xdr:colOff>81774</xdr:colOff>
      <xdr:row>79</xdr:row>
      <xdr:rowOff>30775</xdr:rowOff>
    </xdr:to>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43949469" y="20686059"/>
          <a:ext cx="1426481" cy="378157"/>
        </a:xfrm>
        <a:prstGeom prst="borderCallout1">
          <a:avLst>
            <a:gd name="adj1" fmla="val 98688"/>
            <a:gd name="adj2" fmla="val 44306"/>
            <a:gd name="adj3" fmla="val 299968"/>
            <a:gd name="adj4" fmla="val -2644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1053353</xdr:colOff>
      <xdr:row>18</xdr:row>
      <xdr:rowOff>89647</xdr:rowOff>
    </xdr:from>
    <xdr:to>
      <xdr:col>12</xdr:col>
      <xdr:colOff>878278</xdr:colOff>
      <xdr:row>22</xdr:row>
      <xdr:rowOff>112853</xdr:rowOff>
    </xdr:to>
    <xdr:sp macro="" textlink="">
      <xdr:nvSpPr>
        <xdr:cNvPr id="72" name="線吹き出し 1 (枠付き) 71">
          <a:extLst>
            <a:ext uri="{FF2B5EF4-FFF2-40B4-BE49-F238E27FC236}">
              <a16:creationId xmlns:a16="http://schemas.microsoft.com/office/drawing/2014/main" id="{00000000-0008-0000-0900-000048000000}"/>
            </a:ext>
          </a:extLst>
        </xdr:cNvPr>
        <xdr:cNvSpPr/>
      </xdr:nvSpPr>
      <xdr:spPr>
        <a:xfrm>
          <a:off x="9379324" y="5457265"/>
          <a:ext cx="3959895" cy="695559"/>
        </a:xfrm>
        <a:prstGeom prst="borderCallout1">
          <a:avLst>
            <a:gd name="adj1" fmla="val -954"/>
            <a:gd name="adj2" fmla="val 35657"/>
            <a:gd name="adj3" fmla="val -221407"/>
            <a:gd name="adj4" fmla="val -2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459441</xdr:colOff>
      <xdr:row>0</xdr:row>
      <xdr:rowOff>40821</xdr:rowOff>
    </xdr:from>
    <xdr:to>
      <xdr:col>17</xdr:col>
      <xdr:colOff>224118</xdr:colOff>
      <xdr:row>23</xdr:row>
      <xdr:rowOff>175903</xdr:rowOff>
    </xdr:to>
    <xdr:sp macro="" textlink="">
      <xdr:nvSpPr>
        <xdr:cNvPr id="78" name="正方形/長方形 77">
          <a:extLst>
            <a:ext uri="{FF2B5EF4-FFF2-40B4-BE49-F238E27FC236}">
              <a16:creationId xmlns:a16="http://schemas.microsoft.com/office/drawing/2014/main" id="{00000000-0008-0000-0900-00004E000000}"/>
            </a:ext>
          </a:extLst>
        </xdr:cNvPr>
        <xdr:cNvSpPr/>
      </xdr:nvSpPr>
      <xdr:spPr>
        <a:xfrm>
          <a:off x="459441" y="40821"/>
          <a:ext cx="19168463" cy="64624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tabSelected="1" zoomScale="85" zoomScaleNormal="85" workbookViewId="0"/>
  </sheetViews>
  <sheetFormatPr defaultRowHeight="13"/>
  <cols>
    <col min="1" max="1" width="4.453125" customWidth="1"/>
    <col min="2" max="2" width="9" style="9" customWidth="1"/>
    <col min="4" max="4" width="69.453125" customWidth="1"/>
    <col min="5" max="6" width="12.7265625" customWidth="1"/>
    <col min="7" max="18" width="13.08984375" customWidth="1"/>
  </cols>
  <sheetData>
    <row r="2" spans="2:18" ht="25.5" customHeight="1">
      <c r="C2" s="6"/>
      <c r="D2" s="6"/>
      <c r="E2" s="6"/>
      <c r="F2" s="6"/>
      <c r="H2" s="7" t="s">
        <v>13</v>
      </c>
      <c r="I2" s="292" t="s">
        <v>14</v>
      </c>
      <c r="J2" s="292"/>
      <c r="K2" s="292"/>
      <c r="L2" s="292"/>
      <c r="M2" s="292"/>
      <c r="N2" s="292"/>
      <c r="O2" s="292"/>
      <c r="P2" s="292"/>
      <c r="Q2" s="292"/>
      <c r="R2" s="292"/>
    </row>
    <row r="3" spans="2:18" ht="25.5" customHeight="1">
      <c r="C3" s="6"/>
      <c r="D3" s="10" t="str">
        <f ca="1">REPLACE(LEFT(CELL("filename",$B$1),FIND(".xls",CELL("filename",$B$1))-1),1,FIND("[",CELL("filename",$B$1)),)</f>
        <v>alert_B_ESWUOC-CSTD-0-06-A-C0</v>
      </c>
      <c r="E3" s="6"/>
      <c r="F3" s="6"/>
      <c r="H3" s="8" t="s">
        <v>187</v>
      </c>
      <c r="I3" s="293" t="s">
        <v>186</v>
      </c>
      <c r="J3" s="294"/>
      <c r="K3" s="294"/>
      <c r="L3" s="294"/>
      <c r="M3" s="294"/>
      <c r="N3" s="294"/>
      <c r="O3" s="294"/>
      <c r="P3" s="294"/>
      <c r="Q3" s="294"/>
      <c r="R3" s="294"/>
    </row>
    <row r="4" spans="2:18" ht="25.5" customHeight="1">
      <c r="C4" s="6"/>
      <c r="D4" s="6"/>
      <c r="E4" s="22" t="str">
        <f>DGET(B8:C16,"Ver.",H4:H5)</f>
        <v>1.0.1</v>
      </c>
      <c r="F4" s="6"/>
      <c r="H4" s="9" t="s">
        <v>16</v>
      </c>
    </row>
    <row r="5" spans="2:18" ht="25.5" customHeight="1">
      <c r="C5" s="6"/>
      <c r="D5" s="6"/>
      <c r="E5" s="6"/>
      <c r="F5" s="6"/>
      <c r="H5" s="11">
        <f>MAX(B9:B16)</f>
        <v>2</v>
      </c>
    </row>
    <row r="6" spans="2:18" ht="13.5" thickBot="1"/>
    <row r="7" spans="2:18">
      <c r="C7" s="286" t="s">
        <v>0</v>
      </c>
      <c r="D7" s="287"/>
      <c r="E7" s="288" t="s">
        <v>2</v>
      </c>
      <c r="F7" s="288"/>
      <c r="G7" s="289" t="s">
        <v>5</v>
      </c>
      <c r="H7" s="289"/>
      <c r="I7" s="289"/>
      <c r="J7" s="289"/>
      <c r="K7" s="289"/>
      <c r="L7" s="289"/>
      <c r="M7" s="290" t="s">
        <v>12</v>
      </c>
      <c r="N7" s="290"/>
      <c r="O7" s="290"/>
      <c r="P7" s="290"/>
      <c r="Q7" s="290"/>
      <c r="R7" s="291"/>
    </row>
    <row r="8" spans="2:18" ht="26.5" thickBot="1">
      <c r="B8" s="9" t="s">
        <v>89</v>
      </c>
      <c r="C8" s="15" t="s">
        <v>17</v>
      </c>
      <c r="D8" s="16" t="s">
        <v>1</v>
      </c>
      <c r="E8" s="17" t="s">
        <v>3</v>
      </c>
      <c r="F8" s="18" t="s">
        <v>4</v>
      </c>
      <c r="G8" s="19" t="s">
        <v>6</v>
      </c>
      <c r="H8" s="19" t="s">
        <v>7</v>
      </c>
      <c r="I8" s="19" t="s">
        <v>8</v>
      </c>
      <c r="J8" s="19" t="s">
        <v>9</v>
      </c>
      <c r="K8" s="19" t="s">
        <v>354</v>
      </c>
      <c r="L8" s="19" t="s">
        <v>11</v>
      </c>
      <c r="M8" s="20" t="s">
        <v>6</v>
      </c>
      <c r="N8" s="20" t="s">
        <v>7</v>
      </c>
      <c r="O8" s="20" t="s">
        <v>8</v>
      </c>
      <c r="P8" s="20" t="s">
        <v>9</v>
      </c>
      <c r="Q8" s="20" t="s">
        <v>10</v>
      </c>
      <c r="R8" s="21" t="s">
        <v>11</v>
      </c>
    </row>
    <row r="9" spans="2:18" ht="323.25" customHeight="1" thickTop="1">
      <c r="B9" s="9">
        <f>IF(C9=0,0,ROW()-ROW($B$8))</f>
        <v>1</v>
      </c>
      <c r="C9" s="12" t="s">
        <v>15</v>
      </c>
      <c r="D9" s="202" t="s">
        <v>352</v>
      </c>
      <c r="E9" s="1" t="s">
        <v>31</v>
      </c>
      <c r="F9" s="13" t="s">
        <v>254</v>
      </c>
      <c r="G9" s="1" t="s">
        <v>31</v>
      </c>
      <c r="H9" s="1" t="s">
        <v>31</v>
      </c>
      <c r="I9" s="1" t="s">
        <v>31</v>
      </c>
      <c r="J9" s="1" t="s">
        <v>31</v>
      </c>
      <c r="K9" s="1" t="s">
        <v>31</v>
      </c>
      <c r="L9" s="1" t="s">
        <v>31</v>
      </c>
      <c r="M9" s="1"/>
      <c r="N9" s="191"/>
      <c r="O9" s="1"/>
      <c r="P9" s="191"/>
      <c r="Q9" s="1" t="s">
        <v>339</v>
      </c>
      <c r="R9" s="188">
        <v>44363</v>
      </c>
    </row>
    <row r="10" spans="2:18" ht="26">
      <c r="B10" s="9">
        <f t="shared" ref="B10" si="0">IF(C10=0,0,ROW()-ROW($B$8))</f>
        <v>2</v>
      </c>
      <c r="C10" s="351" t="s">
        <v>353</v>
      </c>
      <c r="D10" s="352" t="s">
        <v>356</v>
      </c>
      <c r="E10" s="353" t="s">
        <v>124</v>
      </c>
      <c r="F10" s="354" t="s">
        <v>254</v>
      </c>
      <c r="G10" s="353" t="s">
        <v>31</v>
      </c>
      <c r="H10" s="353" t="s">
        <v>31</v>
      </c>
      <c r="I10" s="353" t="s">
        <v>31</v>
      </c>
      <c r="J10" s="353" t="s">
        <v>31</v>
      </c>
      <c r="K10" s="353" t="s">
        <v>355</v>
      </c>
      <c r="L10" s="355">
        <v>45342</v>
      </c>
      <c r="M10" s="353" t="s">
        <v>31</v>
      </c>
      <c r="N10" s="353" t="s">
        <v>31</v>
      </c>
      <c r="O10" s="353" t="s">
        <v>31</v>
      </c>
      <c r="P10" s="353" t="s">
        <v>31</v>
      </c>
      <c r="Q10" s="353" t="s">
        <v>31</v>
      </c>
      <c r="R10" s="353" t="s">
        <v>31</v>
      </c>
    </row>
    <row r="11" spans="2:18">
      <c r="B11" s="9">
        <f t="shared" ref="B11:B15" si="1">IF(C11=0,0,ROW()-ROW($B$8))</f>
        <v>0</v>
      </c>
      <c r="C11" s="2"/>
      <c r="D11" s="189"/>
      <c r="E11" s="1"/>
      <c r="F11" s="13"/>
      <c r="G11" s="1"/>
      <c r="H11" s="1"/>
      <c r="I11" s="1"/>
      <c r="J11" s="1"/>
      <c r="K11" s="1"/>
      <c r="L11" s="1"/>
      <c r="M11" s="1"/>
      <c r="N11" s="191"/>
      <c r="O11" s="1"/>
      <c r="P11" s="191"/>
      <c r="Q11" s="1"/>
      <c r="R11" s="188"/>
    </row>
    <row r="12" spans="2:18">
      <c r="B12" s="9">
        <f t="shared" si="1"/>
        <v>0</v>
      </c>
      <c r="C12" s="2"/>
      <c r="D12" s="189"/>
      <c r="E12" s="1"/>
      <c r="F12" s="13"/>
      <c r="G12" s="1"/>
      <c r="H12" s="1"/>
      <c r="I12" s="1"/>
      <c r="J12" s="1"/>
      <c r="K12" s="1"/>
      <c r="L12" s="1"/>
      <c r="M12" s="1"/>
      <c r="N12" s="191"/>
      <c r="O12" s="1"/>
      <c r="P12" s="191"/>
      <c r="Q12" s="1"/>
      <c r="R12" s="188"/>
    </row>
    <row r="13" spans="2:18">
      <c r="B13" s="9">
        <f t="shared" ref="B13" si="2">IF(C13=0,0,ROW()-ROW($B$8))</f>
        <v>0</v>
      </c>
      <c r="C13" s="2"/>
      <c r="D13" s="189"/>
      <c r="E13" s="1"/>
      <c r="F13" s="13"/>
      <c r="G13" s="1"/>
      <c r="H13" s="1"/>
      <c r="I13" s="1"/>
      <c r="J13" s="1"/>
      <c r="K13" s="1"/>
      <c r="L13" s="1"/>
      <c r="M13" s="1"/>
      <c r="N13" s="191"/>
      <c r="O13" s="1"/>
      <c r="P13" s="191"/>
      <c r="Q13" s="1"/>
      <c r="R13" s="188"/>
    </row>
    <row r="14" spans="2:18">
      <c r="B14" s="9">
        <f t="shared" si="1"/>
        <v>0</v>
      </c>
      <c r="C14" s="2"/>
      <c r="D14" s="201"/>
      <c r="E14" s="1"/>
      <c r="F14" s="13"/>
      <c r="G14" s="1"/>
      <c r="H14" s="1"/>
      <c r="I14" s="1"/>
      <c r="J14" s="1"/>
      <c r="K14" s="1"/>
      <c r="L14" s="1"/>
      <c r="M14" s="1"/>
      <c r="N14" s="191"/>
      <c r="O14" s="1"/>
      <c r="P14" s="191"/>
      <c r="Q14" s="1"/>
      <c r="R14" s="188"/>
    </row>
    <row r="15" spans="2:18" ht="13.5" thickBot="1">
      <c r="B15" s="9">
        <f t="shared" si="1"/>
        <v>0</v>
      </c>
      <c r="C15" s="3"/>
      <c r="D15" s="4"/>
      <c r="E15" s="4"/>
      <c r="F15" s="4"/>
      <c r="G15" s="4"/>
      <c r="H15" s="4"/>
      <c r="I15" s="4"/>
      <c r="J15" s="4"/>
      <c r="K15" s="4"/>
      <c r="L15" s="4"/>
      <c r="M15" s="4"/>
      <c r="N15" s="4"/>
      <c r="O15" s="4"/>
      <c r="P15" s="4"/>
      <c r="Q15" s="4"/>
      <c r="R15"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44" t="s">
        <v>127</v>
      </c>
    </row>
    <row r="3" spans="2:5">
      <c r="C3" t="s">
        <v>137</v>
      </c>
    </row>
    <row r="6" spans="2:5" ht="13.5" thickBot="1">
      <c r="B6" s="144" t="s">
        <v>128</v>
      </c>
      <c r="C6" s="144"/>
    </row>
    <row r="7" spans="2:5" ht="13.5" thickBot="1">
      <c r="C7" s="72" t="s">
        <v>130</v>
      </c>
      <c r="D7" s="80"/>
      <c r="E7" s="73" t="s">
        <v>138</v>
      </c>
    </row>
    <row r="8" spans="2:5" ht="20.25" customHeight="1" thickTop="1">
      <c r="C8" s="148">
        <v>0</v>
      </c>
      <c r="D8" s="81" t="s">
        <v>139</v>
      </c>
      <c r="E8" s="147" t="s">
        <v>140</v>
      </c>
    </row>
    <row r="9" spans="2:5" ht="26">
      <c r="C9" s="154">
        <v>1</v>
      </c>
      <c r="D9" s="156" t="s">
        <v>161</v>
      </c>
      <c r="E9" s="155" t="s">
        <v>160</v>
      </c>
    </row>
    <row r="10" spans="2:5" ht="13.5" thickBot="1">
      <c r="C10" s="152"/>
      <c r="D10" s="83"/>
      <c r="E10" s="5"/>
    </row>
    <row r="11" spans="2:5">
      <c r="C11" s="150"/>
    </row>
    <row r="12" spans="2:5" ht="13.5" thickBot="1">
      <c r="B12" s="145" t="s">
        <v>129</v>
      </c>
      <c r="C12" s="79"/>
      <c r="D12" s="79"/>
    </row>
    <row r="13" spans="2:5" ht="13.5" thickBot="1">
      <c r="B13" s="146"/>
      <c r="C13" s="151" t="s">
        <v>130</v>
      </c>
      <c r="D13" s="80" t="s">
        <v>131</v>
      </c>
      <c r="E13" s="73" t="s">
        <v>132</v>
      </c>
    </row>
    <row r="14" spans="2:5" ht="13.5" thickTop="1">
      <c r="C14" s="148">
        <v>0</v>
      </c>
      <c r="D14" s="81" t="s">
        <v>145</v>
      </c>
      <c r="E14" s="153" t="s">
        <v>146</v>
      </c>
    </row>
    <row r="15" spans="2:5">
      <c r="C15" s="149">
        <v>1</v>
      </c>
      <c r="D15" s="82" t="s">
        <v>24</v>
      </c>
      <c r="E15" s="68" t="s">
        <v>133</v>
      </c>
    </row>
    <row r="16" spans="2:5">
      <c r="C16" s="149">
        <v>2</v>
      </c>
      <c r="D16" s="82" t="s">
        <v>25</v>
      </c>
      <c r="E16" s="68" t="s">
        <v>134</v>
      </c>
    </row>
    <row r="17" spans="2:5">
      <c r="C17" s="149">
        <v>3</v>
      </c>
      <c r="D17" s="82" t="s">
        <v>26</v>
      </c>
      <c r="E17" s="68" t="s">
        <v>135</v>
      </c>
    </row>
    <row r="18" spans="2:5">
      <c r="C18" s="149">
        <v>4</v>
      </c>
      <c r="D18" s="82" t="s">
        <v>27</v>
      </c>
      <c r="E18" s="68" t="s">
        <v>136</v>
      </c>
    </row>
    <row r="19" spans="2:5">
      <c r="C19" s="149">
        <v>5</v>
      </c>
      <c r="D19" s="82" t="s">
        <v>147</v>
      </c>
      <c r="E19" s="68" t="s">
        <v>149</v>
      </c>
    </row>
    <row r="20" spans="2:5">
      <c r="C20" s="149">
        <v>6</v>
      </c>
      <c r="D20" s="82" t="s">
        <v>154</v>
      </c>
      <c r="E20" s="68" t="s">
        <v>180</v>
      </c>
    </row>
    <row r="21" spans="2:5" ht="13.5" thickBot="1">
      <c r="C21" s="152"/>
      <c r="D21" s="83"/>
      <c r="E21" s="5"/>
    </row>
    <row r="24" spans="2:5" ht="13.5" thickBot="1">
      <c r="B24" s="144" t="s">
        <v>141</v>
      </c>
    </row>
    <row r="25" spans="2:5" ht="13.5" thickBot="1">
      <c r="C25" s="151" t="s">
        <v>130</v>
      </c>
      <c r="D25" s="80" t="s">
        <v>131</v>
      </c>
      <c r="E25" s="73" t="s">
        <v>132</v>
      </c>
    </row>
    <row r="26" spans="2:5" ht="30.75" customHeight="1" thickTop="1">
      <c r="C26" s="148">
        <v>0</v>
      </c>
      <c r="D26" s="81" t="s">
        <v>142</v>
      </c>
      <c r="E26" s="153" t="s">
        <v>151</v>
      </c>
    </row>
    <row r="27" spans="2:5" ht="120" customHeight="1">
      <c r="C27" s="149">
        <v>1</v>
      </c>
      <c r="D27" s="82" t="s">
        <v>183</v>
      </c>
      <c r="E27" s="84" t="s">
        <v>185</v>
      </c>
    </row>
    <row r="28" spans="2:5" ht="81" customHeight="1">
      <c r="C28" s="149">
        <v>2</v>
      </c>
      <c r="D28" s="82" t="s">
        <v>179</v>
      </c>
      <c r="E28" s="84" t="s">
        <v>191</v>
      </c>
    </row>
    <row r="29" spans="2:5" ht="45" customHeight="1">
      <c r="C29" s="149">
        <v>3</v>
      </c>
      <c r="D29" s="82" t="s">
        <v>148</v>
      </c>
      <c r="E29" s="84" t="s">
        <v>152</v>
      </c>
    </row>
    <row r="30" spans="2:5" ht="16.5" customHeight="1">
      <c r="C30" s="149">
        <v>4</v>
      </c>
      <c r="D30" s="82" t="s">
        <v>143</v>
      </c>
      <c r="E30" s="68" t="s">
        <v>159</v>
      </c>
    </row>
    <row r="31" spans="2:5" ht="16.5" customHeight="1">
      <c r="C31" s="149">
        <v>5</v>
      </c>
      <c r="D31" s="82" t="s">
        <v>144</v>
      </c>
      <c r="E31" s="68" t="s">
        <v>153</v>
      </c>
    </row>
    <row r="32" spans="2:5">
      <c r="C32" s="149"/>
      <c r="D32" s="82"/>
      <c r="E32" s="68"/>
    </row>
    <row r="33" spans="2:5">
      <c r="C33" s="149"/>
      <c r="D33" s="82"/>
      <c r="E33" s="68"/>
    </row>
    <row r="34" spans="2:5" ht="13.5" thickBot="1">
      <c r="C34" s="152"/>
      <c r="D34" s="83"/>
      <c r="E34" s="5"/>
    </row>
    <row r="37" spans="2:5" ht="13.5" thickBot="1">
      <c r="B37" s="144" t="s">
        <v>176</v>
      </c>
    </row>
    <row r="38" spans="2:5">
      <c r="C38" s="295"/>
      <c r="D38" s="296"/>
      <c r="E38" s="106" t="s">
        <v>115</v>
      </c>
    </row>
    <row r="39" spans="2:5" ht="13.5" thickBot="1">
      <c r="C39" s="297"/>
      <c r="D39" s="298"/>
      <c r="E39" s="5"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99" t="s">
        <v>19</v>
      </c>
      <c r="C2" s="300"/>
      <c r="D2" s="305" t="s">
        <v>338</v>
      </c>
      <c r="E2" s="306"/>
      <c r="F2" s="306"/>
      <c r="G2" s="306"/>
      <c r="H2" s="307"/>
    </row>
    <row r="3" spans="2:14">
      <c r="B3" s="301" t="s">
        <v>113</v>
      </c>
      <c r="C3" s="302"/>
      <c r="D3" s="308" t="s">
        <v>340</v>
      </c>
      <c r="E3" s="309"/>
      <c r="F3" s="309"/>
      <c r="G3" s="309"/>
      <c r="H3" s="310"/>
    </row>
    <row r="4" spans="2:14" ht="13.5" thickBot="1">
      <c r="B4" s="303" t="s">
        <v>18</v>
      </c>
      <c r="C4" s="304"/>
      <c r="D4" s="311" t="str">
        <f ca="1">表紙!D3&amp;".c"</f>
        <v>alert_B_ESWUOC-CSTD-0-06-A-C0.c</v>
      </c>
      <c r="E4" s="312"/>
      <c r="F4" s="312"/>
      <c r="G4" s="312"/>
      <c r="H4" s="313"/>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9" t="s">
        <v>36</v>
      </c>
      <c r="C6" s="300"/>
      <c r="D6" s="314" t="str">
        <f ca="1">MID(D4, LEN("alert_") + 1, FIND("-",D4,1) - LEN("alert_") - 1)</f>
        <v>B_ESWUOC</v>
      </c>
      <c r="E6" s="315"/>
      <c r="F6" s="315"/>
      <c r="G6" s="315"/>
      <c r="H6" s="316"/>
    </row>
    <row r="7" spans="2:14">
      <c r="B7" s="301" t="s">
        <v>37</v>
      </c>
      <c r="C7" s="302"/>
      <c r="D7" s="317">
        <f>COUNTA($D$13:$D$37)</f>
        <v>4</v>
      </c>
      <c r="E7" s="318"/>
      <c r="F7" s="318"/>
      <c r="G7" s="318"/>
      <c r="H7" s="319"/>
    </row>
    <row r="8" spans="2:14">
      <c r="B8" s="301" t="s">
        <v>92</v>
      </c>
      <c r="C8" s="302"/>
      <c r="D8" s="317" t="str">
        <f ca="1">"st_gp_ALERT_"&amp;UPPER(D6)&amp;"_MTRX"</f>
        <v>st_gp_ALERT_B_ESWUOC_MTRX</v>
      </c>
      <c r="E8" s="318"/>
      <c r="F8" s="318"/>
      <c r="G8" s="318"/>
      <c r="H8" s="319"/>
    </row>
    <row r="9" spans="2:14">
      <c r="B9" s="301" t="s">
        <v>38</v>
      </c>
      <c r="C9" s="302"/>
      <c r="D9" s="320" t="s">
        <v>280</v>
      </c>
      <c r="E9" s="321"/>
      <c r="F9" s="321"/>
      <c r="G9" s="321"/>
      <c r="H9" s="322"/>
    </row>
    <row r="10" spans="2:14" ht="13.5" thickBot="1">
      <c r="B10" s="303" t="s">
        <v>44</v>
      </c>
      <c r="C10" s="304"/>
      <c r="D10" s="323"/>
      <c r="E10" s="324"/>
      <c r="F10" s="324"/>
      <c r="G10" s="324"/>
      <c r="H10" s="325"/>
    </row>
    <row r="11" spans="2:14" ht="13.5" thickBot="1"/>
    <row r="12" spans="2:14" ht="13.5" thickBot="1">
      <c r="B12" s="135" t="s">
        <v>34</v>
      </c>
      <c r="C12" s="98" t="s">
        <v>43</v>
      </c>
      <c r="D12" s="99" t="s">
        <v>35</v>
      </c>
      <c r="E12" s="99" t="s">
        <v>39</v>
      </c>
      <c r="F12" s="99" t="s">
        <v>40</v>
      </c>
      <c r="G12" s="99" t="s">
        <v>41</v>
      </c>
      <c r="H12" s="100" t="s">
        <v>42</v>
      </c>
      <c r="I12" s="140" t="s">
        <v>51</v>
      </c>
      <c r="K12" s="40" t="s">
        <v>45</v>
      </c>
      <c r="L12" s="40" t="s">
        <v>38</v>
      </c>
      <c r="M12" t="s">
        <v>84</v>
      </c>
    </row>
    <row r="13" spans="2:14" ht="13.5" thickTop="1">
      <c r="B13" s="101">
        <v>1</v>
      </c>
      <c r="C13" s="179" t="s">
        <v>296</v>
      </c>
      <c r="D13" s="178" t="s">
        <v>301</v>
      </c>
      <c r="E13" s="105" t="s">
        <v>243</v>
      </c>
      <c r="F13" s="46" t="str">
        <f t="shared" ref="F13:F37" ca="1" si="0">IF($D13&lt;&gt;"","u4_s_Alert"&amp;UPPER(LEFT($D$6,1))&amp;LOWER(MID($D$6,2,100))&amp;IF($D$7=1,"",N13)&amp;"Srcchk","")</f>
        <v>u4_s_AlertB_eswuocBcbSrcchk</v>
      </c>
      <c r="G13" s="46" t="str">
        <f t="shared" ref="G13:G37" si="1">IF($D13&lt;&gt;"",IF($E13="○","vd_s_Alert"&amp;UPPER(LEFT($D$6,1))&amp;LOWER(MID($D$6,2,100))&amp;IF($D$7=1,"",N13)&amp;"RwTx","NULL"),"")</f>
        <v>NULL</v>
      </c>
      <c r="H13" s="104" t="str">
        <f ca="1">IF($D13&lt;&gt;"","ALERT_CH_"&amp;UPPER($D$6)&amp;IF($D$7=1,"","_"&amp;UPPER($C13)),"")</f>
        <v>ALERT_CH_B_ESWUOC_BCB</v>
      </c>
      <c r="I13" s="141" t="str">
        <f ca="1">IF($D13&lt;&gt;"","ALERT_REQ_"&amp;UPPER($D$6)&amp;IF($D$7=1,"","_"&amp;UPPER($C13)),"")</f>
        <v>ALERT_REQ_B_ESWUOC_BCB</v>
      </c>
      <c r="K13" t="s">
        <v>46</v>
      </c>
      <c r="L13" t="s">
        <v>50</v>
      </c>
      <c r="M13" t="e">
        <f t="shared" ref="M13:M37" si="2">FIND("_",C13,1)</f>
        <v>#VALUE!</v>
      </c>
      <c r="N13" t="str">
        <f t="shared" ref="N13:N37" si="3">IF(IFERROR(M13,0),UPPER(LEFT(C13,1))&amp;LOWER(MID(C13,2,M13-2))&amp;UPPER(MID(C13,M13+1,1))&amp;LOWER(MID(C13,M13+2,100)),UPPER(LEFT(C13,1))&amp;LOWER(MID(C13,2,100)))</f>
        <v>Bcb</v>
      </c>
    </row>
    <row r="14" spans="2:14">
      <c r="B14" s="91">
        <v>2</v>
      </c>
      <c r="C14" s="179" t="s">
        <v>256</v>
      </c>
      <c r="D14" s="139" t="s">
        <v>48</v>
      </c>
      <c r="E14" s="139" t="s">
        <v>243</v>
      </c>
      <c r="F14" s="41" t="str">
        <f t="shared" ca="1" si="0"/>
        <v>u4_s_AlertB_eswuocBcSrcchk</v>
      </c>
      <c r="G14" s="41" t="str">
        <f t="shared" si="1"/>
        <v>NULL</v>
      </c>
      <c r="H14" s="62" t="str">
        <f t="shared" ref="H14:H37" ca="1" si="4">IF($D14&lt;&gt;"","ALERT_CH_"&amp;UPPER($D$6)&amp;IF($D$7=1,"","_"&amp;UPPER($C14)),"")</f>
        <v>ALERT_CH_B_ESWUOC_BC</v>
      </c>
      <c r="I14" s="142" t="str">
        <f t="shared" ref="I14:I37" ca="1" si="5">IF($D14&lt;&gt;"","ALERT_REQ_"&amp;UPPER($D$6)&amp;IF($D$7=1,"","_"&amp;UPPER($C14)),"")</f>
        <v>ALERT_REQ_B_ESWUOC_BC</v>
      </c>
      <c r="K14" t="s">
        <v>47</v>
      </c>
      <c r="L14" t="str">
        <f ca="1">"vd_g_Alert"&amp;UPPER(LEFT(D6,1))&amp;LOWER(MID(D6,2,100))&amp;"Init"</f>
        <v>vd_g_AlertB_eswuocInit</v>
      </c>
      <c r="M14" t="e">
        <f t="shared" si="2"/>
        <v>#VALUE!</v>
      </c>
      <c r="N14" t="str">
        <f t="shared" si="3"/>
        <v>Bc</v>
      </c>
    </row>
    <row r="15" spans="2:14">
      <c r="B15" s="91">
        <v>3</v>
      </c>
      <c r="C15" s="138" t="s">
        <v>25</v>
      </c>
      <c r="D15" s="139" t="s">
        <v>48</v>
      </c>
      <c r="E15" s="139" t="s">
        <v>243</v>
      </c>
      <c r="F15" s="41" t="str">
        <f t="shared" ca="1" si="0"/>
        <v>u4_s_AlertB_eswuocPdSrcchk</v>
      </c>
      <c r="G15" s="41" t="str">
        <f t="shared" si="1"/>
        <v>NULL</v>
      </c>
      <c r="H15" s="62" t="str">
        <f t="shared" ca="1" si="4"/>
        <v>ALERT_CH_B_ESWUOC_PD</v>
      </c>
      <c r="I15" s="142" t="str">
        <f t="shared" ca="1" si="5"/>
        <v>ALERT_REQ_B_ESWUOC_PD</v>
      </c>
      <c r="K15" t="s">
        <v>117</v>
      </c>
      <c r="M15" t="e">
        <f t="shared" si="2"/>
        <v>#VALUE!</v>
      </c>
      <c r="N15" t="str">
        <f t="shared" si="3"/>
        <v>Pd</v>
      </c>
    </row>
    <row r="16" spans="2:14">
      <c r="B16" s="91">
        <v>4</v>
      </c>
      <c r="C16" s="138" t="s">
        <v>326</v>
      </c>
      <c r="D16" s="139" t="s">
        <v>47</v>
      </c>
      <c r="E16" s="139" t="s">
        <v>214</v>
      </c>
      <c r="F16" s="41" t="str">
        <f t="shared" ca="1" si="0"/>
        <v>u4_s_AlertB_eswuocPdbSrcchk</v>
      </c>
      <c r="G16" s="41" t="str">
        <f t="shared" ca="1" si="1"/>
        <v>vd_s_AlertB_eswuocPdbRwTx</v>
      </c>
      <c r="H16" s="62" t="str">
        <f t="shared" ca="1" si="4"/>
        <v>ALERT_CH_B_ESWUOC_PDB</v>
      </c>
      <c r="I16" s="142" t="str">
        <f t="shared" ca="1" si="5"/>
        <v>ALERT_REQ_B_ESWUOC_PDB</v>
      </c>
      <c r="K16" t="s">
        <v>118</v>
      </c>
      <c r="M16" t="e">
        <f t="shared" si="2"/>
        <v>#VALUE!</v>
      </c>
      <c r="N16" t="str">
        <f t="shared" si="3"/>
        <v>Pdb</v>
      </c>
    </row>
    <row r="17" spans="2:14">
      <c r="B17" s="91">
        <v>5</v>
      </c>
      <c r="C17" s="138"/>
      <c r="D17" s="139"/>
      <c r="E17" s="139"/>
      <c r="F17" s="41" t="str">
        <f t="shared" si="0"/>
        <v/>
      </c>
      <c r="G17" s="41" t="str">
        <f t="shared" si="1"/>
        <v/>
      </c>
      <c r="H17" s="62" t="str">
        <f t="shared" si="4"/>
        <v/>
      </c>
      <c r="I17" s="142" t="str">
        <f t="shared" si="5"/>
        <v/>
      </c>
      <c r="K17" t="s">
        <v>48</v>
      </c>
      <c r="M17" t="e">
        <f t="shared" si="2"/>
        <v>#VALUE!</v>
      </c>
      <c r="N17" t="str">
        <f t="shared" si="3"/>
        <v/>
      </c>
    </row>
    <row r="18" spans="2:14">
      <c r="B18" s="91">
        <v>6</v>
      </c>
      <c r="C18" s="138"/>
      <c r="D18" s="139"/>
      <c r="E18" s="139"/>
      <c r="F18" s="41" t="str">
        <f t="shared" si="0"/>
        <v/>
      </c>
      <c r="G18" s="41" t="str">
        <f t="shared" si="1"/>
        <v/>
      </c>
      <c r="H18" s="62" t="str">
        <f t="shared" si="4"/>
        <v/>
      </c>
      <c r="I18" s="142" t="str">
        <f t="shared" si="5"/>
        <v/>
      </c>
      <c r="K18" t="s">
        <v>49</v>
      </c>
      <c r="M18" t="e">
        <f t="shared" si="2"/>
        <v>#VALUE!</v>
      </c>
      <c r="N18" t="str">
        <f t="shared" si="3"/>
        <v/>
      </c>
    </row>
    <row r="19" spans="2:14">
      <c r="B19" s="91">
        <v>7</v>
      </c>
      <c r="C19" s="138"/>
      <c r="D19" s="139"/>
      <c r="E19" s="139"/>
      <c r="F19" s="41" t="str">
        <f t="shared" si="0"/>
        <v/>
      </c>
      <c r="G19" s="41" t="str">
        <f t="shared" si="1"/>
        <v/>
      </c>
      <c r="H19" s="62" t="str">
        <f t="shared" si="4"/>
        <v/>
      </c>
      <c r="I19" s="142" t="str">
        <f t="shared" si="5"/>
        <v/>
      </c>
      <c r="K19" t="s">
        <v>49</v>
      </c>
      <c r="M19" t="e">
        <f t="shared" si="2"/>
        <v>#VALUE!</v>
      </c>
      <c r="N19" t="str">
        <f t="shared" si="3"/>
        <v/>
      </c>
    </row>
    <row r="20" spans="2:14">
      <c r="B20" s="91">
        <v>8</v>
      </c>
      <c r="C20" s="138"/>
      <c r="D20" s="139"/>
      <c r="E20" s="139"/>
      <c r="F20" s="41" t="str">
        <f t="shared" si="0"/>
        <v/>
      </c>
      <c r="G20" s="41" t="str">
        <f t="shared" si="1"/>
        <v/>
      </c>
      <c r="H20" s="62" t="str">
        <f t="shared" si="4"/>
        <v/>
      </c>
      <c r="I20" s="142" t="str">
        <f t="shared" si="5"/>
        <v/>
      </c>
      <c r="K20" t="s">
        <v>49</v>
      </c>
      <c r="M20" t="e">
        <f t="shared" si="2"/>
        <v>#VALUE!</v>
      </c>
      <c r="N20" t="str">
        <f t="shared" si="3"/>
        <v/>
      </c>
    </row>
    <row r="21" spans="2:14">
      <c r="B21" s="91">
        <v>9</v>
      </c>
      <c r="C21" s="138"/>
      <c r="D21" s="139"/>
      <c r="E21" s="139"/>
      <c r="F21" s="41" t="str">
        <f t="shared" si="0"/>
        <v/>
      </c>
      <c r="G21" s="41" t="str">
        <f t="shared" si="1"/>
        <v/>
      </c>
      <c r="H21" s="62" t="str">
        <f t="shared" si="4"/>
        <v/>
      </c>
      <c r="I21" s="142" t="str">
        <f t="shared" si="5"/>
        <v/>
      </c>
      <c r="K21" t="s">
        <v>49</v>
      </c>
      <c r="M21" t="e">
        <f t="shared" si="2"/>
        <v>#VALUE!</v>
      </c>
      <c r="N21" t="str">
        <f t="shared" si="3"/>
        <v/>
      </c>
    </row>
    <row r="22" spans="2:14">
      <c r="B22" s="91">
        <v>10</v>
      </c>
      <c r="C22" s="138"/>
      <c r="D22" s="139"/>
      <c r="E22" s="139"/>
      <c r="F22" s="41" t="str">
        <f t="shared" si="0"/>
        <v/>
      </c>
      <c r="G22" s="41" t="str">
        <f t="shared" si="1"/>
        <v/>
      </c>
      <c r="H22" s="62" t="str">
        <f t="shared" si="4"/>
        <v/>
      </c>
      <c r="I22" s="142" t="str">
        <f t="shared" si="5"/>
        <v/>
      </c>
      <c r="K22" t="s">
        <v>49</v>
      </c>
      <c r="M22" t="e">
        <f t="shared" si="2"/>
        <v>#VALUE!</v>
      </c>
      <c r="N22" t="str">
        <f t="shared" si="3"/>
        <v/>
      </c>
    </row>
    <row r="23" spans="2:14">
      <c r="B23" s="91">
        <v>11</v>
      </c>
      <c r="C23" s="138"/>
      <c r="D23" s="139"/>
      <c r="E23" s="139"/>
      <c r="F23" s="41" t="str">
        <f t="shared" si="0"/>
        <v/>
      </c>
      <c r="G23" s="41" t="str">
        <f t="shared" si="1"/>
        <v/>
      </c>
      <c r="H23" s="62" t="str">
        <f t="shared" si="4"/>
        <v/>
      </c>
      <c r="I23" s="142" t="str">
        <f t="shared" si="5"/>
        <v/>
      </c>
      <c r="K23" t="s">
        <v>49</v>
      </c>
      <c r="M23" t="e">
        <f t="shared" si="2"/>
        <v>#VALUE!</v>
      </c>
      <c r="N23" t="str">
        <f t="shared" si="3"/>
        <v/>
      </c>
    </row>
    <row r="24" spans="2:14">
      <c r="B24" s="91">
        <v>12</v>
      </c>
      <c r="C24" s="138"/>
      <c r="D24" s="139"/>
      <c r="E24" s="139"/>
      <c r="F24" s="41" t="str">
        <f t="shared" si="0"/>
        <v/>
      </c>
      <c r="G24" s="41" t="str">
        <f t="shared" si="1"/>
        <v/>
      </c>
      <c r="H24" s="62" t="str">
        <f t="shared" si="4"/>
        <v/>
      </c>
      <c r="I24" s="142" t="str">
        <f t="shared" si="5"/>
        <v/>
      </c>
      <c r="K24" t="s">
        <v>49</v>
      </c>
      <c r="M24" t="e">
        <f t="shared" si="2"/>
        <v>#VALUE!</v>
      </c>
      <c r="N24" t="str">
        <f t="shared" si="3"/>
        <v/>
      </c>
    </row>
    <row r="25" spans="2:14">
      <c r="B25" s="91">
        <v>13</v>
      </c>
      <c r="C25" s="138"/>
      <c r="D25" s="139"/>
      <c r="E25" s="139"/>
      <c r="F25" s="41" t="str">
        <f t="shared" si="0"/>
        <v/>
      </c>
      <c r="G25" s="41" t="str">
        <f t="shared" si="1"/>
        <v/>
      </c>
      <c r="H25" s="62" t="str">
        <f t="shared" si="4"/>
        <v/>
      </c>
      <c r="I25" s="142" t="str">
        <f t="shared" si="5"/>
        <v/>
      </c>
      <c r="K25" t="s">
        <v>49</v>
      </c>
      <c r="M25" t="e">
        <f t="shared" si="2"/>
        <v>#VALUE!</v>
      </c>
      <c r="N25" t="str">
        <f t="shared" si="3"/>
        <v/>
      </c>
    </row>
    <row r="26" spans="2:14">
      <c r="B26" s="91">
        <v>14</v>
      </c>
      <c r="C26" s="138"/>
      <c r="D26" s="139"/>
      <c r="E26" s="139"/>
      <c r="F26" s="41" t="str">
        <f t="shared" si="0"/>
        <v/>
      </c>
      <c r="G26" s="41" t="str">
        <f t="shared" si="1"/>
        <v/>
      </c>
      <c r="H26" s="62" t="str">
        <f t="shared" si="4"/>
        <v/>
      </c>
      <c r="I26" s="142" t="str">
        <f t="shared" si="5"/>
        <v/>
      </c>
      <c r="K26" t="s">
        <v>49</v>
      </c>
      <c r="M26" t="e">
        <f t="shared" si="2"/>
        <v>#VALUE!</v>
      </c>
      <c r="N26" t="str">
        <f t="shared" si="3"/>
        <v/>
      </c>
    </row>
    <row r="27" spans="2:14">
      <c r="B27" s="91">
        <v>15</v>
      </c>
      <c r="C27" s="138"/>
      <c r="D27" s="139"/>
      <c r="E27" s="139"/>
      <c r="F27" s="41" t="str">
        <f t="shared" si="0"/>
        <v/>
      </c>
      <c r="G27" s="41" t="str">
        <f t="shared" si="1"/>
        <v/>
      </c>
      <c r="H27" s="62" t="str">
        <f t="shared" si="4"/>
        <v/>
      </c>
      <c r="I27" s="142" t="str">
        <f t="shared" si="5"/>
        <v/>
      </c>
      <c r="K27" t="s">
        <v>49</v>
      </c>
      <c r="M27" t="e">
        <f t="shared" si="2"/>
        <v>#VALUE!</v>
      </c>
      <c r="N27" t="str">
        <f t="shared" si="3"/>
        <v/>
      </c>
    </row>
    <row r="28" spans="2:14">
      <c r="B28" s="91">
        <v>16</v>
      </c>
      <c r="C28" s="138"/>
      <c r="D28" s="139"/>
      <c r="E28" s="139"/>
      <c r="F28" s="41" t="str">
        <f t="shared" si="0"/>
        <v/>
      </c>
      <c r="G28" s="41" t="str">
        <f t="shared" si="1"/>
        <v/>
      </c>
      <c r="H28" s="62" t="str">
        <f t="shared" si="4"/>
        <v/>
      </c>
      <c r="I28" s="142" t="str">
        <f t="shared" si="5"/>
        <v/>
      </c>
      <c r="K28" t="s">
        <v>49</v>
      </c>
      <c r="M28" t="e">
        <f t="shared" si="2"/>
        <v>#VALUE!</v>
      </c>
      <c r="N28" t="str">
        <f t="shared" si="3"/>
        <v/>
      </c>
    </row>
    <row r="29" spans="2:14">
      <c r="B29" s="91">
        <v>17</v>
      </c>
      <c r="C29" s="138"/>
      <c r="D29" s="139"/>
      <c r="E29" s="139"/>
      <c r="F29" s="41" t="str">
        <f t="shared" si="0"/>
        <v/>
      </c>
      <c r="G29" s="41" t="str">
        <f t="shared" si="1"/>
        <v/>
      </c>
      <c r="H29" s="62" t="str">
        <f t="shared" si="4"/>
        <v/>
      </c>
      <c r="I29" s="142" t="str">
        <f t="shared" si="5"/>
        <v/>
      </c>
      <c r="K29" t="s">
        <v>49</v>
      </c>
      <c r="M29" t="e">
        <f t="shared" si="2"/>
        <v>#VALUE!</v>
      </c>
      <c r="N29" t="str">
        <f t="shared" si="3"/>
        <v/>
      </c>
    </row>
    <row r="30" spans="2:14">
      <c r="B30" s="91">
        <v>18</v>
      </c>
      <c r="C30" s="138"/>
      <c r="D30" s="139"/>
      <c r="E30" s="139"/>
      <c r="F30" s="41" t="str">
        <f t="shared" si="0"/>
        <v/>
      </c>
      <c r="G30" s="41" t="str">
        <f t="shared" si="1"/>
        <v/>
      </c>
      <c r="H30" s="62" t="str">
        <f t="shared" si="4"/>
        <v/>
      </c>
      <c r="I30" s="142" t="str">
        <f t="shared" si="5"/>
        <v/>
      </c>
      <c r="K30" t="s">
        <v>49</v>
      </c>
      <c r="M30" t="e">
        <f t="shared" si="2"/>
        <v>#VALUE!</v>
      </c>
      <c r="N30" t="str">
        <f t="shared" si="3"/>
        <v/>
      </c>
    </row>
    <row r="31" spans="2:14">
      <c r="B31" s="91">
        <v>19</v>
      </c>
      <c r="C31" s="138"/>
      <c r="D31" s="139"/>
      <c r="E31" s="139"/>
      <c r="F31" s="41" t="str">
        <f t="shared" si="0"/>
        <v/>
      </c>
      <c r="G31" s="41" t="str">
        <f t="shared" si="1"/>
        <v/>
      </c>
      <c r="H31" s="62" t="str">
        <f t="shared" si="4"/>
        <v/>
      </c>
      <c r="I31" s="142" t="str">
        <f t="shared" si="5"/>
        <v/>
      </c>
      <c r="K31" t="s">
        <v>49</v>
      </c>
      <c r="M31" t="e">
        <f t="shared" si="2"/>
        <v>#VALUE!</v>
      </c>
      <c r="N31" t="str">
        <f t="shared" si="3"/>
        <v/>
      </c>
    </row>
    <row r="32" spans="2:14">
      <c r="B32" s="91">
        <v>20</v>
      </c>
      <c r="C32" s="138"/>
      <c r="D32" s="139"/>
      <c r="E32" s="139"/>
      <c r="F32" s="41" t="str">
        <f t="shared" si="0"/>
        <v/>
      </c>
      <c r="G32" s="41" t="str">
        <f t="shared" si="1"/>
        <v/>
      </c>
      <c r="H32" s="62" t="str">
        <f t="shared" si="4"/>
        <v/>
      </c>
      <c r="I32" s="142" t="str">
        <f t="shared" si="5"/>
        <v/>
      </c>
      <c r="K32" t="s">
        <v>49</v>
      </c>
      <c r="M32" t="e">
        <f t="shared" si="2"/>
        <v>#VALUE!</v>
      </c>
      <c r="N32" t="str">
        <f t="shared" si="3"/>
        <v/>
      </c>
    </row>
    <row r="33" spans="2:14">
      <c r="B33" s="91">
        <v>21</v>
      </c>
      <c r="C33" s="138"/>
      <c r="D33" s="139"/>
      <c r="E33" s="139"/>
      <c r="F33" s="41" t="str">
        <f t="shared" si="0"/>
        <v/>
      </c>
      <c r="G33" s="41" t="str">
        <f t="shared" si="1"/>
        <v/>
      </c>
      <c r="H33" s="62" t="str">
        <f t="shared" si="4"/>
        <v/>
      </c>
      <c r="I33" s="142" t="str">
        <f t="shared" si="5"/>
        <v/>
      </c>
      <c r="K33" t="s">
        <v>49</v>
      </c>
      <c r="M33" t="e">
        <f t="shared" si="2"/>
        <v>#VALUE!</v>
      </c>
      <c r="N33" t="str">
        <f t="shared" si="3"/>
        <v/>
      </c>
    </row>
    <row r="34" spans="2:14">
      <c r="B34" s="91">
        <v>22</v>
      </c>
      <c r="C34" s="138"/>
      <c r="D34" s="139"/>
      <c r="E34" s="139"/>
      <c r="F34" s="41" t="str">
        <f t="shared" si="0"/>
        <v/>
      </c>
      <c r="G34" s="41" t="str">
        <f t="shared" si="1"/>
        <v/>
      </c>
      <c r="H34" s="62" t="str">
        <f t="shared" si="4"/>
        <v/>
      </c>
      <c r="I34" s="142" t="str">
        <f t="shared" si="5"/>
        <v/>
      </c>
      <c r="K34" t="s">
        <v>49</v>
      </c>
      <c r="M34" t="e">
        <f t="shared" si="2"/>
        <v>#VALUE!</v>
      </c>
      <c r="N34" t="str">
        <f t="shared" si="3"/>
        <v/>
      </c>
    </row>
    <row r="35" spans="2:14">
      <c r="B35" s="91">
        <v>23</v>
      </c>
      <c r="C35" s="138"/>
      <c r="D35" s="139"/>
      <c r="E35" s="139"/>
      <c r="F35" s="41" t="str">
        <f t="shared" si="0"/>
        <v/>
      </c>
      <c r="G35" s="41" t="str">
        <f t="shared" si="1"/>
        <v/>
      </c>
      <c r="H35" s="62" t="str">
        <f t="shared" si="4"/>
        <v/>
      </c>
      <c r="I35" s="142" t="str">
        <f t="shared" si="5"/>
        <v/>
      </c>
      <c r="K35" t="s">
        <v>49</v>
      </c>
      <c r="M35" t="e">
        <f t="shared" si="2"/>
        <v>#VALUE!</v>
      </c>
      <c r="N35" t="str">
        <f t="shared" si="3"/>
        <v/>
      </c>
    </row>
    <row r="36" spans="2:14">
      <c r="B36" s="91">
        <v>24</v>
      </c>
      <c r="C36" s="138"/>
      <c r="D36" s="139"/>
      <c r="E36" s="139"/>
      <c r="F36" s="41" t="str">
        <f t="shared" si="0"/>
        <v/>
      </c>
      <c r="G36" s="41" t="str">
        <f t="shared" si="1"/>
        <v/>
      </c>
      <c r="H36" s="62" t="str">
        <f t="shared" si="4"/>
        <v/>
      </c>
      <c r="I36" s="142" t="str">
        <f t="shared" si="5"/>
        <v/>
      </c>
      <c r="K36" t="s">
        <v>49</v>
      </c>
      <c r="M36" t="e">
        <f t="shared" si="2"/>
        <v>#VALUE!</v>
      </c>
      <c r="N36" t="str">
        <f t="shared" si="3"/>
        <v/>
      </c>
    </row>
    <row r="37" spans="2:14" ht="13.5" thickBot="1">
      <c r="B37" s="92">
        <v>25</v>
      </c>
      <c r="C37" s="136"/>
      <c r="D37" s="137"/>
      <c r="E37" s="137"/>
      <c r="F37" s="49" t="str">
        <f t="shared" si="0"/>
        <v/>
      </c>
      <c r="G37" s="49" t="str">
        <f t="shared" si="1"/>
        <v/>
      </c>
      <c r="H37" s="63" t="str">
        <f t="shared" si="4"/>
        <v/>
      </c>
      <c r="I37" s="14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78" priority="4">
      <formula>14&lt;LEN($D$6)+LEN($C13)</formula>
    </cfRule>
  </conditionalFormatting>
  <conditionalFormatting sqref="D6">
    <cfRule type="expression" dxfId="177" priority="3">
      <formula>14 &lt; LEN($D$6)</formula>
    </cfRule>
  </conditionalFormatting>
  <conditionalFormatting sqref="D5">
    <cfRule type="containsText" dxfId="17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203</v>
      </c>
      <c r="O2" t="s">
        <v>205</v>
      </c>
    </row>
    <row r="3" spans="2:18" ht="13.5" thickBot="1">
      <c r="B3" s="135" t="s">
        <v>34</v>
      </c>
      <c r="C3" s="99" t="s">
        <v>193</v>
      </c>
      <c r="D3" s="99" t="s">
        <v>199</v>
      </c>
      <c r="E3" s="100" t="s">
        <v>200</v>
      </c>
      <c r="F3" s="175" t="s">
        <v>195</v>
      </c>
      <c r="G3" s="172" t="s">
        <v>208</v>
      </c>
      <c r="H3" s="40"/>
      <c r="I3" s="40"/>
      <c r="J3" s="40"/>
      <c r="K3" s="40"/>
      <c r="L3" s="40"/>
      <c r="M3" s="40"/>
      <c r="O3" s="135" t="s">
        <v>34</v>
      </c>
      <c r="P3" s="171" t="s">
        <v>189</v>
      </c>
      <c r="Q3" s="171" t="s">
        <v>202</v>
      </c>
      <c r="R3" s="172" t="s">
        <v>195</v>
      </c>
    </row>
    <row r="4" spans="2:18" ht="13.5" hidden="1" thickTop="1">
      <c r="B4" s="163">
        <v>0</v>
      </c>
      <c r="C4" s="164" t="s">
        <v>177</v>
      </c>
      <c r="D4" s="164"/>
      <c r="E4" s="165"/>
      <c r="F4" s="176"/>
      <c r="G4" s="177"/>
      <c r="H4" s="40"/>
      <c r="I4" s="40"/>
      <c r="J4" s="40"/>
      <c r="K4" s="40"/>
      <c r="L4" s="40"/>
      <c r="M4" s="40"/>
      <c r="O4" s="173">
        <v>0</v>
      </c>
      <c r="P4" s="170" t="s">
        <v>177</v>
      </c>
      <c r="Q4" s="170" t="s">
        <v>177</v>
      </c>
      <c r="R4" s="134"/>
    </row>
    <row r="5" spans="2:18" ht="13.5" thickTop="1">
      <c r="B5" s="166">
        <v>1</v>
      </c>
      <c r="C5" s="139"/>
      <c r="D5" s="23"/>
      <c r="E5" s="62" t="str">
        <f>IF($C5&lt;&gt;"","ALERT_" &amp; D5 &amp; "_ID_"&amp;UPPER(Matrix!$D$6) &amp; "_" &amp; $C5,"")</f>
        <v/>
      </c>
      <c r="F5" s="108"/>
      <c r="G5" s="62" t="str">
        <f>IF(E5&lt;&gt;"",LEN(E5),"")</f>
        <v/>
      </c>
      <c r="O5" s="166">
        <v>1</v>
      </c>
      <c r="P5" s="139"/>
      <c r="Q5" s="139"/>
      <c r="R5" s="109"/>
    </row>
    <row r="6" spans="2:18">
      <c r="B6" s="166">
        <v>2</v>
      </c>
      <c r="C6" s="139"/>
      <c r="D6" s="23"/>
      <c r="E6" s="62" t="str">
        <f>IF($C6&lt;&gt;"","ALERT_" &amp; D6 &amp; "_ID_"&amp;UPPER(Matrix!$D$6) &amp; "_" &amp; $C6,"")</f>
        <v/>
      </c>
      <c r="F6" s="108"/>
      <c r="G6" s="62" t="str">
        <f t="shared" ref="G6:G29" si="0">IF(E6&lt;&gt;"",LEN(E6),"")</f>
        <v/>
      </c>
      <c r="O6" s="166">
        <v>2</v>
      </c>
      <c r="P6" s="139"/>
      <c r="Q6" s="139"/>
      <c r="R6" s="109"/>
    </row>
    <row r="7" spans="2:18">
      <c r="B7" s="166">
        <v>3</v>
      </c>
      <c r="C7" s="139"/>
      <c r="D7" s="23"/>
      <c r="E7" s="62" t="str">
        <f>IF($C7&lt;&gt;"","ALERT_" &amp; D7 &amp; "_ID_"&amp;UPPER(Matrix!$D$6) &amp; "_" &amp; $C7,"")</f>
        <v/>
      </c>
      <c r="F7" s="108"/>
      <c r="G7" s="62" t="str">
        <f t="shared" si="0"/>
        <v/>
      </c>
      <c r="O7" s="166">
        <v>3</v>
      </c>
      <c r="P7" s="139"/>
      <c r="Q7" s="139"/>
      <c r="R7" s="109"/>
    </row>
    <row r="8" spans="2:18">
      <c r="B8" s="166">
        <v>4</v>
      </c>
      <c r="C8" s="139"/>
      <c r="D8" s="23"/>
      <c r="E8" s="62" t="str">
        <f>IF($C8&lt;&gt;"","ALERT_" &amp; D8 &amp; "_ID_"&amp;UPPER(Matrix!$D$6) &amp; "_" &amp; $C8,"")</f>
        <v/>
      </c>
      <c r="F8" s="108"/>
      <c r="G8" s="62" t="str">
        <f t="shared" si="0"/>
        <v/>
      </c>
      <c r="O8" s="166">
        <v>4</v>
      </c>
      <c r="P8" s="139"/>
      <c r="Q8" s="139"/>
      <c r="R8" s="109"/>
    </row>
    <row r="9" spans="2:18">
      <c r="B9" s="166">
        <v>5</v>
      </c>
      <c r="C9" s="139"/>
      <c r="D9" s="23"/>
      <c r="E9" s="62" t="str">
        <f>IF($C9&lt;&gt;"","ALERT_" &amp; D9 &amp; "_ID_"&amp;UPPER(Matrix!$D$6) &amp; "_" &amp; $C9,"")</f>
        <v/>
      </c>
      <c r="F9" s="108"/>
      <c r="G9" s="62" t="str">
        <f t="shared" si="0"/>
        <v/>
      </c>
      <c r="O9" s="166">
        <v>5</v>
      </c>
      <c r="P9" s="139"/>
      <c r="Q9" s="139"/>
      <c r="R9" s="109"/>
    </row>
    <row r="10" spans="2:18">
      <c r="B10" s="166">
        <v>6</v>
      </c>
      <c r="C10" s="139"/>
      <c r="D10" s="23"/>
      <c r="E10" s="62" t="str">
        <f>IF($C10&lt;&gt;"","ALERT_" &amp; D10 &amp; "_ID_"&amp;UPPER(Matrix!$D$6) &amp; "_" &amp; $C10,"")</f>
        <v/>
      </c>
      <c r="F10" s="108"/>
      <c r="G10" s="62" t="str">
        <f t="shared" si="0"/>
        <v/>
      </c>
      <c r="O10" s="166">
        <v>6</v>
      </c>
      <c r="P10" s="139"/>
      <c r="Q10" s="139"/>
      <c r="R10" s="109"/>
    </row>
    <row r="11" spans="2:18">
      <c r="B11" s="166">
        <v>7</v>
      </c>
      <c r="C11" s="139"/>
      <c r="D11" s="23"/>
      <c r="E11" s="62" t="str">
        <f>IF($C11&lt;&gt;"","ALERT_" &amp; D11 &amp; "_ID_"&amp;UPPER(Matrix!$D$6) &amp; "_" &amp; $C11,"")</f>
        <v/>
      </c>
      <c r="F11" s="108"/>
      <c r="G11" s="62" t="str">
        <f t="shared" si="0"/>
        <v/>
      </c>
      <c r="O11" s="166">
        <v>7</v>
      </c>
      <c r="P11" s="139"/>
      <c r="Q11" s="139"/>
      <c r="R11" s="109"/>
    </row>
    <row r="12" spans="2:18">
      <c r="B12" s="166">
        <v>8</v>
      </c>
      <c r="C12" s="139"/>
      <c r="D12" s="23"/>
      <c r="E12" s="62" t="str">
        <f>IF($C12&lt;&gt;"","ALERT_" &amp; D12 &amp; "_ID_"&amp;UPPER(Matrix!$D$6) &amp; "_" &amp; $C12,"")</f>
        <v/>
      </c>
      <c r="F12" s="108"/>
      <c r="G12" s="62" t="str">
        <f t="shared" si="0"/>
        <v/>
      </c>
      <c r="O12" s="166">
        <v>8</v>
      </c>
      <c r="P12" s="139"/>
      <c r="Q12" s="139"/>
      <c r="R12" s="109"/>
    </row>
    <row r="13" spans="2:18">
      <c r="B13" s="166">
        <v>9</v>
      </c>
      <c r="C13" s="139"/>
      <c r="D13" s="23"/>
      <c r="E13" s="62" t="str">
        <f>IF($C13&lt;&gt;"","ALERT_" &amp; D13 &amp; "_ID_"&amp;UPPER(Matrix!$D$6) &amp; "_" &amp; $C13,"")</f>
        <v/>
      </c>
      <c r="F13" s="108"/>
      <c r="G13" s="62" t="str">
        <f t="shared" si="0"/>
        <v/>
      </c>
      <c r="O13" s="166">
        <v>9</v>
      </c>
      <c r="P13" s="139"/>
      <c r="Q13" s="139"/>
      <c r="R13" s="109"/>
    </row>
    <row r="14" spans="2:18">
      <c r="B14" s="166">
        <v>10</v>
      </c>
      <c r="C14" s="139"/>
      <c r="D14" s="23"/>
      <c r="E14" s="62" t="str">
        <f>IF($C14&lt;&gt;"","ALERT_" &amp; D14 &amp; "_ID_"&amp;UPPER(Matrix!$D$6) &amp; "_" &amp; $C14,"")</f>
        <v/>
      </c>
      <c r="F14" s="108"/>
      <c r="G14" s="62" t="str">
        <f t="shared" si="0"/>
        <v/>
      </c>
      <c r="O14" s="166">
        <v>10</v>
      </c>
      <c r="P14" s="139"/>
      <c r="Q14" s="139"/>
      <c r="R14" s="109"/>
    </row>
    <row r="15" spans="2:18">
      <c r="B15" s="166">
        <v>11</v>
      </c>
      <c r="C15" s="139"/>
      <c r="D15" s="23"/>
      <c r="E15" s="62" t="str">
        <f>IF($C15&lt;&gt;"","ALERT_" &amp; D15 &amp; "_ID_"&amp;UPPER(Matrix!$D$6) &amp; "_" &amp; $C15,"")</f>
        <v/>
      </c>
      <c r="F15" s="108"/>
      <c r="G15" s="62" t="str">
        <f t="shared" si="0"/>
        <v/>
      </c>
      <c r="O15" s="166">
        <v>11</v>
      </c>
      <c r="P15" s="139"/>
      <c r="Q15" s="139"/>
      <c r="R15" s="109"/>
    </row>
    <row r="16" spans="2:18">
      <c r="B16" s="166">
        <v>12</v>
      </c>
      <c r="C16" s="139"/>
      <c r="D16" s="23"/>
      <c r="E16" s="62" t="str">
        <f>IF($C16&lt;&gt;"","ALERT_" &amp; D16 &amp; "_ID_"&amp;UPPER(Matrix!$D$6) &amp; "_" &amp; $C16,"")</f>
        <v/>
      </c>
      <c r="F16" s="108"/>
      <c r="G16" s="62" t="str">
        <f t="shared" si="0"/>
        <v/>
      </c>
      <c r="O16" s="166">
        <v>12</v>
      </c>
      <c r="P16" s="139"/>
      <c r="Q16" s="139"/>
      <c r="R16" s="109"/>
    </row>
    <row r="17" spans="2:18">
      <c r="B17" s="166">
        <v>13</v>
      </c>
      <c r="C17" s="139"/>
      <c r="D17" s="23"/>
      <c r="E17" s="62" t="str">
        <f>IF($C17&lt;&gt;"","ALERT_" &amp; D17 &amp; "_ID_"&amp;UPPER(Matrix!$D$6) &amp; "_" &amp; $C17,"")</f>
        <v/>
      </c>
      <c r="F17" s="108"/>
      <c r="G17" s="62" t="str">
        <f t="shared" si="0"/>
        <v/>
      </c>
      <c r="O17" s="166">
        <v>13</v>
      </c>
      <c r="P17" s="139"/>
      <c r="Q17" s="139"/>
      <c r="R17" s="109"/>
    </row>
    <row r="18" spans="2:18">
      <c r="B18" s="166">
        <v>14</v>
      </c>
      <c r="C18" s="139"/>
      <c r="D18" s="23"/>
      <c r="E18" s="62" t="str">
        <f>IF($C18&lt;&gt;"","ALERT_" &amp; D18 &amp; "_ID_"&amp;UPPER(Matrix!$D$6) &amp; "_" &amp; $C18,"")</f>
        <v/>
      </c>
      <c r="F18" s="108"/>
      <c r="G18" s="62" t="str">
        <f t="shared" si="0"/>
        <v/>
      </c>
      <c r="O18" s="166">
        <v>14</v>
      </c>
      <c r="P18" s="139"/>
      <c r="Q18" s="139"/>
      <c r="R18" s="109"/>
    </row>
    <row r="19" spans="2:18">
      <c r="B19" s="166">
        <v>15</v>
      </c>
      <c r="C19" s="139"/>
      <c r="D19" s="23"/>
      <c r="E19" s="62" t="str">
        <f>IF($C19&lt;&gt;"","ALERT_" &amp; D19 &amp; "_ID_"&amp;UPPER(Matrix!$D$6) &amp; "_" &amp; $C19,"")</f>
        <v/>
      </c>
      <c r="F19" s="108"/>
      <c r="G19" s="62" t="str">
        <f t="shared" si="0"/>
        <v/>
      </c>
      <c r="O19" s="166">
        <v>15</v>
      </c>
      <c r="P19" s="139"/>
      <c r="Q19" s="139"/>
      <c r="R19" s="109"/>
    </row>
    <row r="20" spans="2:18">
      <c r="B20" s="166">
        <v>16</v>
      </c>
      <c r="C20" s="139"/>
      <c r="D20" s="23"/>
      <c r="E20" s="62" t="str">
        <f>IF($C20&lt;&gt;"","ALERT_" &amp; D20 &amp; "_ID_"&amp;UPPER(Matrix!$D$6) &amp; "_" &amp; $C20,"")</f>
        <v/>
      </c>
      <c r="F20" s="108"/>
      <c r="G20" s="62" t="str">
        <f t="shared" si="0"/>
        <v/>
      </c>
      <c r="O20" s="166">
        <v>16</v>
      </c>
      <c r="P20" s="139"/>
      <c r="Q20" s="139"/>
      <c r="R20" s="109"/>
    </row>
    <row r="21" spans="2:18">
      <c r="B21" s="166">
        <v>17</v>
      </c>
      <c r="C21" s="139"/>
      <c r="D21" s="23"/>
      <c r="E21" s="62" t="str">
        <f>IF($C21&lt;&gt;"","ALERT_" &amp; D21 &amp; "_ID_"&amp;UPPER(Matrix!$D$6) &amp; "_" &amp; $C21,"")</f>
        <v/>
      </c>
      <c r="F21" s="108"/>
      <c r="G21" s="62" t="str">
        <f t="shared" si="0"/>
        <v/>
      </c>
      <c r="O21" s="166">
        <v>17</v>
      </c>
      <c r="P21" s="139"/>
      <c r="Q21" s="139"/>
      <c r="R21" s="109"/>
    </row>
    <row r="22" spans="2:18">
      <c r="B22" s="166">
        <v>18</v>
      </c>
      <c r="C22" s="139"/>
      <c r="D22" s="23"/>
      <c r="E22" s="62" t="str">
        <f>IF($C22&lt;&gt;"","ALERT_" &amp; D22 &amp; "_ID_"&amp;UPPER(Matrix!$D$6) &amp; "_" &amp; $C22,"")</f>
        <v/>
      </c>
      <c r="F22" s="108"/>
      <c r="G22" s="62" t="str">
        <f t="shared" si="0"/>
        <v/>
      </c>
      <c r="O22" s="166">
        <v>18</v>
      </c>
      <c r="P22" s="139"/>
      <c r="Q22" s="139"/>
      <c r="R22" s="109"/>
    </row>
    <row r="23" spans="2:18">
      <c r="B23" s="166">
        <v>19</v>
      </c>
      <c r="C23" s="139"/>
      <c r="D23" s="23"/>
      <c r="E23" s="62" t="str">
        <f>IF($C23&lt;&gt;"","ALERT_" &amp; D23 &amp; "_ID_"&amp;UPPER(Matrix!$D$6) &amp; "_" &amp; $C23,"")</f>
        <v/>
      </c>
      <c r="F23" s="108"/>
      <c r="G23" s="62" t="str">
        <f t="shared" si="0"/>
        <v/>
      </c>
      <c r="O23" s="166">
        <v>19</v>
      </c>
      <c r="P23" s="139"/>
      <c r="Q23" s="139"/>
      <c r="R23" s="109"/>
    </row>
    <row r="24" spans="2:18">
      <c r="B24" s="166">
        <v>20</v>
      </c>
      <c r="C24" s="139"/>
      <c r="D24" s="23"/>
      <c r="E24" s="62" t="str">
        <f>IF($C24&lt;&gt;"","ALERT_" &amp; D24 &amp; "_ID_"&amp;UPPER(Matrix!$D$6) &amp; "_" &amp; $C24,"")</f>
        <v/>
      </c>
      <c r="F24" s="108"/>
      <c r="G24" s="62" t="str">
        <f t="shared" si="0"/>
        <v/>
      </c>
      <c r="O24" s="166">
        <v>20</v>
      </c>
      <c r="P24" s="139"/>
      <c r="Q24" s="139"/>
      <c r="R24" s="109"/>
    </row>
    <row r="25" spans="2:18">
      <c r="B25" s="166">
        <v>21</v>
      </c>
      <c r="C25" s="139"/>
      <c r="D25" s="23"/>
      <c r="E25" s="62" t="str">
        <f>IF($C25&lt;&gt;"","ALERT_" &amp; D25 &amp; "_ID_"&amp;UPPER(Matrix!$D$6) &amp; "_" &amp; $C25,"")</f>
        <v/>
      </c>
      <c r="F25" s="108"/>
      <c r="G25" s="62" t="str">
        <f t="shared" si="0"/>
        <v/>
      </c>
      <c r="O25" s="166">
        <v>21</v>
      </c>
      <c r="P25" s="139"/>
      <c r="Q25" s="139"/>
      <c r="R25" s="109"/>
    </row>
    <row r="26" spans="2:18">
      <c r="B26" s="166">
        <v>22</v>
      </c>
      <c r="C26" s="139"/>
      <c r="D26" s="23"/>
      <c r="E26" s="62" t="str">
        <f>IF($C26&lt;&gt;"","ALERT_" &amp; D26 &amp; "_ID_"&amp;UPPER(Matrix!$D$6) &amp; "_" &amp; $C26,"")</f>
        <v/>
      </c>
      <c r="F26" s="108"/>
      <c r="G26" s="62" t="str">
        <f t="shared" si="0"/>
        <v/>
      </c>
      <c r="O26" s="166">
        <v>22</v>
      </c>
      <c r="P26" s="139"/>
      <c r="Q26" s="139"/>
      <c r="R26" s="109"/>
    </row>
    <row r="27" spans="2:18">
      <c r="B27" s="166">
        <v>23</v>
      </c>
      <c r="C27" s="139"/>
      <c r="D27" s="23"/>
      <c r="E27" s="62" t="str">
        <f>IF($C27&lt;&gt;"","ALERT_" &amp; D27 &amp; "_ID_"&amp;UPPER(Matrix!$D$6) &amp; "_" &amp; $C27,"")</f>
        <v/>
      </c>
      <c r="F27" s="108"/>
      <c r="G27" s="62" t="str">
        <f t="shared" si="0"/>
        <v/>
      </c>
      <c r="O27" s="166">
        <v>23</v>
      </c>
      <c r="P27" s="139"/>
      <c r="Q27" s="139"/>
      <c r="R27" s="109"/>
    </row>
    <row r="28" spans="2:18">
      <c r="B28" s="166">
        <v>24</v>
      </c>
      <c r="C28" s="139"/>
      <c r="D28" s="23"/>
      <c r="E28" s="62" t="str">
        <f>IF($C28&lt;&gt;"","ALERT_" &amp; D28 &amp; "_ID_"&amp;UPPER(Matrix!$D$6) &amp; "_" &amp; $C28,"")</f>
        <v/>
      </c>
      <c r="F28" s="108"/>
      <c r="G28" s="62" t="str">
        <f t="shared" si="0"/>
        <v/>
      </c>
      <c r="O28" s="166">
        <v>24</v>
      </c>
      <c r="P28" s="139"/>
      <c r="Q28" s="139"/>
      <c r="R28" s="109"/>
    </row>
    <row r="29" spans="2:18" ht="13.5" thickBot="1">
      <c r="B29" s="167">
        <v>25</v>
      </c>
      <c r="C29" s="137"/>
      <c r="D29" s="48"/>
      <c r="E29" s="63" t="str">
        <f>IF($C29&lt;&gt;"","ALERT_" &amp; D29 &amp; "_ID_"&amp;UPPER(Matrix!$D$6) &amp; "_" &amp; $C29,"")</f>
        <v/>
      </c>
      <c r="F29" s="110"/>
      <c r="G29" s="63" t="str">
        <f t="shared" si="0"/>
        <v/>
      </c>
      <c r="O29" s="167">
        <v>25</v>
      </c>
      <c r="P29" s="137"/>
      <c r="Q29" s="137"/>
      <c r="R29" s="111"/>
    </row>
    <row r="32" spans="2:18" ht="13.5" thickBot="1">
      <c r="B32" t="s">
        <v>204</v>
      </c>
      <c r="O32" t="s">
        <v>201</v>
      </c>
    </row>
    <row r="33" spans="2:18" ht="13.5" thickBot="1">
      <c r="B33" s="135" t="s">
        <v>34</v>
      </c>
      <c r="C33" s="99" t="s">
        <v>193</v>
      </c>
      <c r="D33" s="99" t="s">
        <v>198</v>
      </c>
      <c r="E33" s="100" t="s">
        <v>196</v>
      </c>
      <c r="F33" s="172" t="s">
        <v>197</v>
      </c>
      <c r="G33" s="172" t="s">
        <v>208</v>
      </c>
      <c r="O33" s="135" t="s">
        <v>34</v>
      </c>
      <c r="P33" s="171" t="s">
        <v>190</v>
      </c>
      <c r="Q33" s="171" t="s">
        <v>206</v>
      </c>
      <c r="R33" s="172" t="s">
        <v>194</v>
      </c>
    </row>
    <row r="34" spans="2:18" ht="13.5" hidden="1" thickTop="1">
      <c r="B34" s="163">
        <v>0</v>
      </c>
      <c r="C34" s="164" t="s">
        <v>177</v>
      </c>
      <c r="D34" s="164"/>
      <c r="E34" s="165"/>
      <c r="F34" s="174" t="s">
        <v>177</v>
      </c>
      <c r="G34" s="177"/>
      <c r="O34" s="173">
        <v>0</v>
      </c>
      <c r="P34" s="170" t="s">
        <v>177</v>
      </c>
      <c r="Q34" s="170" t="s">
        <v>177</v>
      </c>
      <c r="R34" s="174" t="s">
        <v>177</v>
      </c>
    </row>
    <row r="35" spans="2:18" ht="13.5" thickTop="1">
      <c r="B35" s="166">
        <v>1</v>
      </c>
      <c r="C35" s="139"/>
      <c r="D35" s="23"/>
      <c r="E35" s="62" t="str">
        <f>IF($C35&lt;&gt;"","ALERT_" &amp; UPPER(Matrix!$D$6) &amp; "_" &amp; $C35,"")</f>
        <v/>
      </c>
      <c r="F35" s="168"/>
      <c r="G35" s="62" t="str">
        <f>IF(E35&lt;&gt;"",LEN(E35),"")</f>
        <v/>
      </c>
      <c r="O35" s="166">
        <v>1</v>
      </c>
      <c r="P35" s="139"/>
      <c r="Q35" s="139"/>
      <c r="R35" s="168"/>
    </row>
    <row r="36" spans="2:18">
      <c r="B36" s="166">
        <v>2</v>
      </c>
      <c r="C36" s="139"/>
      <c r="D36" s="23"/>
      <c r="E36" s="62" t="str">
        <f>IF($C36&lt;&gt;"","ALERT_" &amp; UPPER(Matrix!$D$6) &amp; "_" &amp; $C36,"")</f>
        <v/>
      </c>
      <c r="F36" s="168"/>
      <c r="G36" s="62" t="str">
        <f>IF(E36&lt;&gt;"",LEN(E36),"")</f>
        <v/>
      </c>
      <c r="O36" s="166">
        <v>2</v>
      </c>
      <c r="P36" s="139"/>
      <c r="Q36" s="139"/>
      <c r="R36" s="168"/>
    </row>
    <row r="37" spans="2:18">
      <c r="B37" s="166">
        <v>3</v>
      </c>
      <c r="C37" s="139"/>
      <c r="D37" s="23"/>
      <c r="E37" s="62" t="str">
        <f>IF($C37&lt;&gt;"","ALERT_" &amp; UPPER(Matrix!$D$6) &amp; "_" &amp; $C37,"")</f>
        <v/>
      </c>
      <c r="F37" s="168"/>
      <c r="G37" s="62" t="str">
        <f>IF(E37&lt;&gt;"",LEN(E37),"")</f>
        <v/>
      </c>
      <c r="O37" s="166">
        <v>3</v>
      </c>
      <c r="P37" s="139"/>
      <c r="Q37" s="139"/>
      <c r="R37" s="168"/>
    </row>
    <row r="38" spans="2:18">
      <c r="B38" s="166">
        <v>4</v>
      </c>
      <c r="C38" s="139"/>
      <c r="D38" s="23"/>
      <c r="E38" s="62" t="str">
        <f>IF($C38&lt;&gt;"","ALERT_" &amp; UPPER(Matrix!$D$6) &amp; "_" &amp; $C38,"")</f>
        <v/>
      </c>
      <c r="F38" s="168"/>
      <c r="G38" s="62" t="str">
        <f t="shared" ref="G38:G59" si="1">IF(E38&lt;&gt;"",LEN(E38),"")</f>
        <v/>
      </c>
      <c r="O38" s="166">
        <v>4</v>
      </c>
      <c r="P38" s="139"/>
      <c r="Q38" s="139"/>
      <c r="R38" s="168"/>
    </row>
    <row r="39" spans="2:18">
      <c r="B39" s="166">
        <v>5</v>
      </c>
      <c r="C39" s="139"/>
      <c r="D39" s="23"/>
      <c r="E39" s="62" t="str">
        <f>IF($C39&lt;&gt;"","ALERT_" &amp; UPPER(Matrix!$D$6) &amp; "_" &amp; $C39,"")</f>
        <v/>
      </c>
      <c r="F39" s="168"/>
      <c r="G39" s="62" t="str">
        <f t="shared" si="1"/>
        <v/>
      </c>
      <c r="O39" s="166">
        <v>5</v>
      </c>
      <c r="P39" s="139"/>
      <c r="Q39" s="139"/>
      <c r="R39" s="168"/>
    </row>
    <row r="40" spans="2:18">
      <c r="B40" s="166">
        <v>6</v>
      </c>
      <c r="C40" s="139"/>
      <c r="D40" s="23"/>
      <c r="E40" s="62" t="str">
        <f>IF($C40&lt;&gt;"","ALERT_" &amp; UPPER(Matrix!$D$6) &amp; "_" &amp; $C40,"")</f>
        <v/>
      </c>
      <c r="F40" s="168"/>
      <c r="G40" s="62" t="str">
        <f t="shared" si="1"/>
        <v/>
      </c>
      <c r="O40" s="166">
        <v>6</v>
      </c>
      <c r="P40" s="139"/>
      <c r="Q40" s="139"/>
      <c r="R40" s="168"/>
    </row>
    <row r="41" spans="2:18">
      <c r="B41" s="166">
        <v>7</v>
      </c>
      <c r="C41" s="139"/>
      <c r="D41" s="23"/>
      <c r="E41" s="62" t="str">
        <f>IF($C41&lt;&gt;"","ALERT_" &amp; UPPER(Matrix!$D$6) &amp; "_" &amp; $C41,"")</f>
        <v/>
      </c>
      <c r="F41" s="168"/>
      <c r="G41" s="62" t="str">
        <f t="shared" si="1"/>
        <v/>
      </c>
      <c r="O41" s="166">
        <v>7</v>
      </c>
      <c r="P41" s="139"/>
      <c r="Q41" s="139"/>
      <c r="R41" s="168"/>
    </row>
    <row r="42" spans="2:18">
      <c r="B42" s="166">
        <v>8</v>
      </c>
      <c r="C42" s="139"/>
      <c r="D42" s="23"/>
      <c r="E42" s="62" t="str">
        <f>IF($C42&lt;&gt;"","ALERT_" &amp; UPPER(Matrix!$D$6) &amp; "_" &amp; $C42,"")</f>
        <v/>
      </c>
      <c r="F42" s="168"/>
      <c r="G42" s="62" t="str">
        <f t="shared" si="1"/>
        <v/>
      </c>
      <c r="O42" s="166">
        <v>8</v>
      </c>
      <c r="P42" s="139"/>
      <c r="Q42" s="139"/>
      <c r="R42" s="168"/>
    </row>
    <row r="43" spans="2:18">
      <c r="B43" s="166">
        <v>9</v>
      </c>
      <c r="C43" s="139"/>
      <c r="D43" s="23"/>
      <c r="E43" s="62" t="str">
        <f>IF($C43&lt;&gt;"","ALERT_" &amp; UPPER(Matrix!$D$6) &amp; "_" &amp; $C43,"")</f>
        <v/>
      </c>
      <c r="F43" s="168"/>
      <c r="G43" s="62" t="str">
        <f t="shared" si="1"/>
        <v/>
      </c>
      <c r="O43" s="166">
        <v>9</v>
      </c>
      <c r="P43" s="139"/>
      <c r="Q43" s="139"/>
      <c r="R43" s="168"/>
    </row>
    <row r="44" spans="2:18">
      <c r="B44" s="166">
        <v>10</v>
      </c>
      <c r="C44" s="139"/>
      <c r="D44" s="23"/>
      <c r="E44" s="62" t="str">
        <f>IF($C44&lt;&gt;"","ALERT_" &amp; UPPER(Matrix!$D$6) &amp; "_" &amp; $C44,"")</f>
        <v/>
      </c>
      <c r="F44" s="168"/>
      <c r="G44" s="62" t="str">
        <f t="shared" si="1"/>
        <v/>
      </c>
      <c r="O44" s="166">
        <v>10</v>
      </c>
      <c r="P44" s="139"/>
      <c r="Q44" s="139"/>
      <c r="R44" s="168"/>
    </row>
    <row r="45" spans="2:18">
      <c r="B45" s="166">
        <v>11</v>
      </c>
      <c r="C45" s="139"/>
      <c r="D45" s="23"/>
      <c r="E45" s="62" t="str">
        <f>IF($C45&lt;&gt;"","ALERT_" &amp; UPPER(Matrix!$D$6) &amp; "_" &amp; $C45,"")</f>
        <v/>
      </c>
      <c r="F45" s="168"/>
      <c r="G45" s="62" t="str">
        <f t="shared" si="1"/>
        <v/>
      </c>
      <c r="O45" s="166">
        <v>11</v>
      </c>
      <c r="P45" s="139"/>
      <c r="Q45" s="139"/>
      <c r="R45" s="168"/>
    </row>
    <row r="46" spans="2:18">
      <c r="B46" s="166">
        <v>12</v>
      </c>
      <c r="C46" s="139"/>
      <c r="D46" s="23"/>
      <c r="E46" s="62" t="str">
        <f>IF($C46&lt;&gt;"","ALERT_" &amp; UPPER(Matrix!$D$6) &amp; "_" &amp; $C46,"")</f>
        <v/>
      </c>
      <c r="F46" s="168"/>
      <c r="G46" s="62" t="str">
        <f t="shared" si="1"/>
        <v/>
      </c>
      <c r="O46" s="166">
        <v>12</v>
      </c>
      <c r="P46" s="139"/>
      <c r="Q46" s="139"/>
      <c r="R46" s="168"/>
    </row>
    <row r="47" spans="2:18">
      <c r="B47" s="166">
        <v>13</v>
      </c>
      <c r="C47" s="139"/>
      <c r="D47" s="23"/>
      <c r="E47" s="62" t="str">
        <f>IF($C47&lt;&gt;"","ALERT_" &amp; UPPER(Matrix!$D$6) &amp; "_" &amp; $C47,"")</f>
        <v/>
      </c>
      <c r="F47" s="168"/>
      <c r="G47" s="62" t="str">
        <f t="shared" si="1"/>
        <v/>
      </c>
      <c r="O47" s="166">
        <v>13</v>
      </c>
      <c r="P47" s="139"/>
      <c r="Q47" s="139"/>
      <c r="R47" s="168"/>
    </row>
    <row r="48" spans="2:18">
      <c r="B48" s="166">
        <v>14</v>
      </c>
      <c r="C48" s="139"/>
      <c r="D48" s="23"/>
      <c r="E48" s="62" t="str">
        <f>IF($C48&lt;&gt;"","ALERT_" &amp; UPPER(Matrix!$D$6) &amp; "_" &amp; $C48,"")</f>
        <v/>
      </c>
      <c r="F48" s="168"/>
      <c r="G48" s="62" t="str">
        <f t="shared" si="1"/>
        <v/>
      </c>
      <c r="O48" s="166">
        <v>14</v>
      </c>
      <c r="P48" s="139"/>
      <c r="Q48" s="139"/>
      <c r="R48" s="168"/>
    </row>
    <row r="49" spans="2:18">
      <c r="B49" s="166">
        <v>15</v>
      </c>
      <c r="C49" s="139"/>
      <c r="D49" s="23"/>
      <c r="E49" s="62" t="str">
        <f>IF($C49&lt;&gt;"","ALERT_" &amp; UPPER(Matrix!$D$6) &amp; "_" &amp; $C49,"")</f>
        <v/>
      </c>
      <c r="F49" s="168"/>
      <c r="G49" s="62" t="str">
        <f t="shared" si="1"/>
        <v/>
      </c>
      <c r="O49" s="166">
        <v>15</v>
      </c>
      <c r="P49" s="139"/>
      <c r="Q49" s="139"/>
      <c r="R49" s="168"/>
    </row>
    <row r="50" spans="2:18">
      <c r="B50" s="166">
        <v>16</v>
      </c>
      <c r="C50" s="139"/>
      <c r="D50" s="23"/>
      <c r="E50" s="62" t="str">
        <f>IF($C50&lt;&gt;"","ALERT_" &amp; UPPER(Matrix!$D$6) &amp; "_" &amp; $C50,"")</f>
        <v/>
      </c>
      <c r="F50" s="168"/>
      <c r="G50" s="62" t="str">
        <f t="shared" si="1"/>
        <v/>
      </c>
      <c r="O50" s="166">
        <v>16</v>
      </c>
      <c r="P50" s="139"/>
      <c r="Q50" s="139"/>
      <c r="R50" s="168"/>
    </row>
    <row r="51" spans="2:18">
      <c r="B51" s="166">
        <v>17</v>
      </c>
      <c r="C51" s="139"/>
      <c r="D51" s="23"/>
      <c r="E51" s="62" t="str">
        <f>IF($C51&lt;&gt;"","ALERT_" &amp; UPPER(Matrix!$D$6) &amp; "_" &amp; $C51,"")</f>
        <v/>
      </c>
      <c r="F51" s="168"/>
      <c r="G51" s="62" t="str">
        <f t="shared" si="1"/>
        <v/>
      </c>
      <c r="O51" s="166">
        <v>17</v>
      </c>
      <c r="P51" s="139"/>
      <c r="Q51" s="139"/>
      <c r="R51" s="168"/>
    </row>
    <row r="52" spans="2:18">
      <c r="B52" s="166">
        <v>18</v>
      </c>
      <c r="C52" s="139"/>
      <c r="D52" s="23"/>
      <c r="E52" s="62" t="str">
        <f>IF($C52&lt;&gt;"","ALERT_" &amp; UPPER(Matrix!$D$6) &amp; "_" &amp; $C52,"")</f>
        <v/>
      </c>
      <c r="F52" s="168"/>
      <c r="G52" s="62" t="str">
        <f t="shared" si="1"/>
        <v/>
      </c>
      <c r="O52" s="166">
        <v>18</v>
      </c>
      <c r="P52" s="139"/>
      <c r="Q52" s="139"/>
      <c r="R52" s="168"/>
    </row>
    <row r="53" spans="2:18">
      <c r="B53" s="166">
        <v>19</v>
      </c>
      <c r="C53" s="139"/>
      <c r="D53" s="23"/>
      <c r="E53" s="62" t="str">
        <f>IF($C53&lt;&gt;"","ALERT_" &amp; UPPER(Matrix!$D$6) &amp; "_" &amp; $C53,"")</f>
        <v/>
      </c>
      <c r="F53" s="168"/>
      <c r="G53" s="62" t="str">
        <f t="shared" si="1"/>
        <v/>
      </c>
      <c r="O53" s="166">
        <v>19</v>
      </c>
      <c r="P53" s="139"/>
      <c r="Q53" s="139"/>
      <c r="R53" s="168"/>
    </row>
    <row r="54" spans="2:18">
      <c r="B54" s="166">
        <v>20</v>
      </c>
      <c r="C54" s="139"/>
      <c r="D54" s="23"/>
      <c r="E54" s="62" t="str">
        <f>IF($C54&lt;&gt;"","ALERT_" &amp; UPPER(Matrix!$D$6) &amp; "_" &amp; $C54,"")</f>
        <v/>
      </c>
      <c r="F54" s="168"/>
      <c r="G54" s="62" t="str">
        <f t="shared" si="1"/>
        <v/>
      </c>
      <c r="O54" s="166">
        <v>20</v>
      </c>
      <c r="P54" s="139"/>
      <c r="Q54" s="139"/>
      <c r="R54" s="168"/>
    </row>
    <row r="55" spans="2:18">
      <c r="B55" s="166">
        <v>21</v>
      </c>
      <c r="C55" s="139"/>
      <c r="D55" s="23"/>
      <c r="E55" s="62" t="str">
        <f>IF($C55&lt;&gt;"","ALERT_" &amp; UPPER(Matrix!$D$6) &amp; "_" &amp; $C55,"")</f>
        <v/>
      </c>
      <c r="F55" s="168"/>
      <c r="G55" s="62" t="str">
        <f t="shared" si="1"/>
        <v/>
      </c>
      <c r="O55" s="166">
        <v>21</v>
      </c>
      <c r="P55" s="139"/>
      <c r="Q55" s="139"/>
      <c r="R55" s="168"/>
    </row>
    <row r="56" spans="2:18">
      <c r="B56" s="166">
        <v>22</v>
      </c>
      <c r="C56" s="139"/>
      <c r="D56" s="23"/>
      <c r="E56" s="62" t="str">
        <f>IF($C56&lt;&gt;"","ALERT_" &amp; UPPER(Matrix!$D$6) &amp; "_" &amp; $C56,"")</f>
        <v/>
      </c>
      <c r="F56" s="168"/>
      <c r="G56" s="62" t="str">
        <f t="shared" si="1"/>
        <v/>
      </c>
      <c r="O56" s="166">
        <v>22</v>
      </c>
      <c r="P56" s="139"/>
      <c r="Q56" s="139"/>
      <c r="R56" s="168"/>
    </row>
    <row r="57" spans="2:18">
      <c r="B57" s="166">
        <v>23</v>
      </c>
      <c r="C57" s="139"/>
      <c r="D57" s="23"/>
      <c r="E57" s="62" t="str">
        <f>IF($C57&lt;&gt;"","ALERT_" &amp; UPPER(Matrix!$D$6) &amp; "_" &amp; $C57,"")</f>
        <v/>
      </c>
      <c r="F57" s="168"/>
      <c r="G57" s="62" t="str">
        <f t="shared" si="1"/>
        <v/>
      </c>
      <c r="O57" s="166">
        <v>23</v>
      </c>
      <c r="P57" s="139"/>
      <c r="Q57" s="139"/>
      <c r="R57" s="168"/>
    </row>
    <row r="58" spans="2:18">
      <c r="B58" s="166">
        <v>24</v>
      </c>
      <c r="C58" s="139"/>
      <c r="D58" s="23"/>
      <c r="E58" s="62" t="str">
        <f>IF($C58&lt;&gt;"","ALERT_" &amp; UPPER(Matrix!$D$6) &amp; "_" &amp; $C58,"")</f>
        <v/>
      </c>
      <c r="F58" s="168"/>
      <c r="G58" s="62" t="str">
        <f t="shared" si="1"/>
        <v/>
      </c>
      <c r="O58" s="166">
        <v>24</v>
      </c>
      <c r="P58" s="139"/>
      <c r="Q58" s="139"/>
      <c r="R58" s="168"/>
    </row>
    <row r="59" spans="2:18" ht="13.5" thickBot="1">
      <c r="B59" s="167">
        <v>25</v>
      </c>
      <c r="C59" s="137"/>
      <c r="D59" s="48"/>
      <c r="E59" s="63" t="str">
        <f>IF($C59&lt;&gt;"","ALERT_" &amp; UPPER(Matrix!$D$6) &amp; "_" &amp; $C59,"")</f>
        <v/>
      </c>
      <c r="F59" s="169"/>
      <c r="G59" s="63" t="str">
        <f t="shared" si="1"/>
        <v/>
      </c>
      <c r="O59" s="167">
        <v>25</v>
      </c>
      <c r="P59" s="137"/>
      <c r="Q59" s="137"/>
      <c r="R59" s="169"/>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6.08984375" customWidth="1"/>
    <col min="7" max="7" width="12.36328125" customWidth="1"/>
    <col min="8" max="8" width="33.7265625" bestFit="1" customWidth="1"/>
    <col min="9" max="9" width="12.36328125" customWidth="1"/>
    <col min="10" max="10" width="33.7265625" bestFit="1" customWidth="1"/>
    <col min="11" max="11" width="12.36328125" customWidth="1"/>
    <col min="12" max="12" width="16.08984375" customWidth="1"/>
    <col min="14" max="14" width="37.7265625" customWidth="1"/>
    <col min="15" max="15" width="57.08984375" hidden="1" customWidth="1"/>
    <col min="21" max="21" width="13" hidden="1" customWidth="1"/>
  </cols>
  <sheetData>
    <row r="1" spans="2:21" ht="13.5" thickBot="1">
      <c r="C1" s="85" t="s">
        <v>101</v>
      </c>
    </row>
    <row r="2" spans="2:21" ht="13.5" thickBot="1">
      <c r="B2" s="93" t="s">
        <v>58</v>
      </c>
      <c r="C2" s="94" t="s">
        <v>119</v>
      </c>
      <c r="D2" s="95" t="s">
        <v>52</v>
      </c>
      <c r="E2" s="96" t="s">
        <v>53</v>
      </c>
      <c r="F2" s="97" t="s">
        <v>24</v>
      </c>
      <c r="G2" s="96" t="s">
        <v>54</v>
      </c>
      <c r="H2" s="97" t="s">
        <v>26</v>
      </c>
      <c r="I2" s="96" t="s">
        <v>55</v>
      </c>
      <c r="J2" s="97" t="s">
        <v>175</v>
      </c>
      <c r="K2" s="96" t="s">
        <v>56</v>
      </c>
      <c r="L2" s="97" t="s">
        <v>27</v>
      </c>
      <c r="M2" s="94" t="s">
        <v>57</v>
      </c>
      <c r="N2" s="97" t="s">
        <v>114</v>
      </c>
      <c r="O2" s="114" t="s">
        <v>80</v>
      </c>
    </row>
    <row r="3" spans="2:21" ht="14" hidden="1" thickTop="1" thickBot="1">
      <c r="B3" s="24"/>
      <c r="C3" s="45" t="s">
        <v>105</v>
      </c>
      <c r="D3" s="107"/>
      <c r="E3" s="12"/>
      <c r="F3" s="14"/>
      <c r="G3" s="12"/>
      <c r="H3" s="14"/>
      <c r="I3" s="12"/>
      <c r="J3" s="14"/>
      <c r="K3" s="12"/>
      <c r="L3" s="14"/>
      <c r="M3" s="46"/>
      <c r="N3" s="104"/>
      <c r="O3" s="115"/>
      <c r="U3" s="89" t="s">
        <v>95</v>
      </c>
    </row>
    <row r="4" spans="2:21" ht="13.5" thickTop="1">
      <c r="B4" s="103" t="s">
        <v>325</v>
      </c>
      <c r="C4" s="102" t="s">
        <v>303</v>
      </c>
      <c r="D4" s="112">
        <v>0</v>
      </c>
      <c r="E4" s="103" t="s">
        <v>304</v>
      </c>
      <c r="F4" s="180" t="s">
        <v>305</v>
      </c>
      <c r="G4" s="103" t="s">
        <v>304</v>
      </c>
      <c r="H4" s="180" t="s">
        <v>306</v>
      </c>
      <c r="I4" s="103" t="s">
        <v>304</v>
      </c>
      <c r="J4" s="180" t="s">
        <v>305</v>
      </c>
      <c r="K4" s="103" t="s">
        <v>123</v>
      </c>
      <c r="L4" s="180" t="s">
        <v>305</v>
      </c>
      <c r="M4" s="46">
        <f ca="1">LEN(N4)</f>
        <v>29</v>
      </c>
      <c r="N4" s="104" t="str">
        <f ca="1">VLOOKUP($B4,Matrix!$H$13:$I$37,2,FALSE)&amp;"_"&amp;C4</f>
        <v>ALERT_REQ_B_ESWUOC_BCB_DOUBLE</v>
      </c>
      <c r="O4" s="115" t="str">
        <f t="shared" ref="O4:O35" ca="1" si="0">"#define "&amp;N4&amp;REPT(" ",48-M4)&amp;"("&amp;D4&amp;"U)"</f>
        <v>#define ALERT_REQ_B_ESWUOC_BCB_DOUBLE                   (0U)</v>
      </c>
      <c r="U4" s="89" t="s">
        <v>95</v>
      </c>
    </row>
    <row r="5" spans="2:21">
      <c r="B5" s="103" t="s">
        <v>257</v>
      </c>
      <c r="C5" s="102" t="s">
        <v>303</v>
      </c>
      <c r="D5" s="113">
        <v>0</v>
      </c>
      <c r="E5" s="103" t="s">
        <v>304</v>
      </c>
      <c r="F5" s="180" t="s">
        <v>305</v>
      </c>
      <c r="G5" s="103" t="s">
        <v>304</v>
      </c>
      <c r="H5" s="180" t="s">
        <v>307</v>
      </c>
      <c r="I5" s="103" t="s">
        <v>304</v>
      </c>
      <c r="J5" s="180" t="s">
        <v>305</v>
      </c>
      <c r="K5" s="103" t="s">
        <v>123</v>
      </c>
      <c r="L5" s="180" t="s">
        <v>305</v>
      </c>
      <c r="M5" s="41">
        <f t="shared" ref="M5:M68" ca="1" si="1">LEN(N5)</f>
        <v>28</v>
      </c>
      <c r="N5" s="104" t="str">
        <f ca="1">VLOOKUP($B5,Matrix!$H$13:$I$37,2,FALSE)&amp;"_"&amp;C5</f>
        <v>ALERT_REQ_B_ESWUOC_BC_DOUBLE</v>
      </c>
      <c r="O5" s="116" t="str">
        <f t="shared" ca="1" si="0"/>
        <v>#define ALERT_REQ_B_ESWUOC_BC_DOUBLE                    (0U)</v>
      </c>
      <c r="U5" s="87" t="s">
        <v>96</v>
      </c>
    </row>
    <row r="6" spans="2:21">
      <c r="B6" s="103" t="s">
        <v>297</v>
      </c>
      <c r="C6" s="102" t="s">
        <v>318</v>
      </c>
      <c r="D6" s="113">
        <v>0</v>
      </c>
      <c r="E6" s="103" t="s">
        <v>123</v>
      </c>
      <c r="F6" s="180" t="s">
        <v>31</v>
      </c>
      <c r="G6" s="103" t="s">
        <v>123</v>
      </c>
      <c r="H6" s="180" t="s">
        <v>31</v>
      </c>
      <c r="I6" s="103" t="s">
        <v>123</v>
      </c>
      <c r="J6" s="180" t="s">
        <v>327</v>
      </c>
      <c r="K6" s="103" t="s">
        <v>123</v>
      </c>
      <c r="L6" s="180" t="s">
        <v>31</v>
      </c>
      <c r="M6" s="41">
        <f t="shared" ca="1" si="1"/>
        <v>30</v>
      </c>
      <c r="N6" s="104" t="str">
        <f ca="1">VLOOKUP($B6,Matrix!$H$13:$I$37,2,FALSE)&amp;"_"&amp;C6</f>
        <v>ALERT_REQ_B_ESWUOC_PD_UNLTCHFL</v>
      </c>
      <c r="O6" s="116" t="str">
        <f t="shared" ca="1" si="0"/>
        <v>#define ALERT_REQ_B_ESWUOC_PD_UNLTCHFL                  (0U)</v>
      </c>
      <c r="U6" s="29" t="s">
        <v>97</v>
      </c>
    </row>
    <row r="7" spans="2:21">
      <c r="B7" s="103" t="s">
        <v>297</v>
      </c>
      <c r="C7" s="102" t="s">
        <v>283</v>
      </c>
      <c r="D7" s="113">
        <v>1</v>
      </c>
      <c r="E7" s="103" t="s">
        <v>123</v>
      </c>
      <c r="F7" s="180" t="s">
        <v>31</v>
      </c>
      <c r="G7" s="103" t="s">
        <v>123</v>
      </c>
      <c r="H7" s="180" t="s">
        <v>31</v>
      </c>
      <c r="I7" s="103" t="s">
        <v>123</v>
      </c>
      <c r="J7" s="180" t="s">
        <v>328</v>
      </c>
      <c r="K7" s="103" t="s">
        <v>123</v>
      </c>
      <c r="L7" s="180" t="s">
        <v>31</v>
      </c>
      <c r="M7" s="41">
        <f t="shared" ca="1" si="1"/>
        <v>32</v>
      </c>
      <c r="N7" s="104" t="str">
        <f ca="1">VLOOKUP($B7,Matrix!$H$13:$I$37,2,FALSE)&amp;"_"&amp;C7</f>
        <v>ALERT_REQ_B_ESWUOC_PD_STPATUNLCK</v>
      </c>
      <c r="O7" s="116" t="str">
        <f t="shared" ca="1" si="0"/>
        <v>#define ALERT_REQ_B_ESWUOC_PD_STPATUNLCK                (1U)</v>
      </c>
      <c r="U7" s="29" t="s">
        <v>98</v>
      </c>
    </row>
    <row r="8" spans="2:21">
      <c r="B8" s="24" t="s">
        <v>297</v>
      </c>
      <c r="C8" s="23" t="s">
        <v>282</v>
      </c>
      <c r="D8" s="108">
        <v>2</v>
      </c>
      <c r="E8" s="24" t="s">
        <v>123</v>
      </c>
      <c r="F8" s="109" t="s">
        <v>31</v>
      </c>
      <c r="G8" s="24" t="s">
        <v>123</v>
      </c>
      <c r="H8" s="109" t="s">
        <v>31</v>
      </c>
      <c r="I8" s="24" t="s">
        <v>123</v>
      </c>
      <c r="J8" s="109" t="s">
        <v>329</v>
      </c>
      <c r="K8" s="24" t="s">
        <v>123</v>
      </c>
      <c r="L8" s="109" t="s">
        <v>31</v>
      </c>
      <c r="M8" s="41">
        <f t="shared" ca="1" si="1"/>
        <v>32</v>
      </c>
      <c r="N8" s="104" t="str">
        <f ca="1">VLOOKUP($B8,Matrix!$H$13:$I$37,2,FALSE)&amp;"_"&amp;C8</f>
        <v>ALERT_REQ_B_ESWUOC_PD_SPDATUNLCK</v>
      </c>
      <c r="O8" s="116" t="str">
        <f t="shared" ca="1" si="0"/>
        <v>#define ALERT_REQ_B_ESWUOC_PD_SPDATUNLCK                (2U)</v>
      </c>
      <c r="U8" s="29" t="s">
        <v>99</v>
      </c>
    </row>
    <row r="9" spans="2:21">
      <c r="B9" s="24" t="s">
        <v>324</v>
      </c>
      <c r="C9" s="23" t="s">
        <v>236</v>
      </c>
      <c r="D9" s="108">
        <v>0</v>
      </c>
      <c r="E9" s="24" t="s">
        <v>123</v>
      </c>
      <c r="F9" s="109" t="s">
        <v>31</v>
      </c>
      <c r="G9" s="24" t="s">
        <v>123</v>
      </c>
      <c r="H9" s="109" t="s">
        <v>31</v>
      </c>
      <c r="I9" s="24" t="s">
        <v>123</v>
      </c>
      <c r="J9" s="109" t="s">
        <v>298</v>
      </c>
      <c r="K9" s="24" t="s">
        <v>123</v>
      </c>
      <c r="L9" s="109" t="s">
        <v>253</v>
      </c>
      <c r="M9" s="41">
        <f t="shared" ca="1" si="1"/>
        <v>31</v>
      </c>
      <c r="N9" s="104" t="str">
        <f ca="1">VLOOKUP($B9,Matrix!$H$13:$I$37,2,FALSE)&amp;"_"&amp;C9</f>
        <v>ALERT_REQ_B_ESWUOC_PDB_SYSMLFNC</v>
      </c>
      <c r="O9" s="116" t="str">
        <f t="shared" ca="1" si="0"/>
        <v>#define ALERT_REQ_B_ESWUOC_PDB_SYSMLFNC                 (0U)</v>
      </c>
      <c r="U9" s="29" t="s">
        <v>100</v>
      </c>
    </row>
    <row r="10" spans="2:21">
      <c r="B10" s="24" t="s">
        <v>324</v>
      </c>
      <c r="C10" s="23" t="s">
        <v>336</v>
      </c>
      <c r="D10" s="108">
        <v>1</v>
      </c>
      <c r="E10" s="24" t="s">
        <v>123</v>
      </c>
      <c r="F10" s="109" t="s">
        <v>31</v>
      </c>
      <c r="G10" s="24" t="s">
        <v>123</v>
      </c>
      <c r="H10" s="109" t="s">
        <v>31</v>
      </c>
      <c r="I10" s="24" t="s">
        <v>123</v>
      </c>
      <c r="J10" s="109" t="s">
        <v>330</v>
      </c>
      <c r="K10" s="24" t="s">
        <v>123</v>
      </c>
      <c r="L10" s="109" t="s">
        <v>31</v>
      </c>
      <c r="M10" s="41">
        <f t="shared" ca="1" si="1"/>
        <v>31</v>
      </c>
      <c r="N10" s="104" t="str">
        <f ca="1">VLOOKUP($B10,Matrix!$H$13:$I$37,2,FALSE)&amp;"_"&amp;C10</f>
        <v>ALERT_REQ_B_ESWUOC_PDB_RHDSHOCK</v>
      </c>
      <c r="O10" s="116" t="str">
        <f t="shared" ca="1" si="0"/>
        <v>#define ALERT_REQ_B_ESWUOC_PDB_RHDSHOCK                 (1U)</v>
      </c>
      <c r="U10" s="29"/>
    </row>
    <row r="11" spans="2:21">
      <c r="B11" s="103" t="s">
        <v>324</v>
      </c>
      <c r="C11" s="102" t="s">
        <v>337</v>
      </c>
      <c r="D11" s="113">
        <v>2</v>
      </c>
      <c r="E11" s="103" t="s">
        <v>177</v>
      </c>
      <c r="F11" s="180" t="s">
        <v>331</v>
      </c>
      <c r="G11" s="103" t="s">
        <v>177</v>
      </c>
      <c r="H11" s="180" t="s">
        <v>331</v>
      </c>
      <c r="I11" s="103" t="s">
        <v>177</v>
      </c>
      <c r="J11" s="109" t="s">
        <v>332</v>
      </c>
      <c r="K11" s="103" t="s">
        <v>123</v>
      </c>
      <c r="L11" s="180" t="s">
        <v>331</v>
      </c>
      <c r="M11" s="41">
        <f t="shared" ca="1" si="1"/>
        <v>31</v>
      </c>
      <c r="N11" s="104" t="str">
        <f ca="1">VLOOKUP($B11,Matrix!$H$13:$I$37,2,FALSE)&amp;"_"&amp;C11</f>
        <v>ALERT_REQ_B_ESWUOC_PDB_LHDSHOCK</v>
      </c>
      <c r="O11" s="116" t="str">
        <f t="shared" ca="1" si="0"/>
        <v>#define ALERT_REQ_B_ESWUOC_PDB_LHDSHOCK                 (2U)</v>
      </c>
      <c r="U11" s="29"/>
    </row>
    <row r="12" spans="2:21">
      <c r="B12" s="103"/>
      <c r="C12" s="102"/>
      <c r="D12" s="113"/>
      <c r="E12" s="103"/>
      <c r="F12" s="180"/>
      <c r="G12" s="103"/>
      <c r="H12" s="180"/>
      <c r="I12" s="103"/>
      <c r="J12" s="180"/>
      <c r="K12" s="103"/>
      <c r="L12" s="180"/>
      <c r="M12" s="41" t="e">
        <f t="shared" ca="1" si="1"/>
        <v>#N/A</v>
      </c>
      <c r="N12" s="104" t="e">
        <f ca="1">VLOOKUP($B12,Matrix!$H$13:$I$37,2,FALSE)&amp;"_"&amp;C12</f>
        <v>#N/A</v>
      </c>
      <c r="O12" s="116" t="e">
        <f t="shared" ca="1" si="0"/>
        <v>#N/A</v>
      </c>
      <c r="U12" s="29"/>
    </row>
    <row r="13" spans="2:21" ht="13.5" thickBot="1">
      <c r="B13" s="24"/>
      <c r="C13" s="23"/>
      <c r="D13" s="108"/>
      <c r="E13" s="24"/>
      <c r="F13" s="109"/>
      <c r="G13" s="24"/>
      <c r="H13" s="109"/>
      <c r="I13" s="24"/>
      <c r="J13" s="109"/>
      <c r="K13" s="24"/>
      <c r="L13" s="109"/>
      <c r="M13" s="41" t="e">
        <f t="shared" ca="1" si="1"/>
        <v>#N/A</v>
      </c>
      <c r="N13" s="104" t="e">
        <f ca="1">VLOOKUP($B13,Matrix!$H$13:$I$37,2,FALSE)&amp;"_"&amp;C13</f>
        <v>#N/A</v>
      </c>
      <c r="O13" s="116" t="e">
        <f t="shared" ca="1" si="0"/>
        <v>#N/A</v>
      </c>
      <c r="U13" s="88"/>
    </row>
    <row r="14" spans="2:21">
      <c r="B14" s="24"/>
      <c r="C14" s="23"/>
      <c r="D14" s="108"/>
      <c r="E14" s="24"/>
      <c r="F14" s="109"/>
      <c r="G14" s="24"/>
      <c r="H14" s="109"/>
      <c r="I14" s="24"/>
      <c r="J14" s="109"/>
      <c r="K14" s="24"/>
      <c r="L14" s="109"/>
      <c r="M14" s="41" t="e">
        <f t="shared" ca="1" si="1"/>
        <v>#N/A</v>
      </c>
      <c r="N14" s="104" t="e">
        <f ca="1">VLOOKUP($B14,Matrix!$H$13:$I$37,2,FALSE)&amp;"_"&amp;C14</f>
        <v>#N/A</v>
      </c>
      <c r="O14" s="116" t="e">
        <f t="shared" ca="1" si="0"/>
        <v>#N/A</v>
      </c>
    </row>
    <row r="15" spans="2:21">
      <c r="B15" s="24"/>
      <c r="C15" s="23"/>
      <c r="D15" s="108"/>
      <c r="E15" s="24"/>
      <c r="F15" s="109"/>
      <c r="G15" s="24"/>
      <c r="H15" s="109"/>
      <c r="I15" s="24"/>
      <c r="J15" s="109"/>
      <c r="K15" s="24"/>
      <c r="L15" s="109"/>
      <c r="M15" s="41" t="e">
        <f t="shared" ca="1" si="1"/>
        <v>#N/A</v>
      </c>
      <c r="N15" s="104" t="e">
        <f ca="1">VLOOKUP($B15,Matrix!$H$13:$I$37,2,FALSE)&amp;"_"&amp;C15</f>
        <v>#N/A</v>
      </c>
      <c r="O15" s="116" t="e">
        <f t="shared" ca="1" si="0"/>
        <v>#N/A</v>
      </c>
    </row>
    <row r="16" spans="2:21">
      <c r="B16" s="24"/>
      <c r="C16" s="23"/>
      <c r="D16" s="108"/>
      <c r="E16" s="24"/>
      <c r="F16" s="109"/>
      <c r="G16" s="24"/>
      <c r="H16" s="109"/>
      <c r="I16" s="24"/>
      <c r="J16" s="109"/>
      <c r="K16" s="24"/>
      <c r="L16" s="109"/>
      <c r="M16" s="41" t="e">
        <f t="shared" ca="1" si="1"/>
        <v>#N/A</v>
      </c>
      <c r="N16" s="104" t="e">
        <f ca="1">VLOOKUP($B16,Matrix!$H$13:$I$37,2,FALSE)&amp;"_"&amp;C16</f>
        <v>#N/A</v>
      </c>
      <c r="O16" s="116" t="e">
        <f t="shared" ca="1" si="0"/>
        <v>#N/A</v>
      </c>
    </row>
    <row r="17" spans="2:15">
      <c r="B17" s="24"/>
      <c r="C17" s="23"/>
      <c r="D17" s="108"/>
      <c r="E17" s="24"/>
      <c r="F17" s="109"/>
      <c r="G17" s="24"/>
      <c r="H17" s="109"/>
      <c r="I17" s="24"/>
      <c r="J17" s="109"/>
      <c r="K17" s="24"/>
      <c r="L17" s="109"/>
      <c r="M17" s="41" t="e">
        <f t="shared" ca="1" si="1"/>
        <v>#N/A</v>
      </c>
      <c r="N17" s="104" t="e">
        <f ca="1">VLOOKUP($B17,Matrix!$H$13:$I$37,2,FALSE)&amp;"_"&amp;C17</f>
        <v>#N/A</v>
      </c>
      <c r="O17" s="116" t="e">
        <f t="shared" ca="1" si="0"/>
        <v>#N/A</v>
      </c>
    </row>
    <row r="18" spans="2:15">
      <c r="B18" s="24"/>
      <c r="C18" s="23"/>
      <c r="D18" s="108"/>
      <c r="E18" s="24"/>
      <c r="F18" s="109"/>
      <c r="G18" s="24"/>
      <c r="H18" s="109"/>
      <c r="I18" s="24"/>
      <c r="J18" s="109"/>
      <c r="K18" s="24"/>
      <c r="L18" s="109"/>
      <c r="M18" s="41" t="e">
        <f t="shared" ca="1" si="1"/>
        <v>#N/A</v>
      </c>
      <c r="N18" s="104" t="e">
        <f ca="1">VLOOKUP($B18,Matrix!$H$13:$I$37,2,FALSE)&amp;"_"&amp;C18</f>
        <v>#N/A</v>
      </c>
      <c r="O18" s="116" t="e">
        <f t="shared" ca="1" si="0"/>
        <v>#N/A</v>
      </c>
    </row>
    <row r="19" spans="2:15">
      <c r="B19" s="24"/>
      <c r="C19" s="23"/>
      <c r="D19" s="108"/>
      <c r="E19" s="24"/>
      <c r="F19" s="109"/>
      <c r="G19" s="24"/>
      <c r="H19" s="109"/>
      <c r="I19" s="24"/>
      <c r="J19" s="109"/>
      <c r="K19" s="24"/>
      <c r="L19" s="109"/>
      <c r="M19" s="41" t="e">
        <f t="shared" ca="1" si="1"/>
        <v>#N/A</v>
      </c>
      <c r="N19" s="104" t="e">
        <f ca="1">VLOOKUP($B19,Matrix!$H$13:$I$37,2,FALSE)&amp;"_"&amp;C19</f>
        <v>#N/A</v>
      </c>
      <c r="O19" s="116" t="e">
        <f t="shared" ca="1" si="0"/>
        <v>#N/A</v>
      </c>
    </row>
    <row r="20" spans="2:15">
      <c r="B20" s="24"/>
      <c r="C20" s="23"/>
      <c r="D20" s="108"/>
      <c r="E20" s="24"/>
      <c r="F20" s="109"/>
      <c r="G20" s="24"/>
      <c r="H20" s="109"/>
      <c r="I20" s="24"/>
      <c r="J20" s="109"/>
      <c r="K20" s="24"/>
      <c r="L20" s="109"/>
      <c r="M20" s="41" t="e">
        <f t="shared" ca="1" si="1"/>
        <v>#N/A</v>
      </c>
      <c r="N20" s="104" t="e">
        <f ca="1">VLOOKUP($B20,Matrix!$H$13:$I$37,2,FALSE)&amp;"_"&amp;C20</f>
        <v>#N/A</v>
      </c>
      <c r="O20" s="116" t="e">
        <f t="shared" ca="1" si="0"/>
        <v>#N/A</v>
      </c>
    </row>
    <row r="21" spans="2:15">
      <c r="B21" s="24"/>
      <c r="C21" s="23"/>
      <c r="D21" s="108"/>
      <c r="E21" s="24"/>
      <c r="F21" s="109"/>
      <c r="G21" s="24"/>
      <c r="H21" s="109"/>
      <c r="I21" s="24"/>
      <c r="J21" s="109"/>
      <c r="K21" s="24"/>
      <c r="L21" s="109"/>
      <c r="M21" s="41" t="e">
        <f t="shared" ca="1" si="1"/>
        <v>#N/A</v>
      </c>
      <c r="N21" s="104" t="e">
        <f ca="1">VLOOKUP($B21,Matrix!$H$13:$I$37,2,FALSE)&amp;"_"&amp;C21</f>
        <v>#N/A</v>
      </c>
      <c r="O21" s="116" t="e">
        <f t="shared" ca="1" si="0"/>
        <v>#N/A</v>
      </c>
    </row>
    <row r="22" spans="2:15">
      <c r="B22" s="24"/>
      <c r="C22" s="23"/>
      <c r="D22" s="108"/>
      <c r="E22" s="24"/>
      <c r="F22" s="109"/>
      <c r="G22" s="24"/>
      <c r="H22" s="109"/>
      <c r="I22" s="24"/>
      <c r="J22" s="109"/>
      <c r="K22" s="24"/>
      <c r="L22" s="109"/>
      <c r="M22" s="41" t="e">
        <f t="shared" ca="1" si="1"/>
        <v>#N/A</v>
      </c>
      <c r="N22" s="104" t="e">
        <f ca="1">VLOOKUP($B22,Matrix!$H$13:$I$37,2,FALSE)&amp;"_"&amp;C22</f>
        <v>#N/A</v>
      </c>
      <c r="O22" s="116" t="e">
        <f t="shared" ca="1" si="0"/>
        <v>#N/A</v>
      </c>
    </row>
    <row r="23" spans="2:15">
      <c r="B23" s="24"/>
      <c r="C23" s="23"/>
      <c r="D23" s="108"/>
      <c r="E23" s="24"/>
      <c r="F23" s="109"/>
      <c r="G23" s="24"/>
      <c r="H23" s="109"/>
      <c r="I23" s="24"/>
      <c r="J23" s="109"/>
      <c r="K23" s="24"/>
      <c r="L23" s="109"/>
      <c r="M23" s="41" t="e">
        <f t="shared" ca="1" si="1"/>
        <v>#N/A</v>
      </c>
      <c r="N23" s="104" t="e">
        <f ca="1">VLOOKUP($B23,Matrix!$H$13:$I$37,2,FALSE)&amp;"_"&amp;C23</f>
        <v>#N/A</v>
      </c>
      <c r="O23" s="116" t="e">
        <f t="shared" ca="1" si="0"/>
        <v>#N/A</v>
      </c>
    </row>
    <row r="24" spans="2:15">
      <c r="B24" s="24"/>
      <c r="C24" s="23"/>
      <c r="D24" s="108"/>
      <c r="E24" s="24"/>
      <c r="F24" s="109"/>
      <c r="G24" s="24"/>
      <c r="H24" s="109"/>
      <c r="I24" s="24"/>
      <c r="J24" s="109"/>
      <c r="K24" s="24"/>
      <c r="L24" s="109"/>
      <c r="M24" s="41" t="e">
        <f t="shared" ca="1" si="1"/>
        <v>#N/A</v>
      </c>
      <c r="N24" s="104" t="e">
        <f ca="1">VLOOKUP($B24,Matrix!$H$13:$I$37,2,FALSE)&amp;"_"&amp;C24</f>
        <v>#N/A</v>
      </c>
      <c r="O24" s="116" t="e">
        <f t="shared" ca="1" si="0"/>
        <v>#N/A</v>
      </c>
    </row>
    <row r="25" spans="2:15">
      <c r="B25" s="24"/>
      <c r="C25" s="23"/>
      <c r="D25" s="108"/>
      <c r="E25" s="24"/>
      <c r="F25" s="109"/>
      <c r="G25" s="24"/>
      <c r="H25" s="109"/>
      <c r="I25" s="24"/>
      <c r="J25" s="109"/>
      <c r="K25" s="24"/>
      <c r="L25" s="109"/>
      <c r="M25" s="41" t="e">
        <f t="shared" ca="1" si="1"/>
        <v>#N/A</v>
      </c>
      <c r="N25" s="104" t="e">
        <f ca="1">VLOOKUP($B25,Matrix!$H$13:$I$37,2,FALSE)&amp;"_"&amp;C25</f>
        <v>#N/A</v>
      </c>
      <c r="O25" s="116" t="e">
        <f t="shared" ca="1" si="0"/>
        <v>#N/A</v>
      </c>
    </row>
    <row r="26" spans="2:15">
      <c r="B26" s="24"/>
      <c r="C26" s="23"/>
      <c r="D26" s="108"/>
      <c r="E26" s="24"/>
      <c r="F26" s="109"/>
      <c r="G26" s="24"/>
      <c r="H26" s="109"/>
      <c r="I26" s="24"/>
      <c r="J26" s="109"/>
      <c r="K26" s="24"/>
      <c r="L26" s="109"/>
      <c r="M26" s="41" t="e">
        <f t="shared" ca="1" si="1"/>
        <v>#N/A</v>
      </c>
      <c r="N26" s="104" t="e">
        <f ca="1">VLOOKUP($B26,Matrix!$H$13:$I$37,2,FALSE)&amp;"_"&amp;C26</f>
        <v>#N/A</v>
      </c>
      <c r="O26" s="116" t="e">
        <f t="shared" ca="1" si="0"/>
        <v>#N/A</v>
      </c>
    </row>
    <row r="27" spans="2:15">
      <c r="B27" s="24"/>
      <c r="C27" s="23"/>
      <c r="D27" s="108"/>
      <c r="E27" s="24"/>
      <c r="F27" s="109"/>
      <c r="G27" s="24"/>
      <c r="H27" s="109"/>
      <c r="I27" s="24"/>
      <c r="J27" s="109"/>
      <c r="K27" s="24"/>
      <c r="L27" s="109"/>
      <c r="M27" s="41" t="e">
        <f t="shared" ca="1" si="1"/>
        <v>#N/A</v>
      </c>
      <c r="N27" s="104" t="e">
        <f ca="1">VLOOKUP($B27,Matrix!$H$13:$I$37,2,FALSE)&amp;"_"&amp;C27</f>
        <v>#N/A</v>
      </c>
      <c r="O27" s="116" t="e">
        <f t="shared" ca="1" si="0"/>
        <v>#N/A</v>
      </c>
    </row>
    <row r="28" spans="2:15">
      <c r="B28" s="24"/>
      <c r="C28" s="23"/>
      <c r="D28" s="108"/>
      <c r="E28" s="24"/>
      <c r="F28" s="109"/>
      <c r="G28" s="24"/>
      <c r="H28" s="109"/>
      <c r="I28" s="24"/>
      <c r="J28" s="109"/>
      <c r="K28" s="24"/>
      <c r="L28" s="109"/>
      <c r="M28" s="41" t="e">
        <f t="shared" ca="1" si="1"/>
        <v>#N/A</v>
      </c>
      <c r="N28" s="104" t="e">
        <f ca="1">VLOOKUP($B28,Matrix!$H$13:$I$37,2,FALSE)&amp;"_"&amp;C28</f>
        <v>#N/A</v>
      </c>
      <c r="O28" s="116" t="e">
        <f t="shared" ca="1" si="0"/>
        <v>#N/A</v>
      </c>
    </row>
    <row r="29" spans="2:15">
      <c r="B29" s="24"/>
      <c r="C29" s="23"/>
      <c r="D29" s="108"/>
      <c r="E29" s="24"/>
      <c r="F29" s="109"/>
      <c r="G29" s="24"/>
      <c r="H29" s="109"/>
      <c r="I29" s="24"/>
      <c r="J29" s="109"/>
      <c r="K29" s="24"/>
      <c r="L29" s="109"/>
      <c r="M29" s="41" t="e">
        <f t="shared" ca="1" si="1"/>
        <v>#N/A</v>
      </c>
      <c r="N29" s="104" t="e">
        <f ca="1">VLOOKUP($B29,Matrix!$H$13:$I$37,2,FALSE)&amp;"_"&amp;C29</f>
        <v>#N/A</v>
      </c>
      <c r="O29" s="116" t="e">
        <f t="shared" ca="1" si="0"/>
        <v>#N/A</v>
      </c>
    </row>
    <row r="30" spans="2:15">
      <c r="B30" s="24"/>
      <c r="C30" s="23"/>
      <c r="D30" s="108"/>
      <c r="E30" s="24"/>
      <c r="F30" s="109"/>
      <c r="G30" s="24"/>
      <c r="H30" s="109"/>
      <c r="I30" s="24"/>
      <c r="J30" s="109"/>
      <c r="K30" s="24"/>
      <c r="L30" s="109"/>
      <c r="M30" s="41" t="e">
        <f t="shared" ca="1" si="1"/>
        <v>#N/A</v>
      </c>
      <c r="N30" s="104" t="e">
        <f ca="1">VLOOKUP($B30,Matrix!$H$13:$I$37,2,FALSE)&amp;"_"&amp;C30</f>
        <v>#N/A</v>
      </c>
      <c r="O30" s="116" t="e">
        <f t="shared" ca="1" si="0"/>
        <v>#N/A</v>
      </c>
    </row>
    <row r="31" spans="2:15">
      <c r="B31" s="24"/>
      <c r="C31" s="23"/>
      <c r="D31" s="108"/>
      <c r="E31" s="24"/>
      <c r="F31" s="109"/>
      <c r="G31" s="24"/>
      <c r="H31" s="109"/>
      <c r="I31" s="24"/>
      <c r="J31" s="109"/>
      <c r="K31" s="24"/>
      <c r="L31" s="109"/>
      <c r="M31" s="41" t="e">
        <f t="shared" ca="1" si="1"/>
        <v>#N/A</v>
      </c>
      <c r="N31" s="104" t="e">
        <f ca="1">VLOOKUP($B31,Matrix!$H$13:$I$37,2,FALSE)&amp;"_"&amp;C31</f>
        <v>#N/A</v>
      </c>
      <c r="O31" s="116" t="e">
        <f t="shared" ca="1" si="0"/>
        <v>#N/A</v>
      </c>
    </row>
    <row r="32" spans="2:15">
      <c r="B32" s="24"/>
      <c r="C32" s="23"/>
      <c r="D32" s="108"/>
      <c r="E32" s="24"/>
      <c r="F32" s="109"/>
      <c r="G32" s="24"/>
      <c r="H32" s="109"/>
      <c r="I32" s="24"/>
      <c r="J32" s="109"/>
      <c r="K32" s="24"/>
      <c r="L32" s="109"/>
      <c r="M32" s="41" t="e">
        <f t="shared" ca="1" si="1"/>
        <v>#N/A</v>
      </c>
      <c r="N32" s="104" t="e">
        <f ca="1">VLOOKUP($B32,Matrix!$H$13:$I$37,2,FALSE)&amp;"_"&amp;C32</f>
        <v>#N/A</v>
      </c>
      <c r="O32" s="116" t="e">
        <f t="shared" ca="1" si="0"/>
        <v>#N/A</v>
      </c>
    </row>
    <row r="33" spans="2:15">
      <c r="B33" s="24"/>
      <c r="C33" s="23"/>
      <c r="D33" s="108"/>
      <c r="E33" s="24"/>
      <c r="F33" s="109"/>
      <c r="G33" s="24"/>
      <c r="H33" s="109"/>
      <c r="I33" s="24"/>
      <c r="J33" s="109"/>
      <c r="K33" s="24"/>
      <c r="L33" s="109"/>
      <c r="M33" s="41" t="e">
        <f t="shared" ca="1" si="1"/>
        <v>#N/A</v>
      </c>
      <c r="N33" s="104" t="e">
        <f ca="1">VLOOKUP($B33,Matrix!$H$13:$I$37,2,FALSE)&amp;"_"&amp;C33</f>
        <v>#N/A</v>
      </c>
      <c r="O33" s="116" t="e">
        <f t="shared" ca="1" si="0"/>
        <v>#N/A</v>
      </c>
    </row>
    <row r="34" spans="2:15">
      <c r="B34" s="24"/>
      <c r="C34" s="23"/>
      <c r="D34" s="108"/>
      <c r="E34" s="24"/>
      <c r="F34" s="109"/>
      <c r="G34" s="24"/>
      <c r="H34" s="109"/>
      <c r="I34" s="24"/>
      <c r="J34" s="109"/>
      <c r="K34" s="24"/>
      <c r="L34" s="109"/>
      <c r="M34" s="41" t="e">
        <f t="shared" ca="1" si="1"/>
        <v>#N/A</v>
      </c>
      <c r="N34" s="104" t="e">
        <f ca="1">VLOOKUP($B34,Matrix!$H$13:$I$37,2,FALSE)&amp;"_"&amp;C34</f>
        <v>#N/A</v>
      </c>
      <c r="O34" s="116" t="e">
        <f t="shared" ca="1" si="0"/>
        <v>#N/A</v>
      </c>
    </row>
    <row r="35" spans="2:15">
      <c r="B35" s="24"/>
      <c r="C35" s="23"/>
      <c r="D35" s="108"/>
      <c r="E35" s="24"/>
      <c r="F35" s="109"/>
      <c r="G35" s="24"/>
      <c r="H35" s="109"/>
      <c r="I35" s="24"/>
      <c r="J35" s="109"/>
      <c r="K35" s="24"/>
      <c r="L35" s="109"/>
      <c r="M35" s="41" t="e">
        <f t="shared" ca="1" si="1"/>
        <v>#N/A</v>
      </c>
      <c r="N35" s="104" t="e">
        <f ca="1">VLOOKUP($B35,Matrix!$H$13:$I$37,2,FALSE)&amp;"_"&amp;C35</f>
        <v>#N/A</v>
      </c>
      <c r="O35" s="116" t="e">
        <f t="shared" ca="1" si="0"/>
        <v>#N/A</v>
      </c>
    </row>
    <row r="36" spans="2:15">
      <c r="B36" s="24"/>
      <c r="C36" s="23"/>
      <c r="D36" s="108"/>
      <c r="E36" s="24"/>
      <c r="F36" s="109"/>
      <c r="G36" s="24"/>
      <c r="H36" s="109"/>
      <c r="I36" s="24"/>
      <c r="J36" s="109"/>
      <c r="K36" s="24"/>
      <c r="L36" s="109"/>
      <c r="M36" s="41" t="e">
        <f t="shared" ca="1" si="1"/>
        <v>#N/A</v>
      </c>
      <c r="N36" s="104" t="e">
        <f ca="1">VLOOKUP($B36,Matrix!$H$13:$I$37,2,FALSE)&amp;"_"&amp;C36</f>
        <v>#N/A</v>
      </c>
      <c r="O36" s="116" t="e">
        <f t="shared" ref="O36:O67" ca="1" si="2">"#define "&amp;N36&amp;REPT(" ",48-M36)&amp;"("&amp;D36&amp;"U)"</f>
        <v>#N/A</v>
      </c>
    </row>
    <row r="37" spans="2:15">
      <c r="B37" s="24"/>
      <c r="C37" s="23"/>
      <c r="D37" s="108"/>
      <c r="E37" s="24"/>
      <c r="F37" s="109"/>
      <c r="G37" s="24"/>
      <c r="H37" s="109"/>
      <c r="I37" s="24"/>
      <c r="J37" s="109"/>
      <c r="K37" s="24"/>
      <c r="L37" s="109"/>
      <c r="M37" s="41" t="e">
        <f t="shared" ca="1" si="1"/>
        <v>#N/A</v>
      </c>
      <c r="N37" s="104" t="e">
        <f ca="1">VLOOKUP($B37,Matrix!$H$13:$I$37,2,FALSE)&amp;"_"&amp;C37</f>
        <v>#N/A</v>
      </c>
      <c r="O37" s="116" t="e">
        <f t="shared" ca="1" si="2"/>
        <v>#N/A</v>
      </c>
    </row>
    <row r="38" spans="2:15">
      <c r="B38" s="24"/>
      <c r="C38" s="23"/>
      <c r="D38" s="108"/>
      <c r="E38" s="24"/>
      <c r="F38" s="109"/>
      <c r="G38" s="24"/>
      <c r="H38" s="109"/>
      <c r="I38" s="24"/>
      <c r="J38" s="109"/>
      <c r="K38" s="24"/>
      <c r="L38" s="109"/>
      <c r="M38" s="41" t="e">
        <f t="shared" ca="1" si="1"/>
        <v>#N/A</v>
      </c>
      <c r="N38" s="104" t="e">
        <f ca="1">VLOOKUP($B38,Matrix!$H$13:$I$37,2,FALSE)&amp;"_"&amp;C38</f>
        <v>#N/A</v>
      </c>
      <c r="O38" s="116" t="e">
        <f t="shared" ca="1" si="2"/>
        <v>#N/A</v>
      </c>
    </row>
    <row r="39" spans="2:15">
      <c r="B39" s="24"/>
      <c r="C39" s="23"/>
      <c r="D39" s="108"/>
      <c r="E39" s="24"/>
      <c r="F39" s="109"/>
      <c r="G39" s="24"/>
      <c r="H39" s="109"/>
      <c r="I39" s="24"/>
      <c r="J39" s="109"/>
      <c r="K39" s="24"/>
      <c r="L39" s="109"/>
      <c r="M39" s="41" t="e">
        <f t="shared" ca="1" si="1"/>
        <v>#N/A</v>
      </c>
      <c r="N39" s="104" t="e">
        <f ca="1">VLOOKUP($B39,Matrix!$H$13:$I$37,2,FALSE)&amp;"_"&amp;C39</f>
        <v>#N/A</v>
      </c>
      <c r="O39" s="116" t="e">
        <f t="shared" ca="1" si="2"/>
        <v>#N/A</v>
      </c>
    </row>
    <row r="40" spans="2:15">
      <c r="B40" s="24"/>
      <c r="C40" s="23"/>
      <c r="D40" s="108"/>
      <c r="E40" s="24"/>
      <c r="F40" s="109"/>
      <c r="G40" s="24"/>
      <c r="H40" s="109"/>
      <c r="I40" s="24"/>
      <c r="J40" s="109"/>
      <c r="K40" s="24"/>
      <c r="L40" s="109"/>
      <c r="M40" s="41" t="e">
        <f t="shared" ca="1" si="1"/>
        <v>#N/A</v>
      </c>
      <c r="N40" s="104" t="e">
        <f ca="1">VLOOKUP($B40,Matrix!$H$13:$I$37,2,FALSE)&amp;"_"&amp;C40</f>
        <v>#N/A</v>
      </c>
      <c r="O40" s="116" t="e">
        <f t="shared" ca="1" si="2"/>
        <v>#N/A</v>
      </c>
    </row>
    <row r="41" spans="2:15">
      <c r="B41" s="24"/>
      <c r="C41" s="23"/>
      <c r="D41" s="108"/>
      <c r="E41" s="24"/>
      <c r="F41" s="109"/>
      <c r="G41" s="24"/>
      <c r="H41" s="109"/>
      <c r="I41" s="24"/>
      <c r="J41" s="109"/>
      <c r="K41" s="24"/>
      <c r="L41" s="109"/>
      <c r="M41" s="41" t="e">
        <f t="shared" ca="1" si="1"/>
        <v>#N/A</v>
      </c>
      <c r="N41" s="104" t="e">
        <f ca="1">VLOOKUP($B41,Matrix!$H$13:$I$37,2,FALSE)&amp;"_"&amp;C41</f>
        <v>#N/A</v>
      </c>
      <c r="O41" s="116" t="e">
        <f t="shared" ca="1" si="2"/>
        <v>#N/A</v>
      </c>
    </row>
    <row r="42" spans="2:15">
      <c r="B42" s="24"/>
      <c r="C42" s="23"/>
      <c r="D42" s="108"/>
      <c r="E42" s="24"/>
      <c r="F42" s="109"/>
      <c r="G42" s="24"/>
      <c r="H42" s="109"/>
      <c r="I42" s="24"/>
      <c r="J42" s="109"/>
      <c r="K42" s="24"/>
      <c r="L42" s="109"/>
      <c r="M42" s="41" t="e">
        <f t="shared" ca="1" si="1"/>
        <v>#N/A</v>
      </c>
      <c r="N42" s="104" t="e">
        <f ca="1">VLOOKUP($B42,Matrix!$H$13:$I$37,2,FALSE)&amp;"_"&amp;C42</f>
        <v>#N/A</v>
      </c>
      <c r="O42" s="116" t="e">
        <f t="shared" ca="1" si="2"/>
        <v>#N/A</v>
      </c>
    </row>
    <row r="43" spans="2:15">
      <c r="B43" s="24"/>
      <c r="C43" s="23"/>
      <c r="D43" s="108"/>
      <c r="E43" s="24"/>
      <c r="F43" s="109"/>
      <c r="G43" s="24"/>
      <c r="H43" s="109"/>
      <c r="I43" s="24"/>
      <c r="J43" s="109"/>
      <c r="K43" s="24"/>
      <c r="L43" s="109"/>
      <c r="M43" s="41" t="e">
        <f t="shared" ca="1" si="1"/>
        <v>#N/A</v>
      </c>
      <c r="N43" s="104" t="e">
        <f ca="1">VLOOKUP($B43,Matrix!$H$13:$I$37,2,FALSE)&amp;"_"&amp;C43</f>
        <v>#N/A</v>
      </c>
      <c r="O43" s="116" t="e">
        <f t="shared" ca="1" si="2"/>
        <v>#N/A</v>
      </c>
    </row>
    <row r="44" spans="2:15">
      <c r="B44" s="24"/>
      <c r="C44" s="23"/>
      <c r="D44" s="108"/>
      <c r="E44" s="24"/>
      <c r="F44" s="109"/>
      <c r="G44" s="24"/>
      <c r="H44" s="109"/>
      <c r="I44" s="24"/>
      <c r="J44" s="109"/>
      <c r="K44" s="24"/>
      <c r="L44" s="109"/>
      <c r="M44" s="41" t="e">
        <f t="shared" ca="1" si="1"/>
        <v>#N/A</v>
      </c>
      <c r="N44" s="104" t="e">
        <f ca="1">VLOOKUP($B44,Matrix!$H$13:$I$37,2,FALSE)&amp;"_"&amp;C44</f>
        <v>#N/A</v>
      </c>
      <c r="O44" s="116" t="e">
        <f t="shared" ca="1" si="2"/>
        <v>#N/A</v>
      </c>
    </row>
    <row r="45" spans="2:15">
      <c r="B45" s="24"/>
      <c r="C45" s="23"/>
      <c r="D45" s="108"/>
      <c r="E45" s="24"/>
      <c r="F45" s="109"/>
      <c r="G45" s="24"/>
      <c r="H45" s="109"/>
      <c r="I45" s="24"/>
      <c r="J45" s="109"/>
      <c r="K45" s="24"/>
      <c r="L45" s="109"/>
      <c r="M45" s="41" t="e">
        <f t="shared" ca="1" si="1"/>
        <v>#N/A</v>
      </c>
      <c r="N45" s="104" t="e">
        <f ca="1">VLOOKUP($B45,Matrix!$H$13:$I$37,2,FALSE)&amp;"_"&amp;C45</f>
        <v>#N/A</v>
      </c>
      <c r="O45" s="116" t="e">
        <f t="shared" ca="1" si="2"/>
        <v>#N/A</v>
      </c>
    </row>
    <row r="46" spans="2:15">
      <c r="B46" s="24"/>
      <c r="C46" s="23"/>
      <c r="D46" s="108"/>
      <c r="E46" s="24"/>
      <c r="F46" s="109"/>
      <c r="G46" s="24"/>
      <c r="H46" s="109"/>
      <c r="I46" s="24"/>
      <c r="J46" s="109"/>
      <c r="K46" s="24"/>
      <c r="L46" s="109"/>
      <c r="M46" s="41" t="e">
        <f t="shared" ca="1" si="1"/>
        <v>#N/A</v>
      </c>
      <c r="N46" s="104" t="e">
        <f ca="1">VLOOKUP($B46,Matrix!$H$13:$I$37,2,FALSE)&amp;"_"&amp;C46</f>
        <v>#N/A</v>
      </c>
      <c r="O46" s="116" t="e">
        <f t="shared" ca="1" si="2"/>
        <v>#N/A</v>
      </c>
    </row>
    <row r="47" spans="2:15">
      <c r="B47" s="24"/>
      <c r="C47" s="23"/>
      <c r="D47" s="108"/>
      <c r="E47" s="24"/>
      <c r="F47" s="109"/>
      <c r="G47" s="24"/>
      <c r="H47" s="109"/>
      <c r="I47" s="24"/>
      <c r="J47" s="109"/>
      <c r="K47" s="24"/>
      <c r="L47" s="109"/>
      <c r="M47" s="41" t="e">
        <f t="shared" ca="1" si="1"/>
        <v>#N/A</v>
      </c>
      <c r="N47" s="104" t="e">
        <f ca="1">VLOOKUP($B47,Matrix!$H$13:$I$37,2,FALSE)&amp;"_"&amp;C47</f>
        <v>#N/A</v>
      </c>
      <c r="O47" s="116" t="e">
        <f t="shared" ca="1" si="2"/>
        <v>#N/A</v>
      </c>
    </row>
    <row r="48" spans="2:15">
      <c r="B48" s="24"/>
      <c r="C48" s="23"/>
      <c r="D48" s="108"/>
      <c r="E48" s="24"/>
      <c r="F48" s="109"/>
      <c r="G48" s="24"/>
      <c r="H48" s="109"/>
      <c r="I48" s="24"/>
      <c r="J48" s="109"/>
      <c r="K48" s="24"/>
      <c r="L48" s="109"/>
      <c r="M48" s="41" t="e">
        <f t="shared" ca="1" si="1"/>
        <v>#N/A</v>
      </c>
      <c r="N48" s="104" t="e">
        <f ca="1">VLOOKUP($B48,Matrix!$H$13:$I$37,2,FALSE)&amp;"_"&amp;C48</f>
        <v>#N/A</v>
      </c>
      <c r="O48" s="116" t="e">
        <f t="shared" ca="1" si="2"/>
        <v>#N/A</v>
      </c>
    </row>
    <row r="49" spans="2:15">
      <c r="B49" s="24"/>
      <c r="C49" s="23"/>
      <c r="D49" s="108"/>
      <c r="E49" s="24"/>
      <c r="F49" s="109"/>
      <c r="G49" s="24"/>
      <c r="H49" s="109"/>
      <c r="I49" s="24"/>
      <c r="J49" s="109"/>
      <c r="K49" s="24"/>
      <c r="L49" s="109"/>
      <c r="M49" s="41" t="e">
        <f t="shared" ca="1" si="1"/>
        <v>#N/A</v>
      </c>
      <c r="N49" s="104" t="e">
        <f ca="1">VLOOKUP($B49,Matrix!$H$13:$I$37,2,FALSE)&amp;"_"&amp;C49</f>
        <v>#N/A</v>
      </c>
      <c r="O49" s="116" t="e">
        <f t="shared" ca="1" si="2"/>
        <v>#N/A</v>
      </c>
    </row>
    <row r="50" spans="2:15">
      <c r="B50" s="24"/>
      <c r="C50" s="23"/>
      <c r="D50" s="108"/>
      <c r="E50" s="24"/>
      <c r="F50" s="109"/>
      <c r="G50" s="24"/>
      <c r="H50" s="109"/>
      <c r="I50" s="24"/>
      <c r="J50" s="109"/>
      <c r="K50" s="24"/>
      <c r="L50" s="109"/>
      <c r="M50" s="41" t="e">
        <f t="shared" ca="1" si="1"/>
        <v>#N/A</v>
      </c>
      <c r="N50" s="104" t="e">
        <f ca="1">VLOOKUP($B50,Matrix!$H$13:$I$37,2,FALSE)&amp;"_"&amp;C50</f>
        <v>#N/A</v>
      </c>
      <c r="O50" s="116" t="e">
        <f t="shared" ca="1" si="2"/>
        <v>#N/A</v>
      </c>
    </row>
    <row r="51" spans="2:15">
      <c r="B51" s="24"/>
      <c r="C51" s="23"/>
      <c r="D51" s="108"/>
      <c r="E51" s="24"/>
      <c r="F51" s="109"/>
      <c r="G51" s="24"/>
      <c r="H51" s="109"/>
      <c r="I51" s="24"/>
      <c r="J51" s="109"/>
      <c r="K51" s="24"/>
      <c r="L51" s="109"/>
      <c r="M51" s="41" t="e">
        <f t="shared" ca="1" si="1"/>
        <v>#N/A</v>
      </c>
      <c r="N51" s="104" t="e">
        <f ca="1">VLOOKUP($B51,Matrix!$H$13:$I$37,2,FALSE)&amp;"_"&amp;C51</f>
        <v>#N/A</v>
      </c>
      <c r="O51" s="116" t="e">
        <f t="shared" ca="1" si="2"/>
        <v>#N/A</v>
      </c>
    </row>
    <row r="52" spans="2:15">
      <c r="B52" s="24"/>
      <c r="C52" s="23"/>
      <c r="D52" s="108"/>
      <c r="E52" s="24"/>
      <c r="F52" s="109"/>
      <c r="G52" s="24"/>
      <c r="H52" s="109"/>
      <c r="I52" s="24"/>
      <c r="J52" s="109"/>
      <c r="K52" s="24"/>
      <c r="L52" s="109"/>
      <c r="M52" s="41" t="e">
        <f t="shared" ca="1" si="1"/>
        <v>#N/A</v>
      </c>
      <c r="N52" s="104" t="e">
        <f ca="1">VLOOKUP($B52,Matrix!$H$13:$I$37,2,FALSE)&amp;"_"&amp;C52</f>
        <v>#N/A</v>
      </c>
      <c r="O52" s="116" t="e">
        <f t="shared" ca="1" si="2"/>
        <v>#N/A</v>
      </c>
    </row>
    <row r="53" spans="2:15">
      <c r="B53" s="24"/>
      <c r="C53" s="23"/>
      <c r="D53" s="108"/>
      <c r="E53" s="24"/>
      <c r="F53" s="109"/>
      <c r="G53" s="24"/>
      <c r="H53" s="109"/>
      <c r="I53" s="24"/>
      <c r="J53" s="109"/>
      <c r="K53" s="24"/>
      <c r="L53" s="109"/>
      <c r="M53" s="41" t="e">
        <f t="shared" ca="1" si="1"/>
        <v>#N/A</v>
      </c>
      <c r="N53" s="104" t="e">
        <f ca="1">VLOOKUP($B53,Matrix!$H$13:$I$37,2,FALSE)&amp;"_"&amp;C53</f>
        <v>#N/A</v>
      </c>
      <c r="O53" s="116" t="e">
        <f t="shared" ca="1" si="2"/>
        <v>#N/A</v>
      </c>
    </row>
    <row r="54" spans="2:15">
      <c r="B54" s="24"/>
      <c r="C54" s="23"/>
      <c r="D54" s="108"/>
      <c r="E54" s="24"/>
      <c r="F54" s="109"/>
      <c r="G54" s="24"/>
      <c r="H54" s="109"/>
      <c r="I54" s="24"/>
      <c r="J54" s="109"/>
      <c r="K54" s="24"/>
      <c r="L54" s="109"/>
      <c r="M54" s="41" t="e">
        <f t="shared" ca="1" si="1"/>
        <v>#N/A</v>
      </c>
      <c r="N54" s="104" t="e">
        <f ca="1">VLOOKUP($B54,Matrix!$H$13:$I$37,2,FALSE)&amp;"_"&amp;C54</f>
        <v>#N/A</v>
      </c>
      <c r="O54" s="116" t="e">
        <f t="shared" ca="1" si="2"/>
        <v>#N/A</v>
      </c>
    </row>
    <row r="55" spans="2:15">
      <c r="B55" s="24"/>
      <c r="C55" s="23"/>
      <c r="D55" s="108"/>
      <c r="E55" s="24"/>
      <c r="F55" s="109"/>
      <c r="G55" s="24"/>
      <c r="H55" s="109"/>
      <c r="I55" s="24"/>
      <c r="J55" s="109"/>
      <c r="K55" s="24"/>
      <c r="L55" s="109"/>
      <c r="M55" s="41" t="e">
        <f t="shared" ca="1" si="1"/>
        <v>#N/A</v>
      </c>
      <c r="N55" s="104" t="e">
        <f ca="1">VLOOKUP($B55,Matrix!$H$13:$I$37,2,FALSE)&amp;"_"&amp;C55</f>
        <v>#N/A</v>
      </c>
      <c r="O55" s="116" t="e">
        <f t="shared" ca="1" si="2"/>
        <v>#N/A</v>
      </c>
    </row>
    <row r="56" spans="2:15">
      <c r="B56" s="24"/>
      <c r="C56" s="23"/>
      <c r="D56" s="108"/>
      <c r="E56" s="24"/>
      <c r="F56" s="109"/>
      <c r="G56" s="24"/>
      <c r="H56" s="109"/>
      <c r="I56" s="24"/>
      <c r="J56" s="109"/>
      <c r="K56" s="24"/>
      <c r="L56" s="109"/>
      <c r="M56" s="41" t="e">
        <f t="shared" ca="1" si="1"/>
        <v>#N/A</v>
      </c>
      <c r="N56" s="104" t="e">
        <f ca="1">VLOOKUP($B56,Matrix!$H$13:$I$37,2,FALSE)&amp;"_"&amp;C56</f>
        <v>#N/A</v>
      </c>
      <c r="O56" s="116" t="e">
        <f t="shared" ca="1" si="2"/>
        <v>#N/A</v>
      </c>
    </row>
    <row r="57" spans="2:15">
      <c r="B57" s="24"/>
      <c r="C57" s="23"/>
      <c r="D57" s="108"/>
      <c r="E57" s="24"/>
      <c r="F57" s="109"/>
      <c r="G57" s="24"/>
      <c r="H57" s="109"/>
      <c r="I57" s="24"/>
      <c r="J57" s="109"/>
      <c r="K57" s="24"/>
      <c r="L57" s="109"/>
      <c r="M57" s="41" t="e">
        <f t="shared" ca="1" si="1"/>
        <v>#N/A</v>
      </c>
      <c r="N57" s="104" t="e">
        <f ca="1">VLOOKUP($B57,Matrix!$H$13:$I$37,2,FALSE)&amp;"_"&amp;C57</f>
        <v>#N/A</v>
      </c>
      <c r="O57" s="116" t="e">
        <f t="shared" ca="1" si="2"/>
        <v>#N/A</v>
      </c>
    </row>
    <row r="58" spans="2:15">
      <c r="B58" s="24"/>
      <c r="C58" s="23"/>
      <c r="D58" s="108"/>
      <c r="E58" s="24"/>
      <c r="F58" s="109"/>
      <c r="G58" s="24"/>
      <c r="H58" s="109"/>
      <c r="I58" s="24"/>
      <c r="J58" s="109"/>
      <c r="K58" s="24"/>
      <c r="L58" s="109"/>
      <c r="M58" s="41" t="e">
        <f t="shared" ca="1" si="1"/>
        <v>#N/A</v>
      </c>
      <c r="N58" s="104" t="e">
        <f ca="1">VLOOKUP($B58,Matrix!$H$13:$I$37,2,FALSE)&amp;"_"&amp;C58</f>
        <v>#N/A</v>
      </c>
      <c r="O58" s="116" t="e">
        <f t="shared" ca="1" si="2"/>
        <v>#N/A</v>
      </c>
    </row>
    <row r="59" spans="2:15">
      <c r="B59" s="24"/>
      <c r="C59" s="23"/>
      <c r="D59" s="108"/>
      <c r="E59" s="24"/>
      <c r="F59" s="109"/>
      <c r="G59" s="24"/>
      <c r="H59" s="109"/>
      <c r="I59" s="24"/>
      <c r="J59" s="109"/>
      <c r="K59" s="24"/>
      <c r="L59" s="109"/>
      <c r="M59" s="41" t="e">
        <f t="shared" ca="1" si="1"/>
        <v>#N/A</v>
      </c>
      <c r="N59" s="104" t="e">
        <f ca="1">VLOOKUP($B59,Matrix!$H$13:$I$37,2,FALSE)&amp;"_"&amp;C59</f>
        <v>#N/A</v>
      </c>
      <c r="O59" s="116" t="e">
        <f t="shared" ca="1" si="2"/>
        <v>#N/A</v>
      </c>
    </row>
    <row r="60" spans="2:15">
      <c r="B60" s="24"/>
      <c r="C60" s="23"/>
      <c r="D60" s="108"/>
      <c r="E60" s="24"/>
      <c r="F60" s="109"/>
      <c r="G60" s="24"/>
      <c r="H60" s="109"/>
      <c r="I60" s="24"/>
      <c r="J60" s="109"/>
      <c r="K60" s="24"/>
      <c r="L60" s="109"/>
      <c r="M60" s="41" t="e">
        <f t="shared" ca="1" si="1"/>
        <v>#N/A</v>
      </c>
      <c r="N60" s="104" t="e">
        <f ca="1">VLOOKUP($B60,Matrix!$H$13:$I$37,2,FALSE)&amp;"_"&amp;C60</f>
        <v>#N/A</v>
      </c>
      <c r="O60" s="116" t="e">
        <f t="shared" ca="1" si="2"/>
        <v>#N/A</v>
      </c>
    </row>
    <row r="61" spans="2:15">
      <c r="B61" s="24"/>
      <c r="C61" s="23"/>
      <c r="D61" s="108"/>
      <c r="E61" s="24"/>
      <c r="F61" s="109"/>
      <c r="G61" s="24"/>
      <c r="H61" s="109"/>
      <c r="I61" s="24"/>
      <c r="J61" s="109"/>
      <c r="K61" s="24"/>
      <c r="L61" s="109"/>
      <c r="M61" s="41" t="e">
        <f t="shared" ca="1" si="1"/>
        <v>#N/A</v>
      </c>
      <c r="N61" s="104" t="e">
        <f ca="1">VLOOKUP($B61,Matrix!$H$13:$I$37,2,FALSE)&amp;"_"&amp;C61</f>
        <v>#N/A</v>
      </c>
      <c r="O61" s="116" t="e">
        <f t="shared" ca="1" si="2"/>
        <v>#N/A</v>
      </c>
    </row>
    <row r="62" spans="2:15">
      <c r="B62" s="24"/>
      <c r="C62" s="23"/>
      <c r="D62" s="108"/>
      <c r="E62" s="24"/>
      <c r="F62" s="109"/>
      <c r="G62" s="24"/>
      <c r="H62" s="109"/>
      <c r="I62" s="24"/>
      <c r="J62" s="109"/>
      <c r="K62" s="24"/>
      <c r="L62" s="109"/>
      <c r="M62" s="41" t="e">
        <f t="shared" ca="1" si="1"/>
        <v>#N/A</v>
      </c>
      <c r="N62" s="104" t="e">
        <f ca="1">VLOOKUP($B62,Matrix!$H$13:$I$37,2,FALSE)&amp;"_"&amp;C62</f>
        <v>#N/A</v>
      </c>
      <c r="O62" s="116" t="e">
        <f t="shared" ca="1" si="2"/>
        <v>#N/A</v>
      </c>
    </row>
    <row r="63" spans="2:15">
      <c r="B63" s="24"/>
      <c r="C63" s="23"/>
      <c r="D63" s="108"/>
      <c r="E63" s="24"/>
      <c r="F63" s="109"/>
      <c r="G63" s="24"/>
      <c r="H63" s="109"/>
      <c r="I63" s="24"/>
      <c r="J63" s="109"/>
      <c r="K63" s="24"/>
      <c r="L63" s="109"/>
      <c r="M63" s="41" t="e">
        <f t="shared" ca="1" si="1"/>
        <v>#N/A</v>
      </c>
      <c r="N63" s="104" t="e">
        <f ca="1">VLOOKUP($B63,Matrix!$H$13:$I$37,2,FALSE)&amp;"_"&amp;C63</f>
        <v>#N/A</v>
      </c>
      <c r="O63" s="116" t="e">
        <f t="shared" ca="1" si="2"/>
        <v>#N/A</v>
      </c>
    </row>
    <row r="64" spans="2:15">
      <c r="B64" s="24"/>
      <c r="C64" s="23"/>
      <c r="D64" s="108"/>
      <c r="E64" s="24"/>
      <c r="F64" s="109"/>
      <c r="G64" s="24"/>
      <c r="H64" s="109"/>
      <c r="I64" s="24"/>
      <c r="J64" s="109"/>
      <c r="K64" s="24"/>
      <c r="L64" s="109"/>
      <c r="M64" s="41" t="e">
        <f t="shared" ca="1" si="1"/>
        <v>#N/A</v>
      </c>
      <c r="N64" s="104" t="e">
        <f ca="1">VLOOKUP($B64,Matrix!$H$13:$I$37,2,FALSE)&amp;"_"&amp;C64</f>
        <v>#N/A</v>
      </c>
      <c r="O64" s="116" t="e">
        <f t="shared" ca="1" si="2"/>
        <v>#N/A</v>
      </c>
    </row>
    <row r="65" spans="2:15">
      <c r="B65" s="24"/>
      <c r="C65" s="23"/>
      <c r="D65" s="108"/>
      <c r="E65" s="24"/>
      <c r="F65" s="109"/>
      <c r="G65" s="24"/>
      <c r="H65" s="109"/>
      <c r="I65" s="24"/>
      <c r="J65" s="109"/>
      <c r="K65" s="24"/>
      <c r="L65" s="109"/>
      <c r="M65" s="41" t="e">
        <f t="shared" ca="1" si="1"/>
        <v>#N/A</v>
      </c>
      <c r="N65" s="104" t="e">
        <f ca="1">VLOOKUP($B65,Matrix!$H$13:$I$37,2,FALSE)&amp;"_"&amp;C65</f>
        <v>#N/A</v>
      </c>
      <c r="O65" s="116" t="e">
        <f t="shared" ca="1" si="2"/>
        <v>#N/A</v>
      </c>
    </row>
    <row r="66" spans="2:15">
      <c r="B66" s="24"/>
      <c r="C66" s="23"/>
      <c r="D66" s="108"/>
      <c r="E66" s="24"/>
      <c r="F66" s="109"/>
      <c r="G66" s="24"/>
      <c r="H66" s="109"/>
      <c r="I66" s="24"/>
      <c r="J66" s="109"/>
      <c r="K66" s="24"/>
      <c r="L66" s="109"/>
      <c r="M66" s="41" t="e">
        <f t="shared" ca="1" si="1"/>
        <v>#N/A</v>
      </c>
      <c r="N66" s="104" t="e">
        <f ca="1">VLOOKUP($B66,Matrix!$H$13:$I$37,2,FALSE)&amp;"_"&amp;C66</f>
        <v>#N/A</v>
      </c>
      <c r="O66" s="116" t="e">
        <f t="shared" ca="1" si="2"/>
        <v>#N/A</v>
      </c>
    </row>
    <row r="67" spans="2:15">
      <c r="B67" s="24"/>
      <c r="C67" s="23"/>
      <c r="D67" s="108"/>
      <c r="E67" s="24"/>
      <c r="F67" s="109"/>
      <c r="G67" s="24"/>
      <c r="H67" s="109"/>
      <c r="I67" s="24"/>
      <c r="J67" s="109"/>
      <c r="K67" s="24"/>
      <c r="L67" s="109"/>
      <c r="M67" s="41" t="e">
        <f t="shared" ca="1" si="1"/>
        <v>#N/A</v>
      </c>
      <c r="N67" s="104" t="e">
        <f ca="1">VLOOKUP($B67,Matrix!$H$13:$I$37,2,FALSE)&amp;"_"&amp;C67</f>
        <v>#N/A</v>
      </c>
      <c r="O67" s="116" t="e">
        <f t="shared" ca="1" si="2"/>
        <v>#N/A</v>
      </c>
    </row>
    <row r="68" spans="2:15">
      <c r="B68" s="24"/>
      <c r="C68" s="23"/>
      <c r="D68" s="108"/>
      <c r="E68" s="24"/>
      <c r="F68" s="109"/>
      <c r="G68" s="24"/>
      <c r="H68" s="109"/>
      <c r="I68" s="24"/>
      <c r="J68" s="109"/>
      <c r="K68" s="24"/>
      <c r="L68" s="109"/>
      <c r="M68" s="41" t="e">
        <f t="shared" ca="1" si="1"/>
        <v>#N/A</v>
      </c>
      <c r="N68" s="104" t="e">
        <f ca="1">VLOOKUP($B68,Matrix!$H$13:$I$37,2,FALSE)&amp;"_"&amp;C68</f>
        <v>#N/A</v>
      </c>
      <c r="O68" s="116" t="e">
        <f t="shared" ref="O68:O99" ca="1" si="3">"#define "&amp;N68&amp;REPT(" ",48-M68)&amp;"("&amp;D68&amp;"U)"</f>
        <v>#N/A</v>
      </c>
    </row>
    <row r="69" spans="2:15">
      <c r="B69" s="24"/>
      <c r="C69" s="23"/>
      <c r="D69" s="108"/>
      <c r="E69" s="24"/>
      <c r="F69" s="109"/>
      <c r="G69" s="24"/>
      <c r="H69" s="109"/>
      <c r="I69" s="24"/>
      <c r="J69" s="109"/>
      <c r="K69" s="24"/>
      <c r="L69" s="109"/>
      <c r="M69" s="41" t="e">
        <f t="shared" ref="M69:M103" ca="1" si="4">LEN(N69)</f>
        <v>#N/A</v>
      </c>
      <c r="N69" s="104" t="e">
        <f ca="1">VLOOKUP($B69,Matrix!$H$13:$I$37,2,FALSE)&amp;"_"&amp;C69</f>
        <v>#N/A</v>
      </c>
      <c r="O69" s="116" t="e">
        <f t="shared" ca="1" si="3"/>
        <v>#N/A</v>
      </c>
    </row>
    <row r="70" spans="2:15">
      <c r="B70" s="24"/>
      <c r="C70" s="23"/>
      <c r="D70" s="108"/>
      <c r="E70" s="24"/>
      <c r="F70" s="109"/>
      <c r="G70" s="24"/>
      <c r="H70" s="109"/>
      <c r="I70" s="24"/>
      <c r="J70" s="109"/>
      <c r="K70" s="24"/>
      <c r="L70" s="109"/>
      <c r="M70" s="41" t="e">
        <f t="shared" ca="1" si="4"/>
        <v>#N/A</v>
      </c>
      <c r="N70" s="104" t="e">
        <f ca="1">VLOOKUP($B70,Matrix!$H$13:$I$37,2,FALSE)&amp;"_"&amp;C70</f>
        <v>#N/A</v>
      </c>
      <c r="O70" s="116" t="e">
        <f t="shared" ca="1" si="3"/>
        <v>#N/A</v>
      </c>
    </row>
    <row r="71" spans="2:15">
      <c r="B71" s="24"/>
      <c r="C71" s="23"/>
      <c r="D71" s="108"/>
      <c r="E71" s="24"/>
      <c r="F71" s="109"/>
      <c r="G71" s="24"/>
      <c r="H71" s="109"/>
      <c r="I71" s="24"/>
      <c r="J71" s="109"/>
      <c r="K71" s="24"/>
      <c r="L71" s="109"/>
      <c r="M71" s="41" t="e">
        <f t="shared" ca="1" si="4"/>
        <v>#N/A</v>
      </c>
      <c r="N71" s="104" t="e">
        <f ca="1">VLOOKUP($B71,Matrix!$H$13:$I$37,2,FALSE)&amp;"_"&amp;C71</f>
        <v>#N/A</v>
      </c>
      <c r="O71" s="116" t="e">
        <f t="shared" ca="1" si="3"/>
        <v>#N/A</v>
      </c>
    </row>
    <row r="72" spans="2:15">
      <c r="B72" s="24"/>
      <c r="C72" s="23"/>
      <c r="D72" s="108"/>
      <c r="E72" s="24"/>
      <c r="F72" s="109"/>
      <c r="G72" s="24"/>
      <c r="H72" s="109"/>
      <c r="I72" s="24"/>
      <c r="J72" s="109"/>
      <c r="K72" s="24"/>
      <c r="L72" s="109"/>
      <c r="M72" s="41" t="e">
        <f t="shared" ca="1" si="4"/>
        <v>#N/A</v>
      </c>
      <c r="N72" s="104" t="e">
        <f ca="1">VLOOKUP($B72,Matrix!$H$13:$I$37,2,FALSE)&amp;"_"&amp;C72</f>
        <v>#N/A</v>
      </c>
      <c r="O72" s="116" t="e">
        <f t="shared" ca="1" si="3"/>
        <v>#N/A</v>
      </c>
    </row>
    <row r="73" spans="2:15">
      <c r="B73" s="24"/>
      <c r="C73" s="23"/>
      <c r="D73" s="108"/>
      <c r="E73" s="24"/>
      <c r="F73" s="109"/>
      <c r="G73" s="24"/>
      <c r="H73" s="109"/>
      <c r="I73" s="24"/>
      <c r="J73" s="109"/>
      <c r="K73" s="24"/>
      <c r="L73" s="109"/>
      <c r="M73" s="41" t="e">
        <f t="shared" ca="1" si="4"/>
        <v>#N/A</v>
      </c>
      <c r="N73" s="104" t="e">
        <f ca="1">VLOOKUP($B73,Matrix!$H$13:$I$37,2,FALSE)&amp;"_"&amp;C73</f>
        <v>#N/A</v>
      </c>
      <c r="O73" s="116" t="e">
        <f t="shared" ca="1" si="3"/>
        <v>#N/A</v>
      </c>
    </row>
    <row r="74" spans="2:15">
      <c r="B74" s="24"/>
      <c r="C74" s="23"/>
      <c r="D74" s="108"/>
      <c r="E74" s="24"/>
      <c r="F74" s="109"/>
      <c r="G74" s="24"/>
      <c r="H74" s="109"/>
      <c r="I74" s="24"/>
      <c r="J74" s="109"/>
      <c r="K74" s="24"/>
      <c r="L74" s="109"/>
      <c r="M74" s="41" t="e">
        <f t="shared" ca="1" si="4"/>
        <v>#N/A</v>
      </c>
      <c r="N74" s="104" t="e">
        <f ca="1">VLOOKUP($B74,Matrix!$H$13:$I$37,2,FALSE)&amp;"_"&amp;C74</f>
        <v>#N/A</v>
      </c>
      <c r="O74" s="116" t="e">
        <f t="shared" ca="1" si="3"/>
        <v>#N/A</v>
      </c>
    </row>
    <row r="75" spans="2:15">
      <c r="B75" s="24"/>
      <c r="C75" s="23"/>
      <c r="D75" s="108"/>
      <c r="E75" s="24"/>
      <c r="F75" s="109"/>
      <c r="G75" s="24"/>
      <c r="H75" s="109"/>
      <c r="I75" s="24"/>
      <c r="J75" s="109"/>
      <c r="K75" s="24"/>
      <c r="L75" s="109"/>
      <c r="M75" s="41" t="e">
        <f t="shared" ca="1" si="4"/>
        <v>#N/A</v>
      </c>
      <c r="N75" s="104" t="e">
        <f ca="1">VLOOKUP($B75,Matrix!$H$13:$I$37,2,FALSE)&amp;"_"&amp;C75</f>
        <v>#N/A</v>
      </c>
      <c r="O75" s="116" t="e">
        <f t="shared" ca="1" si="3"/>
        <v>#N/A</v>
      </c>
    </row>
    <row r="76" spans="2:15">
      <c r="B76" s="24"/>
      <c r="C76" s="23"/>
      <c r="D76" s="108"/>
      <c r="E76" s="24"/>
      <c r="F76" s="109"/>
      <c r="G76" s="24"/>
      <c r="H76" s="109"/>
      <c r="I76" s="24"/>
      <c r="J76" s="109"/>
      <c r="K76" s="24"/>
      <c r="L76" s="109"/>
      <c r="M76" s="41" t="e">
        <f t="shared" ca="1" si="4"/>
        <v>#N/A</v>
      </c>
      <c r="N76" s="104" t="e">
        <f ca="1">VLOOKUP($B76,Matrix!$H$13:$I$37,2,FALSE)&amp;"_"&amp;C76</f>
        <v>#N/A</v>
      </c>
      <c r="O76" s="116" t="e">
        <f t="shared" ca="1" si="3"/>
        <v>#N/A</v>
      </c>
    </row>
    <row r="77" spans="2:15">
      <c r="B77" s="24"/>
      <c r="C77" s="23"/>
      <c r="D77" s="108"/>
      <c r="E77" s="24"/>
      <c r="F77" s="109"/>
      <c r="G77" s="24"/>
      <c r="H77" s="109"/>
      <c r="I77" s="24"/>
      <c r="J77" s="109"/>
      <c r="K77" s="24"/>
      <c r="L77" s="109"/>
      <c r="M77" s="41" t="e">
        <f t="shared" ca="1" si="4"/>
        <v>#N/A</v>
      </c>
      <c r="N77" s="104" t="e">
        <f ca="1">VLOOKUP($B77,Matrix!$H$13:$I$37,2,FALSE)&amp;"_"&amp;C77</f>
        <v>#N/A</v>
      </c>
      <c r="O77" s="116" t="e">
        <f t="shared" ca="1" si="3"/>
        <v>#N/A</v>
      </c>
    </row>
    <row r="78" spans="2:15">
      <c r="B78" s="24"/>
      <c r="C78" s="23"/>
      <c r="D78" s="108"/>
      <c r="E78" s="24"/>
      <c r="F78" s="109"/>
      <c r="G78" s="24"/>
      <c r="H78" s="109"/>
      <c r="I78" s="24"/>
      <c r="J78" s="109"/>
      <c r="K78" s="24"/>
      <c r="L78" s="109"/>
      <c r="M78" s="41" t="e">
        <f t="shared" ca="1" si="4"/>
        <v>#N/A</v>
      </c>
      <c r="N78" s="104" t="e">
        <f ca="1">VLOOKUP($B78,Matrix!$H$13:$I$37,2,FALSE)&amp;"_"&amp;C78</f>
        <v>#N/A</v>
      </c>
      <c r="O78" s="116" t="e">
        <f t="shared" ca="1" si="3"/>
        <v>#N/A</v>
      </c>
    </row>
    <row r="79" spans="2:15">
      <c r="B79" s="24"/>
      <c r="C79" s="23"/>
      <c r="D79" s="108"/>
      <c r="E79" s="24"/>
      <c r="F79" s="109"/>
      <c r="G79" s="24"/>
      <c r="H79" s="109"/>
      <c r="I79" s="24"/>
      <c r="J79" s="109"/>
      <c r="K79" s="24"/>
      <c r="L79" s="109"/>
      <c r="M79" s="41" t="e">
        <f t="shared" ca="1" si="4"/>
        <v>#N/A</v>
      </c>
      <c r="N79" s="104" t="e">
        <f ca="1">VLOOKUP($B79,Matrix!$H$13:$I$37,2,FALSE)&amp;"_"&amp;C79</f>
        <v>#N/A</v>
      </c>
      <c r="O79" s="116" t="e">
        <f t="shared" ca="1" si="3"/>
        <v>#N/A</v>
      </c>
    </row>
    <row r="80" spans="2:15">
      <c r="B80" s="24"/>
      <c r="C80" s="23"/>
      <c r="D80" s="108"/>
      <c r="E80" s="24"/>
      <c r="F80" s="109"/>
      <c r="G80" s="24"/>
      <c r="H80" s="109"/>
      <c r="I80" s="24"/>
      <c r="J80" s="109"/>
      <c r="K80" s="24"/>
      <c r="L80" s="109"/>
      <c r="M80" s="41" t="e">
        <f t="shared" ca="1" si="4"/>
        <v>#N/A</v>
      </c>
      <c r="N80" s="104" t="e">
        <f ca="1">VLOOKUP($B80,Matrix!$H$13:$I$37,2,FALSE)&amp;"_"&amp;C80</f>
        <v>#N/A</v>
      </c>
      <c r="O80" s="116" t="e">
        <f t="shared" ca="1" si="3"/>
        <v>#N/A</v>
      </c>
    </row>
    <row r="81" spans="2:15">
      <c r="B81" s="24"/>
      <c r="C81" s="23"/>
      <c r="D81" s="108"/>
      <c r="E81" s="24"/>
      <c r="F81" s="109"/>
      <c r="G81" s="24"/>
      <c r="H81" s="109"/>
      <c r="I81" s="24"/>
      <c r="J81" s="109"/>
      <c r="K81" s="24"/>
      <c r="L81" s="109"/>
      <c r="M81" s="41" t="e">
        <f t="shared" ca="1" si="4"/>
        <v>#N/A</v>
      </c>
      <c r="N81" s="104" t="e">
        <f ca="1">VLOOKUP($B81,Matrix!$H$13:$I$37,2,FALSE)&amp;"_"&amp;C81</f>
        <v>#N/A</v>
      </c>
      <c r="O81" s="116" t="e">
        <f t="shared" ca="1" si="3"/>
        <v>#N/A</v>
      </c>
    </row>
    <row r="82" spans="2:15">
      <c r="B82" s="24"/>
      <c r="C82" s="23"/>
      <c r="D82" s="108"/>
      <c r="E82" s="24"/>
      <c r="F82" s="109"/>
      <c r="G82" s="24"/>
      <c r="H82" s="109"/>
      <c r="I82" s="24"/>
      <c r="J82" s="109"/>
      <c r="K82" s="24"/>
      <c r="L82" s="109"/>
      <c r="M82" s="41" t="e">
        <f t="shared" ca="1" si="4"/>
        <v>#N/A</v>
      </c>
      <c r="N82" s="104" t="e">
        <f ca="1">VLOOKUP($B82,Matrix!$H$13:$I$37,2,FALSE)&amp;"_"&amp;C82</f>
        <v>#N/A</v>
      </c>
      <c r="O82" s="116" t="e">
        <f t="shared" ca="1" si="3"/>
        <v>#N/A</v>
      </c>
    </row>
    <row r="83" spans="2:15">
      <c r="B83" s="24"/>
      <c r="C83" s="23"/>
      <c r="D83" s="108"/>
      <c r="E83" s="24"/>
      <c r="F83" s="109"/>
      <c r="G83" s="24"/>
      <c r="H83" s="109"/>
      <c r="I83" s="24"/>
      <c r="J83" s="109"/>
      <c r="K83" s="24"/>
      <c r="L83" s="109"/>
      <c r="M83" s="41" t="e">
        <f t="shared" ca="1" si="4"/>
        <v>#N/A</v>
      </c>
      <c r="N83" s="104" t="e">
        <f ca="1">VLOOKUP($B83,Matrix!$H$13:$I$37,2,FALSE)&amp;"_"&amp;C83</f>
        <v>#N/A</v>
      </c>
      <c r="O83" s="116" t="e">
        <f t="shared" ca="1" si="3"/>
        <v>#N/A</v>
      </c>
    </row>
    <row r="84" spans="2:15">
      <c r="B84" s="24"/>
      <c r="C84" s="23"/>
      <c r="D84" s="108"/>
      <c r="E84" s="24"/>
      <c r="F84" s="109"/>
      <c r="G84" s="24"/>
      <c r="H84" s="109"/>
      <c r="I84" s="24"/>
      <c r="J84" s="109"/>
      <c r="K84" s="24"/>
      <c r="L84" s="109"/>
      <c r="M84" s="41" t="e">
        <f t="shared" ca="1" si="4"/>
        <v>#N/A</v>
      </c>
      <c r="N84" s="104" t="e">
        <f ca="1">VLOOKUP($B84,Matrix!$H$13:$I$37,2,FALSE)&amp;"_"&amp;C84</f>
        <v>#N/A</v>
      </c>
      <c r="O84" s="116" t="e">
        <f t="shared" ca="1" si="3"/>
        <v>#N/A</v>
      </c>
    </row>
    <row r="85" spans="2:15">
      <c r="B85" s="24"/>
      <c r="C85" s="23"/>
      <c r="D85" s="108"/>
      <c r="E85" s="24"/>
      <c r="F85" s="109"/>
      <c r="G85" s="24"/>
      <c r="H85" s="109"/>
      <c r="I85" s="24"/>
      <c r="J85" s="109"/>
      <c r="K85" s="24"/>
      <c r="L85" s="109"/>
      <c r="M85" s="41" t="e">
        <f t="shared" ca="1" si="4"/>
        <v>#N/A</v>
      </c>
      <c r="N85" s="104" t="e">
        <f ca="1">VLOOKUP($B85,Matrix!$H$13:$I$37,2,FALSE)&amp;"_"&amp;C85</f>
        <v>#N/A</v>
      </c>
      <c r="O85" s="116" t="e">
        <f t="shared" ca="1" si="3"/>
        <v>#N/A</v>
      </c>
    </row>
    <row r="86" spans="2:15">
      <c r="B86" s="24"/>
      <c r="C86" s="23"/>
      <c r="D86" s="108"/>
      <c r="E86" s="24"/>
      <c r="F86" s="109"/>
      <c r="G86" s="24"/>
      <c r="H86" s="109"/>
      <c r="I86" s="24"/>
      <c r="J86" s="109"/>
      <c r="K86" s="24"/>
      <c r="L86" s="109"/>
      <c r="M86" s="41" t="e">
        <f t="shared" ca="1" si="4"/>
        <v>#N/A</v>
      </c>
      <c r="N86" s="104" t="e">
        <f ca="1">VLOOKUP($B86,Matrix!$H$13:$I$37,2,FALSE)&amp;"_"&amp;C86</f>
        <v>#N/A</v>
      </c>
      <c r="O86" s="116" t="e">
        <f t="shared" ca="1" si="3"/>
        <v>#N/A</v>
      </c>
    </row>
    <row r="87" spans="2:15">
      <c r="B87" s="24"/>
      <c r="C87" s="23"/>
      <c r="D87" s="108"/>
      <c r="E87" s="24"/>
      <c r="F87" s="109"/>
      <c r="G87" s="24"/>
      <c r="H87" s="109"/>
      <c r="I87" s="24"/>
      <c r="J87" s="109"/>
      <c r="K87" s="24"/>
      <c r="L87" s="109"/>
      <c r="M87" s="41" t="e">
        <f t="shared" ca="1" si="4"/>
        <v>#N/A</v>
      </c>
      <c r="N87" s="62" t="e">
        <f ca="1">VLOOKUP($B87,Matrix!$H$13:$I$37,2,FALSE)&amp;"_"&amp;C87</f>
        <v>#N/A</v>
      </c>
      <c r="O87" s="116" t="e">
        <f t="shared" ca="1" si="3"/>
        <v>#N/A</v>
      </c>
    </row>
    <row r="88" spans="2:15">
      <c r="B88" s="24"/>
      <c r="C88" s="23"/>
      <c r="D88" s="108"/>
      <c r="E88" s="24"/>
      <c r="F88" s="109"/>
      <c r="G88" s="24"/>
      <c r="H88" s="109"/>
      <c r="I88" s="24"/>
      <c r="J88" s="109"/>
      <c r="K88" s="24"/>
      <c r="L88" s="109"/>
      <c r="M88" s="41" t="e">
        <f t="shared" ca="1" si="4"/>
        <v>#N/A</v>
      </c>
      <c r="N88" s="62" t="e">
        <f ca="1">VLOOKUP($B88,Matrix!$H$13:$I$37,2,FALSE)&amp;"_"&amp;C88</f>
        <v>#N/A</v>
      </c>
      <c r="O88" s="116" t="e">
        <f t="shared" ca="1" si="3"/>
        <v>#N/A</v>
      </c>
    </row>
    <row r="89" spans="2:15">
      <c r="B89" s="24"/>
      <c r="C89" s="23"/>
      <c r="D89" s="108"/>
      <c r="E89" s="24"/>
      <c r="F89" s="109"/>
      <c r="G89" s="24"/>
      <c r="H89" s="109"/>
      <c r="I89" s="24"/>
      <c r="J89" s="109"/>
      <c r="K89" s="24"/>
      <c r="L89" s="109"/>
      <c r="M89" s="41" t="e">
        <f t="shared" ca="1" si="4"/>
        <v>#N/A</v>
      </c>
      <c r="N89" s="62" t="e">
        <f ca="1">VLOOKUP($B89,Matrix!$H$13:$I$37,2,FALSE)&amp;"_"&amp;C89</f>
        <v>#N/A</v>
      </c>
      <c r="O89" s="116" t="e">
        <f t="shared" ca="1" si="3"/>
        <v>#N/A</v>
      </c>
    </row>
    <row r="90" spans="2:15">
      <c r="B90" s="24"/>
      <c r="C90" s="23"/>
      <c r="D90" s="108"/>
      <c r="E90" s="24"/>
      <c r="F90" s="109"/>
      <c r="G90" s="24"/>
      <c r="H90" s="109"/>
      <c r="I90" s="24"/>
      <c r="J90" s="109"/>
      <c r="K90" s="24"/>
      <c r="L90" s="109"/>
      <c r="M90" s="41" t="e">
        <f t="shared" ca="1" si="4"/>
        <v>#N/A</v>
      </c>
      <c r="N90" s="62" t="e">
        <f ca="1">VLOOKUP($B90,Matrix!$H$13:$I$37,2,FALSE)&amp;"_"&amp;C90</f>
        <v>#N/A</v>
      </c>
      <c r="O90" s="116" t="e">
        <f t="shared" ca="1" si="3"/>
        <v>#N/A</v>
      </c>
    </row>
    <row r="91" spans="2:15">
      <c r="B91" s="24"/>
      <c r="C91" s="23"/>
      <c r="D91" s="108"/>
      <c r="E91" s="24"/>
      <c r="F91" s="109"/>
      <c r="G91" s="24"/>
      <c r="H91" s="109"/>
      <c r="I91" s="24"/>
      <c r="J91" s="109"/>
      <c r="K91" s="24"/>
      <c r="L91" s="109"/>
      <c r="M91" s="41" t="e">
        <f t="shared" ca="1" si="4"/>
        <v>#N/A</v>
      </c>
      <c r="N91" s="62" t="e">
        <f ca="1">VLOOKUP($B91,Matrix!$H$13:$I$37,2,FALSE)&amp;"_"&amp;C91</f>
        <v>#N/A</v>
      </c>
      <c r="O91" s="116" t="e">
        <f t="shared" ca="1" si="3"/>
        <v>#N/A</v>
      </c>
    </row>
    <row r="92" spans="2:15">
      <c r="B92" s="24"/>
      <c r="C92" s="23"/>
      <c r="D92" s="108"/>
      <c r="E92" s="24"/>
      <c r="F92" s="109"/>
      <c r="G92" s="24"/>
      <c r="H92" s="109"/>
      <c r="I92" s="24"/>
      <c r="J92" s="109"/>
      <c r="K92" s="24"/>
      <c r="L92" s="109"/>
      <c r="M92" s="41" t="e">
        <f t="shared" ca="1" si="4"/>
        <v>#N/A</v>
      </c>
      <c r="N92" s="62" t="e">
        <f ca="1">VLOOKUP($B92,Matrix!$H$13:$I$37,2,FALSE)&amp;"_"&amp;C92</f>
        <v>#N/A</v>
      </c>
      <c r="O92" s="116" t="e">
        <f t="shared" ca="1" si="3"/>
        <v>#N/A</v>
      </c>
    </row>
    <row r="93" spans="2:15">
      <c r="B93" s="24"/>
      <c r="C93" s="23"/>
      <c r="D93" s="108"/>
      <c r="E93" s="24"/>
      <c r="F93" s="109"/>
      <c r="G93" s="24"/>
      <c r="H93" s="109"/>
      <c r="I93" s="24"/>
      <c r="J93" s="109"/>
      <c r="K93" s="24"/>
      <c r="L93" s="109"/>
      <c r="M93" s="41" t="e">
        <f t="shared" ca="1" si="4"/>
        <v>#N/A</v>
      </c>
      <c r="N93" s="62" t="e">
        <f ca="1">VLOOKUP($B93,Matrix!$H$13:$I$37,2,FALSE)&amp;"_"&amp;C93</f>
        <v>#N/A</v>
      </c>
      <c r="O93" s="116" t="e">
        <f t="shared" ca="1" si="3"/>
        <v>#N/A</v>
      </c>
    </row>
    <row r="94" spans="2:15">
      <c r="B94" s="24"/>
      <c r="C94" s="23"/>
      <c r="D94" s="108"/>
      <c r="E94" s="24"/>
      <c r="F94" s="109"/>
      <c r="G94" s="24"/>
      <c r="H94" s="109"/>
      <c r="I94" s="24"/>
      <c r="J94" s="109"/>
      <c r="K94" s="24"/>
      <c r="L94" s="109"/>
      <c r="M94" s="41" t="e">
        <f t="shared" ca="1" si="4"/>
        <v>#N/A</v>
      </c>
      <c r="N94" s="62" t="e">
        <f ca="1">VLOOKUP($B94,Matrix!$H$13:$I$37,2,FALSE)&amp;"_"&amp;C94</f>
        <v>#N/A</v>
      </c>
      <c r="O94" s="116" t="e">
        <f t="shared" ca="1" si="3"/>
        <v>#N/A</v>
      </c>
    </row>
    <row r="95" spans="2:15">
      <c r="B95" s="24"/>
      <c r="C95" s="23"/>
      <c r="D95" s="108"/>
      <c r="E95" s="24"/>
      <c r="F95" s="109"/>
      <c r="G95" s="24"/>
      <c r="H95" s="109"/>
      <c r="I95" s="24"/>
      <c r="J95" s="109"/>
      <c r="K95" s="24"/>
      <c r="L95" s="109"/>
      <c r="M95" s="41" t="e">
        <f t="shared" ca="1" si="4"/>
        <v>#N/A</v>
      </c>
      <c r="N95" s="62" t="e">
        <f ca="1">VLOOKUP($B95,Matrix!$H$13:$I$37,2,FALSE)&amp;"_"&amp;C95</f>
        <v>#N/A</v>
      </c>
      <c r="O95" s="116" t="e">
        <f t="shared" ca="1" si="3"/>
        <v>#N/A</v>
      </c>
    </row>
    <row r="96" spans="2:15">
      <c r="B96" s="24"/>
      <c r="C96" s="23"/>
      <c r="D96" s="108"/>
      <c r="E96" s="24"/>
      <c r="F96" s="109"/>
      <c r="G96" s="24"/>
      <c r="H96" s="109"/>
      <c r="I96" s="24"/>
      <c r="J96" s="109"/>
      <c r="K96" s="24"/>
      <c r="L96" s="109"/>
      <c r="M96" s="41" t="e">
        <f t="shared" ca="1" si="4"/>
        <v>#N/A</v>
      </c>
      <c r="N96" s="62" t="e">
        <f ca="1">VLOOKUP($B96,Matrix!$H$13:$I$37,2,FALSE)&amp;"_"&amp;C96</f>
        <v>#N/A</v>
      </c>
      <c r="O96" s="116" t="e">
        <f t="shared" ca="1" si="3"/>
        <v>#N/A</v>
      </c>
    </row>
    <row r="97" spans="2:15">
      <c r="B97" s="24"/>
      <c r="C97" s="23"/>
      <c r="D97" s="108"/>
      <c r="E97" s="24"/>
      <c r="F97" s="109"/>
      <c r="G97" s="24"/>
      <c r="H97" s="109"/>
      <c r="I97" s="24"/>
      <c r="J97" s="109"/>
      <c r="K97" s="24"/>
      <c r="L97" s="109"/>
      <c r="M97" s="41" t="e">
        <f t="shared" ca="1" si="4"/>
        <v>#N/A</v>
      </c>
      <c r="N97" s="62" t="e">
        <f ca="1">VLOOKUP($B97,Matrix!$H$13:$I$37,2,FALSE)&amp;"_"&amp;C97</f>
        <v>#N/A</v>
      </c>
      <c r="O97" s="116" t="e">
        <f t="shared" ca="1" si="3"/>
        <v>#N/A</v>
      </c>
    </row>
    <row r="98" spans="2:15">
      <c r="B98" s="24"/>
      <c r="C98" s="23"/>
      <c r="D98" s="108"/>
      <c r="E98" s="24"/>
      <c r="F98" s="109"/>
      <c r="G98" s="24"/>
      <c r="H98" s="109"/>
      <c r="I98" s="24"/>
      <c r="J98" s="109"/>
      <c r="K98" s="24"/>
      <c r="L98" s="109"/>
      <c r="M98" s="41" t="e">
        <f t="shared" ca="1" si="4"/>
        <v>#N/A</v>
      </c>
      <c r="N98" s="62" t="e">
        <f ca="1">VLOOKUP($B98,Matrix!$H$13:$I$37,2,FALSE)&amp;"_"&amp;C98</f>
        <v>#N/A</v>
      </c>
      <c r="O98" s="116" t="e">
        <f t="shared" ca="1" si="3"/>
        <v>#N/A</v>
      </c>
    </row>
    <row r="99" spans="2:15">
      <c r="B99" s="24"/>
      <c r="C99" s="23"/>
      <c r="D99" s="108"/>
      <c r="E99" s="24"/>
      <c r="F99" s="109"/>
      <c r="G99" s="24"/>
      <c r="H99" s="109"/>
      <c r="I99" s="24"/>
      <c r="J99" s="109"/>
      <c r="K99" s="24"/>
      <c r="L99" s="109"/>
      <c r="M99" s="41" t="e">
        <f t="shared" ca="1" si="4"/>
        <v>#N/A</v>
      </c>
      <c r="N99" s="62" t="e">
        <f ca="1">VLOOKUP($B99,Matrix!$H$13:$I$37,2,FALSE)&amp;"_"&amp;C99</f>
        <v>#N/A</v>
      </c>
      <c r="O99" s="116" t="e">
        <f t="shared" ca="1" si="3"/>
        <v>#N/A</v>
      </c>
    </row>
    <row r="100" spans="2:15">
      <c r="B100" s="24"/>
      <c r="C100" s="23"/>
      <c r="D100" s="108"/>
      <c r="E100" s="24"/>
      <c r="F100" s="109"/>
      <c r="G100" s="24"/>
      <c r="H100" s="109"/>
      <c r="I100" s="24"/>
      <c r="J100" s="109"/>
      <c r="K100" s="24"/>
      <c r="L100" s="109"/>
      <c r="M100" s="41" t="e">
        <f t="shared" ca="1" si="4"/>
        <v>#N/A</v>
      </c>
      <c r="N100" s="62" t="e">
        <f ca="1">VLOOKUP($B100,Matrix!$H$13:$I$37,2,FALSE)&amp;"_"&amp;C100</f>
        <v>#N/A</v>
      </c>
      <c r="O100" s="116" t="e">
        <f t="shared" ref="O100:O103" ca="1" si="5">"#define "&amp;N100&amp;REPT(" ",48-M100)&amp;"("&amp;D100&amp;"U)"</f>
        <v>#N/A</v>
      </c>
    </row>
    <row r="101" spans="2:15">
      <c r="B101" s="24"/>
      <c r="C101" s="23"/>
      <c r="D101" s="108"/>
      <c r="E101" s="24"/>
      <c r="F101" s="109"/>
      <c r="G101" s="24"/>
      <c r="H101" s="109"/>
      <c r="I101" s="24"/>
      <c r="J101" s="109"/>
      <c r="K101" s="24"/>
      <c r="L101" s="109"/>
      <c r="M101" s="41" t="e">
        <f t="shared" ca="1" si="4"/>
        <v>#N/A</v>
      </c>
      <c r="N101" s="62" t="e">
        <f ca="1">VLOOKUP($B101,Matrix!$H$13:$I$37,2,FALSE)&amp;"_"&amp;C101</f>
        <v>#N/A</v>
      </c>
      <c r="O101" s="116" t="e">
        <f t="shared" ca="1" si="5"/>
        <v>#N/A</v>
      </c>
    </row>
    <row r="102" spans="2:15">
      <c r="B102" s="24"/>
      <c r="C102" s="23"/>
      <c r="D102" s="108"/>
      <c r="E102" s="24"/>
      <c r="F102" s="109"/>
      <c r="G102" s="24"/>
      <c r="H102" s="109"/>
      <c r="I102" s="24"/>
      <c r="J102" s="109"/>
      <c r="K102" s="24"/>
      <c r="L102" s="109"/>
      <c r="M102" s="41" t="e">
        <f t="shared" ca="1" si="4"/>
        <v>#N/A</v>
      </c>
      <c r="N102" s="62" t="e">
        <f ca="1">VLOOKUP($B102,Matrix!$H$13:$I$37,2,FALSE)&amp;"_"&amp;C102</f>
        <v>#N/A</v>
      </c>
      <c r="O102" s="116" t="e">
        <f t="shared" ca="1" si="5"/>
        <v>#N/A</v>
      </c>
    </row>
    <row r="103" spans="2:15" ht="13.5" thickBot="1">
      <c r="B103" s="47"/>
      <c r="C103" s="48"/>
      <c r="D103" s="110"/>
      <c r="E103" s="47"/>
      <c r="F103" s="111"/>
      <c r="G103" s="47"/>
      <c r="H103" s="111"/>
      <c r="I103" s="47"/>
      <c r="J103" s="111"/>
      <c r="K103" s="47"/>
      <c r="L103" s="111"/>
      <c r="M103" s="49" t="e">
        <f t="shared" ca="1" si="4"/>
        <v>#N/A</v>
      </c>
      <c r="N103" s="63" t="e">
        <f ca="1">VLOOKUP($B103,Matrix!$H$13:$I$37,2,FALSE)&amp;"_"&amp;C103</f>
        <v>#N/A</v>
      </c>
      <c r="O103" s="117" t="e">
        <f t="shared" ca="1" si="5"/>
        <v>#N/A</v>
      </c>
    </row>
  </sheetData>
  <sheetProtection sheet="1" objects="1" scenarios="1"/>
  <protectedRanges>
    <protectedRange sqref="B4:L103" name="範囲1"/>
  </protectedRanges>
  <phoneticPr fontId="2"/>
  <conditionalFormatting sqref="M4:M103">
    <cfRule type="cellIs" dxfId="175" priority="2" operator="greaterThan">
      <formula>32</formula>
    </cfRule>
  </conditionalFormatting>
  <conditionalFormatting sqref="M3">
    <cfRule type="cellIs" dxfId="17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8" t="s">
        <v>120</v>
      </c>
      <c r="C2" s="326"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28" t="s">
        <v>51</v>
      </c>
    </row>
    <row r="3" spans="1:49" ht="213" customHeight="1" thickBot="1">
      <c r="B3" s="194" t="str">
        <f>IF(OR(IF(COUNTIF(D6:AC69,"0")&lt;&gt;0,TRUE,FALSE),IF(COUNTIF(D6:AC69,"1")&lt;&gt;0,TRUE,FALSE)),"Search Table","Index Table")</f>
        <v>Index Table</v>
      </c>
      <c r="C3" s="327"/>
      <c r="D3" s="120" t="s">
        <v>61</v>
      </c>
      <c r="E3" s="120" t="s">
        <v>66</v>
      </c>
      <c r="F3" s="120" t="s">
        <v>49</v>
      </c>
      <c r="G3" s="120" t="s">
        <v>48</v>
      </c>
      <c r="H3" s="120" t="s">
        <v>118</v>
      </c>
      <c r="I3" s="120" t="s">
        <v>117</v>
      </c>
      <c r="J3" s="120" t="s">
        <v>122</v>
      </c>
      <c r="K3" s="120" t="s">
        <v>121</v>
      </c>
      <c r="L3" s="121" t="s">
        <v>66</v>
      </c>
      <c r="M3" s="121" t="s">
        <v>62</v>
      </c>
      <c r="N3" s="121" t="s">
        <v>62</v>
      </c>
      <c r="O3" s="121" t="s">
        <v>62</v>
      </c>
      <c r="P3" s="121" t="s">
        <v>62</v>
      </c>
      <c r="Q3" s="121" t="s">
        <v>62</v>
      </c>
      <c r="R3" s="121" t="s">
        <v>62</v>
      </c>
      <c r="S3" s="121" t="s">
        <v>62</v>
      </c>
      <c r="T3" s="121" t="s">
        <v>62</v>
      </c>
      <c r="U3" s="121" t="s">
        <v>62</v>
      </c>
      <c r="V3" s="121" t="s">
        <v>62</v>
      </c>
      <c r="W3" s="121" t="s">
        <v>62</v>
      </c>
      <c r="X3" s="121" t="s">
        <v>62</v>
      </c>
      <c r="Y3" s="121" t="s">
        <v>62</v>
      </c>
      <c r="Z3" s="121" t="s">
        <v>62</v>
      </c>
      <c r="AA3" s="121" t="s">
        <v>62</v>
      </c>
      <c r="AB3" s="121" t="s">
        <v>62</v>
      </c>
      <c r="AC3" s="121" t="s">
        <v>62</v>
      </c>
      <c r="AD3" s="121" t="s">
        <v>62</v>
      </c>
      <c r="AE3" s="121" t="s">
        <v>62</v>
      </c>
      <c r="AF3" s="120" t="s">
        <v>122</v>
      </c>
      <c r="AG3" s="190" t="s">
        <v>266</v>
      </c>
      <c r="AH3" s="330" t="s">
        <v>272</v>
      </c>
      <c r="AI3" s="331"/>
      <c r="AJ3" s="329"/>
      <c r="AR3" s="86" t="s">
        <v>93</v>
      </c>
    </row>
    <row r="4" spans="1:49" ht="13.5" thickBot="1">
      <c r="A4" s="332" t="s">
        <v>63</v>
      </c>
      <c r="B4" s="333"/>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23"/>
      <c r="AR4" s="74" t="s">
        <v>79</v>
      </c>
      <c r="AS4" s="75"/>
      <c r="AT4" s="75"/>
      <c r="AU4" s="75"/>
      <c r="AV4" s="75"/>
      <c r="AW4" s="76"/>
    </row>
    <row r="5" spans="1:49" ht="13.5" thickBot="1">
      <c r="A5" s="334"/>
      <c r="B5" s="335"/>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24"/>
      <c r="AR5" s="77" t="str">
        <f ca="1">"static const U4  "&amp;AW8&amp;"["&amp;AW10&amp;"]"&amp;" = {"</f>
        <v>static const U4  u4_sp_ALERT_B_ESWUOC_BCB_CRIT[ALERT_B_ESWUOC_BCB_NUM_DST] = {</v>
      </c>
      <c r="AS5" s="77" t="str">
        <f ca="1">"static const U4  "&amp;$AW$9&amp;"["&amp;$AW$10&amp;"] = {"</f>
        <v>static const U4  u4_sp_ALERT_B_ESWUOC_BCB_MASK[ALERT_B_ESWUOC_BCB_NUM_DST] = {</v>
      </c>
      <c r="AT5" s="77" t="str">
        <f ca="1">"static const U1  "&amp;$AW$11&amp;"["&amp;$AW$10&amp;"] = {"</f>
        <v>static const U1  u1_sp_ALERT_B_ESWUOC_BCB_DST[ALERT_B_ESWUOC_BCB_NUM_DST] = {</v>
      </c>
      <c r="AU5" s="77" t="str">
        <f ca="1">"const ST_ALERT_MTRX "&amp;$AW$12&amp;" = {"</f>
        <v>const ST_ALERT_MTRX st_gp_ALERT_B_ESWUOC_MTRX[4] = {</v>
      </c>
      <c r="AV5" s="59" t="str">
        <f ca="1">"#define "&amp;AW10&amp;REPT(" ",41-LEN(AW10))&amp;"("&amp;AW13&amp;"U)"</f>
        <v>#define ALERT_B_ESWUOC_BCB_NUM_DST               (16U)</v>
      </c>
      <c r="AW5" s="60"/>
    </row>
    <row r="6" spans="1:49">
      <c r="B6" s="127" t="str">
        <f ca="1">"Table "&amp;$AW$6</f>
        <v>Table BCB</v>
      </c>
      <c r="C6" s="46">
        <f>ROW()-ROW($C$6)</f>
        <v>0</v>
      </c>
      <c r="D6" s="122" t="s">
        <v>67</v>
      </c>
      <c r="E6" s="122" t="s">
        <v>67</v>
      </c>
      <c r="F6" s="122" t="s">
        <v>67</v>
      </c>
      <c r="G6" s="122" t="s">
        <v>67</v>
      </c>
      <c r="H6" s="122" t="s">
        <v>67</v>
      </c>
      <c r="I6" s="122" t="s">
        <v>67</v>
      </c>
      <c r="J6" s="122" t="s">
        <v>67</v>
      </c>
      <c r="K6" s="122" t="s">
        <v>67</v>
      </c>
      <c r="L6" s="122" t="s">
        <v>67</v>
      </c>
      <c r="M6" s="122" t="s">
        <v>67</v>
      </c>
      <c r="N6" s="122" t="s">
        <v>67</v>
      </c>
      <c r="O6" s="122" t="s">
        <v>67</v>
      </c>
      <c r="P6" s="122" t="s">
        <v>67</v>
      </c>
      <c r="Q6" s="122" t="s">
        <v>67</v>
      </c>
      <c r="R6" s="122" t="s">
        <v>67</v>
      </c>
      <c r="S6" s="122" t="s">
        <v>67</v>
      </c>
      <c r="T6" s="122" t="s">
        <v>67</v>
      </c>
      <c r="U6" s="122" t="s">
        <v>67</v>
      </c>
      <c r="V6" s="122" t="s">
        <v>67</v>
      </c>
      <c r="W6" s="122" t="s">
        <v>67</v>
      </c>
      <c r="X6" s="122" t="s">
        <v>67</v>
      </c>
      <c r="Y6" s="122" t="s">
        <v>67</v>
      </c>
      <c r="Z6" s="122" t="s">
        <v>67</v>
      </c>
      <c r="AA6" s="122" t="s">
        <v>67</v>
      </c>
      <c r="AB6" s="122" t="s">
        <v>67</v>
      </c>
      <c r="AC6" s="122" t="s">
        <v>67</v>
      </c>
      <c r="AD6" s="122" t="s">
        <v>67</v>
      </c>
      <c r="AE6" s="122" t="s">
        <v>67</v>
      </c>
      <c r="AF6" s="125">
        <v>0</v>
      </c>
      <c r="AG6" s="125">
        <v>0</v>
      </c>
      <c r="AH6" s="125">
        <v>0</v>
      </c>
      <c r="AI6" s="125">
        <v>0</v>
      </c>
      <c r="AJ6" s="45" t="s">
        <v>32</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268</v>
      </c>
      <c r="AV6" s="42" t="s">
        <v>68</v>
      </c>
      <c r="AW6" s="61" t="str">
        <f ca="1">UPPER(RIGHT(CELL("filename",A1),LEN(CELL("filename",A1))-FIND("]",CELL("filename",A1))))</f>
        <v>BCB</v>
      </c>
    </row>
    <row r="7" spans="1:49">
      <c r="B7" s="127"/>
      <c r="C7" s="41">
        <f t="shared" ref="C7:C69" si="2">ROW()-ROW($C$6)</f>
        <v>1</v>
      </c>
      <c r="D7" s="55" t="s">
        <v>67</v>
      </c>
      <c r="E7" s="55" t="s">
        <v>67</v>
      </c>
      <c r="F7" s="55" t="s">
        <v>67</v>
      </c>
      <c r="G7" s="55" t="s">
        <v>67</v>
      </c>
      <c r="H7" s="55" t="s">
        <v>67</v>
      </c>
      <c r="I7" s="55" t="s">
        <v>67</v>
      </c>
      <c r="J7" s="55" t="s">
        <v>67</v>
      </c>
      <c r="K7" s="122"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2" t="s">
        <v>67</v>
      </c>
      <c r="AE7" s="122" t="s">
        <v>67</v>
      </c>
      <c r="AF7" s="125">
        <v>0</v>
      </c>
      <c r="AG7" s="125">
        <v>0</v>
      </c>
      <c r="AH7" s="125">
        <v>0</v>
      </c>
      <c r="AI7" s="125">
        <v>1</v>
      </c>
      <c r="AJ7" s="45" t="s">
        <v>32</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(U4)0x0000000FU,                                                           /* 01 UNKNOWN                                         */</v>
      </c>
      <c r="AT7" s="57" t="str">
        <f t="shared" si="1"/>
        <v xml:space="preserve">    (U1)ALERT_REQ_UNKNOWN,                                                     /* 01 UNKNOWN                                         */</v>
      </c>
      <c r="AU7" s="57" t="str">
        <f ca="1">"        &amp;"&amp;$AW$14&amp;","&amp;REPT(" ",69-LEN($AW$14))&amp;"/* fp_u4_SRC_CHK                                      */"</f>
        <v xml:space="preserve">        &amp;u4_s_AlertB_eswuocBcbSrcchk,                                          /* fp_u4_SRC_CHK                                      */</v>
      </c>
      <c r="AV7" s="43" t="s">
        <v>69</v>
      </c>
      <c r="AW7" s="126">
        <f>IF(B3="Search Table",1,0)</f>
        <v>0</v>
      </c>
    </row>
    <row r="8" spans="1:49">
      <c r="B8" s="127"/>
      <c r="C8" s="41">
        <f t="shared" si="2"/>
        <v>2</v>
      </c>
      <c r="D8" s="55" t="s">
        <v>67</v>
      </c>
      <c r="E8" s="55" t="s">
        <v>67</v>
      </c>
      <c r="F8" s="55" t="s">
        <v>67</v>
      </c>
      <c r="G8" s="55"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55" t="s">
        <v>67</v>
      </c>
      <c r="AE8" s="55" t="s">
        <v>67</v>
      </c>
      <c r="AF8" s="125">
        <v>0</v>
      </c>
      <c r="AG8" s="125">
        <v>0</v>
      </c>
      <c r="AH8" s="125">
        <v>1</v>
      </c>
      <c r="AI8" s="125">
        <v>0</v>
      </c>
      <c r="AJ8" s="45" t="s">
        <v>32</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(void *)NULL,                                                          /* fp_vd_XDST                                         */")</f>
        <v xml:space="preserve">        (void *)NULL,                                                          /* fp_vd_XDST                                         */</v>
      </c>
      <c r="AV8" s="43" t="s">
        <v>70</v>
      </c>
      <c r="AW8" s="62" t="str">
        <f ca="1">"u4_sp_ALERT_"&amp;IF(AW6&lt;&gt;AW17,$AW$17&amp;"_"&amp;$AW$6,AW17)&amp;"_CRIT"</f>
        <v>u4_sp_ALERT_B_ESWUOC_BCB_CRIT</v>
      </c>
    </row>
    <row r="9" spans="1:49">
      <c r="B9" s="127"/>
      <c r="C9" s="41">
        <f t="shared" si="2"/>
        <v>3</v>
      </c>
      <c r="D9" s="55" t="s">
        <v>67</v>
      </c>
      <c r="E9" s="55" t="s">
        <v>67</v>
      </c>
      <c r="F9" s="55" t="s">
        <v>67</v>
      </c>
      <c r="G9" s="55"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55" t="s">
        <v>67</v>
      </c>
      <c r="AE9" s="55" t="s">
        <v>67</v>
      </c>
      <c r="AF9" s="125">
        <v>0</v>
      </c>
      <c r="AG9" s="125">
        <v>0</v>
      </c>
      <c r="AH9" s="125">
        <v>1</v>
      </c>
      <c r="AI9" s="125">
        <v>1</v>
      </c>
      <c r="AJ9" s="45" t="s">
        <v>32</v>
      </c>
      <c r="AL9" t="str">
        <f t="shared" si="0"/>
        <v xml:space="preserve">    (U1)ALERT_REQ_UNKNOWN</v>
      </c>
      <c r="AR9" s="57" t="str">
        <f t="shared" si="3"/>
        <v xml:space="preserve">    (U4)0x00000003U,                                                           /* 03 UNKNOWN                                         */</v>
      </c>
      <c r="AS9" s="57" t="str">
        <f t="shared" si="4"/>
        <v xml:space="preserve">    (U4)0x0000000FU,                                                           /* 03 UNKNOWN                                         */</v>
      </c>
      <c r="AT9" s="57" t="str">
        <f t="shared" si="1"/>
        <v xml:space="preserve">    (U1)ALERT_REQ_UNKNOWN,                                                     /* 03 UNKNOWN                                         */</v>
      </c>
      <c r="AU9" s="57"/>
      <c r="AV9" s="43" t="s">
        <v>71</v>
      </c>
      <c r="AW9" s="62" t="str">
        <f ca="1">"u4_sp_ALERT_"&amp;IF(AW6&lt;&gt;AW17,$AW$17&amp;"_"&amp;$AW$6,AW17)&amp;"_MASK"</f>
        <v>u4_sp_ALERT_B_ESWUOC_BCB_MASK</v>
      </c>
    </row>
    <row r="10" spans="1:49">
      <c r="B10" s="127"/>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55" t="s">
        <v>67</v>
      </c>
      <c r="AE10" s="55" t="s">
        <v>67</v>
      </c>
      <c r="AF10" s="125">
        <v>0</v>
      </c>
      <c r="AG10" s="125">
        <v>1</v>
      </c>
      <c r="AH10" s="125">
        <v>0</v>
      </c>
      <c r="AI10" s="125">
        <v>0</v>
      </c>
      <c r="AJ10" s="45" t="s">
        <v>105</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*)NULL,                                                      /* u4p_MASK                                           */")</f>
        <v xml:space="preserve">        (const U4 *)NULL,                                                      /* u4p_MASK                                           */</v>
      </c>
      <c r="AV10" s="43" t="s">
        <v>72</v>
      </c>
      <c r="AW10" s="62" t="str">
        <f ca="1">"ALERT_"&amp;IF(AW6&lt;&gt;AW17,$AW$17&amp;"_"&amp;$AW$6,AW17)&amp;"_NUM_DST"</f>
        <v>ALERT_B_ESWUOC_BCB_NUM_DST</v>
      </c>
    </row>
    <row r="11" spans="1:49">
      <c r="B11" s="127"/>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55" t="s">
        <v>67</v>
      </c>
      <c r="AE11" s="55" t="s">
        <v>67</v>
      </c>
      <c r="AF11" s="125">
        <v>0</v>
      </c>
      <c r="AG11" s="125">
        <v>1</v>
      </c>
      <c r="AH11" s="125">
        <v>0</v>
      </c>
      <c r="AI11" s="125">
        <v>1</v>
      </c>
      <c r="AJ11" s="45" t="s">
        <v>32</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*)NULL,                                                      /* u4p_CRIT                                           */")</f>
        <v xml:space="preserve">        (const U4 *)NULL,                                                      /* u4p_CRIT                                           */</v>
      </c>
      <c r="AV11" s="43" t="s">
        <v>73</v>
      </c>
      <c r="AW11" s="62" t="str">
        <f ca="1">"u1_sp_ALERT_"&amp;IF(AW6&lt;&gt;AW17,$AW$17&amp;"_"&amp;$AW$6,AW17)&amp;"_DST"</f>
        <v>u1_sp_ALERT_B_ESWUOC_BCB_DST</v>
      </c>
    </row>
    <row r="12" spans="1:49">
      <c r="B12" s="127"/>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55" t="s">
        <v>67</v>
      </c>
      <c r="AE12" s="55" t="s">
        <v>67</v>
      </c>
      <c r="AF12" s="125">
        <v>0</v>
      </c>
      <c r="AG12" s="125">
        <v>1</v>
      </c>
      <c r="AH12" s="125">
        <v>1</v>
      </c>
      <c r="AI12" s="125">
        <v>0</v>
      </c>
      <c r="AJ12" s="45" t="s">
        <v>32</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85</v>
      </c>
      <c r="AW12" s="62" t="str">
        <f ca="1">Matrix!D8&amp;"["&amp;Matrix!D7&amp;"]"</f>
        <v>st_gp_ALERT_B_ESWUOC_MTRX[4]</v>
      </c>
    </row>
    <row r="13" spans="1:49">
      <c r="B13" s="127"/>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55" t="s">
        <v>67</v>
      </c>
      <c r="AE13" s="55" t="s">
        <v>67</v>
      </c>
      <c r="AF13" s="125">
        <v>0</v>
      </c>
      <c r="AG13" s="125">
        <v>1</v>
      </c>
      <c r="AH13" s="125">
        <v>1</v>
      </c>
      <c r="AI13" s="125">
        <v>1</v>
      </c>
      <c r="AJ13" s="45" t="s">
        <v>32</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&amp;u1_sp_ALERT_B_ESWUOC_BCB_DST[0],                                      /* u1p_DST                                            */</v>
      </c>
      <c r="AV13" s="43" t="s">
        <v>74</v>
      </c>
      <c r="AW13" s="126">
        <f>COUNTA($AJ$6:$AJ$69)</f>
        <v>16</v>
      </c>
    </row>
    <row r="14" spans="1:49">
      <c r="B14" s="127"/>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55" t="s">
        <v>67</v>
      </c>
      <c r="AE14" s="55" t="s">
        <v>67</v>
      </c>
      <c r="AF14" s="125">
        <v>1</v>
      </c>
      <c r="AG14" s="125">
        <v>0</v>
      </c>
      <c r="AH14" s="125">
        <v>0</v>
      </c>
      <c r="AI14" s="125">
        <v>0</v>
      </c>
      <c r="AJ14" s="45" t="s">
        <v>32</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(U2)ALERT_B_ESWUOC_BCB_NUM_DST,                                        /* u2_num_srch                                        */</v>
      </c>
      <c r="AV14" s="43" t="s">
        <v>75</v>
      </c>
      <c r="AW14" s="62" t="str">
        <f ca="1">IF(AW6&lt;&gt;AW17,VLOOKUP(AW6,Matrix!$C$13:$G$37,4,FALSE),Matrix!F13)</f>
        <v>u4_s_AlertB_eswuocBcbSrcchk</v>
      </c>
    </row>
    <row r="15" spans="1:49">
      <c r="B15" s="127"/>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t="s">
        <v>67</v>
      </c>
      <c r="AE15" s="55" t="s">
        <v>67</v>
      </c>
      <c r="AF15" s="125">
        <v>1</v>
      </c>
      <c r="AG15" s="125">
        <v>0</v>
      </c>
      <c r="AH15" s="125">
        <v>0</v>
      </c>
      <c r="AI15" s="125">
        <v>1</v>
      </c>
      <c r="AJ15" s="45" t="s">
        <v>32</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(U1)ALERT_VOM_BAT_WT                                                   /* u1_vom_act                                         */</v>
      </c>
      <c r="AV15" s="43" t="s">
        <v>78</v>
      </c>
      <c r="AW15" s="62" t="str">
        <f ca="1">IF(AW6&lt;&gt;AW17,VLOOKUP(AW6,Matrix!$C$13:$G$37,5,FALSE),Matrix!G13)</f>
        <v>NULL</v>
      </c>
    </row>
    <row r="16" spans="1:49">
      <c r="B16" s="127"/>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t="s">
        <v>67</v>
      </c>
      <c r="AE16" s="55" t="s">
        <v>67</v>
      </c>
      <c r="AF16" s="125">
        <v>1</v>
      </c>
      <c r="AG16" s="125">
        <v>0</v>
      </c>
      <c r="AH16" s="125">
        <v>1</v>
      </c>
      <c r="AI16" s="125">
        <v>0</v>
      </c>
      <c r="AJ16" s="45" t="s">
        <v>32</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269</v>
      </c>
      <c r="AV16" s="43" t="s">
        <v>76</v>
      </c>
      <c r="AW16" s="62" t="str">
        <f ca="1">IF(AW6&lt;&gt;AW17,VLOOKUP(AW6,Matrix!$C$13:$G$37,2,FALSE),Matrix!D13)</f>
        <v>ALERT_VOM_BAT_WT</v>
      </c>
    </row>
    <row r="17" spans="2:49" ht="13.5" thickBot="1">
      <c r="B17" s="127"/>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t="s">
        <v>67</v>
      </c>
      <c r="AE17" s="55" t="s">
        <v>67</v>
      </c>
      <c r="AF17" s="125">
        <v>1</v>
      </c>
      <c r="AG17" s="125">
        <v>0</v>
      </c>
      <c r="AH17" s="125">
        <v>1</v>
      </c>
      <c r="AI17" s="125">
        <v>1</v>
      </c>
      <c r="AJ17" s="45" t="s">
        <v>302</v>
      </c>
      <c r="AL17" t="str">
        <f t="shared" ca="1" si="0"/>
        <v xml:space="preserve">    (U1)ALERT_REQ_B_ESWUOC_BCB_DOUBLE</v>
      </c>
      <c r="AR17" s="57" t="str">
        <f t="shared" si="3"/>
        <v xml:space="preserve">    (U4)0x0000000BU,                                                           /* 11 DOUBLE                                          */</v>
      </c>
      <c r="AS17" s="57" t="str">
        <f t="shared" si="4"/>
        <v xml:space="preserve">    (U4)0x0000000FU,                                                           /* 11 DOUBLE                                          */</v>
      </c>
      <c r="AT17" s="57" t="str">
        <f t="shared" ca="1" si="1"/>
        <v xml:space="preserve">    (U1)ALERT_REQ_B_ESWUOC_BCB_DOUBLE,                                         /* 11 DOUBLE                                          */</v>
      </c>
      <c r="AU17" s="58" t="s">
        <v>270</v>
      </c>
      <c r="AV17" s="44" t="s">
        <v>77</v>
      </c>
      <c r="AW17" s="63" t="str">
        <f ca="1">UPPER(Matrix!$D$6)</f>
        <v>B_ESWUOC</v>
      </c>
    </row>
    <row r="18" spans="2:49">
      <c r="B18" s="127"/>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t="s">
        <v>67</v>
      </c>
      <c r="AE18" s="55" t="s">
        <v>67</v>
      </c>
      <c r="AF18" s="125">
        <v>1</v>
      </c>
      <c r="AG18" s="125">
        <v>1</v>
      </c>
      <c r="AH18" s="125">
        <v>0</v>
      </c>
      <c r="AI18" s="125">
        <v>0</v>
      </c>
      <c r="AJ18" s="45" t="s">
        <v>32</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27"/>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t="s">
        <v>67</v>
      </c>
      <c r="AE19" s="55" t="s">
        <v>67</v>
      </c>
      <c r="AF19" s="125">
        <v>1</v>
      </c>
      <c r="AG19" s="125">
        <v>1</v>
      </c>
      <c r="AH19" s="125">
        <v>0</v>
      </c>
      <c r="AI19" s="125">
        <v>1</v>
      </c>
      <c r="AJ19" s="45" t="s">
        <v>32</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2:49">
      <c r="B20" s="127"/>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t="s">
        <v>67</v>
      </c>
      <c r="AE20" s="55" t="s">
        <v>67</v>
      </c>
      <c r="AF20" s="125">
        <v>1</v>
      </c>
      <c r="AG20" s="125">
        <v>1</v>
      </c>
      <c r="AH20" s="125">
        <v>1</v>
      </c>
      <c r="AI20" s="125">
        <v>0</v>
      </c>
      <c r="AJ20" s="45" t="s">
        <v>32</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2:49">
      <c r="B21" s="127"/>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t="s">
        <v>67</v>
      </c>
      <c r="AE21" s="55" t="s">
        <v>67</v>
      </c>
      <c r="AF21" s="125">
        <v>1</v>
      </c>
      <c r="AG21" s="125">
        <v>1</v>
      </c>
      <c r="AH21" s="125">
        <v>1</v>
      </c>
      <c r="AI21" s="125">
        <v>1</v>
      </c>
      <c r="AJ21" s="45" t="s">
        <v>32</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2:49">
      <c r="B22" s="127"/>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t="s">
        <v>67</v>
      </c>
      <c r="AE22" s="55" t="s">
        <v>67</v>
      </c>
      <c r="AF22" s="55" t="s">
        <v>267</v>
      </c>
      <c r="AG22" s="55" t="s">
        <v>67</v>
      </c>
      <c r="AH22" s="55" t="s">
        <v>67</v>
      </c>
      <c r="AI22" s="55" t="s">
        <v>67</v>
      </c>
      <c r="AJ22" s="45"/>
      <c r="AL22" t="str">
        <f t="shared" ca="1" si="0"/>
        <v xml:space="preserve">    (U1)ALERT_REQ_B_ESWUOC_BCB_</v>
      </c>
      <c r="AR22" s="57" t="str">
        <f t="shared" si="3"/>
        <v>};</v>
      </c>
      <c r="AS22" s="57" t="str">
        <f t="shared" si="4"/>
        <v>};</v>
      </c>
      <c r="AT22" s="57" t="str">
        <f t="shared" si="1"/>
        <v>};</v>
      </c>
    </row>
    <row r="23" spans="2:49">
      <c r="B23" s="127"/>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t="s">
        <v>67</v>
      </c>
      <c r="AE23" s="55" t="s">
        <v>67</v>
      </c>
      <c r="AF23" s="55" t="s">
        <v>67</v>
      </c>
      <c r="AG23" s="55" t="s">
        <v>67</v>
      </c>
      <c r="AH23" s="55" t="s">
        <v>67</v>
      </c>
      <c r="AI23" s="55" t="s">
        <v>67</v>
      </c>
      <c r="AJ23" s="45"/>
      <c r="AL23" t="str">
        <f t="shared" ca="1" si="0"/>
        <v xml:space="preserve">    (U1)ALERT_REQ_B_ESWUOC_BCB_</v>
      </c>
      <c r="AR23" s="57" t="str">
        <f t="shared" si="3"/>
        <v/>
      </c>
      <c r="AS23" s="57" t="str">
        <f t="shared" si="4"/>
        <v/>
      </c>
      <c r="AT23" s="57" t="str">
        <f t="shared" si="1"/>
        <v/>
      </c>
    </row>
    <row r="24" spans="2:49">
      <c r="B24" s="127"/>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t="s">
        <v>67</v>
      </c>
      <c r="AE24" s="55" t="s">
        <v>67</v>
      </c>
      <c r="AF24" s="55" t="s">
        <v>67</v>
      </c>
      <c r="AG24" s="55" t="s">
        <v>67</v>
      </c>
      <c r="AH24" s="55" t="s">
        <v>67</v>
      </c>
      <c r="AI24" s="55" t="s">
        <v>67</v>
      </c>
      <c r="AJ24" s="45"/>
      <c r="AL24" t="str">
        <f t="shared" ca="1" si="0"/>
        <v xml:space="preserve">    (U1)ALERT_REQ_B_ESWUOC_BCB_</v>
      </c>
      <c r="AR24" s="57" t="str">
        <f t="shared" si="3"/>
        <v/>
      </c>
      <c r="AS24" s="57" t="str">
        <f t="shared" si="4"/>
        <v/>
      </c>
      <c r="AT24" s="57" t="str">
        <f t="shared" si="1"/>
        <v/>
      </c>
    </row>
    <row r="25" spans="2:49">
      <c r="B25" s="127"/>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t="s">
        <v>67</v>
      </c>
      <c r="AE25" s="55" t="s">
        <v>67</v>
      </c>
      <c r="AF25" s="55" t="s">
        <v>67</v>
      </c>
      <c r="AG25" s="55" t="s">
        <v>67</v>
      </c>
      <c r="AH25" s="55" t="s">
        <v>67</v>
      </c>
      <c r="AI25" s="55" t="s">
        <v>67</v>
      </c>
      <c r="AJ25" s="45"/>
      <c r="AL25" t="str">
        <f t="shared" ca="1" si="0"/>
        <v xml:space="preserve">    (U1)ALERT_REQ_B_ESWUOC_BCB_</v>
      </c>
      <c r="AR25" s="57" t="str">
        <f t="shared" si="3"/>
        <v/>
      </c>
      <c r="AS25" s="57" t="str">
        <f t="shared" si="4"/>
        <v/>
      </c>
      <c r="AT25" s="57" t="str">
        <f t="shared" si="1"/>
        <v/>
      </c>
    </row>
    <row r="26" spans="2:49">
      <c r="B26" s="127"/>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t="s">
        <v>67</v>
      </c>
      <c r="AE26" s="55" t="s">
        <v>67</v>
      </c>
      <c r="AF26" s="55" t="s">
        <v>67</v>
      </c>
      <c r="AG26" s="55" t="s">
        <v>67</v>
      </c>
      <c r="AH26" s="55" t="s">
        <v>67</v>
      </c>
      <c r="AI26" s="55" t="s">
        <v>67</v>
      </c>
      <c r="AJ26" s="45"/>
      <c r="AL26" t="str">
        <f t="shared" ca="1" si="0"/>
        <v xml:space="preserve">    (U1)ALERT_REQ_B_ESWUOC_BCB_</v>
      </c>
      <c r="AR26" s="57" t="str">
        <f t="shared" si="3"/>
        <v/>
      </c>
      <c r="AS26" s="57" t="str">
        <f t="shared" si="4"/>
        <v/>
      </c>
      <c r="AT26" s="57" t="str">
        <f t="shared" si="1"/>
        <v/>
      </c>
    </row>
    <row r="27" spans="2:49">
      <c r="B27" s="127"/>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t="s">
        <v>67</v>
      </c>
      <c r="AE27" s="55" t="s">
        <v>67</v>
      </c>
      <c r="AF27" s="55" t="s">
        <v>67</v>
      </c>
      <c r="AG27" s="55" t="s">
        <v>67</v>
      </c>
      <c r="AH27" s="55" t="s">
        <v>67</v>
      </c>
      <c r="AI27" s="55" t="s">
        <v>67</v>
      </c>
      <c r="AJ27" s="45"/>
      <c r="AL27" t="str">
        <f t="shared" ca="1" si="0"/>
        <v xml:space="preserve">    (U1)ALERT_REQ_B_ESWUOC_BCB_</v>
      </c>
      <c r="AR27" s="57" t="str">
        <f t="shared" si="3"/>
        <v/>
      </c>
      <c r="AS27" s="57" t="str">
        <f t="shared" si="4"/>
        <v/>
      </c>
      <c r="AT27" s="57" t="str">
        <f t="shared" si="1"/>
        <v/>
      </c>
    </row>
    <row r="28" spans="2:49">
      <c r="B28" s="127"/>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t="s">
        <v>67</v>
      </c>
      <c r="AE28" s="55" t="s">
        <v>67</v>
      </c>
      <c r="AF28" s="55" t="s">
        <v>67</v>
      </c>
      <c r="AG28" s="55" t="s">
        <v>67</v>
      </c>
      <c r="AH28" s="55" t="s">
        <v>67</v>
      </c>
      <c r="AI28" s="55" t="s">
        <v>67</v>
      </c>
      <c r="AJ28" s="45"/>
      <c r="AL28" t="str">
        <f t="shared" ca="1" si="0"/>
        <v xml:space="preserve">    (U1)ALERT_REQ_B_ESWUOC_BCB_</v>
      </c>
      <c r="AR28" s="57" t="str">
        <f t="shared" si="3"/>
        <v/>
      </c>
      <c r="AS28" s="57" t="str">
        <f t="shared" si="4"/>
        <v/>
      </c>
      <c r="AT28" s="57" t="str">
        <f t="shared" si="1"/>
        <v/>
      </c>
    </row>
    <row r="29" spans="2:49">
      <c r="B29" s="127"/>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t="s">
        <v>67</v>
      </c>
      <c r="AE29" s="55" t="s">
        <v>67</v>
      </c>
      <c r="AF29" s="55" t="s">
        <v>67</v>
      </c>
      <c r="AG29" s="55" t="s">
        <v>67</v>
      </c>
      <c r="AH29" s="55" t="s">
        <v>67</v>
      </c>
      <c r="AI29" s="55" t="s">
        <v>67</v>
      </c>
      <c r="AJ29" s="45"/>
      <c r="AL29" t="str">
        <f t="shared" ca="1" si="0"/>
        <v xml:space="preserve">    (U1)ALERT_REQ_B_ESWUOC_BCB_</v>
      </c>
      <c r="AR29" s="57" t="str">
        <f t="shared" si="3"/>
        <v/>
      </c>
      <c r="AS29" s="57" t="str">
        <f t="shared" si="4"/>
        <v/>
      </c>
      <c r="AT29" s="57" t="str">
        <f t="shared" si="1"/>
        <v/>
      </c>
    </row>
    <row r="30" spans="2:49">
      <c r="B30" s="127"/>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t="s">
        <v>67</v>
      </c>
      <c r="AE30" s="55" t="s">
        <v>67</v>
      </c>
      <c r="AF30" s="55" t="s">
        <v>67</v>
      </c>
      <c r="AG30" s="55" t="s">
        <v>67</v>
      </c>
      <c r="AH30" s="55" t="s">
        <v>67</v>
      </c>
      <c r="AI30" s="55" t="s">
        <v>67</v>
      </c>
      <c r="AJ30" s="45"/>
      <c r="AL30" t="str">
        <f t="shared" ca="1" si="0"/>
        <v xml:space="preserve">    (U1)ALERT_REQ_B_ESWUOC_BCB_</v>
      </c>
      <c r="AR30" s="57" t="str">
        <f t="shared" si="3"/>
        <v/>
      </c>
      <c r="AS30" s="57" t="str">
        <f t="shared" si="4"/>
        <v/>
      </c>
      <c r="AT30" s="57" t="str">
        <f t="shared" si="1"/>
        <v/>
      </c>
    </row>
    <row r="31" spans="2:49">
      <c r="B31" s="127"/>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t="s">
        <v>67</v>
      </c>
      <c r="AE31" s="55" t="s">
        <v>67</v>
      </c>
      <c r="AF31" s="55" t="s">
        <v>67</v>
      </c>
      <c r="AG31" s="55" t="s">
        <v>67</v>
      </c>
      <c r="AH31" s="55" t="s">
        <v>67</v>
      </c>
      <c r="AI31" s="55" t="s">
        <v>67</v>
      </c>
      <c r="AJ31" s="45"/>
      <c r="AL31" t="str">
        <f t="shared" ca="1" si="0"/>
        <v xml:space="preserve">    (U1)ALERT_REQ_B_ESWUOC_BCB_</v>
      </c>
      <c r="AR31" s="57" t="str">
        <f t="shared" si="3"/>
        <v/>
      </c>
      <c r="AS31" s="57" t="str">
        <f t="shared" si="4"/>
        <v/>
      </c>
      <c r="AT31" s="57" t="str">
        <f t="shared" si="1"/>
        <v/>
      </c>
    </row>
    <row r="32" spans="2:49">
      <c r="B32" s="127"/>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t="s">
        <v>67</v>
      </c>
      <c r="AE32" s="55" t="s">
        <v>67</v>
      </c>
      <c r="AF32" s="55" t="s">
        <v>67</v>
      </c>
      <c r="AG32" s="55" t="s">
        <v>67</v>
      </c>
      <c r="AH32" s="55" t="s">
        <v>67</v>
      </c>
      <c r="AI32" s="55" t="s">
        <v>67</v>
      </c>
      <c r="AJ32" s="45"/>
      <c r="AL32" t="str">
        <f t="shared" ca="1" si="0"/>
        <v xml:space="preserve">    (U1)ALERT_REQ_B_ESWUOC_BCB_</v>
      </c>
      <c r="AR32" s="57" t="str">
        <f t="shared" si="3"/>
        <v/>
      </c>
      <c r="AS32" s="57" t="str">
        <f t="shared" si="4"/>
        <v/>
      </c>
      <c r="AT32" s="57" t="str">
        <f t="shared" si="1"/>
        <v/>
      </c>
    </row>
    <row r="33" spans="2:46">
      <c r="B33" s="127"/>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t="s">
        <v>67</v>
      </c>
      <c r="AE33" s="55" t="s">
        <v>67</v>
      </c>
      <c r="AF33" s="55" t="s">
        <v>67</v>
      </c>
      <c r="AG33" s="55" t="s">
        <v>67</v>
      </c>
      <c r="AH33" s="55" t="s">
        <v>67</v>
      </c>
      <c r="AI33" s="55" t="s">
        <v>67</v>
      </c>
      <c r="AJ33" s="45"/>
      <c r="AL33" t="str">
        <f t="shared" ca="1" si="0"/>
        <v xml:space="preserve">    (U1)ALERT_REQ_B_ESWUOC_BCB_</v>
      </c>
      <c r="AR33" s="57" t="str">
        <f t="shared" si="3"/>
        <v/>
      </c>
      <c r="AS33" s="57" t="str">
        <f t="shared" si="4"/>
        <v/>
      </c>
      <c r="AT33" s="57" t="str">
        <f t="shared" si="1"/>
        <v/>
      </c>
    </row>
    <row r="34" spans="2:46">
      <c r="B34" s="127"/>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t="s">
        <v>67</v>
      </c>
      <c r="AE34" s="55" t="s">
        <v>67</v>
      </c>
      <c r="AF34" s="55" t="s">
        <v>67</v>
      </c>
      <c r="AG34" s="55" t="s">
        <v>67</v>
      </c>
      <c r="AH34" s="55" t="s">
        <v>67</v>
      </c>
      <c r="AI34" s="55" t="s">
        <v>67</v>
      </c>
      <c r="AJ34" s="45"/>
      <c r="AL34" t="str">
        <f t="shared" ca="1" si="0"/>
        <v xml:space="preserve">    (U1)ALERT_REQ_B_ESWUOC_BCB_</v>
      </c>
      <c r="AR34" s="57" t="str">
        <f t="shared" si="3"/>
        <v/>
      </c>
      <c r="AS34" s="57" t="str">
        <f t="shared" si="4"/>
        <v/>
      </c>
      <c r="AT34" s="57" t="str">
        <f t="shared" si="1"/>
        <v/>
      </c>
    </row>
    <row r="35" spans="2:46">
      <c r="B35" s="127"/>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t="s">
        <v>67</v>
      </c>
      <c r="AE35" s="55" t="s">
        <v>67</v>
      </c>
      <c r="AF35" s="55" t="s">
        <v>67</v>
      </c>
      <c r="AG35" s="55" t="s">
        <v>67</v>
      </c>
      <c r="AH35" s="55" t="s">
        <v>67</v>
      </c>
      <c r="AI35" s="55" t="s">
        <v>67</v>
      </c>
      <c r="AJ35" s="45"/>
      <c r="AL35" t="str">
        <f t="shared" ca="1" si="0"/>
        <v xml:space="preserve">    (U1)ALERT_REQ_B_ESWUOC_BCB_</v>
      </c>
      <c r="AR35" s="57" t="str">
        <f t="shared" si="3"/>
        <v/>
      </c>
      <c r="AS35" s="57" t="str">
        <f t="shared" si="4"/>
        <v/>
      </c>
      <c r="AT35" s="57" t="str">
        <f t="shared" si="1"/>
        <v/>
      </c>
    </row>
    <row r="36" spans="2:46">
      <c r="B36" s="127"/>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t="s">
        <v>67</v>
      </c>
      <c r="AE36" s="55" t="s">
        <v>67</v>
      </c>
      <c r="AF36" s="55" t="s">
        <v>67</v>
      </c>
      <c r="AG36" s="55" t="s">
        <v>67</v>
      </c>
      <c r="AH36" s="55" t="s">
        <v>67</v>
      </c>
      <c r="AI36" s="55" t="s">
        <v>67</v>
      </c>
      <c r="AJ36" s="45"/>
      <c r="AL36" t="str">
        <f t="shared" ca="1" si="0"/>
        <v xml:space="preserve">    (U1)ALERT_REQ_B_ESWUOC_BCB_</v>
      </c>
      <c r="AR36" s="57" t="str">
        <f t="shared" si="3"/>
        <v/>
      </c>
      <c r="AS36" s="57" t="str">
        <f t="shared" si="4"/>
        <v/>
      </c>
      <c r="AT36" s="57" t="str">
        <f t="shared" si="1"/>
        <v/>
      </c>
    </row>
    <row r="37" spans="2:46">
      <c r="B37" s="127"/>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t="s">
        <v>67</v>
      </c>
      <c r="AE37" s="55" t="s">
        <v>67</v>
      </c>
      <c r="AF37" s="55" t="s">
        <v>67</v>
      </c>
      <c r="AG37" s="55" t="s">
        <v>67</v>
      </c>
      <c r="AH37" s="55" t="s">
        <v>67</v>
      </c>
      <c r="AI37" s="55" t="s">
        <v>67</v>
      </c>
      <c r="AJ37" s="45"/>
      <c r="AL37" t="str">
        <f t="shared" ca="1" si="0"/>
        <v xml:space="preserve">    (U1)ALERT_REQ_B_ESWUOC_BCB_</v>
      </c>
      <c r="AR37" s="57" t="str">
        <f t="shared" si="3"/>
        <v/>
      </c>
      <c r="AS37" s="57" t="str">
        <f t="shared" si="4"/>
        <v/>
      </c>
      <c r="AT37" s="57" t="str">
        <f t="shared" si="1"/>
        <v/>
      </c>
    </row>
    <row r="38" spans="2:46">
      <c r="B38" s="127"/>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t="s">
        <v>67</v>
      </c>
      <c r="AE38" s="55" t="s">
        <v>67</v>
      </c>
      <c r="AF38" s="55" t="s">
        <v>67</v>
      </c>
      <c r="AG38" s="55" t="s">
        <v>67</v>
      </c>
      <c r="AH38" s="55" t="s">
        <v>67</v>
      </c>
      <c r="AI38" s="55" t="s">
        <v>67</v>
      </c>
      <c r="AJ38" s="23"/>
      <c r="AL38" t="str">
        <f t="shared" ca="1" si="0"/>
        <v xml:space="preserve">    (U1)ALERT_REQ_B_ESWUOC_BCB_</v>
      </c>
      <c r="AR38" s="57" t="str">
        <f t="shared" si="3"/>
        <v/>
      </c>
      <c r="AS38" s="57" t="str">
        <f t="shared" si="4"/>
        <v/>
      </c>
      <c r="AT38" s="57" t="str">
        <f t="shared" si="1"/>
        <v/>
      </c>
    </row>
    <row r="39" spans="2:46">
      <c r="B39" s="127"/>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t="s">
        <v>67</v>
      </c>
      <c r="AE39" s="55" t="s">
        <v>67</v>
      </c>
      <c r="AF39" s="55" t="s">
        <v>67</v>
      </c>
      <c r="AG39" s="55" t="s">
        <v>67</v>
      </c>
      <c r="AH39" s="55" t="s">
        <v>67</v>
      </c>
      <c r="AI39" s="55" t="s">
        <v>67</v>
      </c>
      <c r="AJ39" s="23"/>
      <c r="AL39" t="str">
        <f t="shared" ca="1" si="0"/>
        <v xml:space="preserve">    (U1)ALERT_REQ_B_ESWUOC_BCB_</v>
      </c>
      <c r="AR39" s="57" t="str">
        <f t="shared" si="3"/>
        <v/>
      </c>
      <c r="AS39" s="57" t="str">
        <f t="shared" si="4"/>
        <v/>
      </c>
      <c r="AT39" s="57" t="str">
        <f t="shared" si="1"/>
        <v/>
      </c>
    </row>
    <row r="40" spans="2:46">
      <c r="B40" s="127"/>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t="s">
        <v>67</v>
      </c>
      <c r="AE40" s="55" t="s">
        <v>67</v>
      </c>
      <c r="AF40" s="55" t="s">
        <v>67</v>
      </c>
      <c r="AG40" s="55" t="s">
        <v>67</v>
      </c>
      <c r="AH40" s="55" t="s">
        <v>67</v>
      </c>
      <c r="AI40" s="55" t="s">
        <v>67</v>
      </c>
      <c r="AJ40" s="23"/>
      <c r="AL40" t="str">
        <f t="shared" ca="1" si="0"/>
        <v xml:space="preserve">    (U1)ALERT_REQ_B_ESWUOC_BCB_</v>
      </c>
      <c r="AR40" s="57" t="str">
        <f t="shared" si="3"/>
        <v/>
      </c>
      <c r="AS40" s="57" t="str">
        <f t="shared" si="4"/>
        <v/>
      </c>
      <c r="AT40" s="57" t="str">
        <f t="shared" si="1"/>
        <v/>
      </c>
    </row>
    <row r="41" spans="2:46">
      <c r="B41" s="127"/>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t="s">
        <v>67</v>
      </c>
      <c r="AE41" s="55" t="s">
        <v>67</v>
      </c>
      <c r="AF41" s="55" t="s">
        <v>67</v>
      </c>
      <c r="AG41" s="55" t="s">
        <v>67</v>
      </c>
      <c r="AH41" s="55" t="s">
        <v>67</v>
      </c>
      <c r="AI41" s="55" t="s">
        <v>67</v>
      </c>
      <c r="AJ41" s="23"/>
      <c r="AL41" t="str">
        <f t="shared" ca="1" si="0"/>
        <v xml:space="preserve">    (U1)ALERT_REQ_B_ESWUOC_BCB_</v>
      </c>
      <c r="AR41" s="57" t="str">
        <f t="shared" si="3"/>
        <v/>
      </c>
      <c r="AS41" s="57" t="str">
        <f t="shared" si="4"/>
        <v/>
      </c>
      <c r="AT41" s="57" t="str">
        <f t="shared" si="1"/>
        <v/>
      </c>
    </row>
    <row r="42" spans="2:46">
      <c r="B42" s="127"/>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t="s">
        <v>67</v>
      </c>
      <c r="AE42" s="55" t="s">
        <v>67</v>
      </c>
      <c r="AF42" s="55" t="s">
        <v>67</v>
      </c>
      <c r="AG42" s="55" t="s">
        <v>67</v>
      </c>
      <c r="AH42" s="55" t="s">
        <v>67</v>
      </c>
      <c r="AI42" s="55" t="s">
        <v>67</v>
      </c>
      <c r="AJ42" s="23"/>
      <c r="AL42" t="str">
        <f t="shared" ca="1" si="0"/>
        <v xml:space="preserve">    (U1)ALERT_REQ_B_ESWUOC_BCB_</v>
      </c>
      <c r="AR42" s="57" t="str">
        <f t="shared" si="3"/>
        <v/>
      </c>
      <c r="AS42" s="57" t="str">
        <f t="shared" si="4"/>
        <v/>
      </c>
      <c r="AT42" s="57" t="str">
        <f t="shared" si="1"/>
        <v/>
      </c>
    </row>
    <row r="43" spans="2:46">
      <c r="B43" s="127"/>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t="s">
        <v>67</v>
      </c>
      <c r="AE43" s="55" t="s">
        <v>67</v>
      </c>
      <c r="AF43" s="55" t="s">
        <v>67</v>
      </c>
      <c r="AG43" s="55" t="s">
        <v>67</v>
      </c>
      <c r="AH43" s="55" t="s">
        <v>67</v>
      </c>
      <c r="AI43" s="55" t="s">
        <v>67</v>
      </c>
      <c r="AJ43" s="23"/>
      <c r="AL43" t="str">
        <f t="shared" ca="1" si="0"/>
        <v xml:space="preserve">    (U1)ALERT_REQ_B_ESWUOC_BCB_</v>
      </c>
      <c r="AR43" s="57" t="str">
        <f t="shared" si="3"/>
        <v/>
      </c>
      <c r="AS43" s="57" t="str">
        <f t="shared" si="4"/>
        <v/>
      </c>
      <c r="AT43" s="57" t="str">
        <f t="shared" si="1"/>
        <v/>
      </c>
    </row>
    <row r="44" spans="2:46">
      <c r="B44" s="127"/>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t="s">
        <v>67</v>
      </c>
      <c r="AE44" s="55" t="s">
        <v>67</v>
      </c>
      <c r="AF44" s="55" t="s">
        <v>67</v>
      </c>
      <c r="AG44" s="55" t="s">
        <v>67</v>
      </c>
      <c r="AH44" s="55" t="s">
        <v>67</v>
      </c>
      <c r="AI44" s="55" t="s">
        <v>67</v>
      </c>
      <c r="AJ44" s="23"/>
      <c r="AL44" t="str">
        <f t="shared" ca="1" si="0"/>
        <v xml:space="preserve">    (U1)ALERT_REQ_B_ESWUOC_BCB_</v>
      </c>
      <c r="AR44" s="57" t="str">
        <f t="shared" si="3"/>
        <v/>
      </c>
      <c r="AS44" s="57" t="str">
        <f t="shared" si="4"/>
        <v/>
      </c>
      <c r="AT44" s="57" t="str">
        <f t="shared" si="1"/>
        <v/>
      </c>
    </row>
    <row r="45" spans="2:46">
      <c r="B45" s="127"/>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t="s">
        <v>67</v>
      </c>
      <c r="AE45" s="55" t="s">
        <v>67</v>
      </c>
      <c r="AF45" s="55" t="s">
        <v>67</v>
      </c>
      <c r="AG45" s="55" t="s">
        <v>67</v>
      </c>
      <c r="AH45" s="55" t="s">
        <v>67</v>
      </c>
      <c r="AI45" s="55" t="s">
        <v>67</v>
      </c>
      <c r="AJ45" s="23"/>
      <c r="AL45" t="str">
        <f t="shared" ca="1" si="0"/>
        <v xml:space="preserve">    (U1)ALERT_REQ_B_ESWUOC_BCB_</v>
      </c>
      <c r="AR45" s="57" t="str">
        <f t="shared" si="3"/>
        <v/>
      </c>
      <c r="AS45" s="57" t="str">
        <f t="shared" si="4"/>
        <v/>
      </c>
      <c r="AT45" s="57" t="str">
        <f t="shared" si="1"/>
        <v/>
      </c>
    </row>
    <row r="46" spans="2:46">
      <c r="B46" s="127"/>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t="s">
        <v>67</v>
      </c>
      <c r="AE46" s="55" t="s">
        <v>67</v>
      </c>
      <c r="AF46" s="55" t="s">
        <v>67</v>
      </c>
      <c r="AG46" s="55" t="s">
        <v>67</v>
      </c>
      <c r="AH46" s="55" t="s">
        <v>67</v>
      </c>
      <c r="AI46" s="55" t="s">
        <v>67</v>
      </c>
      <c r="AJ46" s="23"/>
      <c r="AL46" t="str">
        <f t="shared" ca="1" si="0"/>
        <v xml:space="preserve">    (U1)ALERT_REQ_B_ESWUOC_BCB_</v>
      </c>
      <c r="AR46" s="57" t="str">
        <f t="shared" si="3"/>
        <v/>
      </c>
      <c r="AS46" s="57" t="str">
        <f t="shared" si="4"/>
        <v/>
      </c>
      <c r="AT46" s="57" t="str">
        <f t="shared" si="1"/>
        <v/>
      </c>
    </row>
    <row r="47" spans="2:46">
      <c r="B47" s="127"/>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t="s">
        <v>67</v>
      </c>
      <c r="AE47" s="55" t="s">
        <v>67</v>
      </c>
      <c r="AF47" s="55" t="s">
        <v>67</v>
      </c>
      <c r="AG47" s="55" t="s">
        <v>67</v>
      </c>
      <c r="AH47" s="55" t="s">
        <v>67</v>
      </c>
      <c r="AI47" s="55" t="s">
        <v>67</v>
      </c>
      <c r="AJ47" s="23"/>
      <c r="AL47" t="str">
        <f t="shared" ca="1" si="0"/>
        <v xml:space="preserve">    (U1)ALERT_REQ_B_ESWUOC_BCB_</v>
      </c>
      <c r="AR47" s="57" t="str">
        <f t="shared" si="3"/>
        <v/>
      </c>
      <c r="AS47" s="57" t="str">
        <f t="shared" si="4"/>
        <v/>
      </c>
      <c r="AT47" s="57" t="str">
        <f t="shared" si="1"/>
        <v/>
      </c>
    </row>
    <row r="48" spans="2:46">
      <c r="B48" s="127"/>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t="s">
        <v>67</v>
      </c>
      <c r="AE48" s="55" t="s">
        <v>67</v>
      </c>
      <c r="AF48" s="55" t="s">
        <v>67</v>
      </c>
      <c r="AG48" s="55" t="s">
        <v>67</v>
      </c>
      <c r="AH48" s="55" t="s">
        <v>67</v>
      </c>
      <c r="AI48" s="55" t="s">
        <v>67</v>
      </c>
      <c r="AJ48" s="23"/>
      <c r="AL48" t="str">
        <f t="shared" ca="1" si="0"/>
        <v xml:space="preserve">    (U1)ALERT_REQ_B_ESWUOC_BCB_</v>
      </c>
      <c r="AR48" s="57" t="str">
        <f t="shared" si="3"/>
        <v/>
      </c>
      <c r="AS48" s="57" t="str">
        <f t="shared" si="4"/>
        <v/>
      </c>
      <c r="AT48" s="57" t="str">
        <f t="shared" si="1"/>
        <v/>
      </c>
    </row>
    <row r="49" spans="2:46">
      <c r="B49" s="127"/>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t="s">
        <v>67</v>
      </c>
      <c r="AE49" s="55" t="s">
        <v>67</v>
      </c>
      <c r="AF49" s="55" t="s">
        <v>67</v>
      </c>
      <c r="AG49" s="55" t="s">
        <v>67</v>
      </c>
      <c r="AH49" s="55" t="s">
        <v>67</v>
      </c>
      <c r="AI49" s="55" t="s">
        <v>67</v>
      </c>
      <c r="AJ49" s="23"/>
      <c r="AL49" t="str">
        <f t="shared" ca="1" si="0"/>
        <v xml:space="preserve">    (U1)ALERT_REQ_B_ESWUOC_BCB_</v>
      </c>
      <c r="AR49" s="57" t="str">
        <f t="shared" si="3"/>
        <v/>
      </c>
      <c r="AS49" s="57" t="str">
        <f t="shared" si="4"/>
        <v/>
      </c>
      <c r="AT49" s="57" t="str">
        <f t="shared" si="1"/>
        <v/>
      </c>
    </row>
    <row r="50" spans="2:46">
      <c r="B50" s="127"/>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t="s">
        <v>67</v>
      </c>
      <c r="AE50" s="55" t="s">
        <v>67</v>
      </c>
      <c r="AF50" s="55" t="s">
        <v>67</v>
      </c>
      <c r="AG50" s="55" t="s">
        <v>67</v>
      </c>
      <c r="AH50" s="55" t="s">
        <v>67</v>
      </c>
      <c r="AI50" s="55" t="s">
        <v>67</v>
      </c>
      <c r="AJ50" s="23"/>
      <c r="AL50" t="str">
        <f t="shared" ca="1" si="0"/>
        <v xml:space="preserve">    (U1)ALERT_REQ_B_ESWUOC_BCB_</v>
      </c>
      <c r="AR50" s="57" t="str">
        <f t="shared" si="3"/>
        <v/>
      </c>
      <c r="AS50" s="57" t="str">
        <f t="shared" si="4"/>
        <v/>
      </c>
      <c r="AT50" s="57" t="str">
        <f t="shared" si="1"/>
        <v/>
      </c>
    </row>
    <row r="51" spans="2:46">
      <c r="B51" s="127"/>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t="s">
        <v>67</v>
      </c>
      <c r="AE51" s="55" t="s">
        <v>67</v>
      </c>
      <c r="AF51" s="55" t="s">
        <v>67</v>
      </c>
      <c r="AG51" s="55" t="s">
        <v>67</v>
      </c>
      <c r="AH51" s="55" t="s">
        <v>67</v>
      </c>
      <c r="AI51" s="55" t="s">
        <v>67</v>
      </c>
      <c r="AJ51" s="23"/>
      <c r="AL51" t="str">
        <f t="shared" ca="1" si="0"/>
        <v xml:space="preserve">    (U1)ALERT_REQ_B_ESWUOC_BCB_</v>
      </c>
      <c r="AR51" s="57" t="str">
        <f t="shared" si="3"/>
        <v/>
      </c>
      <c r="AS51" s="57" t="str">
        <f t="shared" si="4"/>
        <v/>
      </c>
      <c r="AT51" s="57" t="str">
        <f t="shared" si="1"/>
        <v/>
      </c>
    </row>
    <row r="52" spans="2:46">
      <c r="B52" s="127"/>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t="s">
        <v>67</v>
      </c>
      <c r="AE52" s="55" t="s">
        <v>67</v>
      </c>
      <c r="AF52" s="55" t="s">
        <v>67</v>
      </c>
      <c r="AG52" s="55" t="s">
        <v>67</v>
      </c>
      <c r="AH52" s="55" t="s">
        <v>67</v>
      </c>
      <c r="AI52" s="55" t="s">
        <v>67</v>
      </c>
      <c r="AJ52" s="23"/>
      <c r="AL52" t="str">
        <f t="shared" ca="1" si="0"/>
        <v xml:space="preserve">    (U1)ALERT_REQ_B_ESWUOC_BCB_</v>
      </c>
      <c r="AR52" s="57" t="str">
        <f t="shared" si="3"/>
        <v/>
      </c>
      <c r="AS52" s="57" t="str">
        <f t="shared" si="4"/>
        <v/>
      </c>
      <c r="AT52" s="57" t="str">
        <f t="shared" si="1"/>
        <v/>
      </c>
    </row>
    <row r="53" spans="2:46">
      <c r="B53" s="127"/>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t="s">
        <v>67</v>
      </c>
      <c r="AE53" s="55" t="s">
        <v>67</v>
      </c>
      <c r="AF53" s="55" t="s">
        <v>67</v>
      </c>
      <c r="AG53" s="55" t="s">
        <v>67</v>
      </c>
      <c r="AH53" s="55" t="s">
        <v>67</v>
      </c>
      <c r="AI53" s="55" t="s">
        <v>67</v>
      </c>
      <c r="AJ53" s="23"/>
      <c r="AL53" t="str">
        <f t="shared" ca="1" si="0"/>
        <v xml:space="preserve">    (U1)ALERT_REQ_B_ESWUOC_BCB_</v>
      </c>
      <c r="AR53" s="57" t="str">
        <f t="shared" si="3"/>
        <v/>
      </c>
      <c r="AS53" s="57" t="str">
        <f t="shared" si="4"/>
        <v/>
      </c>
      <c r="AT53" s="57" t="str">
        <f t="shared" si="1"/>
        <v/>
      </c>
    </row>
    <row r="54" spans="2:46">
      <c r="B54" s="127"/>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t="s">
        <v>67</v>
      </c>
      <c r="AE54" s="55" t="s">
        <v>67</v>
      </c>
      <c r="AF54" s="55" t="s">
        <v>67</v>
      </c>
      <c r="AG54" s="55" t="s">
        <v>67</v>
      </c>
      <c r="AH54" s="55" t="s">
        <v>67</v>
      </c>
      <c r="AI54" s="55" t="s">
        <v>67</v>
      </c>
      <c r="AJ54" s="23"/>
      <c r="AL54" t="str">
        <f t="shared" ca="1" si="0"/>
        <v xml:space="preserve">    (U1)ALERT_REQ_B_ESWUOC_BCB_</v>
      </c>
      <c r="AR54" s="57" t="str">
        <f t="shared" si="3"/>
        <v/>
      </c>
      <c r="AS54" s="57" t="str">
        <f t="shared" si="4"/>
        <v/>
      </c>
      <c r="AT54" s="57" t="str">
        <f t="shared" si="1"/>
        <v/>
      </c>
    </row>
    <row r="55" spans="2:46">
      <c r="B55" s="127"/>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t="s">
        <v>67</v>
      </c>
      <c r="AE55" s="55" t="s">
        <v>67</v>
      </c>
      <c r="AF55" s="55" t="s">
        <v>67</v>
      </c>
      <c r="AG55" s="55" t="s">
        <v>67</v>
      </c>
      <c r="AH55" s="55" t="s">
        <v>67</v>
      </c>
      <c r="AI55" s="55" t="s">
        <v>67</v>
      </c>
      <c r="AJ55" s="23"/>
      <c r="AL55" t="str">
        <f t="shared" ca="1" si="0"/>
        <v xml:space="preserve">    (U1)ALERT_REQ_B_ESWUOC_BCB_</v>
      </c>
      <c r="AR55" s="57" t="str">
        <f t="shared" si="3"/>
        <v/>
      </c>
      <c r="AS55" s="57" t="str">
        <f t="shared" si="4"/>
        <v/>
      </c>
      <c r="AT55" s="57" t="str">
        <f t="shared" si="1"/>
        <v/>
      </c>
    </row>
    <row r="56" spans="2:46">
      <c r="B56" s="127"/>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t="s">
        <v>67</v>
      </c>
      <c r="AE56" s="55" t="s">
        <v>67</v>
      </c>
      <c r="AF56" s="55" t="s">
        <v>67</v>
      </c>
      <c r="AG56" s="55" t="s">
        <v>67</v>
      </c>
      <c r="AH56" s="55" t="s">
        <v>67</v>
      </c>
      <c r="AI56" s="55" t="s">
        <v>67</v>
      </c>
      <c r="AJ56" s="23"/>
      <c r="AL56" t="str">
        <f t="shared" ca="1" si="0"/>
        <v xml:space="preserve">    (U1)ALERT_REQ_B_ESWUOC_BCB_</v>
      </c>
      <c r="AR56" s="57" t="str">
        <f t="shared" si="3"/>
        <v/>
      </c>
      <c r="AS56" s="57" t="str">
        <f t="shared" si="4"/>
        <v/>
      </c>
      <c r="AT56" s="57" t="str">
        <f t="shared" si="1"/>
        <v/>
      </c>
    </row>
    <row r="57" spans="2:46">
      <c r="B57" s="127"/>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t="s">
        <v>67</v>
      </c>
      <c r="AE57" s="55" t="s">
        <v>67</v>
      </c>
      <c r="AF57" s="55" t="s">
        <v>67</v>
      </c>
      <c r="AG57" s="55" t="s">
        <v>67</v>
      </c>
      <c r="AH57" s="55" t="s">
        <v>67</v>
      </c>
      <c r="AI57" s="55" t="s">
        <v>67</v>
      </c>
      <c r="AJ57" s="23"/>
      <c r="AL57" t="str">
        <f t="shared" ca="1" si="0"/>
        <v xml:space="preserve">    (U1)ALERT_REQ_B_ESWUOC_BCB_</v>
      </c>
      <c r="AR57" s="57" t="str">
        <f t="shared" si="3"/>
        <v/>
      </c>
      <c r="AS57" s="57" t="str">
        <f t="shared" si="4"/>
        <v/>
      </c>
      <c r="AT57" s="57" t="str">
        <f t="shared" si="1"/>
        <v/>
      </c>
    </row>
    <row r="58" spans="2:46">
      <c r="B58" s="127"/>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t="s">
        <v>67</v>
      </c>
      <c r="AE58" s="55" t="s">
        <v>67</v>
      </c>
      <c r="AF58" s="55" t="s">
        <v>67</v>
      </c>
      <c r="AG58" s="55" t="s">
        <v>67</v>
      </c>
      <c r="AH58" s="55" t="s">
        <v>67</v>
      </c>
      <c r="AI58" s="55" t="s">
        <v>67</v>
      </c>
      <c r="AJ58" s="23"/>
      <c r="AL58" t="str">
        <f t="shared" ca="1" si="0"/>
        <v xml:space="preserve">    (U1)ALERT_REQ_B_ESWUOC_BCB_</v>
      </c>
      <c r="AR58" s="57" t="str">
        <f t="shared" si="3"/>
        <v/>
      </c>
      <c r="AS58" s="57" t="str">
        <f t="shared" si="4"/>
        <v/>
      </c>
      <c r="AT58" s="57" t="str">
        <f t="shared" si="1"/>
        <v/>
      </c>
    </row>
    <row r="59" spans="2:46">
      <c r="B59" s="127"/>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t="s">
        <v>67</v>
      </c>
      <c r="AE59" s="55" t="s">
        <v>67</v>
      </c>
      <c r="AF59" s="55" t="s">
        <v>67</v>
      </c>
      <c r="AG59" s="55" t="s">
        <v>67</v>
      </c>
      <c r="AH59" s="55" t="s">
        <v>67</v>
      </c>
      <c r="AI59" s="55" t="s">
        <v>67</v>
      </c>
      <c r="AJ59" s="23"/>
      <c r="AL59" t="str">
        <f t="shared" ca="1" si="0"/>
        <v xml:space="preserve">    (U1)ALERT_REQ_B_ESWUOC_BCB_</v>
      </c>
      <c r="AR59" s="57" t="str">
        <f t="shared" si="3"/>
        <v/>
      </c>
      <c r="AS59" s="57" t="str">
        <f t="shared" si="4"/>
        <v/>
      </c>
      <c r="AT59" s="57" t="str">
        <f t="shared" si="1"/>
        <v/>
      </c>
    </row>
    <row r="60" spans="2:46">
      <c r="B60" s="127"/>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t="s">
        <v>67</v>
      </c>
      <c r="AE60" s="55" t="s">
        <v>67</v>
      </c>
      <c r="AF60" s="55" t="s">
        <v>67</v>
      </c>
      <c r="AG60" s="55" t="s">
        <v>67</v>
      </c>
      <c r="AH60" s="55" t="s">
        <v>67</v>
      </c>
      <c r="AI60" s="55" t="s">
        <v>67</v>
      </c>
      <c r="AJ60" s="23"/>
      <c r="AL60" t="str">
        <f t="shared" ca="1" si="0"/>
        <v xml:space="preserve">    (U1)ALERT_REQ_B_ESWUOC_BCB_</v>
      </c>
      <c r="AR60" s="57" t="str">
        <f t="shared" si="3"/>
        <v/>
      </c>
      <c r="AS60" s="57" t="str">
        <f t="shared" si="4"/>
        <v/>
      </c>
      <c r="AT60" s="57" t="str">
        <f t="shared" si="1"/>
        <v/>
      </c>
    </row>
    <row r="61" spans="2:46">
      <c r="B61" s="127"/>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t="s">
        <v>67</v>
      </c>
      <c r="AE61" s="55" t="s">
        <v>67</v>
      </c>
      <c r="AF61" s="55" t="s">
        <v>67</v>
      </c>
      <c r="AG61" s="55" t="s">
        <v>67</v>
      </c>
      <c r="AH61" s="55" t="s">
        <v>67</v>
      </c>
      <c r="AI61" s="55" t="s">
        <v>67</v>
      </c>
      <c r="AJ61" s="23"/>
      <c r="AL61" t="str">
        <f t="shared" ca="1" si="0"/>
        <v xml:space="preserve">    (U1)ALERT_REQ_B_ESWUOC_BCB_</v>
      </c>
      <c r="AR61" s="57" t="str">
        <f t="shared" si="3"/>
        <v/>
      </c>
      <c r="AS61" s="57" t="str">
        <f t="shared" si="4"/>
        <v/>
      </c>
      <c r="AT61" s="57" t="str">
        <f t="shared" si="1"/>
        <v/>
      </c>
    </row>
    <row r="62" spans="2:46">
      <c r="B62" s="127"/>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t="s">
        <v>67</v>
      </c>
      <c r="AE62" s="55" t="s">
        <v>67</v>
      </c>
      <c r="AF62" s="55" t="s">
        <v>67</v>
      </c>
      <c r="AG62" s="55" t="s">
        <v>67</v>
      </c>
      <c r="AH62" s="55" t="s">
        <v>67</v>
      </c>
      <c r="AI62" s="55" t="s">
        <v>67</v>
      </c>
      <c r="AJ62" s="23"/>
      <c r="AL62" t="str">
        <f t="shared" ca="1" si="0"/>
        <v xml:space="preserve">    (U1)ALERT_REQ_B_ESWUOC_BCB_</v>
      </c>
      <c r="AR62" s="57" t="str">
        <f t="shared" si="3"/>
        <v/>
      </c>
      <c r="AS62" s="57" t="str">
        <f t="shared" si="4"/>
        <v/>
      </c>
      <c r="AT62" s="57" t="str">
        <f t="shared" si="1"/>
        <v/>
      </c>
    </row>
    <row r="63" spans="2:46">
      <c r="B63" s="127"/>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t="s">
        <v>67</v>
      </c>
      <c r="AE63" s="55" t="s">
        <v>67</v>
      </c>
      <c r="AF63" s="55" t="s">
        <v>67</v>
      </c>
      <c r="AG63" s="55" t="s">
        <v>67</v>
      </c>
      <c r="AH63" s="55" t="s">
        <v>67</v>
      </c>
      <c r="AI63" s="55" t="s">
        <v>67</v>
      </c>
      <c r="AJ63" s="23"/>
      <c r="AL63" t="str">
        <f t="shared" ca="1" si="0"/>
        <v xml:space="preserve">    (U1)ALERT_REQ_B_ESWUOC_BCB_</v>
      </c>
      <c r="AR63" s="57" t="str">
        <f t="shared" si="3"/>
        <v/>
      </c>
      <c r="AS63" s="57" t="str">
        <f t="shared" si="4"/>
        <v/>
      </c>
      <c r="AT63" s="57" t="str">
        <f t="shared" si="1"/>
        <v/>
      </c>
    </row>
    <row r="64" spans="2:46">
      <c r="B64" s="127"/>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t="s">
        <v>67</v>
      </c>
      <c r="AE64" s="55" t="s">
        <v>67</v>
      </c>
      <c r="AF64" s="55" t="s">
        <v>67</v>
      </c>
      <c r="AG64" s="55" t="s">
        <v>67</v>
      </c>
      <c r="AH64" s="55" t="s">
        <v>67</v>
      </c>
      <c r="AI64" s="55" t="s">
        <v>67</v>
      </c>
      <c r="AJ64" s="23"/>
      <c r="AL64" t="str">
        <f t="shared" ca="1" si="0"/>
        <v xml:space="preserve">    (U1)ALERT_REQ_B_ESWUOC_BCB_</v>
      </c>
      <c r="AR64" s="57" t="str">
        <f t="shared" si="3"/>
        <v/>
      </c>
      <c r="AS64" s="57" t="str">
        <f t="shared" si="4"/>
        <v/>
      </c>
      <c r="AT64" s="57" t="str">
        <f t="shared" si="1"/>
        <v/>
      </c>
    </row>
    <row r="65" spans="1:46">
      <c r="B65" s="127"/>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t="s">
        <v>67</v>
      </c>
      <c r="AE65" s="55" t="s">
        <v>67</v>
      </c>
      <c r="AF65" s="55" t="s">
        <v>67</v>
      </c>
      <c r="AG65" s="55" t="s">
        <v>67</v>
      </c>
      <c r="AH65" s="55" t="s">
        <v>67</v>
      </c>
      <c r="AI65" s="55" t="s">
        <v>67</v>
      </c>
      <c r="AJ65" s="23"/>
      <c r="AL65" t="str">
        <f t="shared" ca="1" si="0"/>
        <v xml:space="preserve">    (U1)ALERT_REQ_B_ESWUOC_BCB_</v>
      </c>
      <c r="AR65" s="57" t="str">
        <f t="shared" si="3"/>
        <v/>
      </c>
      <c r="AS65" s="57" t="str">
        <f t="shared" si="4"/>
        <v/>
      </c>
      <c r="AT65" s="57" t="str">
        <f t="shared" si="1"/>
        <v/>
      </c>
    </row>
    <row r="66" spans="1:46">
      <c r="B66" s="127"/>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t="s">
        <v>67</v>
      </c>
      <c r="AE66" s="55" t="s">
        <v>67</v>
      </c>
      <c r="AF66" s="55" t="s">
        <v>67</v>
      </c>
      <c r="AG66" s="55" t="s">
        <v>67</v>
      </c>
      <c r="AH66" s="55" t="s">
        <v>67</v>
      </c>
      <c r="AI66" s="55" t="s">
        <v>67</v>
      </c>
      <c r="AJ66" s="23"/>
      <c r="AL66" t="str">
        <f t="shared" ca="1" si="0"/>
        <v xml:space="preserve">    (U1)ALERT_REQ_B_ESWUOC_BCB_</v>
      </c>
      <c r="AR66" s="57" t="str">
        <f t="shared" si="3"/>
        <v/>
      </c>
      <c r="AS66" s="57" t="str">
        <f t="shared" si="4"/>
        <v/>
      </c>
      <c r="AT66" s="57" t="str">
        <f t="shared" si="1"/>
        <v/>
      </c>
    </row>
    <row r="67" spans="1:46">
      <c r="B67" s="127"/>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t="s">
        <v>67</v>
      </c>
      <c r="AE67" s="55" t="s">
        <v>67</v>
      </c>
      <c r="AF67" s="55" t="s">
        <v>67</v>
      </c>
      <c r="AG67" s="55" t="s">
        <v>67</v>
      </c>
      <c r="AH67" s="55" t="s">
        <v>67</v>
      </c>
      <c r="AI67" s="55" t="s">
        <v>67</v>
      </c>
      <c r="AJ67" s="23"/>
      <c r="AL67" t="str">
        <f t="shared" ca="1" si="0"/>
        <v xml:space="preserve">    (U1)ALERT_REQ_B_ESWUOC_BCB_</v>
      </c>
      <c r="AR67" s="57" t="str">
        <f t="shared" si="3"/>
        <v/>
      </c>
      <c r="AS67" s="57" t="str">
        <f t="shared" si="4"/>
        <v/>
      </c>
      <c r="AT67" s="57" t="str">
        <f t="shared" si="1"/>
        <v/>
      </c>
    </row>
    <row r="68" spans="1:46">
      <c r="B68" s="127"/>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t="s">
        <v>67</v>
      </c>
      <c r="AE68" s="55" t="s">
        <v>67</v>
      </c>
      <c r="AF68" s="55" t="s">
        <v>67</v>
      </c>
      <c r="AG68" s="55" t="s">
        <v>67</v>
      </c>
      <c r="AH68" s="55" t="s">
        <v>67</v>
      </c>
      <c r="AI68" s="55" t="s">
        <v>67</v>
      </c>
      <c r="AJ68" s="23"/>
      <c r="AL68" t="str">
        <f t="shared" ca="1" si="0"/>
        <v xml:space="preserve">    (U1)ALERT_REQ_B_ESWUOC_BCB_</v>
      </c>
      <c r="AR68" s="57" t="str">
        <f t="shared" si="3"/>
        <v/>
      </c>
      <c r="AS68" s="57" t="str">
        <f t="shared" si="4"/>
        <v/>
      </c>
      <c r="AT68" s="57" t="str">
        <f t="shared" si="1"/>
        <v/>
      </c>
    </row>
    <row r="69" spans="1:46">
      <c r="B69" s="128"/>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t="s">
        <v>67</v>
      </c>
      <c r="AE69" s="55" t="s">
        <v>67</v>
      </c>
      <c r="AF69" s="55" t="s">
        <v>67</v>
      </c>
      <c r="AG69" s="55" t="s">
        <v>67</v>
      </c>
      <c r="AH69" s="55" t="s">
        <v>67</v>
      </c>
      <c r="AI69" s="55" t="s">
        <v>67</v>
      </c>
      <c r="AJ69" s="23"/>
      <c r="AL69" t="str">
        <f t="shared" ca="1" si="0"/>
        <v xml:space="preserve">    (U1)ALERT_REQ_B_ESWUOC_BCB_</v>
      </c>
      <c r="AR69" s="57" t="str">
        <f t="shared" si="3"/>
        <v/>
      </c>
      <c r="AS69" s="57" t="str">
        <f t="shared" si="4"/>
        <v/>
      </c>
      <c r="AT69" s="57" t="str">
        <f t="shared" si="1"/>
        <v/>
      </c>
    </row>
    <row r="70" spans="1:46" ht="13.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BCB</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UNKNOWN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UNKNOWN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1" t="str">
        <f t="shared" si="7"/>
        <v>DOUBLE</v>
      </c>
      <c r="AK82" s="54"/>
      <c r="AL82" s="54" t="str">
        <f t="shared" si="10"/>
        <v>0B</v>
      </c>
      <c r="AM82" s="56" t="str">
        <f t="shared" si="11"/>
        <v>00</v>
      </c>
      <c r="AN82" s="56" t="str">
        <f t="shared" si="12"/>
        <v>00</v>
      </c>
      <c r="AO82" s="56" t="str">
        <f t="shared" si="13"/>
        <v>00</v>
      </c>
      <c r="AQ82" t="str">
        <f t="shared" si="8"/>
        <v xml:space="preserve">    (U4)0x0000000BU,                                                           /* 11 DOUBLE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BCB</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1</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1</v>
      </c>
      <c r="AG137" s="119">
        <f t="shared" si="29"/>
        <v>1</v>
      </c>
      <c r="AH137" s="119">
        <f t="shared" si="29"/>
        <v>1</v>
      </c>
      <c r="AI137" s="119">
        <f t="shared" si="29"/>
        <v>1</v>
      </c>
      <c r="AJ137" s="41" t="str">
        <f t="shared" si="30"/>
        <v>UNKNOWN</v>
      </c>
      <c r="AK137" s="54"/>
      <c r="AL137" s="54" t="str">
        <f t="shared" ref="AL137:AL199" si="33">BIN2HEX(AB137&amp;AC137&amp;AD137&amp;AE137&amp;AF137&amp;AG137&amp;AH137&amp;AI137,2)</f>
        <v>0F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(U4)0x0000000FU,                                                           /* 01 UNKNOWN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1</v>
      </c>
      <c r="AG138" s="119">
        <f t="shared" si="29"/>
        <v>1</v>
      </c>
      <c r="AH138" s="119">
        <f t="shared" si="29"/>
        <v>1</v>
      </c>
      <c r="AI138" s="119">
        <f t="shared" si="29"/>
        <v>1</v>
      </c>
      <c r="AJ138" s="41" t="str">
        <f t="shared" si="30"/>
        <v>UNKNOWN</v>
      </c>
      <c r="AK138" s="54"/>
      <c r="AL138" s="54" t="str">
        <f t="shared" si="33"/>
        <v>0F</v>
      </c>
      <c r="AM138" s="56" t="str">
        <f t="shared" si="34"/>
        <v>00</v>
      </c>
      <c r="AN138" s="56" t="str">
        <f t="shared" si="35"/>
        <v>00</v>
      </c>
      <c r="AO138" s="56" t="str">
        <f t="shared" si="36"/>
        <v>00</v>
      </c>
      <c r="AQ138" t="str">
        <f t="shared" si="31"/>
        <v xml:space="preserve">    (U4)0x0000000FU,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1</v>
      </c>
      <c r="AG139" s="119">
        <f t="shared" si="29"/>
        <v>1</v>
      </c>
      <c r="AH139" s="119">
        <f t="shared" si="29"/>
        <v>1</v>
      </c>
      <c r="AI139" s="119">
        <f t="shared" si="29"/>
        <v>1</v>
      </c>
      <c r="AJ139" s="41" t="str">
        <f t="shared" si="30"/>
        <v>UNKNOWN</v>
      </c>
      <c r="AK139" s="54"/>
      <c r="AL139" s="54" t="str">
        <f t="shared" si="33"/>
        <v>0F</v>
      </c>
      <c r="AM139" s="56" t="str">
        <f t="shared" si="34"/>
        <v>00</v>
      </c>
      <c r="AN139" s="56" t="str">
        <f t="shared" si="35"/>
        <v>00</v>
      </c>
      <c r="AO139" s="56" t="str">
        <f t="shared" si="36"/>
        <v>00</v>
      </c>
      <c r="AQ139" t="str">
        <f t="shared" si="31"/>
        <v xml:space="preserve">    (U4)0x0000000FU,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1</v>
      </c>
      <c r="AG140" s="119">
        <f t="shared" si="29"/>
        <v>1</v>
      </c>
      <c r="AH140" s="119">
        <f t="shared" si="29"/>
        <v>1</v>
      </c>
      <c r="AI140" s="119">
        <f t="shared" si="29"/>
        <v>1</v>
      </c>
      <c r="AJ140" s="41" t="str">
        <f t="shared" si="30"/>
        <v>UNKNOWN</v>
      </c>
      <c r="AK140" s="54"/>
      <c r="AL140" s="54" t="str">
        <f t="shared" si="33"/>
        <v>0F</v>
      </c>
      <c r="AM140" s="56" t="str">
        <f t="shared" si="34"/>
        <v>00</v>
      </c>
      <c r="AN140" s="56" t="str">
        <f t="shared" si="35"/>
        <v>00</v>
      </c>
      <c r="AO140" s="56" t="str">
        <f t="shared" si="36"/>
        <v>00</v>
      </c>
      <c r="AQ140" t="str">
        <f t="shared" si="31"/>
        <v xml:space="preserve">    (U4)0x0000000FU,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1</v>
      </c>
      <c r="AG141" s="119">
        <f t="shared" si="29"/>
        <v>1</v>
      </c>
      <c r="AH141" s="119">
        <f t="shared" si="29"/>
        <v>1</v>
      </c>
      <c r="AI141" s="119">
        <f t="shared" si="29"/>
        <v>1</v>
      </c>
      <c r="AJ141" s="41" t="str">
        <f t="shared" si="30"/>
        <v>UNKNOWN</v>
      </c>
      <c r="AK141" s="54"/>
      <c r="AL141" s="54" t="str">
        <f t="shared" si="33"/>
        <v>0F</v>
      </c>
      <c r="AM141" s="56" t="str">
        <f t="shared" si="34"/>
        <v>00</v>
      </c>
      <c r="AN141" s="56" t="str">
        <f t="shared" si="35"/>
        <v>00</v>
      </c>
      <c r="AO141" s="56" t="str">
        <f t="shared" si="36"/>
        <v>00</v>
      </c>
      <c r="AQ141" t="str">
        <f t="shared" si="31"/>
        <v xml:space="preserve">    (U4)0x0000000FU,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1</v>
      </c>
      <c r="AG142" s="119">
        <f t="shared" si="29"/>
        <v>1</v>
      </c>
      <c r="AH142" s="119">
        <f t="shared" si="29"/>
        <v>1</v>
      </c>
      <c r="AI142" s="119">
        <f t="shared" si="29"/>
        <v>1</v>
      </c>
      <c r="AJ142" s="41" t="str">
        <f t="shared" si="30"/>
        <v>UNKNOWN</v>
      </c>
      <c r="AK142" s="54"/>
      <c r="AL142" s="54" t="str">
        <f t="shared" si="33"/>
        <v>0F</v>
      </c>
      <c r="AM142" s="56" t="str">
        <f t="shared" si="34"/>
        <v>00</v>
      </c>
      <c r="AN142" s="56" t="str">
        <f t="shared" si="35"/>
        <v>00</v>
      </c>
      <c r="AO142" s="56" t="str">
        <f t="shared" si="36"/>
        <v>00</v>
      </c>
      <c r="AQ142" t="str">
        <f t="shared" si="31"/>
        <v xml:space="preserve">    (U4)0x0000000FU,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1</v>
      </c>
      <c r="AG143" s="119">
        <f t="shared" si="29"/>
        <v>1</v>
      </c>
      <c r="AH143" s="119">
        <f t="shared" si="29"/>
        <v>1</v>
      </c>
      <c r="AI143" s="119">
        <f t="shared" ref="AI143" si="37">IF(OR(AI13=0,AI13=1),1,0)</f>
        <v>1</v>
      </c>
      <c r="AJ143" s="41" t="str">
        <f t="shared" si="30"/>
        <v>UNKNOWN</v>
      </c>
      <c r="AK143" s="54"/>
      <c r="AL143" s="54" t="str">
        <f t="shared" si="33"/>
        <v>0F</v>
      </c>
      <c r="AM143" s="56" t="str">
        <f t="shared" si="34"/>
        <v>00</v>
      </c>
      <c r="AN143" s="56" t="str">
        <f t="shared" si="35"/>
        <v>00</v>
      </c>
      <c r="AO143" s="56" t="str">
        <f t="shared" si="36"/>
        <v>00</v>
      </c>
      <c r="AQ143" t="str">
        <f t="shared" si="31"/>
        <v xml:space="preserve">    (U4)0x0000000FU,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1</v>
      </c>
      <c r="AG144" s="119">
        <f t="shared" si="38"/>
        <v>1</v>
      </c>
      <c r="AH144" s="119">
        <f t="shared" si="38"/>
        <v>1</v>
      </c>
      <c r="AI144" s="119">
        <f t="shared" si="38"/>
        <v>1</v>
      </c>
      <c r="AJ144" s="41" t="str">
        <f t="shared" si="30"/>
        <v>UNKNOWN</v>
      </c>
      <c r="AK144" s="54"/>
      <c r="AL144" s="54" t="str">
        <f t="shared" si="33"/>
        <v>0F</v>
      </c>
      <c r="AM144" s="56" t="str">
        <f t="shared" si="34"/>
        <v>00</v>
      </c>
      <c r="AN144" s="56" t="str">
        <f t="shared" si="35"/>
        <v>00</v>
      </c>
      <c r="AO144" s="56" t="str">
        <f t="shared" si="36"/>
        <v>00</v>
      </c>
      <c r="AQ144" t="str">
        <f t="shared" si="31"/>
        <v xml:space="preserve">    (U4)0x0000000FU,                                                           /* 08 UNKNOWN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1</v>
      </c>
      <c r="AG145" s="119">
        <f t="shared" si="38"/>
        <v>1</v>
      </c>
      <c r="AH145" s="119">
        <f t="shared" si="38"/>
        <v>1</v>
      </c>
      <c r="AI145" s="119">
        <f t="shared" si="38"/>
        <v>1</v>
      </c>
      <c r="AJ145" s="41" t="str">
        <f t="shared" si="30"/>
        <v>UNKNOWN</v>
      </c>
      <c r="AK145" s="54"/>
      <c r="AL145" s="54" t="str">
        <f t="shared" si="33"/>
        <v>0F</v>
      </c>
      <c r="AM145" s="56" t="str">
        <f t="shared" si="34"/>
        <v>00</v>
      </c>
      <c r="AN145" s="56" t="str">
        <f t="shared" si="35"/>
        <v>00</v>
      </c>
      <c r="AO145" s="56" t="str">
        <f t="shared" si="36"/>
        <v>00</v>
      </c>
      <c r="AQ145" t="str">
        <f t="shared" si="31"/>
        <v xml:space="preserve">    (U4)0x0000000FU,                                                           /* 09 UNKNOWN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1</v>
      </c>
      <c r="AG146" s="119">
        <f t="shared" si="38"/>
        <v>1</v>
      </c>
      <c r="AH146" s="119">
        <f t="shared" si="38"/>
        <v>1</v>
      </c>
      <c r="AI146" s="119">
        <f t="shared" si="38"/>
        <v>1</v>
      </c>
      <c r="AJ146" s="41" t="str">
        <f t="shared" si="30"/>
        <v>UNKNOWN</v>
      </c>
      <c r="AK146" s="54"/>
      <c r="AL146" s="54" t="str">
        <f t="shared" si="33"/>
        <v>0F</v>
      </c>
      <c r="AM146" s="56" t="str">
        <f t="shared" si="34"/>
        <v>00</v>
      </c>
      <c r="AN146" s="56" t="str">
        <f t="shared" si="35"/>
        <v>00</v>
      </c>
      <c r="AO146" s="56" t="str">
        <f t="shared" si="36"/>
        <v>00</v>
      </c>
      <c r="AQ146" t="str">
        <f t="shared" si="31"/>
        <v xml:space="preserve">    (U4)0x0000000FU,                                                           /* 10 UNKNOWN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1</v>
      </c>
      <c r="AG147" s="119">
        <f t="shared" si="38"/>
        <v>1</v>
      </c>
      <c r="AH147" s="119">
        <f t="shared" si="38"/>
        <v>1</v>
      </c>
      <c r="AI147" s="119">
        <f t="shared" si="38"/>
        <v>1</v>
      </c>
      <c r="AJ147" s="41" t="str">
        <f t="shared" si="30"/>
        <v>DOUBLE</v>
      </c>
      <c r="AK147" s="54"/>
      <c r="AL147" s="54" t="str">
        <f t="shared" si="33"/>
        <v>0F</v>
      </c>
      <c r="AM147" s="56" t="str">
        <f t="shared" si="34"/>
        <v>00</v>
      </c>
      <c r="AN147" s="56" t="str">
        <f t="shared" si="35"/>
        <v>00</v>
      </c>
      <c r="AO147" s="56" t="str">
        <f t="shared" si="36"/>
        <v>00</v>
      </c>
      <c r="AQ147" t="str">
        <f t="shared" si="31"/>
        <v xml:space="preserve">    (U4)0x0000000FU,                                                           /* 11 DOUBLE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1</v>
      </c>
      <c r="AG148" s="119">
        <f t="shared" si="38"/>
        <v>1</v>
      </c>
      <c r="AH148" s="119">
        <f t="shared" si="38"/>
        <v>1</v>
      </c>
      <c r="AI148" s="119">
        <f t="shared" si="38"/>
        <v>1</v>
      </c>
      <c r="AJ148" s="41" t="str">
        <f t="shared" si="30"/>
        <v>UNKNOWN</v>
      </c>
      <c r="AK148" s="54"/>
      <c r="AL148" s="54" t="str">
        <f t="shared" si="33"/>
        <v>0F</v>
      </c>
      <c r="AM148" s="56" t="str">
        <f t="shared" si="34"/>
        <v>00</v>
      </c>
      <c r="AN148" s="56" t="str">
        <f t="shared" si="35"/>
        <v>00</v>
      </c>
      <c r="AO148" s="56" t="str">
        <f t="shared" si="36"/>
        <v>00</v>
      </c>
      <c r="AQ148" t="str">
        <f t="shared" si="31"/>
        <v xml:space="preserve">    (U4)0x0000000FU,                                                           /* 12 UNKNOWN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1</v>
      </c>
      <c r="AG149" s="119">
        <f t="shared" si="38"/>
        <v>1</v>
      </c>
      <c r="AH149" s="119">
        <f t="shared" si="38"/>
        <v>1</v>
      </c>
      <c r="AI149" s="119">
        <f t="shared" si="38"/>
        <v>1</v>
      </c>
      <c r="AJ149" s="41" t="str">
        <f t="shared" si="30"/>
        <v>UNKNOWN</v>
      </c>
      <c r="AK149" s="54"/>
      <c r="AL149" s="54" t="str">
        <f t="shared" si="33"/>
        <v>0F</v>
      </c>
      <c r="AM149" s="56" t="str">
        <f t="shared" si="34"/>
        <v>00</v>
      </c>
      <c r="AN149" s="56" t="str">
        <f t="shared" si="35"/>
        <v>00</v>
      </c>
      <c r="AO149" s="56" t="str">
        <f t="shared" si="36"/>
        <v>00</v>
      </c>
      <c r="AQ149" t="str">
        <f t="shared" si="31"/>
        <v xml:space="preserve">    (U4)0x0000000FU,                                                           /* 13 UNKNOWN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1</v>
      </c>
      <c r="AG150" s="119">
        <f t="shared" si="38"/>
        <v>1</v>
      </c>
      <c r="AH150" s="119">
        <f t="shared" si="38"/>
        <v>1</v>
      </c>
      <c r="AI150" s="119">
        <f t="shared" si="38"/>
        <v>1</v>
      </c>
      <c r="AJ150" s="41" t="str">
        <f t="shared" si="30"/>
        <v>UNKNOWN</v>
      </c>
      <c r="AK150" s="54"/>
      <c r="AL150" s="54" t="str">
        <f t="shared" si="33"/>
        <v>0F</v>
      </c>
      <c r="AM150" s="56" t="str">
        <f t="shared" si="34"/>
        <v>00</v>
      </c>
      <c r="AN150" s="56" t="str">
        <f t="shared" si="35"/>
        <v>00</v>
      </c>
      <c r="AO150" s="56" t="str">
        <f t="shared" si="36"/>
        <v>00</v>
      </c>
      <c r="AQ150" t="str">
        <f t="shared" si="31"/>
        <v xml:space="preserve">    (U4)0x0000000FU,                                                           /* 14 UNKNOWN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1</v>
      </c>
      <c r="AG151" s="119">
        <f t="shared" si="38"/>
        <v>1</v>
      </c>
      <c r="AH151" s="119">
        <f t="shared" si="38"/>
        <v>1</v>
      </c>
      <c r="AI151" s="119">
        <f t="shared" ref="AI151" si="39">IF(OR(AI21=0,AI21=1),1,0)</f>
        <v>1</v>
      </c>
      <c r="AJ151" s="41" t="str">
        <f t="shared" si="30"/>
        <v>UNKNOWN</v>
      </c>
      <c r="AK151" s="54"/>
      <c r="AL151" s="54" t="str">
        <f t="shared" si="33"/>
        <v>0F</v>
      </c>
      <c r="AM151" s="56" t="str">
        <f t="shared" si="34"/>
        <v>00</v>
      </c>
      <c r="AN151" s="56" t="str">
        <f t="shared" si="35"/>
        <v>00</v>
      </c>
      <c r="AO151" s="56" t="str">
        <f t="shared" si="36"/>
        <v>00</v>
      </c>
      <c r="AQ151" t="str">
        <f t="shared" si="31"/>
        <v xml:space="preserve">    (U4)0x0000000FU                                                            /* 15 UNKNOWN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AH3 L3:AE3 D6:AJ69" name="Table作成編集範囲"/>
    <protectedRange sqref="AI3 AG3" name="Table作成編集範囲_2"/>
    <protectedRange sqref="B3" name="Table作成編集範囲_1"/>
  </protectedRanges>
  <mergeCells count="4">
    <mergeCell ref="C2:C3"/>
    <mergeCell ref="AJ2:AJ3"/>
    <mergeCell ref="AH3:AI3"/>
    <mergeCell ref="A4:B5"/>
  </mergeCells>
  <phoneticPr fontId="2"/>
  <conditionalFormatting sqref="D41:AI69 AF6:AI9 D6:AE40 AF22:AI40">
    <cfRule type="cellIs" dxfId="173" priority="12" operator="equal">
      <formula>1</formula>
    </cfRule>
    <cfRule type="cellIs" dxfId="172" priority="13" operator="equal">
      <formula>"×"</formula>
    </cfRule>
  </conditionalFormatting>
  <conditionalFormatting sqref="AR5:AS70">
    <cfRule type="expression" dxfId="171" priority="11">
      <formula>$B$3="Index Table"</formula>
    </cfRule>
  </conditionalFormatting>
  <conditionalFormatting sqref="AF10:AI10 AF11:AG13 AF14:AF21">
    <cfRule type="cellIs" dxfId="170" priority="9" operator="equal">
      <formula>1</formula>
    </cfRule>
    <cfRule type="cellIs" dxfId="169" priority="10" operator="equal">
      <formula>"×"</formula>
    </cfRule>
  </conditionalFormatting>
  <conditionalFormatting sqref="AH11:AI13">
    <cfRule type="cellIs" dxfId="168" priority="7" operator="equal">
      <formula>1</formula>
    </cfRule>
    <cfRule type="cellIs" dxfId="167" priority="8" operator="equal">
      <formula>"×"</formula>
    </cfRule>
  </conditionalFormatting>
  <conditionalFormatting sqref="AG14:AI17">
    <cfRule type="cellIs" dxfId="166" priority="5" operator="equal">
      <formula>1</formula>
    </cfRule>
    <cfRule type="cellIs" dxfId="165" priority="6" operator="equal">
      <formula>"×"</formula>
    </cfRule>
  </conditionalFormatting>
  <conditionalFormatting sqref="AG18:AI18 AG19:AG21">
    <cfRule type="cellIs" dxfId="164" priority="3" operator="equal">
      <formula>1</formula>
    </cfRule>
    <cfRule type="cellIs" dxfId="163" priority="4" operator="equal">
      <formula>"×"</formula>
    </cfRule>
  </conditionalFormatting>
  <conditionalFormatting sqref="AH19:AI21">
    <cfRule type="cellIs" dxfId="162" priority="1" operator="equal">
      <formula>1</formula>
    </cfRule>
    <cfRule type="cellIs" dxfId="161"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8" t="s">
        <v>120</v>
      </c>
      <c r="C2" s="326"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28" t="s">
        <v>51</v>
      </c>
    </row>
    <row r="3" spans="1:49" ht="213" customHeight="1" thickBot="1">
      <c r="B3" s="194" t="str">
        <f>IF(OR(IF(COUNTIF(D6:AC69,"0")&lt;&gt;0,TRUE,FALSE),IF(COUNTIF(D6:AC69,"1")&lt;&gt;0,TRUE,FALSE)),"Search Table","Index Table")</f>
        <v>Index Table</v>
      </c>
      <c r="C3" s="327"/>
      <c r="D3" s="120" t="s">
        <v>61</v>
      </c>
      <c r="E3" s="120" t="s">
        <v>66</v>
      </c>
      <c r="F3" s="120" t="s">
        <v>49</v>
      </c>
      <c r="G3" s="120" t="s">
        <v>48</v>
      </c>
      <c r="H3" s="120" t="s">
        <v>118</v>
      </c>
      <c r="I3" s="120" t="s">
        <v>117</v>
      </c>
      <c r="J3" s="120" t="s">
        <v>122</v>
      </c>
      <c r="K3" s="120" t="s">
        <v>121</v>
      </c>
      <c r="L3" s="121" t="s">
        <v>66</v>
      </c>
      <c r="M3" s="121" t="s">
        <v>62</v>
      </c>
      <c r="N3" s="121" t="s">
        <v>62</v>
      </c>
      <c r="O3" s="121" t="s">
        <v>62</v>
      </c>
      <c r="P3" s="121" t="s">
        <v>62</v>
      </c>
      <c r="Q3" s="121" t="s">
        <v>62</v>
      </c>
      <c r="R3" s="121" t="s">
        <v>62</v>
      </c>
      <c r="S3" s="121" t="s">
        <v>62</v>
      </c>
      <c r="T3" s="121" t="s">
        <v>62</v>
      </c>
      <c r="U3" s="121" t="s">
        <v>62</v>
      </c>
      <c r="V3" s="121" t="s">
        <v>62</v>
      </c>
      <c r="W3" s="121" t="s">
        <v>62</v>
      </c>
      <c r="X3" s="121" t="s">
        <v>62</v>
      </c>
      <c r="Y3" s="121" t="s">
        <v>62</v>
      </c>
      <c r="Z3" s="121" t="s">
        <v>62</v>
      </c>
      <c r="AA3" s="121" t="s">
        <v>62</v>
      </c>
      <c r="AB3" s="121" t="s">
        <v>62</v>
      </c>
      <c r="AC3" s="121" t="s">
        <v>62</v>
      </c>
      <c r="AD3" s="121" t="s">
        <v>62</v>
      </c>
      <c r="AE3" s="121" t="s">
        <v>62</v>
      </c>
      <c r="AF3" s="121" t="s">
        <v>62</v>
      </c>
      <c r="AG3" s="190" t="s">
        <v>266</v>
      </c>
      <c r="AH3" s="330" t="s">
        <v>272</v>
      </c>
      <c r="AI3" s="331"/>
      <c r="AJ3" s="329"/>
      <c r="AR3" s="86" t="s">
        <v>93</v>
      </c>
    </row>
    <row r="4" spans="1:49" ht="13.5" thickBot="1">
      <c r="A4" s="332" t="s">
        <v>63</v>
      </c>
      <c r="B4" s="333"/>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23"/>
      <c r="AR4" s="74" t="s">
        <v>79</v>
      </c>
      <c r="AS4" s="75"/>
      <c r="AT4" s="75"/>
      <c r="AU4" s="75"/>
      <c r="AV4" s="75"/>
      <c r="AW4" s="76"/>
    </row>
    <row r="5" spans="1:49" ht="13.5" thickBot="1">
      <c r="A5" s="334"/>
      <c r="B5" s="335"/>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24"/>
      <c r="AR5" s="77" t="str">
        <f ca="1">"static const U4  "&amp;AW8&amp;"["&amp;AW10&amp;"]"&amp;" = {"</f>
        <v>static const U4  u4_sp_ALERT_B_ESWUOC_BC_CRIT[ALERT_B_ESWUOC_BC_NUM_DST] = {</v>
      </c>
      <c r="AS5" s="77" t="str">
        <f ca="1">"static const U4  "&amp;$AW$9&amp;"["&amp;$AW$10&amp;"] = {"</f>
        <v>static const U4  u4_sp_ALERT_B_ESWUOC_BC_MASK[ALERT_B_ESWUOC_BC_NUM_DST] = {</v>
      </c>
      <c r="AT5" s="77" t="str">
        <f ca="1">"static const U1  "&amp;$AW$11&amp;"["&amp;$AW$10&amp;"] = {"</f>
        <v>static const U1  u1_sp_ALERT_B_ESWUOC_BC_DST[ALERT_B_ESWUOC_BC_NUM_DST] = {</v>
      </c>
      <c r="AU5" s="77" t="str">
        <f ca="1">"const ST_ALERT_MTRX "&amp;$AW$12&amp;" = {"</f>
        <v>const ST_ALERT_MTRX st_gp_ALERT_B_ESWUOC_MTRX[4] = {</v>
      </c>
      <c r="AV5" s="59" t="str">
        <f ca="1">"#define "&amp;AW10&amp;REPT(" ",41-LEN(AW10))&amp;"("&amp;AW13&amp;"U)"</f>
        <v>#define ALERT_B_ESWUOC_BC_NUM_DST                (8U)</v>
      </c>
      <c r="AW5" s="60"/>
    </row>
    <row r="6" spans="1:49">
      <c r="B6" s="127" t="str">
        <f ca="1">"Table "&amp;$AW$6</f>
        <v>Table BC</v>
      </c>
      <c r="C6" s="46">
        <f>ROW()-ROW($C$6)</f>
        <v>0</v>
      </c>
      <c r="D6" s="122" t="s">
        <v>67</v>
      </c>
      <c r="E6" s="122" t="s">
        <v>67</v>
      </c>
      <c r="F6" s="122" t="s">
        <v>67</v>
      </c>
      <c r="G6" s="122" t="s">
        <v>67</v>
      </c>
      <c r="H6" s="122" t="s">
        <v>67</v>
      </c>
      <c r="I6" s="122" t="s">
        <v>67</v>
      </c>
      <c r="J6" s="122" t="s">
        <v>67</v>
      </c>
      <c r="K6" s="122" t="s">
        <v>67</v>
      </c>
      <c r="L6" s="122" t="s">
        <v>67</v>
      </c>
      <c r="M6" s="122" t="s">
        <v>67</v>
      </c>
      <c r="N6" s="122" t="s">
        <v>67</v>
      </c>
      <c r="O6" s="122" t="s">
        <v>67</v>
      </c>
      <c r="P6" s="122" t="s">
        <v>67</v>
      </c>
      <c r="Q6" s="122" t="s">
        <v>67</v>
      </c>
      <c r="R6" s="122" t="s">
        <v>67</v>
      </c>
      <c r="S6" s="122" t="s">
        <v>67</v>
      </c>
      <c r="T6" s="122" t="s">
        <v>67</v>
      </c>
      <c r="U6" s="122" t="s">
        <v>67</v>
      </c>
      <c r="V6" s="122" t="s">
        <v>67</v>
      </c>
      <c r="W6" s="122" t="s">
        <v>67</v>
      </c>
      <c r="X6" s="122" t="s">
        <v>67</v>
      </c>
      <c r="Y6" s="122" t="s">
        <v>67</v>
      </c>
      <c r="Z6" s="122" t="s">
        <v>67</v>
      </c>
      <c r="AA6" s="122" t="s">
        <v>67</v>
      </c>
      <c r="AB6" s="122" t="s">
        <v>67</v>
      </c>
      <c r="AC6" s="122" t="s">
        <v>67</v>
      </c>
      <c r="AD6" s="122" t="s">
        <v>67</v>
      </c>
      <c r="AE6" s="122" t="s">
        <v>67</v>
      </c>
      <c r="AF6" s="125" t="s">
        <v>267</v>
      </c>
      <c r="AG6" s="125">
        <v>0</v>
      </c>
      <c r="AH6" s="125">
        <v>0</v>
      </c>
      <c r="AI6" s="125">
        <v>0</v>
      </c>
      <c r="AJ6" s="45" t="s">
        <v>32</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(U4)0x00000007U,                                                           /* 00 UNKNOWN                                         */</v>
      </c>
      <c r="AT6" s="57" t="str">
        <f t="shared" ref="AT6:AT69" si="1">IF(AJ6&lt;&gt;"",AL6&amp;IF(AJ7&lt;&gt;"",","," ")&amp;REPT(" ",78-LEN(AL6))&amp;"/* "&amp;IF(C6&lt;10,"0"&amp;C6,C6)&amp;" "&amp;AJ6&amp;REPT(" ",48-LEN(AJ6))&amp;"*/",IF(AJ5&lt;&gt;"","};",""))</f>
        <v xml:space="preserve">    (U1)ALERT_REQ_UNKNOWN,                                                     /* 00 UNKNOWN                                         */</v>
      </c>
      <c r="AU6" s="57" t="s">
        <v>268</v>
      </c>
      <c r="AV6" s="42" t="s">
        <v>68</v>
      </c>
      <c r="AW6" s="61" t="str">
        <f ca="1">UPPER(RIGHT(CELL("filename",A1),LEN(CELL("filename",A1))-FIND("]",CELL("filename",A1))))</f>
        <v>BC</v>
      </c>
    </row>
    <row r="7" spans="1:49">
      <c r="B7" s="127"/>
      <c r="C7" s="41">
        <f t="shared" ref="C7:C69" si="2">ROW()-ROW($C$6)</f>
        <v>1</v>
      </c>
      <c r="D7" s="55" t="s">
        <v>67</v>
      </c>
      <c r="E7" s="55" t="s">
        <v>67</v>
      </c>
      <c r="F7" s="55" t="s">
        <v>67</v>
      </c>
      <c r="G7" s="55" t="s">
        <v>67</v>
      </c>
      <c r="H7" s="55" t="s">
        <v>67</v>
      </c>
      <c r="I7" s="55" t="s">
        <v>67</v>
      </c>
      <c r="J7" s="55" t="s">
        <v>67</v>
      </c>
      <c r="K7" s="122"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2" t="s">
        <v>67</v>
      </c>
      <c r="AE7" s="122" t="s">
        <v>67</v>
      </c>
      <c r="AF7" s="125" t="s">
        <v>267</v>
      </c>
      <c r="AG7" s="125">
        <v>0</v>
      </c>
      <c r="AH7" s="125">
        <v>0</v>
      </c>
      <c r="AI7" s="125">
        <v>1</v>
      </c>
      <c r="AJ7" s="45" t="s">
        <v>32</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(U4)0x00000007U,                                                           /* 01 UNKNOWN                                         */</v>
      </c>
      <c r="AT7" s="57" t="str">
        <f t="shared" si="1"/>
        <v xml:space="preserve">    (U1)ALERT_REQ_UNKNOWN,                                                     /* 01 UNKNOWN                                         */</v>
      </c>
      <c r="AU7" s="57" t="str">
        <f ca="1">"        &amp;"&amp;$AW$14&amp;","&amp;REPT(" ",69-LEN($AW$14))&amp;"/* fp_u4_SRC_CHK                                      */"</f>
        <v xml:space="preserve">        &amp;u4_s_AlertB_eswuocBcSrcchk,                                           /* fp_u4_SRC_CHK                                      */</v>
      </c>
      <c r="AV7" s="43" t="s">
        <v>69</v>
      </c>
      <c r="AW7" s="126">
        <f>IF(B3="Search Table",1,0)</f>
        <v>0</v>
      </c>
    </row>
    <row r="8" spans="1:49">
      <c r="B8" s="127"/>
      <c r="C8" s="41">
        <f t="shared" si="2"/>
        <v>2</v>
      </c>
      <c r="D8" s="55" t="s">
        <v>67</v>
      </c>
      <c r="E8" s="55" t="s">
        <v>67</v>
      </c>
      <c r="F8" s="55" t="s">
        <v>67</v>
      </c>
      <c r="G8" s="55"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55" t="s">
        <v>67</v>
      </c>
      <c r="AE8" s="55" t="s">
        <v>67</v>
      </c>
      <c r="AF8" s="125" t="s">
        <v>267</v>
      </c>
      <c r="AG8" s="125">
        <v>0</v>
      </c>
      <c r="AH8" s="125">
        <v>1</v>
      </c>
      <c r="AI8" s="125">
        <v>0</v>
      </c>
      <c r="AJ8" s="45" t="s">
        <v>302</v>
      </c>
      <c r="AL8" t="str">
        <f t="shared" ca="1" si="0"/>
        <v xml:space="preserve">    (U1)ALERT_REQ_B_ESWUOC_BC_DOUBLE</v>
      </c>
      <c r="AR8" s="57" t="str">
        <f t="shared" si="3"/>
        <v xml:space="preserve">    (U4)0x00000002U,                                                           /* 02 DOUBLE                                          */</v>
      </c>
      <c r="AS8" s="57" t="str">
        <f t="shared" si="4"/>
        <v xml:space="preserve">    (U4)0x00000007U,                                                           /* 02 DOUBLE                                          */</v>
      </c>
      <c r="AT8" s="57" t="str">
        <f ca="1">IF(AJ8&lt;&gt;"",AL8&amp;IF(AJ9&lt;&gt;"",","," ")&amp;REPT(" ",78-LEN(AL8))&amp;"/* "&amp;IF(C8&lt;10,"0"&amp;C8,C8)&amp;" "&amp;AJ8&amp;REPT(" ",48-LEN(AJ8))&amp;"*/",IF(AJ7&lt;&gt;"","};",""))</f>
        <v xml:space="preserve">    (U1)ALERT_REQ_B_ESWUOC_BC_DOUBLE,                                          /* 02 DOUBLE                                          */</v>
      </c>
      <c r="AU8" s="57" t="str">
        <f ca="1">IF($AW$15&lt;&gt;"NULL","        &amp;"&amp;$AW$15&amp;","&amp;REPT(" ",69-LEN($AW$15))&amp;"/* fp_vd_XDST                                         */","        (void *)NULL,                                                          /* fp_vd_XDST                                         */")</f>
        <v xml:space="preserve">        (void *)NULL,                                                          /* fp_vd_XDST                                         */</v>
      </c>
      <c r="AV8" s="43" t="s">
        <v>70</v>
      </c>
      <c r="AW8" s="62" t="str">
        <f ca="1">"u4_sp_ALERT_"&amp;IF(AW6&lt;&gt;AW17,$AW$17&amp;"_"&amp;$AW$6,AW17)&amp;"_CRIT"</f>
        <v>u4_sp_ALERT_B_ESWUOC_BC_CRIT</v>
      </c>
    </row>
    <row r="9" spans="1:49">
      <c r="B9" s="127"/>
      <c r="C9" s="41">
        <f t="shared" si="2"/>
        <v>3</v>
      </c>
      <c r="D9" s="55" t="s">
        <v>67</v>
      </c>
      <c r="E9" s="55" t="s">
        <v>67</v>
      </c>
      <c r="F9" s="55" t="s">
        <v>67</v>
      </c>
      <c r="G9" s="55"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55" t="s">
        <v>67</v>
      </c>
      <c r="AE9" s="55" t="s">
        <v>67</v>
      </c>
      <c r="AF9" s="125" t="s">
        <v>267</v>
      </c>
      <c r="AG9" s="125">
        <v>0</v>
      </c>
      <c r="AH9" s="125">
        <v>1</v>
      </c>
      <c r="AI9" s="125">
        <v>1</v>
      </c>
      <c r="AJ9" s="45" t="s">
        <v>32</v>
      </c>
      <c r="AL9" t="str">
        <f t="shared" si="0"/>
        <v xml:space="preserve">    (U1)ALERT_REQ_UNKNOWN</v>
      </c>
      <c r="AR9" s="57" t="str">
        <f t="shared" si="3"/>
        <v xml:space="preserve">    (U4)0x00000003U,                                                           /* 03 UNKNOWN                                         */</v>
      </c>
      <c r="AS9" s="57" t="str">
        <f t="shared" si="4"/>
        <v xml:space="preserve">    (U4)0x00000007U,                                                           /* 03 UNKNOWN                                         */</v>
      </c>
      <c r="AT9" s="57" t="str">
        <f t="shared" si="1"/>
        <v xml:space="preserve">    (U1)ALERT_REQ_UNKNOWN,                                                     /* 03 UNKNOWN                                         */</v>
      </c>
      <c r="AU9" s="57"/>
      <c r="AV9" s="43" t="s">
        <v>71</v>
      </c>
      <c r="AW9" s="62" t="str">
        <f ca="1">"u4_sp_ALERT_"&amp;IF(AW6&lt;&gt;AW17,$AW$17&amp;"_"&amp;$AW$6,AW17)&amp;"_MASK"</f>
        <v>u4_sp_ALERT_B_ESWUOC_BC_MASK</v>
      </c>
    </row>
    <row r="10" spans="1:49">
      <c r="B10" s="127"/>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55" t="s">
        <v>67</v>
      </c>
      <c r="AE10" s="55" t="s">
        <v>67</v>
      </c>
      <c r="AF10" s="125" t="s">
        <v>267</v>
      </c>
      <c r="AG10" s="125">
        <v>1</v>
      </c>
      <c r="AH10" s="125">
        <v>0</v>
      </c>
      <c r="AI10" s="125">
        <v>0</v>
      </c>
      <c r="AJ10" s="45" t="s">
        <v>259</v>
      </c>
      <c r="AL10" t="str">
        <f t="shared" si="0"/>
        <v xml:space="preserve">    (U1)ALERT_REQ_UNKNOWN</v>
      </c>
      <c r="AR10" s="57" t="str">
        <f t="shared" si="3"/>
        <v xml:space="preserve">    (U4)0x00000004U,                                                           /* 04 UNKNOWN                                         */</v>
      </c>
      <c r="AS10" s="57" t="str">
        <f t="shared" si="4"/>
        <v xml:space="preserve">    (U4)0x00000007U,                                                           /* 04 UNKNOWN                                         */</v>
      </c>
      <c r="AT10" s="57" t="str">
        <f t="shared" si="1"/>
        <v xml:space="preserve">    (U1)ALERT_REQ_UNKNOWN,                                                     /* 04 UNKNOWN                                         */</v>
      </c>
      <c r="AU10" s="57" t="str">
        <f>IF($AW$7=1,"        &amp;"&amp;$AW$9&amp;"[0],"&amp;REPT(" ",66-LEN($AW$9))&amp;"/* u4p_MASK                                           */","        (const U4 *)NULL,                                                      /* u4p_MASK                                           */")</f>
        <v xml:space="preserve">        (const U4 *)NULL,                                                      /* u4p_MASK                                           */</v>
      </c>
      <c r="AV10" s="43" t="s">
        <v>72</v>
      </c>
      <c r="AW10" s="62" t="str">
        <f ca="1">"ALERT_"&amp;IF(AW6&lt;&gt;AW17,$AW$17&amp;"_"&amp;$AW$6,AW17)&amp;"_NUM_DST"</f>
        <v>ALERT_B_ESWUOC_BC_NUM_DST</v>
      </c>
    </row>
    <row r="11" spans="1:49">
      <c r="B11" s="127"/>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55" t="s">
        <v>67</v>
      </c>
      <c r="AE11" s="55" t="s">
        <v>67</v>
      </c>
      <c r="AF11" s="125" t="s">
        <v>267</v>
      </c>
      <c r="AG11" s="125">
        <v>1</v>
      </c>
      <c r="AH11" s="125">
        <v>0</v>
      </c>
      <c r="AI11" s="125">
        <v>1</v>
      </c>
      <c r="AJ11" s="45" t="s">
        <v>32</v>
      </c>
      <c r="AL11" t="str">
        <f t="shared" si="0"/>
        <v xml:space="preserve">    (U1)ALERT_REQ_UNKNOWN</v>
      </c>
      <c r="AR11" s="57" t="str">
        <f t="shared" si="3"/>
        <v xml:space="preserve">    (U4)0x00000005U,                                                           /* 05 UNKNOWN                                         */</v>
      </c>
      <c r="AS11" s="57" t="str">
        <f t="shared" si="4"/>
        <v xml:space="preserve">    (U4)0x00000007U,                                                           /* 05 UNKNOWN                                         */</v>
      </c>
      <c r="AT11" s="57" t="str">
        <f t="shared" si="1"/>
        <v xml:space="preserve">    (U1)ALERT_REQ_UNKNOWN,                                                     /* 05 UNKNOWN                                         */</v>
      </c>
      <c r="AU11" s="57" t="str">
        <f>IF($AW$7=1,"        &amp;"&amp;$AW$8&amp;"[0],"&amp;REPT(" ",66-LEN($AW$8))&amp;"/* u4p_CRIT                                           */","        (const U4 *)NULL,                                                      /* u4p_CRIT                                           */")</f>
        <v xml:space="preserve">        (const U4 *)NULL,                                                      /* u4p_CRIT                                           */</v>
      </c>
      <c r="AV11" s="43" t="s">
        <v>73</v>
      </c>
      <c r="AW11" s="62" t="str">
        <f ca="1">"u1_sp_ALERT_"&amp;IF(AW6&lt;&gt;AW17,$AW$17&amp;"_"&amp;$AW$6,AW17)&amp;"_DST"</f>
        <v>u1_sp_ALERT_B_ESWUOC_BC_DST</v>
      </c>
    </row>
    <row r="12" spans="1:49">
      <c r="B12" s="127"/>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55" t="s">
        <v>67</v>
      </c>
      <c r="AE12" s="55" t="s">
        <v>67</v>
      </c>
      <c r="AF12" s="125" t="s">
        <v>267</v>
      </c>
      <c r="AG12" s="125">
        <v>1</v>
      </c>
      <c r="AH12" s="125">
        <v>1</v>
      </c>
      <c r="AI12" s="125">
        <v>0</v>
      </c>
      <c r="AJ12" s="45" t="s">
        <v>32</v>
      </c>
      <c r="AL12" t="str">
        <f t="shared" si="0"/>
        <v xml:space="preserve">    (U1)ALERT_REQ_UNKNOWN</v>
      </c>
      <c r="AR12" s="57" t="str">
        <f t="shared" si="3"/>
        <v xml:space="preserve">    (U4)0x00000006U,                                                           /* 06 UNKNOWN                                         */</v>
      </c>
      <c r="AS12" s="57" t="str">
        <f t="shared" si="4"/>
        <v xml:space="preserve">    (U4)0x00000007U,                                                           /* 06 UNKNOWN                                         */</v>
      </c>
      <c r="AT12" s="57" t="str">
        <f t="shared" si="1"/>
        <v xml:space="preserve">    (U1)ALERT_REQ_UNKNOWN,                                                     /* 06 UNKNOWN                                         */</v>
      </c>
      <c r="AU12" s="57"/>
      <c r="AV12" s="43" t="s">
        <v>85</v>
      </c>
      <c r="AW12" s="62" t="str">
        <f ca="1">Matrix!D8&amp;"["&amp;Matrix!D7&amp;"]"</f>
        <v>st_gp_ALERT_B_ESWUOC_MTRX[4]</v>
      </c>
    </row>
    <row r="13" spans="1:49">
      <c r="B13" s="127"/>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55" t="s">
        <v>67</v>
      </c>
      <c r="AE13" s="55" t="s">
        <v>67</v>
      </c>
      <c r="AF13" s="125" t="s">
        <v>267</v>
      </c>
      <c r="AG13" s="125">
        <v>1</v>
      </c>
      <c r="AH13" s="125">
        <v>1</v>
      </c>
      <c r="AI13" s="125">
        <v>1</v>
      </c>
      <c r="AJ13" s="45" t="s">
        <v>32</v>
      </c>
      <c r="AL13" t="str">
        <f t="shared" si="0"/>
        <v xml:space="preserve">    (U1)ALERT_REQ_UNKNOWN</v>
      </c>
      <c r="AR13" s="57" t="str">
        <f t="shared" si="3"/>
        <v xml:space="preserve">    (U4)0x00000007U                                                            /* 07 UNKNOWN                                         */</v>
      </c>
      <c r="AS13" s="57" t="str">
        <f t="shared" si="4"/>
        <v xml:space="preserve">    (U4)0x00000007U                                                            /* 07 UNKNOWN                                         */</v>
      </c>
      <c r="AT13" s="57" t="str">
        <f t="shared" si="1"/>
        <v xml:space="preserve">    (U1)ALERT_REQ_UNKNOWN                                                      /* 07 UNKNOWN                                         */</v>
      </c>
      <c r="AU13" s="57" t="str">
        <f ca="1">"        &amp;"&amp;$AW$11&amp;"[0],"&amp;REPT(" ",66-LEN($AW$11))&amp;"/* u1p_DST                                            */"</f>
        <v xml:space="preserve">        &amp;u1_sp_ALERT_B_ESWUOC_BC_DST[0],                                       /* u1p_DST                                            */</v>
      </c>
      <c r="AV13" s="43" t="s">
        <v>74</v>
      </c>
      <c r="AW13" s="126">
        <f>COUNTA($AJ$6:$AJ$69)</f>
        <v>8</v>
      </c>
    </row>
    <row r="14" spans="1:49">
      <c r="B14" s="127"/>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55" t="s">
        <v>67</v>
      </c>
      <c r="AE14" s="55" t="s">
        <v>67</v>
      </c>
      <c r="AF14" s="125" t="s">
        <v>267</v>
      </c>
      <c r="AG14" s="125" t="s">
        <v>267</v>
      </c>
      <c r="AH14" s="125" t="s">
        <v>267</v>
      </c>
      <c r="AI14" s="125" t="s">
        <v>267</v>
      </c>
      <c r="AJ14" s="45"/>
      <c r="AL14" t="str">
        <f t="shared" ca="1" si="0"/>
        <v xml:space="preserve">    (U1)ALERT_REQ_B_ESWUOC_BC_</v>
      </c>
      <c r="AR14" s="57" t="str">
        <f t="shared" si="3"/>
        <v>};</v>
      </c>
      <c r="AS14" s="57" t="str">
        <f t="shared" si="4"/>
        <v>};</v>
      </c>
      <c r="AT14" s="57" t="str">
        <f t="shared" si="1"/>
        <v>};</v>
      </c>
      <c r="AU14" s="57" t="str">
        <f ca="1">"        (U2)"&amp;$AW$10&amp;","&amp;REPT(" ",66-LEN($AW$10))&amp;"/* u2_num_srch                                        */"</f>
        <v xml:space="preserve">        (U2)ALERT_B_ESWUOC_BC_NUM_DST,                                         /* u2_num_srch                                        */</v>
      </c>
      <c r="AV14" s="43" t="s">
        <v>75</v>
      </c>
      <c r="AW14" s="62" t="str">
        <f ca="1">IF(AW6&lt;&gt;AW17,VLOOKUP(AW6,Matrix!$C$13:$G$37,4,FALSE),Matrix!F13)</f>
        <v>u4_s_AlertB_eswuocBcSrcchk</v>
      </c>
    </row>
    <row r="15" spans="1:49">
      <c r="B15" s="127"/>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t="s">
        <v>67</v>
      </c>
      <c r="AE15" s="55" t="s">
        <v>67</v>
      </c>
      <c r="AF15" s="125" t="s">
        <v>267</v>
      </c>
      <c r="AG15" s="125" t="s">
        <v>267</v>
      </c>
      <c r="AH15" s="125" t="s">
        <v>267</v>
      </c>
      <c r="AI15" s="125" t="s">
        <v>267</v>
      </c>
      <c r="AJ15" s="45"/>
      <c r="AL15" t="str">
        <f t="shared" ca="1" si="0"/>
        <v xml:space="preserve">    (U1)ALERT_REQ_B_ESWUOC_BC_</v>
      </c>
      <c r="AR15" s="57" t="str">
        <f t="shared" si="3"/>
        <v/>
      </c>
      <c r="AS15" s="57" t="str">
        <f t="shared" si="4"/>
        <v/>
      </c>
      <c r="AT15" s="57" t="str">
        <f t="shared" si="1"/>
        <v/>
      </c>
      <c r="AU15" s="57" t="str">
        <f ca="1">"        (U1)"&amp;$AW$16&amp;REPT(" ",67-LEN($AW$16))&amp;"/* u1_vom_act                                         */"</f>
        <v xml:space="preserve">        (U1)ALERT_VOM_IGN_ON                                                   /* u1_vom_act                                         */</v>
      </c>
      <c r="AV15" s="43" t="s">
        <v>78</v>
      </c>
      <c r="AW15" s="62" t="str">
        <f ca="1">IF(AW6&lt;&gt;AW17,VLOOKUP(AW6,Matrix!$C$13:$G$37,5,FALSE),Matrix!G13)</f>
        <v>NULL</v>
      </c>
    </row>
    <row r="16" spans="1:49">
      <c r="B16" s="127"/>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t="s">
        <v>67</v>
      </c>
      <c r="AE16" s="55" t="s">
        <v>67</v>
      </c>
      <c r="AF16" s="125" t="s">
        <v>267</v>
      </c>
      <c r="AG16" s="125" t="s">
        <v>267</v>
      </c>
      <c r="AH16" s="125" t="s">
        <v>267</v>
      </c>
      <c r="AI16" s="125" t="s">
        <v>267</v>
      </c>
      <c r="AJ16" s="45"/>
      <c r="AL16" t="str">
        <f t="shared" ca="1" si="0"/>
        <v xml:space="preserve">    (U1)ALERT_REQ_B_ESWUOC_BC_</v>
      </c>
      <c r="AR16" s="57" t="str">
        <f t="shared" si="3"/>
        <v/>
      </c>
      <c r="AS16" s="57" t="str">
        <f t="shared" si="4"/>
        <v/>
      </c>
      <c r="AT16" s="57" t="str">
        <f t="shared" si="1"/>
        <v/>
      </c>
      <c r="AU16" s="57" t="s">
        <v>269</v>
      </c>
      <c r="AV16" s="43" t="s">
        <v>76</v>
      </c>
      <c r="AW16" s="62" t="str">
        <f ca="1">IF(AW6&lt;&gt;AW17,VLOOKUP(AW6,Matrix!$C$13:$G$37,2,FALSE),Matrix!D13)</f>
        <v>ALERT_VOM_IGN_ON</v>
      </c>
    </row>
    <row r="17" spans="2:49" ht="13.5" thickBot="1">
      <c r="B17" s="127"/>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t="s">
        <v>67</v>
      </c>
      <c r="AE17" s="55" t="s">
        <v>67</v>
      </c>
      <c r="AF17" s="125" t="s">
        <v>267</v>
      </c>
      <c r="AG17" s="125" t="s">
        <v>267</v>
      </c>
      <c r="AH17" s="125" t="s">
        <v>267</v>
      </c>
      <c r="AI17" s="125" t="s">
        <v>267</v>
      </c>
      <c r="AJ17" s="45"/>
      <c r="AL17" t="str">
        <f t="shared" ca="1" si="0"/>
        <v xml:space="preserve">    (U1)ALERT_REQ_B_ESWUOC_BC_</v>
      </c>
      <c r="AR17" s="57" t="str">
        <f t="shared" si="3"/>
        <v/>
      </c>
      <c r="AS17" s="57" t="str">
        <f t="shared" si="4"/>
        <v/>
      </c>
      <c r="AT17" s="57" t="str">
        <f t="shared" si="1"/>
        <v/>
      </c>
      <c r="AU17" s="58" t="s">
        <v>270</v>
      </c>
      <c r="AV17" s="44" t="s">
        <v>77</v>
      </c>
      <c r="AW17" s="63" t="str">
        <f ca="1">UPPER(Matrix!$D$6)</f>
        <v>B_ESWUOC</v>
      </c>
    </row>
    <row r="18" spans="2:49">
      <c r="B18" s="127"/>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t="s">
        <v>67</v>
      </c>
      <c r="AE18" s="55" t="s">
        <v>67</v>
      </c>
      <c r="AF18" s="125" t="s">
        <v>267</v>
      </c>
      <c r="AG18" s="125" t="s">
        <v>267</v>
      </c>
      <c r="AH18" s="125" t="s">
        <v>267</v>
      </c>
      <c r="AI18" s="125" t="s">
        <v>267</v>
      </c>
      <c r="AJ18" s="45"/>
      <c r="AL18" t="str">
        <f t="shared" ca="1" si="0"/>
        <v xml:space="preserve">    (U1)ALERT_REQ_B_ESWUOC_BC_</v>
      </c>
      <c r="AR18" s="57" t="str">
        <f t="shared" si="3"/>
        <v/>
      </c>
      <c r="AS18" s="57" t="str">
        <f t="shared" si="4"/>
        <v/>
      </c>
      <c r="AT18" s="57" t="str">
        <f t="shared" si="1"/>
        <v/>
      </c>
    </row>
    <row r="19" spans="2:49">
      <c r="B19" s="127"/>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t="s">
        <v>67</v>
      </c>
      <c r="AE19" s="55" t="s">
        <v>67</v>
      </c>
      <c r="AF19" s="125" t="s">
        <v>267</v>
      </c>
      <c r="AG19" s="125" t="s">
        <v>267</v>
      </c>
      <c r="AH19" s="125" t="s">
        <v>267</v>
      </c>
      <c r="AI19" s="125" t="s">
        <v>267</v>
      </c>
      <c r="AJ19" s="45"/>
      <c r="AL19" t="str">
        <f t="shared" ca="1" si="0"/>
        <v xml:space="preserve">    (U1)ALERT_REQ_B_ESWUOC_BC_</v>
      </c>
      <c r="AR19" s="57" t="str">
        <f t="shared" si="3"/>
        <v/>
      </c>
      <c r="AS19" s="57" t="str">
        <f t="shared" si="4"/>
        <v/>
      </c>
      <c r="AT19" s="57" t="str">
        <f t="shared" si="1"/>
        <v/>
      </c>
    </row>
    <row r="20" spans="2:49">
      <c r="B20" s="127"/>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t="s">
        <v>67</v>
      </c>
      <c r="AE20" s="55" t="s">
        <v>67</v>
      </c>
      <c r="AF20" s="125" t="s">
        <v>267</v>
      </c>
      <c r="AG20" s="125" t="s">
        <v>267</v>
      </c>
      <c r="AH20" s="125" t="s">
        <v>267</v>
      </c>
      <c r="AI20" s="125" t="s">
        <v>267</v>
      </c>
      <c r="AJ20" s="45"/>
      <c r="AL20" t="str">
        <f t="shared" ca="1" si="0"/>
        <v xml:space="preserve">    (U1)ALERT_REQ_B_ESWUOC_BC_</v>
      </c>
      <c r="AR20" s="57" t="str">
        <f t="shared" si="3"/>
        <v/>
      </c>
      <c r="AS20" s="57" t="str">
        <f t="shared" si="4"/>
        <v/>
      </c>
      <c r="AT20" s="57" t="str">
        <f t="shared" si="1"/>
        <v/>
      </c>
    </row>
    <row r="21" spans="2:49">
      <c r="B21" s="127"/>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t="s">
        <v>67</v>
      </c>
      <c r="AE21" s="55" t="s">
        <v>67</v>
      </c>
      <c r="AF21" s="125" t="s">
        <v>267</v>
      </c>
      <c r="AG21" s="125" t="s">
        <v>267</v>
      </c>
      <c r="AH21" s="125" t="s">
        <v>267</v>
      </c>
      <c r="AI21" s="125" t="s">
        <v>267</v>
      </c>
      <c r="AJ21" s="45"/>
      <c r="AL21" t="str">
        <f t="shared" ca="1" si="0"/>
        <v xml:space="preserve">    (U1)ALERT_REQ_B_ESWUOC_BC_</v>
      </c>
      <c r="AR21" s="57" t="str">
        <f t="shared" si="3"/>
        <v/>
      </c>
      <c r="AS21" s="57" t="str">
        <f t="shared" si="4"/>
        <v/>
      </c>
      <c r="AT21" s="57" t="str">
        <f t="shared" si="1"/>
        <v/>
      </c>
    </row>
    <row r="22" spans="2:49">
      <c r="B22" s="127"/>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t="s">
        <v>67</v>
      </c>
      <c r="AE22" s="55" t="s">
        <v>67</v>
      </c>
      <c r="AF22" s="55" t="s">
        <v>267</v>
      </c>
      <c r="AG22" s="55" t="s">
        <v>67</v>
      </c>
      <c r="AH22" s="55" t="s">
        <v>67</v>
      </c>
      <c r="AI22" s="55" t="s">
        <v>67</v>
      </c>
      <c r="AJ22" s="45"/>
      <c r="AL22" t="str">
        <f t="shared" ca="1" si="0"/>
        <v xml:space="preserve">    (U1)ALERT_REQ_B_ESWUOC_BC_</v>
      </c>
      <c r="AR22" s="57" t="str">
        <f t="shared" si="3"/>
        <v/>
      </c>
      <c r="AS22" s="57" t="str">
        <f t="shared" si="4"/>
        <v/>
      </c>
      <c r="AT22" s="57" t="str">
        <f t="shared" si="1"/>
        <v/>
      </c>
    </row>
    <row r="23" spans="2:49">
      <c r="B23" s="127"/>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t="s">
        <v>67</v>
      </c>
      <c r="AE23" s="55" t="s">
        <v>67</v>
      </c>
      <c r="AF23" s="55" t="s">
        <v>67</v>
      </c>
      <c r="AG23" s="55" t="s">
        <v>67</v>
      </c>
      <c r="AH23" s="55" t="s">
        <v>67</v>
      </c>
      <c r="AI23" s="55" t="s">
        <v>67</v>
      </c>
      <c r="AJ23" s="45"/>
      <c r="AL23" t="str">
        <f t="shared" ca="1" si="0"/>
        <v xml:space="preserve">    (U1)ALERT_REQ_B_ESWUOC_BC_</v>
      </c>
      <c r="AR23" s="57" t="str">
        <f t="shared" si="3"/>
        <v/>
      </c>
      <c r="AS23" s="57" t="str">
        <f t="shared" si="4"/>
        <v/>
      </c>
      <c r="AT23" s="57" t="str">
        <f t="shared" si="1"/>
        <v/>
      </c>
    </row>
    <row r="24" spans="2:49">
      <c r="B24" s="127"/>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t="s">
        <v>67</v>
      </c>
      <c r="AE24" s="55" t="s">
        <v>67</v>
      </c>
      <c r="AF24" s="55" t="s">
        <v>67</v>
      </c>
      <c r="AG24" s="55" t="s">
        <v>67</v>
      </c>
      <c r="AH24" s="55" t="s">
        <v>67</v>
      </c>
      <c r="AI24" s="55" t="s">
        <v>67</v>
      </c>
      <c r="AJ24" s="45"/>
      <c r="AL24" t="str">
        <f t="shared" ca="1" si="0"/>
        <v xml:space="preserve">    (U1)ALERT_REQ_B_ESWUOC_BC_</v>
      </c>
      <c r="AR24" s="57" t="str">
        <f t="shared" si="3"/>
        <v/>
      </c>
      <c r="AS24" s="57" t="str">
        <f t="shared" si="4"/>
        <v/>
      </c>
      <c r="AT24" s="57" t="str">
        <f t="shared" si="1"/>
        <v/>
      </c>
    </row>
    <row r="25" spans="2:49">
      <c r="B25" s="127"/>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t="s">
        <v>67</v>
      </c>
      <c r="AE25" s="55" t="s">
        <v>67</v>
      </c>
      <c r="AF25" s="55" t="s">
        <v>67</v>
      </c>
      <c r="AG25" s="55" t="s">
        <v>67</v>
      </c>
      <c r="AH25" s="55" t="s">
        <v>67</v>
      </c>
      <c r="AI25" s="55" t="s">
        <v>67</v>
      </c>
      <c r="AJ25" s="45"/>
      <c r="AL25" t="str">
        <f t="shared" ca="1" si="0"/>
        <v xml:space="preserve">    (U1)ALERT_REQ_B_ESWUOC_BC_</v>
      </c>
      <c r="AR25" s="57" t="str">
        <f t="shared" si="3"/>
        <v/>
      </c>
      <c r="AS25" s="57" t="str">
        <f t="shared" si="4"/>
        <v/>
      </c>
      <c r="AT25" s="57" t="str">
        <f t="shared" si="1"/>
        <v/>
      </c>
    </row>
    <row r="26" spans="2:49">
      <c r="B26" s="127"/>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t="s">
        <v>67</v>
      </c>
      <c r="AE26" s="55" t="s">
        <v>67</v>
      </c>
      <c r="AF26" s="55" t="s">
        <v>67</v>
      </c>
      <c r="AG26" s="55" t="s">
        <v>67</v>
      </c>
      <c r="AH26" s="55" t="s">
        <v>67</v>
      </c>
      <c r="AI26" s="55" t="s">
        <v>67</v>
      </c>
      <c r="AJ26" s="45"/>
      <c r="AL26" t="str">
        <f t="shared" ca="1" si="0"/>
        <v xml:space="preserve">    (U1)ALERT_REQ_B_ESWUOC_BC_</v>
      </c>
      <c r="AR26" s="57" t="str">
        <f t="shared" si="3"/>
        <v/>
      </c>
      <c r="AS26" s="57" t="str">
        <f t="shared" si="4"/>
        <v/>
      </c>
      <c r="AT26" s="57" t="str">
        <f t="shared" si="1"/>
        <v/>
      </c>
    </row>
    <row r="27" spans="2:49">
      <c r="B27" s="127"/>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t="s">
        <v>67</v>
      </c>
      <c r="AE27" s="55" t="s">
        <v>67</v>
      </c>
      <c r="AF27" s="55" t="s">
        <v>67</v>
      </c>
      <c r="AG27" s="55" t="s">
        <v>67</v>
      </c>
      <c r="AH27" s="55" t="s">
        <v>67</v>
      </c>
      <c r="AI27" s="55" t="s">
        <v>67</v>
      </c>
      <c r="AJ27" s="45"/>
      <c r="AL27" t="str">
        <f t="shared" ca="1" si="0"/>
        <v xml:space="preserve">    (U1)ALERT_REQ_B_ESWUOC_BC_</v>
      </c>
      <c r="AR27" s="57" t="str">
        <f t="shared" si="3"/>
        <v/>
      </c>
      <c r="AS27" s="57" t="str">
        <f t="shared" si="4"/>
        <v/>
      </c>
      <c r="AT27" s="57" t="str">
        <f t="shared" si="1"/>
        <v/>
      </c>
    </row>
    <row r="28" spans="2:49">
      <c r="B28" s="127"/>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t="s">
        <v>67</v>
      </c>
      <c r="AE28" s="55" t="s">
        <v>67</v>
      </c>
      <c r="AF28" s="55" t="s">
        <v>67</v>
      </c>
      <c r="AG28" s="55" t="s">
        <v>67</v>
      </c>
      <c r="AH28" s="55" t="s">
        <v>67</v>
      </c>
      <c r="AI28" s="55" t="s">
        <v>67</v>
      </c>
      <c r="AJ28" s="45"/>
      <c r="AL28" t="str">
        <f t="shared" ca="1" si="0"/>
        <v xml:space="preserve">    (U1)ALERT_REQ_B_ESWUOC_BC_</v>
      </c>
      <c r="AR28" s="57" t="str">
        <f t="shared" si="3"/>
        <v/>
      </c>
      <c r="AS28" s="57" t="str">
        <f t="shared" si="4"/>
        <v/>
      </c>
      <c r="AT28" s="57" t="str">
        <f t="shared" si="1"/>
        <v/>
      </c>
    </row>
    <row r="29" spans="2:49">
      <c r="B29" s="127"/>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t="s">
        <v>67</v>
      </c>
      <c r="AE29" s="55" t="s">
        <v>67</v>
      </c>
      <c r="AF29" s="55" t="s">
        <v>67</v>
      </c>
      <c r="AG29" s="55" t="s">
        <v>67</v>
      </c>
      <c r="AH29" s="55" t="s">
        <v>67</v>
      </c>
      <c r="AI29" s="55" t="s">
        <v>67</v>
      </c>
      <c r="AJ29" s="45"/>
      <c r="AL29" t="str">
        <f t="shared" ca="1" si="0"/>
        <v xml:space="preserve">    (U1)ALERT_REQ_B_ESWUOC_BC_</v>
      </c>
      <c r="AR29" s="57" t="str">
        <f t="shared" si="3"/>
        <v/>
      </c>
      <c r="AS29" s="57" t="str">
        <f t="shared" si="4"/>
        <v/>
      </c>
      <c r="AT29" s="57" t="str">
        <f t="shared" si="1"/>
        <v/>
      </c>
    </row>
    <row r="30" spans="2:49">
      <c r="B30" s="127"/>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t="s">
        <v>67</v>
      </c>
      <c r="AE30" s="55" t="s">
        <v>67</v>
      </c>
      <c r="AF30" s="55" t="s">
        <v>67</v>
      </c>
      <c r="AG30" s="55" t="s">
        <v>67</v>
      </c>
      <c r="AH30" s="55" t="s">
        <v>67</v>
      </c>
      <c r="AI30" s="55" t="s">
        <v>67</v>
      </c>
      <c r="AJ30" s="45"/>
      <c r="AL30" t="str">
        <f t="shared" ca="1" si="0"/>
        <v xml:space="preserve">    (U1)ALERT_REQ_B_ESWUOC_BC_</v>
      </c>
      <c r="AR30" s="57" t="str">
        <f t="shared" si="3"/>
        <v/>
      </c>
      <c r="AS30" s="57" t="str">
        <f t="shared" si="4"/>
        <v/>
      </c>
      <c r="AT30" s="57" t="str">
        <f t="shared" si="1"/>
        <v/>
      </c>
    </row>
    <row r="31" spans="2:49">
      <c r="B31" s="127"/>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t="s">
        <v>67</v>
      </c>
      <c r="AE31" s="55" t="s">
        <v>67</v>
      </c>
      <c r="AF31" s="55" t="s">
        <v>67</v>
      </c>
      <c r="AG31" s="55" t="s">
        <v>67</v>
      </c>
      <c r="AH31" s="55" t="s">
        <v>67</v>
      </c>
      <c r="AI31" s="55" t="s">
        <v>67</v>
      </c>
      <c r="AJ31" s="45"/>
      <c r="AL31" t="str">
        <f t="shared" ca="1" si="0"/>
        <v xml:space="preserve">    (U1)ALERT_REQ_B_ESWUOC_BC_</v>
      </c>
      <c r="AR31" s="57" t="str">
        <f t="shared" si="3"/>
        <v/>
      </c>
      <c r="AS31" s="57" t="str">
        <f t="shared" si="4"/>
        <v/>
      </c>
      <c r="AT31" s="57" t="str">
        <f t="shared" si="1"/>
        <v/>
      </c>
    </row>
    <row r="32" spans="2:49">
      <c r="B32" s="127"/>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t="s">
        <v>67</v>
      </c>
      <c r="AE32" s="55" t="s">
        <v>67</v>
      </c>
      <c r="AF32" s="55" t="s">
        <v>67</v>
      </c>
      <c r="AG32" s="55" t="s">
        <v>67</v>
      </c>
      <c r="AH32" s="55" t="s">
        <v>67</v>
      </c>
      <c r="AI32" s="55" t="s">
        <v>67</v>
      </c>
      <c r="AJ32" s="45"/>
      <c r="AL32" t="str">
        <f t="shared" ca="1" si="0"/>
        <v xml:space="preserve">    (U1)ALERT_REQ_B_ESWUOC_BC_</v>
      </c>
      <c r="AR32" s="57" t="str">
        <f t="shared" si="3"/>
        <v/>
      </c>
      <c r="AS32" s="57" t="str">
        <f t="shared" si="4"/>
        <v/>
      </c>
      <c r="AT32" s="57" t="str">
        <f t="shared" si="1"/>
        <v/>
      </c>
    </row>
    <row r="33" spans="2:46">
      <c r="B33" s="127"/>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t="s">
        <v>67</v>
      </c>
      <c r="AE33" s="55" t="s">
        <v>67</v>
      </c>
      <c r="AF33" s="55" t="s">
        <v>67</v>
      </c>
      <c r="AG33" s="55" t="s">
        <v>67</v>
      </c>
      <c r="AH33" s="55" t="s">
        <v>67</v>
      </c>
      <c r="AI33" s="55" t="s">
        <v>67</v>
      </c>
      <c r="AJ33" s="45"/>
      <c r="AL33" t="str">
        <f t="shared" ca="1" si="0"/>
        <v xml:space="preserve">    (U1)ALERT_REQ_B_ESWUOC_BC_</v>
      </c>
      <c r="AR33" s="57" t="str">
        <f t="shared" si="3"/>
        <v/>
      </c>
      <c r="AS33" s="57" t="str">
        <f t="shared" si="4"/>
        <v/>
      </c>
      <c r="AT33" s="57" t="str">
        <f t="shared" si="1"/>
        <v/>
      </c>
    </row>
    <row r="34" spans="2:46">
      <c r="B34" s="127"/>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t="s">
        <v>67</v>
      </c>
      <c r="AE34" s="55" t="s">
        <v>67</v>
      </c>
      <c r="AF34" s="55" t="s">
        <v>67</v>
      </c>
      <c r="AG34" s="55" t="s">
        <v>67</v>
      </c>
      <c r="AH34" s="55" t="s">
        <v>67</v>
      </c>
      <c r="AI34" s="55" t="s">
        <v>67</v>
      </c>
      <c r="AJ34" s="45"/>
      <c r="AL34" t="str">
        <f t="shared" ca="1" si="0"/>
        <v xml:space="preserve">    (U1)ALERT_REQ_B_ESWUOC_BC_</v>
      </c>
      <c r="AR34" s="57" t="str">
        <f t="shared" si="3"/>
        <v/>
      </c>
      <c r="AS34" s="57" t="str">
        <f t="shared" si="4"/>
        <v/>
      </c>
      <c r="AT34" s="57" t="str">
        <f t="shared" si="1"/>
        <v/>
      </c>
    </row>
    <row r="35" spans="2:46">
      <c r="B35" s="127"/>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t="s">
        <v>67</v>
      </c>
      <c r="AE35" s="55" t="s">
        <v>67</v>
      </c>
      <c r="AF35" s="55" t="s">
        <v>67</v>
      </c>
      <c r="AG35" s="55" t="s">
        <v>67</v>
      </c>
      <c r="AH35" s="55" t="s">
        <v>67</v>
      </c>
      <c r="AI35" s="55" t="s">
        <v>67</v>
      </c>
      <c r="AJ35" s="45"/>
      <c r="AL35" t="str">
        <f t="shared" ca="1" si="0"/>
        <v xml:space="preserve">    (U1)ALERT_REQ_B_ESWUOC_BC_</v>
      </c>
      <c r="AR35" s="57" t="str">
        <f t="shared" si="3"/>
        <v/>
      </c>
      <c r="AS35" s="57" t="str">
        <f t="shared" si="4"/>
        <v/>
      </c>
      <c r="AT35" s="57" t="str">
        <f t="shared" si="1"/>
        <v/>
      </c>
    </row>
    <row r="36" spans="2:46">
      <c r="B36" s="127"/>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t="s">
        <v>67</v>
      </c>
      <c r="AE36" s="55" t="s">
        <v>67</v>
      </c>
      <c r="AF36" s="55" t="s">
        <v>67</v>
      </c>
      <c r="AG36" s="55" t="s">
        <v>67</v>
      </c>
      <c r="AH36" s="55" t="s">
        <v>67</v>
      </c>
      <c r="AI36" s="55" t="s">
        <v>67</v>
      </c>
      <c r="AJ36" s="45"/>
      <c r="AL36" t="str">
        <f t="shared" ca="1" si="0"/>
        <v xml:space="preserve">    (U1)ALERT_REQ_B_ESWUOC_BC_</v>
      </c>
      <c r="AR36" s="57" t="str">
        <f t="shared" si="3"/>
        <v/>
      </c>
      <c r="AS36" s="57" t="str">
        <f t="shared" si="4"/>
        <v/>
      </c>
      <c r="AT36" s="57" t="str">
        <f t="shared" si="1"/>
        <v/>
      </c>
    </row>
    <row r="37" spans="2:46">
      <c r="B37" s="127"/>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t="s">
        <v>67</v>
      </c>
      <c r="AE37" s="55" t="s">
        <v>67</v>
      </c>
      <c r="AF37" s="55" t="s">
        <v>67</v>
      </c>
      <c r="AG37" s="55" t="s">
        <v>67</v>
      </c>
      <c r="AH37" s="55" t="s">
        <v>67</v>
      </c>
      <c r="AI37" s="55" t="s">
        <v>67</v>
      </c>
      <c r="AJ37" s="45"/>
      <c r="AL37" t="str">
        <f t="shared" ca="1" si="0"/>
        <v xml:space="preserve">    (U1)ALERT_REQ_B_ESWUOC_BC_</v>
      </c>
      <c r="AR37" s="57" t="str">
        <f t="shared" si="3"/>
        <v/>
      </c>
      <c r="AS37" s="57" t="str">
        <f t="shared" si="4"/>
        <v/>
      </c>
      <c r="AT37" s="57" t="str">
        <f t="shared" si="1"/>
        <v/>
      </c>
    </row>
    <row r="38" spans="2:46">
      <c r="B38" s="127"/>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t="s">
        <v>67</v>
      </c>
      <c r="AE38" s="55" t="s">
        <v>67</v>
      </c>
      <c r="AF38" s="55" t="s">
        <v>67</v>
      </c>
      <c r="AG38" s="55" t="s">
        <v>67</v>
      </c>
      <c r="AH38" s="55" t="s">
        <v>67</v>
      </c>
      <c r="AI38" s="55" t="s">
        <v>67</v>
      </c>
      <c r="AJ38" s="23"/>
      <c r="AL38" t="str">
        <f t="shared" ca="1" si="0"/>
        <v xml:space="preserve">    (U1)ALERT_REQ_B_ESWUOC_BC_</v>
      </c>
      <c r="AR38" s="57" t="str">
        <f t="shared" si="3"/>
        <v/>
      </c>
      <c r="AS38" s="57" t="str">
        <f t="shared" si="4"/>
        <v/>
      </c>
      <c r="AT38" s="57" t="str">
        <f t="shared" si="1"/>
        <v/>
      </c>
    </row>
    <row r="39" spans="2:46">
      <c r="B39" s="127"/>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t="s">
        <v>67</v>
      </c>
      <c r="AE39" s="55" t="s">
        <v>67</v>
      </c>
      <c r="AF39" s="55" t="s">
        <v>67</v>
      </c>
      <c r="AG39" s="55" t="s">
        <v>67</v>
      </c>
      <c r="AH39" s="55" t="s">
        <v>67</v>
      </c>
      <c r="AI39" s="55" t="s">
        <v>67</v>
      </c>
      <c r="AJ39" s="23"/>
      <c r="AL39" t="str">
        <f t="shared" ca="1" si="0"/>
        <v xml:space="preserve">    (U1)ALERT_REQ_B_ESWUOC_BC_</v>
      </c>
      <c r="AR39" s="57" t="str">
        <f t="shared" si="3"/>
        <v/>
      </c>
      <c r="AS39" s="57" t="str">
        <f t="shared" si="4"/>
        <v/>
      </c>
      <c r="AT39" s="57" t="str">
        <f t="shared" si="1"/>
        <v/>
      </c>
    </row>
    <row r="40" spans="2:46">
      <c r="B40" s="127"/>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t="s">
        <v>67</v>
      </c>
      <c r="AE40" s="55" t="s">
        <v>67</v>
      </c>
      <c r="AF40" s="55" t="s">
        <v>67</v>
      </c>
      <c r="AG40" s="55" t="s">
        <v>67</v>
      </c>
      <c r="AH40" s="55" t="s">
        <v>67</v>
      </c>
      <c r="AI40" s="55" t="s">
        <v>67</v>
      </c>
      <c r="AJ40" s="23"/>
      <c r="AL40" t="str">
        <f t="shared" ca="1" si="0"/>
        <v xml:space="preserve">    (U1)ALERT_REQ_B_ESWUOC_BC_</v>
      </c>
      <c r="AR40" s="57" t="str">
        <f t="shared" si="3"/>
        <v/>
      </c>
      <c r="AS40" s="57" t="str">
        <f t="shared" si="4"/>
        <v/>
      </c>
      <c r="AT40" s="57" t="str">
        <f t="shared" si="1"/>
        <v/>
      </c>
    </row>
    <row r="41" spans="2:46">
      <c r="B41" s="127"/>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t="s">
        <v>67</v>
      </c>
      <c r="AE41" s="55" t="s">
        <v>67</v>
      </c>
      <c r="AF41" s="55" t="s">
        <v>67</v>
      </c>
      <c r="AG41" s="55" t="s">
        <v>67</v>
      </c>
      <c r="AH41" s="55" t="s">
        <v>67</v>
      </c>
      <c r="AI41" s="55" t="s">
        <v>67</v>
      </c>
      <c r="AJ41" s="23"/>
      <c r="AL41" t="str">
        <f t="shared" ca="1" si="0"/>
        <v xml:space="preserve">    (U1)ALERT_REQ_B_ESWUOC_BC_</v>
      </c>
      <c r="AR41" s="57" t="str">
        <f t="shared" si="3"/>
        <v/>
      </c>
      <c r="AS41" s="57" t="str">
        <f t="shared" si="4"/>
        <v/>
      </c>
      <c r="AT41" s="57" t="str">
        <f t="shared" si="1"/>
        <v/>
      </c>
    </row>
    <row r="42" spans="2:46">
      <c r="B42" s="127"/>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t="s">
        <v>67</v>
      </c>
      <c r="AE42" s="55" t="s">
        <v>67</v>
      </c>
      <c r="AF42" s="55" t="s">
        <v>67</v>
      </c>
      <c r="AG42" s="55" t="s">
        <v>67</v>
      </c>
      <c r="AH42" s="55" t="s">
        <v>67</v>
      </c>
      <c r="AI42" s="55" t="s">
        <v>67</v>
      </c>
      <c r="AJ42" s="23"/>
      <c r="AL42" t="str">
        <f t="shared" ca="1" si="0"/>
        <v xml:space="preserve">    (U1)ALERT_REQ_B_ESWUOC_BC_</v>
      </c>
      <c r="AR42" s="57" t="str">
        <f t="shared" si="3"/>
        <v/>
      </c>
      <c r="AS42" s="57" t="str">
        <f t="shared" si="4"/>
        <v/>
      </c>
      <c r="AT42" s="57" t="str">
        <f t="shared" si="1"/>
        <v/>
      </c>
    </row>
    <row r="43" spans="2:46">
      <c r="B43" s="127"/>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t="s">
        <v>67</v>
      </c>
      <c r="AE43" s="55" t="s">
        <v>67</v>
      </c>
      <c r="AF43" s="55" t="s">
        <v>67</v>
      </c>
      <c r="AG43" s="55" t="s">
        <v>67</v>
      </c>
      <c r="AH43" s="55" t="s">
        <v>67</v>
      </c>
      <c r="AI43" s="55" t="s">
        <v>67</v>
      </c>
      <c r="AJ43" s="23"/>
      <c r="AL43" t="str">
        <f t="shared" ca="1" si="0"/>
        <v xml:space="preserve">    (U1)ALERT_REQ_B_ESWUOC_BC_</v>
      </c>
      <c r="AR43" s="57" t="str">
        <f t="shared" si="3"/>
        <v/>
      </c>
      <c r="AS43" s="57" t="str">
        <f t="shared" si="4"/>
        <v/>
      </c>
      <c r="AT43" s="57" t="str">
        <f t="shared" si="1"/>
        <v/>
      </c>
    </row>
    <row r="44" spans="2:46">
      <c r="B44" s="127"/>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t="s">
        <v>67</v>
      </c>
      <c r="AE44" s="55" t="s">
        <v>67</v>
      </c>
      <c r="AF44" s="55" t="s">
        <v>67</v>
      </c>
      <c r="AG44" s="55" t="s">
        <v>67</v>
      </c>
      <c r="AH44" s="55" t="s">
        <v>67</v>
      </c>
      <c r="AI44" s="55" t="s">
        <v>67</v>
      </c>
      <c r="AJ44" s="23"/>
      <c r="AL44" t="str">
        <f t="shared" ca="1" si="0"/>
        <v xml:space="preserve">    (U1)ALERT_REQ_B_ESWUOC_BC_</v>
      </c>
      <c r="AR44" s="57" t="str">
        <f t="shared" si="3"/>
        <v/>
      </c>
      <c r="AS44" s="57" t="str">
        <f t="shared" si="4"/>
        <v/>
      </c>
      <c r="AT44" s="57" t="str">
        <f t="shared" si="1"/>
        <v/>
      </c>
    </row>
    <row r="45" spans="2:46">
      <c r="B45" s="127"/>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t="s">
        <v>67</v>
      </c>
      <c r="AE45" s="55" t="s">
        <v>67</v>
      </c>
      <c r="AF45" s="55" t="s">
        <v>67</v>
      </c>
      <c r="AG45" s="55" t="s">
        <v>67</v>
      </c>
      <c r="AH45" s="55" t="s">
        <v>67</v>
      </c>
      <c r="AI45" s="55" t="s">
        <v>67</v>
      </c>
      <c r="AJ45" s="23"/>
      <c r="AL45" t="str">
        <f t="shared" ca="1" si="0"/>
        <v xml:space="preserve">    (U1)ALERT_REQ_B_ESWUOC_BC_</v>
      </c>
      <c r="AR45" s="57" t="str">
        <f t="shared" si="3"/>
        <v/>
      </c>
      <c r="AS45" s="57" t="str">
        <f t="shared" si="4"/>
        <v/>
      </c>
      <c r="AT45" s="57" t="str">
        <f t="shared" si="1"/>
        <v/>
      </c>
    </row>
    <row r="46" spans="2:46">
      <c r="B46" s="127"/>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t="s">
        <v>67</v>
      </c>
      <c r="AE46" s="55" t="s">
        <v>67</v>
      </c>
      <c r="AF46" s="55" t="s">
        <v>67</v>
      </c>
      <c r="AG46" s="55" t="s">
        <v>67</v>
      </c>
      <c r="AH46" s="55" t="s">
        <v>67</v>
      </c>
      <c r="AI46" s="55" t="s">
        <v>67</v>
      </c>
      <c r="AJ46" s="23"/>
      <c r="AL46" t="str">
        <f t="shared" ca="1" si="0"/>
        <v xml:space="preserve">    (U1)ALERT_REQ_B_ESWUOC_BC_</v>
      </c>
      <c r="AR46" s="57" t="str">
        <f t="shared" si="3"/>
        <v/>
      </c>
      <c r="AS46" s="57" t="str">
        <f t="shared" si="4"/>
        <v/>
      </c>
      <c r="AT46" s="57" t="str">
        <f t="shared" si="1"/>
        <v/>
      </c>
    </row>
    <row r="47" spans="2:46">
      <c r="B47" s="127"/>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t="s">
        <v>67</v>
      </c>
      <c r="AE47" s="55" t="s">
        <v>67</v>
      </c>
      <c r="AF47" s="55" t="s">
        <v>67</v>
      </c>
      <c r="AG47" s="55" t="s">
        <v>67</v>
      </c>
      <c r="AH47" s="55" t="s">
        <v>67</v>
      </c>
      <c r="AI47" s="55" t="s">
        <v>67</v>
      </c>
      <c r="AJ47" s="23"/>
      <c r="AL47" t="str">
        <f t="shared" ca="1" si="0"/>
        <v xml:space="preserve">    (U1)ALERT_REQ_B_ESWUOC_BC_</v>
      </c>
      <c r="AR47" s="57" t="str">
        <f t="shared" si="3"/>
        <v/>
      </c>
      <c r="AS47" s="57" t="str">
        <f t="shared" si="4"/>
        <v/>
      </c>
      <c r="AT47" s="57" t="str">
        <f t="shared" si="1"/>
        <v/>
      </c>
    </row>
    <row r="48" spans="2:46">
      <c r="B48" s="127"/>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t="s">
        <v>67</v>
      </c>
      <c r="AE48" s="55" t="s">
        <v>67</v>
      </c>
      <c r="AF48" s="55" t="s">
        <v>67</v>
      </c>
      <c r="AG48" s="55" t="s">
        <v>67</v>
      </c>
      <c r="AH48" s="55" t="s">
        <v>67</v>
      </c>
      <c r="AI48" s="55" t="s">
        <v>67</v>
      </c>
      <c r="AJ48" s="23"/>
      <c r="AL48" t="str">
        <f t="shared" ca="1" si="0"/>
        <v xml:space="preserve">    (U1)ALERT_REQ_B_ESWUOC_BC_</v>
      </c>
      <c r="AR48" s="57" t="str">
        <f t="shared" si="3"/>
        <v/>
      </c>
      <c r="AS48" s="57" t="str">
        <f t="shared" si="4"/>
        <v/>
      </c>
      <c r="AT48" s="57" t="str">
        <f t="shared" si="1"/>
        <v/>
      </c>
    </row>
    <row r="49" spans="2:46">
      <c r="B49" s="127"/>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t="s">
        <v>67</v>
      </c>
      <c r="AE49" s="55" t="s">
        <v>67</v>
      </c>
      <c r="AF49" s="55" t="s">
        <v>67</v>
      </c>
      <c r="AG49" s="55" t="s">
        <v>67</v>
      </c>
      <c r="AH49" s="55" t="s">
        <v>67</v>
      </c>
      <c r="AI49" s="55" t="s">
        <v>67</v>
      </c>
      <c r="AJ49" s="23"/>
      <c r="AL49" t="str">
        <f t="shared" ca="1" si="0"/>
        <v xml:space="preserve">    (U1)ALERT_REQ_B_ESWUOC_BC_</v>
      </c>
      <c r="AR49" s="57" t="str">
        <f t="shared" si="3"/>
        <v/>
      </c>
      <c r="AS49" s="57" t="str">
        <f t="shared" si="4"/>
        <v/>
      </c>
      <c r="AT49" s="57" t="str">
        <f t="shared" si="1"/>
        <v/>
      </c>
    </row>
    <row r="50" spans="2:46">
      <c r="B50" s="127"/>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t="s">
        <v>67</v>
      </c>
      <c r="AE50" s="55" t="s">
        <v>67</v>
      </c>
      <c r="AF50" s="55" t="s">
        <v>67</v>
      </c>
      <c r="AG50" s="55" t="s">
        <v>67</v>
      </c>
      <c r="AH50" s="55" t="s">
        <v>67</v>
      </c>
      <c r="AI50" s="55" t="s">
        <v>67</v>
      </c>
      <c r="AJ50" s="23"/>
      <c r="AL50" t="str">
        <f t="shared" ca="1" si="0"/>
        <v xml:space="preserve">    (U1)ALERT_REQ_B_ESWUOC_BC_</v>
      </c>
      <c r="AR50" s="57" t="str">
        <f t="shared" si="3"/>
        <v/>
      </c>
      <c r="AS50" s="57" t="str">
        <f t="shared" si="4"/>
        <v/>
      </c>
      <c r="AT50" s="57" t="str">
        <f t="shared" si="1"/>
        <v/>
      </c>
    </row>
    <row r="51" spans="2:46">
      <c r="B51" s="127"/>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t="s">
        <v>67</v>
      </c>
      <c r="AE51" s="55" t="s">
        <v>67</v>
      </c>
      <c r="AF51" s="55" t="s">
        <v>67</v>
      </c>
      <c r="AG51" s="55" t="s">
        <v>67</v>
      </c>
      <c r="AH51" s="55" t="s">
        <v>67</v>
      </c>
      <c r="AI51" s="55" t="s">
        <v>67</v>
      </c>
      <c r="AJ51" s="23"/>
      <c r="AL51" t="str">
        <f t="shared" ca="1" si="0"/>
        <v xml:space="preserve">    (U1)ALERT_REQ_B_ESWUOC_BC_</v>
      </c>
      <c r="AR51" s="57" t="str">
        <f t="shared" si="3"/>
        <v/>
      </c>
      <c r="AS51" s="57" t="str">
        <f t="shared" si="4"/>
        <v/>
      </c>
      <c r="AT51" s="57" t="str">
        <f t="shared" si="1"/>
        <v/>
      </c>
    </row>
    <row r="52" spans="2:46">
      <c r="B52" s="127"/>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t="s">
        <v>67</v>
      </c>
      <c r="AE52" s="55" t="s">
        <v>67</v>
      </c>
      <c r="AF52" s="55" t="s">
        <v>67</v>
      </c>
      <c r="AG52" s="55" t="s">
        <v>67</v>
      </c>
      <c r="AH52" s="55" t="s">
        <v>67</v>
      </c>
      <c r="AI52" s="55" t="s">
        <v>67</v>
      </c>
      <c r="AJ52" s="23"/>
      <c r="AL52" t="str">
        <f t="shared" ca="1" si="0"/>
        <v xml:space="preserve">    (U1)ALERT_REQ_B_ESWUOC_BC_</v>
      </c>
      <c r="AR52" s="57" t="str">
        <f t="shared" si="3"/>
        <v/>
      </c>
      <c r="AS52" s="57" t="str">
        <f t="shared" si="4"/>
        <v/>
      </c>
      <c r="AT52" s="57" t="str">
        <f t="shared" si="1"/>
        <v/>
      </c>
    </row>
    <row r="53" spans="2:46">
      <c r="B53" s="127"/>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t="s">
        <v>67</v>
      </c>
      <c r="AE53" s="55" t="s">
        <v>67</v>
      </c>
      <c r="AF53" s="55" t="s">
        <v>67</v>
      </c>
      <c r="AG53" s="55" t="s">
        <v>67</v>
      </c>
      <c r="AH53" s="55" t="s">
        <v>67</v>
      </c>
      <c r="AI53" s="55" t="s">
        <v>67</v>
      </c>
      <c r="AJ53" s="23"/>
      <c r="AL53" t="str">
        <f t="shared" ca="1" si="0"/>
        <v xml:space="preserve">    (U1)ALERT_REQ_B_ESWUOC_BC_</v>
      </c>
      <c r="AR53" s="57" t="str">
        <f t="shared" si="3"/>
        <v/>
      </c>
      <c r="AS53" s="57" t="str">
        <f t="shared" si="4"/>
        <v/>
      </c>
      <c r="AT53" s="57" t="str">
        <f t="shared" si="1"/>
        <v/>
      </c>
    </row>
    <row r="54" spans="2:46">
      <c r="B54" s="127"/>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t="s">
        <v>67</v>
      </c>
      <c r="AE54" s="55" t="s">
        <v>67</v>
      </c>
      <c r="AF54" s="55" t="s">
        <v>67</v>
      </c>
      <c r="AG54" s="55" t="s">
        <v>67</v>
      </c>
      <c r="AH54" s="55" t="s">
        <v>67</v>
      </c>
      <c r="AI54" s="55" t="s">
        <v>67</v>
      </c>
      <c r="AJ54" s="23"/>
      <c r="AL54" t="str">
        <f t="shared" ca="1" si="0"/>
        <v xml:space="preserve">    (U1)ALERT_REQ_B_ESWUOC_BC_</v>
      </c>
      <c r="AR54" s="57" t="str">
        <f t="shared" si="3"/>
        <v/>
      </c>
      <c r="AS54" s="57" t="str">
        <f t="shared" si="4"/>
        <v/>
      </c>
      <c r="AT54" s="57" t="str">
        <f t="shared" si="1"/>
        <v/>
      </c>
    </row>
    <row r="55" spans="2:46">
      <c r="B55" s="127"/>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t="s">
        <v>67</v>
      </c>
      <c r="AE55" s="55" t="s">
        <v>67</v>
      </c>
      <c r="AF55" s="55" t="s">
        <v>67</v>
      </c>
      <c r="AG55" s="55" t="s">
        <v>67</v>
      </c>
      <c r="AH55" s="55" t="s">
        <v>67</v>
      </c>
      <c r="AI55" s="55" t="s">
        <v>67</v>
      </c>
      <c r="AJ55" s="23"/>
      <c r="AL55" t="str">
        <f t="shared" ca="1" si="0"/>
        <v xml:space="preserve">    (U1)ALERT_REQ_B_ESWUOC_BC_</v>
      </c>
      <c r="AR55" s="57" t="str">
        <f t="shared" si="3"/>
        <v/>
      </c>
      <c r="AS55" s="57" t="str">
        <f t="shared" si="4"/>
        <v/>
      </c>
      <c r="AT55" s="57" t="str">
        <f t="shared" si="1"/>
        <v/>
      </c>
    </row>
    <row r="56" spans="2:46">
      <c r="B56" s="127"/>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t="s">
        <v>67</v>
      </c>
      <c r="AE56" s="55" t="s">
        <v>67</v>
      </c>
      <c r="AF56" s="55" t="s">
        <v>67</v>
      </c>
      <c r="AG56" s="55" t="s">
        <v>67</v>
      </c>
      <c r="AH56" s="55" t="s">
        <v>67</v>
      </c>
      <c r="AI56" s="55" t="s">
        <v>67</v>
      </c>
      <c r="AJ56" s="23"/>
      <c r="AL56" t="str">
        <f t="shared" ca="1" si="0"/>
        <v xml:space="preserve">    (U1)ALERT_REQ_B_ESWUOC_BC_</v>
      </c>
      <c r="AR56" s="57" t="str">
        <f t="shared" si="3"/>
        <v/>
      </c>
      <c r="AS56" s="57" t="str">
        <f t="shared" si="4"/>
        <v/>
      </c>
      <c r="AT56" s="57" t="str">
        <f t="shared" si="1"/>
        <v/>
      </c>
    </row>
    <row r="57" spans="2:46">
      <c r="B57" s="127"/>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t="s">
        <v>67</v>
      </c>
      <c r="AE57" s="55" t="s">
        <v>67</v>
      </c>
      <c r="AF57" s="55" t="s">
        <v>67</v>
      </c>
      <c r="AG57" s="55" t="s">
        <v>67</v>
      </c>
      <c r="AH57" s="55" t="s">
        <v>67</v>
      </c>
      <c r="AI57" s="55" t="s">
        <v>67</v>
      </c>
      <c r="AJ57" s="23"/>
      <c r="AL57" t="str">
        <f t="shared" ca="1" si="0"/>
        <v xml:space="preserve">    (U1)ALERT_REQ_B_ESWUOC_BC_</v>
      </c>
      <c r="AR57" s="57" t="str">
        <f t="shared" si="3"/>
        <v/>
      </c>
      <c r="AS57" s="57" t="str">
        <f t="shared" si="4"/>
        <v/>
      </c>
      <c r="AT57" s="57" t="str">
        <f t="shared" si="1"/>
        <v/>
      </c>
    </row>
    <row r="58" spans="2:46">
      <c r="B58" s="127"/>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t="s">
        <v>67</v>
      </c>
      <c r="AE58" s="55" t="s">
        <v>67</v>
      </c>
      <c r="AF58" s="55" t="s">
        <v>67</v>
      </c>
      <c r="AG58" s="55" t="s">
        <v>67</v>
      </c>
      <c r="AH58" s="55" t="s">
        <v>67</v>
      </c>
      <c r="AI58" s="55" t="s">
        <v>67</v>
      </c>
      <c r="AJ58" s="23"/>
      <c r="AL58" t="str">
        <f t="shared" ca="1" si="0"/>
        <v xml:space="preserve">    (U1)ALERT_REQ_B_ESWUOC_BC_</v>
      </c>
      <c r="AR58" s="57" t="str">
        <f t="shared" si="3"/>
        <v/>
      </c>
      <c r="AS58" s="57" t="str">
        <f t="shared" si="4"/>
        <v/>
      </c>
      <c r="AT58" s="57" t="str">
        <f t="shared" si="1"/>
        <v/>
      </c>
    </row>
    <row r="59" spans="2:46">
      <c r="B59" s="127"/>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t="s">
        <v>67</v>
      </c>
      <c r="AE59" s="55" t="s">
        <v>67</v>
      </c>
      <c r="AF59" s="55" t="s">
        <v>67</v>
      </c>
      <c r="AG59" s="55" t="s">
        <v>67</v>
      </c>
      <c r="AH59" s="55" t="s">
        <v>67</v>
      </c>
      <c r="AI59" s="55" t="s">
        <v>67</v>
      </c>
      <c r="AJ59" s="23"/>
      <c r="AL59" t="str">
        <f t="shared" ca="1" si="0"/>
        <v xml:space="preserve">    (U1)ALERT_REQ_B_ESWUOC_BC_</v>
      </c>
      <c r="AR59" s="57" t="str">
        <f t="shared" si="3"/>
        <v/>
      </c>
      <c r="AS59" s="57" t="str">
        <f t="shared" si="4"/>
        <v/>
      </c>
      <c r="AT59" s="57" t="str">
        <f t="shared" si="1"/>
        <v/>
      </c>
    </row>
    <row r="60" spans="2:46">
      <c r="B60" s="127"/>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t="s">
        <v>67</v>
      </c>
      <c r="AE60" s="55" t="s">
        <v>67</v>
      </c>
      <c r="AF60" s="55" t="s">
        <v>67</v>
      </c>
      <c r="AG60" s="55" t="s">
        <v>67</v>
      </c>
      <c r="AH60" s="55" t="s">
        <v>67</v>
      </c>
      <c r="AI60" s="55" t="s">
        <v>67</v>
      </c>
      <c r="AJ60" s="23"/>
      <c r="AL60" t="str">
        <f t="shared" ca="1" si="0"/>
        <v xml:space="preserve">    (U1)ALERT_REQ_B_ESWUOC_BC_</v>
      </c>
      <c r="AR60" s="57" t="str">
        <f t="shared" si="3"/>
        <v/>
      </c>
      <c r="AS60" s="57" t="str">
        <f t="shared" si="4"/>
        <v/>
      </c>
      <c r="AT60" s="57" t="str">
        <f t="shared" si="1"/>
        <v/>
      </c>
    </row>
    <row r="61" spans="2:46">
      <c r="B61" s="127"/>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t="s">
        <v>67</v>
      </c>
      <c r="AE61" s="55" t="s">
        <v>67</v>
      </c>
      <c r="AF61" s="55" t="s">
        <v>67</v>
      </c>
      <c r="AG61" s="55" t="s">
        <v>67</v>
      </c>
      <c r="AH61" s="55" t="s">
        <v>67</v>
      </c>
      <c r="AI61" s="55" t="s">
        <v>67</v>
      </c>
      <c r="AJ61" s="23"/>
      <c r="AL61" t="str">
        <f t="shared" ca="1" si="0"/>
        <v xml:space="preserve">    (U1)ALERT_REQ_B_ESWUOC_BC_</v>
      </c>
      <c r="AR61" s="57" t="str">
        <f t="shared" si="3"/>
        <v/>
      </c>
      <c r="AS61" s="57" t="str">
        <f t="shared" si="4"/>
        <v/>
      </c>
      <c r="AT61" s="57" t="str">
        <f t="shared" si="1"/>
        <v/>
      </c>
    </row>
    <row r="62" spans="2:46">
      <c r="B62" s="127"/>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t="s">
        <v>67</v>
      </c>
      <c r="AE62" s="55" t="s">
        <v>67</v>
      </c>
      <c r="AF62" s="55" t="s">
        <v>67</v>
      </c>
      <c r="AG62" s="55" t="s">
        <v>67</v>
      </c>
      <c r="AH62" s="55" t="s">
        <v>67</v>
      </c>
      <c r="AI62" s="55" t="s">
        <v>67</v>
      </c>
      <c r="AJ62" s="23"/>
      <c r="AL62" t="str">
        <f t="shared" ca="1" si="0"/>
        <v xml:space="preserve">    (U1)ALERT_REQ_B_ESWUOC_BC_</v>
      </c>
      <c r="AR62" s="57" t="str">
        <f t="shared" si="3"/>
        <v/>
      </c>
      <c r="AS62" s="57" t="str">
        <f t="shared" si="4"/>
        <v/>
      </c>
      <c r="AT62" s="57" t="str">
        <f t="shared" si="1"/>
        <v/>
      </c>
    </row>
    <row r="63" spans="2:46">
      <c r="B63" s="127"/>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t="s">
        <v>67</v>
      </c>
      <c r="AE63" s="55" t="s">
        <v>67</v>
      </c>
      <c r="AF63" s="55" t="s">
        <v>67</v>
      </c>
      <c r="AG63" s="55" t="s">
        <v>67</v>
      </c>
      <c r="AH63" s="55" t="s">
        <v>67</v>
      </c>
      <c r="AI63" s="55" t="s">
        <v>67</v>
      </c>
      <c r="AJ63" s="23"/>
      <c r="AL63" t="str">
        <f t="shared" ca="1" si="0"/>
        <v xml:space="preserve">    (U1)ALERT_REQ_B_ESWUOC_BC_</v>
      </c>
      <c r="AR63" s="57" t="str">
        <f t="shared" si="3"/>
        <v/>
      </c>
      <c r="AS63" s="57" t="str">
        <f t="shared" si="4"/>
        <v/>
      </c>
      <c r="AT63" s="57" t="str">
        <f t="shared" si="1"/>
        <v/>
      </c>
    </row>
    <row r="64" spans="2:46">
      <c r="B64" s="127"/>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t="s">
        <v>67</v>
      </c>
      <c r="AE64" s="55" t="s">
        <v>67</v>
      </c>
      <c r="AF64" s="55" t="s">
        <v>67</v>
      </c>
      <c r="AG64" s="55" t="s">
        <v>67</v>
      </c>
      <c r="AH64" s="55" t="s">
        <v>67</v>
      </c>
      <c r="AI64" s="55" t="s">
        <v>67</v>
      </c>
      <c r="AJ64" s="23"/>
      <c r="AL64" t="str">
        <f t="shared" ca="1" si="0"/>
        <v xml:space="preserve">    (U1)ALERT_REQ_B_ESWUOC_BC_</v>
      </c>
      <c r="AR64" s="57" t="str">
        <f t="shared" si="3"/>
        <v/>
      </c>
      <c r="AS64" s="57" t="str">
        <f t="shared" si="4"/>
        <v/>
      </c>
      <c r="AT64" s="57" t="str">
        <f t="shared" si="1"/>
        <v/>
      </c>
    </row>
    <row r="65" spans="1:46">
      <c r="B65" s="127"/>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t="s">
        <v>67</v>
      </c>
      <c r="AE65" s="55" t="s">
        <v>67</v>
      </c>
      <c r="AF65" s="55" t="s">
        <v>67</v>
      </c>
      <c r="AG65" s="55" t="s">
        <v>67</v>
      </c>
      <c r="AH65" s="55" t="s">
        <v>67</v>
      </c>
      <c r="AI65" s="55" t="s">
        <v>67</v>
      </c>
      <c r="AJ65" s="23"/>
      <c r="AL65" t="str">
        <f t="shared" ca="1" si="0"/>
        <v xml:space="preserve">    (U1)ALERT_REQ_B_ESWUOC_BC_</v>
      </c>
      <c r="AR65" s="57" t="str">
        <f t="shared" si="3"/>
        <v/>
      </c>
      <c r="AS65" s="57" t="str">
        <f t="shared" si="4"/>
        <v/>
      </c>
      <c r="AT65" s="57" t="str">
        <f t="shared" si="1"/>
        <v/>
      </c>
    </row>
    <row r="66" spans="1:46">
      <c r="B66" s="127"/>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t="s">
        <v>67</v>
      </c>
      <c r="AE66" s="55" t="s">
        <v>67</v>
      </c>
      <c r="AF66" s="55" t="s">
        <v>67</v>
      </c>
      <c r="AG66" s="55" t="s">
        <v>67</v>
      </c>
      <c r="AH66" s="55" t="s">
        <v>67</v>
      </c>
      <c r="AI66" s="55" t="s">
        <v>67</v>
      </c>
      <c r="AJ66" s="23"/>
      <c r="AL66" t="str">
        <f t="shared" ca="1" si="0"/>
        <v xml:space="preserve">    (U1)ALERT_REQ_B_ESWUOC_BC_</v>
      </c>
      <c r="AR66" s="57" t="str">
        <f t="shared" si="3"/>
        <v/>
      </c>
      <c r="AS66" s="57" t="str">
        <f t="shared" si="4"/>
        <v/>
      </c>
      <c r="AT66" s="57" t="str">
        <f t="shared" si="1"/>
        <v/>
      </c>
    </row>
    <row r="67" spans="1:46">
      <c r="B67" s="127"/>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t="s">
        <v>67</v>
      </c>
      <c r="AE67" s="55" t="s">
        <v>67</v>
      </c>
      <c r="AF67" s="55" t="s">
        <v>67</v>
      </c>
      <c r="AG67" s="55" t="s">
        <v>67</v>
      </c>
      <c r="AH67" s="55" t="s">
        <v>67</v>
      </c>
      <c r="AI67" s="55" t="s">
        <v>67</v>
      </c>
      <c r="AJ67" s="23"/>
      <c r="AL67" t="str">
        <f t="shared" ca="1" si="0"/>
        <v xml:space="preserve">    (U1)ALERT_REQ_B_ESWUOC_BC_</v>
      </c>
      <c r="AR67" s="57" t="str">
        <f t="shared" si="3"/>
        <v/>
      </c>
      <c r="AS67" s="57" t="str">
        <f t="shared" si="4"/>
        <v/>
      </c>
      <c r="AT67" s="57" t="str">
        <f t="shared" si="1"/>
        <v/>
      </c>
    </row>
    <row r="68" spans="1:46">
      <c r="B68" s="127"/>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t="s">
        <v>67</v>
      </c>
      <c r="AE68" s="55" t="s">
        <v>67</v>
      </c>
      <c r="AF68" s="55" t="s">
        <v>67</v>
      </c>
      <c r="AG68" s="55" t="s">
        <v>67</v>
      </c>
      <c r="AH68" s="55" t="s">
        <v>67</v>
      </c>
      <c r="AI68" s="55" t="s">
        <v>67</v>
      </c>
      <c r="AJ68" s="23"/>
      <c r="AL68" t="str">
        <f t="shared" ca="1" si="0"/>
        <v xml:space="preserve">    (U1)ALERT_REQ_B_ESWUOC_BC_</v>
      </c>
      <c r="AR68" s="57" t="str">
        <f t="shared" si="3"/>
        <v/>
      </c>
      <c r="AS68" s="57" t="str">
        <f t="shared" si="4"/>
        <v/>
      </c>
      <c r="AT68" s="57" t="str">
        <f t="shared" si="1"/>
        <v/>
      </c>
    </row>
    <row r="69" spans="1:46">
      <c r="B69" s="128"/>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t="s">
        <v>67</v>
      </c>
      <c r="AE69" s="55" t="s">
        <v>67</v>
      </c>
      <c r="AF69" s="55" t="s">
        <v>67</v>
      </c>
      <c r="AG69" s="55" t="s">
        <v>67</v>
      </c>
      <c r="AH69" s="55" t="s">
        <v>67</v>
      </c>
      <c r="AI69" s="55" t="s">
        <v>67</v>
      </c>
      <c r="AJ69" s="23"/>
      <c r="AL69" t="str">
        <f t="shared" ca="1" si="0"/>
        <v xml:space="preserve">    (U1)ALERT_REQ_B_ESWUOC_BC_</v>
      </c>
      <c r="AR69" s="57" t="str">
        <f t="shared" si="3"/>
        <v/>
      </c>
      <c r="AS69" s="57" t="str">
        <f t="shared" si="4"/>
        <v/>
      </c>
      <c r="AT69" s="57" t="str">
        <f t="shared" si="1"/>
        <v/>
      </c>
    </row>
    <row r="70" spans="1:46" ht="13.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BC</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UNKNOWN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UNKNOWN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DOUBLE</v>
      </c>
      <c r="AK73" s="54"/>
      <c r="AL73" s="54" t="str">
        <f t="shared" si="10"/>
        <v>02</v>
      </c>
      <c r="AM73" s="56" t="str">
        <f t="shared" si="11"/>
        <v>00</v>
      </c>
      <c r="AN73" s="56" t="str">
        <f t="shared" si="12"/>
        <v>00</v>
      </c>
      <c r="AO73" s="56" t="str">
        <f t="shared" si="13"/>
        <v>00</v>
      </c>
      <c r="AQ73" t="str">
        <f t="shared" si="8"/>
        <v xml:space="preserve">    (U4)0x00000002U,                                                           /* 02 DOUBLE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0</v>
      </c>
      <c r="AG79" s="119">
        <f t="shared" si="15"/>
        <v>0</v>
      </c>
      <c r="AH79" s="119">
        <f t="shared" si="15"/>
        <v>0</v>
      </c>
      <c r="AI79" s="119">
        <f t="shared" si="15"/>
        <v>0</v>
      </c>
      <c r="AJ79" s="41" t="str">
        <f t="shared" si="7"/>
        <v/>
      </c>
      <c r="AK79" s="54"/>
      <c r="AL79" s="54" t="str">
        <f t="shared" si="10"/>
        <v>00</v>
      </c>
      <c r="AM79" s="56" t="str">
        <f t="shared" si="11"/>
        <v>00</v>
      </c>
      <c r="AN79" s="56" t="str">
        <f t="shared" si="12"/>
        <v>00</v>
      </c>
      <c r="AO79" s="56" t="str">
        <f t="shared" si="13"/>
        <v>00</v>
      </c>
      <c r="AQ79" t="str">
        <f t="shared" si="8"/>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0</v>
      </c>
      <c r="AG80" s="119">
        <f t="shared" si="15"/>
        <v>0</v>
      </c>
      <c r="AH80" s="119">
        <f t="shared" si="15"/>
        <v>0</v>
      </c>
      <c r="AI80" s="119">
        <f t="shared" si="15"/>
        <v>0</v>
      </c>
      <c r="AJ80" s="41" t="str">
        <f t="shared" si="7"/>
        <v/>
      </c>
      <c r="AK80" s="54"/>
      <c r="AL80" s="54" t="str">
        <f t="shared" si="10"/>
        <v>00</v>
      </c>
      <c r="AM80" s="56" t="str">
        <f t="shared" si="11"/>
        <v>00</v>
      </c>
      <c r="AN80" s="56" t="str">
        <f t="shared" si="12"/>
        <v>00</v>
      </c>
      <c r="AO80" s="56" t="str">
        <f t="shared" si="13"/>
        <v>00</v>
      </c>
      <c r="AQ80" t="str">
        <f t="shared" si="8"/>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0</v>
      </c>
      <c r="AG81" s="119">
        <f t="shared" si="15"/>
        <v>0</v>
      </c>
      <c r="AH81" s="119">
        <f t="shared" si="15"/>
        <v>0</v>
      </c>
      <c r="AI81" s="119">
        <f t="shared" si="15"/>
        <v>0</v>
      </c>
      <c r="AJ81" s="41" t="str">
        <f t="shared" si="7"/>
        <v/>
      </c>
      <c r="AK81" s="54"/>
      <c r="AL81" s="54" t="str">
        <f t="shared" si="10"/>
        <v>00</v>
      </c>
      <c r="AM81" s="56" t="str">
        <f t="shared" si="11"/>
        <v>00</v>
      </c>
      <c r="AN81" s="56" t="str">
        <f t="shared" si="12"/>
        <v>00</v>
      </c>
      <c r="AO81" s="56" t="str">
        <f t="shared" si="13"/>
        <v>00</v>
      </c>
      <c r="AQ81" t="str">
        <f t="shared" si="8"/>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0</v>
      </c>
      <c r="AG82" s="119">
        <f t="shared" si="15"/>
        <v>0</v>
      </c>
      <c r="AH82" s="119">
        <f t="shared" si="15"/>
        <v>0</v>
      </c>
      <c r="AI82" s="119">
        <f t="shared" si="15"/>
        <v>0</v>
      </c>
      <c r="AJ82" s="41" t="str">
        <f t="shared" si="7"/>
        <v/>
      </c>
      <c r="AK82" s="54"/>
      <c r="AL82" s="54" t="str">
        <f t="shared" si="10"/>
        <v>00</v>
      </c>
      <c r="AM82" s="56" t="str">
        <f t="shared" si="11"/>
        <v>00</v>
      </c>
      <c r="AN82" s="56" t="str">
        <f t="shared" si="12"/>
        <v>00</v>
      </c>
      <c r="AO82" s="56" t="str">
        <f t="shared" si="13"/>
        <v>00</v>
      </c>
      <c r="AQ82" t="str">
        <f t="shared" si="8"/>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0</v>
      </c>
      <c r="AG83" s="119">
        <f t="shared" si="15"/>
        <v>0</v>
      </c>
      <c r="AH83" s="119">
        <f t="shared" si="15"/>
        <v>0</v>
      </c>
      <c r="AI83" s="119">
        <f t="shared" si="15"/>
        <v>0</v>
      </c>
      <c r="AJ83" s="41" t="str">
        <f t="shared" si="7"/>
        <v/>
      </c>
      <c r="AK83" s="54"/>
      <c r="AL83" s="54" t="str">
        <f t="shared" si="10"/>
        <v>00</v>
      </c>
      <c r="AM83" s="56" t="str">
        <f t="shared" si="11"/>
        <v>00</v>
      </c>
      <c r="AN83" s="56" t="str">
        <f t="shared" si="12"/>
        <v>00</v>
      </c>
      <c r="AO83" s="56" t="str">
        <f t="shared" si="13"/>
        <v>00</v>
      </c>
      <c r="AQ83" t="str">
        <f t="shared" si="8"/>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0</v>
      </c>
      <c r="AG84" s="119">
        <f t="shared" si="15"/>
        <v>0</v>
      </c>
      <c r="AH84" s="119">
        <f t="shared" si="15"/>
        <v>0</v>
      </c>
      <c r="AI84" s="119">
        <f t="shared" si="15"/>
        <v>0</v>
      </c>
      <c r="AJ84" s="41" t="str">
        <f t="shared" si="7"/>
        <v/>
      </c>
      <c r="AK84" s="54"/>
      <c r="AL84" s="54" t="str">
        <f t="shared" si="10"/>
        <v>00</v>
      </c>
      <c r="AM84" s="56" t="str">
        <f t="shared" si="11"/>
        <v>00</v>
      </c>
      <c r="AN84" s="56" t="str">
        <f t="shared" si="12"/>
        <v>00</v>
      </c>
      <c r="AO84" s="56" t="str">
        <f t="shared" si="13"/>
        <v>00</v>
      </c>
      <c r="AQ84" t="str">
        <f t="shared" si="8"/>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0</v>
      </c>
      <c r="AG85" s="119">
        <f t="shared" si="15"/>
        <v>0</v>
      </c>
      <c r="AH85" s="119">
        <f t="shared" si="15"/>
        <v>0</v>
      </c>
      <c r="AI85" s="119">
        <f t="shared" si="15"/>
        <v>0</v>
      </c>
      <c r="AJ85" s="41" t="str">
        <f t="shared" si="7"/>
        <v/>
      </c>
      <c r="AK85" s="54"/>
      <c r="AL85" s="54" t="str">
        <f t="shared" si="10"/>
        <v>00</v>
      </c>
      <c r="AM85" s="56" t="str">
        <f t="shared" si="11"/>
        <v>00</v>
      </c>
      <c r="AN85" s="56" t="str">
        <f t="shared" si="12"/>
        <v>00</v>
      </c>
      <c r="AO85" s="56" t="str">
        <f t="shared" si="13"/>
        <v>00</v>
      </c>
      <c r="AQ85" t="str">
        <f t="shared" si="8"/>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0</v>
      </c>
      <c r="AG86" s="119">
        <f t="shared" si="15"/>
        <v>0</v>
      </c>
      <c r="AH86" s="119">
        <f t="shared" si="15"/>
        <v>0</v>
      </c>
      <c r="AI86" s="119">
        <f t="shared" ref="AI86" si="16">IF(AI21=1,1,0)</f>
        <v>0</v>
      </c>
      <c r="AJ86" s="41" t="str">
        <f t="shared" si="7"/>
        <v/>
      </c>
      <c r="AK86" s="54"/>
      <c r="AL86" s="54" t="str">
        <f t="shared" si="10"/>
        <v>00</v>
      </c>
      <c r="AM86" s="56" t="str">
        <f t="shared" si="11"/>
        <v>00</v>
      </c>
      <c r="AN86" s="56" t="str">
        <f t="shared" si="12"/>
        <v>00</v>
      </c>
      <c r="AO86" s="56" t="str">
        <f t="shared" si="13"/>
        <v>00</v>
      </c>
      <c r="AQ86" t="str">
        <f t="shared" si="8"/>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BC</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0</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07</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0</v>
      </c>
      <c r="AG137" s="119">
        <f t="shared" si="29"/>
        <v>1</v>
      </c>
      <c r="AH137" s="119">
        <f t="shared" si="29"/>
        <v>1</v>
      </c>
      <c r="AI137" s="119">
        <f t="shared" si="29"/>
        <v>1</v>
      </c>
      <c r="AJ137" s="41" t="str">
        <f t="shared" si="30"/>
        <v>UNKNOWN</v>
      </c>
      <c r="AK137" s="54"/>
      <c r="AL137" s="54" t="str">
        <f t="shared" ref="AL137:AL199" si="33">BIN2HEX(AB137&amp;AC137&amp;AD137&amp;AE137&amp;AF137&amp;AG137&amp;AH137&amp;AI137,2)</f>
        <v>07</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(U4)0x00000007U,                                                           /* 01 UNKNOWN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0</v>
      </c>
      <c r="AG138" s="119">
        <f t="shared" si="29"/>
        <v>1</v>
      </c>
      <c r="AH138" s="119">
        <f t="shared" si="29"/>
        <v>1</v>
      </c>
      <c r="AI138" s="119">
        <f t="shared" si="29"/>
        <v>1</v>
      </c>
      <c r="AJ138" s="41" t="str">
        <f t="shared" si="30"/>
        <v>DOUBLE</v>
      </c>
      <c r="AK138" s="54"/>
      <c r="AL138" s="54" t="str">
        <f t="shared" si="33"/>
        <v>07</v>
      </c>
      <c r="AM138" s="56" t="str">
        <f t="shared" si="34"/>
        <v>00</v>
      </c>
      <c r="AN138" s="56" t="str">
        <f t="shared" si="35"/>
        <v>00</v>
      </c>
      <c r="AO138" s="56" t="str">
        <f t="shared" si="36"/>
        <v>00</v>
      </c>
      <c r="AQ138" t="str">
        <f t="shared" si="31"/>
        <v xml:space="preserve">    (U4)0x00000007U,                                                           /* 02 DOUBLE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0</v>
      </c>
      <c r="AG139" s="119">
        <f t="shared" si="29"/>
        <v>1</v>
      </c>
      <c r="AH139" s="119">
        <f t="shared" si="29"/>
        <v>1</v>
      </c>
      <c r="AI139" s="119">
        <f t="shared" si="29"/>
        <v>1</v>
      </c>
      <c r="AJ139" s="41" t="str">
        <f t="shared" si="30"/>
        <v>UNKNOWN</v>
      </c>
      <c r="AK139" s="54"/>
      <c r="AL139" s="54" t="str">
        <f t="shared" si="33"/>
        <v>07</v>
      </c>
      <c r="AM139" s="56" t="str">
        <f t="shared" si="34"/>
        <v>00</v>
      </c>
      <c r="AN139" s="56" t="str">
        <f t="shared" si="35"/>
        <v>00</v>
      </c>
      <c r="AO139" s="56" t="str">
        <f t="shared" si="36"/>
        <v>00</v>
      </c>
      <c r="AQ139" t="str">
        <f t="shared" si="31"/>
        <v xml:space="preserve">    (U4)0x00000007U,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0</v>
      </c>
      <c r="AG140" s="119">
        <f t="shared" si="29"/>
        <v>1</v>
      </c>
      <c r="AH140" s="119">
        <f t="shared" si="29"/>
        <v>1</v>
      </c>
      <c r="AI140" s="119">
        <f t="shared" si="29"/>
        <v>1</v>
      </c>
      <c r="AJ140" s="41" t="str">
        <f t="shared" si="30"/>
        <v>UNKNOWN</v>
      </c>
      <c r="AK140" s="54"/>
      <c r="AL140" s="54" t="str">
        <f t="shared" si="33"/>
        <v>07</v>
      </c>
      <c r="AM140" s="56" t="str">
        <f t="shared" si="34"/>
        <v>00</v>
      </c>
      <c r="AN140" s="56" t="str">
        <f t="shared" si="35"/>
        <v>00</v>
      </c>
      <c r="AO140" s="56" t="str">
        <f t="shared" si="36"/>
        <v>00</v>
      </c>
      <c r="AQ140" t="str">
        <f t="shared" si="31"/>
        <v xml:space="preserve">    (U4)0x00000007U,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0</v>
      </c>
      <c r="AG141" s="119">
        <f t="shared" si="29"/>
        <v>1</v>
      </c>
      <c r="AH141" s="119">
        <f t="shared" si="29"/>
        <v>1</v>
      </c>
      <c r="AI141" s="119">
        <f t="shared" si="29"/>
        <v>1</v>
      </c>
      <c r="AJ141" s="41" t="str">
        <f t="shared" si="30"/>
        <v>UNKNOWN</v>
      </c>
      <c r="AK141" s="54"/>
      <c r="AL141" s="54" t="str">
        <f t="shared" si="33"/>
        <v>07</v>
      </c>
      <c r="AM141" s="56" t="str">
        <f t="shared" si="34"/>
        <v>00</v>
      </c>
      <c r="AN141" s="56" t="str">
        <f t="shared" si="35"/>
        <v>00</v>
      </c>
      <c r="AO141" s="56" t="str">
        <f t="shared" si="36"/>
        <v>00</v>
      </c>
      <c r="AQ141" t="str">
        <f t="shared" si="31"/>
        <v xml:space="preserve">    (U4)0x00000007U,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0</v>
      </c>
      <c r="AG142" s="119">
        <f t="shared" si="29"/>
        <v>1</v>
      </c>
      <c r="AH142" s="119">
        <f t="shared" si="29"/>
        <v>1</v>
      </c>
      <c r="AI142" s="119">
        <f t="shared" si="29"/>
        <v>1</v>
      </c>
      <c r="AJ142" s="41" t="str">
        <f t="shared" si="30"/>
        <v>UNKNOWN</v>
      </c>
      <c r="AK142" s="54"/>
      <c r="AL142" s="54" t="str">
        <f t="shared" si="33"/>
        <v>07</v>
      </c>
      <c r="AM142" s="56" t="str">
        <f t="shared" si="34"/>
        <v>00</v>
      </c>
      <c r="AN142" s="56" t="str">
        <f t="shared" si="35"/>
        <v>00</v>
      </c>
      <c r="AO142" s="56" t="str">
        <f t="shared" si="36"/>
        <v>00</v>
      </c>
      <c r="AQ142" t="str">
        <f t="shared" si="31"/>
        <v xml:space="preserve">    (U4)0x00000007U,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0</v>
      </c>
      <c r="AG143" s="119">
        <f t="shared" si="29"/>
        <v>1</v>
      </c>
      <c r="AH143" s="119">
        <f t="shared" si="29"/>
        <v>1</v>
      </c>
      <c r="AI143" s="119">
        <f t="shared" ref="AI143" si="37">IF(OR(AI13=0,AI13=1),1,0)</f>
        <v>1</v>
      </c>
      <c r="AJ143" s="41" t="str">
        <f t="shared" si="30"/>
        <v>UNKNOWN</v>
      </c>
      <c r="AK143" s="54"/>
      <c r="AL143" s="54" t="str">
        <f t="shared" si="33"/>
        <v>07</v>
      </c>
      <c r="AM143" s="56" t="str">
        <f t="shared" si="34"/>
        <v>00</v>
      </c>
      <c r="AN143" s="56" t="str">
        <f t="shared" si="35"/>
        <v>00</v>
      </c>
      <c r="AO143" s="56" t="str">
        <f t="shared" si="36"/>
        <v>00</v>
      </c>
      <c r="AQ143" t="str">
        <f t="shared" si="31"/>
        <v xml:space="preserve">    (U4)0x00000007U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0</v>
      </c>
      <c r="AG144" s="119">
        <f t="shared" si="38"/>
        <v>0</v>
      </c>
      <c r="AH144" s="119">
        <f t="shared" si="38"/>
        <v>0</v>
      </c>
      <c r="AI144" s="119">
        <f t="shared" si="38"/>
        <v>0</v>
      </c>
      <c r="AJ144" s="41" t="str">
        <f t="shared" si="30"/>
        <v/>
      </c>
      <c r="AK144" s="54"/>
      <c r="AL144" s="54" t="str">
        <f t="shared" si="33"/>
        <v>00</v>
      </c>
      <c r="AM144" s="56" t="str">
        <f t="shared" si="34"/>
        <v>00</v>
      </c>
      <c r="AN144" s="56" t="str">
        <f t="shared" si="35"/>
        <v>00</v>
      </c>
      <c r="AO144" s="56" t="str">
        <f t="shared" si="36"/>
        <v>00</v>
      </c>
      <c r="AQ144" t="str">
        <f t="shared" si="31"/>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0</v>
      </c>
      <c r="AG145" s="119">
        <f t="shared" si="38"/>
        <v>0</v>
      </c>
      <c r="AH145" s="119">
        <f t="shared" si="38"/>
        <v>0</v>
      </c>
      <c r="AI145" s="119">
        <f t="shared" si="38"/>
        <v>0</v>
      </c>
      <c r="AJ145" s="41" t="str">
        <f t="shared" si="30"/>
        <v/>
      </c>
      <c r="AK145" s="54"/>
      <c r="AL145" s="54" t="str">
        <f t="shared" si="33"/>
        <v>00</v>
      </c>
      <c r="AM145" s="56" t="str">
        <f t="shared" si="34"/>
        <v>00</v>
      </c>
      <c r="AN145" s="56" t="str">
        <f t="shared" si="35"/>
        <v>00</v>
      </c>
      <c r="AO145" s="56" t="str">
        <f t="shared" si="36"/>
        <v>00</v>
      </c>
      <c r="AQ145" t="str">
        <f t="shared" si="31"/>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0</v>
      </c>
      <c r="AG146" s="119">
        <f t="shared" si="38"/>
        <v>0</v>
      </c>
      <c r="AH146" s="119">
        <f t="shared" si="38"/>
        <v>0</v>
      </c>
      <c r="AI146" s="119">
        <f t="shared" si="38"/>
        <v>0</v>
      </c>
      <c r="AJ146" s="41" t="str">
        <f t="shared" si="30"/>
        <v/>
      </c>
      <c r="AK146" s="54"/>
      <c r="AL146" s="54" t="str">
        <f t="shared" si="33"/>
        <v>00</v>
      </c>
      <c r="AM146" s="56" t="str">
        <f t="shared" si="34"/>
        <v>00</v>
      </c>
      <c r="AN146" s="56" t="str">
        <f t="shared" si="35"/>
        <v>00</v>
      </c>
      <c r="AO146" s="56" t="str">
        <f t="shared" si="36"/>
        <v>00</v>
      </c>
      <c r="AQ146" t="str">
        <f t="shared" si="31"/>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0</v>
      </c>
      <c r="AG147" s="119">
        <f t="shared" si="38"/>
        <v>0</v>
      </c>
      <c r="AH147" s="119">
        <f t="shared" si="38"/>
        <v>0</v>
      </c>
      <c r="AI147" s="119">
        <f t="shared" si="38"/>
        <v>0</v>
      </c>
      <c r="AJ147" s="41" t="str">
        <f t="shared" si="30"/>
        <v/>
      </c>
      <c r="AK147" s="54"/>
      <c r="AL147" s="54" t="str">
        <f t="shared" si="33"/>
        <v>00</v>
      </c>
      <c r="AM147" s="56" t="str">
        <f t="shared" si="34"/>
        <v>00</v>
      </c>
      <c r="AN147" s="56" t="str">
        <f t="shared" si="35"/>
        <v>00</v>
      </c>
      <c r="AO147" s="56" t="str">
        <f t="shared" si="36"/>
        <v>00</v>
      </c>
      <c r="AQ147" t="str">
        <f t="shared" si="31"/>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0</v>
      </c>
      <c r="AG148" s="119">
        <f t="shared" si="38"/>
        <v>0</v>
      </c>
      <c r="AH148" s="119">
        <f t="shared" si="38"/>
        <v>0</v>
      </c>
      <c r="AI148" s="119">
        <f t="shared" si="38"/>
        <v>0</v>
      </c>
      <c r="AJ148" s="41" t="str">
        <f t="shared" si="30"/>
        <v/>
      </c>
      <c r="AK148" s="54"/>
      <c r="AL148" s="54" t="str">
        <f t="shared" si="33"/>
        <v>00</v>
      </c>
      <c r="AM148" s="56" t="str">
        <f t="shared" si="34"/>
        <v>00</v>
      </c>
      <c r="AN148" s="56" t="str">
        <f t="shared" si="35"/>
        <v>00</v>
      </c>
      <c r="AO148" s="56" t="str">
        <f t="shared" si="36"/>
        <v>00</v>
      </c>
      <c r="AQ148" t="str">
        <f t="shared" si="31"/>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0</v>
      </c>
      <c r="AG149" s="119">
        <f t="shared" si="38"/>
        <v>0</v>
      </c>
      <c r="AH149" s="119">
        <f t="shared" si="38"/>
        <v>0</v>
      </c>
      <c r="AI149" s="119">
        <f t="shared" si="38"/>
        <v>0</v>
      </c>
      <c r="AJ149" s="41" t="str">
        <f t="shared" si="30"/>
        <v/>
      </c>
      <c r="AK149" s="54"/>
      <c r="AL149" s="54" t="str">
        <f t="shared" si="33"/>
        <v>00</v>
      </c>
      <c r="AM149" s="56" t="str">
        <f t="shared" si="34"/>
        <v>00</v>
      </c>
      <c r="AN149" s="56" t="str">
        <f t="shared" si="35"/>
        <v>00</v>
      </c>
      <c r="AO149" s="56" t="str">
        <f t="shared" si="36"/>
        <v>00</v>
      </c>
      <c r="AQ149" t="str">
        <f t="shared" si="31"/>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0</v>
      </c>
      <c r="AG150" s="119">
        <f t="shared" si="38"/>
        <v>0</v>
      </c>
      <c r="AH150" s="119">
        <f t="shared" si="38"/>
        <v>0</v>
      </c>
      <c r="AI150" s="119">
        <f t="shared" si="38"/>
        <v>0</v>
      </c>
      <c r="AJ150" s="41" t="str">
        <f t="shared" si="30"/>
        <v/>
      </c>
      <c r="AK150" s="54"/>
      <c r="AL150" s="54" t="str">
        <f t="shared" si="33"/>
        <v>00</v>
      </c>
      <c r="AM150" s="56" t="str">
        <f t="shared" si="34"/>
        <v>00</v>
      </c>
      <c r="AN150" s="56" t="str">
        <f t="shared" si="35"/>
        <v>00</v>
      </c>
      <c r="AO150" s="56" t="str">
        <f t="shared" si="36"/>
        <v>00</v>
      </c>
      <c r="AQ150" t="str">
        <f t="shared" si="31"/>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0</v>
      </c>
      <c r="AG151" s="119">
        <f t="shared" si="38"/>
        <v>0</v>
      </c>
      <c r="AH151" s="119">
        <f t="shared" si="38"/>
        <v>0</v>
      </c>
      <c r="AI151" s="119">
        <f t="shared" ref="AI151" si="39">IF(OR(AI21=0,AI21=1),1,0)</f>
        <v>0</v>
      </c>
      <c r="AJ151" s="41" t="str">
        <f t="shared" si="30"/>
        <v/>
      </c>
      <c r="AK151" s="54"/>
      <c r="AL151" s="54" t="str">
        <f t="shared" si="33"/>
        <v>00</v>
      </c>
      <c r="AM151" s="56" t="str">
        <f t="shared" si="34"/>
        <v>00</v>
      </c>
      <c r="AN151" s="56" t="str">
        <f t="shared" si="35"/>
        <v>00</v>
      </c>
      <c r="AO151" s="56" t="str">
        <f t="shared" si="36"/>
        <v>00</v>
      </c>
      <c r="AQ151" t="str">
        <f t="shared" si="31"/>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AH3 D6:AJ69 L3:AF3" name="Table作成編集範囲"/>
    <protectedRange sqref="AI3 AG3" name="Table作成編集範囲_2"/>
    <protectedRange sqref="B3" name="Table作成編集範囲_1"/>
  </protectedRanges>
  <mergeCells count="4">
    <mergeCell ref="C2:C3"/>
    <mergeCell ref="AJ2:AJ3"/>
    <mergeCell ref="A4:B5"/>
    <mergeCell ref="AH3:AI3"/>
  </mergeCells>
  <phoneticPr fontId="2"/>
  <conditionalFormatting sqref="D41:AI69 AF6:AI9 D6:AE40 AF22:AI40">
    <cfRule type="cellIs" dxfId="160" priority="28" operator="equal">
      <formula>1</formula>
    </cfRule>
    <cfRule type="cellIs" dxfId="159" priority="29" operator="equal">
      <formula>"×"</formula>
    </cfRule>
  </conditionalFormatting>
  <conditionalFormatting sqref="AR5:AS70">
    <cfRule type="expression" dxfId="158" priority="27">
      <formula>$B$3="Index Table"</formula>
    </cfRule>
  </conditionalFormatting>
  <conditionalFormatting sqref="AF10:AI10 AF11:AG13 AF14:AF21">
    <cfRule type="cellIs" dxfId="157" priority="25" operator="equal">
      <formula>1</formula>
    </cfRule>
    <cfRule type="cellIs" dxfId="156" priority="26" operator="equal">
      <formula>"×"</formula>
    </cfRule>
  </conditionalFormatting>
  <conditionalFormatting sqref="AH11:AI13">
    <cfRule type="cellIs" dxfId="155" priority="23" operator="equal">
      <formula>1</formula>
    </cfRule>
    <cfRule type="cellIs" dxfId="154" priority="24" operator="equal">
      <formula>"×"</formula>
    </cfRule>
  </conditionalFormatting>
  <conditionalFormatting sqref="AG14:AI17">
    <cfRule type="cellIs" dxfId="153" priority="21" operator="equal">
      <formula>1</formula>
    </cfRule>
    <cfRule type="cellIs" dxfId="152" priority="22" operator="equal">
      <formula>"×"</formula>
    </cfRule>
  </conditionalFormatting>
  <conditionalFormatting sqref="AG18:AI18 AG19:AG21">
    <cfRule type="cellIs" dxfId="151" priority="19" operator="equal">
      <formula>1</formula>
    </cfRule>
    <cfRule type="cellIs" dxfId="150" priority="20" operator="equal">
      <formula>"×"</formula>
    </cfRule>
  </conditionalFormatting>
  <conditionalFormatting sqref="AH19:AI21">
    <cfRule type="cellIs" dxfId="149" priority="17" operator="equal">
      <formula>1</formula>
    </cfRule>
    <cfRule type="cellIs" dxfId="148" priority="18"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8" t="s">
        <v>120</v>
      </c>
      <c r="C2" s="326"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28" t="s">
        <v>155</v>
      </c>
    </row>
    <row r="3" spans="1:49" ht="213" customHeight="1" thickBot="1">
      <c r="B3" s="194" t="str">
        <f>IF(OR(IF(COUNTIF(D6:AC69,"0")&lt;&gt;0,TRUE,FALSE),IF(COUNTIF(D6:AC69,"1")&lt;&gt;0,TRUE,FALSE)),"Search Table","Index Table")</f>
        <v>Index Table</v>
      </c>
      <c r="C3" s="327"/>
      <c r="D3" s="120" t="s">
        <v>61</v>
      </c>
      <c r="E3" s="120" t="s">
        <v>66</v>
      </c>
      <c r="F3" s="120" t="s">
        <v>49</v>
      </c>
      <c r="G3" s="120" t="s">
        <v>48</v>
      </c>
      <c r="H3" s="120" t="s">
        <v>118</v>
      </c>
      <c r="I3" s="120" t="s">
        <v>117</v>
      </c>
      <c r="J3" s="120" t="s">
        <v>122</v>
      </c>
      <c r="K3" s="120" t="s">
        <v>121</v>
      </c>
      <c r="L3" s="121" t="s">
        <v>66</v>
      </c>
      <c r="M3" s="121" t="s">
        <v>62</v>
      </c>
      <c r="N3" s="121" t="s">
        <v>62</v>
      </c>
      <c r="O3" s="121" t="s">
        <v>62</v>
      </c>
      <c r="P3" s="121" t="s">
        <v>62</v>
      </c>
      <c r="Q3" s="121" t="s">
        <v>62</v>
      </c>
      <c r="R3" s="121" t="s">
        <v>62</v>
      </c>
      <c r="S3" s="121" t="s">
        <v>62</v>
      </c>
      <c r="T3" s="121" t="s">
        <v>62</v>
      </c>
      <c r="U3" s="121" t="s">
        <v>62</v>
      </c>
      <c r="V3" s="121" t="s">
        <v>62</v>
      </c>
      <c r="W3" s="121" t="s">
        <v>62</v>
      </c>
      <c r="X3" s="121" t="s">
        <v>62</v>
      </c>
      <c r="Y3" s="121" t="s">
        <v>62</v>
      </c>
      <c r="Z3" s="121" t="s">
        <v>62</v>
      </c>
      <c r="AA3" s="121" t="s">
        <v>62</v>
      </c>
      <c r="AB3" s="121" t="s">
        <v>157</v>
      </c>
      <c r="AC3" s="121" t="s">
        <v>62</v>
      </c>
      <c r="AD3" s="121" t="s">
        <v>157</v>
      </c>
      <c r="AE3" s="121" t="s">
        <v>62</v>
      </c>
      <c r="AF3" s="183" t="s">
        <v>240</v>
      </c>
      <c r="AG3" s="336" t="s">
        <v>271</v>
      </c>
      <c r="AH3" s="336"/>
      <c r="AI3" s="331"/>
      <c r="AJ3" s="329"/>
      <c r="AR3" s="86" t="s">
        <v>93</v>
      </c>
    </row>
    <row r="4" spans="1:49" ht="13.5" thickBot="1">
      <c r="A4" s="332" t="s">
        <v>63</v>
      </c>
      <c r="B4" s="333"/>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3"/>
      <c r="AR4" s="74" t="s">
        <v>79</v>
      </c>
      <c r="AS4" s="75"/>
      <c r="AT4" s="75"/>
      <c r="AU4" s="75"/>
      <c r="AV4" s="75"/>
      <c r="AW4" s="76"/>
    </row>
    <row r="5" spans="1:49" ht="13.5" thickBot="1">
      <c r="A5" s="334"/>
      <c r="B5" s="335"/>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4"/>
      <c r="AR5" s="77" t="str">
        <f ca="1">"static const U4  "&amp;AW8&amp;"["&amp;AW10&amp;"]"&amp;" = {"</f>
        <v>static const U4  u4_sp_ALERT_B_ESWUOC_PD_CRIT[ALERT_B_ESWUOC_PD_NUM_DST] = {</v>
      </c>
      <c r="AS5" s="77" t="str">
        <f ca="1">"static const U4  "&amp;$AW$9&amp;"["&amp;$AW$10&amp;"] = {"</f>
        <v>static const U4  u4_sp_ALERT_B_ESWUOC_PD_MASK[ALERT_B_ESWUOC_PD_NUM_DST] = {</v>
      </c>
      <c r="AT5" s="77" t="str">
        <f ca="1">"static const U1  "&amp;$AW$11&amp;"["&amp;$AW$10&amp;"] = {"</f>
        <v>static const U1  u1_sp_ALERT_B_ESWUOC_PD_DST[ALERT_B_ESWUOC_PD_NUM_DST] = {</v>
      </c>
      <c r="AU5" s="77" t="str">
        <f ca="1">"const ST_ALERT_MTRX "&amp;$AW$12&amp;" = {"</f>
        <v>const ST_ALERT_MTRX st_gp_ALERT_B_ESWUOC_MTRX[4] = {</v>
      </c>
      <c r="AV5" s="59" t="str">
        <f ca="1">"#define "&amp;AW10&amp;REPT(" ",41-LEN(AW10))&amp;"("&amp;AW13&amp;"U)"</f>
        <v>#define ALERT_B_ESWUOC_PD_NUM_DST                (16U)</v>
      </c>
      <c r="AW5" s="60"/>
    </row>
    <row r="6" spans="1:49">
      <c r="B6" s="127" t="str">
        <f ca="1">"Table "&amp;$AW$6</f>
        <v>Table PD</v>
      </c>
      <c r="C6" s="46">
        <f>ROW()-ROW($C$6)</f>
        <v>0</v>
      </c>
      <c r="D6" s="122" t="s">
        <v>67</v>
      </c>
      <c r="E6" s="122" t="s">
        <v>67</v>
      </c>
      <c r="F6" s="122" t="s">
        <v>67</v>
      </c>
      <c r="G6" s="122" t="s">
        <v>67</v>
      </c>
      <c r="H6" s="122" t="s">
        <v>67</v>
      </c>
      <c r="I6" s="122" t="s">
        <v>67</v>
      </c>
      <c r="J6" s="122" t="s">
        <v>67</v>
      </c>
      <c r="K6" s="122" t="s">
        <v>67</v>
      </c>
      <c r="L6" s="122" t="s">
        <v>67</v>
      </c>
      <c r="M6" s="122" t="s">
        <v>67</v>
      </c>
      <c r="N6" s="122" t="s">
        <v>67</v>
      </c>
      <c r="O6" s="122" t="s">
        <v>67</v>
      </c>
      <c r="P6" s="122" t="s">
        <v>67</v>
      </c>
      <c r="Q6" s="122" t="s">
        <v>67</v>
      </c>
      <c r="R6" s="122" t="s">
        <v>67</v>
      </c>
      <c r="S6" s="122" t="s">
        <v>67</v>
      </c>
      <c r="T6" s="122" t="s">
        <v>67</v>
      </c>
      <c r="U6" s="122" t="s">
        <v>67</v>
      </c>
      <c r="V6" s="122" t="s">
        <v>67</v>
      </c>
      <c r="W6" s="122" t="s">
        <v>67</v>
      </c>
      <c r="X6" s="122" t="s">
        <v>67</v>
      </c>
      <c r="Y6" s="122" t="s">
        <v>67</v>
      </c>
      <c r="Z6" s="122" t="s">
        <v>67</v>
      </c>
      <c r="AA6" s="122" t="s">
        <v>67</v>
      </c>
      <c r="AB6" s="122" t="s">
        <v>67</v>
      </c>
      <c r="AC6" s="122" t="s">
        <v>67</v>
      </c>
      <c r="AD6" s="122" t="s">
        <v>67</v>
      </c>
      <c r="AE6" s="122" t="s">
        <v>67</v>
      </c>
      <c r="AF6" s="125">
        <v>0</v>
      </c>
      <c r="AG6" s="125">
        <v>0</v>
      </c>
      <c r="AH6" s="125">
        <v>0</v>
      </c>
      <c r="AI6" s="125">
        <v>0</v>
      </c>
      <c r="AJ6" s="45" t="s">
        <v>32</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268</v>
      </c>
      <c r="AV6" s="42" t="s">
        <v>68</v>
      </c>
      <c r="AW6" s="61" t="str">
        <f ca="1">UPPER(RIGHT(CELL("filename",A1),LEN(CELL("filename",A1))-FIND("]",CELL("filename",A1))))</f>
        <v>PD</v>
      </c>
    </row>
    <row r="7" spans="1:49">
      <c r="B7" s="127"/>
      <c r="C7" s="41">
        <f t="shared" ref="C7:C69" si="2">ROW()-ROW($C$6)</f>
        <v>1</v>
      </c>
      <c r="D7" s="55" t="s">
        <v>67</v>
      </c>
      <c r="E7" s="55" t="s">
        <v>67</v>
      </c>
      <c r="F7" s="55" t="s">
        <v>67</v>
      </c>
      <c r="G7" s="55" t="s">
        <v>67</v>
      </c>
      <c r="H7" s="55" t="s">
        <v>67</v>
      </c>
      <c r="I7" s="55" t="s">
        <v>67</v>
      </c>
      <c r="J7" s="55" t="s">
        <v>67</v>
      </c>
      <c r="K7" s="122"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2" t="s">
        <v>67</v>
      </c>
      <c r="AE7" s="122" t="s">
        <v>67</v>
      </c>
      <c r="AF7" s="125">
        <v>0</v>
      </c>
      <c r="AG7" s="125">
        <v>0</v>
      </c>
      <c r="AH7" s="125">
        <v>0</v>
      </c>
      <c r="AI7" s="125">
        <v>1</v>
      </c>
      <c r="AJ7" s="45" t="s">
        <v>32</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(U4)0x0000000FU,                                                           /* 01 UNKNOWN                                         */</v>
      </c>
      <c r="AT7" s="57" t="str">
        <f t="shared" si="1"/>
        <v xml:space="preserve">    (U1)ALERT_REQ_UNKNOWN,                                                     /* 01 UNKNOWN                                         */</v>
      </c>
      <c r="AU7" s="57" t="str">
        <f ca="1">"        &amp;"&amp;$AW$14&amp;","&amp;REPT(" ",69-LEN($AW$14))&amp;"/* fp_u4_SRC_CHK                                      */"</f>
        <v xml:space="preserve">        &amp;u4_s_AlertB_eswuocPdSrcchk,                                           /* fp_u4_SRC_CHK                                      */</v>
      </c>
      <c r="AV7" s="43" t="s">
        <v>69</v>
      </c>
      <c r="AW7" s="126">
        <f>IF(B3="Search Table",1,0)</f>
        <v>0</v>
      </c>
    </row>
    <row r="8" spans="1:49">
      <c r="B8" s="127"/>
      <c r="C8" s="41">
        <f t="shared" si="2"/>
        <v>2</v>
      </c>
      <c r="D8" s="55" t="s">
        <v>67</v>
      </c>
      <c r="E8" s="55" t="s">
        <v>67</v>
      </c>
      <c r="F8" s="55" t="s">
        <v>67</v>
      </c>
      <c r="G8" s="55"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55" t="s">
        <v>67</v>
      </c>
      <c r="AE8" s="55" t="s">
        <v>67</v>
      </c>
      <c r="AF8" s="125">
        <v>0</v>
      </c>
      <c r="AG8" s="125">
        <v>0</v>
      </c>
      <c r="AH8" s="125">
        <v>1</v>
      </c>
      <c r="AI8" s="125">
        <v>0</v>
      </c>
      <c r="AJ8" s="45" t="s">
        <v>32</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(void *)NULL,                                                          /* fp_vd_XDST                                         */")</f>
        <v xml:space="preserve">        (void *)NULL,                                                          /* fp_vd_XDST                                         */</v>
      </c>
      <c r="AV8" s="43" t="s">
        <v>70</v>
      </c>
      <c r="AW8" s="62" t="str">
        <f ca="1">"u4_sp_ALERT_"&amp;IF(AW6&lt;&gt;AW17,$AW$17&amp;"_"&amp;$AW$6,AW17)&amp;"_CRIT"</f>
        <v>u4_sp_ALERT_B_ESWUOC_PD_CRIT</v>
      </c>
    </row>
    <row r="9" spans="1:49">
      <c r="B9" s="127"/>
      <c r="C9" s="41">
        <f t="shared" si="2"/>
        <v>3</v>
      </c>
      <c r="D9" s="55" t="s">
        <v>67</v>
      </c>
      <c r="E9" s="55" t="s">
        <v>67</v>
      </c>
      <c r="F9" s="55" t="s">
        <v>67</v>
      </c>
      <c r="G9" s="55"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55" t="s">
        <v>67</v>
      </c>
      <c r="AE9" s="55" t="s">
        <v>67</v>
      </c>
      <c r="AF9" s="125">
        <v>0</v>
      </c>
      <c r="AG9" s="125">
        <v>0</v>
      </c>
      <c r="AH9" s="125">
        <v>1</v>
      </c>
      <c r="AI9" s="125">
        <v>1</v>
      </c>
      <c r="AJ9" s="45" t="s">
        <v>318</v>
      </c>
      <c r="AL9" t="str">
        <f t="shared" ca="1" si="0"/>
        <v xml:space="preserve">    (U1)ALERT_REQ_B_ESWUOC_PD_UNLTCHFL</v>
      </c>
      <c r="AR9" s="57" t="str">
        <f t="shared" si="3"/>
        <v xml:space="preserve">    (U4)0x00000003U,                                                           /* 03 UNLTCHFL                                        */</v>
      </c>
      <c r="AS9" s="57" t="str">
        <f t="shared" si="4"/>
        <v xml:space="preserve">    (U4)0x0000000FU,                                                           /* 03 UNLTCHFL                                        */</v>
      </c>
      <c r="AT9" s="57" t="str">
        <f t="shared" ca="1" si="1"/>
        <v xml:space="preserve">    (U1)ALERT_REQ_B_ESWUOC_PD_UNLTCHFL,                                        /* 03 UNLTCHFL                                        */</v>
      </c>
      <c r="AU9" s="57"/>
      <c r="AV9" s="43" t="s">
        <v>71</v>
      </c>
      <c r="AW9" s="62" t="str">
        <f ca="1">"u4_sp_ALERT_"&amp;IF(AW6&lt;&gt;AW17,$AW$17&amp;"_"&amp;$AW$6,AW17)&amp;"_MASK"</f>
        <v>u4_sp_ALERT_B_ESWUOC_PD_MASK</v>
      </c>
    </row>
    <row r="10" spans="1:49">
      <c r="B10" s="127"/>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55" t="s">
        <v>67</v>
      </c>
      <c r="AE10" s="55" t="s">
        <v>67</v>
      </c>
      <c r="AF10" s="125">
        <v>0</v>
      </c>
      <c r="AG10" s="125">
        <v>1</v>
      </c>
      <c r="AH10" s="125">
        <v>0</v>
      </c>
      <c r="AI10" s="125">
        <v>0</v>
      </c>
      <c r="AJ10" s="45" t="s">
        <v>32</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*)NULL,                                                      /* u4p_MASK                                           */")</f>
        <v xml:space="preserve">        (const U4 *)NULL,                                                      /* u4p_MASK                                           */</v>
      </c>
      <c r="AV10" s="43" t="s">
        <v>72</v>
      </c>
      <c r="AW10" s="62" t="str">
        <f ca="1">"ALERT_"&amp;IF(AW6&lt;&gt;AW17,$AW$17&amp;"_"&amp;$AW$6,AW17)&amp;"_NUM_DST"</f>
        <v>ALERT_B_ESWUOC_PD_NUM_DST</v>
      </c>
    </row>
    <row r="11" spans="1:49">
      <c r="B11" s="127"/>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55" t="s">
        <v>67</v>
      </c>
      <c r="AE11" s="55" t="s">
        <v>67</v>
      </c>
      <c r="AF11" s="125">
        <v>0</v>
      </c>
      <c r="AG11" s="125">
        <v>1</v>
      </c>
      <c r="AH11" s="125">
        <v>0</v>
      </c>
      <c r="AI11" s="125">
        <v>1</v>
      </c>
      <c r="AJ11" s="45" t="s">
        <v>283</v>
      </c>
      <c r="AL11" t="str">
        <f t="shared" ca="1" si="0"/>
        <v xml:space="preserve">    (U1)ALERT_REQ_B_ESWUOC_PD_STPATUNLCK</v>
      </c>
      <c r="AR11" s="57" t="str">
        <f t="shared" si="3"/>
        <v xml:space="preserve">    (U4)0x00000005U,                                                           /* 05 STPATUNLCK                                      */</v>
      </c>
      <c r="AS11" s="57" t="str">
        <f t="shared" si="4"/>
        <v xml:space="preserve">    (U4)0x0000000FU,                                                           /* 05 STPATUNLCK                                      */</v>
      </c>
      <c r="AT11" s="57" t="str">
        <f t="shared" ca="1" si="1"/>
        <v xml:space="preserve">    (U1)ALERT_REQ_B_ESWUOC_PD_STPATUNLCK,                                      /* 05 STPATUNLCK                                      */</v>
      </c>
      <c r="AU11" s="57" t="str">
        <f>IF($AW$7=1,"        &amp;"&amp;$AW$8&amp;"[0],"&amp;REPT(" ",66-LEN($AW$8))&amp;"/* u4p_CRIT                                           */","        (const U4 *)NULL,                                                      /* u4p_CRIT                                           */")</f>
        <v xml:space="preserve">        (const U4 *)NULL,                                                      /* u4p_CRIT                                           */</v>
      </c>
      <c r="AV11" s="43" t="s">
        <v>73</v>
      </c>
      <c r="AW11" s="62" t="str">
        <f ca="1">"u1_sp_ALERT_"&amp;IF(AW6&lt;&gt;AW17,$AW$17&amp;"_"&amp;$AW$6,AW17)&amp;"_DST"</f>
        <v>u1_sp_ALERT_B_ESWUOC_PD_DST</v>
      </c>
    </row>
    <row r="12" spans="1:49">
      <c r="B12" s="127"/>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55" t="s">
        <v>67</v>
      </c>
      <c r="AE12" s="122" t="s">
        <v>67</v>
      </c>
      <c r="AF12" s="125">
        <v>0</v>
      </c>
      <c r="AG12" s="125">
        <v>1</v>
      </c>
      <c r="AH12" s="125">
        <v>1</v>
      </c>
      <c r="AI12" s="125">
        <v>0</v>
      </c>
      <c r="AJ12" s="45" t="s">
        <v>282</v>
      </c>
      <c r="AL12" t="str">
        <f t="shared" ca="1" si="0"/>
        <v xml:space="preserve">    (U1)ALERT_REQ_B_ESWUOC_PD_SPDATUNLCK</v>
      </c>
      <c r="AR12" s="57" t="str">
        <f t="shared" si="3"/>
        <v xml:space="preserve">    (U4)0x00000006U,                                                           /* 06 SPDATUNLCK                                      */</v>
      </c>
      <c r="AS12" s="57" t="str">
        <f t="shared" si="4"/>
        <v xml:space="preserve">    (U4)0x0000000FU,                                                           /* 06 SPDATUNLCK                                      */</v>
      </c>
      <c r="AT12" s="57" t="str">
        <f t="shared" ca="1" si="1"/>
        <v xml:space="preserve">    (U1)ALERT_REQ_B_ESWUOC_PD_SPDATUNLCK,                                      /* 06 SPDATUNLCK                                      */</v>
      </c>
      <c r="AU12" s="57"/>
      <c r="AV12" s="43" t="s">
        <v>85</v>
      </c>
      <c r="AW12" s="62" t="str">
        <f ca="1">Matrix!D8&amp;"["&amp;Matrix!D7&amp;"]"</f>
        <v>st_gp_ALERT_B_ESWUOC_MTRX[4]</v>
      </c>
    </row>
    <row r="13" spans="1:49">
      <c r="B13" s="127"/>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55" t="s">
        <v>67</v>
      </c>
      <c r="AE13" s="55" t="s">
        <v>67</v>
      </c>
      <c r="AF13" s="125">
        <v>0</v>
      </c>
      <c r="AG13" s="125">
        <v>1</v>
      </c>
      <c r="AH13" s="125">
        <v>1</v>
      </c>
      <c r="AI13" s="125">
        <v>1</v>
      </c>
      <c r="AJ13" s="45" t="s">
        <v>284</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&amp;u1_sp_ALERT_B_ESWUOC_PD_DST[0],                                       /* u1p_DST                                            */</v>
      </c>
      <c r="AV13" s="43" t="s">
        <v>74</v>
      </c>
      <c r="AW13" s="126">
        <f>COUNTA($AJ$6:$AJ$69)</f>
        <v>16</v>
      </c>
    </row>
    <row r="14" spans="1:49">
      <c r="B14" s="127"/>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55" t="s">
        <v>67</v>
      </c>
      <c r="AE14" s="55" t="s">
        <v>67</v>
      </c>
      <c r="AF14" s="125">
        <v>1</v>
      </c>
      <c r="AG14" s="125">
        <v>0</v>
      </c>
      <c r="AH14" s="125">
        <v>0</v>
      </c>
      <c r="AI14" s="125">
        <v>0</v>
      </c>
      <c r="AJ14" s="45" t="s">
        <v>284</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(U2)ALERT_B_ESWUOC_PD_NUM_DST,                                         /* u2_num_srch                                        */</v>
      </c>
      <c r="AV14" s="43" t="s">
        <v>75</v>
      </c>
      <c r="AW14" s="62" t="str">
        <f ca="1">IF(AW6&lt;&gt;AW17,VLOOKUP(AW6,Matrix!$C$13:$G$37,4,FALSE),Matrix!F13)</f>
        <v>u4_s_AlertB_eswuocPdSrcchk</v>
      </c>
    </row>
    <row r="15" spans="1:49">
      <c r="B15" s="127"/>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t="s">
        <v>67</v>
      </c>
      <c r="AE15" s="55" t="s">
        <v>67</v>
      </c>
      <c r="AF15" s="125">
        <v>1</v>
      </c>
      <c r="AG15" s="125">
        <v>0</v>
      </c>
      <c r="AH15" s="125">
        <v>0</v>
      </c>
      <c r="AI15" s="125">
        <v>1</v>
      </c>
      <c r="AJ15" s="45" t="s">
        <v>284</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78</v>
      </c>
      <c r="AW15" s="62" t="str">
        <f ca="1">IF(AW6&lt;&gt;AW17,VLOOKUP(AW6,Matrix!$C$13:$G$37,5,FALSE),Matrix!G13)</f>
        <v>NULL</v>
      </c>
    </row>
    <row r="16" spans="1:49">
      <c r="B16" s="127"/>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t="s">
        <v>67</v>
      </c>
      <c r="AE16" s="55" t="s">
        <v>67</v>
      </c>
      <c r="AF16" s="125">
        <v>1</v>
      </c>
      <c r="AG16" s="125">
        <v>0</v>
      </c>
      <c r="AH16" s="125">
        <v>1</v>
      </c>
      <c r="AI16" s="125">
        <v>0</v>
      </c>
      <c r="AJ16" s="45" t="s">
        <v>284</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269</v>
      </c>
      <c r="AV16" s="43" t="s">
        <v>76</v>
      </c>
      <c r="AW16" s="62" t="str">
        <f ca="1">IF(AW6&lt;&gt;AW17,VLOOKUP(AW6,Matrix!$C$13:$G$37,2,FALSE),Matrix!D13)</f>
        <v>ALERT_VOM_IGN_ON</v>
      </c>
    </row>
    <row r="17" spans="2:49" ht="13.5" thickBot="1">
      <c r="B17" s="127"/>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t="s">
        <v>67</v>
      </c>
      <c r="AE17" s="55" t="s">
        <v>67</v>
      </c>
      <c r="AF17" s="125">
        <v>1</v>
      </c>
      <c r="AG17" s="125">
        <v>0</v>
      </c>
      <c r="AH17" s="125">
        <v>1</v>
      </c>
      <c r="AI17" s="125">
        <v>1</v>
      </c>
      <c r="AJ17" s="45" t="s">
        <v>284</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270</v>
      </c>
      <c r="AV17" s="44" t="s">
        <v>77</v>
      </c>
      <c r="AW17" s="63" t="str">
        <f ca="1">UPPER(Matrix!$D$6)</f>
        <v>B_ESWUOC</v>
      </c>
    </row>
    <row r="18" spans="2:49">
      <c r="B18" s="127"/>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t="s">
        <v>67</v>
      </c>
      <c r="AE18" s="55" t="s">
        <v>67</v>
      </c>
      <c r="AF18" s="125">
        <v>1</v>
      </c>
      <c r="AG18" s="125">
        <v>1</v>
      </c>
      <c r="AH18" s="125">
        <v>0</v>
      </c>
      <c r="AI18" s="125">
        <v>0</v>
      </c>
      <c r="AJ18" s="45" t="s">
        <v>284</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27"/>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t="s">
        <v>67</v>
      </c>
      <c r="AE19" s="55" t="s">
        <v>67</v>
      </c>
      <c r="AF19" s="125">
        <v>1</v>
      </c>
      <c r="AG19" s="125">
        <v>1</v>
      </c>
      <c r="AH19" s="125">
        <v>0</v>
      </c>
      <c r="AI19" s="125">
        <v>1</v>
      </c>
      <c r="AJ19" s="45" t="s">
        <v>284</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2:49">
      <c r="B20" s="127"/>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t="s">
        <v>67</v>
      </c>
      <c r="AE20" s="55" t="s">
        <v>67</v>
      </c>
      <c r="AF20" s="125">
        <v>1</v>
      </c>
      <c r="AG20" s="125">
        <v>1</v>
      </c>
      <c r="AH20" s="125">
        <v>1</v>
      </c>
      <c r="AI20" s="125">
        <v>0</v>
      </c>
      <c r="AJ20" s="45" t="s">
        <v>284</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2:49">
      <c r="B21" s="127"/>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t="s">
        <v>67</v>
      </c>
      <c r="AE21" s="55" t="s">
        <v>67</v>
      </c>
      <c r="AF21" s="125">
        <v>1</v>
      </c>
      <c r="AG21" s="125">
        <v>1</v>
      </c>
      <c r="AH21" s="125">
        <v>1</v>
      </c>
      <c r="AI21" s="125">
        <v>1</v>
      </c>
      <c r="AJ21" s="45" t="s">
        <v>284</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2:49">
      <c r="B22" s="127"/>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t="s">
        <v>67</v>
      </c>
      <c r="AE22" s="55" t="s">
        <v>67</v>
      </c>
      <c r="AF22" s="55" t="s">
        <v>67</v>
      </c>
      <c r="AG22" s="55" t="s">
        <v>67</v>
      </c>
      <c r="AH22" s="55" t="s">
        <v>67</v>
      </c>
      <c r="AI22" s="55" t="s">
        <v>67</v>
      </c>
      <c r="AJ22" s="45"/>
      <c r="AL22" t="str">
        <f t="shared" ca="1" si="0"/>
        <v xml:space="preserve">    (U1)ALERT_REQ_B_ESWUOC_PD_</v>
      </c>
      <c r="AR22" s="57" t="str">
        <f t="shared" si="3"/>
        <v>};</v>
      </c>
      <c r="AS22" s="57" t="str">
        <f t="shared" si="4"/>
        <v>};</v>
      </c>
      <c r="AT22" s="57" t="str">
        <f t="shared" si="1"/>
        <v>};</v>
      </c>
    </row>
    <row r="23" spans="2:49">
      <c r="B23" s="127"/>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t="s">
        <v>67</v>
      </c>
      <c r="AE23" s="55" t="s">
        <v>67</v>
      </c>
      <c r="AF23" s="55" t="s">
        <v>67</v>
      </c>
      <c r="AG23" s="55" t="s">
        <v>67</v>
      </c>
      <c r="AH23" s="55" t="s">
        <v>67</v>
      </c>
      <c r="AI23" s="55" t="s">
        <v>67</v>
      </c>
      <c r="AJ23" s="45"/>
      <c r="AL23" t="str">
        <f t="shared" ca="1" si="0"/>
        <v xml:space="preserve">    (U1)ALERT_REQ_B_ESWUOC_PD_</v>
      </c>
      <c r="AR23" s="57" t="str">
        <f t="shared" si="3"/>
        <v/>
      </c>
      <c r="AS23" s="57" t="str">
        <f t="shared" si="4"/>
        <v/>
      </c>
      <c r="AT23" s="57" t="str">
        <f t="shared" si="1"/>
        <v/>
      </c>
    </row>
    <row r="24" spans="2:49">
      <c r="B24" s="127"/>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t="s">
        <v>67</v>
      </c>
      <c r="AE24" s="55" t="s">
        <v>67</v>
      </c>
      <c r="AF24" s="55" t="s">
        <v>67</v>
      </c>
      <c r="AG24" s="55" t="s">
        <v>67</v>
      </c>
      <c r="AH24" s="55" t="s">
        <v>67</v>
      </c>
      <c r="AI24" s="55" t="s">
        <v>67</v>
      </c>
      <c r="AJ24" s="23"/>
      <c r="AL24" t="str">
        <f t="shared" ca="1" si="0"/>
        <v xml:space="preserve">    (U1)ALERT_REQ_B_ESWUOC_PD_</v>
      </c>
      <c r="AR24" s="57" t="str">
        <f t="shared" si="3"/>
        <v/>
      </c>
      <c r="AS24" s="57" t="str">
        <f t="shared" si="4"/>
        <v/>
      </c>
      <c r="AT24" s="57" t="str">
        <f t="shared" si="1"/>
        <v/>
      </c>
    </row>
    <row r="25" spans="2:49">
      <c r="B25" s="127"/>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t="s">
        <v>67</v>
      </c>
      <c r="AE25" s="55" t="s">
        <v>67</v>
      </c>
      <c r="AF25" s="55" t="s">
        <v>67</v>
      </c>
      <c r="AG25" s="55" t="s">
        <v>67</v>
      </c>
      <c r="AH25" s="55" t="s">
        <v>67</v>
      </c>
      <c r="AI25" s="55" t="s">
        <v>67</v>
      </c>
      <c r="AJ25" s="23"/>
      <c r="AL25" t="str">
        <f t="shared" ca="1" si="0"/>
        <v xml:space="preserve">    (U1)ALERT_REQ_B_ESWUOC_PD_</v>
      </c>
      <c r="AR25" s="57" t="str">
        <f t="shared" si="3"/>
        <v/>
      </c>
      <c r="AS25" s="57" t="str">
        <f t="shared" si="4"/>
        <v/>
      </c>
      <c r="AT25" s="57" t="str">
        <f t="shared" si="1"/>
        <v/>
      </c>
    </row>
    <row r="26" spans="2:49">
      <c r="B26" s="127"/>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t="s">
        <v>67</v>
      </c>
      <c r="AE26" s="55" t="s">
        <v>67</v>
      </c>
      <c r="AF26" s="55" t="s">
        <v>67</v>
      </c>
      <c r="AG26" s="55" t="s">
        <v>67</v>
      </c>
      <c r="AH26" s="55" t="s">
        <v>67</v>
      </c>
      <c r="AI26" s="55" t="s">
        <v>67</v>
      </c>
      <c r="AJ26" s="23"/>
      <c r="AL26" t="str">
        <f t="shared" ca="1" si="0"/>
        <v xml:space="preserve">    (U1)ALERT_REQ_B_ESWUOC_PD_</v>
      </c>
      <c r="AR26" s="57" t="str">
        <f t="shared" si="3"/>
        <v/>
      </c>
      <c r="AS26" s="57" t="str">
        <f t="shared" si="4"/>
        <v/>
      </c>
      <c r="AT26" s="57" t="str">
        <f t="shared" si="1"/>
        <v/>
      </c>
    </row>
    <row r="27" spans="2:49">
      <c r="B27" s="127"/>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t="s">
        <v>67</v>
      </c>
      <c r="AE27" s="55" t="s">
        <v>67</v>
      </c>
      <c r="AF27" s="55" t="s">
        <v>67</v>
      </c>
      <c r="AG27" s="55" t="s">
        <v>67</v>
      </c>
      <c r="AH27" s="55" t="s">
        <v>67</v>
      </c>
      <c r="AI27" s="55" t="s">
        <v>67</v>
      </c>
      <c r="AJ27" s="23"/>
      <c r="AL27" t="str">
        <f t="shared" ca="1" si="0"/>
        <v xml:space="preserve">    (U1)ALERT_REQ_B_ESWUOC_PD_</v>
      </c>
      <c r="AR27" s="57" t="str">
        <f t="shared" si="3"/>
        <v/>
      </c>
      <c r="AS27" s="57" t="str">
        <f t="shared" si="4"/>
        <v/>
      </c>
      <c r="AT27" s="57" t="str">
        <f t="shared" si="1"/>
        <v/>
      </c>
    </row>
    <row r="28" spans="2:49">
      <c r="B28" s="127"/>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t="s">
        <v>67</v>
      </c>
      <c r="AE28" s="55" t="s">
        <v>67</v>
      </c>
      <c r="AF28" s="55" t="s">
        <v>67</v>
      </c>
      <c r="AG28" s="55" t="s">
        <v>67</v>
      </c>
      <c r="AH28" s="55" t="s">
        <v>67</v>
      </c>
      <c r="AI28" s="55" t="s">
        <v>67</v>
      </c>
      <c r="AJ28" s="23"/>
      <c r="AL28" t="str">
        <f t="shared" ca="1" si="0"/>
        <v xml:space="preserve">    (U1)ALERT_REQ_B_ESWUOC_PD_</v>
      </c>
      <c r="AR28" s="57" t="str">
        <f t="shared" si="3"/>
        <v/>
      </c>
      <c r="AS28" s="57" t="str">
        <f t="shared" si="4"/>
        <v/>
      </c>
      <c r="AT28" s="57" t="str">
        <f t="shared" si="1"/>
        <v/>
      </c>
    </row>
    <row r="29" spans="2:49">
      <c r="B29" s="127"/>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t="s">
        <v>67</v>
      </c>
      <c r="AE29" s="55" t="s">
        <v>67</v>
      </c>
      <c r="AF29" s="55" t="s">
        <v>67</v>
      </c>
      <c r="AG29" s="55" t="s">
        <v>67</v>
      </c>
      <c r="AH29" s="55" t="s">
        <v>67</v>
      </c>
      <c r="AI29" s="55" t="s">
        <v>67</v>
      </c>
      <c r="AJ29" s="23"/>
      <c r="AL29" t="str">
        <f t="shared" ca="1" si="0"/>
        <v xml:space="preserve">    (U1)ALERT_REQ_B_ESWUOC_PD_</v>
      </c>
      <c r="AR29" s="57" t="str">
        <f t="shared" si="3"/>
        <v/>
      </c>
      <c r="AS29" s="57" t="str">
        <f t="shared" si="4"/>
        <v/>
      </c>
      <c r="AT29" s="57" t="str">
        <f t="shared" si="1"/>
        <v/>
      </c>
    </row>
    <row r="30" spans="2:49">
      <c r="B30" s="127"/>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t="s">
        <v>67</v>
      </c>
      <c r="AE30" s="55" t="s">
        <v>67</v>
      </c>
      <c r="AF30" s="55" t="s">
        <v>67</v>
      </c>
      <c r="AG30" s="55" t="s">
        <v>67</v>
      </c>
      <c r="AH30" s="55" t="s">
        <v>67</v>
      </c>
      <c r="AI30" s="55" t="s">
        <v>67</v>
      </c>
      <c r="AJ30" s="23"/>
      <c r="AL30" t="str">
        <f t="shared" ca="1" si="0"/>
        <v xml:space="preserve">    (U1)ALERT_REQ_B_ESWUOC_PD_</v>
      </c>
      <c r="AR30" s="57" t="str">
        <f t="shared" si="3"/>
        <v/>
      </c>
      <c r="AS30" s="57" t="str">
        <f t="shared" si="4"/>
        <v/>
      </c>
      <c r="AT30" s="57" t="str">
        <f t="shared" si="1"/>
        <v/>
      </c>
    </row>
    <row r="31" spans="2:49">
      <c r="B31" s="127"/>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t="s">
        <v>67</v>
      </c>
      <c r="AE31" s="55" t="s">
        <v>67</v>
      </c>
      <c r="AF31" s="55" t="s">
        <v>67</v>
      </c>
      <c r="AG31" s="55" t="s">
        <v>67</v>
      </c>
      <c r="AH31" s="55" t="s">
        <v>67</v>
      </c>
      <c r="AI31" s="55" t="s">
        <v>67</v>
      </c>
      <c r="AJ31" s="23"/>
      <c r="AL31" t="str">
        <f t="shared" ca="1" si="0"/>
        <v xml:space="preserve">    (U1)ALERT_REQ_B_ESWUOC_PD_</v>
      </c>
      <c r="AR31" s="57" t="str">
        <f t="shared" si="3"/>
        <v/>
      </c>
      <c r="AS31" s="57" t="str">
        <f t="shared" si="4"/>
        <v/>
      </c>
      <c r="AT31" s="57" t="str">
        <f t="shared" si="1"/>
        <v/>
      </c>
    </row>
    <row r="32" spans="2:49">
      <c r="B32" s="127"/>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t="s">
        <v>67</v>
      </c>
      <c r="AE32" s="55" t="s">
        <v>67</v>
      </c>
      <c r="AF32" s="55" t="s">
        <v>67</v>
      </c>
      <c r="AG32" s="55" t="s">
        <v>67</v>
      </c>
      <c r="AH32" s="55" t="s">
        <v>67</v>
      </c>
      <c r="AI32" s="55" t="s">
        <v>67</v>
      </c>
      <c r="AJ32" s="23"/>
      <c r="AL32" t="str">
        <f t="shared" ca="1" si="0"/>
        <v xml:space="preserve">    (U1)ALERT_REQ_B_ESWUOC_PD_</v>
      </c>
      <c r="AR32" s="57" t="str">
        <f t="shared" si="3"/>
        <v/>
      </c>
      <c r="AS32" s="57" t="str">
        <f t="shared" si="4"/>
        <v/>
      </c>
      <c r="AT32" s="57" t="str">
        <f t="shared" si="1"/>
        <v/>
      </c>
    </row>
    <row r="33" spans="2:46">
      <c r="B33" s="127"/>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t="s">
        <v>67</v>
      </c>
      <c r="AE33" s="55" t="s">
        <v>67</v>
      </c>
      <c r="AF33" s="55" t="s">
        <v>67</v>
      </c>
      <c r="AG33" s="55" t="s">
        <v>67</v>
      </c>
      <c r="AH33" s="55" t="s">
        <v>67</v>
      </c>
      <c r="AI33" s="55" t="s">
        <v>67</v>
      </c>
      <c r="AJ33" s="23"/>
      <c r="AL33" t="str">
        <f t="shared" ca="1" si="0"/>
        <v xml:space="preserve">    (U1)ALERT_REQ_B_ESWUOC_PD_</v>
      </c>
      <c r="AR33" s="57" t="str">
        <f t="shared" si="3"/>
        <v/>
      </c>
      <c r="AS33" s="57" t="str">
        <f t="shared" si="4"/>
        <v/>
      </c>
      <c r="AT33" s="57" t="str">
        <f t="shared" si="1"/>
        <v/>
      </c>
    </row>
    <row r="34" spans="2:46">
      <c r="B34" s="127"/>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t="s">
        <v>67</v>
      </c>
      <c r="AE34" s="55" t="s">
        <v>67</v>
      </c>
      <c r="AF34" s="55" t="s">
        <v>67</v>
      </c>
      <c r="AG34" s="55" t="s">
        <v>67</v>
      </c>
      <c r="AH34" s="55" t="s">
        <v>67</v>
      </c>
      <c r="AI34" s="55" t="s">
        <v>67</v>
      </c>
      <c r="AJ34" s="23"/>
      <c r="AL34" t="str">
        <f t="shared" ca="1" si="0"/>
        <v xml:space="preserve">    (U1)ALERT_REQ_B_ESWUOC_PD_</v>
      </c>
      <c r="AR34" s="57" t="str">
        <f t="shared" si="3"/>
        <v/>
      </c>
      <c r="AS34" s="57" t="str">
        <f t="shared" si="4"/>
        <v/>
      </c>
      <c r="AT34" s="57" t="str">
        <f t="shared" si="1"/>
        <v/>
      </c>
    </row>
    <row r="35" spans="2:46">
      <c r="B35" s="127"/>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t="s">
        <v>67</v>
      </c>
      <c r="AE35" s="55" t="s">
        <v>67</v>
      </c>
      <c r="AF35" s="55" t="s">
        <v>67</v>
      </c>
      <c r="AG35" s="55" t="s">
        <v>67</v>
      </c>
      <c r="AH35" s="55" t="s">
        <v>67</v>
      </c>
      <c r="AI35" s="55" t="s">
        <v>67</v>
      </c>
      <c r="AJ35" s="23"/>
      <c r="AL35" t="str">
        <f t="shared" ca="1" si="0"/>
        <v xml:space="preserve">    (U1)ALERT_REQ_B_ESWUOC_PD_</v>
      </c>
      <c r="AR35" s="57" t="str">
        <f t="shared" si="3"/>
        <v/>
      </c>
      <c r="AS35" s="57" t="str">
        <f t="shared" si="4"/>
        <v/>
      </c>
      <c r="AT35" s="57" t="str">
        <f t="shared" si="1"/>
        <v/>
      </c>
    </row>
    <row r="36" spans="2:46">
      <c r="B36" s="127"/>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t="s">
        <v>67</v>
      </c>
      <c r="AE36" s="55" t="s">
        <v>67</v>
      </c>
      <c r="AF36" s="55" t="s">
        <v>67</v>
      </c>
      <c r="AG36" s="55" t="s">
        <v>67</v>
      </c>
      <c r="AH36" s="55" t="s">
        <v>67</v>
      </c>
      <c r="AI36" s="55" t="s">
        <v>67</v>
      </c>
      <c r="AJ36" s="23"/>
      <c r="AL36" t="str">
        <f t="shared" ca="1" si="0"/>
        <v xml:space="preserve">    (U1)ALERT_REQ_B_ESWUOC_PD_</v>
      </c>
      <c r="AR36" s="57" t="str">
        <f t="shared" si="3"/>
        <v/>
      </c>
      <c r="AS36" s="57" t="str">
        <f t="shared" si="4"/>
        <v/>
      </c>
      <c r="AT36" s="57" t="str">
        <f t="shared" si="1"/>
        <v/>
      </c>
    </row>
    <row r="37" spans="2:46">
      <c r="B37" s="127"/>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t="s">
        <v>67</v>
      </c>
      <c r="AE37" s="55" t="s">
        <v>67</v>
      </c>
      <c r="AF37" s="55" t="s">
        <v>67</v>
      </c>
      <c r="AG37" s="55" t="s">
        <v>67</v>
      </c>
      <c r="AH37" s="55" t="s">
        <v>67</v>
      </c>
      <c r="AI37" s="55" t="s">
        <v>67</v>
      </c>
      <c r="AJ37" s="23"/>
      <c r="AL37" t="str">
        <f t="shared" ca="1" si="0"/>
        <v xml:space="preserve">    (U1)ALERT_REQ_B_ESWUOC_PD_</v>
      </c>
      <c r="AR37" s="57" t="str">
        <f t="shared" si="3"/>
        <v/>
      </c>
      <c r="AS37" s="57" t="str">
        <f t="shared" si="4"/>
        <v/>
      </c>
      <c r="AT37" s="57" t="str">
        <f t="shared" si="1"/>
        <v/>
      </c>
    </row>
    <row r="38" spans="2:46">
      <c r="B38" s="127"/>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t="s">
        <v>67</v>
      </c>
      <c r="AE38" s="55" t="s">
        <v>67</v>
      </c>
      <c r="AF38" s="55" t="s">
        <v>67</v>
      </c>
      <c r="AG38" s="55" t="s">
        <v>67</v>
      </c>
      <c r="AH38" s="55" t="s">
        <v>67</v>
      </c>
      <c r="AI38" s="55" t="s">
        <v>67</v>
      </c>
      <c r="AJ38" s="23"/>
      <c r="AL38" t="str">
        <f t="shared" ca="1" si="0"/>
        <v xml:space="preserve">    (U1)ALERT_REQ_B_ESWUOC_PD_</v>
      </c>
      <c r="AR38" s="57" t="str">
        <f t="shared" si="3"/>
        <v/>
      </c>
      <c r="AS38" s="57" t="str">
        <f t="shared" si="4"/>
        <v/>
      </c>
      <c r="AT38" s="57" t="str">
        <f t="shared" si="1"/>
        <v/>
      </c>
    </row>
    <row r="39" spans="2:46">
      <c r="B39" s="127"/>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t="s">
        <v>67</v>
      </c>
      <c r="AE39" s="55" t="s">
        <v>67</v>
      </c>
      <c r="AF39" s="55" t="s">
        <v>67</v>
      </c>
      <c r="AG39" s="55" t="s">
        <v>67</v>
      </c>
      <c r="AH39" s="55" t="s">
        <v>67</v>
      </c>
      <c r="AI39" s="55" t="s">
        <v>67</v>
      </c>
      <c r="AJ39" s="23"/>
      <c r="AL39" t="str">
        <f t="shared" ca="1" si="0"/>
        <v xml:space="preserve">    (U1)ALERT_REQ_B_ESWUOC_PD_</v>
      </c>
      <c r="AR39" s="57" t="str">
        <f t="shared" si="3"/>
        <v/>
      </c>
      <c r="AS39" s="57" t="str">
        <f t="shared" si="4"/>
        <v/>
      </c>
      <c r="AT39" s="57" t="str">
        <f t="shared" si="1"/>
        <v/>
      </c>
    </row>
    <row r="40" spans="2:46">
      <c r="B40" s="127"/>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t="s">
        <v>67</v>
      </c>
      <c r="AE40" s="55" t="s">
        <v>67</v>
      </c>
      <c r="AF40" s="55" t="s">
        <v>67</v>
      </c>
      <c r="AG40" s="55" t="s">
        <v>67</v>
      </c>
      <c r="AH40" s="55" t="s">
        <v>67</v>
      </c>
      <c r="AI40" s="55" t="s">
        <v>67</v>
      </c>
      <c r="AJ40" s="23"/>
      <c r="AL40" t="str">
        <f t="shared" ca="1" si="0"/>
        <v xml:space="preserve">    (U1)ALERT_REQ_B_ESWUOC_PD_</v>
      </c>
      <c r="AR40" s="57" t="str">
        <f t="shared" si="3"/>
        <v/>
      </c>
      <c r="AS40" s="57" t="str">
        <f t="shared" si="4"/>
        <v/>
      </c>
      <c r="AT40" s="57" t="str">
        <f t="shared" si="1"/>
        <v/>
      </c>
    </row>
    <row r="41" spans="2:46">
      <c r="B41" s="127"/>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t="s">
        <v>67</v>
      </c>
      <c r="AE41" s="55" t="s">
        <v>67</v>
      </c>
      <c r="AF41" s="55" t="s">
        <v>67</v>
      </c>
      <c r="AG41" s="55" t="s">
        <v>67</v>
      </c>
      <c r="AH41" s="55" t="s">
        <v>67</v>
      </c>
      <c r="AI41" s="55" t="s">
        <v>67</v>
      </c>
      <c r="AJ41" s="23"/>
      <c r="AL41" t="str">
        <f t="shared" ca="1" si="0"/>
        <v xml:space="preserve">    (U1)ALERT_REQ_B_ESWUOC_PD_</v>
      </c>
      <c r="AR41" s="57" t="str">
        <f t="shared" si="3"/>
        <v/>
      </c>
      <c r="AS41" s="57" t="str">
        <f t="shared" si="4"/>
        <v/>
      </c>
      <c r="AT41" s="57" t="str">
        <f t="shared" si="1"/>
        <v/>
      </c>
    </row>
    <row r="42" spans="2:46">
      <c r="B42" s="127"/>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t="s">
        <v>67</v>
      </c>
      <c r="AE42" s="55" t="s">
        <v>67</v>
      </c>
      <c r="AF42" s="55" t="s">
        <v>67</v>
      </c>
      <c r="AG42" s="55" t="s">
        <v>67</v>
      </c>
      <c r="AH42" s="55" t="s">
        <v>67</v>
      </c>
      <c r="AI42" s="55" t="s">
        <v>67</v>
      </c>
      <c r="AJ42" s="23"/>
      <c r="AL42" t="str">
        <f t="shared" ca="1" si="0"/>
        <v xml:space="preserve">    (U1)ALERT_REQ_B_ESWUOC_PD_</v>
      </c>
      <c r="AR42" s="57" t="str">
        <f t="shared" si="3"/>
        <v/>
      </c>
      <c r="AS42" s="57" t="str">
        <f t="shared" si="4"/>
        <v/>
      </c>
      <c r="AT42" s="57" t="str">
        <f t="shared" si="1"/>
        <v/>
      </c>
    </row>
    <row r="43" spans="2:46">
      <c r="B43" s="127"/>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t="s">
        <v>67</v>
      </c>
      <c r="AE43" s="55" t="s">
        <v>67</v>
      </c>
      <c r="AF43" s="55" t="s">
        <v>67</v>
      </c>
      <c r="AG43" s="55" t="s">
        <v>67</v>
      </c>
      <c r="AH43" s="55" t="s">
        <v>67</v>
      </c>
      <c r="AI43" s="55" t="s">
        <v>67</v>
      </c>
      <c r="AJ43" s="23"/>
      <c r="AL43" t="str">
        <f t="shared" ca="1" si="0"/>
        <v xml:space="preserve">    (U1)ALERT_REQ_B_ESWUOC_PD_</v>
      </c>
      <c r="AR43" s="57" t="str">
        <f t="shared" si="3"/>
        <v/>
      </c>
      <c r="AS43" s="57" t="str">
        <f t="shared" si="4"/>
        <v/>
      </c>
      <c r="AT43" s="57" t="str">
        <f t="shared" si="1"/>
        <v/>
      </c>
    </row>
    <row r="44" spans="2:46">
      <c r="B44" s="127"/>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t="s">
        <v>67</v>
      </c>
      <c r="AE44" s="55" t="s">
        <v>67</v>
      </c>
      <c r="AF44" s="55" t="s">
        <v>67</v>
      </c>
      <c r="AG44" s="55" t="s">
        <v>67</v>
      </c>
      <c r="AH44" s="55" t="s">
        <v>67</v>
      </c>
      <c r="AI44" s="55" t="s">
        <v>67</v>
      </c>
      <c r="AJ44" s="23"/>
      <c r="AL44" t="str">
        <f t="shared" ca="1" si="0"/>
        <v xml:space="preserve">    (U1)ALERT_REQ_B_ESWUOC_PD_</v>
      </c>
      <c r="AR44" s="57" t="str">
        <f t="shared" si="3"/>
        <v/>
      </c>
      <c r="AS44" s="57" t="str">
        <f t="shared" si="4"/>
        <v/>
      </c>
      <c r="AT44" s="57" t="str">
        <f t="shared" si="1"/>
        <v/>
      </c>
    </row>
    <row r="45" spans="2:46">
      <c r="B45" s="127"/>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t="s">
        <v>67</v>
      </c>
      <c r="AE45" s="55" t="s">
        <v>67</v>
      </c>
      <c r="AF45" s="55" t="s">
        <v>67</v>
      </c>
      <c r="AG45" s="55" t="s">
        <v>67</v>
      </c>
      <c r="AH45" s="55" t="s">
        <v>67</v>
      </c>
      <c r="AI45" s="55" t="s">
        <v>67</v>
      </c>
      <c r="AJ45" s="23"/>
      <c r="AL45" t="str">
        <f t="shared" ca="1" si="0"/>
        <v xml:space="preserve">    (U1)ALERT_REQ_B_ESWUOC_PD_</v>
      </c>
      <c r="AR45" s="57" t="str">
        <f t="shared" si="3"/>
        <v/>
      </c>
      <c r="AS45" s="57" t="str">
        <f t="shared" si="4"/>
        <v/>
      </c>
      <c r="AT45" s="57" t="str">
        <f t="shared" si="1"/>
        <v/>
      </c>
    </row>
    <row r="46" spans="2:46">
      <c r="B46" s="127"/>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t="s">
        <v>67</v>
      </c>
      <c r="AE46" s="55" t="s">
        <v>67</v>
      </c>
      <c r="AF46" s="55" t="s">
        <v>67</v>
      </c>
      <c r="AG46" s="55" t="s">
        <v>67</v>
      </c>
      <c r="AH46" s="55" t="s">
        <v>67</v>
      </c>
      <c r="AI46" s="55" t="s">
        <v>67</v>
      </c>
      <c r="AJ46" s="23"/>
      <c r="AL46" t="str">
        <f t="shared" ca="1" si="0"/>
        <v xml:space="preserve">    (U1)ALERT_REQ_B_ESWUOC_PD_</v>
      </c>
      <c r="AR46" s="57" t="str">
        <f t="shared" si="3"/>
        <v/>
      </c>
      <c r="AS46" s="57" t="str">
        <f t="shared" si="4"/>
        <v/>
      </c>
      <c r="AT46" s="57" t="str">
        <f t="shared" si="1"/>
        <v/>
      </c>
    </row>
    <row r="47" spans="2:46">
      <c r="B47" s="127"/>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t="s">
        <v>67</v>
      </c>
      <c r="AE47" s="55" t="s">
        <v>67</v>
      </c>
      <c r="AF47" s="55" t="s">
        <v>67</v>
      </c>
      <c r="AG47" s="55" t="s">
        <v>67</v>
      </c>
      <c r="AH47" s="55" t="s">
        <v>67</v>
      </c>
      <c r="AI47" s="55" t="s">
        <v>67</v>
      </c>
      <c r="AJ47" s="23"/>
      <c r="AL47" t="str">
        <f t="shared" ca="1" si="0"/>
        <v xml:space="preserve">    (U1)ALERT_REQ_B_ESWUOC_PD_</v>
      </c>
      <c r="AR47" s="57" t="str">
        <f t="shared" si="3"/>
        <v/>
      </c>
      <c r="AS47" s="57" t="str">
        <f t="shared" si="4"/>
        <v/>
      </c>
      <c r="AT47" s="57" t="str">
        <f t="shared" si="1"/>
        <v/>
      </c>
    </row>
    <row r="48" spans="2:46">
      <c r="B48" s="127"/>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t="s">
        <v>67</v>
      </c>
      <c r="AE48" s="55" t="s">
        <v>67</v>
      </c>
      <c r="AF48" s="55" t="s">
        <v>67</v>
      </c>
      <c r="AG48" s="55" t="s">
        <v>67</v>
      </c>
      <c r="AH48" s="55" t="s">
        <v>67</v>
      </c>
      <c r="AI48" s="55" t="s">
        <v>67</v>
      </c>
      <c r="AJ48" s="23"/>
      <c r="AL48" t="str">
        <f t="shared" ca="1" si="0"/>
        <v xml:space="preserve">    (U1)ALERT_REQ_B_ESWUOC_PD_</v>
      </c>
      <c r="AR48" s="57" t="str">
        <f t="shared" si="3"/>
        <v/>
      </c>
      <c r="AS48" s="57" t="str">
        <f t="shared" si="4"/>
        <v/>
      </c>
      <c r="AT48" s="57" t="str">
        <f t="shared" si="1"/>
        <v/>
      </c>
    </row>
    <row r="49" spans="2:46">
      <c r="B49" s="127"/>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t="s">
        <v>67</v>
      </c>
      <c r="AE49" s="55" t="s">
        <v>67</v>
      </c>
      <c r="AF49" s="55" t="s">
        <v>67</v>
      </c>
      <c r="AG49" s="55" t="s">
        <v>67</v>
      </c>
      <c r="AH49" s="55" t="s">
        <v>67</v>
      </c>
      <c r="AI49" s="55" t="s">
        <v>67</v>
      </c>
      <c r="AJ49" s="23"/>
      <c r="AL49" t="str">
        <f t="shared" ca="1" si="0"/>
        <v xml:space="preserve">    (U1)ALERT_REQ_B_ESWUOC_PD_</v>
      </c>
      <c r="AR49" s="57" t="str">
        <f t="shared" si="3"/>
        <v/>
      </c>
      <c r="AS49" s="57" t="str">
        <f t="shared" si="4"/>
        <v/>
      </c>
      <c r="AT49" s="57" t="str">
        <f t="shared" si="1"/>
        <v/>
      </c>
    </row>
    <row r="50" spans="2:46">
      <c r="B50" s="127"/>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t="s">
        <v>67</v>
      </c>
      <c r="AE50" s="55" t="s">
        <v>67</v>
      </c>
      <c r="AF50" s="55" t="s">
        <v>67</v>
      </c>
      <c r="AG50" s="55" t="s">
        <v>67</v>
      </c>
      <c r="AH50" s="55" t="s">
        <v>67</v>
      </c>
      <c r="AI50" s="55" t="s">
        <v>67</v>
      </c>
      <c r="AJ50" s="23"/>
      <c r="AL50" t="str">
        <f t="shared" ca="1" si="0"/>
        <v xml:space="preserve">    (U1)ALERT_REQ_B_ESWUOC_PD_</v>
      </c>
      <c r="AR50" s="57" t="str">
        <f t="shared" si="3"/>
        <v/>
      </c>
      <c r="AS50" s="57" t="str">
        <f t="shared" si="4"/>
        <v/>
      </c>
      <c r="AT50" s="57" t="str">
        <f t="shared" si="1"/>
        <v/>
      </c>
    </row>
    <row r="51" spans="2:46">
      <c r="B51" s="127"/>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t="s">
        <v>67</v>
      </c>
      <c r="AE51" s="55" t="s">
        <v>67</v>
      </c>
      <c r="AF51" s="55" t="s">
        <v>67</v>
      </c>
      <c r="AG51" s="55" t="s">
        <v>67</v>
      </c>
      <c r="AH51" s="55" t="s">
        <v>67</v>
      </c>
      <c r="AI51" s="55" t="s">
        <v>67</v>
      </c>
      <c r="AJ51" s="23"/>
      <c r="AL51" t="str">
        <f t="shared" ca="1" si="0"/>
        <v xml:space="preserve">    (U1)ALERT_REQ_B_ESWUOC_PD_</v>
      </c>
      <c r="AR51" s="57" t="str">
        <f t="shared" si="3"/>
        <v/>
      </c>
      <c r="AS51" s="57" t="str">
        <f t="shared" si="4"/>
        <v/>
      </c>
      <c r="AT51" s="57" t="str">
        <f t="shared" si="1"/>
        <v/>
      </c>
    </row>
    <row r="52" spans="2:46">
      <c r="B52" s="127"/>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t="s">
        <v>67</v>
      </c>
      <c r="AE52" s="55" t="s">
        <v>67</v>
      </c>
      <c r="AF52" s="55" t="s">
        <v>67</v>
      </c>
      <c r="AG52" s="55" t="s">
        <v>67</v>
      </c>
      <c r="AH52" s="55" t="s">
        <v>67</v>
      </c>
      <c r="AI52" s="55" t="s">
        <v>67</v>
      </c>
      <c r="AJ52" s="23"/>
      <c r="AL52" t="str">
        <f t="shared" ca="1" si="0"/>
        <v xml:space="preserve">    (U1)ALERT_REQ_B_ESWUOC_PD_</v>
      </c>
      <c r="AR52" s="57" t="str">
        <f t="shared" si="3"/>
        <v/>
      </c>
      <c r="AS52" s="57" t="str">
        <f t="shared" si="4"/>
        <v/>
      </c>
      <c r="AT52" s="57" t="str">
        <f t="shared" si="1"/>
        <v/>
      </c>
    </row>
    <row r="53" spans="2:46">
      <c r="B53" s="127"/>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t="s">
        <v>67</v>
      </c>
      <c r="AE53" s="55" t="s">
        <v>67</v>
      </c>
      <c r="AF53" s="55" t="s">
        <v>67</v>
      </c>
      <c r="AG53" s="55" t="s">
        <v>67</v>
      </c>
      <c r="AH53" s="55" t="s">
        <v>67</v>
      </c>
      <c r="AI53" s="55" t="s">
        <v>67</v>
      </c>
      <c r="AJ53" s="23"/>
      <c r="AL53" t="str">
        <f t="shared" ca="1" si="0"/>
        <v xml:space="preserve">    (U1)ALERT_REQ_B_ESWUOC_PD_</v>
      </c>
      <c r="AR53" s="57" t="str">
        <f t="shared" si="3"/>
        <v/>
      </c>
      <c r="AS53" s="57" t="str">
        <f t="shared" si="4"/>
        <v/>
      </c>
      <c r="AT53" s="57" t="str">
        <f t="shared" si="1"/>
        <v/>
      </c>
    </row>
    <row r="54" spans="2:46">
      <c r="B54" s="127"/>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t="s">
        <v>67</v>
      </c>
      <c r="AE54" s="55" t="s">
        <v>67</v>
      </c>
      <c r="AF54" s="55" t="s">
        <v>67</v>
      </c>
      <c r="AG54" s="55" t="s">
        <v>67</v>
      </c>
      <c r="AH54" s="55" t="s">
        <v>67</v>
      </c>
      <c r="AI54" s="55" t="s">
        <v>67</v>
      </c>
      <c r="AJ54" s="23"/>
      <c r="AL54" t="str">
        <f t="shared" ca="1" si="0"/>
        <v xml:space="preserve">    (U1)ALERT_REQ_B_ESWUOC_PD_</v>
      </c>
      <c r="AR54" s="57" t="str">
        <f t="shared" si="3"/>
        <v/>
      </c>
      <c r="AS54" s="57" t="str">
        <f t="shared" si="4"/>
        <v/>
      </c>
      <c r="AT54" s="57" t="str">
        <f t="shared" si="1"/>
        <v/>
      </c>
    </row>
    <row r="55" spans="2:46">
      <c r="B55" s="127"/>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t="s">
        <v>67</v>
      </c>
      <c r="AE55" s="55" t="s">
        <v>67</v>
      </c>
      <c r="AF55" s="55" t="s">
        <v>67</v>
      </c>
      <c r="AG55" s="55" t="s">
        <v>67</v>
      </c>
      <c r="AH55" s="55" t="s">
        <v>67</v>
      </c>
      <c r="AI55" s="55" t="s">
        <v>67</v>
      </c>
      <c r="AJ55" s="23"/>
      <c r="AL55" t="str">
        <f t="shared" ca="1" si="0"/>
        <v xml:space="preserve">    (U1)ALERT_REQ_B_ESWUOC_PD_</v>
      </c>
      <c r="AR55" s="57" t="str">
        <f t="shared" si="3"/>
        <v/>
      </c>
      <c r="AS55" s="57" t="str">
        <f t="shared" si="4"/>
        <v/>
      </c>
      <c r="AT55" s="57" t="str">
        <f t="shared" si="1"/>
        <v/>
      </c>
    </row>
    <row r="56" spans="2:46">
      <c r="B56" s="127"/>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t="s">
        <v>67</v>
      </c>
      <c r="AE56" s="55" t="s">
        <v>67</v>
      </c>
      <c r="AF56" s="55" t="s">
        <v>67</v>
      </c>
      <c r="AG56" s="55" t="s">
        <v>67</v>
      </c>
      <c r="AH56" s="55" t="s">
        <v>67</v>
      </c>
      <c r="AI56" s="55" t="s">
        <v>67</v>
      </c>
      <c r="AJ56" s="23"/>
      <c r="AL56" t="str">
        <f t="shared" ca="1" si="0"/>
        <v xml:space="preserve">    (U1)ALERT_REQ_B_ESWUOC_PD_</v>
      </c>
      <c r="AR56" s="57" t="str">
        <f t="shared" si="3"/>
        <v/>
      </c>
      <c r="AS56" s="57" t="str">
        <f t="shared" si="4"/>
        <v/>
      </c>
      <c r="AT56" s="57" t="str">
        <f t="shared" si="1"/>
        <v/>
      </c>
    </row>
    <row r="57" spans="2:46">
      <c r="B57" s="127"/>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t="s">
        <v>67</v>
      </c>
      <c r="AE57" s="55" t="s">
        <v>67</v>
      </c>
      <c r="AF57" s="55" t="s">
        <v>67</v>
      </c>
      <c r="AG57" s="55" t="s">
        <v>67</v>
      </c>
      <c r="AH57" s="55" t="s">
        <v>67</v>
      </c>
      <c r="AI57" s="55" t="s">
        <v>67</v>
      </c>
      <c r="AJ57" s="23"/>
      <c r="AL57" t="str">
        <f t="shared" ca="1" si="0"/>
        <v xml:space="preserve">    (U1)ALERT_REQ_B_ESWUOC_PD_</v>
      </c>
      <c r="AR57" s="57" t="str">
        <f t="shared" si="3"/>
        <v/>
      </c>
      <c r="AS57" s="57" t="str">
        <f t="shared" si="4"/>
        <v/>
      </c>
      <c r="AT57" s="57" t="str">
        <f t="shared" si="1"/>
        <v/>
      </c>
    </row>
    <row r="58" spans="2:46">
      <c r="B58" s="127"/>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t="s">
        <v>67</v>
      </c>
      <c r="AE58" s="55" t="s">
        <v>67</v>
      </c>
      <c r="AF58" s="55" t="s">
        <v>67</v>
      </c>
      <c r="AG58" s="55" t="s">
        <v>67</v>
      </c>
      <c r="AH58" s="55" t="s">
        <v>67</v>
      </c>
      <c r="AI58" s="55" t="s">
        <v>67</v>
      </c>
      <c r="AJ58" s="23"/>
      <c r="AL58" t="str">
        <f t="shared" ca="1" si="0"/>
        <v xml:space="preserve">    (U1)ALERT_REQ_B_ESWUOC_PD_</v>
      </c>
      <c r="AR58" s="57" t="str">
        <f t="shared" si="3"/>
        <v/>
      </c>
      <c r="AS58" s="57" t="str">
        <f t="shared" si="4"/>
        <v/>
      </c>
      <c r="AT58" s="57" t="str">
        <f t="shared" si="1"/>
        <v/>
      </c>
    </row>
    <row r="59" spans="2:46">
      <c r="B59" s="127"/>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t="s">
        <v>67</v>
      </c>
      <c r="AE59" s="55" t="s">
        <v>67</v>
      </c>
      <c r="AF59" s="55" t="s">
        <v>67</v>
      </c>
      <c r="AG59" s="55" t="s">
        <v>67</v>
      </c>
      <c r="AH59" s="55" t="s">
        <v>67</v>
      </c>
      <c r="AI59" s="55" t="s">
        <v>67</v>
      </c>
      <c r="AJ59" s="23"/>
      <c r="AL59" t="str">
        <f t="shared" ca="1" si="0"/>
        <v xml:space="preserve">    (U1)ALERT_REQ_B_ESWUOC_PD_</v>
      </c>
      <c r="AR59" s="57" t="str">
        <f t="shared" si="3"/>
        <v/>
      </c>
      <c r="AS59" s="57" t="str">
        <f t="shared" si="4"/>
        <v/>
      </c>
      <c r="AT59" s="57" t="str">
        <f t="shared" si="1"/>
        <v/>
      </c>
    </row>
    <row r="60" spans="2:46">
      <c r="B60" s="127"/>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t="s">
        <v>67</v>
      </c>
      <c r="AE60" s="55" t="s">
        <v>67</v>
      </c>
      <c r="AF60" s="55" t="s">
        <v>67</v>
      </c>
      <c r="AG60" s="55" t="s">
        <v>67</v>
      </c>
      <c r="AH60" s="55" t="s">
        <v>67</v>
      </c>
      <c r="AI60" s="55" t="s">
        <v>67</v>
      </c>
      <c r="AJ60" s="23"/>
      <c r="AL60" t="str">
        <f t="shared" ca="1" si="0"/>
        <v xml:space="preserve">    (U1)ALERT_REQ_B_ESWUOC_PD_</v>
      </c>
      <c r="AR60" s="57" t="str">
        <f t="shared" si="3"/>
        <v/>
      </c>
      <c r="AS60" s="57" t="str">
        <f t="shared" si="4"/>
        <v/>
      </c>
      <c r="AT60" s="57" t="str">
        <f t="shared" si="1"/>
        <v/>
      </c>
    </row>
    <row r="61" spans="2:46">
      <c r="B61" s="127"/>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t="s">
        <v>67</v>
      </c>
      <c r="AE61" s="55" t="s">
        <v>67</v>
      </c>
      <c r="AF61" s="55" t="s">
        <v>67</v>
      </c>
      <c r="AG61" s="55" t="s">
        <v>67</v>
      </c>
      <c r="AH61" s="55" t="s">
        <v>67</v>
      </c>
      <c r="AI61" s="55" t="s">
        <v>67</v>
      </c>
      <c r="AJ61" s="23"/>
      <c r="AL61" t="str">
        <f t="shared" ca="1" si="0"/>
        <v xml:space="preserve">    (U1)ALERT_REQ_B_ESWUOC_PD_</v>
      </c>
      <c r="AR61" s="57" t="str">
        <f t="shared" si="3"/>
        <v/>
      </c>
      <c r="AS61" s="57" t="str">
        <f t="shared" si="4"/>
        <v/>
      </c>
      <c r="AT61" s="57" t="str">
        <f t="shared" si="1"/>
        <v/>
      </c>
    </row>
    <row r="62" spans="2:46">
      <c r="B62" s="127"/>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t="s">
        <v>67</v>
      </c>
      <c r="AE62" s="55" t="s">
        <v>67</v>
      </c>
      <c r="AF62" s="55" t="s">
        <v>67</v>
      </c>
      <c r="AG62" s="55" t="s">
        <v>67</v>
      </c>
      <c r="AH62" s="55" t="s">
        <v>67</v>
      </c>
      <c r="AI62" s="55" t="s">
        <v>67</v>
      </c>
      <c r="AJ62" s="23"/>
      <c r="AL62" t="str">
        <f t="shared" ca="1" si="0"/>
        <v xml:space="preserve">    (U1)ALERT_REQ_B_ESWUOC_PD_</v>
      </c>
      <c r="AR62" s="57" t="str">
        <f t="shared" si="3"/>
        <v/>
      </c>
      <c r="AS62" s="57" t="str">
        <f t="shared" si="4"/>
        <v/>
      </c>
      <c r="AT62" s="57" t="str">
        <f t="shared" si="1"/>
        <v/>
      </c>
    </row>
    <row r="63" spans="2:46">
      <c r="B63" s="127"/>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t="s">
        <v>67</v>
      </c>
      <c r="AE63" s="55" t="s">
        <v>67</v>
      </c>
      <c r="AF63" s="55" t="s">
        <v>67</v>
      </c>
      <c r="AG63" s="55" t="s">
        <v>67</v>
      </c>
      <c r="AH63" s="55" t="s">
        <v>67</v>
      </c>
      <c r="AI63" s="55" t="s">
        <v>67</v>
      </c>
      <c r="AJ63" s="23"/>
      <c r="AL63" t="str">
        <f t="shared" ca="1" si="0"/>
        <v xml:space="preserve">    (U1)ALERT_REQ_B_ESWUOC_PD_</v>
      </c>
      <c r="AR63" s="57" t="str">
        <f t="shared" si="3"/>
        <v/>
      </c>
      <c r="AS63" s="57" t="str">
        <f t="shared" si="4"/>
        <v/>
      </c>
      <c r="AT63" s="57" t="str">
        <f t="shared" si="1"/>
        <v/>
      </c>
    </row>
    <row r="64" spans="2:46">
      <c r="B64" s="127"/>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t="s">
        <v>67</v>
      </c>
      <c r="AE64" s="55" t="s">
        <v>67</v>
      </c>
      <c r="AF64" s="55" t="s">
        <v>67</v>
      </c>
      <c r="AG64" s="55" t="s">
        <v>67</v>
      </c>
      <c r="AH64" s="55" t="s">
        <v>67</v>
      </c>
      <c r="AI64" s="55" t="s">
        <v>67</v>
      </c>
      <c r="AJ64" s="23"/>
      <c r="AL64" t="str">
        <f t="shared" ca="1" si="0"/>
        <v xml:space="preserve">    (U1)ALERT_REQ_B_ESWUOC_PD_</v>
      </c>
      <c r="AR64" s="57" t="str">
        <f t="shared" si="3"/>
        <v/>
      </c>
      <c r="AS64" s="57" t="str">
        <f t="shared" si="4"/>
        <v/>
      </c>
      <c r="AT64" s="57" t="str">
        <f t="shared" si="1"/>
        <v/>
      </c>
    </row>
    <row r="65" spans="1:46">
      <c r="B65" s="127"/>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t="s">
        <v>67</v>
      </c>
      <c r="AE65" s="55" t="s">
        <v>67</v>
      </c>
      <c r="AF65" s="55" t="s">
        <v>67</v>
      </c>
      <c r="AG65" s="55" t="s">
        <v>67</v>
      </c>
      <c r="AH65" s="55" t="s">
        <v>67</v>
      </c>
      <c r="AI65" s="55" t="s">
        <v>67</v>
      </c>
      <c r="AJ65" s="23"/>
      <c r="AL65" t="str">
        <f t="shared" ca="1" si="0"/>
        <v xml:space="preserve">    (U1)ALERT_REQ_B_ESWUOC_PD_</v>
      </c>
      <c r="AR65" s="57" t="str">
        <f t="shared" si="3"/>
        <v/>
      </c>
      <c r="AS65" s="57" t="str">
        <f t="shared" si="4"/>
        <v/>
      </c>
      <c r="AT65" s="57" t="str">
        <f t="shared" si="1"/>
        <v/>
      </c>
    </row>
    <row r="66" spans="1:46">
      <c r="B66" s="127"/>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t="s">
        <v>67</v>
      </c>
      <c r="AE66" s="55" t="s">
        <v>67</v>
      </c>
      <c r="AF66" s="55" t="s">
        <v>67</v>
      </c>
      <c r="AG66" s="55" t="s">
        <v>67</v>
      </c>
      <c r="AH66" s="55" t="s">
        <v>67</v>
      </c>
      <c r="AI66" s="55" t="s">
        <v>67</v>
      </c>
      <c r="AJ66" s="23"/>
      <c r="AL66" t="str">
        <f t="shared" ca="1" si="0"/>
        <v xml:space="preserve">    (U1)ALERT_REQ_B_ESWUOC_PD_</v>
      </c>
      <c r="AR66" s="57" t="str">
        <f t="shared" si="3"/>
        <v/>
      </c>
      <c r="AS66" s="57" t="str">
        <f t="shared" si="4"/>
        <v/>
      </c>
      <c r="AT66" s="57" t="str">
        <f t="shared" si="1"/>
        <v/>
      </c>
    </row>
    <row r="67" spans="1:46">
      <c r="B67" s="127"/>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t="s">
        <v>67</v>
      </c>
      <c r="AE67" s="55" t="s">
        <v>67</v>
      </c>
      <c r="AF67" s="55" t="s">
        <v>67</v>
      </c>
      <c r="AG67" s="55" t="s">
        <v>67</v>
      </c>
      <c r="AH67" s="55" t="s">
        <v>67</v>
      </c>
      <c r="AI67" s="55" t="s">
        <v>67</v>
      </c>
      <c r="AJ67" s="23"/>
      <c r="AL67" t="str">
        <f t="shared" ca="1" si="0"/>
        <v xml:space="preserve">    (U1)ALERT_REQ_B_ESWUOC_PD_</v>
      </c>
      <c r="AR67" s="57" t="str">
        <f t="shared" si="3"/>
        <v/>
      </c>
      <c r="AS67" s="57" t="str">
        <f t="shared" si="4"/>
        <v/>
      </c>
      <c r="AT67" s="57" t="str">
        <f t="shared" si="1"/>
        <v/>
      </c>
    </row>
    <row r="68" spans="1:46">
      <c r="B68" s="127"/>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t="s">
        <v>67</v>
      </c>
      <c r="AE68" s="55" t="s">
        <v>67</v>
      </c>
      <c r="AF68" s="55" t="s">
        <v>67</v>
      </c>
      <c r="AG68" s="55" t="s">
        <v>67</v>
      </c>
      <c r="AH68" s="55" t="s">
        <v>67</v>
      </c>
      <c r="AI68" s="55" t="s">
        <v>67</v>
      </c>
      <c r="AJ68" s="23"/>
      <c r="AL68" t="str">
        <f t="shared" ca="1" si="0"/>
        <v xml:space="preserve">    (U1)ALERT_REQ_B_ESWUOC_PD_</v>
      </c>
      <c r="AR68" s="57" t="str">
        <f t="shared" si="3"/>
        <v/>
      </c>
      <c r="AS68" s="57" t="str">
        <f t="shared" si="4"/>
        <v/>
      </c>
      <c r="AT68" s="57" t="str">
        <f t="shared" si="1"/>
        <v/>
      </c>
    </row>
    <row r="69" spans="1:46">
      <c r="B69" s="128"/>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t="s">
        <v>67</v>
      </c>
      <c r="AE69" s="55" t="s">
        <v>67</v>
      </c>
      <c r="AF69" s="55" t="s">
        <v>67</v>
      </c>
      <c r="AG69" s="55" t="s">
        <v>67</v>
      </c>
      <c r="AH69" s="55" t="s">
        <v>67</v>
      </c>
      <c r="AI69" s="55" t="s">
        <v>67</v>
      </c>
      <c r="AJ69" s="23"/>
      <c r="AL69" t="str">
        <f t="shared" ca="1" si="0"/>
        <v xml:space="preserve">    (U1)ALERT_REQ_B_ESWUOC_PD_</v>
      </c>
      <c r="AR69" s="57" t="str">
        <f t="shared" si="3"/>
        <v/>
      </c>
      <c r="AS69" s="57" t="str">
        <f t="shared" si="4"/>
        <v/>
      </c>
      <c r="AT69" s="57" t="str">
        <f t="shared" si="1"/>
        <v/>
      </c>
    </row>
    <row r="70" spans="1:46" ht="13.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PD</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UNKNOWN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UNKNOWN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UNLTCHFL</v>
      </c>
      <c r="AK74" s="54"/>
      <c r="AL74" s="54" t="str">
        <f t="shared" si="10"/>
        <v>03</v>
      </c>
      <c r="AM74" s="56" t="str">
        <f t="shared" si="11"/>
        <v>00</v>
      </c>
      <c r="AN74" s="56" t="str">
        <f t="shared" si="12"/>
        <v>00</v>
      </c>
      <c r="AO74" s="56" t="str">
        <f t="shared" si="13"/>
        <v>00</v>
      </c>
      <c r="AQ74" t="str">
        <f t="shared" si="8"/>
        <v xml:space="preserve">    (U4)0x00000003U,                                                           /* 03 UNLTCHFL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STPATUNLCK</v>
      </c>
      <c r="AK76" s="54"/>
      <c r="AL76" s="54" t="str">
        <f t="shared" si="10"/>
        <v>05</v>
      </c>
      <c r="AM76" s="56" t="str">
        <f t="shared" si="11"/>
        <v>00</v>
      </c>
      <c r="AN76" s="56" t="str">
        <f t="shared" si="12"/>
        <v>00</v>
      </c>
      <c r="AO76" s="56" t="str">
        <f t="shared" si="13"/>
        <v>00</v>
      </c>
      <c r="AQ76" t="str">
        <f t="shared" si="8"/>
        <v xml:space="preserve">    (U4)0x00000005U,                                                           /* 05 STPATUNLCK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SPDATUNLCK</v>
      </c>
      <c r="AK77" s="54"/>
      <c r="AL77" s="54" t="str">
        <f t="shared" si="10"/>
        <v>06</v>
      </c>
      <c r="AM77" s="56" t="str">
        <f t="shared" si="11"/>
        <v>00</v>
      </c>
      <c r="AN77" s="56" t="str">
        <f t="shared" si="12"/>
        <v>00</v>
      </c>
      <c r="AO77" s="56" t="str">
        <f t="shared" si="13"/>
        <v>00</v>
      </c>
      <c r="AQ77" t="str">
        <f t="shared" si="8"/>
        <v xml:space="preserve">    (U4)0x00000006U,                                                           /* 06 SPDATUNLCK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1" t="str">
        <f t="shared" si="7"/>
        <v>UNKNOWN</v>
      </c>
      <c r="AK82" s="54"/>
      <c r="AL82" s="54" t="str">
        <f t="shared" si="10"/>
        <v>0B</v>
      </c>
      <c r="AM82" s="56" t="str">
        <f t="shared" si="11"/>
        <v>00</v>
      </c>
      <c r="AN82" s="56" t="str">
        <f t="shared" si="12"/>
        <v>00</v>
      </c>
      <c r="AO82" s="56" t="str">
        <f t="shared" si="13"/>
        <v>00</v>
      </c>
      <c r="AQ82" t="str">
        <f t="shared" si="8"/>
        <v xml:space="preserve">    (U4)0x0000000BU,                                                           /* 11 UNKNOWN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PD</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1</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1</v>
      </c>
      <c r="AG137" s="119">
        <f t="shared" si="29"/>
        <v>1</v>
      </c>
      <c r="AH137" s="119">
        <f t="shared" si="29"/>
        <v>1</v>
      </c>
      <c r="AI137" s="119">
        <f t="shared" si="29"/>
        <v>1</v>
      </c>
      <c r="AJ137" s="41" t="str">
        <f t="shared" si="30"/>
        <v>UNKNOWN</v>
      </c>
      <c r="AK137" s="54"/>
      <c r="AL137" s="54" t="str">
        <f t="shared" ref="AL137:AL199" si="33">BIN2HEX(AB137&amp;AC137&amp;AD137&amp;AE137&amp;AF137&amp;AG137&amp;AH137&amp;AI137,2)</f>
        <v>0F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(U4)0x0000000FU,                                                           /* 01 UNKNOWN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1</v>
      </c>
      <c r="AG138" s="119">
        <f t="shared" si="29"/>
        <v>1</v>
      </c>
      <c r="AH138" s="119">
        <f t="shared" si="29"/>
        <v>1</v>
      </c>
      <c r="AI138" s="119">
        <f t="shared" si="29"/>
        <v>1</v>
      </c>
      <c r="AJ138" s="41" t="str">
        <f t="shared" si="30"/>
        <v>UNKNOWN</v>
      </c>
      <c r="AK138" s="54"/>
      <c r="AL138" s="54" t="str">
        <f t="shared" si="33"/>
        <v>0F</v>
      </c>
      <c r="AM138" s="56" t="str">
        <f t="shared" si="34"/>
        <v>00</v>
      </c>
      <c r="AN138" s="56" t="str">
        <f t="shared" si="35"/>
        <v>00</v>
      </c>
      <c r="AO138" s="56" t="str">
        <f t="shared" si="36"/>
        <v>00</v>
      </c>
      <c r="AQ138" t="str">
        <f t="shared" si="31"/>
        <v xml:space="preserve">    (U4)0x0000000FU,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1</v>
      </c>
      <c r="AG139" s="119">
        <f t="shared" si="29"/>
        <v>1</v>
      </c>
      <c r="AH139" s="119">
        <f t="shared" si="29"/>
        <v>1</v>
      </c>
      <c r="AI139" s="119">
        <f t="shared" si="29"/>
        <v>1</v>
      </c>
      <c r="AJ139" s="41" t="str">
        <f t="shared" si="30"/>
        <v>UNLTCHFL</v>
      </c>
      <c r="AK139" s="54"/>
      <c r="AL139" s="54" t="str">
        <f t="shared" si="33"/>
        <v>0F</v>
      </c>
      <c r="AM139" s="56" t="str">
        <f t="shared" si="34"/>
        <v>00</v>
      </c>
      <c r="AN139" s="56" t="str">
        <f t="shared" si="35"/>
        <v>00</v>
      </c>
      <c r="AO139" s="56" t="str">
        <f t="shared" si="36"/>
        <v>00</v>
      </c>
      <c r="AQ139" t="str">
        <f t="shared" si="31"/>
        <v xml:space="preserve">    (U4)0x0000000FU,                                                           /* 03 UNLTCHFL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1</v>
      </c>
      <c r="AG140" s="119">
        <f t="shared" si="29"/>
        <v>1</v>
      </c>
      <c r="AH140" s="119">
        <f t="shared" si="29"/>
        <v>1</v>
      </c>
      <c r="AI140" s="119">
        <f t="shared" si="29"/>
        <v>1</v>
      </c>
      <c r="AJ140" s="41" t="str">
        <f t="shared" si="30"/>
        <v>UNKNOWN</v>
      </c>
      <c r="AK140" s="54"/>
      <c r="AL140" s="54" t="str">
        <f t="shared" si="33"/>
        <v>0F</v>
      </c>
      <c r="AM140" s="56" t="str">
        <f t="shared" si="34"/>
        <v>00</v>
      </c>
      <c r="AN140" s="56" t="str">
        <f t="shared" si="35"/>
        <v>00</v>
      </c>
      <c r="AO140" s="56" t="str">
        <f t="shared" si="36"/>
        <v>00</v>
      </c>
      <c r="AQ140" t="str">
        <f t="shared" si="31"/>
        <v xml:space="preserve">    (U4)0x0000000FU,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1</v>
      </c>
      <c r="AG141" s="119">
        <f t="shared" si="29"/>
        <v>1</v>
      </c>
      <c r="AH141" s="119">
        <f t="shared" si="29"/>
        <v>1</v>
      </c>
      <c r="AI141" s="119">
        <f t="shared" si="29"/>
        <v>1</v>
      </c>
      <c r="AJ141" s="41" t="str">
        <f t="shared" si="30"/>
        <v>STPATUNLCK</v>
      </c>
      <c r="AK141" s="54"/>
      <c r="AL141" s="54" t="str">
        <f t="shared" si="33"/>
        <v>0F</v>
      </c>
      <c r="AM141" s="56" t="str">
        <f t="shared" si="34"/>
        <v>00</v>
      </c>
      <c r="AN141" s="56" t="str">
        <f t="shared" si="35"/>
        <v>00</v>
      </c>
      <c r="AO141" s="56" t="str">
        <f t="shared" si="36"/>
        <v>00</v>
      </c>
      <c r="AQ141" t="str">
        <f t="shared" si="31"/>
        <v xml:space="preserve">    (U4)0x0000000FU,                                                           /* 05 STPATUNLCK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1</v>
      </c>
      <c r="AG142" s="119">
        <f t="shared" si="29"/>
        <v>1</v>
      </c>
      <c r="AH142" s="119">
        <f t="shared" si="29"/>
        <v>1</v>
      </c>
      <c r="AI142" s="119">
        <f t="shared" si="29"/>
        <v>1</v>
      </c>
      <c r="AJ142" s="41" t="str">
        <f t="shared" si="30"/>
        <v>SPDATUNLCK</v>
      </c>
      <c r="AK142" s="54"/>
      <c r="AL142" s="54" t="str">
        <f t="shared" si="33"/>
        <v>0F</v>
      </c>
      <c r="AM142" s="56" t="str">
        <f t="shared" si="34"/>
        <v>00</v>
      </c>
      <c r="AN142" s="56" t="str">
        <f t="shared" si="35"/>
        <v>00</v>
      </c>
      <c r="AO142" s="56" t="str">
        <f t="shared" si="36"/>
        <v>00</v>
      </c>
      <c r="AQ142" t="str">
        <f t="shared" si="31"/>
        <v xml:space="preserve">    (U4)0x0000000FU,                                                           /* 06 SPDATUNLCK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1</v>
      </c>
      <c r="AG143" s="119">
        <f t="shared" si="29"/>
        <v>1</v>
      </c>
      <c r="AH143" s="119">
        <f t="shared" si="29"/>
        <v>1</v>
      </c>
      <c r="AI143" s="119">
        <f t="shared" ref="AI143" si="37">IF(OR(AI13=0,AI13=1),1,0)</f>
        <v>1</v>
      </c>
      <c r="AJ143" s="41" t="str">
        <f t="shared" si="30"/>
        <v>UNKNOWN</v>
      </c>
      <c r="AK143" s="54"/>
      <c r="AL143" s="54" t="str">
        <f t="shared" si="33"/>
        <v>0F</v>
      </c>
      <c r="AM143" s="56" t="str">
        <f t="shared" si="34"/>
        <v>00</v>
      </c>
      <c r="AN143" s="56" t="str">
        <f t="shared" si="35"/>
        <v>00</v>
      </c>
      <c r="AO143" s="56" t="str">
        <f t="shared" si="36"/>
        <v>00</v>
      </c>
      <c r="AQ143" t="str">
        <f t="shared" si="31"/>
        <v xml:space="preserve">    (U4)0x0000000FU,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1</v>
      </c>
      <c r="AG144" s="119">
        <f t="shared" si="38"/>
        <v>1</v>
      </c>
      <c r="AH144" s="119">
        <f t="shared" si="38"/>
        <v>1</v>
      </c>
      <c r="AI144" s="119">
        <f t="shared" si="38"/>
        <v>1</v>
      </c>
      <c r="AJ144" s="41" t="str">
        <f t="shared" si="30"/>
        <v>UNKNOWN</v>
      </c>
      <c r="AK144" s="54"/>
      <c r="AL144" s="54" t="str">
        <f t="shared" si="33"/>
        <v>0F</v>
      </c>
      <c r="AM144" s="56" t="str">
        <f t="shared" si="34"/>
        <v>00</v>
      </c>
      <c r="AN144" s="56" t="str">
        <f t="shared" si="35"/>
        <v>00</v>
      </c>
      <c r="AO144" s="56" t="str">
        <f t="shared" si="36"/>
        <v>00</v>
      </c>
      <c r="AQ144" t="str">
        <f t="shared" si="31"/>
        <v xml:space="preserve">    (U4)0x0000000FU,                                                           /* 08 UNKNOWN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1</v>
      </c>
      <c r="AG145" s="119">
        <f t="shared" si="38"/>
        <v>1</v>
      </c>
      <c r="AH145" s="119">
        <f t="shared" si="38"/>
        <v>1</v>
      </c>
      <c r="AI145" s="119">
        <f t="shared" si="38"/>
        <v>1</v>
      </c>
      <c r="AJ145" s="41" t="str">
        <f t="shared" si="30"/>
        <v>UNKNOWN</v>
      </c>
      <c r="AK145" s="54"/>
      <c r="AL145" s="54" t="str">
        <f t="shared" si="33"/>
        <v>0F</v>
      </c>
      <c r="AM145" s="56" t="str">
        <f t="shared" si="34"/>
        <v>00</v>
      </c>
      <c r="AN145" s="56" t="str">
        <f t="shared" si="35"/>
        <v>00</v>
      </c>
      <c r="AO145" s="56" t="str">
        <f t="shared" si="36"/>
        <v>00</v>
      </c>
      <c r="AQ145" t="str">
        <f t="shared" si="31"/>
        <v xml:space="preserve">    (U4)0x0000000FU,                                                           /* 09 UNKNOWN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1</v>
      </c>
      <c r="AG146" s="119">
        <f t="shared" si="38"/>
        <v>1</v>
      </c>
      <c r="AH146" s="119">
        <f t="shared" si="38"/>
        <v>1</v>
      </c>
      <c r="AI146" s="119">
        <f t="shared" si="38"/>
        <v>1</v>
      </c>
      <c r="AJ146" s="41" t="str">
        <f t="shared" si="30"/>
        <v>UNKNOWN</v>
      </c>
      <c r="AK146" s="54"/>
      <c r="AL146" s="54" t="str">
        <f t="shared" si="33"/>
        <v>0F</v>
      </c>
      <c r="AM146" s="56" t="str">
        <f t="shared" si="34"/>
        <v>00</v>
      </c>
      <c r="AN146" s="56" t="str">
        <f t="shared" si="35"/>
        <v>00</v>
      </c>
      <c r="AO146" s="56" t="str">
        <f t="shared" si="36"/>
        <v>00</v>
      </c>
      <c r="AQ146" t="str">
        <f t="shared" si="31"/>
        <v xml:space="preserve">    (U4)0x0000000FU,                                                           /* 10 UNKNOWN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1</v>
      </c>
      <c r="AG147" s="119">
        <f t="shared" si="38"/>
        <v>1</v>
      </c>
      <c r="AH147" s="119">
        <f t="shared" si="38"/>
        <v>1</v>
      </c>
      <c r="AI147" s="119">
        <f t="shared" si="38"/>
        <v>1</v>
      </c>
      <c r="AJ147" s="41" t="str">
        <f t="shared" si="30"/>
        <v>UNKNOWN</v>
      </c>
      <c r="AK147" s="54"/>
      <c r="AL147" s="54" t="str">
        <f t="shared" si="33"/>
        <v>0F</v>
      </c>
      <c r="AM147" s="56" t="str">
        <f t="shared" si="34"/>
        <v>00</v>
      </c>
      <c r="AN147" s="56" t="str">
        <f t="shared" si="35"/>
        <v>00</v>
      </c>
      <c r="AO147" s="56" t="str">
        <f t="shared" si="36"/>
        <v>00</v>
      </c>
      <c r="AQ147" t="str">
        <f t="shared" si="31"/>
        <v xml:space="preserve">    (U4)0x0000000FU,                                                           /* 11 UNKNOWN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1</v>
      </c>
      <c r="AG148" s="119">
        <f t="shared" si="38"/>
        <v>1</v>
      </c>
      <c r="AH148" s="119">
        <f t="shared" si="38"/>
        <v>1</v>
      </c>
      <c r="AI148" s="119">
        <f t="shared" si="38"/>
        <v>1</v>
      </c>
      <c r="AJ148" s="41" t="str">
        <f t="shared" si="30"/>
        <v>UNKNOWN</v>
      </c>
      <c r="AK148" s="54"/>
      <c r="AL148" s="54" t="str">
        <f t="shared" si="33"/>
        <v>0F</v>
      </c>
      <c r="AM148" s="56" t="str">
        <f t="shared" si="34"/>
        <v>00</v>
      </c>
      <c r="AN148" s="56" t="str">
        <f t="shared" si="35"/>
        <v>00</v>
      </c>
      <c r="AO148" s="56" t="str">
        <f t="shared" si="36"/>
        <v>00</v>
      </c>
      <c r="AQ148" t="str">
        <f t="shared" si="31"/>
        <v xml:space="preserve">    (U4)0x0000000FU,                                                           /* 12 UNKNOWN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1</v>
      </c>
      <c r="AG149" s="119">
        <f t="shared" si="38"/>
        <v>1</v>
      </c>
      <c r="AH149" s="119">
        <f t="shared" si="38"/>
        <v>1</v>
      </c>
      <c r="AI149" s="119">
        <f t="shared" si="38"/>
        <v>1</v>
      </c>
      <c r="AJ149" s="41" t="str">
        <f t="shared" si="30"/>
        <v>UNKNOWN</v>
      </c>
      <c r="AK149" s="54"/>
      <c r="AL149" s="54" t="str">
        <f t="shared" si="33"/>
        <v>0F</v>
      </c>
      <c r="AM149" s="56" t="str">
        <f t="shared" si="34"/>
        <v>00</v>
      </c>
      <c r="AN149" s="56" t="str">
        <f t="shared" si="35"/>
        <v>00</v>
      </c>
      <c r="AO149" s="56" t="str">
        <f t="shared" si="36"/>
        <v>00</v>
      </c>
      <c r="AQ149" t="str">
        <f t="shared" si="31"/>
        <v xml:space="preserve">    (U4)0x0000000FU,                                                           /* 13 UNKNOWN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1</v>
      </c>
      <c r="AG150" s="119">
        <f t="shared" si="38"/>
        <v>1</v>
      </c>
      <c r="AH150" s="119">
        <f t="shared" si="38"/>
        <v>1</v>
      </c>
      <c r="AI150" s="119">
        <f t="shared" si="38"/>
        <v>1</v>
      </c>
      <c r="AJ150" s="41" t="str">
        <f t="shared" si="30"/>
        <v>UNKNOWN</v>
      </c>
      <c r="AK150" s="54"/>
      <c r="AL150" s="54" t="str">
        <f t="shared" si="33"/>
        <v>0F</v>
      </c>
      <c r="AM150" s="56" t="str">
        <f t="shared" si="34"/>
        <v>00</v>
      </c>
      <c r="AN150" s="56" t="str">
        <f t="shared" si="35"/>
        <v>00</v>
      </c>
      <c r="AO150" s="56" t="str">
        <f t="shared" si="36"/>
        <v>00</v>
      </c>
      <c r="AQ150" t="str">
        <f t="shared" si="31"/>
        <v xml:space="preserve">    (U4)0x0000000FU,                                                           /* 14 UNKNOWN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1</v>
      </c>
      <c r="AG151" s="119">
        <f t="shared" si="38"/>
        <v>1</v>
      </c>
      <c r="AH151" s="119">
        <f t="shared" si="38"/>
        <v>1</v>
      </c>
      <c r="AI151" s="119">
        <f t="shared" ref="AI151" si="39">IF(OR(AI21=0,AI21=1),1,0)</f>
        <v>1</v>
      </c>
      <c r="AJ151" s="41" t="str">
        <f t="shared" si="30"/>
        <v>UNKNOWN</v>
      </c>
      <c r="AK151" s="54"/>
      <c r="AL151" s="54" t="str">
        <f t="shared" si="33"/>
        <v>0F</v>
      </c>
      <c r="AM151" s="56" t="str">
        <f t="shared" si="34"/>
        <v>00</v>
      </c>
      <c r="AN151" s="56" t="str">
        <f t="shared" si="35"/>
        <v>00</v>
      </c>
      <c r="AO151" s="56" t="str">
        <f t="shared" si="36"/>
        <v>00</v>
      </c>
      <c r="AQ151" t="str">
        <f t="shared" si="31"/>
        <v xml:space="preserve">    (U4)0x0000000FU                                                            /* 15 UNKNOWN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G3:AI3"/>
  </mergeCells>
  <phoneticPr fontId="2"/>
  <conditionalFormatting sqref="D6:AI9 D25:AI69 D10:AE24 AF22:AI24">
    <cfRule type="cellIs" dxfId="147" priority="12" operator="equal">
      <formula>1</formula>
    </cfRule>
    <cfRule type="cellIs" dxfId="146" priority="13" operator="equal">
      <formula>"×"</formula>
    </cfRule>
  </conditionalFormatting>
  <conditionalFormatting sqref="AR5:AS70">
    <cfRule type="expression" dxfId="145" priority="11">
      <formula>$B$3="Index Table"</formula>
    </cfRule>
  </conditionalFormatting>
  <conditionalFormatting sqref="AF10:AI10 AF11:AG13 AF14:AF21">
    <cfRule type="cellIs" dxfId="144" priority="9" operator="equal">
      <formula>1</formula>
    </cfRule>
    <cfRule type="cellIs" dxfId="143" priority="10" operator="equal">
      <formula>"×"</formula>
    </cfRule>
  </conditionalFormatting>
  <conditionalFormatting sqref="AH11:AI13">
    <cfRule type="cellIs" dxfId="142" priority="7" operator="equal">
      <formula>1</formula>
    </cfRule>
    <cfRule type="cellIs" dxfId="141" priority="8" operator="equal">
      <formula>"×"</formula>
    </cfRule>
  </conditionalFormatting>
  <conditionalFormatting sqref="AG14:AI17">
    <cfRule type="cellIs" dxfId="140" priority="5" operator="equal">
      <formula>1</formula>
    </cfRule>
    <cfRule type="cellIs" dxfId="139" priority="6" operator="equal">
      <formula>"×"</formula>
    </cfRule>
  </conditionalFormatting>
  <conditionalFormatting sqref="AG18:AI18 AG19:AG21">
    <cfRule type="cellIs" dxfId="138" priority="3" operator="equal">
      <formula>1</formula>
    </cfRule>
    <cfRule type="cellIs" dxfId="137" priority="4" operator="equal">
      <formula>"×"</formula>
    </cfRule>
  </conditionalFormatting>
  <conditionalFormatting sqref="AH19:AI21">
    <cfRule type="cellIs" dxfId="136" priority="1" operator="equal">
      <formula>1</formula>
    </cfRule>
    <cfRule type="cellIs" dxfId="135"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8" t="s">
        <v>120</v>
      </c>
      <c r="C2" s="326"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28" t="s">
        <v>51</v>
      </c>
    </row>
    <row r="3" spans="1:49" ht="213" customHeight="1" thickBot="1">
      <c r="B3" s="194" t="str">
        <f>IF(OR(IF(COUNTIF(D6:AC69,"0")&lt;&gt;0,TRUE,FALSE),IF(COUNTIF(D6:AC69,"1")&lt;&gt;0,TRUE,FALSE)),"Search Table","Index Table")</f>
        <v>Index Table</v>
      </c>
      <c r="C3" s="327"/>
      <c r="D3" s="120" t="s">
        <v>61</v>
      </c>
      <c r="E3" s="120" t="s">
        <v>66</v>
      </c>
      <c r="F3" s="120" t="s">
        <v>49</v>
      </c>
      <c r="G3" s="120" t="s">
        <v>48</v>
      </c>
      <c r="H3" s="120" t="s">
        <v>118</v>
      </c>
      <c r="I3" s="120" t="s">
        <v>117</v>
      </c>
      <c r="J3" s="120" t="s">
        <v>122</v>
      </c>
      <c r="K3" s="120" t="s">
        <v>121</v>
      </c>
      <c r="L3" s="121" t="s">
        <v>66</v>
      </c>
      <c r="M3" s="121" t="s">
        <v>62</v>
      </c>
      <c r="N3" s="121" t="s">
        <v>62</v>
      </c>
      <c r="O3" s="121" t="s">
        <v>62</v>
      </c>
      <c r="P3" s="121" t="s">
        <v>62</v>
      </c>
      <c r="Q3" s="121" t="s">
        <v>62</v>
      </c>
      <c r="R3" s="121" t="s">
        <v>62</v>
      </c>
      <c r="S3" s="121" t="s">
        <v>62</v>
      </c>
      <c r="T3" s="121" t="s">
        <v>62</v>
      </c>
      <c r="U3" s="121" t="s">
        <v>62</v>
      </c>
      <c r="V3" s="121" t="s">
        <v>62</v>
      </c>
      <c r="W3" s="121" t="s">
        <v>62</v>
      </c>
      <c r="X3" s="121" t="s">
        <v>62</v>
      </c>
      <c r="Y3" s="121" t="s">
        <v>62</v>
      </c>
      <c r="Z3" s="121" t="s">
        <v>62</v>
      </c>
      <c r="AA3" s="121" t="s">
        <v>62</v>
      </c>
      <c r="AB3" s="121" t="s">
        <v>66</v>
      </c>
      <c r="AC3" s="121" t="s">
        <v>62</v>
      </c>
      <c r="AD3" s="121" t="s">
        <v>66</v>
      </c>
      <c r="AE3" s="120" t="s">
        <v>122</v>
      </c>
      <c r="AF3" s="183" t="s">
        <v>230</v>
      </c>
      <c r="AG3" s="336" t="s">
        <v>271</v>
      </c>
      <c r="AH3" s="336"/>
      <c r="AI3" s="331"/>
      <c r="AJ3" s="329"/>
      <c r="AR3" s="86" t="s">
        <v>93</v>
      </c>
    </row>
    <row r="4" spans="1:49" ht="13.5" thickBot="1">
      <c r="A4" s="332" t="s">
        <v>63</v>
      </c>
      <c r="B4" s="333"/>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23"/>
      <c r="AR4" s="74" t="s">
        <v>79</v>
      </c>
      <c r="AS4" s="75"/>
      <c r="AT4" s="75"/>
      <c r="AU4" s="75"/>
      <c r="AV4" s="75"/>
      <c r="AW4" s="76"/>
    </row>
    <row r="5" spans="1:49" ht="13.5" thickBot="1">
      <c r="A5" s="334"/>
      <c r="B5" s="335"/>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24"/>
      <c r="AR5" s="77" t="str">
        <f ca="1">"static const U4  "&amp;AW8&amp;"["&amp;AW10&amp;"]"&amp;" = {"</f>
        <v>static const U4  u4_sp_ALERT_B_ESWUOC_PDB_CRIT[ALERT_B_ESWUOC_PDB_NUM_DST] = {</v>
      </c>
      <c r="AS5" s="77" t="str">
        <f ca="1">"static const U4  "&amp;$AW$9&amp;"["&amp;$AW$10&amp;"] = {"</f>
        <v>static const U4  u4_sp_ALERT_B_ESWUOC_PDB_MASK[ALERT_B_ESWUOC_PDB_NUM_DST] = {</v>
      </c>
      <c r="AT5" s="77" t="str">
        <f ca="1">"static const U1  "&amp;$AW$11&amp;"["&amp;$AW$10&amp;"] = {"</f>
        <v>static const U1  u1_sp_ALERT_B_ESWUOC_PDB_DST[ALERT_B_ESWUOC_PDB_NUM_DST] = {</v>
      </c>
      <c r="AU5" s="77" t="str">
        <f ca="1">"const ST_ALERT_MTRX "&amp;$AW$12&amp;" = {"</f>
        <v>const ST_ALERT_MTRX st_gp_ALERT_B_ESWUOC_MTRX[4] = {</v>
      </c>
      <c r="AV5" s="59" t="str">
        <f ca="1">"#define "&amp;AW10&amp;REPT(" ",41-LEN(AW10))&amp;"("&amp;AW13&amp;"U)"</f>
        <v>#define ALERT_B_ESWUOC_PDB_NUM_DST               (32U)</v>
      </c>
      <c r="AW5" s="60"/>
    </row>
    <row r="6" spans="1:49">
      <c r="B6" s="127" t="str">
        <f ca="1">"Table "&amp;$AW$6</f>
        <v>Table PDB</v>
      </c>
      <c r="C6" s="46">
        <f>ROW()-ROW($C$6)</f>
        <v>0</v>
      </c>
      <c r="D6" s="122" t="s">
        <v>67</v>
      </c>
      <c r="E6" s="122" t="s">
        <v>67</v>
      </c>
      <c r="F6" s="122" t="s">
        <v>67</v>
      </c>
      <c r="G6" s="122" t="s">
        <v>67</v>
      </c>
      <c r="H6" s="122" t="s">
        <v>67</v>
      </c>
      <c r="I6" s="122" t="s">
        <v>67</v>
      </c>
      <c r="J6" s="55" t="s">
        <v>67</v>
      </c>
      <c r="K6" s="122" t="s">
        <v>67</v>
      </c>
      <c r="L6" s="122" t="s">
        <v>67</v>
      </c>
      <c r="M6" s="122" t="s">
        <v>67</v>
      </c>
      <c r="N6" s="122" t="s">
        <v>67</v>
      </c>
      <c r="O6" s="122" t="s">
        <v>67</v>
      </c>
      <c r="P6" s="122" t="s">
        <v>67</v>
      </c>
      <c r="Q6" s="122" t="s">
        <v>67</v>
      </c>
      <c r="R6" s="122" t="s">
        <v>67</v>
      </c>
      <c r="S6" s="122" t="s">
        <v>67</v>
      </c>
      <c r="T6" s="122" t="s">
        <v>67</v>
      </c>
      <c r="U6" s="122" t="s">
        <v>67</v>
      </c>
      <c r="V6" s="122" t="s">
        <v>67</v>
      </c>
      <c r="W6" s="122" t="s">
        <v>67</v>
      </c>
      <c r="X6" s="122" t="s">
        <v>67</v>
      </c>
      <c r="Y6" s="122" t="s">
        <v>67</v>
      </c>
      <c r="Z6" s="122" t="s">
        <v>67</v>
      </c>
      <c r="AA6" s="122" t="s">
        <v>67</v>
      </c>
      <c r="AB6" s="122" t="s">
        <v>67</v>
      </c>
      <c r="AC6" s="122" t="s">
        <v>67</v>
      </c>
      <c r="AD6" s="122" t="s">
        <v>67</v>
      </c>
      <c r="AE6" s="125">
        <v>0</v>
      </c>
      <c r="AF6" s="125">
        <v>0</v>
      </c>
      <c r="AG6" s="125">
        <v>0</v>
      </c>
      <c r="AH6" s="125">
        <v>0</v>
      </c>
      <c r="AI6" s="125">
        <v>0</v>
      </c>
      <c r="AJ6" s="45" t="s">
        <v>105</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(U4)0x0000001FU,                                                           /* 00 UNKNOWN                                         */</v>
      </c>
      <c r="AT6" s="57" t="str">
        <f t="shared" ref="AT6:AT69" si="1">IF(AJ6&lt;&gt;"",AL6&amp;IF(AJ7&lt;&gt;"",","," ")&amp;REPT(" ",78-LEN(AL6))&amp;"/* "&amp;IF(C6&lt;10,"0"&amp;C6,C6)&amp;" "&amp;AJ6&amp;REPT(" ",48-LEN(AJ6))&amp;"*/",IF(AJ5&lt;&gt;"","};",""))</f>
        <v xml:space="preserve">    (U1)ALERT_REQ_UNKNOWN,                                                     /* 00 UNKNOWN                                         */</v>
      </c>
      <c r="AU6" s="57" t="s">
        <v>268</v>
      </c>
      <c r="AV6" s="42" t="s">
        <v>68</v>
      </c>
      <c r="AW6" s="61" t="str">
        <f ca="1">UPPER(RIGHT(CELL("filename",A1),LEN(CELL("filename",A1))-FIND("]",CELL("filename",A1))))</f>
        <v>PDB</v>
      </c>
    </row>
    <row r="7" spans="1:49">
      <c r="B7" s="127"/>
      <c r="C7" s="41">
        <f t="shared" ref="C7:C69" si="2">ROW()-ROW($C$6)</f>
        <v>1</v>
      </c>
      <c r="D7" s="55" t="s">
        <v>67</v>
      </c>
      <c r="E7" s="55" t="s">
        <v>67</v>
      </c>
      <c r="F7" s="55" t="s">
        <v>67</v>
      </c>
      <c r="G7" s="55" t="s">
        <v>67</v>
      </c>
      <c r="H7" s="55" t="s">
        <v>67</v>
      </c>
      <c r="I7" s="55" t="s">
        <v>67</v>
      </c>
      <c r="J7" s="55" t="s">
        <v>67</v>
      </c>
      <c r="K7" s="122" t="s">
        <v>67</v>
      </c>
      <c r="L7" s="55" t="s">
        <v>67</v>
      </c>
      <c r="M7" s="55" t="s">
        <v>67</v>
      </c>
      <c r="N7" s="55" t="s">
        <v>67</v>
      </c>
      <c r="O7" s="55" t="s">
        <v>67</v>
      </c>
      <c r="P7" s="55" t="s">
        <v>67</v>
      </c>
      <c r="Q7" s="55" t="s">
        <v>67</v>
      </c>
      <c r="R7" s="55" t="s">
        <v>67</v>
      </c>
      <c r="S7" s="55" t="s">
        <v>67</v>
      </c>
      <c r="T7" s="55" t="s">
        <v>67</v>
      </c>
      <c r="U7" s="55" t="s">
        <v>67</v>
      </c>
      <c r="V7" s="55" t="s">
        <v>67</v>
      </c>
      <c r="W7" s="55" t="s">
        <v>67</v>
      </c>
      <c r="X7" s="55" t="s">
        <v>67</v>
      </c>
      <c r="Y7" s="55" t="s">
        <v>67</v>
      </c>
      <c r="Z7" s="55" t="s">
        <v>67</v>
      </c>
      <c r="AA7" s="55" t="s">
        <v>67</v>
      </c>
      <c r="AB7" s="55" t="s">
        <v>67</v>
      </c>
      <c r="AC7" s="55" t="s">
        <v>67</v>
      </c>
      <c r="AD7" s="122" t="s">
        <v>67</v>
      </c>
      <c r="AE7" s="125">
        <v>0</v>
      </c>
      <c r="AF7" s="125">
        <v>0</v>
      </c>
      <c r="AG7" s="125">
        <v>0</v>
      </c>
      <c r="AH7" s="125">
        <v>0</v>
      </c>
      <c r="AI7" s="125">
        <v>1</v>
      </c>
      <c r="AJ7" s="45" t="s">
        <v>105</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(U4)0x0000001FU,                                                           /* 01 UNKNOWN                                         */</v>
      </c>
      <c r="AT7" s="57" t="str">
        <f t="shared" si="1"/>
        <v xml:space="preserve">    (U1)ALERT_REQ_UNKNOWN,                                                     /* 01 UNKNOWN                                         */</v>
      </c>
      <c r="AU7" s="57" t="str">
        <f ca="1">"        &amp;"&amp;$AW$14&amp;","&amp;REPT(" ",69-LEN($AW$14))&amp;"/* fp_u4_SRC_CHK                                      */"</f>
        <v xml:space="preserve">        &amp;u4_s_AlertB_eswuocPdbSrcchk,                                          /* fp_u4_SRC_CHK                                      */</v>
      </c>
      <c r="AV7" s="43" t="s">
        <v>69</v>
      </c>
      <c r="AW7" s="126">
        <f>IF(B3="Search Table",1,0)</f>
        <v>0</v>
      </c>
    </row>
    <row r="8" spans="1:49">
      <c r="B8" s="127"/>
      <c r="C8" s="41">
        <f t="shared" si="2"/>
        <v>2</v>
      </c>
      <c r="D8" s="55" t="s">
        <v>67</v>
      </c>
      <c r="E8" s="55" t="s">
        <v>67</v>
      </c>
      <c r="F8" s="55" t="s">
        <v>67</v>
      </c>
      <c r="G8" s="55" t="s">
        <v>67</v>
      </c>
      <c r="H8" s="55" t="s">
        <v>67</v>
      </c>
      <c r="I8" s="55" t="s">
        <v>67</v>
      </c>
      <c r="J8" s="55" t="s">
        <v>67</v>
      </c>
      <c r="K8" s="55" t="s">
        <v>67</v>
      </c>
      <c r="L8" s="55" t="s">
        <v>67</v>
      </c>
      <c r="M8" s="55" t="s">
        <v>67</v>
      </c>
      <c r="N8" s="55" t="s">
        <v>67</v>
      </c>
      <c r="O8" s="55" t="s">
        <v>67</v>
      </c>
      <c r="P8" s="55" t="s">
        <v>67</v>
      </c>
      <c r="Q8" s="55" t="s">
        <v>67</v>
      </c>
      <c r="R8" s="55" t="s">
        <v>67</v>
      </c>
      <c r="S8" s="55" t="s">
        <v>67</v>
      </c>
      <c r="T8" s="55" t="s">
        <v>67</v>
      </c>
      <c r="U8" s="55" t="s">
        <v>67</v>
      </c>
      <c r="V8" s="55" t="s">
        <v>67</v>
      </c>
      <c r="W8" s="55" t="s">
        <v>67</v>
      </c>
      <c r="X8" s="55" t="s">
        <v>67</v>
      </c>
      <c r="Y8" s="55" t="s">
        <v>67</v>
      </c>
      <c r="Z8" s="55" t="s">
        <v>67</v>
      </c>
      <c r="AA8" s="55" t="s">
        <v>67</v>
      </c>
      <c r="AB8" s="55" t="s">
        <v>67</v>
      </c>
      <c r="AC8" s="55" t="s">
        <v>67</v>
      </c>
      <c r="AD8" s="55" t="s">
        <v>67</v>
      </c>
      <c r="AE8" s="125">
        <v>0</v>
      </c>
      <c r="AF8" s="125">
        <v>0</v>
      </c>
      <c r="AG8" s="125">
        <v>0</v>
      </c>
      <c r="AH8" s="125">
        <v>1</v>
      </c>
      <c r="AI8" s="125">
        <v>0</v>
      </c>
      <c r="AJ8" s="45" t="s">
        <v>105</v>
      </c>
      <c r="AL8" t="str">
        <f t="shared" si="0"/>
        <v xml:space="preserve">    (U1)ALERT_REQ_UNKNOWN</v>
      </c>
      <c r="AR8" s="57" t="str">
        <f t="shared" si="3"/>
        <v xml:space="preserve">    (U4)0x00000002U,                                                           /* 02 UNKNOWN                                         */</v>
      </c>
      <c r="AS8" s="57" t="str">
        <f t="shared" si="4"/>
        <v xml:space="preserve">    (U4)0x0000001FU,                                                           /* 02 UNKNOWN                                         */</v>
      </c>
      <c r="AT8" s="57" t="str">
        <f>IF(AJ8&lt;&gt;"",AL8&amp;IF(AJ9&lt;&gt;"",","," ")&amp;REPT(" ",78-LEN(AL8))&amp;"/* "&amp;IF(C8&lt;10,"0"&amp;C8,C8)&amp;" "&amp;AJ8&amp;REPT(" ",48-LEN(AJ8))&amp;"*/",IF(AJ7&lt;&gt;"","};",""))</f>
        <v xml:space="preserve">    (U1)ALERT_REQ_UNKNOWN,                                                     /* 02 UNKNOWN                                         */</v>
      </c>
      <c r="AU8" s="57" t="str">
        <f ca="1">IF($AW$15&lt;&gt;"NULL","        &amp;"&amp;$AW$15&amp;","&amp;REPT(" ",69-LEN($AW$15))&amp;"/* fp_vd_XDST                                         */","        (void *)NULL,                                                          /* fp_vd_XDST                                         */")</f>
        <v xml:space="preserve">        &amp;vd_s_AlertB_eswuocPdbRwTx,                                            /* fp_vd_XDST                                         */</v>
      </c>
      <c r="AV8" s="43" t="s">
        <v>70</v>
      </c>
      <c r="AW8" s="62" t="str">
        <f ca="1">"u4_sp_ALERT_"&amp;IF(AW6&lt;&gt;AW17,$AW$17&amp;"_"&amp;$AW$6,AW17)&amp;"_CRIT"</f>
        <v>u4_sp_ALERT_B_ESWUOC_PDB_CRIT</v>
      </c>
    </row>
    <row r="9" spans="1:49">
      <c r="B9" s="127"/>
      <c r="C9" s="41">
        <f t="shared" si="2"/>
        <v>3</v>
      </c>
      <c r="D9" s="55" t="s">
        <v>67</v>
      </c>
      <c r="E9" s="55" t="s">
        <v>67</v>
      </c>
      <c r="F9" s="55" t="s">
        <v>67</v>
      </c>
      <c r="G9" s="55" t="s">
        <v>67</v>
      </c>
      <c r="H9" s="55" t="s">
        <v>67</v>
      </c>
      <c r="I9" s="55" t="s">
        <v>67</v>
      </c>
      <c r="J9" s="55" t="s">
        <v>67</v>
      </c>
      <c r="K9" s="55" t="s">
        <v>67</v>
      </c>
      <c r="L9" s="55" t="s">
        <v>67</v>
      </c>
      <c r="M9" s="55" t="s">
        <v>67</v>
      </c>
      <c r="N9" s="55" t="s">
        <v>67</v>
      </c>
      <c r="O9" s="55" t="s">
        <v>67</v>
      </c>
      <c r="P9" s="55" t="s">
        <v>67</v>
      </c>
      <c r="Q9" s="55" t="s">
        <v>67</v>
      </c>
      <c r="R9" s="55" t="s">
        <v>67</v>
      </c>
      <c r="S9" s="55" t="s">
        <v>67</v>
      </c>
      <c r="T9" s="55" t="s">
        <v>67</v>
      </c>
      <c r="U9" s="55" t="s">
        <v>67</v>
      </c>
      <c r="V9" s="55" t="s">
        <v>67</v>
      </c>
      <c r="W9" s="55" t="s">
        <v>67</v>
      </c>
      <c r="X9" s="55" t="s">
        <v>67</v>
      </c>
      <c r="Y9" s="55" t="s">
        <v>67</v>
      </c>
      <c r="Z9" s="55" t="s">
        <v>67</v>
      </c>
      <c r="AA9" s="55" t="s">
        <v>67</v>
      </c>
      <c r="AB9" s="55" t="s">
        <v>67</v>
      </c>
      <c r="AC9" s="55" t="s">
        <v>67</v>
      </c>
      <c r="AD9" s="55" t="s">
        <v>67</v>
      </c>
      <c r="AE9" s="125">
        <v>0</v>
      </c>
      <c r="AF9" s="125">
        <v>0</v>
      </c>
      <c r="AG9" s="125">
        <v>0</v>
      </c>
      <c r="AH9" s="125">
        <v>1</v>
      </c>
      <c r="AI9" s="125">
        <v>1</v>
      </c>
      <c r="AJ9" s="45" t="s">
        <v>105</v>
      </c>
      <c r="AL9" t="str">
        <f t="shared" si="0"/>
        <v xml:space="preserve">    (U1)ALERT_REQ_UNKNOWN</v>
      </c>
      <c r="AR9" s="57" t="str">
        <f t="shared" si="3"/>
        <v xml:space="preserve">    (U4)0x00000003U,                                                           /* 03 UNKNOWN                                         */</v>
      </c>
      <c r="AS9" s="57" t="str">
        <f t="shared" si="4"/>
        <v xml:space="preserve">    (U4)0x0000001FU,                                                           /* 03 UNKNOWN                                         */</v>
      </c>
      <c r="AT9" s="57" t="str">
        <f t="shared" si="1"/>
        <v xml:space="preserve">    (U1)ALERT_REQ_UNKNOWN,                                                     /* 03 UNKNOWN                                         */</v>
      </c>
      <c r="AU9" s="57"/>
      <c r="AV9" s="43" t="s">
        <v>71</v>
      </c>
      <c r="AW9" s="62" t="str">
        <f ca="1">"u4_sp_ALERT_"&amp;IF(AW6&lt;&gt;AW17,$AW$17&amp;"_"&amp;$AW$6,AW17)&amp;"_MASK"</f>
        <v>u4_sp_ALERT_B_ESWUOC_PDB_MASK</v>
      </c>
    </row>
    <row r="10" spans="1:49">
      <c r="B10" s="127"/>
      <c r="C10" s="41">
        <f t="shared" si="2"/>
        <v>4</v>
      </c>
      <c r="D10" s="55" t="s">
        <v>67</v>
      </c>
      <c r="E10" s="55" t="s">
        <v>67</v>
      </c>
      <c r="F10" s="55" t="s">
        <v>67</v>
      </c>
      <c r="G10" s="55" t="s">
        <v>67</v>
      </c>
      <c r="H10" s="55" t="s">
        <v>67</v>
      </c>
      <c r="I10" s="55" t="s">
        <v>67</v>
      </c>
      <c r="J10" s="55" t="s">
        <v>67</v>
      </c>
      <c r="K10" s="55" t="s">
        <v>67</v>
      </c>
      <c r="L10" s="55" t="s">
        <v>67</v>
      </c>
      <c r="M10" s="55" t="s">
        <v>67</v>
      </c>
      <c r="N10" s="55" t="s">
        <v>67</v>
      </c>
      <c r="O10" s="55" t="s">
        <v>67</v>
      </c>
      <c r="P10" s="55" t="s">
        <v>67</v>
      </c>
      <c r="Q10" s="55" t="s">
        <v>67</v>
      </c>
      <c r="R10" s="55" t="s">
        <v>67</v>
      </c>
      <c r="S10" s="55" t="s">
        <v>67</v>
      </c>
      <c r="T10" s="55" t="s">
        <v>67</v>
      </c>
      <c r="U10" s="55" t="s">
        <v>67</v>
      </c>
      <c r="V10" s="55" t="s">
        <v>67</v>
      </c>
      <c r="W10" s="55" t="s">
        <v>67</v>
      </c>
      <c r="X10" s="55" t="s">
        <v>67</v>
      </c>
      <c r="Y10" s="55" t="s">
        <v>67</v>
      </c>
      <c r="Z10" s="55" t="s">
        <v>67</v>
      </c>
      <c r="AA10" s="55" t="s">
        <v>67</v>
      </c>
      <c r="AB10" s="55" t="s">
        <v>67</v>
      </c>
      <c r="AC10" s="55" t="s">
        <v>67</v>
      </c>
      <c r="AD10" s="55" t="s">
        <v>67</v>
      </c>
      <c r="AE10" s="125">
        <v>0</v>
      </c>
      <c r="AF10" s="125">
        <v>0</v>
      </c>
      <c r="AG10" s="125">
        <v>1</v>
      </c>
      <c r="AH10" s="125">
        <v>0</v>
      </c>
      <c r="AI10" s="125">
        <v>0</v>
      </c>
      <c r="AJ10" s="45" t="s">
        <v>105</v>
      </c>
      <c r="AL10" t="str">
        <f t="shared" si="0"/>
        <v xml:space="preserve">    (U1)ALERT_REQ_UNKNOWN</v>
      </c>
      <c r="AR10" s="57" t="str">
        <f t="shared" si="3"/>
        <v xml:space="preserve">    (U4)0x00000004U,                                                           /* 04 UNKNOWN                                         */</v>
      </c>
      <c r="AS10" s="57" t="str">
        <f t="shared" si="4"/>
        <v xml:space="preserve">    (U4)0x0000001FU,                                                           /* 04 UNKNOWN                                         */</v>
      </c>
      <c r="AT10" s="57" t="str">
        <f t="shared" si="1"/>
        <v xml:space="preserve">    (U1)ALERT_REQ_UNKNOWN,                                                     /* 04 UNKNOWN                                         */</v>
      </c>
      <c r="AU10" s="57" t="str">
        <f>IF($AW$7=1,"        &amp;"&amp;$AW$9&amp;"[0],"&amp;REPT(" ",66-LEN($AW$9))&amp;"/* u4p_MASK                                           */","        (const U4 *)NULL,                                                      /* u4p_MASK                                           */")</f>
        <v xml:space="preserve">        (const U4 *)NULL,                                                      /* u4p_MASK                                           */</v>
      </c>
      <c r="AV10" s="43" t="s">
        <v>72</v>
      </c>
      <c r="AW10" s="62" t="str">
        <f ca="1">"ALERT_"&amp;IF(AW6&lt;&gt;AW17,$AW$17&amp;"_"&amp;$AW$6,AW17)&amp;"_NUM_DST"</f>
        <v>ALERT_B_ESWUOC_PDB_NUM_DST</v>
      </c>
    </row>
    <row r="11" spans="1:49">
      <c r="B11" s="127"/>
      <c r="C11" s="41">
        <f t="shared" si="2"/>
        <v>5</v>
      </c>
      <c r="D11" s="55" t="s">
        <v>67</v>
      </c>
      <c r="E11" s="55" t="s">
        <v>67</v>
      </c>
      <c r="F11" s="55" t="s">
        <v>67</v>
      </c>
      <c r="G11" s="55" t="s">
        <v>67</v>
      </c>
      <c r="H11" s="55" t="s">
        <v>67</v>
      </c>
      <c r="I11" s="55" t="s">
        <v>67</v>
      </c>
      <c r="J11" s="55" t="s">
        <v>67</v>
      </c>
      <c r="K11" s="55" t="s">
        <v>67</v>
      </c>
      <c r="L11" s="55" t="s">
        <v>67</v>
      </c>
      <c r="M11" s="55" t="s">
        <v>67</v>
      </c>
      <c r="N11" s="55" t="s">
        <v>67</v>
      </c>
      <c r="O11" s="55" t="s">
        <v>67</v>
      </c>
      <c r="P11" s="55" t="s">
        <v>67</v>
      </c>
      <c r="Q11" s="55" t="s">
        <v>67</v>
      </c>
      <c r="R11" s="55" t="s">
        <v>67</v>
      </c>
      <c r="S11" s="55" t="s">
        <v>67</v>
      </c>
      <c r="T11" s="55" t="s">
        <v>67</v>
      </c>
      <c r="U11" s="55" t="s">
        <v>67</v>
      </c>
      <c r="V11" s="55" t="s">
        <v>67</v>
      </c>
      <c r="W11" s="55" t="s">
        <v>67</v>
      </c>
      <c r="X11" s="55" t="s">
        <v>67</v>
      </c>
      <c r="Y11" s="55" t="s">
        <v>67</v>
      </c>
      <c r="Z11" s="55" t="s">
        <v>67</v>
      </c>
      <c r="AA11" s="55" t="s">
        <v>67</v>
      </c>
      <c r="AB11" s="55" t="s">
        <v>67</v>
      </c>
      <c r="AC11" s="55" t="s">
        <v>67</v>
      </c>
      <c r="AD11" s="55" t="s">
        <v>67</v>
      </c>
      <c r="AE11" s="125">
        <v>0</v>
      </c>
      <c r="AF11" s="125">
        <v>0</v>
      </c>
      <c r="AG11" s="125">
        <v>1</v>
      </c>
      <c r="AH11" s="125">
        <v>0</v>
      </c>
      <c r="AI11" s="125">
        <v>1</v>
      </c>
      <c r="AJ11" s="45" t="s">
        <v>105</v>
      </c>
      <c r="AL11" t="str">
        <f t="shared" si="0"/>
        <v xml:space="preserve">    (U1)ALERT_REQ_UNKNOWN</v>
      </c>
      <c r="AR11" s="57" t="str">
        <f t="shared" si="3"/>
        <v xml:space="preserve">    (U4)0x00000005U,                                                           /* 05 UNKNOWN                                         */</v>
      </c>
      <c r="AS11" s="57" t="str">
        <f t="shared" si="4"/>
        <v xml:space="preserve">    (U4)0x0000001FU,                                                           /* 05 UNKNOWN                                         */</v>
      </c>
      <c r="AT11" s="57" t="str">
        <f t="shared" si="1"/>
        <v xml:space="preserve">    (U1)ALERT_REQ_UNKNOWN,                                                     /* 05 UNKNOWN                                         */</v>
      </c>
      <c r="AU11" s="57" t="str">
        <f>IF($AW$7=1,"        &amp;"&amp;$AW$8&amp;"[0],"&amp;REPT(" ",66-LEN($AW$8))&amp;"/* u4p_CRIT                                           */","        (const U4 *)NULL,                                                      /* u4p_CRIT                                           */")</f>
        <v xml:space="preserve">        (const U4 *)NULL,                                                      /* u4p_CRIT                                           */</v>
      </c>
      <c r="AV11" s="43" t="s">
        <v>73</v>
      </c>
      <c r="AW11" s="62" t="str">
        <f ca="1">"u1_sp_ALERT_"&amp;IF(AW6&lt;&gt;AW17,$AW$17&amp;"_"&amp;$AW$6,AW17)&amp;"_DST"</f>
        <v>u1_sp_ALERT_B_ESWUOC_PDB_DST</v>
      </c>
    </row>
    <row r="12" spans="1:49">
      <c r="B12" s="127"/>
      <c r="C12" s="41">
        <f t="shared" si="2"/>
        <v>6</v>
      </c>
      <c r="D12" s="55" t="s">
        <v>67</v>
      </c>
      <c r="E12" s="55" t="s">
        <v>67</v>
      </c>
      <c r="F12" s="55" t="s">
        <v>67</v>
      </c>
      <c r="G12" s="55" t="s">
        <v>67</v>
      </c>
      <c r="H12" s="55" t="s">
        <v>67</v>
      </c>
      <c r="I12" s="55" t="s">
        <v>67</v>
      </c>
      <c r="J12" s="55" t="s">
        <v>67</v>
      </c>
      <c r="K12" s="55" t="s">
        <v>67</v>
      </c>
      <c r="L12" s="55" t="s">
        <v>67</v>
      </c>
      <c r="M12" s="55" t="s">
        <v>67</v>
      </c>
      <c r="N12" s="55" t="s">
        <v>67</v>
      </c>
      <c r="O12" s="55" t="s">
        <v>67</v>
      </c>
      <c r="P12" s="55" t="s">
        <v>67</v>
      </c>
      <c r="Q12" s="55" t="s">
        <v>67</v>
      </c>
      <c r="R12" s="55" t="s">
        <v>67</v>
      </c>
      <c r="S12" s="55" t="s">
        <v>67</v>
      </c>
      <c r="T12" s="55" t="s">
        <v>67</v>
      </c>
      <c r="U12" s="55" t="s">
        <v>67</v>
      </c>
      <c r="V12" s="55" t="s">
        <v>67</v>
      </c>
      <c r="W12" s="55" t="s">
        <v>67</v>
      </c>
      <c r="X12" s="55" t="s">
        <v>67</v>
      </c>
      <c r="Y12" s="55" t="s">
        <v>67</v>
      </c>
      <c r="Z12" s="55" t="s">
        <v>67</v>
      </c>
      <c r="AA12" s="55" t="s">
        <v>67</v>
      </c>
      <c r="AB12" s="55" t="s">
        <v>67</v>
      </c>
      <c r="AC12" s="55" t="s">
        <v>67</v>
      </c>
      <c r="AD12" s="55" t="s">
        <v>67</v>
      </c>
      <c r="AE12" s="125">
        <v>0</v>
      </c>
      <c r="AF12" s="125">
        <v>0</v>
      </c>
      <c r="AG12" s="125">
        <v>1</v>
      </c>
      <c r="AH12" s="125">
        <v>1</v>
      </c>
      <c r="AI12" s="125">
        <v>0</v>
      </c>
      <c r="AJ12" s="45" t="s">
        <v>105</v>
      </c>
      <c r="AL12" t="str">
        <f t="shared" si="0"/>
        <v xml:space="preserve">    (U1)ALERT_REQ_UNKNOWN</v>
      </c>
      <c r="AR12" s="57" t="str">
        <f t="shared" si="3"/>
        <v xml:space="preserve">    (U4)0x00000006U,                                                           /* 06 UNKNOWN                                         */</v>
      </c>
      <c r="AS12" s="57" t="str">
        <f t="shared" si="4"/>
        <v xml:space="preserve">    (U4)0x0000001FU,                                                           /* 06 UNKNOWN                                         */</v>
      </c>
      <c r="AT12" s="57" t="str">
        <f t="shared" si="1"/>
        <v xml:space="preserve">    (U1)ALERT_REQ_UNKNOWN,                                                     /* 06 UNKNOWN                                         */</v>
      </c>
      <c r="AU12" s="57"/>
      <c r="AV12" s="43" t="s">
        <v>85</v>
      </c>
      <c r="AW12" s="62" t="str">
        <f ca="1">Matrix!D8&amp;"["&amp;Matrix!D7&amp;"]"</f>
        <v>st_gp_ALERT_B_ESWUOC_MTRX[4]</v>
      </c>
    </row>
    <row r="13" spans="1:49">
      <c r="B13" s="127"/>
      <c r="C13" s="41">
        <f t="shared" si="2"/>
        <v>7</v>
      </c>
      <c r="D13" s="55" t="s">
        <v>67</v>
      </c>
      <c r="E13" s="55" t="s">
        <v>67</v>
      </c>
      <c r="F13" s="55" t="s">
        <v>67</v>
      </c>
      <c r="G13" s="55" t="s">
        <v>67</v>
      </c>
      <c r="H13" s="55" t="s">
        <v>67</v>
      </c>
      <c r="I13" s="55" t="s">
        <v>67</v>
      </c>
      <c r="J13" s="55" t="s">
        <v>67</v>
      </c>
      <c r="K13" s="55" t="s">
        <v>67</v>
      </c>
      <c r="L13" s="55" t="s">
        <v>67</v>
      </c>
      <c r="M13" s="55" t="s">
        <v>67</v>
      </c>
      <c r="N13" s="55" t="s">
        <v>67</v>
      </c>
      <c r="O13" s="55" t="s">
        <v>67</v>
      </c>
      <c r="P13" s="55" t="s">
        <v>67</v>
      </c>
      <c r="Q13" s="55" t="s">
        <v>67</v>
      </c>
      <c r="R13" s="55" t="s">
        <v>67</v>
      </c>
      <c r="S13" s="55" t="s">
        <v>67</v>
      </c>
      <c r="T13" s="55" t="s">
        <v>67</v>
      </c>
      <c r="U13" s="55" t="s">
        <v>67</v>
      </c>
      <c r="V13" s="55" t="s">
        <v>67</v>
      </c>
      <c r="W13" s="55" t="s">
        <v>67</v>
      </c>
      <c r="X13" s="55" t="s">
        <v>67</v>
      </c>
      <c r="Y13" s="55" t="s">
        <v>67</v>
      </c>
      <c r="Z13" s="55" t="s">
        <v>67</v>
      </c>
      <c r="AA13" s="55" t="s">
        <v>67</v>
      </c>
      <c r="AB13" s="55" t="s">
        <v>67</v>
      </c>
      <c r="AC13" s="55" t="s">
        <v>67</v>
      </c>
      <c r="AD13" s="55" t="s">
        <v>67</v>
      </c>
      <c r="AE13" s="125">
        <v>0</v>
      </c>
      <c r="AF13" s="125">
        <v>0</v>
      </c>
      <c r="AG13" s="125">
        <v>1</v>
      </c>
      <c r="AH13" s="125">
        <v>1</v>
      </c>
      <c r="AI13" s="125">
        <v>1</v>
      </c>
      <c r="AJ13" s="45" t="s">
        <v>105</v>
      </c>
      <c r="AL13" t="str">
        <f t="shared" si="0"/>
        <v xml:space="preserve">    (U1)ALERT_REQ_UNKNOWN</v>
      </c>
      <c r="AR13" s="57" t="str">
        <f t="shared" si="3"/>
        <v xml:space="preserve">    (U4)0x00000007U,                                                           /* 07 UNKNOWN                                         */</v>
      </c>
      <c r="AS13" s="57" t="str">
        <f t="shared" si="4"/>
        <v xml:space="preserve">    (U4)0x0000001FU,                                                           /* 07 UNKNOWN                                         */</v>
      </c>
      <c r="AT13" s="57" t="str">
        <f t="shared" si="1"/>
        <v xml:space="preserve">    (U1)ALERT_REQ_UNKNOWN,                                                     /* 07 UNKNOWN                                         */</v>
      </c>
      <c r="AU13" s="57" t="str">
        <f ca="1">"        &amp;"&amp;$AW$11&amp;"[0],"&amp;REPT(" ",66-LEN($AW$11))&amp;"/* u1p_DST                                            */"</f>
        <v xml:space="preserve">        &amp;u1_sp_ALERT_B_ESWUOC_PDB_DST[0],                                      /* u1p_DST                                            */</v>
      </c>
      <c r="AV13" s="43" t="s">
        <v>74</v>
      </c>
      <c r="AW13" s="126">
        <f>COUNTA($AJ$6:$AJ$69)</f>
        <v>32</v>
      </c>
    </row>
    <row r="14" spans="1:49">
      <c r="B14" s="127"/>
      <c r="C14" s="41">
        <f t="shared" si="2"/>
        <v>8</v>
      </c>
      <c r="D14" s="55" t="s">
        <v>67</v>
      </c>
      <c r="E14" s="55" t="s">
        <v>67</v>
      </c>
      <c r="F14" s="55" t="s">
        <v>67</v>
      </c>
      <c r="G14" s="55" t="s">
        <v>67</v>
      </c>
      <c r="H14" s="55" t="s">
        <v>67</v>
      </c>
      <c r="I14" s="55" t="s">
        <v>67</v>
      </c>
      <c r="J14" s="55" t="s">
        <v>67</v>
      </c>
      <c r="K14" s="55" t="s">
        <v>67</v>
      </c>
      <c r="L14" s="55" t="s">
        <v>67</v>
      </c>
      <c r="M14" s="55" t="s">
        <v>67</v>
      </c>
      <c r="N14" s="55" t="s">
        <v>67</v>
      </c>
      <c r="O14" s="55" t="s">
        <v>67</v>
      </c>
      <c r="P14" s="55" t="s">
        <v>67</v>
      </c>
      <c r="Q14" s="55" t="s">
        <v>67</v>
      </c>
      <c r="R14" s="55" t="s">
        <v>67</v>
      </c>
      <c r="S14" s="55" t="s">
        <v>67</v>
      </c>
      <c r="T14" s="55" t="s">
        <v>67</v>
      </c>
      <c r="U14" s="55" t="s">
        <v>67</v>
      </c>
      <c r="V14" s="55" t="s">
        <v>67</v>
      </c>
      <c r="W14" s="55" t="s">
        <v>67</v>
      </c>
      <c r="X14" s="55" t="s">
        <v>67</v>
      </c>
      <c r="Y14" s="55" t="s">
        <v>67</v>
      </c>
      <c r="Z14" s="55" t="s">
        <v>67</v>
      </c>
      <c r="AA14" s="55" t="s">
        <v>67</v>
      </c>
      <c r="AB14" s="55" t="s">
        <v>67</v>
      </c>
      <c r="AC14" s="55" t="s">
        <v>67</v>
      </c>
      <c r="AD14" s="55" t="s">
        <v>67</v>
      </c>
      <c r="AE14" s="125">
        <v>0</v>
      </c>
      <c r="AF14" s="125">
        <v>1</v>
      </c>
      <c r="AG14" s="125">
        <v>0</v>
      </c>
      <c r="AH14" s="125">
        <v>0</v>
      </c>
      <c r="AI14" s="125">
        <v>0</v>
      </c>
      <c r="AJ14" s="45" t="s">
        <v>105</v>
      </c>
      <c r="AL14" t="str">
        <f t="shared" si="0"/>
        <v xml:space="preserve">    (U1)ALERT_REQ_UNKNOWN</v>
      </c>
      <c r="AR14" s="57" t="str">
        <f t="shared" si="3"/>
        <v xml:space="preserve">    (U4)0x00000008U,                                                           /* 08 UNKNOWN                                         */</v>
      </c>
      <c r="AS14" s="57" t="str">
        <f t="shared" si="4"/>
        <v xml:space="preserve">    (U4)0x0000001FU,                                                           /* 08 UNKNOWN                                         */</v>
      </c>
      <c r="AT14" s="57" t="str">
        <f t="shared" si="1"/>
        <v xml:space="preserve">    (U1)ALERT_REQ_UNKNOWN,                                                     /* 08 UNKNOWN                                         */</v>
      </c>
      <c r="AU14" s="57" t="str">
        <f ca="1">"        (U2)"&amp;$AW$10&amp;","&amp;REPT(" ",66-LEN($AW$10))&amp;"/* u2_num_srch                                        */"</f>
        <v xml:space="preserve">        (U2)ALERT_B_ESWUOC_PDB_NUM_DST,                                        /* u2_num_srch                                        */</v>
      </c>
      <c r="AV14" s="43" t="s">
        <v>75</v>
      </c>
      <c r="AW14" s="62" t="str">
        <f ca="1">IF(AW6&lt;&gt;AW17,VLOOKUP(AW6,Matrix!$C$13:$G$37,4,FALSE),Matrix!F13)</f>
        <v>u4_s_AlertB_eswuocPdbSrcchk</v>
      </c>
    </row>
    <row r="15" spans="1:49">
      <c r="B15" s="127"/>
      <c r="C15" s="41">
        <f t="shared" si="2"/>
        <v>9</v>
      </c>
      <c r="D15" s="55" t="s">
        <v>67</v>
      </c>
      <c r="E15" s="55" t="s">
        <v>67</v>
      </c>
      <c r="F15" s="55" t="s">
        <v>67</v>
      </c>
      <c r="G15" s="55" t="s">
        <v>67</v>
      </c>
      <c r="H15" s="55" t="s">
        <v>67</v>
      </c>
      <c r="I15" s="55" t="s">
        <v>67</v>
      </c>
      <c r="J15" s="55" t="s">
        <v>67</v>
      </c>
      <c r="K15" s="55" t="s">
        <v>67</v>
      </c>
      <c r="L15" s="55" t="s">
        <v>67</v>
      </c>
      <c r="M15" s="55" t="s">
        <v>67</v>
      </c>
      <c r="N15" s="55" t="s">
        <v>67</v>
      </c>
      <c r="O15" s="55" t="s">
        <v>67</v>
      </c>
      <c r="P15" s="55" t="s">
        <v>67</v>
      </c>
      <c r="Q15" s="55" t="s">
        <v>67</v>
      </c>
      <c r="R15" s="55" t="s">
        <v>67</v>
      </c>
      <c r="S15" s="55" t="s">
        <v>67</v>
      </c>
      <c r="T15" s="55" t="s">
        <v>67</v>
      </c>
      <c r="U15" s="55" t="s">
        <v>67</v>
      </c>
      <c r="V15" s="55" t="s">
        <v>67</v>
      </c>
      <c r="W15" s="55" t="s">
        <v>67</v>
      </c>
      <c r="X15" s="55" t="s">
        <v>67</v>
      </c>
      <c r="Y15" s="55" t="s">
        <v>67</v>
      </c>
      <c r="Z15" s="55" t="s">
        <v>67</v>
      </c>
      <c r="AA15" s="55" t="s">
        <v>67</v>
      </c>
      <c r="AB15" s="55" t="s">
        <v>67</v>
      </c>
      <c r="AC15" s="55" t="s">
        <v>67</v>
      </c>
      <c r="AD15" s="55" t="s">
        <v>67</v>
      </c>
      <c r="AE15" s="125">
        <v>0</v>
      </c>
      <c r="AF15" s="125">
        <v>1</v>
      </c>
      <c r="AG15" s="125">
        <v>0</v>
      </c>
      <c r="AH15" s="125">
        <v>0</v>
      </c>
      <c r="AI15" s="125">
        <v>1</v>
      </c>
      <c r="AJ15" s="45" t="s">
        <v>105</v>
      </c>
      <c r="AL15" t="str">
        <f t="shared" si="0"/>
        <v xml:space="preserve">    (U1)ALERT_REQ_UNKNOWN</v>
      </c>
      <c r="AR15" s="57" t="str">
        <f t="shared" si="3"/>
        <v xml:space="preserve">    (U4)0x00000009U,                                                           /* 09 UNKNOWN                                         */</v>
      </c>
      <c r="AS15" s="57" t="str">
        <f t="shared" si="4"/>
        <v xml:space="preserve">    (U4)0x0000001FU,                                                           /* 09 UNKNOWN                                         */</v>
      </c>
      <c r="AT15" s="57" t="str">
        <f t="shared" si="1"/>
        <v xml:space="preserve">    (U1)ALERT_REQ_UNKNOWN,                                                     /* 09 UNKNOWN                                         */</v>
      </c>
      <c r="AU15" s="57" t="str">
        <f ca="1">"        (U1)"&amp;$AW$16&amp;REPT(" ",67-LEN($AW$16))&amp;"/* u1_vom_act                                         */"</f>
        <v xml:space="preserve">        (U1)ALERT_VOM_BAT_WT                                                   /* u1_vom_act                                         */</v>
      </c>
      <c r="AV15" s="43" t="s">
        <v>78</v>
      </c>
      <c r="AW15" s="62" t="str">
        <f ca="1">IF(AW6&lt;&gt;AW17,VLOOKUP(AW6,Matrix!$C$13:$G$37,5,FALSE),Matrix!G13)</f>
        <v>vd_s_AlertB_eswuocPdbRwTx</v>
      </c>
    </row>
    <row r="16" spans="1:49">
      <c r="B16" s="127"/>
      <c r="C16" s="41">
        <f t="shared" si="2"/>
        <v>10</v>
      </c>
      <c r="D16" s="55" t="s">
        <v>67</v>
      </c>
      <c r="E16" s="55" t="s">
        <v>67</v>
      </c>
      <c r="F16" s="55" t="s">
        <v>67</v>
      </c>
      <c r="G16" s="55" t="s">
        <v>67</v>
      </c>
      <c r="H16" s="55" t="s">
        <v>67</v>
      </c>
      <c r="I16" s="55" t="s">
        <v>67</v>
      </c>
      <c r="J16" s="55" t="s">
        <v>67</v>
      </c>
      <c r="K16" s="55" t="s">
        <v>67</v>
      </c>
      <c r="L16" s="55" t="s">
        <v>67</v>
      </c>
      <c r="M16" s="55" t="s">
        <v>67</v>
      </c>
      <c r="N16" s="55" t="s">
        <v>67</v>
      </c>
      <c r="O16" s="55" t="s">
        <v>67</v>
      </c>
      <c r="P16" s="55" t="s">
        <v>67</v>
      </c>
      <c r="Q16" s="55" t="s">
        <v>67</v>
      </c>
      <c r="R16" s="55" t="s">
        <v>67</v>
      </c>
      <c r="S16" s="55" t="s">
        <v>67</v>
      </c>
      <c r="T16" s="55" t="s">
        <v>67</v>
      </c>
      <c r="U16" s="55" t="s">
        <v>67</v>
      </c>
      <c r="V16" s="55" t="s">
        <v>67</v>
      </c>
      <c r="W16" s="55" t="s">
        <v>67</v>
      </c>
      <c r="X16" s="55" t="s">
        <v>67</v>
      </c>
      <c r="Y16" s="55" t="s">
        <v>67</v>
      </c>
      <c r="Z16" s="55" t="s">
        <v>67</v>
      </c>
      <c r="AA16" s="55" t="s">
        <v>67</v>
      </c>
      <c r="AB16" s="55" t="s">
        <v>67</v>
      </c>
      <c r="AC16" s="55" t="s">
        <v>67</v>
      </c>
      <c r="AD16" s="55" t="s">
        <v>67</v>
      </c>
      <c r="AE16" s="125">
        <v>0</v>
      </c>
      <c r="AF16" s="125">
        <v>1</v>
      </c>
      <c r="AG16" s="125">
        <v>0</v>
      </c>
      <c r="AH16" s="125">
        <v>1</v>
      </c>
      <c r="AI16" s="125">
        <v>0</v>
      </c>
      <c r="AJ16" s="45" t="s">
        <v>105</v>
      </c>
      <c r="AL16" t="str">
        <f t="shared" si="0"/>
        <v xml:space="preserve">    (U1)ALERT_REQ_UNKNOWN</v>
      </c>
      <c r="AR16" s="57" t="str">
        <f t="shared" si="3"/>
        <v xml:space="preserve">    (U4)0x0000000AU,                                                           /* 10 UNKNOWN                                         */</v>
      </c>
      <c r="AS16" s="57" t="str">
        <f t="shared" si="4"/>
        <v xml:space="preserve">    (U4)0x0000001FU,                                                           /* 10 UNKNOWN                                         */</v>
      </c>
      <c r="AT16" s="57" t="str">
        <f t="shared" si="1"/>
        <v xml:space="preserve">    (U1)ALERT_REQ_UNKNOWN,                                                     /* 10 UNKNOWN                                         */</v>
      </c>
      <c r="AU16" s="57" t="s">
        <v>269</v>
      </c>
      <c r="AV16" s="43" t="s">
        <v>76</v>
      </c>
      <c r="AW16" s="62" t="str">
        <f ca="1">IF(AW6&lt;&gt;AW17,VLOOKUP(AW6,Matrix!$C$13:$G$37,2,FALSE),Matrix!D13)</f>
        <v>ALERT_VOM_BAT_WT</v>
      </c>
    </row>
    <row r="17" spans="2:49" ht="13.5" thickBot="1">
      <c r="B17" s="127"/>
      <c r="C17" s="41">
        <f t="shared" si="2"/>
        <v>11</v>
      </c>
      <c r="D17" s="55" t="s">
        <v>67</v>
      </c>
      <c r="E17" s="55" t="s">
        <v>67</v>
      </c>
      <c r="F17" s="55" t="s">
        <v>67</v>
      </c>
      <c r="G17" s="55" t="s">
        <v>67</v>
      </c>
      <c r="H17" s="55" t="s">
        <v>67</v>
      </c>
      <c r="I17" s="55" t="s">
        <v>67</v>
      </c>
      <c r="J17" s="55" t="s">
        <v>67</v>
      </c>
      <c r="K17" s="55" t="s">
        <v>67</v>
      </c>
      <c r="L17" s="55" t="s">
        <v>67</v>
      </c>
      <c r="M17" s="55" t="s">
        <v>67</v>
      </c>
      <c r="N17" s="55" t="s">
        <v>67</v>
      </c>
      <c r="O17" s="55" t="s">
        <v>67</v>
      </c>
      <c r="P17" s="55" t="s">
        <v>67</v>
      </c>
      <c r="Q17" s="55" t="s">
        <v>67</v>
      </c>
      <c r="R17" s="55" t="s">
        <v>67</v>
      </c>
      <c r="S17" s="55" t="s">
        <v>67</v>
      </c>
      <c r="T17" s="55" t="s">
        <v>67</v>
      </c>
      <c r="U17" s="55" t="s">
        <v>67</v>
      </c>
      <c r="V17" s="55" t="s">
        <v>67</v>
      </c>
      <c r="W17" s="55" t="s">
        <v>67</v>
      </c>
      <c r="X17" s="55" t="s">
        <v>67</v>
      </c>
      <c r="Y17" s="55" t="s">
        <v>67</v>
      </c>
      <c r="Z17" s="55" t="s">
        <v>67</v>
      </c>
      <c r="AA17" s="55" t="s">
        <v>67</v>
      </c>
      <c r="AB17" s="55" t="s">
        <v>67</v>
      </c>
      <c r="AC17" s="55" t="s">
        <v>67</v>
      </c>
      <c r="AD17" s="55" t="s">
        <v>67</v>
      </c>
      <c r="AE17" s="125">
        <v>0</v>
      </c>
      <c r="AF17" s="125">
        <v>1</v>
      </c>
      <c r="AG17" s="125">
        <v>0</v>
      </c>
      <c r="AH17" s="125">
        <v>1</v>
      </c>
      <c r="AI17" s="125">
        <v>1</v>
      </c>
      <c r="AJ17" s="45" t="s">
        <v>105</v>
      </c>
      <c r="AL17" t="str">
        <f t="shared" si="0"/>
        <v xml:space="preserve">    (U1)ALERT_REQ_UNKNOWN</v>
      </c>
      <c r="AR17" s="57" t="str">
        <f t="shared" si="3"/>
        <v xml:space="preserve">    (U4)0x0000000BU,                                                           /* 11 UNKNOWN                                         */</v>
      </c>
      <c r="AS17" s="57" t="str">
        <f t="shared" si="4"/>
        <v xml:space="preserve">    (U4)0x0000001FU,                                                           /* 11 UNKNOWN                                         */</v>
      </c>
      <c r="AT17" s="57" t="str">
        <f t="shared" si="1"/>
        <v xml:space="preserve">    (U1)ALERT_REQ_UNKNOWN,                                                     /* 11 UNKNOWN                                         */</v>
      </c>
      <c r="AU17" s="58" t="s">
        <v>270</v>
      </c>
      <c r="AV17" s="44" t="s">
        <v>77</v>
      </c>
      <c r="AW17" s="63" t="str">
        <f ca="1">UPPER(Matrix!$D$6)</f>
        <v>B_ESWUOC</v>
      </c>
    </row>
    <row r="18" spans="2:49">
      <c r="B18" s="127"/>
      <c r="C18" s="41">
        <f t="shared" si="2"/>
        <v>12</v>
      </c>
      <c r="D18" s="55" t="s">
        <v>67</v>
      </c>
      <c r="E18" s="55" t="s">
        <v>67</v>
      </c>
      <c r="F18" s="55" t="s">
        <v>67</v>
      </c>
      <c r="G18" s="55" t="s">
        <v>67</v>
      </c>
      <c r="H18" s="55" t="s">
        <v>67</v>
      </c>
      <c r="I18" s="55" t="s">
        <v>67</v>
      </c>
      <c r="J18" s="55" t="s">
        <v>67</v>
      </c>
      <c r="K18" s="55" t="s">
        <v>67</v>
      </c>
      <c r="L18" s="55" t="s">
        <v>67</v>
      </c>
      <c r="M18" s="55" t="s">
        <v>67</v>
      </c>
      <c r="N18" s="55" t="s">
        <v>67</v>
      </c>
      <c r="O18" s="55" t="s">
        <v>67</v>
      </c>
      <c r="P18" s="55" t="s">
        <v>67</v>
      </c>
      <c r="Q18" s="55" t="s">
        <v>67</v>
      </c>
      <c r="R18" s="55" t="s">
        <v>67</v>
      </c>
      <c r="S18" s="55" t="s">
        <v>67</v>
      </c>
      <c r="T18" s="55" t="s">
        <v>67</v>
      </c>
      <c r="U18" s="55" t="s">
        <v>67</v>
      </c>
      <c r="V18" s="55" t="s">
        <v>67</v>
      </c>
      <c r="W18" s="55" t="s">
        <v>67</v>
      </c>
      <c r="X18" s="55" t="s">
        <v>67</v>
      </c>
      <c r="Y18" s="55" t="s">
        <v>67</v>
      </c>
      <c r="Z18" s="55" t="s">
        <v>67</v>
      </c>
      <c r="AA18" s="55" t="s">
        <v>67</v>
      </c>
      <c r="AB18" s="55" t="s">
        <v>67</v>
      </c>
      <c r="AC18" s="55" t="s">
        <v>67</v>
      </c>
      <c r="AD18" s="55" t="s">
        <v>67</v>
      </c>
      <c r="AE18" s="125">
        <v>0</v>
      </c>
      <c r="AF18" s="125">
        <v>1</v>
      </c>
      <c r="AG18" s="125">
        <v>1</v>
      </c>
      <c r="AH18" s="125">
        <v>0</v>
      </c>
      <c r="AI18" s="125">
        <v>0</v>
      </c>
      <c r="AJ18" s="45" t="s">
        <v>105</v>
      </c>
      <c r="AL18" t="str">
        <f t="shared" si="0"/>
        <v xml:space="preserve">    (U1)ALERT_REQ_UNKNOWN</v>
      </c>
      <c r="AR18" s="57" t="str">
        <f t="shared" si="3"/>
        <v xml:space="preserve">    (U4)0x0000000CU,                                                           /* 12 UNKNOWN                                         */</v>
      </c>
      <c r="AS18" s="57" t="str">
        <f t="shared" si="4"/>
        <v xml:space="preserve">    (U4)0x0000001FU,                                                           /* 12 UNKNOWN                                         */</v>
      </c>
      <c r="AT18" s="57" t="str">
        <f t="shared" si="1"/>
        <v xml:space="preserve">    (U1)ALERT_REQ_UNKNOWN,                                                     /* 12 UNKNOWN                                         */</v>
      </c>
    </row>
    <row r="19" spans="2:49">
      <c r="B19" s="127"/>
      <c r="C19" s="41">
        <f t="shared" si="2"/>
        <v>13</v>
      </c>
      <c r="D19" s="55" t="s">
        <v>67</v>
      </c>
      <c r="E19" s="55" t="s">
        <v>67</v>
      </c>
      <c r="F19" s="55" t="s">
        <v>67</v>
      </c>
      <c r="G19" s="55" t="s">
        <v>67</v>
      </c>
      <c r="H19" s="55" t="s">
        <v>67</v>
      </c>
      <c r="I19" s="55" t="s">
        <v>67</v>
      </c>
      <c r="J19" s="55" t="s">
        <v>67</v>
      </c>
      <c r="K19" s="55" t="s">
        <v>67</v>
      </c>
      <c r="L19" s="55" t="s">
        <v>67</v>
      </c>
      <c r="M19" s="55" t="s">
        <v>67</v>
      </c>
      <c r="N19" s="55" t="s">
        <v>67</v>
      </c>
      <c r="O19" s="55" t="s">
        <v>67</v>
      </c>
      <c r="P19" s="55" t="s">
        <v>67</v>
      </c>
      <c r="Q19" s="55" t="s">
        <v>67</v>
      </c>
      <c r="R19" s="55" t="s">
        <v>67</v>
      </c>
      <c r="S19" s="55" t="s">
        <v>67</v>
      </c>
      <c r="T19" s="55" t="s">
        <v>67</v>
      </c>
      <c r="U19" s="55" t="s">
        <v>67</v>
      </c>
      <c r="V19" s="55" t="s">
        <v>67</v>
      </c>
      <c r="W19" s="55" t="s">
        <v>67</v>
      </c>
      <c r="X19" s="55" t="s">
        <v>67</v>
      </c>
      <c r="Y19" s="55" t="s">
        <v>67</v>
      </c>
      <c r="Z19" s="55" t="s">
        <v>67</v>
      </c>
      <c r="AA19" s="55" t="s">
        <v>67</v>
      </c>
      <c r="AB19" s="55" t="s">
        <v>67</v>
      </c>
      <c r="AC19" s="55" t="s">
        <v>67</v>
      </c>
      <c r="AD19" s="55" t="s">
        <v>67</v>
      </c>
      <c r="AE19" s="125">
        <v>0</v>
      </c>
      <c r="AF19" s="125">
        <v>1</v>
      </c>
      <c r="AG19" s="125">
        <v>1</v>
      </c>
      <c r="AH19" s="125">
        <v>0</v>
      </c>
      <c r="AI19" s="125">
        <v>1</v>
      </c>
      <c r="AJ19" s="45" t="s">
        <v>105</v>
      </c>
      <c r="AL19" t="str">
        <f t="shared" si="0"/>
        <v xml:space="preserve">    (U1)ALERT_REQ_UNKNOWN</v>
      </c>
      <c r="AR19" s="57" t="str">
        <f t="shared" si="3"/>
        <v xml:space="preserve">    (U4)0x0000000DU,                                                           /* 13 UNKNOWN                                         */</v>
      </c>
      <c r="AS19" s="57" t="str">
        <f t="shared" si="4"/>
        <v xml:space="preserve">    (U4)0x0000001FU,                                                           /* 13 UNKNOWN                                         */</v>
      </c>
      <c r="AT19" s="57" t="str">
        <f t="shared" si="1"/>
        <v xml:space="preserve">    (U1)ALERT_REQ_UNKNOWN,                                                     /* 13 UNKNOWN                                         */</v>
      </c>
    </row>
    <row r="20" spans="2:49">
      <c r="B20" s="127"/>
      <c r="C20" s="41">
        <f t="shared" si="2"/>
        <v>14</v>
      </c>
      <c r="D20" s="55" t="s">
        <v>67</v>
      </c>
      <c r="E20" s="55" t="s">
        <v>67</v>
      </c>
      <c r="F20" s="55" t="s">
        <v>67</v>
      </c>
      <c r="G20" s="55" t="s">
        <v>67</v>
      </c>
      <c r="H20" s="55" t="s">
        <v>67</v>
      </c>
      <c r="I20" s="55" t="s">
        <v>67</v>
      </c>
      <c r="J20" s="55" t="s">
        <v>67</v>
      </c>
      <c r="K20" s="55" t="s">
        <v>67</v>
      </c>
      <c r="L20" s="55" t="s">
        <v>67</v>
      </c>
      <c r="M20" s="55" t="s">
        <v>67</v>
      </c>
      <c r="N20" s="55" t="s">
        <v>67</v>
      </c>
      <c r="O20" s="55" t="s">
        <v>67</v>
      </c>
      <c r="P20" s="55" t="s">
        <v>67</v>
      </c>
      <c r="Q20" s="55" t="s">
        <v>67</v>
      </c>
      <c r="R20" s="55" t="s">
        <v>67</v>
      </c>
      <c r="S20" s="55" t="s">
        <v>67</v>
      </c>
      <c r="T20" s="55" t="s">
        <v>67</v>
      </c>
      <c r="U20" s="55" t="s">
        <v>67</v>
      </c>
      <c r="V20" s="55" t="s">
        <v>67</v>
      </c>
      <c r="W20" s="55" t="s">
        <v>67</v>
      </c>
      <c r="X20" s="55" t="s">
        <v>67</v>
      </c>
      <c r="Y20" s="55" t="s">
        <v>67</v>
      </c>
      <c r="Z20" s="55" t="s">
        <v>67</v>
      </c>
      <c r="AA20" s="55" t="s">
        <v>67</v>
      </c>
      <c r="AB20" s="55" t="s">
        <v>67</v>
      </c>
      <c r="AC20" s="55" t="s">
        <v>67</v>
      </c>
      <c r="AD20" s="55" t="s">
        <v>67</v>
      </c>
      <c r="AE20" s="125">
        <v>0</v>
      </c>
      <c r="AF20" s="125">
        <v>1</v>
      </c>
      <c r="AG20" s="125">
        <v>1</v>
      </c>
      <c r="AH20" s="125">
        <v>1</v>
      </c>
      <c r="AI20" s="125">
        <v>0</v>
      </c>
      <c r="AJ20" s="45" t="s">
        <v>105</v>
      </c>
      <c r="AL20" t="str">
        <f t="shared" si="0"/>
        <v xml:space="preserve">    (U1)ALERT_REQ_UNKNOWN</v>
      </c>
      <c r="AR20" s="57" t="str">
        <f t="shared" si="3"/>
        <v xml:space="preserve">    (U4)0x0000000EU,                                                           /* 14 UNKNOWN                                         */</v>
      </c>
      <c r="AS20" s="57" t="str">
        <f t="shared" si="4"/>
        <v xml:space="preserve">    (U4)0x0000001FU,                                                           /* 14 UNKNOWN                                         */</v>
      </c>
      <c r="AT20" s="57" t="str">
        <f t="shared" si="1"/>
        <v xml:space="preserve">    (U1)ALERT_REQ_UNKNOWN,                                                     /* 14 UNKNOWN                                         */</v>
      </c>
    </row>
    <row r="21" spans="2:49">
      <c r="B21" s="127"/>
      <c r="C21" s="41">
        <f t="shared" si="2"/>
        <v>15</v>
      </c>
      <c r="D21" s="55" t="s">
        <v>67</v>
      </c>
      <c r="E21" s="55" t="s">
        <v>67</v>
      </c>
      <c r="F21" s="55" t="s">
        <v>67</v>
      </c>
      <c r="G21" s="55" t="s">
        <v>67</v>
      </c>
      <c r="H21" s="55" t="s">
        <v>67</v>
      </c>
      <c r="I21" s="55" t="s">
        <v>67</v>
      </c>
      <c r="J21" s="55" t="s">
        <v>67</v>
      </c>
      <c r="K21" s="55" t="s">
        <v>67</v>
      </c>
      <c r="L21" s="55" t="s">
        <v>67</v>
      </c>
      <c r="M21" s="55" t="s">
        <v>67</v>
      </c>
      <c r="N21" s="55" t="s">
        <v>67</v>
      </c>
      <c r="O21" s="55" t="s">
        <v>67</v>
      </c>
      <c r="P21" s="55" t="s">
        <v>67</v>
      </c>
      <c r="Q21" s="55" t="s">
        <v>67</v>
      </c>
      <c r="R21" s="55" t="s">
        <v>67</v>
      </c>
      <c r="S21" s="55" t="s">
        <v>67</v>
      </c>
      <c r="T21" s="55" t="s">
        <v>67</v>
      </c>
      <c r="U21" s="55" t="s">
        <v>67</v>
      </c>
      <c r="V21" s="55" t="s">
        <v>67</v>
      </c>
      <c r="W21" s="55" t="s">
        <v>67</v>
      </c>
      <c r="X21" s="55" t="s">
        <v>67</v>
      </c>
      <c r="Y21" s="55" t="s">
        <v>67</v>
      </c>
      <c r="Z21" s="55" t="s">
        <v>67</v>
      </c>
      <c r="AA21" s="55" t="s">
        <v>67</v>
      </c>
      <c r="AB21" s="55" t="s">
        <v>67</v>
      </c>
      <c r="AC21" s="55" t="s">
        <v>67</v>
      </c>
      <c r="AD21" s="55" t="s">
        <v>67</v>
      </c>
      <c r="AE21" s="125">
        <v>0</v>
      </c>
      <c r="AF21" s="125">
        <v>1</v>
      </c>
      <c r="AG21" s="125">
        <v>1</v>
      </c>
      <c r="AH21" s="125">
        <v>1</v>
      </c>
      <c r="AI21" s="125">
        <v>1</v>
      </c>
      <c r="AJ21" s="45" t="s">
        <v>105</v>
      </c>
      <c r="AL21" t="str">
        <f t="shared" si="0"/>
        <v xml:space="preserve">    (U1)ALERT_REQ_UNKNOWN</v>
      </c>
      <c r="AR21" s="57" t="str">
        <f t="shared" si="3"/>
        <v xml:space="preserve">    (U4)0x0000000FU,                                                           /* 15 UNKNOWN                                         */</v>
      </c>
      <c r="AS21" s="57" t="str">
        <f t="shared" si="4"/>
        <v xml:space="preserve">    (U4)0x0000001FU,                                                           /* 15 UNKNOWN                                         */</v>
      </c>
      <c r="AT21" s="57" t="str">
        <f t="shared" si="1"/>
        <v xml:space="preserve">    (U1)ALERT_REQ_UNKNOWN,                                                     /* 15 UNKNOWN                                         */</v>
      </c>
    </row>
    <row r="22" spans="2:49">
      <c r="B22" s="127"/>
      <c r="C22" s="41">
        <f t="shared" si="2"/>
        <v>16</v>
      </c>
      <c r="D22" s="55" t="s">
        <v>67</v>
      </c>
      <c r="E22" s="55" t="s">
        <v>67</v>
      </c>
      <c r="F22" s="55" t="s">
        <v>67</v>
      </c>
      <c r="G22" s="55" t="s">
        <v>67</v>
      </c>
      <c r="H22" s="55" t="s">
        <v>67</v>
      </c>
      <c r="I22" s="55" t="s">
        <v>67</v>
      </c>
      <c r="J22" s="55" t="s">
        <v>67</v>
      </c>
      <c r="K22" s="55" t="s">
        <v>67</v>
      </c>
      <c r="L22" s="55" t="s">
        <v>67</v>
      </c>
      <c r="M22" s="55" t="s">
        <v>67</v>
      </c>
      <c r="N22" s="55" t="s">
        <v>67</v>
      </c>
      <c r="O22" s="55" t="s">
        <v>67</v>
      </c>
      <c r="P22" s="55" t="s">
        <v>67</v>
      </c>
      <c r="Q22" s="55" t="s">
        <v>67</v>
      </c>
      <c r="R22" s="55" t="s">
        <v>67</v>
      </c>
      <c r="S22" s="55" t="s">
        <v>67</v>
      </c>
      <c r="T22" s="55" t="s">
        <v>67</v>
      </c>
      <c r="U22" s="55" t="s">
        <v>67</v>
      </c>
      <c r="V22" s="55" t="s">
        <v>67</v>
      </c>
      <c r="W22" s="55" t="s">
        <v>67</v>
      </c>
      <c r="X22" s="55" t="s">
        <v>67</v>
      </c>
      <c r="Y22" s="55" t="s">
        <v>67</v>
      </c>
      <c r="Z22" s="55" t="s">
        <v>67</v>
      </c>
      <c r="AA22" s="55" t="s">
        <v>67</v>
      </c>
      <c r="AB22" s="55" t="s">
        <v>67</v>
      </c>
      <c r="AC22" s="55" t="s">
        <v>67</v>
      </c>
      <c r="AD22" s="55" t="s">
        <v>67</v>
      </c>
      <c r="AE22" s="125">
        <v>1</v>
      </c>
      <c r="AF22" s="125">
        <v>0</v>
      </c>
      <c r="AG22" s="125">
        <v>0</v>
      </c>
      <c r="AH22" s="125">
        <v>0</v>
      </c>
      <c r="AI22" s="125">
        <v>0</v>
      </c>
      <c r="AJ22" s="45" t="s">
        <v>105</v>
      </c>
      <c r="AL22" t="str">
        <f t="shared" si="0"/>
        <v xml:space="preserve">    (U1)ALERT_REQ_UNKNOWN</v>
      </c>
      <c r="AR22" s="57" t="str">
        <f t="shared" si="3"/>
        <v xml:space="preserve">    (U4)0x00000010U,                                                           /* 16 UNKNOWN                                         */</v>
      </c>
      <c r="AS22" s="57" t="str">
        <f t="shared" si="4"/>
        <v xml:space="preserve">    (U4)0x0000001FU,                                                           /* 16 UNKNOWN                                         */</v>
      </c>
      <c r="AT22" s="57" t="str">
        <f t="shared" si="1"/>
        <v xml:space="preserve">    (U1)ALERT_REQ_UNKNOWN,                                                     /* 16 UNKNOWN                                         */</v>
      </c>
    </row>
    <row r="23" spans="2:49">
      <c r="B23" s="127"/>
      <c r="C23" s="41">
        <f t="shared" si="2"/>
        <v>17</v>
      </c>
      <c r="D23" s="55" t="s">
        <v>67</v>
      </c>
      <c r="E23" s="55" t="s">
        <v>67</v>
      </c>
      <c r="F23" s="55" t="s">
        <v>67</v>
      </c>
      <c r="G23" s="55" t="s">
        <v>67</v>
      </c>
      <c r="H23" s="55" t="s">
        <v>67</v>
      </c>
      <c r="I23" s="55" t="s">
        <v>67</v>
      </c>
      <c r="J23" s="55" t="s">
        <v>67</v>
      </c>
      <c r="K23" s="55" t="s">
        <v>67</v>
      </c>
      <c r="L23" s="55" t="s">
        <v>67</v>
      </c>
      <c r="M23" s="55" t="s">
        <v>67</v>
      </c>
      <c r="N23" s="55" t="s">
        <v>67</v>
      </c>
      <c r="O23" s="55" t="s">
        <v>67</v>
      </c>
      <c r="P23" s="55" t="s">
        <v>67</v>
      </c>
      <c r="Q23" s="55" t="s">
        <v>67</v>
      </c>
      <c r="R23" s="55" t="s">
        <v>67</v>
      </c>
      <c r="S23" s="55" t="s">
        <v>67</v>
      </c>
      <c r="T23" s="55" t="s">
        <v>67</v>
      </c>
      <c r="U23" s="55" t="s">
        <v>67</v>
      </c>
      <c r="V23" s="55" t="s">
        <v>67</v>
      </c>
      <c r="W23" s="55" t="s">
        <v>67</v>
      </c>
      <c r="X23" s="55" t="s">
        <v>67</v>
      </c>
      <c r="Y23" s="55" t="s">
        <v>67</v>
      </c>
      <c r="Z23" s="55" t="s">
        <v>67</v>
      </c>
      <c r="AA23" s="55" t="s">
        <v>67</v>
      </c>
      <c r="AB23" s="55" t="s">
        <v>67</v>
      </c>
      <c r="AC23" s="55" t="s">
        <v>67</v>
      </c>
      <c r="AD23" s="55" t="s">
        <v>67</v>
      </c>
      <c r="AE23" s="125">
        <v>1</v>
      </c>
      <c r="AF23" s="125">
        <v>0</v>
      </c>
      <c r="AG23" s="125">
        <v>0</v>
      </c>
      <c r="AH23" s="125">
        <v>0</v>
      </c>
      <c r="AI23" s="125">
        <v>1</v>
      </c>
      <c r="AJ23" s="45" t="s">
        <v>236</v>
      </c>
      <c r="AL23" t="str">
        <f t="shared" ca="1" si="0"/>
        <v xml:space="preserve">    (U1)ALERT_REQ_B_ESWUOC_PDB_SYSMLFNC</v>
      </c>
      <c r="AR23" s="57" t="str">
        <f t="shared" si="3"/>
        <v xml:space="preserve">    (U4)0x00000011U,                                                           /* 17 SYSMLFNC                                        */</v>
      </c>
      <c r="AS23" s="57" t="str">
        <f t="shared" si="4"/>
        <v xml:space="preserve">    (U4)0x0000001FU,                                                           /* 17 SYSMLFNC                                        */</v>
      </c>
      <c r="AT23" s="57" t="str">
        <f t="shared" ca="1" si="1"/>
        <v xml:space="preserve">    (U1)ALERT_REQ_B_ESWUOC_PDB_SYSMLFNC,                                       /* 17 SYSMLFNC                                        */</v>
      </c>
    </row>
    <row r="24" spans="2:49">
      <c r="B24" s="127"/>
      <c r="C24" s="41">
        <f t="shared" si="2"/>
        <v>18</v>
      </c>
      <c r="D24" s="55" t="s">
        <v>67</v>
      </c>
      <c r="E24" s="55" t="s">
        <v>67</v>
      </c>
      <c r="F24" s="55" t="s">
        <v>67</v>
      </c>
      <c r="G24" s="55" t="s">
        <v>67</v>
      </c>
      <c r="H24" s="55" t="s">
        <v>67</v>
      </c>
      <c r="I24" s="55" t="s">
        <v>67</v>
      </c>
      <c r="J24" s="55" t="s">
        <v>67</v>
      </c>
      <c r="K24" s="55" t="s">
        <v>67</v>
      </c>
      <c r="L24" s="55" t="s">
        <v>67</v>
      </c>
      <c r="M24" s="55" t="s">
        <v>67</v>
      </c>
      <c r="N24" s="55" t="s">
        <v>67</v>
      </c>
      <c r="O24" s="55" t="s">
        <v>67</v>
      </c>
      <c r="P24" s="55" t="s">
        <v>67</v>
      </c>
      <c r="Q24" s="55" t="s">
        <v>67</v>
      </c>
      <c r="R24" s="55" t="s">
        <v>67</v>
      </c>
      <c r="S24" s="55" t="s">
        <v>67</v>
      </c>
      <c r="T24" s="55" t="s">
        <v>67</v>
      </c>
      <c r="U24" s="55" t="s">
        <v>67</v>
      </c>
      <c r="V24" s="55" t="s">
        <v>67</v>
      </c>
      <c r="W24" s="55" t="s">
        <v>67</v>
      </c>
      <c r="X24" s="55" t="s">
        <v>67</v>
      </c>
      <c r="Y24" s="55" t="s">
        <v>67</v>
      </c>
      <c r="Z24" s="55" t="s">
        <v>67</v>
      </c>
      <c r="AA24" s="55" t="s">
        <v>67</v>
      </c>
      <c r="AB24" s="55" t="s">
        <v>67</v>
      </c>
      <c r="AC24" s="55" t="s">
        <v>67</v>
      </c>
      <c r="AD24" s="55" t="s">
        <v>67</v>
      </c>
      <c r="AE24" s="125">
        <v>1</v>
      </c>
      <c r="AF24" s="125">
        <v>0</v>
      </c>
      <c r="AG24" s="125">
        <v>0</v>
      </c>
      <c r="AH24" s="125">
        <v>1</v>
      </c>
      <c r="AI24" s="125">
        <v>0</v>
      </c>
      <c r="AJ24" s="45" t="s">
        <v>341</v>
      </c>
      <c r="AL24" t="str">
        <f t="shared" ca="1" si="0"/>
        <v xml:space="preserve">    (U1)ALERT_REQ_B_ESWUOC_PDB_LHDSHOCK</v>
      </c>
      <c r="AR24" s="57" t="str">
        <f t="shared" si="3"/>
        <v xml:space="preserve">    (U4)0x00000012U,                                                           /* 18 LHDSHOCK                                        */</v>
      </c>
      <c r="AS24" s="57" t="str">
        <f t="shared" si="4"/>
        <v xml:space="preserve">    (U4)0x0000001FU,                                                           /* 18 LHDSHOCK                                        */</v>
      </c>
      <c r="AT24" s="57" t="str">
        <f t="shared" ca="1" si="1"/>
        <v xml:space="preserve">    (U1)ALERT_REQ_B_ESWUOC_PDB_LHDSHOCK,                                       /* 18 LHDSHOCK                                        */</v>
      </c>
    </row>
    <row r="25" spans="2:49">
      <c r="B25" s="127"/>
      <c r="C25" s="41">
        <f t="shared" si="2"/>
        <v>19</v>
      </c>
      <c r="D25" s="55" t="s">
        <v>67</v>
      </c>
      <c r="E25" s="55" t="s">
        <v>67</v>
      </c>
      <c r="F25" s="55" t="s">
        <v>67</v>
      </c>
      <c r="G25" s="55" t="s">
        <v>67</v>
      </c>
      <c r="H25" s="55" t="s">
        <v>67</v>
      </c>
      <c r="I25" s="55" t="s">
        <v>67</v>
      </c>
      <c r="J25" s="55" t="s">
        <v>67</v>
      </c>
      <c r="K25" s="55" t="s">
        <v>67</v>
      </c>
      <c r="L25" s="55" t="s">
        <v>67</v>
      </c>
      <c r="M25" s="55" t="s">
        <v>67</v>
      </c>
      <c r="N25" s="55" t="s">
        <v>67</v>
      </c>
      <c r="O25" s="55" t="s">
        <v>67</v>
      </c>
      <c r="P25" s="55" t="s">
        <v>67</v>
      </c>
      <c r="Q25" s="55" t="s">
        <v>67</v>
      </c>
      <c r="R25" s="55" t="s">
        <v>67</v>
      </c>
      <c r="S25" s="55" t="s">
        <v>67</v>
      </c>
      <c r="T25" s="55" t="s">
        <v>67</v>
      </c>
      <c r="U25" s="55" t="s">
        <v>67</v>
      </c>
      <c r="V25" s="55" t="s">
        <v>67</v>
      </c>
      <c r="W25" s="55" t="s">
        <v>67</v>
      </c>
      <c r="X25" s="55" t="s">
        <v>67</v>
      </c>
      <c r="Y25" s="55" t="s">
        <v>67</v>
      </c>
      <c r="Z25" s="55" t="s">
        <v>67</v>
      </c>
      <c r="AA25" s="55" t="s">
        <v>67</v>
      </c>
      <c r="AB25" s="55" t="s">
        <v>67</v>
      </c>
      <c r="AC25" s="55" t="s">
        <v>67</v>
      </c>
      <c r="AD25" s="55" t="s">
        <v>67</v>
      </c>
      <c r="AE25" s="125">
        <v>1</v>
      </c>
      <c r="AF25" s="125">
        <v>0</v>
      </c>
      <c r="AG25" s="125">
        <v>0</v>
      </c>
      <c r="AH25" s="125">
        <v>1</v>
      </c>
      <c r="AI25" s="125">
        <v>1</v>
      </c>
      <c r="AJ25" s="45" t="s">
        <v>105</v>
      </c>
      <c r="AL25" t="str">
        <f t="shared" si="0"/>
        <v xml:space="preserve">    (U1)ALERT_REQ_UNKNOWN</v>
      </c>
      <c r="AR25" s="57" t="str">
        <f t="shared" si="3"/>
        <v xml:space="preserve">    (U4)0x00000013U,                                                           /* 19 UNKNOWN                                         */</v>
      </c>
      <c r="AS25" s="57" t="str">
        <f t="shared" si="4"/>
        <v xml:space="preserve">    (U4)0x0000001FU,                                                           /* 19 UNKNOWN                                         */</v>
      </c>
      <c r="AT25" s="57" t="str">
        <f t="shared" si="1"/>
        <v xml:space="preserve">    (U1)ALERT_REQ_UNKNOWN,                                                     /* 19 UNKNOWN                                         */</v>
      </c>
    </row>
    <row r="26" spans="2:49">
      <c r="B26" s="127"/>
      <c r="C26" s="41">
        <f t="shared" si="2"/>
        <v>20</v>
      </c>
      <c r="D26" s="55" t="s">
        <v>67</v>
      </c>
      <c r="E26" s="55" t="s">
        <v>67</v>
      </c>
      <c r="F26" s="55" t="s">
        <v>67</v>
      </c>
      <c r="G26" s="55" t="s">
        <v>67</v>
      </c>
      <c r="H26" s="55" t="s">
        <v>67</v>
      </c>
      <c r="I26" s="55" t="s">
        <v>67</v>
      </c>
      <c r="J26" s="55" t="s">
        <v>67</v>
      </c>
      <c r="K26" s="55" t="s">
        <v>67</v>
      </c>
      <c r="L26" s="55" t="s">
        <v>67</v>
      </c>
      <c r="M26" s="55" t="s">
        <v>67</v>
      </c>
      <c r="N26" s="55" t="s">
        <v>67</v>
      </c>
      <c r="O26" s="55" t="s">
        <v>67</v>
      </c>
      <c r="P26" s="55" t="s">
        <v>67</v>
      </c>
      <c r="Q26" s="55" t="s">
        <v>67</v>
      </c>
      <c r="R26" s="55" t="s">
        <v>67</v>
      </c>
      <c r="S26" s="55" t="s">
        <v>67</v>
      </c>
      <c r="T26" s="55" t="s">
        <v>67</v>
      </c>
      <c r="U26" s="55" t="s">
        <v>67</v>
      </c>
      <c r="V26" s="55" t="s">
        <v>67</v>
      </c>
      <c r="W26" s="55" t="s">
        <v>67</v>
      </c>
      <c r="X26" s="55" t="s">
        <v>67</v>
      </c>
      <c r="Y26" s="55" t="s">
        <v>67</v>
      </c>
      <c r="Z26" s="55" t="s">
        <v>67</v>
      </c>
      <c r="AA26" s="55" t="s">
        <v>67</v>
      </c>
      <c r="AB26" s="55" t="s">
        <v>67</v>
      </c>
      <c r="AC26" s="55" t="s">
        <v>67</v>
      </c>
      <c r="AD26" s="55" t="s">
        <v>67</v>
      </c>
      <c r="AE26" s="125">
        <v>1</v>
      </c>
      <c r="AF26" s="125">
        <v>0</v>
      </c>
      <c r="AG26" s="125">
        <v>1</v>
      </c>
      <c r="AH26" s="125">
        <v>0</v>
      </c>
      <c r="AI26" s="125">
        <v>0</v>
      </c>
      <c r="AJ26" s="45" t="s">
        <v>105</v>
      </c>
      <c r="AL26" t="str">
        <f t="shared" si="0"/>
        <v xml:space="preserve">    (U1)ALERT_REQ_UNKNOWN</v>
      </c>
      <c r="AR26" s="57" t="str">
        <f t="shared" si="3"/>
        <v xml:space="preserve">    (U4)0x00000014U,                                                           /* 20 UNKNOWN                                         */</v>
      </c>
      <c r="AS26" s="57" t="str">
        <f t="shared" si="4"/>
        <v xml:space="preserve">    (U4)0x0000001FU,                                                           /* 20 UNKNOWN                                         */</v>
      </c>
      <c r="AT26" s="57" t="str">
        <f t="shared" si="1"/>
        <v xml:space="preserve">    (U1)ALERT_REQ_UNKNOWN,                                                     /* 20 UNKNOWN                                         */</v>
      </c>
    </row>
    <row r="27" spans="2:49">
      <c r="B27" s="127"/>
      <c r="C27" s="41">
        <f t="shared" si="2"/>
        <v>21</v>
      </c>
      <c r="D27" s="55" t="s">
        <v>67</v>
      </c>
      <c r="E27" s="55" t="s">
        <v>67</v>
      </c>
      <c r="F27" s="55" t="s">
        <v>67</v>
      </c>
      <c r="G27" s="55" t="s">
        <v>67</v>
      </c>
      <c r="H27" s="55" t="s">
        <v>67</v>
      </c>
      <c r="I27" s="55" t="s">
        <v>67</v>
      </c>
      <c r="J27" s="55" t="s">
        <v>67</v>
      </c>
      <c r="K27" s="55" t="s">
        <v>67</v>
      </c>
      <c r="L27" s="55" t="s">
        <v>67</v>
      </c>
      <c r="M27" s="55" t="s">
        <v>67</v>
      </c>
      <c r="N27" s="55" t="s">
        <v>67</v>
      </c>
      <c r="O27" s="55" t="s">
        <v>67</v>
      </c>
      <c r="P27" s="55" t="s">
        <v>67</v>
      </c>
      <c r="Q27" s="55" t="s">
        <v>67</v>
      </c>
      <c r="R27" s="55" t="s">
        <v>67</v>
      </c>
      <c r="S27" s="55" t="s">
        <v>67</v>
      </c>
      <c r="T27" s="55" t="s">
        <v>67</v>
      </c>
      <c r="U27" s="55" t="s">
        <v>67</v>
      </c>
      <c r="V27" s="55" t="s">
        <v>67</v>
      </c>
      <c r="W27" s="55" t="s">
        <v>67</v>
      </c>
      <c r="X27" s="55" t="s">
        <v>67</v>
      </c>
      <c r="Y27" s="55" t="s">
        <v>67</v>
      </c>
      <c r="Z27" s="55" t="s">
        <v>67</v>
      </c>
      <c r="AA27" s="55" t="s">
        <v>67</v>
      </c>
      <c r="AB27" s="55" t="s">
        <v>67</v>
      </c>
      <c r="AC27" s="55" t="s">
        <v>67</v>
      </c>
      <c r="AD27" s="55" t="s">
        <v>67</v>
      </c>
      <c r="AE27" s="125">
        <v>1</v>
      </c>
      <c r="AF27" s="125">
        <v>0</v>
      </c>
      <c r="AG27" s="125">
        <v>1</v>
      </c>
      <c r="AH27" s="125">
        <v>0</v>
      </c>
      <c r="AI27" s="125">
        <v>1</v>
      </c>
      <c r="AJ27" s="45" t="s">
        <v>105</v>
      </c>
      <c r="AL27" t="str">
        <f t="shared" si="0"/>
        <v xml:space="preserve">    (U1)ALERT_REQ_UNKNOWN</v>
      </c>
      <c r="AR27" s="57" t="str">
        <f t="shared" si="3"/>
        <v xml:space="preserve">    (U4)0x00000015U,                                                           /* 21 UNKNOWN                                         */</v>
      </c>
      <c r="AS27" s="57" t="str">
        <f t="shared" si="4"/>
        <v xml:space="preserve">    (U4)0x0000001FU,                                                           /* 21 UNKNOWN                                         */</v>
      </c>
      <c r="AT27" s="57" t="str">
        <f t="shared" si="1"/>
        <v xml:space="preserve">    (U1)ALERT_REQ_UNKNOWN,                                                     /* 21 UNKNOWN                                         */</v>
      </c>
    </row>
    <row r="28" spans="2:49">
      <c r="B28" s="127"/>
      <c r="C28" s="41">
        <f t="shared" si="2"/>
        <v>22</v>
      </c>
      <c r="D28" s="55" t="s">
        <v>67</v>
      </c>
      <c r="E28" s="55" t="s">
        <v>67</v>
      </c>
      <c r="F28" s="55" t="s">
        <v>67</v>
      </c>
      <c r="G28" s="55" t="s">
        <v>67</v>
      </c>
      <c r="H28" s="55" t="s">
        <v>67</v>
      </c>
      <c r="I28" s="55" t="s">
        <v>67</v>
      </c>
      <c r="J28" s="55" t="s">
        <v>67</v>
      </c>
      <c r="K28" s="55" t="s">
        <v>67</v>
      </c>
      <c r="L28" s="55" t="s">
        <v>67</v>
      </c>
      <c r="M28" s="55" t="s">
        <v>67</v>
      </c>
      <c r="N28" s="55" t="s">
        <v>67</v>
      </c>
      <c r="O28" s="55" t="s">
        <v>67</v>
      </c>
      <c r="P28" s="55" t="s">
        <v>67</v>
      </c>
      <c r="Q28" s="55" t="s">
        <v>67</v>
      </c>
      <c r="R28" s="55" t="s">
        <v>67</v>
      </c>
      <c r="S28" s="55" t="s">
        <v>67</v>
      </c>
      <c r="T28" s="55" t="s">
        <v>67</v>
      </c>
      <c r="U28" s="55" t="s">
        <v>67</v>
      </c>
      <c r="V28" s="55" t="s">
        <v>67</v>
      </c>
      <c r="W28" s="55" t="s">
        <v>67</v>
      </c>
      <c r="X28" s="55" t="s">
        <v>67</v>
      </c>
      <c r="Y28" s="55" t="s">
        <v>67</v>
      </c>
      <c r="Z28" s="55" t="s">
        <v>67</v>
      </c>
      <c r="AA28" s="55" t="s">
        <v>67</v>
      </c>
      <c r="AB28" s="55" t="s">
        <v>67</v>
      </c>
      <c r="AC28" s="55" t="s">
        <v>67</v>
      </c>
      <c r="AD28" s="55" t="s">
        <v>67</v>
      </c>
      <c r="AE28" s="125">
        <v>1</v>
      </c>
      <c r="AF28" s="125">
        <v>0</v>
      </c>
      <c r="AG28" s="125">
        <v>1</v>
      </c>
      <c r="AH28" s="125">
        <v>1</v>
      </c>
      <c r="AI28" s="125">
        <v>0</v>
      </c>
      <c r="AJ28" s="45" t="s">
        <v>105</v>
      </c>
      <c r="AL28" t="str">
        <f t="shared" si="0"/>
        <v xml:space="preserve">    (U1)ALERT_REQ_UNKNOWN</v>
      </c>
      <c r="AR28" s="57" t="str">
        <f t="shared" si="3"/>
        <v xml:space="preserve">    (U4)0x00000016U,                                                           /* 22 UNKNOWN                                         */</v>
      </c>
      <c r="AS28" s="57" t="str">
        <f t="shared" si="4"/>
        <v xml:space="preserve">    (U4)0x0000001FU,                                                           /* 22 UNKNOWN                                         */</v>
      </c>
      <c r="AT28" s="57" t="str">
        <f t="shared" si="1"/>
        <v xml:space="preserve">    (U1)ALERT_REQ_UNKNOWN,                                                     /* 22 UNKNOWN                                         */</v>
      </c>
    </row>
    <row r="29" spans="2:49">
      <c r="B29" s="127"/>
      <c r="C29" s="41">
        <f t="shared" si="2"/>
        <v>23</v>
      </c>
      <c r="D29" s="55" t="s">
        <v>67</v>
      </c>
      <c r="E29" s="55" t="s">
        <v>67</v>
      </c>
      <c r="F29" s="55" t="s">
        <v>67</v>
      </c>
      <c r="G29" s="55" t="s">
        <v>67</v>
      </c>
      <c r="H29" s="55" t="s">
        <v>67</v>
      </c>
      <c r="I29" s="55" t="s">
        <v>67</v>
      </c>
      <c r="J29" s="55" t="s">
        <v>67</v>
      </c>
      <c r="K29" s="55" t="s">
        <v>67</v>
      </c>
      <c r="L29" s="55" t="s">
        <v>67</v>
      </c>
      <c r="M29" s="55" t="s">
        <v>67</v>
      </c>
      <c r="N29" s="55" t="s">
        <v>67</v>
      </c>
      <c r="O29" s="55" t="s">
        <v>67</v>
      </c>
      <c r="P29" s="55" t="s">
        <v>67</v>
      </c>
      <c r="Q29" s="55" t="s">
        <v>67</v>
      </c>
      <c r="R29" s="55" t="s">
        <v>67</v>
      </c>
      <c r="S29" s="55" t="s">
        <v>67</v>
      </c>
      <c r="T29" s="55" t="s">
        <v>67</v>
      </c>
      <c r="U29" s="55" t="s">
        <v>67</v>
      </c>
      <c r="V29" s="55" t="s">
        <v>67</v>
      </c>
      <c r="W29" s="55" t="s">
        <v>67</v>
      </c>
      <c r="X29" s="55" t="s">
        <v>67</v>
      </c>
      <c r="Y29" s="55" t="s">
        <v>67</v>
      </c>
      <c r="Z29" s="55" t="s">
        <v>67</v>
      </c>
      <c r="AA29" s="55" t="s">
        <v>67</v>
      </c>
      <c r="AB29" s="55" t="s">
        <v>67</v>
      </c>
      <c r="AC29" s="55" t="s">
        <v>67</v>
      </c>
      <c r="AD29" s="55" t="s">
        <v>67</v>
      </c>
      <c r="AE29" s="125">
        <v>1</v>
      </c>
      <c r="AF29" s="125">
        <v>0</v>
      </c>
      <c r="AG29" s="125">
        <v>1</v>
      </c>
      <c r="AH29" s="125">
        <v>1</v>
      </c>
      <c r="AI29" s="125">
        <v>1</v>
      </c>
      <c r="AJ29" s="45" t="s">
        <v>342</v>
      </c>
      <c r="AL29" t="str">
        <f t="shared" ca="1" si="0"/>
        <v xml:space="preserve">    (U1)ALERT_REQ_B_ESWUOC_PDB_RHDSHOCK</v>
      </c>
      <c r="AR29" s="57" t="str">
        <f t="shared" si="3"/>
        <v xml:space="preserve">    (U4)0x00000017U,                                                           /* 23 RHDSHOCK                                        */</v>
      </c>
      <c r="AS29" s="57" t="str">
        <f t="shared" si="4"/>
        <v xml:space="preserve">    (U4)0x0000001FU,                                                           /* 23 RHDSHOCK                                        */</v>
      </c>
      <c r="AT29" s="57" t="str">
        <f t="shared" ca="1" si="1"/>
        <v xml:space="preserve">    (U1)ALERT_REQ_B_ESWUOC_PDB_RHDSHOCK,                                       /* 23 RHDSHOCK                                        */</v>
      </c>
    </row>
    <row r="30" spans="2:49">
      <c r="B30" s="127"/>
      <c r="C30" s="41">
        <f t="shared" si="2"/>
        <v>24</v>
      </c>
      <c r="D30" s="55" t="s">
        <v>67</v>
      </c>
      <c r="E30" s="55" t="s">
        <v>67</v>
      </c>
      <c r="F30" s="55" t="s">
        <v>67</v>
      </c>
      <c r="G30" s="55" t="s">
        <v>67</v>
      </c>
      <c r="H30" s="55" t="s">
        <v>67</v>
      </c>
      <c r="I30" s="55" t="s">
        <v>67</v>
      </c>
      <c r="J30" s="55" t="s">
        <v>67</v>
      </c>
      <c r="K30" s="55" t="s">
        <v>67</v>
      </c>
      <c r="L30" s="55" t="s">
        <v>67</v>
      </c>
      <c r="M30" s="55" t="s">
        <v>67</v>
      </c>
      <c r="N30" s="55" t="s">
        <v>67</v>
      </c>
      <c r="O30" s="55" t="s">
        <v>67</v>
      </c>
      <c r="P30" s="55" t="s">
        <v>67</v>
      </c>
      <c r="Q30" s="55" t="s">
        <v>67</v>
      </c>
      <c r="R30" s="55" t="s">
        <v>67</v>
      </c>
      <c r="S30" s="55" t="s">
        <v>67</v>
      </c>
      <c r="T30" s="55" t="s">
        <v>67</v>
      </c>
      <c r="U30" s="55" t="s">
        <v>67</v>
      </c>
      <c r="V30" s="55" t="s">
        <v>67</v>
      </c>
      <c r="W30" s="55" t="s">
        <v>67</v>
      </c>
      <c r="X30" s="55" t="s">
        <v>67</v>
      </c>
      <c r="Y30" s="55" t="s">
        <v>67</v>
      </c>
      <c r="Z30" s="55" t="s">
        <v>67</v>
      </c>
      <c r="AA30" s="55" t="s">
        <v>67</v>
      </c>
      <c r="AB30" s="55" t="s">
        <v>67</v>
      </c>
      <c r="AC30" s="55" t="s">
        <v>67</v>
      </c>
      <c r="AD30" s="55" t="s">
        <v>67</v>
      </c>
      <c r="AE30" s="125">
        <v>1</v>
      </c>
      <c r="AF30" s="125">
        <v>1</v>
      </c>
      <c r="AG30" s="125">
        <v>0</v>
      </c>
      <c r="AH30" s="125">
        <v>0</v>
      </c>
      <c r="AI30" s="125">
        <v>0</v>
      </c>
      <c r="AJ30" s="45" t="s">
        <v>105</v>
      </c>
      <c r="AL30" t="str">
        <f t="shared" si="0"/>
        <v xml:space="preserve">    (U1)ALERT_REQ_UNKNOWN</v>
      </c>
      <c r="AR30" s="57" t="str">
        <f t="shared" si="3"/>
        <v xml:space="preserve">    (U4)0x00000018U,                                                           /* 24 UNKNOWN                                         */</v>
      </c>
      <c r="AS30" s="57" t="str">
        <f t="shared" si="4"/>
        <v xml:space="preserve">    (U4)0x0000001FU,                                                           /* 24 UNKNOWN                                         */</v>
      </c>
      <c r="AT30" s="57" t="str">
        <f t="shared" si="1"/>
        <v xml:space="preserve">    (U1)ALERT_REQ_UNKNOWN,                                                     /* 24 UNKNOWN                                         */</v>
      </c>
    </row>
    <row r="31" spans="2:49">
      <c r="B31" s="127"/>
      <c r="C31" s="41">
        <f t="shared" si="2"/>
        <v>25</v>
      </c>
      <c r="D31" s="55" t="s">
        <v>67</v>
      </c>
      <c r="E31" s="55" t="s">
        <v>67</v>
      </c>
      <c r="F31" s="55" t="s">
        <v>67</v>
      </c>
      <c r="G31" s="55" t="s">
        <v>67</v>
      </c>
      <c r="H31" s="55" t="s">
        <v>67</v>
      </c>
      <c r="I31" s="55" t="s">
        <v>67</v>
      </c>
      <c r="J31" s="55" t="s">
        <v>67</v>
      </c>
      <c r="K31" s="55" t="s">
        <v>67</v>
      </c>
      <c r="L31" s="55" t="s">
        <v>67</v>
      </c>
      <c r="M31" s="55" t="s">
        <v>67</v>
      </c>
      <c r="N31" s="55" t="s">
        <v>67</v>
      </c>
      <c r="O31" s="55" t="s">
        <v>67</v>
      </c>
      <c r="P31" s="55" t="s">
        <v>67</v>
      </c>
      <c r="Q31" s="55" t="s">
        <v>67</v>
      </c>
      <c r="R31" s="55" t="s">
        <v>67</v>
      </c>
      <c r="S31" s="55" t="s">
        <v>67</v>
      </c>
      <c r="T31" s="55" t="s">
        <v>67</v>
      </c>
      <c r="U31" s="55" t="s">
        <v>67</v>
      </c>
      <c r="V31" s="55" t="s">
        <v>67</v>
      </c>
      <c r="W31" s="55" t="s">
        <v>67</v>
      </c>
      <c r="X31" s="55" t="s">
        <v>67</v>
      </c>
      <c r="Y31" s="55" t="s">
        <v>67</v>
      </c>
      <c r="Z31" s="55" t="s">
        <v>67</v>
      </c>
      <c r="AA31" s="55" t="s">
        <v>67</v>
      </c>
      <c r="AB31" s="55" t="s">
        <v>67</v>
      </c>
      <c r="AC31" s="55" t="s">
        <v>67</v>
      </c>
      <c r="AD31" s="55" t="s">
        <v>67</v>
      </c>
      <c r="AE31" s="125">
        <v>1</v>
      </c>
      <c r="AF31" s="125">
        <v>1</v>
      </c>
      <c r="AG31" s="125">
        <v>0</v>
      </c>
      <c r="AH31" s="125">
        <v>0</v>
      </c>
      <c r="AI31" s="125">
        <v>1</v>
      </c>
      <c r="AJ31" s="45" t="s">
        <v>105</v>
      </c>
      <c r="AL31" t="str">
        <f t="shared" si="0"/>
        <v xml:space="preserve">    (U1)ALERT_REQ_UNKNOWN</v>
      </c>
      <c r="AR31" s="57" t="str">
        <f t="shared" si="3"/>
        <v xml:space="preserve">    (U4)0x00000019U,                                                           /* 25 UNKNOWN                                         */</v>
      </c>
      <c r="AS31" s="57" t="str">
        <f t="shared" si="4"/>
        <v xml:space="preserve">    (U4)0x0000001FU,                                                           /* 25 UNKNOWN                                         */</v>
      </c>
      <c r="AT31" s="57" t="str">
        <f t="shared" si="1"/>
        <v xml:space="preserve">    (U1)ALERT_REQ_UNKNOWN,                                                     /* 25 UNKNOWN                                         */</v>
      </c>
    </row>
    <row r="32" spans="2:49">
      <c r="B32" s="127"/>
      <c r="C32" s="41">
        <f t="shared" si="2"/>
        <v>26</v>
      </c>
      <c r="D32" s="55" t="s">
        <v>67</v>
      </c>
      <c r="E32" s="55" t="s">
        <v>67</v>
      </c>
      <c r="F32" s="55" t="s">
        <v>67</v>
      </c>
      <c r="G32" s="55" t="s">
        <v>67</v>
      </c>
      <c r="H32" s="55" t="s">
        <v>67</v>
      </c>
      <c r="I32" s="55" t="s">
        <v>67</v>
      </c>
      <c r="J32" s="55" t="s">
        <v>67</v>
      </c>
      <c r="K32" s="55" t="s">
        <v>67</v>
      </c>
      <c r="L32" s="55" t="s">
        <v>67</v>
      </c>
      <c r="M32" s="55" t="s">
        <v>67</v>
      </c>
      <c r="N32" s="55" t="s">
        <v>67</v>
      </c>
      <c r="O32" s="55" t="s">
        <v>67</v>
      </c>
      <c r="P32" s="55" t="s">
        <v>67</v>
      </c>
      <c r="Q32" s="55" t="s">
        <v>67</v>
      </c>
      <c r="R32" s="55" t="s">
        <v>67</v>
      </c>
      <c r="S32" s="55" t="s">
        <v>67</v>
      </c>
      <c r="T32" s="55" t="s">
        <v>67</v>
      </c>
      <c r="U32" s="55" t="s">
        <v>67</v>
      </c>
      <c r="V32" s="55" t="s">
        <v>67</v>
      </c>
      <c r="W32" s="55" t="s">
        <v>67</v>
      </c>
      <c r="X32" s="55" t="s">
        <v>67</v>
      </c>
      <c r="Y32" s="55" t="s">
        <v>67</v>
      </c>
      <c r="Z32" s="55" t="s">
        <v>67</v>
      </c>
      <c r="AA32" s="55" t="s">
        <v>67</v>
      </c>
      <c r="AB32" s="55" t="s">
        <v>67</v>
      </c>
      <c r="AC32" s="55" t="s">
        <v>67</v>
      </c>
      <c r="AD32" s="55" t="s">
        <v>67</v>
      </c>
      <c r="AE32" s="125">
        <v>1</v>
      </c>
      <c r="AF32" s="125">
        <v>1</v>
      </c>
      <c r="AG32" s="125">
        <v>0</v>
      </c>
      <c r="AH32" s="125">
        <v>1</v>
      </c>
      <c r="AI32" s="125">
        <v>0</v>
      </c>
      <c r="AJ32" s="45" t="s">
        <v>105</v>
      </c>
      <c r="AL32" t="str">
        <f t="shared" si="0"/>
        <v xml:space="preserve">    (U1)ALERT_REQ_UNKNOWN</v>
      </c>
      <c r="AR32" s="57" t="str">
        <f t="shared" si="3"/>
        <v xml:space="preserve">    (U4)0x0000001AU,                                                           /* 26 UNKNOWN                                         */</v>
      </c>
      <c r="AS32" s="57" t="str">
        <f t="shared" si="4"/>
        <v xml:space="preserve">    (U4)0x0000001FU,                                                           /* 26 UNKNOWN                                         */</v>
      </c>
      <c r="AT32" s="57" t="str">
        <f t="shared" si="1"/>
        <v xml:space="preserve">    (U1)ALERT_REQ_UNKNOWN,                                                     /* 26 UNKNOWN                                         */</v>
      </c>
    </row>
    <row r="33" spans="2:46">
      <c r="B33" s="127"/>
      <c r="C33" s="41">
        <f t="shared" si="2"/>
        <v>27</v>
      </c>
      <c r="D33" s="55" t="s">
        <v>67</v>
      </c>
      <c r="E33" s="55" t="s">
        <v>67</v>
      </c>
      <c r="F33" s="55" t="s">
        <v>67</v>
      </c>
      <c r="G33" s="55" t="s">
        <v>67</v>
      </c>
      <c r="H33" s="55" t="s">
        <v>67</v>
      </c>
      <c r="I33" s="55" t="s">
        <v>67</v>
      </c>
      <c r="J33" s="55" t="s">
        <v>67</v>
      </c>
      <c r="K33" s="55" t="s">
        <v>67</v>
      </c>
      <c r="L33" s="55" t="s">
        <v>67</v>
      </c>
      <c r="M33" s="55" t="s">
        <v>67</v>
      </c>
      <c r="N33" s="55" t="s">
        <v>67</v>
      </c>
      <c r="O33" s="55" t="s">
        <v>67</v>
      </c>
      <c r="P33" s="55" t="s">
        <v>67</v>
      </c>
      <c r="Q33" s="55" t="s">
        <v>67</v>
      </c>
      <c r="R33" s="55" t="s">
        <v>67</v>
      </c>
      <c r="S33" s="55" t="s">
        <v>67</v>
      </c>
      <c r="T33" s="55" t="s">
        <v>67</v>
      </c>
      <c r="U33" s="55" t="s">
        <v>67</v>
      </c>
      <c r="V33" s="55" t="s">
        <v>67</v>
      </c>
      <c r="W33" s="55" t="s">
        <v>67</v>
      </c>
      <c r="X33" s="55" t="s">
        <v>67</v>
      </c>
      <c r="Y33" s="55" t="s">
        <v>67</v>
      </c>
      <c r="Z33" s="55" t="s">
        <v>67</v>
      </c>
      <c r="AA33" s="55" t="s">
        <v>67</v>
      </c>
      <c r="AB33" s="55" t="s">
        <v>67</v>
      </c>
      <c r="AC33" s="55" t="s">
        <v>67</v>
      </c>
      <c r="AD33" s="55" t="s">
        <v>67</v>
      </c>
      <c r="AE33" s="125">
        <v>1</v>
      </c>
      <c r="AF33" s="125">
        <v>1</v>
      </c>
      <c r="AG33" s="125">
        <v>0</v>
      </c>
      <c r="AH33" s="125">
        <v>1</v>
      </c>
      <c r="AI33" s="125">
        <v>1</v>
      </c>
      <c r="AJ33" s="45" t="s">
        <v>105</v>
      </c>
      <c r="AL33" t="str">
        <f t="shared" si="0"/>
        <v xml:space="preserve">    (U1)ALERT_REQ_UNKNOWN</v>
      </c>
      <c r="AR33" s="57" t="str">
        <f t="shared" si="3"/>
        <v xml:space="preserve">    (U4)0x0000001BU,                                                           /* 27 UNKNOWN                                         */</v>
      </c>
      <c r="AS33" s="57" t="str">
        <f t="shared" si="4"/>
        <v xml:space="preserve">    (U4)0x0000001FU,                                                           /* 27 UNKNOWN                                         */</v>
      </c>
      <c r="AT33" s="57" t="str">
        <f t="shared" si="1"/>
        <v xml:space="preserve">    (U1)ALERT_REQ_UNKNOWN,                                                     /* 27 UNKNOWN                                         */</v>
      </c>
    </row>
    <row r="34" spans="2:46">
      <c r="B34" s="127"/>
      <c r="C34" s="41">
        <f t="shared" si="2"/>
        <v>28</v>
      </c>
      <c r="D34" s="55" t="s">
        <v>67</v>
      </c>
      <c r="E34" s="55" t="s">
        <v>67</v>
      </c>
      <c r="F34" s="55" t="s">
        <v>67</v>
      </c>
      <c r="G34" s="55" t="s">
        <v>67</v>
      </c>
      <c r="H34" s="55" t="s">
        <v>67</v>
      </c>
      <c r="I34" s="55" t="s">
        <v>67</v>
      </c>
      <c r="J34" s="55" t="s">
        <v>67</v>
      </c>
      <c r="K34" s="55" t="s">
        <v>67</v>
      </c>
      <c r="L34" s="55" t="s">
        <v>67</v>
      </c>
      <c r="M34" s="55" t="s">
        <v>67</v>
      </c>
      <c r="N34" s="55" t="s">
        <v>67</v>
      </c>
      <c r="O34" s="55" t="s">
        <v>67</v>
      </c>
      <c r="P34" s="55" t="s">
        <v>67</v>
      </c>
      <c r="Q34" s="55" t="s">
        <v>67</v>
      </c>
      <c r="R34" s="55" t="s">
        <v>67</v>
      </c>
      <c r="S34" s="55" t="s">
        <v>67</v>
      </c>
      <c r="T34" s="55" t="s">
        <v>67</v>
      </c>
      <c r="U34" s="55" t="s">
        <v>67</v>
      </c>
      <c r="V34" s="55" t="s">
        <v>67</v>
      </c>
      <c r="W34" s="55" t="s">
        <v>67</v>
      </c>
      <c r="X34" s="55" t="s">
        <v>67</v>
      </c>
      <c r="Y34" s="55" t="s">
        <v>67</v>
      </c>
      <c r="Z34" s="55" t="s">
        <v>67</v>
      </c>
      <c r="AA34" s="55" t="s">
        <v>67</v>
      </c>
      <c r="AB34" s="55" t="s">
        <v>67</v>
      </c>
      <c r="AC34" s="55" t="s">
        <v>67</v>
      </c>
      <c r="AD34" s="55" t="s">
        <v>67</v>
      </c>
      <c r="AE34" s="125">
        <v>1</v>
      </c>
      <c r="AF34" s="125">
        <v>1</v>
      </c>
      <c r="AG34" s="125">
        <v>1</v>
      </c>
      <c r="AH34" s="125">
        <v>0</v>
      </c>
      <c r="AI34" s="125">
        <v>0</v>
      </c>
      <c r="AJ34" s="45" t="s">
        <v>105</v>
      </c>
      <c r="AL34" t="str">
        <f t="shared" si="0"/>
        <v xml:space="preserve">    (U1)ALERT_REQ_UNKNOWN</v>
      </c>
      <c r="AR34" s="57" t="str">
        <f t="shared" si="3"/>
        <v xml:space="preserve">    (U4)0x0000001CU,                                                           /* 28 UNKNOWN                                         */</v>
      </c>
      <c r="AS34" s="57" t="str">
        <f t="shared" si="4"/>
        <v xml:space="preserve">    (U4)0x0000001FU,                                                           /* 28 UNKNOWN                                         */</v>
      </c>
      <c r="AT34" s="57" t="str">
        <f t="shared" si="1"/>
        <v xml:space="preserve">    (U1)ALERT_REQ_UNKNOWN,                                                     /* 28 UNKNOWN                                         */</v>
      </c>
    </row>
    <row r="35" spans="2:46">
      <c r="B35" s="127"/>
      <c r="C35" s="41">
        <f t="shared" si="2"/>
        <v>29</v>
      </c>
      <c r="D35" s="55" t="s">
        <v>67</v>
      </c>
      <c r="E35" s="55" t="s">
        <v>67</v>
      </c>
      <c r="F35" s="55" t="s">
        <v>67</v>
      </c>
      <c r="G35" s="55" t="s">
        <v>67</v>
      </c>
      <c r="H35" s="55" t="s">
        <v>67</v>
      </c>
      <c r="I35" s="55" t="s">
        <v>67</v>
      </c>
      <c r="J35" s="55" t="s">
        <v>67</v>
      </c>
      <c r="K35" s="55" t="s">
        <v>67</v>
      </c>
      <c r="L35" s="55" t="s">
        <v>67</v>
      </c>
      <c r="M35" s="55" t="s">
        <v>67</v>
      </c>
      <c r="N35" s="55" t="s">
        <v>67</v>
      </c>
      <c r="O35" s="55" t="s">
        <v>67</v>
      </c>
      <c r="P35" s="55" t="s">
        <v>67</v>
      </c>
      <c r="Q35" s="55" t="s">
        <v>67</v>
      </c>
      <c r="R35" s="55" t="s">
        <v>67</v>
      </c>
      <c r="S35" s="55" t="s">
        <v>67</v>
      </c>
      <c r="T35" s="55" t="s">
        <v>67</v>
      </c>
      <c r="U35" s="55" t="s">
        <v>67</v>
      </c>
      <c r="V35" s="55" t="s">
        <v>67</v>
      </c>
      <c r="W35" s="55" t="s">
        <v>67</v>
      </c>
      <c r="X35" s="55" t="s">
        <v>67</v>
      </c>
      <c r="Y35" s="55" t="s">
        <v>67</v>
      </c>
      <c r="Z35" s="55" t="s">
        <v>67</v>
      </c>
      <c r="AA35" s="55" t="s">
        <v>67</v>
      </c>
      <c r="AB35" s="55" t="s">
        <v>67</v>
      </c>
      <c r="AC35" s="55" t="s">
        <v>67</v>
      </c>
      <c r="AD35" s="55" t="s">
        <v>67</v>
      </c>
      <c r="AE35" s="125">
        <v>1</v>
      </c>
      <c r="AF35" s="125">
        <v>1</v>
      </c>
      <c r="AG35" s="125">
        <v>1</v>
      </c>
      <c r="AH35" s="125">
        <v>0</v>
      </c>
      <c r="AI35" s="125">
        <v>1</v>
      </c>
      <c r="AJ35" s="45" t="s">
        <v>105</v>
      </c>
      <c r="AL35" t="str">
        <f t="shared" si="0"/>
        <v xml:space="preserve">    (U1)ALERT_REQ_UNKNOWN</v>
      </c>
      <c r="AR35" s="57" t="str">
        <f t="shared" si="3"/>
        <v xml:space="preserve">    (U4)0x0000001DU,                                                           /* 29 UNKNOWN                                         */</v>
      </c>
      <c r="AS35" s="57" t="str">
        <f t="shared" si="4"/>
        <v xml:space="preserve">    (U4)0x0000001FU,                                                           /* 29 UNKNOWN                                         */</v>
      </c>
      <c r="AT35" s="57" t="str">
        <f t="shared" si="1"/>
        <v xml:space="preserve">    (U1)ALERT_REQ_UNKNOWN,                                                     /* 29 UNKNOWN                                         */</v>
      </c>
    </row>
    <row r="36" spans="2:46">
      <c r="B36" s="127"/>
      <c r="C36" s="41">
        <f t="shared" si="2"/>
        <v>30</v>
      </c>
      <c r="D36" s="55" t="s">
        <v>67</v>
      </c>
      <c r="E36" s="55" t="s">
        <v>67</v>
      </c>
      <c r="F36" s="55" t="s">
        <v>67</v>
      </c>
      <c r="G36" s="55" t="s">
        <v>67</v>
      </c>
      <c r="H36" s="55" t="s">
        <v>67</v>
      </c>
      <c r="I36" s="55" t="s">
        <v>67</v>
      </c>
      <c r="J36" s="55" t="s">
        <v>67</v>
      </c>
      <c r="K36" s="55" t="s">
        <v>67</v>
      </c>
      <c r="L36" s="55" t="s">
        <v>67</v>
      </c>
      <c r="M36" s="55" t="s">
        <v>67</v>
      </c>
      <c r="N36" s="55" t="s">
        <v>67</v>
      </c>
      <c r="O36" s="55" t="s">
        <v>67</v>
      </c>
      <c r="P36" s="55" t="s">
        <v>67</v>
      </c>
      <c r="Q36" s="55" t="s">
        <v>67</v>
      </c>
      <c r="R36" s="55" t="s">
        <v>67</v>
      </c>
      <c r="S36" s="55" t="s">
        <v>67</v>
      </c>
      <c r="T36" s="55" t="s">
        <v>67</v>
      </c>
      <c r="U36" s="55" t="s">
        <v>67</v>
      </c>
      <c r="V36" s="55" t="s">
        <v>67</v>
      </c>
      <c r="W36" s="55" t="s">
        <v>67</v>
      </c>
      <c r="X36" s="55" t="s">
        <v>67</v>
      </c>
      <c r="Y36" s="55" t="s">
        <v>67</v>
      </c>
      <c r="Z36" s="55" t="s">
        <v>67</v>
      </c>
      <c r="AA36" s="55" t="s">
        <v>67</v>
      </c>
      <c r="AB36" s="55" t="s">
        <v>67</v>
      </c>
      <c r="AC36" s="55" t="s">
        <v>67</v>
      </c>
      <c r="AD36" s="55" t="s">
        <v>67</v>
      </c>
      <c r="AE36" s="125">
        <v>1</v>
      </c>
      <c r="AF36" s="125">
        <v>1</v>
      </c>
      <c r="AG36" s="125">
        <v>1</v>
      </c>
      <c r="AH36" s="125">
        <v>1</v>
      </c>
      <c r="AI36" s="125">
        <v>0</v>
      </c>
      <c r="AJ36" s="45" t="s">
        <v>105</v>
      </c>
      <c r="AL36" t="str">
        <f t="shared" si="0"/>
        <v xml:space="preserve">    (U1)ALERT_REQ_UNKNOWN</v>
      </c>
      <c r="AR36" s="57" t="str">
        <f t="shared" si="3"/>
        <v xml:space="preserve">    (U4)0x0000001EU,                                                           /* 30 UNKNOWN                                         */</v>
      </c>
      <c r="AS36" s="57" t="str">
        <f t="shared" si="4"/>
        <v xml:space="preserve">    (U4)0x0000001FU,                                                           /* 30 UNKNOWN                                         */</v>
      </c>
      <c r="AT36" s="57" t="str">
        <f t="shared" si="1"/>
        <v xml:space="preserve">    (U1)ALERT_REQ_UNKNOWN,                                                     /* 30 UNKNOWN                                         */</v>
      </c>
    </row>
    <row r="37" spans="2:46">
      <c r="B37" s="127"/>
      <c r="C37" s="41">
        <f t="shared" si="2"/>
        <v>31</v>
      </c>
      <c r="D37" s="55" t="s">
        <v>67</v>
      </c>
      <c r="E37" s="55" t="s">
        <v>67</v>
      </c>
      <c r="F37" s="55" t="s">
        <v>67</v>
      </c>
      <c r="G37" s="55" t="s">
        <v>67</v>
      </c>
      <c r="H37" s="55" t="s">
        <v>67</v>
      </c>
      <c r="I37" s="55" t="s">
        <v>67</v>
      </c>
      <c r="J37" s="55" t="s">
        <v>67</v>
      </c>
      <c r="K37" s="55" t="s">
        <v>67</v>
      </c>
      <c r="L37" s="55" t="s">
        <v>67</v>
      </c>
      <c r="M37" s="55" t="s">
        <v>67</v>
      </c>
      <c r="N37" s="55" t="s">
        <v>67</v>
      </c>
      <c r="O37" s="55" t="s">
        <v>67</v>
      </c>
      <c r="P37" s="55" t="s">
        <v>67</v>
      </c>
      <c r="Q37" s="55" t="s">
        <v>67</v>
      </c>
      <c r="R37" s="55" t="s">
        <v>67</v>
      </c>
      <c r="S37" s="55" t="s">
        <v>67</v>
      </c>
      <c r="T37" s="55" t="s">
        <v>67</v>
      </c>
      <c r="U37" s="55" t="s">
        <v>67</v>
      </c>
      <c r="V37" s="55" t="s">
        <v>67</v>
      </c>
      <c r="W37" s="55" t="s">
        <v>67</v>
      </c>
      <c r="X37" s="55" t="s">
        <v>67</v>
      </c>
      <c r="Y37" s="55" t="s">
        <v>67</v>
      </c>
      <c r="Z37" s="55" t="s">
        <v>67</v>
      </c>
      <c r="AA37" s="55" t="s">
        <v>67</v>
      </c>
      <c r="AB37" s="55" t="s">
        <v>67</v>
      </c>
      <c r="AC37" s="55" t="s">
        <v>67</v>
      </c>
      <c r="AD37" s="55" t="s">
        <v>67</v>
      </c>
      <c r="AE37" s="125">
        <v>1</v>
      </c>
      <c r="AF37" s="125">
        <v>1</v>
      </c>
      <c r="AG37" s="125">
        <v>1</v>
      </c>
      <c r="AH37" s="125">
        <v>1</v>
      </c>
      <c r="AI37" s="125">
        <v>1</v>
      </c>
      <c r="AJ37" s="45" t="s">
        <v>105</v>
      </c>
      <c r="AL37" t="str">
        <f t="shared" si="0"/>
        <v xml:space="preserve">    (U1)ALERT_REQ_UNKNOWN</v>
      </c>
      <c r="AR37" s="57" t="str">
        <f t="shared" si="3"/>
        <v xml:space="preserve">    (U4)0x0000001FU                                                            /* 31 UNKNOWN                                         */</v>
      </c>
      <c r="AS37" s="57" t="str">
        <f t="shared" si="4"/>
        <v xml:space="preserve">    (U4)0x0000001FU                                                            /* 31 UNKNOWN                                         */</v>
      </c>
      <c r="AT37" s="57" t="str">
        <f t="shared" si="1"/>
        <v xml:space="preserve">    (U1)ALERT_REQ_UNKNOWN                                                      /* 31 UNKNOWN                                         */</v>
      </c>
    </row>
    <row r="38" spans="2:46">
      <c r="B38" s="127"/>
      <c r="C38" s="41">
        <f t="shared" si="2"/>
        <v>32</v>
      </c>
      <c r="D38" s="55" t="s">
        <v>67</v>
      </c>
      <c r="E38" s="55" t="s">
        <v>67</v>
      </c>
      <c r="F38" s="55" t="s">
        <v>67</v>
      </c>
      <c r="G38" s="55" t="s">
        <v>67</v>
      </c>
      <c r="H38" s="55" t="s">
        <v>67</v>
      </c>
      <c r="I38" s="55" t="s">
        <v>67</v>
      </c>
      <c r="J38" s="55" t="s">
        <v>67</v>
      </c>
      <c r="K38" s="55" t="s">
        <v>67</v>
      </c>
      <c r="L38" s="55" t="s">
        <v>67</v>
      </c>
      <c r="M38" s="55" t="s">
        <v>67</v>
      </c>
      <c r="N38" s="55" t="s">
        <v>67</v>
      </c>
      <c r="O38" s="55" t="s">
        <v>67</v>
      </c>
      <c r="P38" s="55" t="s">
        <v>67</v>
      </c>
      <c r="Q38" s="55" t="s">
        <v>67</v>
      </c>
      <c r="R38" s="55" t="s">
        <v>67</v>
      </c>
      <c r="S38" s="55" t="s">
        <v>67</v>
      </c>
      <c r="T38" s="55" t="s">
        <v>67</v>
      </c>
      <c r="U38" s="55" t="s">
        <v>67</v>
      </c>
      <c r="V38" s="55" t="s">
        <v>67</v>
      </c>
      <c r="W38" s="55" t="s">
        <v>67</v>
      </c>
      <c r="X38" s="55" t="s">
        <v>67</v>
      </c>
      <c r="Y38" s="55" t="s">
        <v>67</v>
      </c>
      <c r="Z38" s="55" t="s">
        <v>67</v>
      </c>
      <c r="AA38" s="55" t="s">
        <v>67</v>
      </c>
      <c r="AB38" s="55" t="s">
        <v>67</v>
      </c>
      <c r="AC38" s="55" t="s">
        <v>67</v>
      </c>
      <c r="AD38" s="55" t="s">
        <v>67</v>
      </c>
      <c r="AE38" s="55" t="s">
        <v>67</v>
      </c>
      <c r="AF38" s="55" t="s">
        <v>67</v>
      </c>
      <c r="AG38" s="55" t="s">
        <v>67</v>
      </c>
      <c r="AH38" s="55" t="s">
        <v>67</v>
      </c>
      <c r="AI38" s="55" t="s">
        <v>67</v>
      </c>
      <c r="AJ38" s="23"/>
      <c r="AL38" t="str">
        <f t="shared" ca="1" si="0"/>
        <v xml:space="preserve">    (U1)ALERT_REQ_B_ESWUOC_PDB_</v>
      </c>
      <c r="AR38" s="57" t="str">
        <f t="shared" si="3"/>
        <v>};</v>
      </c>
      <c r="AS38" s="57" t="str">
        <f t="shared" si="4"/>
        <v>};</v>
      </c>
      <c r="AT38" s="57" t="str">
        <f t="shared" si="1"/>
        <v>};</v>
      </c>
    </row>
    <row r="39" spans="2:46">
      <c r="B39" s="127"/>
      <c r="C39" s="41">
        <f t="shared" si="2"/>
        <v>33</v>
      </c>
      <c r="D39" s="55" t="s">
        <v>67</v>
      </c>
      <c r="E39" s="55" t="s">
        <v>67</v>
      </c>
      <c r="F39" s="55" t="s">
        <v>67</v>
      </c>
      <c r="G39" s="55" t="s">
        <v>67</v>
      </c>
      <c r="H39" s="55" t="s">
        <v>67</v>
      </c>
      <c r="I39" s="55" t="s">
        <v>67</v>
      </c>
      <c r="J39" s="55" t="s">
        <v>67</v>
      </c>
      <c r="K39" s="55" t="s">
        <v>67</v>
      </c>
      <c r="L39" s="55" t="s">
        <v>67</v>
      </c>
      <c r="M39" s="55" t="s">
        <v>67</v>
      </c>
      <c r="N39" s="55" t="s">
        <v>67</v>
      </c>
      <c r="O39" s="55" t="s">
        <v>67</v>
      </c>
      <c r="P39" s="55" t="s">
        <v>67</v>
      </c>
      <c r="Q39" s="55" t="s">
        <v>67</v>
      </c>
      <c r="R39" s="55" t="s">
        <v>67</v>
      </c>
      <c r="S39" s="55" t="s">
        <v>67</v>
      </c>
      <c r="T39" s="55" t="s">
        <v>67</v>
      </c>
      <c r="U39" s="55" t="s">
        <v>67</v>
      </c>
      <c r="V39" s="55" t="s">
        <v>67</v>
      </c>
      <c r="W39" s="55" t="s">
        <v>67</v>
      </c>
      <c r="X39" s="55" t="s">
        <v>67</v>
      </c>
      <c r="Y39" s="55" t="s">
        <v>67</v>
      </c>
      <c r="Z39" s="55" t="s">
        <v>67</v>
      </c>
      <c r="AA39" s="55" t="s">
        <v>67</v>
      </c>
      <c r="AB39" s="55" t="s">
        <v>67</v>
      </c>
      <c r="AC39" s="55" t="s">
        <v>67</v>
      </c>
      <c r="AD39" s="55" t="s">
        <v>67</v>
      </c>
      <c r="AE39" s="55" t="s">
        <v>67</v>
      </c>
      <c r="AF39" s="55" t="s">
        <v>67</v>
      </c>
      <c r="AG39" s="55" t="s">
        <v>67</v>
      </c>
      <c r="AH39" s="55" t="s">
        <v>67</v>
      </c>
      <c r="AI39" s="55" t="s">
        <v>67</v>
      </c>
      <c r="AJ39" s="23"/>
      <c r="AL39" t="str">
        <f t="shared" ca="1" si="0"/>
        <v xml:space="preserve">    (U1)ALERT_REQ_B_ESWUOC_PDB_</v>
      </c>
      <c r="AR39" s="57" t="str">
        <f t="shared" si="3"/>
        <v/>
      </c>
      <c r="AS39" s="57" t="str">
        <f t="shared" si="4"/>
        <v/>
      </c>
      <c r="AT39" s="57" t="str">
        <f t="shared" si="1"/>
        <v/>
      </c>
    </row>
    <row r="40" spans="2:46">
      <c r="B40" s="127"/>
      <c r="C40" s="41">
        <f t="shared" si="2"/>
        <v>34</v>
      </c>
      <c r="D40" s="55" t="s">
        <v>67</v>
      </c>
      <c r="E40" s="55" t="s">
        <v>67</v>
      </c>
      <c r="F40" s="55" t="s">
        <v>67</v>
      </c>
      <c r="G40" s="55" t="s">
        <v>67</v>
      </c>
      <c r="H40" s="55" t="s">
        <v>67</v>
      </c>
      <c r="I40" s="55" t="s">
        <v>67</v>
      </c>
      <c r="J40" s="55" t="s">
        <v>67</v>
      </c>
      <c r="K40" s="55" t="s">
        <v>67</v>
      </c>
      <c r="L40" s="55" t="s">
        <v>67</v>
      </c>
      <c r="M40" s="55" t="s">
        <v>67</v>
      </c>
      <c r="N40" s="55" t="s">
        <v>67</v>
      </c>
      <c r="O40" s="55" t="s">
        <v>67</v>
      </c>
      <c r="P40" s="55" t="s">
        <v>67</v>
      </c>
      <c r="Q40" s="55" t="s">
        <v>67</v>
      </c>
      <c r="R40" s="55" t="s">
        <v>67</v>
      </c>
      <c r="S40" s="55" t="s">
        <v>67</v>
      </c>
      <c r="T40" s="55" t="s">
        <v>67</v>
      </c>
      <c r="U40" s="55" t="s">
        <v>67</v>
      </c>
      <c r="V40" s="55" t="s">
        <v>67</v>
      </c>
      <c r="W40" s="55" t="s">
        <v>67</v>
      </c>
      <c r="X40" s="55" t="s">
        <v>67</v>
      </c>
      <c r="Y40" s="55" t="s">
        <v>67</v>
      </c>
      <c r="Z40" s="55" t="s">
        <v>67</v>
      </c>
      <c r="AA40" s="55" t="s">
        <v>67</v>
      </c>
      <c r="AB40" s="55" t="s">
        <v>67</v>
      </c>
      <c r="AC40" s="55" t="s">
        <v>67</v>
      </c>
      <c r="AD40" s="55" t="s">
        <v>67</v>
      </c>
      <c r="AE40" s="55" t="s">
        <v>67</v>
      </c>
      <c r="AF40" s="55" t="s">
        <v>67</v>
      </c>
      <c r="AG40" s="55" t="s">
        <v>67</v>
      </c>
      <c r="AH40" s="55" t="s">
        <v>67</v>
      </c>
      <c r="AI40" s="55" t="s">
        <v>67</v>
      </c>
      <c r="AJ40" s="23"/>
      <c r="AL40" t="str">
        <f t="shared" ca="1" si="0"/>
        <v xml:space="preserve">    (U1)ALERT_REQ_B_ESWUOC_PDB_</v>
      </c>
      <c r="AR40" s="57" t="str">
        <f t="shared" si="3"/>
        <v/>
      </c>
      <c r="AS40" s="57" t="str">
        <f t="shared" si="4"/>
        <v/>
      </c>
      <c r="AT40" s="57" t="str">
        <f t="shared" si="1"/>
        <v/>
      </c>
    </row>
    <row r="41" spans="2:46">
      <c r="B41" s="127"/>
      <c r="C41" s="41">
        <f t="shared" si="2"/>
        <v>35</v>
      </c>
      <c r="D41" s="55" t="s">
        <v>67</v>
      </c>
      <c r="E41" s="55" t="s">
        <v>67</v>
      </c>
      <c r="F41" s="55" t="s">
        <v>67</v>
      </c>
      <c r="G41" s="55" t="s">
        <v>67</v>
      </c>
      <c r="H41" s="55" t="s">
        <v>67</v>
      </c>
      <c r="I41" s="55" t="s">
        <v>67</v>
      </c>
      <c r="J41" s="55" t="s">
        <v>67</v>
      </c>
      <c r="K41" s="55" t="s">
        <v>67</v>
      </c>
      <c r="L41" s="55" t="s">
        <v>67</v>
      </c>
      <c r="M41" s="55" t="s">
        <v>67</v>
      </c>
      <c r="N41" s="55" t="s">
        <v>67</v>
      </c>
      <c r="O41" s="55" t="s">
        <v>67</v>
      </c>
      <c r="P41" s="55" t="s">
        <v>67</v>
      </c>
      <c r="Q41" s="55" t="s">
        <v>67</v>
      </c>
      <c r="R41" s="55" t="s">
        <v>67</v>
      </c>
      <c r="S41" s="55" t="s">
        <v>67</v>
      </c>
      <c r="T41" s="55" t="s">
        <v>67</v>
      </c>
      <c r="U41" s="55" t="s">
        <v>67</v>
      </c>
      <c r="V41" s="55" t="s">
        <v>67</v>
      </c>
      <c r="W41" s="55" t="s">
        <v>67</v>
      </c>
      <c r="X41" s="55" t="s">
        <v>67</v>
      </c>
      <c r="Y41" s="55" t="s">
        <v>67</v>
      </c>
      <c r="Z41" s="55" t="s">
        <v>67</v>
      </c>
      <c r="AA41" s="55" t="s">
        <v>67</v>
      </c>
      <c r="AB41" s="55" t="s">
        <v>67</v>
      </c>
      <c r="AC41" s="55" t="s">
        <v>67</v>
      </c>
      <c r="AD41" s="55" t="s">
        <v>67</v>
      </c>
      <c r="AE41" s="55" t="s">
        <v>67</v>
      </c>
      <c r="AF41" s="55" t="s">
        <v>67</v>
      </c>
      <c r="AG41" s="55" t="s">
        <v>67</v>
      </c>
      <c r="AH41" s="55" t="s">
        <v>67</v>
      </c>
      <c r="AI41" s="55" t="s">
        <v>67</v>
      </c>
      <c r="AJ41" s="23"/>
      <c r="AL41" t="str">
        <f t="shared" ca="1" si="0"/>
        <v xml:space="preserve">    (U1)ALERT_REQ_B_ESWUOC_PDB_</v>
      </c>
      <c r="AR41" s="57" t="str">
        <f t="shared" si="3"/>
        <v/>
      </c>
      <c r="AS41" s="57" t="str">
        <f t="shared" si="4"/>
        <v/>
      </c>
      <c r="AT41" s="57" t="str">
        <f t="shared" si="1"/>
        <v/>
      </c>
    </row>
    <row r="42" spans="2:46">
      <c r="B42" s="127"/>
      <c r="C42" s="41">
        <f t="shared" si="2"/>
        <v>36</v>
      </c>
      <c r="D42" s="55" t="s">
        <v>67</v>
      </c>
      <c r="E42" s="55" t="s">
        <v>67</v>
      </c>
      <c r="F42" s="55" t="s">
        <v>67</v>
      </c>
      <c r="G42" s="55" t="s">
        <v>67</v>
      </c>
      <c r="H42" s="55" t="s">
        <v>67</v>
      </c>
      <c r="I42" s="55" t="s">
        <v>67</v>
      </c>
      <c r="J42" s="55" t="s">
        <v>67</v>
      </c>
      <c r="K42" s="55" t="s">
        <v>67</v>
      </c>
      <c r="L42" s="55" t="s">
        <v>67</v>
      </c>
      <c r="M42" s="55" t="s">
        <v>67</v>
      </c>
      <c r="N42" s="55" t="s">
        <v>67</v>
      </c>
      <c r="O42" s="55" t="s">
        <v>67</v>
      </c>
      <c r="P42" s="55" t="s">
        <v>67</v>
      </c>
      <c r="Q42" s="55" t="s">
        <v>67</v>
      </c>
      <c r="R42" s="55" t="s">
        <v>67</v>
      </c>
      <c r="S42" s="55" t="s">
        <v>67</v>
      </c>
      <c r="T42" s="55" t="s">
        <v>67</v>
      </c>
      <c r="U42" s="55" t="s">
        <v>67</v>
      </c>
      <c r="V42" s="55" t="s">
        <v>67</v>
      </c>
      <c r="W42" s="55" t="s">
        <v>67</v>
      </c>
      <c r="X42" s="55" t="s">
        <v>67</v>
      </c>
      <c r="Y42" s="55" t="s">
        <v>67</v>
      </c>
      <c r="Z42" s="55" t="s">
        <v>67</v>
      </c>
      <c r="AA42" s="55" t="s">
        <v>67</v>
      </c>
      <c r="AB42" s="55" t="s">
        <v>67</v>
      </c>
      <c r="AC42" s="55" t="s">
        <v>67</v>
      </c>
      <c r="AD42" s="55" t="s">
        <v>67</v>
      </c>
      <c r="AE42" s="55" t="s">
        <v>67</v>
      </c>
      <c r="AF42" s="55" t="s">
        <v>67</v>
      </c>
      <c r="AG42" s="55" t="s">
        <v>67</v>
      </c>
      <c r="AH42" s="55" t="s">
        <v>67</v>
      </c>
      <c r="AI42" s="55" t="s">
        <v>67</v>
      </c>
      <c r="AJ42" s="23"/>
      <c r="AL42" t="str">
        <f t="shared" ca="1" si="0"/>
        <v xml:space="preserve">    (U1)ALERT_REQ_B_ESWUOC_PDB_</v>
      </c>
      <c r="AR42" s="57" t="str">
        <f t="shared" si="3"/>
        <v/>
      </c>
      <c r="AS42" s="57" t="str">
        <f t="shared" si="4"/>
        <v/>
      </c>
      <c r="AT42" s="57" t="str">
        <f t="shared" si="1"/>
        <v/>
      </c>
    </row>
    <row r="43" spans="2:46">
      <c r="B43" s="127"/>
      <c r="C43" s="41">
        <f t="shared" si="2"/>
        <v>37</v>
      </c>
      <c r="D43" s="55" t="s">
        <v>67</v>
      </c>
      <c r="E43" s="55" t="s">
        <v>67</v>
      </c>
      <c r="F43" s="55" t="s">
        <v>67</v>
      </c>
      <c r="G43" s="55" t="s">
        <v>67</v>
      </c>
      <c r="H43" s="55" t="s">
        <v>67</v>
      </c>
      <c r="I43" s="55" t="s">
        <v>67</v>
      </c>
      <c r="J43" s="55" t="s">
        <v>67</v>
      </c>
      <c r="K43" s="55" t="s">
        <v>67</v>
      </c>
      <c r="L43" s="55" t="s">
        <v>67</v>
      </c>
      <c r="M43" s="55" t="s">
        <v>67</v>
      </c>
      <c r="N43" s="55" t="s">
        <v>67</v>
      </c>
      <c r="O43" s="55" t="s">
        <v>67</v>
      </c>
      <c r="P43" s="55" t="s">
        <v>67</v>
      </c>
      <c r="Q43" s="55" t="s">
        <v>67</v>
      </c>
      <c r="R43" s="55" t="s">
        <v>67</v>
      </c>
      <c r="S43" s="55" t="s">
        <v>67</v>
      </c>
      <c r="T43" s="55" t="s">
        <v>67</v>
      </c>
      <c r="U43" s="55" t="s">
        <v>67</v>
      </c>
      <c r="V43" s="55" t="s">
        <v>67</v>
      </c>
      <c r="W43" s="55" t="s">
        <v>67</v>
      </c>
      <c r="X43" s="55" t="s">
        <v>67</v>
      </c>
      <c r="Y43" s="55" t="s">
        <v>67</v>
      </c>
      <c r="Z43" s="55" t="s">
        <v>67</v>
      </c>
      <c r="AA43" s="55" t="s">
        <v>67</v>
      </c>
      <c r="AB43" s="55" t="s">
        <v>67</v>
      </c>
      <c r="AC43" s="55" t="s">
        <v>67</v>
      </c>
      <c r="AD43" s="55" t="s">
        <v>67</v>
      </c>
      <c r="AE43" s="55" t="s">
        <v>67</v>
      </c>
      <c r="AF43" s="55" t="s">
        <v>67</v>
      </c>
      <c r="AG43" s="55" t="s">
        <v>67</v>
      </c>
      <c r="AH43" s="55" t="s">
        <v>67</v>
      </c>
      <c r="AI43" s="55" t="s">
        <v>67</v>
      </c>
      <c r="AJ43" s="23"/>
      <c r="AL43" t="str">
        <f t="shared" ca="1" si="0"/>
        <v xml:space="preserve">    (U1)ALERT_REQ_B_ESWUOC_PDB_</v>
      </c>
      <c r="AR43" s="57" t="str">
        <f t="shared" si="3"/>
        <v/>
      </c>
      <c r="AS43" s="57" t="str">
        <f t="shared" si="4"/>
        <v/>
      </c>
      <c r="AT43" s="57" t="str">
        <f t="shared" si="1"/>
        <v/>
      </c>
    </row>
    <row r="44" spans="2:46">
      <c r="B44" s="127"/>
      <c r="C44" s="41">
        <f t="shared" si="2"/>
        <v>38</v>
      </c>
      <c r="D44" s="55" t="s">
        <v>67</v>
      </c>
      <c r="E44" s="55" t="s">
        <v>67</v>
      </c>
      <c r="F44" s="55" t="s">
        <v>67</v>
      </c>
      <c r="G44" s="55" t="s">
        <v>67</v>
      </c>
      <c r="H44" s="55" t="s">
        <v>67</v>
      </c>
      <c r="I44" s="55" t="s">
        <v>67</v>
      </c>
      <c r="J44" s="55" t="s">
        <v>67</v>
      </c>
      <c r="K44" s="55" t="s">
        <v>67</v>
      </c>
      <c r="L44" s="55" t="s">
        <v>67</v>
      </c>
      <c r="M44" s="55" t="s">
        <v>67</v>
      </c>
      <c r="N44" s="55" t="s">
        <v>67</v>
      </c>
      <c r="O44" s="55" t="s">
        <v>67</v>
      </c>
      <c r="P44" s="55" t="s">
        <v>67</v>
      </c>
      <c r="Q44" s="55" t="s">
        <v>67</v>
      </c>
      <c r="R44" s="55" t="s">
        <v>67</v>
      </c>
      <c r="S44" s="55" t="s">
        <v>67</v>
      </c>
      <c r="T44" s="55" t="s">
        <v>67</v>
      </c>
      <c r="U44" s="55" t="s">
        <v>67</v>
      </c>
      <c r="V44" s="55" t="s">
        <v>67</v>
      </c>
      <c r="W44" s="55" t="s">
        <v>67</v>
      </c>
      <c r="X44" s="55" t="s">
        <v>67</v>
      </c>
      <c r="Y44" s="55" t="s">
        <v>67</v>
      </c>
      <c r="Z44" s="55" t="s">
        <v>67</v>
      </c>
      <c r="AA44" s="55" t="s">
        <v>67</v>
      </c>
      <c r="AB44" s="55" t="s">
        <v>67</v>
      </c>
      <c r="AC44" s="55" t="s">
        <v>67</v>
      </c>
      <c r="AD44" s="55" t="s">
        <v>67</v>
      </c>
      <c r="AE44" s="55" t="s">
        <v>67</v>
      </c>
      <c r="AF44" s="55" t="s">
        <v>67</v>
      </c>
      <c r="AG44" s="55" t="s">
        <v>67</v>
      </c>
      <c r="AH44" s="55" t="s">
        <v>67</v>
      </c>
      <c r="AI44" s="55" t="s">
        <v>67</v>
      </c>
      <c r="AJ44" s="23"/>
      <c r="AL44" t="str">
        <f t="shared" ca="1" si="0"/>
        <v xml:space="preserve">    (U1)ALERT_REQ_B_ESWUOC_PDB_</v>
      </c>
      <c r="AR44" s="57" t="str">
        <f t="shared" si="3"/>
        <v/>
      </c>
      <c r="AS44" s="57" t="str">
        <f t="shared" si="4"/>
        <v/>
      </c>
      <c r="AT44" s="57" t="str">
        <f t="shared" si="1"/>
        <v/>
      </c>
    </row>
    <row r="45" spans="2:46">
      <c r="B45" s="127"/>
      <c r="C45" s="41">
        <f t="shared" si="2"/>
        <v>39</v>
      </c>
      <c r="D45" s="55" t="s">
        <v>67</v>
      </c>
      <c r="E45" s="55" t="s">
        <v>67</v>
      </c>
      <c r="F45" s="55" t="s">
        <v>67</v>
      </c>
      <c r="G45" s="55" t="s">
        <v>67</v>
      </c>
      <c r="H45" s="55" t="s">
        <v>67</v>
      </c>
      <c r="I45" s="55" t="s">
        <v>67</v>
      </c>
      <c r="J45" s="55" t="s">
        <v>67</v>
      </c>
      <c r="K45" s="55" t="s">
        <v>67</v>
      </c>
      <c r="L45" s="55" t="s">
        <v>67</v>
      </c>
      <c r="M45" s="55" t="s">
        <v>67</v>
      </c>
      <c r="N45" s="55" t="s">
        <v>67</v>
      </c>
      <c r="O45" s="55" t="s">
        <v>67</v>
      </c>
      <c r="P45" s="55" t="s">
        <v>67</v>
      </c>
      <c r="Q45" s="55" t="s">
        <v>67</v>
      </c>
      <c r="R45" s="55" t="s">
        <v>67</v>
      </c>
      <c r="S45" s="55" t="s">
        <v>67</v>
      </c>
      <c r="T45" s="55" t="s">
        <v>67</v>
      </c>
      <c r="U45" s="55" t="s">
        <v>67</v>
      </c>
      <c r="V45" s="55" t="s">
        <v>67</v>
      </c>
      <c r="W45" s="55" t="s">
        <v>67</v>
      </c>
      <c r="X45" s="55" t="s">
        <v>67</v>
      </c>
      <c r="Y45" s="55" t="s">
        <v>67</v>
      </c>
      <c r="Z45" s="55" t="s">
        <v>67</v>
      </c>
      <c r="AA45" s="55" t="s">
        <v>67</v>
      </c>
      <c r="AB45" s="55" t="s">
        <v>67</v>
      </c>
      <c r="AC45" s="55" t="s">
        <v>67</v>
      </c>
      <c r="AD45" s="55" t="s">
        <v>67</v>
      </c>
      <c r="AE45" s="55" t="s">
        <v>67</v>
      </c>
      <c r="AF45" s="55" t="s">
        <v>67</v>
      </c>
      <c r="AG45" s="55" t="s">
        <v>67</v>
      </c>
      <c r="AH45" s="55" t="s">
        <v>67</v>
      </c>
      <c r="AI45" s="55" t="s">
        <v>67</v>
      </c>
      <c r="AJ45" s="23"/>
      <c r="AL45" t="str">
        <f t="shared" ca="1" si="0"/>
        <v xml:space="preserve">    (U1)ALERT_REQ_B_ESWUOC_PDB_</v>
      </c>
      <c r="AR45" s="57" t="str">
        <f t="shared" si="3"/>
        <v/>
      </c>
      <c r="AS45" s="57" t="str">
        <f t="shared" si="4"/>
        <v/>
      </c>
      <c r="AT45" s="57" t="str">
        <f t="shared" si="1"/>
        <v/>
      </c>
    </row>
    <row r="46" spans="2:46">
      <c r="B46" s="127"/>
      <c r="C46" s="41">
        <f t="shared" si="2"/>
        <v>40</v>
      </c>
      <c r="D46" s="55" t="s">
        <v>67</v>
      </c>
      <c r="E46" s="55" t="s">
        <v>67</v>
      </c>
      <c r="F46" s="55" t="s">
        <v>67</v>
      </c>
      <c r="G46" s="55" t="s">
        <v>67</v>
      </c>
      <c r="H46" s="55" t="s">
        <v>67</v>
      </c>
      <c r="I46" s="55" t="s">
        <v>67</v>
      </c>
      <c r="J46" s="55" t="s">
        <v>67</v>
      </c>
      <c r="K46" s="55" t="s">
        <v>67</v>
      </c>
      <c r="L46" s="55" t="s">
        <v>67</v>
      </c>
      <c r="M46" s="55" t="s">
        <v>67</v>
      </c>
      <c r="N46" s="55" t="s">
        <v>67</v>
      </c>
      <c r="O46" s="55" t="s">
        <v>67</v>
      </c>
      <c r="P46" s="55" t="s">
        <v>67</v>
      </c>
      <c r="Q46" s="55" t="s">
        <v>67</v>
      </c>
      <c r="R46" s="55" t="s">
        <v>67</v>
      </c>
      <c r="S46" s="55" t="s">
        <v>67</v>
      </c>
      <c r="T46" s="55" t="s">
        <v>67</v>
      </c>
      <c r="U46" s="55" t="s">
        <v>67</v>
      </c>
      <c r="V46" s="55" t="s">
        <v>67</v>
      </c>
      <c r="W46" s="55" t="s">
        <v>67</v>
      </c>
      <c r="X46" s="55" t="s">
        <v>67</v>
      </c>
      <c r="Y46" s="55" t="s">
        <v>67</v>
      </c>
      <c r="Z46" s="55" t="s">
        <v>67</v>
      </c>
      <c r="AA46" s="55" t="s">
        <v>67</v>
      </c>
      <c r="AB46" s="55" t="s">
        <v>67</v>
      </c>
      <c r="AC46" s="55" t="s">
        <v>67</v>
      </c>
      <c r="AD46" s="55" t="s">
        <v>67</v>
      </c>
      <c r="AE46" s="55" t="s">
        <v>67</v>
      </c>
      <c r="AF46" s="55" t="s">
        <v>67</v>
      </c>
      <c r="AG46" s="55" t="s">
        <v>67</v>
      </c>
      <c r="AH46" s="55" t="s">
        <v>67</v>
      </c>
      <c r="AI46" s="55" t="s">
        <v>67</v>
      </c>
      <c r="AJ46" s="23"/>
      <c r="AL46" t="str">
        <f t="shared" ca="1" si="0"/>
        <v xml:space="preserve">    (U1)ALERT_REQ_B_ESWUOC_PDB_</v>
      </c>
      <c r="AR46" s="57" t="str">
        <f t="shared" si="3"/>
        <v/>
      </c>
      <c r="AS46" s="57" t="str">
        <f t="shared" si="4"/>
        <v/>
      </c>
      <c r="AT46" s="57" t="str">
        <f t="shared" si="1"/>
        <v/>
      </c>
    </row>
    <row r="47" spans="2:46">
      <c r="B47" s="127"/>
      <c r="C47" s="41">
        <f t="shared" si="2"/>
        <v>41</v>
      </c>
      <c r="D47" s="55" t="s">
        <v>67</v>
      </c>
      <c r="E47" s="55" t="s">
        <v>67</v>
      </c>
      <c r="F47" s="55" t="s">
        <v>67</v>
      </c>
      <c r="G47" s="55" t="s">
        <v>67</v>
      </c>
      <c r="H47" s="55" t="s">
        <v>67</v>
      </c>
      <c r="I47" s="55" t="s">
        <v>67</v>
      </c>
      <c r="J47" s="55" t="s">
        <v>67</v>
      </c>
      <c r="K47" s="55" t="s">
        <v>67</v>
      </c>
      <c r="L47" s="55" t="s">
        <v>67</v>
      </c>
      <c r="M47" s="55" t="s">
        <v>67</v>
      </c>
      <c r="N47" s="55" t="s">
        <v>67</v>
      </c>
      <c r="O47" s="55" t="s">
        <v>67</v>
      </c>
      <c r="P47" s="55" t="s">
        <v>67</v>
      </c>
      <c r="Q47" s="55" t="s">
        <v>67</v>
      </c>
      <c r="R47" s="55" t="s">
        <v>67</v>
      </c>
      <c r="S47" s="55" t="s">
        <v>67</v>
      </c>
      <c r="T47" s="55" t="s">
        <v>67</v>
      </c>
      <c r="U47" s="55" t="s">
        <v>67</v>
      </c>
      <c r="V47" s="55" t="s">
        <v>67</v>
      </c>
      <c r="W47" s="55" t="s">
        <v>67</v>
      </c>
      <c r="X47" s="55" t="s">
        <v>67</v>
      </c>
      <c r="Y47" s="55" t="s">
        <v>67</v>
      </c>
      <c r="Z47" s="55" t="s">
        <v>67</v>
      </c>
      <c r="AA47" s="55" t="s">
        <v>67</v>
      </c>
      <c r="AB47" s="55" t="s">
        <v>67</v>
      </c>
      <c r="AC47" s="55" t="s">
        <v>67</v>
      </c>
      <c r="AD47" s="55" t="s">
        <v>67</v>
      </c>
      <c r="AE47" s="55" t="s">
        <v>67</v>
      </c>
      <c r="AF47" s="55" t="s">
        <v>67</v>
      </c>
      <c r="AG47" s="55" t="s">
        <v>67</v>
      </c>
      <c r="AH47" s="55" t="s">
        <v>67</v>
      </c>
      <c r="AI47" s="55" t="s">
        <v>67</v>
      </c>
      <c r="AJ47" s="23"/>
      <c r="AL47" t="str">
        <f t="shared" ca="1" si="0"/>
        <v xml:space="preserve">    (U1)ALERT_REQ_B_ESWUOC_PDB_</v>
      </c>
      <c r="AR47" s="57" t="str">
        <f t="shared" si="3"/>
        <v/>
      </c>
      <c r="AS47" s="57" t="str">
        <f t="shared" si="4"/>
        <v/>
      </c>
      <c r="AT47" s="57" t="str">
        <f t="shared" si="1"/>
        <v/>
      </c>
    </row>
    <row r="48" spans="2:46">
      <c r="B48" s="127"/>
      <c r="C48" s="41">
        <f t="shared" si="2"/>
        <v>42</v>
      </c>
      <c r="D48" s="55" t="s">
        <v>67</v>
      </c>
      <c r="E48" s="55" t="s">
        <v>67</v>
      </c>
      <c r="F48" s="55" t="s">
        <v>67</v>
      </c>
      <c r="G48" s="55" t="s">
        <v>67</v>
      </c>
      <c r="H48" s="55" t="s">
        <v>67</v>
      </c>
      <c r="I48" s="55" t="s">
        <v>67</v>
      </c>
      <c r="J48" s="55" t="s">
        <v>67</v>
      </c>
      <c r="K48" s="55" t="s">
        <v>67</v>
      </c>
      <c r="L48" s="55" t="s">
        <v>67</v>
      </c>
      <c r="M48" s="55" t="s">
        <v>67</v>
      </c>
      <c r="N48" s="55" t="s">
        <v>67</v>
      </c>
      <c r="O48" s="55" t="s">
        <v>67</v>
      </c>
      <c r="P48" s="55" t="s">
        <v>67</v>
      </c>
      <c r="Q48" s="55" t="s">
        <v>67</v>
      </c>
      <c r="R48" s="55" t="s">
        <v>67</v>
      </c>
      <c r="S48" s="55" t="s">
        <v>67</v>
      </c>
      <c r="T48" s="55" t="s">
        <v>67</v>
      </c>
      <c r="U48" s="55" t="s">
        <v>67</v>
      </c>
      <c r="V48" s="55" t="s">
        <v>67</v>
      </c>
      <c r="W48" s="55" t="s">
        <v>67</v>
      </c>
      <c r="X48" s="55" t="s">
        <v>67</v>
      </c>
      <c r="Y48" s="55" t="s">
        <v>67</v>
      </c>
      <c r="Z48" s="55" t="s">
        <v>67</v>
      </c>
      <c r="AA48" s="55" t="s">
        <v>67</v>
      </c>
      <c r="AB48" s="55" t="s">
        <v>67</v>
      </c>
      <c r="AC48" s="55" t="s">
        <v>67</v>
      </c>
      <c r="AD48" s="55" t="s">
        <v>67</v>
      </c>
      <c r="AE48" s="55" t="s">
        <v>67</v>
      </c>
      <c r="AF48" s="55" t="s">
        <v>67</v>
      </c>
      <c r="AG48" s="55" t="s">
        <v>67</v>
      </c>
      <c r="AH48" s="55" t="s">
        <v>67</v>
      </c>
      <c r="AI48" s="55" t="s">
        <v>67</v>
      </c>
      <c r="AJ48" s="23"/>
      <c r="AL48" t="str">
        <f t="shared" ca="1" si="0"/>
        <v xml:space="preserve">    (U1)ALERT_REQ_B_ESWUOC_PDB_</v>
      </c>
      <c r="AR48" s="57" t="str">
        <f t="shared" si="3"/>
        <v/>
      </c>
      <c r="AS48" s="57" t="str">
        <f t="shared" si="4"/>
        <v/>
      </c>
      <c r="AT48" s="57" t="str">
        <f t="shared" si="1"/>
        <v/>
      </c>
    </row>
    <row r="49" spans="2:46">
      <c r="B49" s="127"/>
      <c r="C49" s="41">
        <f t="shared" si="2"/>
        <v>43</v>
      </c>
      <c r="D49" s="55" t="s">
        <v>67</v>
      </c>
      <c r="E49" s="55" t="s">
        <v>67</v>
      </c>
      <c r="F49" s="55" t="s">
        <v>67</v>
      </c>
      <c r="G49" s="55" t="s">
        <v>67</v>
      </c>
      <c r="H49" s="55" t="s">
        <v>67</v>
      </c>
      <c r="I49" s="55" t="s">
        <v>67</v>
      </c>
      <c r="J49" s="55" t="s">
        <v>67</v>
      </c>
      <c r="K49" s="55" t="s">
        <v>67</v>
      </c>
      <c r="L49" s="55" t="s">
        <v>67</v>
      </c>
      <c r="M49" s="55" t="s">
        <v>67</v>
      </c>
      <c r="N49" s="55" t="s">
        <v>67</v>
      </c>
      <c r="O49" s="55" t="s">
        <v>67</v>
      </c>
      <c r="P49" s="55" t="s">
        <v>67</v>
      </c>
      <c r="Q49" s="55" t="s">
        <v>67</v>
      </c>
      <c r="R49" s="55" t="s">
        <v>67</v>
      </c>
      <c r="S49" s="55" t="s">
        <v>67</v>
      </c>
      <c r="T49" s="55" t="s">
        <v>67</v>
      </c>
      <c r="U49" s="55" t="s">
        <v>67</v>
      </c>
      <c r="V49" s="55" t="s">
        <v>67</v>
      </c>
      <c r="W49" s="55" t="s">
        <v>67</v>
      </c>
      <c r="X49" s="55" t="s">
        <v>67</v>
      </c>
      <c r="Y49" s="55" t="s">
        <v>67</v>
      </c>
      <c r="Z49" s="55" t="s">
        <v>67</v>
      </c>
      <c r="AA49" s="55" t="s">
        <v>67</v>
      </c>
      <c r="AB49" s="55" t="s">
        <v>67</v>
      </c>
      <c r="AC49" s="55" t="s">
        <v>67</v>
      </c>
      <c r="AD49" s="55" t="s">
        <v>67</v>
      </c>
      <c r="AE49" s="55" t="s">
        <v>67</v>
      </c>
      <c r="AF49" s="55" t="s">
        <v>67</v>
      </c>
      <c r="AG49" s="55" t="s">
        <v>67</v>
      </c>
      <c r="AH49" s="55" t="s">
        <v>67</v>
      </c>
      <c r="AI49" s="55" t="s">
        <v>67</v>
      </c>
      <c r="AJ49" s="23"/>
      <c r="AL49" t="str">
        <f t="shared" ca="1" si="0"/>
        <v xml:space="preserve">    (U1)ALERT_REQ_B_ESWUOC_PDB_</v>
      </c>
      <c r="AR49" s="57" t="str">
        <f t="shared" si="3"/>
        <v/>
      </c>
      <c r="AS49" s="57" t="str">
        <f t="shared" si="4"/>
        <v/>
      </c>
      <c r="AT49" s="57" t="str">
        <f t="shared" si="1"/>
        <v/>
      </c>
    </row>
    <row r="50" spans="2:46">
      <c r="B50" s="127"/>
      <c r="C50" s="41">
        <f t="shared" si="2"/>
        <v>44</v>
      </c>
      <c r="D50" s="55" t="s">
        <v>67</v>
      </c>
      <c r="E50" s="55" t="s">
        <v>67</v>
      </c>
      <c r="F50" s="55" t="s">
        <v>67</v>
      </c>
      <c r="G50" s="55" t="s">
        <v>67</v>
      </c>
      <c r="H50" s="55" t="s">
        <v>67</v>
      </c>
      <c r="I50" s="55" t="s">
        <v>67</v>
      </c>
      <c r="J50" s="55" t="s">
        <v>67</v>
      </c>
      <c r="K50" s="55" t="s">
        <v>67</v>
      </c>
      <c r="L50" s="55" t="s">
        <v>67</v>
      </c>
      <c r="M50" s="55" t="s">
        <v>67</v>
      </c>
      <c r="N50" s="55" t="s">
        <v>67</v>
      </c>
      <c r="O50" s="55" t="s">
        <v>67</v>
      </c>
      <c r="P50" s="55" t="s">
        <v>67</v>
      </c>
      <c r="Q50" s="55" t="s">
        <v>67</v>
      </c>
      <c r="R50" s="55" t="s">
        <v>67</v>
      </c>
      <c r="S50" s="55" t="s">
        <v>67</v>
      </c>
      <c r="T50" s="55" t="s">
        <v>67</v>
      </c>
      <c r="U50" s="55" t="s">
        <v>67</v>
      </c>
      <c r="V50" s="55" t="s">
        <v>67</v>
      </c>
      <c r="W50" s="55" t="s">
        <v>67</v>
      </c>
      <c r="X50" s="55" t="s">
        <v>67</v>
      </c>
      <c r="Y50" s="55" t="s">
        <v>67</v>
      </c>
      <c r="Z50" s="55" t="s">
        <v>67</v>
      </c>
      <c r="AA50" s="55" t="s">
        <v>67</v>
      </c>
      <c r="AB50" s="55" t="s">
        <v>67</v>
      </c>
      <c r="AC50" s="55" t="s">
        <v>67</v>
      </c>
      <c r="AD50" s="55" t="s">
        <v>67</v>
      </c>
      <c r="AE50" s="55" t="s">
        <v>67</v>
      </c>
      <c r="AF50" s="55" t="s">
        <v>67</v>
      </c>
      <c r="AG50" s="55" t="s">
        <v>67</v>
      </c>
      <c r="AH50" s="55" t="s">
        <v>67</v>
      </c>
      <c r="AI50" s="55" t="s">
        <v>67</v>
      </c>
      <c r="AJ50" s="23"/>
      <c r="AL50" t="str">
        <f t="shared" ca="1" si="0"/>
        <v xml:space="preserve">    (U1)ALERT_REQ_B_ESWUOC_PDB_</v>
      </c>
      <c r="AR50" s="57" t="str">
        <f t="shared" si="3"/>
        <v/>
      </c>
      <c r="AS50" s="57" t="str">
        <f t="shared" si="4"/>
        <v/>
      </c>
      <c r="AT50" s="57" t="str">
        <f t="shared" si="1"/>
        <v/>
      </c>
    </row>
    <row r="51" spans="2:46">
      <c r="B51" s="127"/>
      <c r="C51" s="41">
        <f t="shared" si="2"/>
        <v>45</v>
      </c>
      <c r="D51" s="55" t="s">
        <v>67</v>
      </c>
      <c r="E51" s="55" t="s">
        <v>67</v>
      </c>
      <c r="F51" s="55" t="s">
        <v>67</v>
      </c>
      <c r="G51" s="55" t="s">
        <v>67</v>
      </c>
      <c r="H51" s="55" t="s">
        <v>67</v>
      </c>
      <c r="I51" s="55" t="s">
        <v>67</v>
      </c>
      <c r="J51" s="55" t="s">
        <v>67</v>
      </c>
      <c r="K51" s="55" t="s">
        <v>67</v>
      </c>
      <c r="L51" s="55" t="s">
        <v>67</v>
      </c>
      <c r="M51" s="55" t="s">
        <v>67</v>
      </c>
      <c r="N51" s="55" t="s">
        <v>67</v>
      </c>
      <c r="O51" s="55" t="s">
        <v>67</v>
      </c>
      <c r="P51" s="55" t="s">
        <v>67</v>
      </c>
      <c r="Q51" s="55" t="s">
        <v>67</v>
      </c>
      <c r="R51" s="55" t="s">
        <v>67</v>
      </c>
      <c r="S51" s="55" t="s">
        <v>67</v>
      </c>
      <c r="T51" s="55" t="s">
        <v>67</v>
      </c>
      <c r="U51" s="55" t="s">
        <v>67</v>
      </c>
      <c r="V51" s="55" t="s">
        <v>67</v>
      </c>
      <c r="W51" s="55" t="s">
        <v>67</v>
      </c>
      <c r="X51" s="55" t="s">
        <v>67</v>
      </c>
      <c r="Y51" s="55" t="s">
        <v>67</v>
      </c>
      <c r="Z51" s="55" t="s">
        <v>67</v>
      </c>
      <c r="AA51" s="55" t="s">
        <v>67</v>
      </c>
      <c r="AB51" s="55" t="s">
        <v>67</v>
      </c>
      <c r="AC51" s="55" t="s">
        <v>67</v>
      </c>
      <c r="AD51" s="55" t="s">
        <v>67</v>
      </c>
      <c r="AE51" s="55" t="s">
        <v>67</v>
      </c>
      <c r="AF51" s="55" t="s">
        <v>67</v>
      </c>
      <c r="AG51" s="55" t="s">
        <v>67</v>
      </c>
      <c r="AH51" s="55" t="s">
        <v>67</v>
      </c>
      <c r="AI51" s="55" t="s">
        <v>67</v>
      </c>
      <c r="AJ51" s="23"/>
      <c r="AL51" t="str">
        <f t="shared" ca="1" si="0"/>
        <v xml:space="preserve">    (U1)ALERT_REQ_B_ESWUOC_PDB_</v>
      </c>
      <c r="AR51" s="57" t="str">
        <f t="shared" si="3"/>
        <v/>
      </c>
      <c r="AS51" s="57" t="str">
        <f t="shared" si="4"/>
        <v/>
      </c>
      <c r="AT51" s="57" t="str">
        <f t="shared" si="1"/>
        <v/>
      </c>
    </row>
    <row r="52" spans="2:46">
      <c r="B52" s="127"/>
      <c r="C52" s="41">
        <f t="shared" si="2"/>
        <v>46</v>
      </c>
      <c r="D52" s="55" t="s">
        <v>67</v>
      </c>
      <c r="E52" s="55" t="s">
        <v>67</v>
      </c>
      <c r="F52" s="55" t="s">
        <v>67</v>
      </c>
      <c r="G52" s="55" t="s">
        <v>67</v>
      </c>
      <c r="H52" s="55" t="s">
        <v>67</v>
      </c>
      <c r="I52" s="55" t="s">
        <v>67</v>
      </c>
      <c r="J52" s="55" t="s">
        <v>67</v>
      </c>
      <c r="K52" s="55" t="s">
        <v>67</v>
      </c>
      <c r="L52" s="55" t="s">
        <v>67</v>
      </c>
      <c r="M52" s="55" t="s">
        <v>67</v>
      </c>
      <c r="N52" s="55" t="s">
        <v>67</v>
      </c>
      <c r="O52" s="55" t="s">
        <v>67</v>
      </c>
      <c r="P52" s="55" t="s">
        <v>67</v>
      </c>
      <c r="Q52" s="55" t="s">
        <v>67</v>
      </c>
      <c r="R52" s="55" t="s">
        <v>67</v>
      </c>
      <c r="S52" s="55" t="s">
        <v>67</v>
      </c>
      <c r="T52" s="55" t="s">
        <v>67</v>
      </c>
      <c r="U52" s="55" t="s">
        <v>67</v>
      </c>
      <c r="V52" s="55" t="s">
        <v>67</v>
      </c>
      <c r="W52" s="55" t="s">
        <v>67</v>
      </c>
      <c r="X52" s="55" t="s">
        <v>67</v>
      </c>
      <c r="Y52" s="55" t="s">
        <v>67</v>
      </c>
      <c r="Z52" s="55" t="s">
        <v>67</v>
      </c>
      <c r="AA52" s="55" t="s">
        <v>67</v>
      </c>
      <c r="AB52" s="55" t="s">
        <v>67</v>
      </c>
      <c r="AC52" s="55" t="s">
        <v>67</v>
      </c>
      <c r="AD52" s="55" t="s">
        <v>67</v>
      </c>
      <c r="AE52" s="55" t="s">
        <v>67</v>
      </c>
      <c r="AF52" s="55" t="s">
        <v>67</v>
      </c>
      <c r="AG52" s="55" t="s">
        <v>67</v>
      </c>
      <c r="AH52" s="55" t="s">
        <v>67</v>
      </c>
      <c r="AI52" s="55" t="s">
        <v>67</v>
      </c>
      <c r="AJ52" s="23"/>
      <c r="AL52" t="str">
        <f t="shared" ca="1" si="0"/>
        <v xml:space="preserve">    (U1)ALERT_REQ_B_ESWUOC_PDB_</v>
      </c>
      <c r="AR52" s="57" t="str">
        <f t="shared" si="3"/>
        <v/>
      </c>
      <c r="AS52" s="57" t="str">
        <f t="shared" si="4"/>
        <v/>
      </c>
      <c r="AT52" s="57" t="str">
        <f t="shared" si="1"/>
        <v/>
      </c>
    </row>
    <row r="53" spans="2:46">
      <c r="B53" s="127"/>
      <c r="C53" s="41">
        <f t="shared" si="2"/>
        <v>47</v>
      </c>
      <c r="D53" s="55" t="s">
        <v>67</v>
      </c>
      <c r="E53" s="55" t="s">
        <v>67</v>
      </c>
      <c r="F53" s="55" t="s">
        <v>67</v>
      </c>
      <c r="G53" s="55" t="s">
        <v>67</v>
      </c>
      <c r="H53" s="55" t="s">
        <v>67</v>
      </c>
      <c r="I53" s="55" t="s">
        <v>67</v>
      </c>
      <c r="J53" s="55" t="s">
        <v>67</v>
      </c>
      <c r="K53" s="55" t="s">
        <v>67</v>
      </c>
      <c r="L53" s="55" t="s">
        <v>67</v>
      </c>
      <c r="M53" s="55" t="s">
        <v>67</v>
      </c>
      <c r="N53" s="55" t="s">
        <v>67</v>
      </c>
      <c r="O53" s="55" t="s">
        <v>67</v>
      </c>
      <c r="P53" s="55" t="s">
        <v>67</v>
      </c>
      <c r="Q53" s="55" t="s">
        <v>67</v>
      </c>
      <c r="R53" s="55" t="s">
        <v>67</v>
      </c>
      <c r="S53" s="55" t="s">
        <v>67</v>
      </c>
      <c r="T53" s="55" t="s">
        <v>67</v>
      </c>
      <c r="U53" s="55" t="s">
        <v>67</v>
      </c>
      <c r="V53" s="55" t="s">
        <v>67</v>
      </c>
      <c r="W53" s="55" t="s">
        <v>67</v>
      </c>
      <c r="X53" s="55" t="s">
        <v>67</v>
      </c>
      <c r="Y53" s="55" t="s">
        <v>67</v>
      </c>
      <c r="Z53" s="55" t="s">
        <v>67</v>
      </c>
      <c r="AA53" s="55" t="s">
        <v>67</v>
      </c>
      <c r="AB53" s="55" t="s">
        <v>67</v>
      </c>
      <c r="AC53" s="55" t="s">
        <v>67</v>
      </c>
      <c r="AD53" s="55" t="s">
        <v>67</v>
      </c>
      <c r="AE53" s="55" t="s">
        <v>67</v>
      </c>
      <c r="AF53" s="55" t="s">
        <v>67</v>
      </c>
      <c r="AG53" s="55" t="s">
        <v>67</v>
      </c>
      <c r="AH53" s="55" t="s">
        <v>67</v>
      </c>
      <c r="AI53" s="55" t="s">
        <v>67</v>
      </c>
      <c r="AJ53" s="23"/>
      <c r="AL53" t="str">
        <f t="shared" ca="1" si="0"/>
        <v xml:space="preserve">    (U1)ALERT_REQ_B_ESWUOC_PDB_</v>
      </c>
      <c r="AR53" s="57" t="str">
        <f t="shared" si="3"/>
        <v/>
      </c>
      <c r="AS53" s="57" t="str">
        <f t="shared" si="4"/>
        <v/>
      </c>
      <c r="AT53" s="57" t="str">
        <f t="shared" si="1"/>
        <v/>
      </c>
    </row>
    <row r="54" spans="2:46">
      <c r="B54" s="127"/>
      <c r="C54" s="41">
        <f t="shared" si="2"/>
        <v>48</v>
      </c>
      <c r="D54" s="55" t="s">
        <v>67</v>
      </c>
      <c r="E54" s="55" t="s">
        <v>67</v>
      </c>
      <c r="F54" s="55" t="s">
        <v>67</v>
      </c>
      <c r="G54" s="55" t="s">
        <v>67</v>
      </c>
      <c r="H54" s="55" t="s">
        <v>67</v>
      </c>
      <c r="I54" s="55" t="s">
        <v>67</v>
      </c>
      <c r="J54" s="55" t="s">
        <v>67</v>
      </c>
      <c r="K54" s="55" t="s">
        <v>67</v>
      </c>
      <c r="L54" s="55" t="s">
        <v>67</v>
      </c>
      <c r="M54" s="55" t="s">
        <v>67</v>
      </c>
      <c r="N54" s="55" t="s">
        <v>67</v>
      </c>
      <c r="O54" s="55" t="s">
        <v>67</v>
      </c>
      <c r="P54" s="55" t="s">
        <v>67</v>
      </c>
      <c r="Q54" s="55" t="s">
        <v>67</v>
      </c>
      <c r="R54" s="55" t="s">
        <v>67</v>
      </c>
      <c r="S54" s="55" t="s">
        <v>67</v>
      </c>
      <c r="T54" s="55" t="s">
        <v>67</v>
      </c>
      <c r="U54" s="55" t="s">
        <v>67</v>
      </c>
      <c r="V54" s="55" t="s">
        <v>67</v>
      </c>
      <c r="W54" s="55" t="s">
        <v>67</v>
      </c>
      <c r="X54" s="55" t="s">
        <v>67</v>
      </c>
      <c r="Y54" s="55" t="s">
        <v>67</v>
      </c>
      <c r="Z54" s="55" t="s">
        <v>67</v>
      </c>
      <c r="AA54" s="55" t="s">
        <v>67</v>
      </c>
      <c r="AB54" s="55" t="s">
        <v>67</v>
      </c>
      <c r="AC54" s="55" t="s">
        <v>67</v>
      </c>
      <c r="AD54" s="55" t="s">
        <v>67</v>
      </c>
      <c r="AE54" s="55" t="s">
        <v>67</v>
      </c>
      <c r="AF54" s="55" t="s">
        <v>67</v>
      </c>
      <c r="AG54" s="55" t="s">
        <v>67</v>
      </c>
      <c r="AH54" s="55" t="s">
        <v>67</v>
      </c>
      <c r="AI54" s="55" t="s">
        <v>67</v>
      </c>
      <c r="AJ54" s="23"/>
      <c r="AL54" t="str">
        <f t="shared" ca="1" si="0"/>
        <v xml:space="preserve">    (U1)ALERT_REQ_B_ESWUOC_PDB_</v>
      </c>
      <c r="AR54" s="57" t="str">
        <f t="shared" si="3"/>
        <v/>
      </c>
      <c r="AS54" s="57" t="str">
        <f t="shared" si="4"/>
        <v/>
      </c>
      <c r="AT54" s="57" t="str">
        <f t="shared" si="1"/>
        <v/>
      </c>
    </row>
    <row r="55" spans="2:46">
      <c r="B55" s="127"/>
      <c r="C55" s="41">
        <f t="shared" si="2"/>
        <v>49</v>
      </c>
      <c r="D55" s="55" t="s">
        <v>67</v>
      </c>
      <c r="E55" s="55" t="s">
        <v>67</v>
      </c>
      <c r="F55" s="55" t="s">
        <v>67</v>
      </c>
      <c r="G55" s="55" t="s">
        <v>67</v>
      </c>
      <c r="H55" s="55" t="s">
        <v>67</v>
      </c>
      <c r="I55" s="55" t="s">
        <v>67</v>
      </c>
      <c r="J55" s="55" t="s">
        <v>67</v>
      </c>
      <c r="K55" s="55" t="s">
        <v>67</v>
      </c>
      <c r="L55" s="55" t="s">
        <v>67</v>
      </c>
      <c r="M55" s="55" t="s">
        <v>67</v>
      </c>
      <c r="N55" s="55" t="s">
        <v>67</v>
      </c>
      <c r="O55" s="55" t="s">
        <v>67</v>
      </c>
      <c r="P55" s="55" t="s">
        <v>67</v>
      </c>
      <c r="Q55" s="55" t="s">
        <v>67</v>
      </c>
      <c r="R55" s="55" t="s">
        <v>67</v>
      </c>
      <c r="S55" s="55" t="s">
        <v>67</v>
      </c>
      <c r="T55" s="55" t="s">
        <v>67</v>
      </c>
      <c r="U55" s="55" t="s">
        <v>67</v>
      </c>
      <c r="V55" s="55" t="s">
        <v>67</v>
      </c>
      <c r="W55" s="55" t="s">
        <v>67</v>
      </c>
      <c r="X55" s="55" t="s">
        <v>67</v>
      </c>
      <c r="Y55" s="55" t="s">
        <v>67</v>
      </c>
      <c r="Z55" s="55" t="s">
        <v>67</v>
      </c>
      <c r="AA55" s="55" t="s">
        <v>67</v>
      </c>
      <c r="AB55" s="55" t="s">
        <v>67</v>
      </c>
      <c r="AC55" s="55" t="s">
        <v>67</v>
      </c>
      <c r="AD55" s="55" t="s">
        <v>67</v>
      </c>
      <c r="AE55" s="55" t="s">
        <v>67</v>
      </c>
      <c r="AF55" s="55" t="s">
        <v>67</v>
      </c>
      <c r="AG55" s="55" t="s">
        <v>67</v>
      </c>
      <c r="AH55" s="55" t="s">
        <v>67</v>
      </c>
      <c r="AI55" s="55" t="s">
        <v>67</v>
      </c>
      <c r="AJ55" s="23"/>
      <c r="AL55" t="str">
        <f t="shared" ca="1" si="0"/>
        <v xml:space="preserve">    (U1)ALERT_REQ_B_ESWUOC_PDB_</v>
      </c>
      <c r="AR55" s="57" t="str">
        <f t="shared" si="3"/>
        <v/>
      </c>
      <c r="AS55" s="57" t="str">
        <f t="shared" si="4"/>
        <v/>
      </c>
      <c r="AT55" s="57" t="str">
        <f t="shared" si="1"/>
        <v/>
      </c>
    </row>
    <row r="56" spans="2:46">
      <c r="B56" s="127"/>
      <c r="C56" s="41">
        <f t="shared" si="2"/>
        <v>50</v>
      </c>
      <c r="D56" s="55" t="s">
        <v>67</v>
      </c>
      <c r="E56" s="55" t="s">
        <v>67</v>
      </c>
      <c r="F56" s="55" t="s">
        <v>67</v>
      </c>
      <c r="G56" s="55" t="s">
        <v>67</v>
      </c>
      <c r="H56" s="55" t="s">
        <v>67</v>
      </c>
      <c r="I56" s="55" t="s">
        <v>67</v>
      </c>
      <c r="J56" s="55" t="s">
        <v>67</v>
      </c>
      <c r="K56" s="55" t="s">
        <v>67</v>
      </c>
      <c r="L56" s="55" t="s">
        <v>67</v>
      </c>
      <c r="M56" s="55" t="s">
        <v>67</v>
      </c>
      <c r="N56" s="55" t="s">
        <v>67</v>
      </c>
      <c r="O56" s="55" t="s">
        <v>67</v>
      </c>
      <c r="P56" s="55" t="s">
        <v>67</v>
      </c>
      <c r="Q56" s="55" t="s">
        <v>67</v>
      </c>
      <c r="R56" s="55" t="s">
        <v>67</v>
      </c>
      <c r="S56" s="55" t="s">
        <v>67</v>
      </c>
      <c r="T56" s="55" t="s">
        <v>67</v>
      </c>
      <c r="U56" s="55" t="s">
        <v>67</v>
      </c>
      <c r="V56" s="55" t="s">
        <v>67</v>
      </c>
      <c r="W56" s="55" t="s">
        <v>67</v>
      </c>
      <c r="X56" s="55" t="s">
        <v>67</v>
      </c>
      <c r="Y56" s="55" t="s">
        <v>67</v>
      </c>
      <c r="Z56" s="55" t="s">
        <v>67</v>
      </c>
      <c r="AA56" s="55" t="s">
        <v>67</v>
      </c>
      <c r="AB56" s="55" t="s">
        <v>67</v>
      </c>
      <c r="AC56" s="55" t="s">
        <v>67</v>
      </c>
      <c r="AD56" s="55" t="s">
        <v>67</v>
      </c>
      <c r="AE56" s="55" t="s">
        <v>67</v>
      </c>
      <c r="AF56" s="55" t="s">
        <v>67</v>
      </c>
      <c r="AG56" s="55" t="s">
        <v>67</v>
      </c>
      <c r="AH56" s="55" t="s">
        <v>67</v>
      </c>
      <c r="AI56" s="55" t="s">
        <v>67</v>
      </c>
      <c r="AJ56" s="23"/>
      <c r="AL56" t="str">
        <f t="shared" ca="1" si="0"/>
        <v xml:space="preserve">    (U1)ALERT_REQ_B_ESWUOC_PDB_</v>
      </c>
      <c r="AR56" s="57" t="str">
        <f t="shared" si="3"/>
        <v/>
      </c>
      <c r="AS56" s="57" t="str">
        <f t="shared" si="4"/>
        <v/>
      </c>
      <c r="AT56" s="57" t="str">
        <f t="shared" si="1"/>
        <v/>
      </c>
    </row>
    <row r="57" spans="2:46">
      <c r="B57" s="127"/>
      <c r="C57" s="41">
        <f t="shared" si="2"/>
        <v>51</v>
      </c>
      <c r="D57" s="55" t="s">
        <v>67</v>
      </c>
      <c r="E57" s="55" t="s">
        <v>67</v>
      </c>
      <c r="F57" s="55" t="s">
        <v>67</v>
      </c>
      <c r="G57" s="55" t="s">
        <v>67</v>
      </c>
      <c r="H57" s="55" t="s">
        <v>67</v>
      </c>
      <c r="I57" s="55" t="s">
        <v>67</v>
      </c>
      <c r="J57" s="55" t="s">
        <v>67</v>
      </c>
      <c r="K57" s="55" t="s">
        <v>67</v>
      </c>
      <c r="L57" s="55" t="s">
        <v>67</v>
      </c>
      <c r="M57" s="55" t="s">
        <v>67</v>
      </c>
      <c r="N57" s="55" t="s">
        <v>67</v>
      </c>
      <c r="O57" s="55" t="s">
        <v>67</v>
      </c>
      <c r="P57" s="55" t="s">
        <v>67</v>
      </c>
      <c r="Q57" s="55" t="s">
        <v>67</v>
      </c>
      <c r="R57" s="55" t="s">
        <v>67</v>
      </c>
      <c r="S57" s="55" t="s">
        <v>67</v>
      </c>
      <c r="T57" s="55" t="s">
        <v>67</v>
      </c>
      <c r="U57" s="55" t="s">
        <v>67</v>
      </c>
      <c r="V57" s="55" t="s">
        <v>67</v>
      </c>
      <c r="W57" s="55" t="s">
        <v>67</v>
      </c>
      <c r="X57" s="55" t="s">
        <v>67</v>
      </c>
      <c r="Y57" s="55" t="s">
        <v>67</v>
      </c>
      <c r="Z57" s="55" t="s">
        <v>67</v>
      </c>
      <c r="AA57" s="55" t="s">
        <v>67</v>
      </c>
      <c r="AB57" s="55" t="s">
        <v>67</v>
      </c>
      <c r="AC57" s="55" t="s">
        <v>67</v>
      </c>
      <c r="AD57" s="55" t="s">
        <v>67</v>
      </c>
      <c r="AE57" s="55" t="s">
        <v>67</v>
      </c>
      <c r="AF57" s="55" t="s">
        <v>67</v>
      </c>
      <c r="AG57" s="55" t="s">
        <v>67</v>
      </c>
      <c r="AH57" s="55" t="s">
        <v>67</v>
      </c>
      <c r="AI57" s="55" t="s">
        <v>67</v>
      </c>
      <c r="AJ57" s="23"/>
      <c r="AL57" t="str">
        <f t="shared" ca="1" si="0"/>
        <v xml:space="preserve">    (U1)ALERT_REQ_B_ESWUOC_PDB_</v>
      </c>
      <c r="AR57" s="57" t="str">
        <f t="shared" si="3"/>
        <v/>
      </c>
      <c r="AS57" s="57" t="str">
        <f t="shared" si="4"/>
        <v/>
      </c>
      <c r="AT57" s="57" t="str">
        <f t="shared" si="1"/>
        <v/>
      </c>
    </row>
    <row r="58" spans="2:46">
      <c r="B58" s="127"/>
      <c r="C58" s="41">
        <f t="shared" si="2"/>
        <v>52</v>
      </c>
      <c r="D58" s="55" t="s">
        <v>67</v>
      </c>
      <c r="E58" s="55" t="s">
        <v>67</v>
      </c>
      <c r="F58" s="55" t="s">
        <v>67</v>
      </c>
      <c r="G58" s="55" t="s">
        <v>67</v>
      </c>
      <c r="H58" s="55" t="s">
        <v>67</v>
      </c>
      <c r="I58" s="55" t="s">
        <v>67</v>
      </c>
      <c r="J58" s="55" t="s">
        <v>67</v>
      </c>
      <c r="K58" s="55" t="s">
        <v>67</v>
      </c>
      <c r="L58" s="55" t="s">
        <v>67</v>
      </c>
      <c r="M58" s="55" t="s">
        <v>67</v>
      </c>
      <c r="N58" s="55" t="s">
        <v>67</v>
      </c>
      <c r="O58" s="55" t="s">
        <v>67</v>
      </c>
      <c r="P58" s="55" t="s">
        <v>67</v>
      </c>
      <c r="Q58" s="55" t="s">
        <v>67</v>
      </c>
      <c r="R58" s="55" t="s">
        <v>67</v>
      </c>
      <c r="S58" s="55" t="s">
        <v>67</v>
      </c>
      <c r="T58" s="55" t="s">
        <v>67</v>
      </c>
      <c r="U58" s="55" t="s">
        <v>67</v>
      </c>
      <c r="V58" s="55" t="s">
        <v>67</v>
      </c>
      <c r="W58" s="55" t="s">
        <v>67</v>
      </c>
      <c r="X58" s="55" t="s">
        <v>67</v>
      </c>
      <c r="Y58" s="55" t="s">
        <v>67</v>
      </c>
      <c r="Z58" s="55" t="s">
        <v>67</v>
      </c>
      <c r="AA58" s="55" t="s">
        <v>67</v>
      </c>
      <c r="AB58" s="55" t="s">
        <v>67</v>
      </c>
      <c r="AC58" s="55" t="s">
        <v>67</v>
      </c>
      <c r="AD58" s="55" t="s">
        <v>67</v>
      </c>
      <c r="AE58" s="55" t="s">
        <v>67</v>
      </c>
      <c r="AF58" s="55" t="s">
        <v>67</v>
      </c>
      <c r="AG58" s="55" t="s">
        <v>67</v>
      </c>
      <c r="AH58" s="55" t="s">
        <v>67</v>
      </c>
      <c r="AI58" s="55" t="s">
        <v>67</v>
      </c>
      <c r="AJ58" s="23"/>
      <c r="AL58" t="str">
        <f t="shared" ca="1" si="0"/>
        <v xml:space="preserve">    (U1)ALERT_REQ_B_ESWUOC_PDB_</v>
      </c>
      <c r="AR58" s="57" t="str">
        <f t="shared" si="3"/>
        <v/>
      </c>
      <c r="AS58" s="57" t="str">
        <f t="shared" si="4"/>
        <v/>
      </c>
      <c r="AT58" s="57" t="str">
        <f t="shared" si="1"/>
        <v/>
      </c>
    </row>
    <row r="59" spans="2:46">
      <c r="B59" s="127"/>
      <c r="C59" s="41">
        <f t="shared" si="2"/>
        <v>53</v>
      </c>
      <c r="D59" s="55" t="s">
        <v>67</v>
      </c>
      <c r="E59" s="55" t="s">
        <v>67</v>
      </c>
      <c r="F59" s="55" t="s">
        <v>67</v>
      </c>
      <c r="G59" s="55" t="s">
        <v>67</v>
      </c>
      <c r="H59" s="55" t="s">
        <v>67</v>
      </c>
      <c r="I59" s="55" t="s">
        <v>67</v>
      </c>
      <c r="J59" s="55" t="s">
        <v>67</v>
      </c>
      <c r="K59" s="55" t="s">
        <v>67</v>
      </c>
      <c r="L59" s="55" t="s">
        <v>67</v>
      </c>
      <c r="M59" s="55" t="s">
        <v>67</v>
      </c>
      <c r="N59" s="55" t="s">
        <v>67</v>
      </c>
      <c r="O59" s="55" t="s">
        <v>67</v>
      </c>
      <c r="P59" s="55" t="s">
        <v>67</v>
      </c>
      <c r="Q59" s="55" t="s">
        <v>67</v>
      </c>
      <c r="R59" s="55" t="s">
        <v>67</v>
      </c>
      <c r="S59" s="55" t="s">
        <v>67</v>
      </c>
      <c r="T59" s="55" t="s">
        <v>67</v>
      </c>
      <c r="U59" s="55" t="s">
        <v>67</v>
      </c>
      <c r="V59" s="55" t="s">
        <v>67</v>
      </c>
      <c r="W59" s="55" t="s">
        <v>67</v>
      </c>
      <c r="X59" s="55" t="s">
        <v>67</v>
      </c>
      <c r="Y59" s="55" t="s">
        <v>67</v>
      </c>
      <c r="Z59" s="55" t="s">
        <v>67</v>
      </c>
      <c r="AA59" s="55" t="s">
        <v>67</v>
      </c>
      <c r="AB59" s="55" t="s">
        <v>67</v>
      </c>
      <c r="AC59" s="55" t="s">
        <v>67</v>
      </c>
      <c r="AD59" s="55" t="s">
        <v>67</v>
      </c>
      <c r="AE59" s="55" t="s">
        <v>67</v>
      </c>
      <c r="AF59" s="55" t="s">
        <v>67</v>
      </c>
      <c r="AG59" s="55" t="s">
        <v>67</v>
      </c>
      <c r="AH59" s="55" t="s">
        <v>67</v>
      </c>
      <c r="AI59" s="55" t="s">
        <v>67</v>
      </c>
      <c r="AJ59" s="23"/>
      <c r="AL59" t="str">
        <f t="shared" ca="1" si="0"/>
        <v xml:space="preserve">    (U1)ALERT_REQ_B_ESWUOC_PDB_</v>
      </c>
      <c r="AR59" s="57" t="str">
        <f t="shared" si="3"/>
        <v/>
      </c>
      <c r="AS59" s="57" t="str">
        <f t="shared" si="4"/>
        <v/>
      </c>
      <c r="AT59" s="57" t="str">
        <f t="shared" si="1"/>
        <v/>
      </c>
    </row>
    <row r="60" spans="2:46">
      <c r="B60" s="127"/>
      <c r="C60" s="41">
        <f t="shared" si="2"/>
        <v>54</v>
      </c>
      <c r="D60" s="55" t="s">
        <v>67</v>
      </c>
      <c r="E60" s="55" t="s">
        <v>67</v>
      </c>
      <c r="F60" s="55" t="s">
        <v>67</v>
      </c>
      <c r="G60" s="55" t="s">
        <v>67</v>
      </c>
      <c r="H60" s="55" t="s">
        <v>67</v>
      </c>
      <c r="I60" s="55" t="s">
        <v>67</v>
      </c>
      <c r="J60" s="55" t="s">
        <v>67</v>
      </c>
      <c r="K60" s="55" t="s">
        <v>67</v>
      </c>
      <c r="L60" s="55" t="s">
        <v>67</v>
      </c>
      <c r="M60" s="55" t="s">
        <v>67</v>
      </c>
      <c r="N60" s="55" t="s">
        <v>67</v>
      </c>
      <c r="O60" s="55" t="s">
        <v>67</v>
      </c>
      <c r="P60" s="55" t="s">
        <v>67</v>
      </c>
      <c r="Q60" s="55" t="s">
        <v>67</v>
      </c>
      <c r="R60" s="55" t="s">
        <v>67</v>
      </c>
      <c r="S60" s="55" t="s">
        <v>67</v>
      </c>
      <c r="T60" s="55" t="s">
        <v>67</v>
      </c>
      <c r="U60" s="55" t="s">
        <v>67</v>
      </c>
      <c r="V60" s="55" t="s">
        <v>67</v>
      </c>
      <c r="W60" s="55" t="s">
        <v>67</v>
      </c>
      <c r="X60" s="55" t="s">
        <v>67</v>
      </c>
      <c r="Y60" s="55" t="s">
        <v>67</v>
      </c>
      <c r="Z60" s="55" t="s">
        <v>67</v>
      </c>
      <c r="AA60" s="55" t="s">
        <v>67</v>
      </c>
      <c r="AB60" s="55" t="s">
        <v>67</v>
      </c>
      <c r="AC60" s="55" t="s">
        <v>67</v>
      </c>
      <c r="AD60" s="55" t="s">
        <v>67</v>
      </c>
      <c r="AE60" s="55" t="s">
        <v>67</v>
      </c>
      <c r="AF60" s="55" t="s">
        <v>67</v>
      </c>
      <c r="AG60" s="55" t="s">
        <v>67</v>
      </c>
      <c r="AH60" s="55" t="s">
        <v>67</v>
      </c>
      <c r="AI60" s="55" t="s">
        <v>67</v>
      </c>
      <c r="AJ60" s="23"/>
      <c r="AL60" t="str">
        <f t="shared" ca="1" si="0"/>
        <v xml:space="preserve">    (U1)ALERT_REQ_B_ESWUOC_PDB_</v>
      </c>
      <c r="AR60" s="57" t="str">
        <f t="shared" si="3"/>
        <v/>
      </c>
      <c r="AS60" s="57" t="str">
        <f t="shared" si="4"/>
        <v/>
      </c>
      <c r="AT60" s="57" t="str">
        <f t="shared" si="1"/>
        <v/>
      </c>
    </row>
    <row r="61" spans="2:46">
      <c r="B61" s="127"/>
      <c r="C61" s="41">
        <f t="shared" si="2"/>
        <v>55</v>
      </c>
      <c r="D61" s="55" t="s">
        <v>67</v>
      </c>
      <c r="E61" s="55" t="s">
        <v>67</v>
      </c>
      <c r="F61" s="55" t="s">
        <v>67</v>
      </c>
      <c r="G61" s="55" t="s">
        <v>67</v>
      </c>
      <c r="H61" s="55" t="s">
        <v>67</v>
      </c>
      <c r="I61" s="55" t="s">
        <v>67</v>
      </c>
      <c r="J61" s="55" t="s">
        <v>67</v>
      </c>
      <c r="K61" s="55" t="s">
        <v>67</v>
      </c>
      <c r="L61" s="55" t="s">
        <v>67</v>
      </c>
      <c r="M61" s="55" t="s">
        <v>67</v>
      </c>
      <c r="N61" s="55" t="s">
        <v>67</v>
      </c>
      <c r="O61" s="55" t="s">
        <v>67</v>
      </c>
      <c r="P61" s="55" t="s">
        <v>67</v>
      </c>
      <c r="Q61" s="55" t="s">
        <v>67</v>
      </c>
      <c r="R61" s="55" t="s">
        <v>67</v>
      </c>
      <c r="S61" s="55" t="s">
        <v>67</v>
      </c>
      <c r="T61" s="55" t="s">
        <v>67</v>
      </c>
      <c r="U61" s="55" t="s">
        <v>67</v>
      </c>
      <c r="V61" s="55" t="s">
        <v>67</v>
      </c>
      <c r="W61" s="55" t="s">
        <v>67</v>
      </c>
      <c r="X61" s="55" t="s">
        <v>67</v>
      </c>
      <c r="Y61" s="55" t="s">
        <v>67</v>
      </c>
      <c r="Z61" s="55" t="s">
        <v>67</v>
      </c>
      <c r="AA61" s="55" t="s">
        <v>67</v>
      </c>
      <c r="AB61" s="55" t="s">
        <v>67</v>
      </c>
      <c r="AC61" s="55" t="s">
        <v>67</v>
      </c>
      <c r="AD61" s="55" t="s">
        <v>67</v>
      </c>
      <c r="AE61" s="55" t="s">
        <v>67</v>
      </c>
      <c r="AF61" s="55" t="s">
        <v>67</v>
      </c>
      <c r="AG61" s="55" t="s">
        <v>67</v>
      </c>
      <c r="AH61" s="55" t="s">
        <v>67</v>
      </c>
      <c r="AI61" s="55" t="s">
        <v>67</v>
      </c>
      <c r="AJ61" s="23"/>
      <c r="AL61" t="str">
        <f t="shared" ca="1" si="0"/>
        <v xml:space="preserve">    (U1)ALERT_REQ_B_ESWUOC_PDB_</v>
      </c>
      <c r="AR61" s="57" t="str">
        <f t="shared" si="3"/>
        <v/>
      </c>
      <c r="AS61" s="57" t="str">
        <f t="shared" si="4"/>
        <v/>
      </c>
      <c r="AT61" s="57" t="str">
        <f t="shared" si="1"/>
        <v/>
      </c>
    </row>
    <row r="62" spans="2:46">
      <c r="B62" s="127"/>
      <c r="C62" s="41">
        <f t="shared" si="2"/>
        <v>56</v>
      </c>
      <c r="D62" s="55" t="s">
        <v>67</v>
      </c>
      <c r="E62" s="55" t="s">
        <v>67</v>
      </c>
      <c r="F62" s="55" t="s">
        <v>67</v>
      </c>
      <c r="G62" s="55" t="s">
        <v>67</v>
      </c>
      <c r="H62" s="55" t="s">
        <v>67</v>
      </c>
      <c r="I62" s="55" t="s">
        <v>67</v>
      </c>
      <c r="J62" s="55" t="s">
        <v>67</v>
      </c>
      <c r="K62" s="55" t="s">
        <v>67</v>
      </c>
      <c r="L62" s="55" t="s">
        <v>67</v>
      </c>
      <c r="M62" s="55" t="s">
        <v>67</v>
      </c>
      <c r="N62" s="55" t="s">
        <v>67</v>
      </c>
      <c r="O62" s="55" t="s">
        <v>67</v>
      </c>
      <c r="P62" s="55" t="s">
        <v>67</v>
      </c>
      <c r="Q62" s="55" t="s">
        <v>67</v>
      </c>
      <c r="R62" s="55" t="s">
        <v>67</v>
      </c>
      <c r="S62" s="55" t="s">
        <v>67</v>
      </c>
      <c r="T62" s="55" t="s">
        <v>67</v>
      </c>
      <c r="U62" s="55" t="s">
        <v>67</v>
      </c>
      <c r="V62" s="55" t="s">
        <v>67</v>
      </c>
      <c r="W62" s="55" t="s">
        <v>67</v>
      </c>
      <c r="X62" s="55" t="s">
        <v>67</v>
      </c>
      <c r="Y62" s="55" t="s">
        <v>67</v>
      </c>
      <c r="Z62" s="55" t="s">
        <v>67</v>
      </c>
      <c r="AA62" s="55" t="s">
        <v>67</v>
      </c>
      <c r="AB62" s="55" t="s">
        <v>67</v>
      </c>
      <c r="AC62" s="55" t="s">
        <v>67</v>
      </c>
      <c r="AD62" s="55" t="s">
        <v>67</v>
      </c>
      <c r="AE62" s="55" t="s">
        <v>67</v>
      </c>
      <c r="AF62" s="55" t="s">
        <v>67</v>
      </c>
      <c r="AG62" s="55" t="s">
        <v>67</v>
      </c>
      <c r="AH62" s="55" t="s">
        <v>67</v>
      </c>
      <c r="AI62" s="55" t="s">
        <v>67</v>
      </c>
      <c r="AJ62" s="23"/>
      <c r="AL62" t="str">
        <f t="shared" ca="1" si="0"/>
        <v xml:space="preserve">    (U1)ALERT_REQ_B_ESWUOC_PDB_</v>
      </c>
      <c r="AR62" s="57" t="str">
        <f t="shared" si="3"/>
        <v/>
      </c>
      <c r="AS62" s="57" t="str">
        <f t="shared" si="4"/>
        <v/>
      </c>
      <c r="AT62" s="57" t="str">
        <f t="shared" si="1"/>
        <v/>
      </c>
    </row>
    <row r="63" spans="2:46">
      <c r="B63" s="127"/>
      <c r="C63" s="41">
        <f t="shared" si="2"/>
        <v>57</v>
      </c>
      <c r="D63" s="55" t="s">
        <v>67</v>
      </c>
      <c r="E63" s="55" t="s">
        <v>67</v>
      </c>
      <c r="F63" s="55" t="s">
        <v>67</v>
      </c>
      <c r="G63" s="55" t="s">
        <v>67</v>
      </c>
      <c r="H63" s="55" t="s">
        <v>67</v>
      </c>
      <c r="I63" s="55" t="s">
        <v>67</v>
      </c>
      <c r="J63" s="55" t="s">
        <v>67</v>
      </c>
      <c r="K63" s="55" t="s">
        <v>67</v>
      </c>
      <c r="L63" s="55" t="s">
        <v>67</v>
      </c>
      <c r="M63" s="55" t="s">
        <v>67</v>
      </c>
      <c r="N63" s="55" t="s">
        <v>67</v>
      </c>
      <c r="O63" s="55" t="s">
        <v>67</v>
      </c>
      <c r="P63" s="55" t="s">
        <v>67</v>
      </c>
      <c r="Q63" s="55" t="s">
        <v>67</v>
      </c>
      <c r="R63" s="55" t="s">
        <v>67</v>
      </c>
      <c r="S63" s="55" t="s">
        <v>67</v>
      </c>
      <c r="T63" s="55" t="s">
        <v>67</v>
      </c>
      <c r="U63" s="55" t="s">
        <v>67</v>
      </c>
      <c r="V63" s="55" t="s">
        <v>67</v>
      </c>
      <c r="W63" s="55" t="s">
        <v>67</v>
      </c>
      <c r="X63" s="55" t="s">
        <v>67</v>
      </c>
      <c r="Y63" s="55" t="s">
        <v>67</v>
      </c>
      <c r="Z63" s="55" t="s">
        <v>67</v>
      </c>
      <c r="AA63" s="55" t="s">
        <v>67</v>
      </c>
      <c r="AB63" s="55" t="s">
        <v>67</v>
      </c>
      <c r="AC63" s="55" t="s">
        <v>67</v>
      </c>
      <c r="AD63" s="55" t="s">
        <v>67</v>
      </c>
      <c r="AE63" s="55" t="s">
        <v>67</v>
      </c>
      <c r="AF63" s="55" t="s">
        <v>67</v>
      </c>
      <c r="AG63" s="55" t="s">
        <v>67</v>
      </c>
      <c r="AH63" s="55" t="s">
        <v>67</v>
      </c>
      <c r="AI63" s="55" t="s">
        <v>67</v>
      </c>
      <c r="AJ63" s="23"/>
      <c r="AL63" t="str">
        <f t="shared" ca="1" si="0"/>
        <v xml:space="preserve">    (U1)ALERT_REQ_B_ESWUOC_PDB_</v>
      </c>
      <c r="AR63" s="57" t="str">
        <f t="shared" si="3"/>
        <v/>
      </c>
      <c r="AS63" s="57" t="str">
        <f t="shared" si="4"/>
        <v/>
      </c>
      <c r="AT63" s="57" t="str">
        <f t="shared" si="1"/>
        <v/>
      </c>
    </row>
    <row r="64" spans="2:46">
      <c r="B64" s="127"/>
      <c r="C64" s="41">
        <f t="shared" si="2"/>
        <v>58</v>
      </c>
      <c r="D64" s="55" t="s">
        <v>67</v>
      </c>
      <c r="E64" s="55" t="s">
        <v>67</v>
      </c>
      <c r="F64" s="55" t="s">
        <v>67</v>
      </c>
      <c r="G64" s="55" t="s">
        <v>67</v>
      </c>
      <c r="H64" s="55" t="s">
        <v>67</v>
      </c>
      <c r="I64" s="55" t="s">
        <v>67</v>
      </c>
      <c r="J64" s="55" t="s">
        <v>67</v>
      </c>
      <c r="K64" s="55" t="s">
        <v>67</v>
      </c>
      <c r="L64" s="55" t="s">
        <v>67</v>
      </c>
      <c r="M64" s="55" t="s">
        <v>67</v>
      </c>
      <c r="N64" s="55" t="s">
        <v>67</v>
      </c>
      <c r="O64" s="55" t="s">
        <v>67</v>
      </c>
      <c r="P64" s="55" t="s">
        <v>67</v>
      </c>
      <c r="Q64" s="55" t="s">
        <v>67</v>
      </c>
      <c r="R64" s="55" t="s">
        <v>67</v>
      </c>
      <c r="S64" s="55" t="s">
        <v>67</v>
      </c>
      <c r="T64" s="55" t="s">
        <v>67</v>
      </c>
      <c r="U64" s="55" t="s">
        <v>67</v>
      </c>
      <c r="V64" s="55" t="s">
        <v>67</v>
      </c>
      <c r="W64" s="55" t="s">
        <v>67</v>
      </c>
      <c r="X64" s="55" t="s">
        <v>67</v>
      </c>
      <c r="Y64" s="55" t="s">
        <v>67</v>
      </c>
      <c r="Z64" s="55" t="s">
        <v>67</v>
      </c>
      <c r="AA64" s="55" t="s">
        <v>67</v>
      </c>
      <c r="AB64" s="55" t="s">
        <v>67</v>
      </c>
      <c r="AC64" s="55" t="s">
        <v>67</v>
      </c>
      <c r="AD64" s="55" t="s">
        <v>67</v>
      </c>
      <c r="AE64" s="55" t="s">
        <v>67</v>
      </c>
      <c r="AF64" s="55" t="s">
        <v>67</v>
      </c>
      <c r="AG64" s="55" t="s">
        <v>67</v>
      </c>
      <c r="AH64" s="55" t="s">
        <v>67</v>
      </c>
      <c r="AI64" s="55" t="s">
        <v>67</v>
      </c>
      <c r="AJ64" s="23"/>
      <c r="AL64" t="str">
        <f t="shared" ca="1" si="0"/>
        <v xml:space="preserve">    (U1)ALERT_REQ_B_ESWUOC_PDB_</v>
      </c>
      <c r="AR64" s="57" t="str">
        <f t="shared" si="3"/>
        <v/>
      </c>
      <c r="AS64" s="57" t="str">
        <f t="shared" si="4"/>
        <v/>
      </c>
      <c r="AT64" s="57" t="str">
        <f t="shared" si="1"/>
        <v/>
      </c>
    </row>
    <row r="65" spans="1:46">
      <c r="B65" s="127"/>
      <c r="C65" s="41">
        <f t="shared" si="2"/>
        <v>59</v>
      </c>
      <c r="D65" s="55" t="s">
        <v>67</v>
      </c>
      <c r="E65" s="55" t="s">
        <v>67</v>
      </c>
      <c r="F65" s="55" t="s">
        <v>67</v>
      </c>
      <c r="G65" s="55" t="s">
        <v>67</v>
      </c>
      <c r="H65" s="55" t="s">
        <v>67</v>
      </c>
      <c r="I65" s="55" t="s">
        <v>67</v>
      </c>
      <c r="J65" s="55" t="s">
        <v>67</v>
      </c>
      <c r="K65" s="55" t="s">
        <v>67</v>
      </c>
      <c r="L65" s="55" t="s">
        <v>67</v>
      </c>
      <c r="M65" s="55" t="s">
        <v>67</v>
      </c>
      <c r="N65" s="55" t="s">
        <v>67</v>
      </c>
      <c r="O65" s="55" t="s">
        <v>67</v>
      </c>
      <c r="P65" s="55" t="s">
        <v>67</v>
      </c>
      <c r="Q65" s="55" t="s">
        <v>67</v>
      </c>
      <c r="R65" s="55" t="s">
        <v>67</v>
      </c>
      <c r="S65" s="55" t="s">
        <v>67</v>
      </c>
      <c r="T65" s="55" t="s">
        <v>67</v>
      </c>
      <c r="U65" s="55" t="s">
        <v>67</v>
      </c>
      <c r="V65" s="55" t="s">
        <v>67</v>
      </c>
      <c r="W65" s="55" t="s">
        <v>67</v>
      </c>
      <c r="X65" s="55" t="s">
        <v>67</v>
      </c>
      <c r="Y65" s="55" t="s">
        <v>67</v>
      </c>
      <c r="Z65" s="55" t="s">
        <v>67</v>
      </c>
      <c r="AA65" s="55" t="s">
        <v>67</v>
      </c>
      <c r="AB65" s="55" t="s">
        <v>67</v>
      </c>
      <c r="AC65" s="55" t="s">
        <v>67</v>
      </c>
      <c r="AD65" s="55" t="s">
        <v>67</v>
      </c>
      <c r="AE65" s="55" t="s">
        <v>67</v>
      </c>
      <c r="AF65" s="55" t="s">
        <v>67</v>
      </c>
      <c r="AG65" s="55" t="s">
        <v>67</v>
      </c>
      <c r="AH65" s="55" t="s">
        <v>67</v>
      </c>
      <c r="AI65" s="55" t="s">
        <v>67</v>
      </c>
      <c r="AJ65" s="23"/>
      <c r="AL65" t="str">
        <f t="shared" ca="1" si="0"/>
        <v xml:space="preserve">    (U1)ALERT_REQ_B_ESWUOC_PDB_</v>
      </c>
      <c r="AR65" s="57" t="str">
        <f t="shared" si="3"/>
        <v/>
      </c>
      <c r="AS65" s="57" t="str">
        <f t="shared" si="4"/>
        <v/>
      </c>
      <c r="AT65" s="57" t="str">
        <f t="shared" si="1"/>
        <v/>
      </c>
    </row>
    <row r="66" spans="1:46">
      <c r="B66" s="127"/>
      <c r="C66" s="41">
        <f t="shared" si="2"/>
        <v>60</v>
      </c>
      <c r="D66" s="55" t="s">
        <v>67</v>
      </c>
      <c r="E66" s="55" t="s">
        <v>67</v>
      </c>
      <c r="F66" s="55" t="s">
        <v>67</v>
      </c>
      <c r="G66" s="55" t="s">
        <v>67</v>
      </c>
      <c r="H66" s="55" t="s">
        <v>67</v>
      </c>
      <c r="I66" s="55" t="s">
        <v>67</v>
      </c>
      <c r="J66" s="55" t="s">
        <v>67</v>
      </c>
      <c r="K66" s="55" t="s">
        <v>67</v>
      </c>
      <c r="L66" s="55" t="s">
        <v>67</v>
      </c>
      <c r="M66" s="55" t="s">
        <v>67</v>
      </c>
      <c r="N66" s="55" t="s">
        <v>67</v>
      </c>
      <c r="O66" s="55" t="s">
        <v>67</v>
      </c>
      <c r="P66" s="55" t="s">
        <v>67</v>
      </c>
      <c r="Q66" s="55" t="s">
        <v>67</v>
      </c>
      <c r="R66" s="55" t="s">
        <v>67</v>
      </c>
      <c r="S66" s="55" t="s">
        <v>67</v>
      </c>
      <c r="T66" s="55" t="s">
        <v>67</v>
      </c>
      <c r="U66" s="55" t="s">
        <v>67</v>
      </c>
      <c r="V66" s="55" t="s">
        <v>67</v>
      </c>
      <c r="W66" s="55" t="s">
        <v>67</v>
      </c>
      <c r="X66" s="55" t="s">
        <v>67</v>
      </c>
      <c r="Y66" s="55" t="s">
        <v>67</v>
      </c>
      <c r="Z66" s="55" t="s">
        <v>67</v>
      </c>
      <c r="AA66" s="55" t="s">
        <v>67</v>
      </c>
      <c r="AB66" s="55" t="s">
        <v>67</v>
      </c>
      <c r="AC66" s="55" t="s">
        <v>67</v>
      </c>
      <c r="AD66" s="55" t="s">
        <v>67</v>
      </c>
      <c r="AE66" s="55" t="s">
        <v>67</v>
      </c>
      <c r="AF66" s="55" t="s">
        <v>67</v>
      </c>
      <c r="AG66" s="55" t="s">
        <v>67</v>
      </c>
      <c r="AH66" s="55" t="s">
        <v>67</v>
      </c>
      <c r="AI66" s="55" t="s">
        <v>67</v>
      </c>
      <c r="AJ66" s="23"/>
      <c r="AL66" t="str">
        <f t="shared" ca="1" si="0"/>
        <v xml:space="preserve">    (U1)ALERT_REQ_B_ESWUOC_PDB_</v>
      </c>
      <c r="AR66" s="57" t="str">
        <f t="shared" si="3"/>
        <v/>
      </c>
      <c r="AS66" s="57" t="str">
        <f t="shared" si="4"/>
        <v/>
      </c>
      <c r="AT66" s="57" t="str">
        <f t="shared" si="1"/>
        <v/>
      </c>
    </row>
    <row r="67" spans="1:46">
      <c r="B67" s="127"/>
      <c r="C67" s="41">
        <f t="shared" si="2"/>
        <v>61</v>
      </c>
      <c r="D67" s="55" t="s">
        <v>67</v>
      </c>
      <c r="E67" s="55" t="s">
        <v>67</v>
      </c>
      <c r="F67" s="55" t="s">
        <v>67</v>
      </c>
      <c r="G67" s="55" t="s">
        <v>67</v>
      </c>
      <c r="H67" s="55" t="s">
        <v>67</v>
      </c>
      <c r="I67" s="55" t="s">
        <v>67</v>
      </c>
      <c r="J67" s="55" t="s">
        <v>67</v>
      </c>
      <c r="K67" s="55" t="s">
        <v>67</v>
      </c>
      <c r="L67" s="55" t="s">
        <v>67</v>
      </c>
      <c r="M67" s="55" t="s">
        <v>67</v>
      </c>
      <c r="N67" s="55" t="s">
        <v>67</v>
      </c>
      <c r="O67" s="55" t="s">
        <v>67</v>
      </c>
      <c r="P67" s="55" t="s">
        <v>67</v>
      </c>
      <c r="Q67" s="55" t="s">
        <v>67</v>
      </c>
      <c r="R67" s="55" t="s">
        <v>67</v>
      </c>
      <c r="S67" s="55" t="s">
        <v>67</v>
      </c>
      <c r="T67" s="55" t="s">
        <v>67</v>
      </c>
      <c r="U67" s="55" t="s">
        <v>67</v>
      </c>
      <c r="V67" s="55" t="s">
        <v>67</v>
      </c>
      <c r="W67" s="55" t="s">
        <v>67</v>
      </c>
      <c r="X67" s="55" t="s">
        <v>67</v>
      </c>
      <c r="Y67" s="55" t="s">
        <v>67</v>
      </c>
      <c r="Z67" s="55" t="s">
        <v>67</v>
      </c>
      <c r="AA67" s="55" t="s">
        <v>67</v>
      </c>
      <c r="AB67" s="55" t="s">
        <v>67</v>
      </c>
      <c r="AC67" s="55" t="s">
        <v>67</v>
      </c>
      <c r="AD67" s="55" t="s">
        <v>67</v>
      </c>
      <c r="AE67" s="55" t="s">
        <v>67</v>
      </c>
      <c r="AF67" s="55" t="s">
        <v>67</v>
      </c>
      <c r="AG67" s="55" t="s">
        <v>67</v>
      </c>
      <c r="AH67" s="55" t="s">
        <v>67</v>
      </c>
      <c r="AI67" s="55" t="s">
        <v>67</v>
      </c>
      <c r="AJ67" s="23"/>
      <c r="AL67" t="str">
        <f t="shared" ca="1" si="0"/>
        <v xml:space="preserve">    (U1)ALERT_REQ_B_ESWUOC_PDB_</v>
      </c>
      <c r="AR67" s="57" t="str">
        <f t="shared" si="3"/>
        <v/>
      </c>
      <c r="AS67" s="57" t="str">
        <f t="shared" si="4"/>
        <v/>
      </c>
      <c r="AT67" s="57" t="str">
        <f t="shared" si="1"/>
        <v/>
      </c>
    </row>
    <row r="68" spans="1:46">
      <c r="B68" s="127"/>
      <c r="C68" s="41">
        <f t="shared" si="2"/>
        <v>62</v>
      </c>
      <c r="D68" s="55" t="s">
        <v>67</v>
      </c>
      <c r="E68" s="55" t="s">
        <v>67</v>
      </c>
      <c r="F68" s="55" t="s">
        <v>67</v>
      </c>
      <c r="G68" s="55" t="s">
        <v>67</v>
      </c>
      <c r="H68" s="55" t="s">
        <v>67</v>
      </c>
      <c r="I68" s="55" t="s">
        <v>67</v>
      </c>
      <c r="J68" s="55" t="s">
        <v>67</v>
      </c>
      <c r="K68" s="55" t="s">
        <v>67</v>
      </c>
      <c r="L68" s="55" t="s">
        <v>67</v>
      </c>
      <c r="M68" s="55" t="s">
        <v>67</v>
      </c>
      <c r="N68" s="55" t="s">
        <v>67</v>
      </c>
      <c r="O68" s="55" t="s">
        <v>67</v>
      </c>
      <c r="P68" s="55" t="s">
        <v>67</v>
      </c>
      <c r="Q68" s="55" t="s">
        <v>67</v>
      </c>
      <c r="R68" s="55" t="s">
        <v>67</v>
      </c>
      <c r="S68" s="55" t="s">
        <v>67</v>
      </c>
      <c r="T68" s="55" t="s">
        <v>67</v>
      </c>
      <c r="U68" s="55" t="s">
        <v>67</v>
      </c>
      <c r="V68" s="55" t="s">
        <v>67</v>
      </c>
      <c r="W68" s="55" t="s">
        <v>67</v>
      </c>
      <c r="X68" s="55" t="s">
        <v>67</v>
      </c>
      <c r="Y68" s="55" t="s">
        <v>67</v>
      </c>
      <c r="Z68" s="55" t="s">
        <v>67</v>
      </c>
      <c r="AA68" s="55" t="s">
        <v>67</v>
      </c>
      <c r="AB68" s="55" t="s">
        <v>67</v>
      </c>
      <c r="AC68" s="55" t="s">
        <v>67</v>
      </c>
      <c r="AD68" s="55" t="s">
        <v>67</v>
      </c>
      <c r="AE68" s="55" t="s">
        <v>67</v>
      </c>
      <c r="AF68" s="55" t="s">
        <v>67</v>
      </c>
      <c r="AG68" s="55" t="s">
        <v>67</v>
      </c>
      <c r="AH68" s="55" t="s">
        <v>67</v>
      </c>
      <c r="AI68" s="55" t="s">
        <v>67</v>
      </c>
      <c r="AJ68" s="23"/>
      <c r="AL68" t="str">
        <f t="shared" ca="1" si="0"/>
        <v xml:space="preserve">    (U1)ALERT_REQ_B_ESWUOC_PDB_</v>
      </c>
      <c r="AR68" s="57" t="str">
        <f t="shared" si="3"/>
        <v/>
      </c>
      <c r="AS68" s="57" t="str">
        <f t="shared" si="4"/>
        <v/>
      </c>
      <c r="AT68" s="57" t="str">
        <f t="shared" si="1"/>
        <v/>
      </c>
    </row>
    <row r="69" spans="1:46">
      <c r="B69" s="128"/>
      <c r="C69" s="41">
        <f t="shared" si="2"/>
        <v>63</v>
      </c>
      <c r="D69" s="55" t="s">
        <v>67</v>
      </c>
      <c r="E69" s="55" t="s">
        <v>67</v>
      </c>
      <c r="F69" s="55" t="s">
        <v>67</v>
      </c>
      <c r="G69" s="55" t="s">
        <v>67</v>
      </c>
      <c r="H69" s="55" t="s">
        <v>67</v>
      </c>
      <c r="I69" s="55" t="s">
        <v>67</v>
      </c>
      <c r="J69" s="55" t="s">
        <v>67</v>
      </c>
      <c r="K69" s="55" t="s">
        <v>67</v>
      </c>
      <c r="L69" s="55" t="s">
        <v>67</v>
      </c>
      <c r="M69" s="55" t="s">
        <v>67</v>
      </c>
      <c r="N69" s="55" t="s">
        <v>67</v>
      </c>
      <c r="O69" s="55" t="s">
        <v>67</v>
      </c>
      <c r="P69" s="55" t="s">
        <v>67</v>
      </c>
      <c r="Q69" s="55" t="s">
        <v>67</v>
      </c>
      <c r="R69" s="55" t="s">
        <v>67</v>
      </c>
      <c r="S69" s="55" t="s">
        <v>67</v>
      </c>
      <c r="T69" s="55" t="s">
        <v>67</v>
      </c>
      <c r="U69" s="55" t="s">
        <v>67</v>
      </c>
      <c r="V69" s="55" t="s">
        <v>67</v>
      </c>
      <c r="W69" s="55" t="s">
        <v>67</v>
      </c>
      <c r="X69" s="55" t="s">
        <v>67</v>
      </c>
      <c r="Y69" s="55" t="s">
        <v>67</v>
      </c>
      <c r="Z69" s="55" t="s">
        <v>67</v>
      </c>
      <c r="AA69" s="55" t="s">
        <v>67</v>
      </c>
      <c r="AB69" s="55" t="s">
        <v>67</v>
      </c>
      <c r="AC69" s="55" t="s">
        <v>67</v>
      </c>
      <c r="AD69" s="55" t="s">
        <v>67</v>
      </c>
      <c r="AE69" s="55" t="s">
        <v>67</v>
      </c>
      <c r="AF69" s="55" t="s">
        <v>67</v>
      </c>
      <c r="AG69" s="55" t="s">
        <v>67</v>
      </c>
      <c r="AH69" s="55" t="s">
        <v>67</v>
      </c>
      <c r="AI69" s="55" t="s">
        <v>67</v>
      </c>
      <c r="AJ69" s="23"/>
      <c r="AL69" t="str">
        <f t="shared" ca="1" si="0"/>
        <v xml:space="preserve">    (U1)ALERT_REQ_B_ESWUOC_PDB_</v>
      </c>
      <c r="AR69" s="57" t="str">
        <f t="shared" si="3"/>
        <v/>
      </c>
      <c r="AS69" s="57" t="str">
        <f t="shared" si="4"/>
        <v/>
      </c>
      <c r="AT69" s="57" t="str">
        <f t="shared" si="1"/>
        <v/>
      </c>
    </row>
    <row r="70" spans="1:46" ht="13.5" thickBot="1">
      <c r="A70" s="50" t="s">
        <v>64</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29" t="str">
        <f ca="1">IF(B6&lt;&gt;"",B6,"")</f>
        <v>Table PDB</v>
      </c>
      <c r="C71" s="41">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1">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1" t="str">
        <f t="shared" si="7"/>
        <v>UNKNOWN</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UNKNOWN                                         */</v>
      </c>
    </row>
    <row r="73" spans="1:46">
      <c r="B73" s="127"/>
      <c r="C73" s="41">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1" t="str">
        <f t="shared" si="7"/>
        <v>UNKNOWN</v>
      </c>
      <c r="AK73" s="54"/>
      <c r="AL73" s="54" t="str">
        <f t="shared" si="10"/>
        <v>02</v>
      </c>
      <c r="AM73" s="56" t="str">
        <f t="shared" si="11"/>
        <v>00</v>
      </c>
      <c r="AN73" s="56" t="str">
        <f t="shared" si="12"/>
        <v>00</v>
      </c>
      <c r="AO73" s="56" t="str">
        <f t="shared" si="13"/>
        <v>00</v>
      </c>
      <c r="AQ73" t="str">
        <f t="shared" si="8"/>
        <v xml:space="preserve">    (U4)0x00000002U,                                                           /* 02 UNKNOWN                                         */</v>
      </c>
    </row>
    <row r="74" spans="1:46">
      <c r="B74" s="127"/>
      <c r="C74" s="41">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1" t="str">
        <f t="shared" si="7"/>
        <v>UNKNOWN</v>
      </c>
      <c r="AK74" s="54"/>
      <c r="AL74" s="54" t="str">
        <f t="shared" si="10"/>
        <v>03</v>
      </c>
      <c r="AM74" s="56" t="str">
        <f t="shared" si="11"/>
        <v>00</v>
      </c>
      <c r="AN74" s="56" t="str">
        <f t="shared" si="12"/>
        <v>00</v>
      </c>
      <c r="AO74" s="56" t="str">
        <f t="shared" si="13"/>
        <v>00</v>
      </c>
      <c r="AQ74" t="str">
        <f t="shared" si="8"/>
        <v xml:space="preserve">    (U4)0x00000003U,                                                           /* 03 UNKNOWN                                         */</v>
      </c>
    </row>
    <row r="75" spans="1:46">
      <c r="B75" s="127"/>
      <c r="C75" s="41">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1" t="str">
        <f t="shared" si="7"/>
        <v>UNKNOWN</v>
      </c>
      <c r="AK75" s="54"/>
      <c r="AL75" s="54" t="str">
        <f t="shared" si="10"/>
        <v>04</v>
      </c>
      <c r="AM75" s="56" t="str">
        <f t="shared" si="11"/>
        <v>00</v>
      </c>
      <c r="AN75" s="56" t="str">
        <f t="shared" si="12"/>
        <v>00</v>
      </c>
      <c r="AO75" s="56" t="str">
        <f t="shared" si="13"/>
        <v>00</v>
      </c>
      <c r="AQ75" t="str">
        <f t="shared" si="8"/>
        <v xml:space="preserve">    (U4)0x00000004U,                                                           /* 04 UNKNOWN                                         */</v>
      </c>
    </row>
    <row r="76" spans="1:46">
      <c r="B76" s="127"/>
      <c r="C76" s="41">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27"/>
      <c r="C77" s="41">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27"/>
      <c r="C78" s="41">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27"/>
      <c r="C79" s="41">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27"/>
      <c r="C80" s="41">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27"/>
      <c r="C81" s="41">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27"/>
      <c r="C82" s="41">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1" t="str">
        <f t="shared" si="7"/>
        <v>UNKNOWN</v>
      </c>
      <c r="AK82" s="54"/>
      <c r="AL82" s="54" t="str">
        <f t="shared" si="10"/>
        <v>0B</v>
      </c>
      <c r="AM82" s="56" t="str">
        <f t="shared" si="11"/>
        <v>00</v>
      </c>
      <c r="AN82" s="56" t="str">
        <f t="shared" si="12"/>
        <v>00</v>
      </c>
      <c r="AO82" s="56" t="str">
        <f t="shared" si="13"/>
        <v>00</v>
      </c>
      <c r="AQ82" t="str">
        <f t="shared" si="8"/>
        <v xml:space="preserve">    (U4)0x0000000BU,                                                           /* 11 UNKNOWN                                         */</v>
      </c>
    </row>
    <row r="83" spans="2:43">
      <c r="B83" s="127"/>
      <c r="C83" s="41">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27"/>
      <c r="C84" s="41">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27"/>
      <c r="C85" s="41">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27"/>
      <c r="C86" s="41">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27"/>
      <c r="C87" s="41">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1</v>
      </c>
      <c r="AF87" s="119">
        <f t="shared" si="17"/>
        <v>0</v>
      </c>
      <c r="AG87" s="119">
        <f t="shared" si="17"/>
        <v>0</v>
      </c>
      <c r="AH87" s="119">
        <f t="shared" si="17"/>
        <v>0</v>
      </c>
      <c r="AI87" s="119">
        <f t="shared" si="17"/>
        <v>0</v>
      </c>
      <c r="AJ87" s="41" t="str">
        <f t="shared" si="7"/>
        <v>UNKNOWN</v>
      </c>
      <c r="AK87" s="54"/>
      <c r="AL87" s="54" t="str">
        <f t="shared" si="10"/>
        <v>10</v>
      </c>
      <c r="AM87" s="56" t="str">
        <f t="shared" si="11"/>
        <v>00</v>
      </c>
      <c r="AN87" s="56" t="str">
        <f t="shared" si="12"/>
        <v>00</v>
      </c>
      <c r="AO87" s="56" t="str">
        <f t="shared" si="13"/>
        <v>00</v>
      </c>
      <c r="AQ87" t="str">
        <f t="shared" si="8"/>
        <v xml:space="preserve">    (U4)0x00000010U,                                                           /* 16 UNKNOWN                                         */</v>
      </c>
    </row>
    <row r="88" spans="2:43">
      <c r="B88" s="127"/>
      <c r="C88" s="41">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1</v>
      </c>
      <c r="AF88" s="119">
        <f t="shared" si="17"/>
        <v>0</v>
      </c>
      <c r="AG88" s="119">
        <f t="shared" si="17"/>
        <v>0</v>
      </c>
      <c r="AH88" s="119">
        <f t="shared" si="17"/>
        <v>0</v>
      </c>
      <c r="AI88" s="119">
        <f t="shared" si="17"/>
        <v>1</v>
      </c>
      <c r="AJ88" s="41" t="str">
        <f t="shared" si="7"/>
        <v>SYSMLFNC</v>
      </c>
      <c r="AK88" s="54"/>
      <c r="AL88" s="54" t="str">
        <f t="shared" si="10"/>
        <v>11</v>
      </c>
      <c r="AM88" s="56" t="str">
        <f t="shared" si="11"/>
        <v>00</v>
      </c>
      <c r="AN88" s="56" t="str">
        <f t="shared" si="12"/>
        <v>00</v>
      </c>
      <c r="AO88" s="56" t="str">
        <f t="shared" si="13"/>
        <v>00</v>
      </c>
      <c r="AQ88" t="str">
        <f t="shared" si="8"/>
        <v xml:space="preserve">    (U4)0x00000011U,                                                           /* 17 SYSMLFNC                                        */</v>
      </c>
    </row>
    <row r="89" spans="2:43">
      <c r="B89" s="127"/>
      <c r="C89" s="41">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1</v>
      </c>
      <c r="AF89" s="119">
        <f t="shared" si="17"/>
        <v>0</v>
      </c>
      <c r="AG89" s="119">
        <f t="shared" si="17"/>
        <v>0</v>
      </c>
      <c r="AH89" s="119">
        <f t="shared" si="17"/>
        <v>1</v>
      </c>
      <c r="AI89" s="119">
        <f t="shared" si="17"/>
        <v>0</v>
      </c>
      <c r="AJ89" s="41" t="str">
        <f t="shared" si="7"/>
        <v>LHDSHOCK</v>
      </c>
      <c r="AK89" s="54"/>
      <c r="AL89" s="54" t="str">
        <f t="shared" si="10"/>
        <v>12</v>
      </c>
      <c r="AM89" s="56" t="str">
        <f t="shared" si="11"/>
        <v>00</v>
      </c>
      <c r="AN89" s="56" t="str">
        <f t="shared" si="12"/>
        <v>00</v>
      </c>
      <c r="AO89" s="56" t="str">
        <f t="shared" si="13"/>
        <v>00</v>
      </c>
      <c r="AQ89" t="str">
        <f t="shared" si="8"/>
        <v xml:space="preserve">    (U4)0x00000012U,                                                           /* 18 LHDSHOCK                                        */</v>
      </c>
    </row>
    <row r="90" spans="2:43">
      <c r="B90" s="127"/>
      <c r="C90" s="41">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1</v>
      </c>
      <c r="AF90" s="119">
        <f t="shared" si="17"/>
        <v>0</v>
      </c>
      <c r="AG90" s="119">
        <f t="shared" si="17"/>
        <v>0</v>
      </c>
      <c r="AH90" s="119">
        <f t="shared" si="17"/>
        <v>1</v>
      </c>
      <c r="AI90" s="119">
        <f t="shared" si="17"/>
        <v>1</v>
      </c>
      <c r="AJ90" s="41" t="str">
        <f t="shared" si="7"/>
        <v>UNKNOWN</v>
      </c>
      <c r="AK90" s="54"/>
      <c r="AL90" s="54" t="str">
        <f t="shared" si="10"/>
        <v>13</v>
      </c>
      <c r="AM90" s="56" t="str">
        <f t="shared" si="11"/>
        <v>00</v>
      </c>
      <c r="AN90" s="56" t="str">
        <f t="shared" si="12"/>
        <v>00</v>
      </c>
      <c r="AO90" s="56" t="str">
        <f t="shared" si="13"/>
        <v>00</v>
      </c>
      <c r="AQ90" t="str">
        <f t="shared" si="8"/>
        <v xml:space="preserve">    (U4)0x00000013U,                                                           /* 19 UNKNOWN                                         */</v>
      </c>
    </row>
    <row r="91" spans="2:43">
      <c r="B91" s="127"/>
      <c r="C91" s="41">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1</v>
      </c>
      <c r="AF91" s="119">
        <f t="shared" si="17"/>
        <v>0</v>
      </c>
      <c r="AG91" s="119">
        <f t="shared" si="17"/>
        <v>1</v>
      </c>
      <c r="AH91" s="119">
        <f t="shared" si="17"/>
        <v>0</v>
      </c>
      <c r="AI91" s="119">
        <f t="shared" si="17"/>
        <v>0</v>
      </c>
      <c r="AJ91" s="41" t="str">
        <f t="shared" si="7"/>
        <v>UNKNOWN</v>
      </c>
      <c r="AK91" s="54"/>
      <c r="AL91" s="54" t="str">
        <f t="shared" si="10"/>
        <v>14</v>
      </c>
      <c r="AM91" s="56" t="str">
        <f t="shared" si="11"/>
        <v>00</v>
      </c>
      <c r="AN91" s="56" t="str">
        <f t="shared" si="12"/>
        <v>00</v>
      </c>
      <c r="AO91" s="56" t="str">
        <f t="shared" si="13"/>
        <v>00</v>
      </c>
      <c r="AQ91" t="str">
        <f t="shared" si="8"/>
        <v xml:space="preserve">    (U4)0x00000014U,                                                           /* 20 UNKNOWN                                         */</v>
      </c>
    </row>
    <row r="92" spans="2:43">
      <c r="B92" s="127"/>
      <c r="C92" s="41">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1</v>
      </c>
      <c r="AF92" s="119">
        <f t="shared" si="17"/>
        <v>0</v>
      </c>
      <c r="AG92" s="119">
        <f t="shared" si="17"/>
        <v>1</v>
      </c>
      <c r="AH92" s="119">
        <f t="shared" si="17"/>
        <v>0</v>
      </c>
      <c r="AI92" s="119">
        <f t="shared" si="17"/>
        <v>1</v>
      </c>
      <c r="AJ92" s="41" t="str">
        <f t="shared" si="7"/>
        <v>UNKNOWN</v>
      </c>
      <c r="AK92" s="54"/>
      <c r="AL92" s="54" t="str">
        <f t="shared" si="10"/>
        <v>15</v>
      </c>
      <c r="AM92" s="56" t="str">
        <f t="shared" si="11"/>
        <v>00</v>
      </c>
      <c r="AN92" s="56" t="str">
        <f t="shared" si="12"/>
        <v>00</v>
      </c>
      <c r="AO92" s="56" t="str">
        <f t="shared" si="13"/>
        <v>00</v>
      </c>
      <c r="AQ92" t="str">
        <f t="shared" si="8"/>
        <v xml:space="preserve">    (U4)0x00000015U,                                                           /* 21 UNKNOWN                                         */</v>
      </c>
    </row>
    <row r="93" spans="2:43">
      <c r="B93" s="127"/>
      <c r="C93" s="41">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1</v>
      </c>
      <c r="AF93" s="119">
        <f t="shared" si="17"/>
        <v>0</v>
      </c>
      <c r="AG93" s="119">
        <f t="shared" si="17"/>
        <v>1</v>
      </c>
      <c r="AH93" s="119">
        <f t="shared" si="17"/>
        <v>1</v>
      </c>
      <c r="AI93" s="119">
        <f t="shared" si="17"/>
        <v>0</v>
      </c>
      <c r="AJ93" s="41" t="str">
        <f t="shared" si="7"/>
        <v>UNKNOWN</v>
      </c>
      <c r="AK93" s="54"/>
      <c r="AL93" s="54" t="str">
        <f t="shared" si="10"/>
        <v>16</v>
      </c>
      <c r="AM93" s="56" t="str">
        <f t="shared" si="11"/>
        <v>00</v>
      </c>
      <c r="AN93" s="56" t="str">
        <f t="shared" si="12"/>
        <v>00</v>
      </c>
      <c r="AO93" s="56" t="str">
        <f t="shared" si="13"/>
        <v>00</v>
      </c>
      <c r="AQ93" t="str">
        <f t="shared" si="8"/>
        <v xml:space="preserve">    (U4)0x00000016U,                                                           /* 22 UNKNOWN                                         */</v>
      </c>
    </row>
    <row r="94" spans="2:43">
      <c r="B94" s="127"/>
      <c r="C94" s="41">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1</v>
      </c>
      <c r="AF94" s="119">
        <f t="shared" si="17"/>
        <v>0</v>
      </c>
      <c r="AG94" s="119">
        <f t="shared" si="17"/>
        <v>1</v>
      </c>
      <c r="AH94" s="119">
        <f t="shared" si="17"/>
        <v>1</v>
      </c>
      <c r="AI94" s="119">
        <f t="shared" ref="AI94" si="18">IF(AI29=1,1,0)</f>
        <v>1</v>
      </c>
      <c r="AJ94" s="41" t="str">
        <f t="shared" si="7"/>
        <v>RHDSHOCK</v>
      </c>
      <c r="AK94" s="54"/>
      <c r="AL94" s="54" t="str">
        <f t="shared" si="10"/>
        <v>17</v>
      </c>
      <c r="AM94" s="56" t="str">
        <f t="shared" si="11"/>
        <v>00</v>
      </c>
      <c r="AN94" s="56" t="str">
        <f t="shared" si="12"/>
        <v>00</v>
      </c>
      <c r="AO94" s="56" t="str">
        <f t="shared" si="13"/>
        <v>00</v>
      </c>
      <c r="AQ94" t="str">
        <f t="shared" si="8"/>
        <v xml:space="preserve">    (U4)0x00000017U,                                                           /* 23 RHDSHOCK                                        */</v>
      </c>
    </row>
    <row r="95" spans="2:43">
      <c r="B95" s="127"/>
      <c r="C95" s="41">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1</v>
      </c>
      <c r="AF95" s="119">
        <f t="shared" si="19"/>
        <v>1</v>
      </c>
      <c r="AG95" s="119">
        <f t="shared" si="19"/>
        <v>0</v>
      </c>
      <c r="AH95" s="119">
        <f t="shared" si="19"/>
        <v>0</v>
      </c>
      <c r="AI95" s="119">
        <f t="shared" si="19"/>
        <v>0</v>
      </c>
      <c r="AJ95" s="41" t="str">
        <f t="shared" si="7"/>
        <v>UNKNOWN</v>
      </c>
      <c r="AK95" s="54"/>
      <c r="AL95" s="54" t="str">
        <f t="shared" si="10"/>
        <v>18</v>
      </c>
      <c r="AM95" s="56" t="str">
        <f t="shared" si="11"/>
        <v>00</v>
      </c>
      <c r="AN95" s="56" t="str">
        <f t="shared" si="12"/>
        <v>00</v>
      </c>
      <c r="AO95" s="56" t="str">
        <f t="shared" si="13"/>
        <v>00</v>
      </c>
      <c r="AQ95" t="str">
        <f t="shared" si="8"/>
        <v xml:space="preserve">    (U4)0x00000018U,                                                           /* 24 UNKNOWN                                         */</v>
      </c>
    </row>
    <row r="96" spans="2:43">
      <c r="B96" s="127"/>
      <c r="C96" s="41">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1</v>
      </c>
      <c r="AF96" s="119">
        <f t="shared" si="19"/>
        <v>1</v>
      </c>
      <c r="AG96" s="119">
        <f t="shared" si="19"/>
        <v>0</v>
      </c>
      <c r="AH96" s="119">
        <f t="shared" si="19"/>
        <v>0</v>
      </c>
      <c r="AI96" s="119">
        <f t="shared" si="19"/>
        <v>1</v>
      </c>
      <c r="AJ96" s="41" t="str">
        <f t="shared" si="7"/>
        <v>UNKNOWN</v>
      </c>
      <c r="AK96" s="54"/>
      <c r="AL96" s="54" t="str">
        <f t="shared" si="10"/>
        <v>19</v>
      </c>
      <c r="AM96" s="56" t="str">
        <f t="shared" si="11"/>
        <v>00</v>
      </c>
      <c r="AN96" s="56" t="str">
        <f t="shared" si="12"/>
        <v>00</v>
      </c>
      <c r="AO96" s="56" t="str">
        <f t="shared" si="13"/>
        <v>00</v>
      </c>
      <c r="AQ96" t="str">
        <f t="shared" si="8"/>
        <v xml:space="preserve">    (U4)0x00000019U,                                                           /* 25 UNKNOWN                                         */</v>
      </c>
    </row>
    <row r="97" spans="2:43">
      <c r="B97" s="127"/>
      <c r="C97" s="41">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1</v>
      </c>
      <c r="AF97" s="119">
        <f t="shared" si="19"/>
        <v>1</v>
      </c>
      <c r="AG97" s="119">
        <f t="shared" si="19"/>
        <v>0</v>
      </c>
      <c r="AH97" s="119">
        <f t="shared" si="19"/>
        <v>1</v>
      </c>
      <c r="AI97" s="119">
        <f t="shared" si="19"/>
        <v>0</v>
      </c>
      <c r="AJ97" s="41" t="str">
        <f t="shared" si="7"/>
        <v>UNKNOWN</v>
      </c>
      <c r="AK97" s="54"/>
      <c r="AL97" s="54" t="str">
        <f t="shared" si="10"/>
        <v>1A</v>
      </c>
      <c r="AM97" s="56" t="str">
        <f t="shared" si="11"/>
        <v>00</v>
      </c>
      <c r="AN97" s="56" t="str">
        <f t="shared" si="12"/>
        <v>00</v>
      </c>
      <c r="AO97" s="56" t="str">
        <f t="shared" si="13"/>
        <v>00</v>
      </c>
      <c r="AQ97" t="str">
        <f t="shared" si="8"/>
        <v xml:space="preserve">    (U4)0x0000001AU,                                                           /* 26 UNKNOWN                                         */</v>
      </c>
    </row>
    <row r="98" spans="2:43">
      <c r="B98" s="127"/>
      <c r="C98" s="41">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1</v>
      </c>
      <c r="AF98" s="119">
        <f t="shared" si="19"/>
        <v>1</v>
      </c>
      <c r="AG98" s="119">
        <f t="shared" si="19"/>
        <v>0</v>
      </c>
      <c r="AH98" s="119">
        <f t="shared" si="19"/>
        <v>1</v>
      </c>
      <c r="AI98" s="119">
        <f t="shared" si="19"/>
        <v>1</v>
      </c>
      <c r="AJ98" s="41" t="str">
        <f t="shared" si="7"/>
        <v>UNKNOWN</v>
      </c>
      <c r="AK98" s="54"/>
      <c r="AL98" s="54" t="str">
        <f t="shared" si="10"/>
        <v>1B</v>
      </c>
      <c r="AM98" s="56" t="str">
        <f t="shared" si="11"/>
        <v>00</v>
      </c>
      <c r="AN98" s="56" t="str">
        <f t="shared" si="12"/>
        <v>00</v>
      </c>
      <c r="AO98" s="56" t="str">
        <f t="shared" si="13"/>
        <v>00</v>
      </c>
      <c r="AQ98" t="str">
        <f t="shared" si="8"/>
        <v xml:space="preserve">    (U4)0x0000001BU,                                                           /* 27 UNKNOWN                                         */</v>
      </c>
    </row>
    <row r="99" spans="2:43">
      <c r="B99" s="127"/>
      <c r="C99" s="41">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1</v>
      </c>
      <c r="AF99" s="119">
        <f t="shared" si="19"/>
        <v>1</v>
      </c>
      <c r="AG99" s="119">
        <f t="shared" si="19"/>
        <v>1</v>
      </c>
      <c r="AH99" s="119">
        <f t="shared" si="19"/>
        <v>0</v>
      </c>
      <c r="AI99" s="119">
        <f t="shared" si="19"/>
        <v>0</v>
      </c>
      <c r="AJ99" s="41" t="str">
        <f t="shared" si="7"/>
        <v>UNKNOWN</v>
      </c>
      <c r="AK99" s="54"/>
      <c r="AL99" s="54" t="str">
        <f t="shared" si="10"/>
        <v>1C</v>
      </c>
      <c r="AM99" s="56" t="str">
        <f t="shared" si="11"/>
        <v>00</v>
      </c>
      <c r="AN99" s="56" t="str">
        <f t="shared" si="12"/>
        <v>00</v>
      </c>
      <c r="AO99" s="56" t="str">
        <f t="shared" si="13"/>
        <v>00</v>
      </c>
      <c r="AQ99" t="str">
        <f t="shared" si="8"/>
        <v xml:space="preserve">    (U4)0x0000001CU,                                                           /* 28 UNKNOWN                                         */</v>
      </c>
    </row>
    <row r="100" spans="2:43">
      <c r="B100" s="127"/>
      <c r="C100" s="41">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1</v>
      </c>
      <c r="AF100" s="119">
        <f t="shared" si="19"/>
        <v>1</v>
      </c>
      <c r="AG100" s="119">
        <f t="shared" si="19"/>
        <v>1</v>
      </c>
      <c r="AH100" s="119">
        <f t="shared" si="19"/>
        <v>0</v>
      </c>
      <c r="AI100" s="119">
        <f t="shared" si="19"/>
        <v>1</v>
      </c>
      <c r="AJ100" s="41" t="str">
        <f t="shared" si="7"/>
        <v>UNKNOWN</v>
      </c>
      <c r="AK100" s="54"/>
      <c r="AL100" s="54" t="str">
        <f t="shared" si="10"/>
        <v>1D</v>
      </c>
      <c r="AM100" s="56" t="str">
        <f t="shared" si="11"/>
        <v>00</v>
      </c>
      <c r="AN100" s="56" t="str">
        <f t="shared" si="12"/>
        <v>00</v>
      </c>
      <c r="AO100" s="56" t="str">
        <f t="shared" si="13"/>
        <v>00</v>
      </c>
      <c r="AQ100" t="str">
        <f t="shared" si="8"/>
        <v xml:space="preserve">    (U4)0x0000001DU,                                                           /* 29 UNKNOWN                                         */</v>
      </c>
    </row>
    <row r="101" spans="2:43">
      <c r="B101" s="127"/>
      <c r="C101" s="41">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1</v>
      </c>
      <c r="AF101" s="119">
        <f t="shared" si="19"/>
        <v>1</v>
      </c>
      <c r="AG101" s="119">
        <f t="shared" si="19"/>
        <v>1</v>
      </c>
      <c r="AH101" s="119">
        <f t="shared" si="19"/>
        <v>1</v>
      </c>
      <c r="AI101" s="119">
        <f t="shared" si="19"/>
        <v>0</v>
      </c>
      <c r="AJ101" s="41" t="str">
        <f t="shared" si="7"/>
        <v>UNKNOWN</v>
      </c>
      <c r="AK101" s="54"/>
      <c r="AL101" s="54" t="str">
        <f t="shared" si="10"/>
        <v>1E</v>
      </c>
      <c r="AM101" s="56" t="str">
        <f t="shared" si="11"/>
        <v>00</v>
      </c>
      <c r="AN101" s="56" t="str">
        <f t="shared" si="12"/>
        <v>00</v>
      </c>
      <c r="AO101" s="56" t="str">
        <f t="shared" si="13"/>
        <v>00</v>
      </c>
      <c r="AQ101" t="str">
        <f t="shared" si="8"/>
        <v xml:space="preserve">    (U4)0x0000001EU,                                                           /* 30 UNKNOWN                                         */</v>
      </c>
    </row>
    <row r="102" spans="2:43">
      <c r="B102" s="127"/>
      <c r="C102" s="41">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1</v>
      </c>
      <c r="AF102" s="119">
        <f t="shared" si="19"/>
        <v>1</v>
      </c>
      <c r="AG102" s="119">
        <f t="shared" si="19"/>
        <v>1</v>
      </c>
      <c r="AH102" s="119">
        <f t="shared" si="19"/>
        <v>1</v>
      </c>
      <c r="AI102" s="119">
        <f t="shared" ref="AI102" si="20">IF(AI37=1,1,0)</f>
        <v>1</v>
      </c>
      <c r="AJ102" s="41" t="str">
        <f t="shared" si="7"/>
        <v>UNKNOWN</v>
      </c>
      <c r="AK102" s="54"/>
      <c r="AL102" s="54" t="str">
        <f t="shared" si="10"/>
        <v>1F</v>
      </c>
      <c r="AM102" s="56" t="str">
        <f t="shared" si="11"/>
        <v>00</v>
      </c>
      <c r="AN102" s="56" t="str">
        <f t="shared" si="12"/>
        <v>00</v>
      </c>
      <c r="AO102" s="56" t="str">
        <f t="shared" si="13"/>
        <v>00</v>
      </c>
      <c r="AQ102" t="str">
        <f t="shared" si="8"/>
        <v xml:space="preserve">    (U4)0x0000001FU                                                            /* 31 UNKNOWN                                         */</v>
      </c>
    </row>
    <row r="103" spans="2:43">
      <c r="B103" s="127"/>
      <c r="C103" s="41">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27"/>
      <c r="C104" s="41">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27"/>
      <c r="C105" s="41">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27"/>
      <c r="C106" s="41">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27"/>
      <c r="C107" s="41">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27"/>
      <c r="C108" s="41">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27"/>
      <c r="C109" s="41">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27"/>
      <c r="C110" s="41">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27"/>
      <c r="C111" s="41">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27"/>
      <c r="C112" s="41">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27"/>
      <c r="C113" s="41">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27"/>
      <c r="C114" s="41">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27"/>
      <c r="C115" s="41">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27"/>
      <c r="C116" s="41">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27"/>
      <c r="C117" s="41">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27"/>
      <c r="C118" s="41">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27"/>
      <c r="C119" s="41">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27"/>
      <c r="C120" s="41">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27"/>
      <c r="C121" s="41">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27"/>
      <c r="C122" s="41">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27"/>
      <c r="C123" s="41">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27"/>
      <c r="C124" s="41">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27"/>
      <c r="C125" s="41">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27"/>
      <c r="C126" s="41">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27"/>
      <c r="C127" s="41">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27"/>
      <c r="C128" s="41">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27"/>
      <c r="C129" s="41">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27"/>
      <c r="C130" s="41">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27"/>
      <c r="C131" s="41">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27"/>
      <c r="C132" s="41">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27"/>
      <c r="C133" s="41">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28"/>
      <c r="C134" s="41">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65</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9" t="str">
        <f ca="1">IF(B6&lt;&gt;"",B6,"")</f>
        <v>Table PDB</v>
      </c>
      <c r="C136" s="41">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1</v>
      </c>
      <c r="AF136" s="119">
        <f t="shared" si="29"/>
        <v>1</v>
      </c>
      <c r="AG136" s="119">
        <f t="shared" si="29"/>
        <v>1</v>
      </c>
      <c r="AH136" s="119">
        <f t="shared" si="29"/>
        <v>1</v>
      </c>
      <c r="AI136" s="119">
        <f t="shared" si="29"/>
        <v>1</v>
      </c>
      <c r="AJ136" s="41" t="str">
        <f t="shared" ref="AJ136:AJ199" si="30">IF(AJ6&lt;&gt;"",AJ6,"")</f>
        <v>UNKNOWN</v>
      </c>
      <c r="AK136" s="54"/>
      <c r="AL136" s="54"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7"/>
      <c r="C137" s="41">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1</v>
      </c>
      <c r="AF137" s="119">
        <f t="shared" si="29"/>
        <v>1</v>
      </c>
      <c r="AG137" s="119">
        <f t="shared" si="29"/>
        <v>1</v>
      </c>
      <c r="AH137" s="119">
        <f t="shared" si="29"/>
        <v>1</v>
      </c>
      <c r="AI137" s="119">
        <f t="shared" si="29"/>
        <v>1</v>
      </c>
      <c r="AJ137" s="41" t="str">
        <f t="shared" si="30"/>
        <v>UNKNOWN</v>
      </c>
      <c r="AK137" s="54"/>
      <c r="AL137" s="54" t="str">
        <f t="shared" ref="AL137:AL199" si="33">BIN2HEX(AB137&amp;AC137&amp;AD137&amp;AE137&amp;AF137&amp;AG137&amp;AH137&amp;AI137,2)</f>
        <v>1F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(U4)0x0000001FU,                                                           /* 01 UNKNOWN                                         */</v>
      </c>
    </row>
    <row r="138" spans="1:43">
      <c r="B138" s="127"/>
      <c r="C138" s="41">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1</v>
      </c>
      <c r="AF138" s="119">
        <f t="shared" si="29"/>
        <v>1</v>
      </c>
      <c r="AG138" s="119">
        <f t="shared" si="29"/>
        <v>1</v>
      </c>
      <c r="AH138" s="119">
        <f t="shared" si="29"/>
        <v>1</v>
      </c>
      <c r="AI138" s="119">
        <f t="shared" si="29"/>
        <v>1</v>
      </c>
      <c r="AJ138" s="41" t="str">
        <f t="shared" si="30"/>
        <v>UNKNOWN</v>
      </c>
      <c r="AK138" s="54"/>
      <c r="AL138" s="54" t="str">
        <f t="shared" si="33"/>
        <v>1F</v>
      </c>
      <c r="AM138" s="56" t="str">
        <f t="shared" si="34"/>
        <v>00</v>
      </c>
      <c r="AN138" s="56" t="str">
        <f t="shared" si="35"/>
        <v>00</v>
      </c>
      <c r="AO138" s="56" t="str">
        <f t="shared" si="36"/>
        <v>00</v>
      </c>
      <c r="AQ138" t="str">
        <f t="shared" si="31"/>
        <v xml:space="preserve">    (U4)0x0000001FU,                                                           /* 02 UNKNOWN                                         */</v>
      </c>
    </row>
    <row r="139" spans="1:43">
      <c r="B139" s="127"/>
      <c r="C139" s="41">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1</v>
      </c>
      <c r="AF139" s="119">
        <f t="shared" si="29"/>
        <v>1</v>
      </c>
      <c r="AG139" s="119">
        <f t="shared" si="29"/>
        <v>1</v>
      </c>
      <c r="AH139" s="119">
        <f t="shared" si="29"/>
        <v>1</v>
      </c>
      <c r="AI139" s="119">
        <f t="shared" si="29"/>
        <v>1</v>
      </c>
      <c r="AJ139" s="41" t="str">
        <f t="shared" si="30"/>
        <v>UNKNOWN</v>
      </c>
      <c r="AK139" s="54"/>
      <c r="AL139" s="54" t="str">
        <f t="shared" si="33"/>
        <v>1F</v>
      </c>
      <c r="AM139" s="56" t="str">
        <f t="shared" si="34"/>
        <v>00</v>
      </c>
      <c r="AN139" s="56" t="str">
        <f t="shared" si="35"/>
        <v>00</v>
      </c>
      <c r="AO139" s="56" t="str">
        <f t="shared" si="36"/>
        <v>00</v>
      </c>
      <c r="AQ139" t="str">
        <f t="shared" si="31"/>
        <v xml:space="preserve">    (U4)0x0000001FU,                                                           /* 03 UNKNOWN                                         */</v>
      </c>
    </row>
    <row r="140" spans="1:43">
      <c r="B140" s="127"/>
      <c r="C140" s="41">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1</v>
      </c>
      <c r="AF140" s="119">
        <f t="shared" si="29"/>
        <v>1</v>
      </c>
      <c r="AG140" s="119">
        <f t="shared" si="29"/>
        <v>1</v>
      </c>
      <c r="AH140" s="119">
        <f t="shared" si="29"/>
        <v>1</v>
      </c>
      <c r="AI140" s="119">
        <f t="shared" si="29"/>
        <v>1</v>
      </c>
      <c r="AJ140" s="41" t="str">
        <f t="shared" si="30"/>
        <v>UNKNOWN</v>
      </c>
      <c r="AK140" s="54"/>
      <c r="AL140" s="54" t="str">
        <f t="shared" si="33"/>
        <v>1F</v>
      </c>
      <c r="AM140" s="56" t="str">
        <f t="shared" si="34"/>
        <v>00</v>
      </c>
      <c r="AN140" s="56" t="str">
        <f t="shared" si="35"/>
        <v>00</v>
      </c>
      <c r="AO140" s="56" t="str">
        <f t="shared" si="36"/>
        <v>00</v>
      </c>
      <c r="AQ140" t="str">
        <f t="shared" si="31"/>
        <v xml:space="preserve">    (U4)0x0000001FU,                                                           /* 04 UNKNOWN                                         */</v>
      </c>
    </row>
    <row r="141" spans="1:43">
      <c r="B141" s="127"/>
      <c r="C141" s="41">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1</v>
      </c>
      <c r="AF141" s="119">
        <f t="shared" si="29"/>
        <v>1</v>
      </c>
      <c r="AG141" s="119">
        <f t="shared" si="29"/>
        <v>1</v>
      </c>
      <c r="AH141" s="119">
        <f t="shared" si="29"/>
        <v>1</v>
      </c>
      <c r="AI141" s="119">
        <f t="shared" si="29"/>
        <v>1</v>
      </c>
      <c r="AJ141" s="41" t="str">
        <f t="shared" si="30"/>
        <v>UNKNOWN</v>
      </c>
      <c r="AK141" s="54"/>
      <c r="AL141" s="54" t="str">
        <f t="shared" si="33"/>
        <v>1F</v>
      </c>
      <c r="AM141" s="56" t="str">
        <f t="shared" si="34"/>
        <v>00</v>
      </c>
      <c r="AN141" s="56" t="str">
        <f t="shared" si="35"/>
        <v>00</v>
      </c>
      <c r="AO141" s="56" t="str">
        <f t="shared" si="36"/>
        <v>00</v>
      </c>
      <c r="AQ141" t="str">
        <f t="shared" si="31"/>
        <v xml:space="preserve">    (U4)0x0000001FU,                                                           /* 05 UNKNOWN                                         */</v>
      </c>
    </row>
    <row r="142" spans="1:43">
      <c r="B142" s="127"/>
      <c r="C142" s="41">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1</v>
      </c>
      <c r="AF142" s="119">
        <f t="shared" si="29"/>
        <v>1</v>
      </c>
      <c r="AG142" s="119">
        <f t="shared" si="29"/>
        <v>1</v>
      </c>
      <c r="AH142" s="119">
        <f t="shared" si="29"/>
        <v>1</v>
      </c>
      <c r="AI142" s="119">
        <f t="shared" si="29"/>
        <v>1</v>
      </c>
      <c r="AJ142" s="41" t="str">
        <f t="shared" si="30"/>
        <v>UNKNOWN</v>
      </c>
      <c r="AK142" s="54"/>
      <c r="AL142" s="54" t="str">
        <f t="shared" si="33"/>
        <v>1F</v>
      </c>
      <c r="AM142" s="56" t="str">
        <f t="shared" si="34"/>
        <v>00</v>
      </c>
      <c r="AN142" s="56" t="str">
        <f t="shared" si="35"/>
        <v>00</v>
      </c>
      <c r="AO142" s="56" t="str">
        <f t="shared" si="36"/>
        <v>00</v>
      </c>
      <c r="AQ142" t="str">
        <f t="shared" si="31"/>
        <v xml:space="preserve">    (U4)0x0000001FU,                                                           /* 06 UNKNOWN                                         */</v>
      </c>
    </row>
    <row r="143" spans="1:43">
      <c r="B143" s="127"/>
      <c r="C143" s="41">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1</v>
      </c>
      <c r="AF143" s="119">
        <f t="shared" si="29"/>
        <v>1</v>
      </c>
      <c r="AG143" s="119">
        <f t="shared" si="29"/>
        <v>1</v>
      </c>
      <c r="AH143" s="119">
        <f t="shared" si="29"/>
        <v>1</v>
      </c>
      <c r="AI143" s="119">
        <f t="shared" ref="AI143" si="37">IF(OR(AI13=0,AI13=1),1,0)</f>
        <v>1</v>
      </c>
      <c r="AJ143" s="41" t="str">
        <f t="shared" si="30"/>
        <v>UNKNOWN</v>
      </c>
      <c r="AK143" s="54"/>
      <c r="AL143" s="54" t="str">
        <f t="shared" si="33"/>
        <v>1F</v>
      </c>
      <c r="AM143" s="56" t="str">
        <f t="shared" si="34"/>
        <v>00</v>
      </c>
      <c r="AN143" s="56" t="str">
        <f t="shared" si="35"/>
        <v>00</v>
      </c>
      <c r="AO143" s="56" t="str">
        <f t="shared" si="36"/>
        <v>00</v>
      </c>
      <c r="AQ143" t="str">
        <f t="shared" si="31"/>
        <v xml:space="preserve">    (U4)0x0000001FU,                                                           /* 07 UNKNOWN                                         */</v>
      </c>
    </row>
    <row r="144" spans="1:43">
      <c r="B144" s="127"/>
      <c r="C144" s="41">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1</v>
      </c>
      <c r="AF144" s="119">
        <f t="shared" si="38"/>
        <v>1</v>
      </c>
      <c r="AG144" s="119">
        <f t="shared" si="38"/>
        <v>1</v>
      </c>
      <c r="AH144" s="119">
        <f t="shared" si="38"/>
        <v>1</v>
      </c>
      <c r="AI144" s="119">
        <f t="shared" si="38"/>
        <v>1</v>
      </c>
      <c r="AJ144" s="41" t="str">
        <f t="shared" si="30"/>
        <v>UNKNOWN</v>
      </c>
      <c r="AK144" s="54"/>
      <c r="AL144" s="54" t="str">
        <f t="shared" si="33"/>
        <v>1F</v>
      </c>
      <c r="AM144" s="56" t="str">
        <f t="shared" si="34"/>
        <v>00</v>
      </c>
      <c r="AN144" s="56" t="str">
        <f t="shared" si="35"/>
        <v>00</v>
      </c>
      <c r="AO144" s="56" t="str">
        <f t="shared" si="36"/>
        <v>00</v>
      </c>
      <c r="AQ144" t="str">
        <f t="shared" si="31"/>
        <v xml:space="preserve">    (U4)0x0000001FU,                                                           /* 08 UNKNOWN                                         */</v>
      </c>
    </row>
    <row r="145" spans="2:43">
      <c r="B145" s="127"/>
      <c r="C145" s="41">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1</v>
      </c>
      <c r="AF145" s="119">
        <f t="shared" si="38"/>
        <v>1</v>
      </c>
      <c r="AG145" s="119">
        <f t="shared" si="38"/>
        <v>1</v>
      </c>
      <c r="AH145" s="119">
        <f t="shared" si="38"/>
        <v>1</v>
      </c>
      <c r="AI145" s="119">
        <f t="shared" si="38"/>
        <v>1</v>
      </c>
      <c r="AJ145" s="41" t="str">
        <f t="shared" si="30"/>
        <v>UNKNOWN</v>
      </c>
      <c r="AK145" s="54"/>
      <c r="AL145" s="54" t="str">
        <f t="shared" si="33"/>
        <v>1F</v>
      </c>
      <c r="AM145" s="56" t="str">
        <f t="shared" si="34"/>
        <v>00</v>
      </c>
      <c r="AN145" s="56" t="str">
        <f t="shared" si="35"/>
        <v>00</v>
      </c>
      <c r="AO145" s="56" t="str">
        <f t="shared" si="36"/>
        <v>00</v>
      </c>
      <c r="AQ145" t="str">
        <f t="shared" si="31"/>
        <v xml:space="preserve">    (U4)0x0000001FU,                                                           /* 09 UNKNOWN                                         */</v>
      </c>
    </row>
    <row r="146" spans="2:43">
      <c r="B146" s="127"/>
      <c r="C146" s="41">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1</v>
      </c>
      <c r="AF146" s="119">
        <f t="shared" si="38"/>
        <v>1</v>
      </c>
      <c r="AG146" s="119">
        <f t="shared" si="38"/>
        <v>1</v>
      </c>
      <c r="AH146" s="119">
        <f t="shared" si="38"/>
        <v>1</v>
      </c>
      <c r="AI146" s="119">
        <f t="shared" si="38"/>
        <v>1</v>
      </c>
      <c r="AJ146" s="41" t="str">
        <f t="shared" si="30"/>
        <v>UNKNOWN</v>
      </c>
      <c r="AK146" s="54"/>
      <c r="AL146" s="54" t="str">
        <f t="shared" si="33"/>
        <v>1F</v>
      </c>
      <c r="AM146" s="56" t="str">
        <f t="shared" si="34"/>
        <v>00</v>
      </c>
      <c r="AN146" s="56" t="str">
        <f t="shared" si="35"/>
        <v>00</v>
      </c>
      <c r="AO146" s="56" t="str">
        <f t="shared" si="36"/>
        <v>00</v>
      </c>
      <c r="AQ146" t="str">
        <f t="shared" si="31"/>
        <v xml:space="preserve">    (U4)0x0000001FU,                                                           /* 10 UNKNOWN                                         */</v>
      </c>
    </row>
    <row r="147" spans="2:43">
      <c r="B147" s="127"/>
      <c r="C147" s="41">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1</v>
      </c>
      <c r="AF147" s="119">
        <f t="shared" si="38"/>
        <v>1</v>
      </c>
      <c r="AG147" s="119">
        <f t="shared" si="38"/>
        <v>1</v>
      </c>
      <c r="AH147" s="119">
        <f t="shared" si="38"/>
        <v>1</v>
      </c>
      <c r="AI147" s="119">
        <f t="shared" si="38"/>
        <v>1</v>
      </c>
      <c r="AJ147" s="41" t="str">
        <f t="shared" si="30"/>
        <v>UNKNOWN</v>
      </c>
      <c r="AK147" s="54"/>
      <c r="AL147" s="54" t="str">
        <f t="shared" si="33"/>
        <v>1F</v>
      </c>
      <c r="AM147" s="56" t="str">
        <f t="shared" si="34"/>
        <v>00</v>
      </c>
      <c r="AN147" s="56" t="str">
        <f t="shared" si="35"/>
        <v>00</v>
      </c>
      <c r="AO147" s="56" t="str">
        <f t="shared" si="36"/>
        <v>00</v>
      </c>
      <c r="AQ147" t="str">
        <f t="shared" si="31"/>
        <v xml:space="preserve">    (U4)0x0000001FU,                                                           /* 11 UNKNOWN                                         */</v>
      </c>
    </row>
    <row r="148" spans="2:43">
      <c r="B148" s="127"/>
      <c r="C148" s="41">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1</v>
      </c>
      <c r="AF148" s="119">
        <f t="shared" si="38"/>
        <v>1</v>
      </c>
      <c r="AG148" s="119">
        <f t="shared" si="38"/>
        <v>1</v>
      </c>
      <c r="AH148" s="119">
        <f t="shared" si="38"/>
        <v>1</v>
      </c>
      <c r="AI148" s="119">
        <f t="shared" si="38"/>
        <v>1</v>
      </c>
      <c r="AJ148" s="41" t="str">
        <f t="shared" si="30"/>
        <v>UNKNOWN</v>
      </c>
      <c r="AK148" s="54"/>
      <c r="AL148" s="54" t="str">
        <f t="shared" si="33"/>
        <v>1F</v>
      </c>
      <c r="AM148" s="56" t="str">
        <f t="shared" si="34"/>
        <v>00</v>
      </c>
      <c r="AN148" s="56" t="str">
        <f t="shared" si="35"/>
        <v>00</v>
      </c>
      <c r="AO148" s="56" t="str">
        <f t="shared" si="36"/>
        <v>00</v>
      </c>
      <c r="AQ148" t="str">
        <f t="shared" si="31"/>
        <v xml:space="preserve">    (U4)0x0000001FU,                                                           /* 12 UNKNOWN                                         */</v>
      </c>
    </row>
    <row r="149" spans="2:43">
      <c r="B149" s="127"/>
      <c r="C149" s="41">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1</v>
      </c>
      <c r="AF149" s="119">
        <f t="shared" si="38"/>
        <v>1</v>
      </c>
      <c r="AG149" s="119">
        <f t="shared" si="38"/>
        <v>1</v>
      </c>
      <c r="AH149" s="119">
        <f t="shared" si="38"/>
        <v>1</v>
      </c>
      <c r="AI149" s="119">
        <f t="shared" si="38"/>
        <v>1</v>
      </c>
      <c r="AJ149" s="41" t="str">
        <f t="shared" si="30"/>
        <v>UNKNOWN</v>
      </c>
      <c r="AK149" s="54"/>
      <c r="AL149" s="54" t="str">
        <f t="shared" si="33"/>
        <v>1F</v>
      </c>
      <c r="AM149" s="56" t="str">
        <f t="shared" si="34"/>
        <v>00</v>
      </c>
      <c r="AN149" s="56" t="str">
        <f t="shared" si="35"/>
        <v>00</v>
      </c>
      <c r="AO149" s="56" t="str">
        <f t="shared" si="36"/>
        <v>00</v>
      </c>
      <c r="AQ149" t="str">
        <f t="shared" si="31"/>
        <v xml:space="preserve">    (U4)0x0000001FU,                                                           /* 13 UNKNOWN                                         */</v>
      </c>
    </row>
    <row r="150" spans="2:43">
      <c r="B150" s="127"/>
      <c r="C150" s="41">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1</v>
      </c>
      <c r="AF150" s="119">
        <f t="shared" si="38"/>
        <v>1</v>
      </c>
      <c r="AG150" s="119">
        <f t="shared" si="38"/>
        <v>1</v>
      </c>
      <c r="AH150" s="119">
        <f t="shared" si="38"/>
        <v>1</v>
      </c>
      <c r="AI150" s="119">
        <f t="shared" si="38"/>
        <v>1</v>
      </c>
      <c r="AJ150" s="41" t="str">
        <f t="shared" si="30"/>
        <v>UNKNOWN</v>
      </c>
      <c r="AK150" s="54"/>
      <c r="AL150" s="54" t="str">
        <f t="shared" si="33"/>
        <v>1F</v>
      </c>
      <c r="AM150" s="56" t="str">
        <f t="shared" si="34"/>
        <v>00</v>
      </c>
      <c r="AN150" s="56" t="str">
        <f t="shared" si="35"/>
        <v>00</v>
      </c>
      <c r="AO150" s="56" t="str">
        <f t="shared" si="36"/>
        <v>00</v>
      </c>
      <c r="AQ150" t="str">
        <f t="shared" si="31"/>
        <v xml:space="preserve">    (U4)0x0000001FU,                                                           /* 14 UNKNOWN                                         */</v>
      </c>
    </row>
    <row r="151" spans="2:43">
      <c r="B151" s="127"/>
      <c r="C151" s="41">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1</v>
      </c>
      <c r="AF151" s="119">
        <f t="shared" si="38"/>
        <v>1</v>
      </c>
      <c r="AG151" s="119">
        <f t="shared" si="38"/>
        <v>1</v>
      </c>
      <c r="AH151" s="119">
        <f t="shared" si="38"/>
        <v>1</v>
      </c>
      <c r="AI151" s="119">
        <f t="shared" ref="AI151" si="39">IF(OR(AI21=0,AI21=1),1,0)</f>
        <v>1</v>
      </c>
      <c r="AJ151" s="41" t="str">
        <f t="shared" si="30"/>
        <v>UNKNOWN</v>
      </c>
      <c r="AK151" s="54"/>
      <c r="AL151" s="54" t="str">
        <f t="shared" si="33"/>
        <v>1F</v>
      </c>
      <c r="AM151" s="56" t="str">
        <f t="shared" si="34"/>
        <v>00</v>
      </c>
      <c r="AN151" s="56" t="str">
        <f t="shared" si="35"/>
        <v>00</v>
      </c>
      <c r="AO151" s="56" t="str">
        <f t="shared" si="36"/>
        <v>00</v>
      </c>
      <c r="AQ151" t="str">
        <f t="shared" si="31"/>
        <v xml:space="preserve">    (U4)0x0000001FU,                                                           /* 15 UNKNOWN                                         */</v>
      </c>
    </row>
    <row r="152" spans="2:43">
      <c r="B152" s="127"/>
      <c r="C152" s="41">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1</v>
      </c>
      <c r="AF152" s="119">
        <f t="shared" si="40"/>
        <v>1</v>
      </c>
      <c r="AG152" s="119">
        <f t="shared" si="40"/>
        <v>1</v>
      </c>
      <c r="AH152" s="119">
        <f t="shared" si="40"/>
        <v>1</v>
      </c>
      <c r="AI152" s="119">
        <f t="shared" si="40"/>
        <v>1</v>
      </c>
      <c r="AJ152" s="41" t="str">
        <f t="shared" si="30"/>
        <v>UNKNOWN</v>
      </c>
      <c r="AK152" s="54"/>
      <c r="AL152" s="54" t="str">
        <f t="shared" si="33"/>
        <v>1F</v>
      </c>
      <c r="AM152" s="56" t="str">
        <f t="shared" si="34"/>
        <v>00</v>
      </c>
      <c r="AN152" s="56" t="str">
        <f t="shared" si="35"/>
        <v>00</v>
      </c>
      <c r="AO152" s="56" t="str">
        <f t="shared" si="36"/>
        <v>00</v>
      </c>
      <c r="AQ152" t="str">
        <f t="shared" si="31"/>
        <v xml:space="preserve">    (U4)0x0000001FU,                                                           /* 16 UNKNOWN                                         */</v>
      </c>
    </row>
    <row r="153" spans="2:43">
      <c r="B153" s="127"/>
      <c r="C153" s="41">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1</v>
      </c>
      <c r="AF153" s="119">
        <f t="shared" si="40"/>
        <v>1</v>
      </c>
      <c r="AG153" s="119">
        <f t="shared" si="40"/>
        <v>1</v>
      </c>
      <c r="AH153" s="119">
        <f t="shared" si="40"/>
        <v>1</v>
      </c>
      <c r="AI153" s="119">
        <f t="shared" si="40"/>
        <v>1</v>
      </c>
      <c r="AJ153" s="41" t="str">
        <f t="shared" si="30"/>
        <v>SYSMLFNC</v>
      </c>
      <c r="AK153" s="54"/>
      <c r="AL153" s="54" t="str">
        <f t="shared" si="33"/>
        <v>1F</v>
      </c>
      <c r="AM153" s="56" t="str">
        <f t="shared" si="34"/>
        <v>00</v>
      </c>
      <c r="AN153" s="56" t="str">
        <f t="shared" si="35"/>
        <v>00</v>
      </c>
      <c r="AO153" s="56" t="str">
        <f t="shared" si="36"/>
        <v>00</v>
      </c>
      <c r="AQ153" t="str">
        <f t="shared" si="31"/>
        <v xml:space="preserve">    (U4)0x0000001FU,                                                           /* 17 SYSMLFNC                                        */</v>
      </c>
    </row>
    <row r="154" spans="2:43">
      <c r="B154" s="127"/>
      <c r="C154" s="41">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1</v>
      </c>
      <c r="AF154" s="119">
        <f t="shared" si="40"/>
        <v>1</v>
      </c>
      <c r="AG154" s="119">
        <f t="shared" si="40"/>
        <v>1</v>
      </c>
      <c r="AH154" s="119">
        <f t="shared" si="40"/>
        <v>1</v>
      </c>
      <c r="AI154" s="119">
        <f t="shared" si="40"/>
        <v>1</v>
      </c>
      <c r="AJ154" s="41" t="str">
        <f t="shared" si="30"/>
        <v>LHDSHOCK</v>
      </c>
      <c r="AK154" s="54"/>
      <c r="AL154" s="54" t="str">
        <f t="shared" si="33"/>
        <v>1F</v>
      </c>
      <c r="AM154" s="56" t="str">
        <f t="shared" si="34"/>
        <v>00</v>
      </c>
      <c r="AN154" s="56" t="str">
        <f t="shared" si="35"/>
        <v>00</v>
      </c>
      <c r="AO154" s="56" t="str">
        <f t="shared" si="36"/>
        <v>00</v>
      </c>
      <c r="AQ154" t="str">
        <f t="shared" si="31"/>
        <v xml:space="preserve">    (U4)0x0000001FU,                                                           /* 18 LHDSHOCK                                        */</v>
      </c>
    </row>
    <row r="155" spans="2:43">
      <c r="B155" s="127"/>
      <c r="C155" s="41">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1</v>
      </c>
      <c r="AF155" s="119">
        <f t="shared" si="40"/>
        <v>1</v>
      </c>
      <c r="AG155" s="119">
        <f t="shared" si="40"/>
        <v>1</v>
      </c>
      <c r="AH155" s="119">
        <f t="shared" si="40"/>
        <v>1</v>
      </c>
      <c r="AI155" s="119">
        <f t="shared" si="40"/>
        <v>1</v>
      </c>
      <c r="AJ155" s="41" t="str">
        <f t="shared" si="30"/>
        <v>UNKNOWN</v>
      </c>
      <c r="AK155" s="54"/>
      <c r="AL155" s="54" t="str">
        <f t="shared" si="33"/>
        <v>1F</v>
      </c>
      <c r="AM155" s="56" t="str">
        <f t="shared" si="34"/>
        <v>00</v>
      </c>
      <c r="AN155" s="56" t="str">
        <f t="shared" si="35"/>
        <v>00</v>
      </c>
      <c r="AO155" s="56" t="str">
        <f t="shared" si="36"/>
        <v>00</v>
      </c>
      <c r="AQ155" t="str">
        <f t="shared" si="31"/>
        <v xml:space="preserve">    (U4)0x0000001FU,                                                           /* 19 UNKNOWN                                         */</v>
      </c>
    </row>
    <row r="156" spans="2:43">
      <c r="B156" s="127"/>
      <c r="C156" s="41">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1</v>
      </c>
      <c r="AF156" s="119">
        <f t="shared" si="40"/>
        <v>1</v>
      </c>
      <c r="AG156" s="119">
        <f t="shared" si="40"/>
        <v>1</v>
      </c>
      <c r="AH156" s="119">
        <f t="shared" si="40"/>
        <v>1</v>
      </c>
      <c r="AI156" s="119">
        <f t="shared" si="40"/>
        <v>1</v>
      </c>
      <c r="AJ156" s="41" t="str">
        <f t="shared" si="30"/>
        <v>UNKNOWN</v>
      </c>
      <c r="AK156" s="54"/>
      <c r="AL156" s="54" t="str">
        <f t="shared" si="33"/>
        <v>1F</v>
      </c>
      <c r="AM156" s="56" t="str">
        <f t="shared" si="34"/>
        <v>00</v>
      </c>
      <c r="AN156" s="56" t="str">
        <f t="shared" si="35"/>
        <v>00</v>
      </c>
      <c r="AO156" s="56" t="str">
        <f t="shared" si="36"/>
        <v>00</v>
      </c>
      <c r="AQ156" t="str">
        <f t="shared" si="31"/>
        <v xml:space="preserve">    (U4)0x0000001FU,                                                           /* 20 UNKNOWN                                         */</v>
      </c>
    </row>
    <row r="157" spans="2:43">
      <c r="B157" s="127"/>
      <c r="C157" s="41">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1</v>
      </c>
      <c r="AF157" s="119">
        <f t="shared" si="40"/>
        <v>1</v>
      </c>
      <c r="AG157" s="119">
        <f t="shared" si="40"/>
        <v>1</v>
      </c>
      <c r="AH157" s="119">
        <f t="shared" si="40"/>
        <v>1</v>
      </c>
      <c r="AI157" s="119">
        <f t="shared" si="40"/>
        <v>1</v>
      </c>
      <c r="AJ157" s="41" t="str">
        <f t="shared" si="30"/>
        <v>UNKNOWN</v>
      </c>
      <c r="AK157" s="54"/>
      <c r="AL157" s="54" t="str">
        <f t="shared" si="33"/>
        <v>1F</v>
      </c>
      <c r="AM157" s="56" t="str">
        <f t="shared" si="34"/>
        <v>00</v>
      </c>
      <c r="AN157" s="56" t="str">
        <f t="shared" si="35"/>
        <v>00</v>
      </c>
      <c r="AO157" s="56" t="str">
        <f t="shared" si="36"/>
        <v>00</v>
      </c>
      <c r="AQ157" t="str">
        <f t="shared" si="31"/>
        <v xml:space="preserve">    (U4)0x0000001FU,                                                           /* 21 UNKNOWN                                         */</v>
      </c>
    </row>
    <row r="158" spans="2:43">
      <c r="B158" s="127"/>
      <c r="C158" s="41">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1</v>
      </c>
      <c r="AF158" s="119">
        <f t="shared" si="40"/>
        <v>1</v>
      </c>
      <c r="AG158" s="119">
        <f t="shared" si="40"/>
        <v>1</v>
      </c>
      <c r="AH158" s="119">
        <f t="shared" si="40"/>
        <v>1</v>
      </c>
      <c r="AI158" s="119">
        <f t="shared" si="40"/>
        <v>1</v>
      </c>
      <c r="AJ158" s="41" t="str">
        <f t="shared" si="30"/>
        <v>UNKNOWN</v>
      </c>
      <c r="AK158" s="54"/>
      <c r="AL158" s="54" t="str">
        <f t="shared" si="33"/>
        <v>1F</v>
      </c>
      <c r="AM158" s="56" t="str">
        <f t="shared" si="34"/>
        <v>00</v>
      </c>
      <c r="AN158" s="56" t="str">
        <f t="shared" si="35"/>
        <v>00</v>
      </c>
      <c r="AO158" s="56" t="str">
        <f t="shared" si="36"/>
        <v>00</v>
      </c>
      <c r="AQ158" t="str">
        <f t="shared" si="31"/>
        <v xml:space="preserve">    (U4)0x0000001FU,                                                           /* 22 UNKNOWN                                         */</v>
      </c>
    </row>
    <row r="159" spans="2:43">
      <c r="B159" s="127"/>
      <c r="C159" s="41">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1</v>
      </c>
      <c r="AF159" s="119">
        <f t="shared" si="40"/>
        <v>1</v>
      </c>
      <c r="AG159" s="119">
        <f t="shared" si="40"/>
        <v>1</v>
      </c>
      <c r="AH159" s="119">
        <f t="shared" si="40"/>
        <v>1</v>
      </c>
      <c r="AI159" s="119">
        <f t="shared" ref="AI159" si="41">IF(OR(AI29=0,AI29=1),1,0)</f>
        <v>1</v>
      </c>
      <c r="AJ159" s="41" t="str">
        <f t="shared" si="30"/>
        <v>RHDSHOCK</v>
      </c>
      <c r="AK159" s="54"/>
      <c r="AL159" s="54" t="str">
        <f t="shared" si="33"/>
        <v>1F</v>
      </c>
      <c r="AM159" s="56" t="str">
        <f t="shared" si="34"/>
        <v>00</v>
      </c>
      <c r="AN159" s="56" t="str">
        <f t="shared" si="35"/>
        <v>00</v>
      </c>
      <c r="AO159" s="56" t="str">
        <f t="shared" si="36"/>
        <v>00</v>
      </c>
      <c r="AQ159" t="str">
        <f t="shared" si="31"/>
        <v xml:space="preserve">    (U4)0x0000001FU,                                                           /* 23 RHDSHOCK                                        */</v>
      </c>
    </row>
    <row r="160" spans="2:43">
      <c r="B160" s="127"/>
      <c r="C160" s="41">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1</v>
      </c>
      <c r="AF160" s="119">
        <f t="shared" si="42"/>
        <v>1</v>
      </c>
      <c r="AG160" s="119">
        <f t="shared" si="42"/>
        <v>1</v>
      </c>
      <c r="AH160" s="119">
        <f t="shared" si="42"/>
        <v>1</v>
      </c>
      <c r="AI160" s="119">
        <f t="shared" si="42"/>
        <v>1</v>
      </c>
      <c r="AJ160" s="41" t="str">
        <f t="shared" si="30"/>
        <v>UNKNOWN</v>
      </c>
      <c r="AK160" s="54"/>
      <c r="AL160" s="54" t="str">
        <f t="shared" si="33"/>
        <v>1F</v>
      </c>
      <c r="AM160" s="56" t="str">
        <f t="shared" si="34"/>
        <v>00</v>
      </c>
      <c r="AN160" s="56" t="str">
        <f t="shared" si="35"/>
        <v>00</v>
      </c>
      <c r="AO160" s="56" t="str">
        <f t="shared" si="36"/>
        <v>00</v>
      </c>
      <c r="AQ160" t="str">
        <f t="shared" si="31"/>
        <v xml:space="preserve">    (U4)0x0000001FU,                                                           /* 24 UNKNOWN                                         */</v>
      </c>
    </row>
    <row r="161" spans="2:43">
      <c r="B161" s="127"/>
      <c r="C161" s="41">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1</v>
      </c>
      <c r="AF161" s="119">
        <f t="shared" si="42"/>
        <v>1</v>
      </c>
      <c r="AG161" s="119">
        <f t="shared" si="42"/>
        <v>1</v>
      </c>
      <c r="AH161" s="119">
        <f t="shared" si="42"/>
        <v>1</v>
      </c>
      <c r="AI161" s="119">
        <f t="shared" si="42"/>
        <v>1</v>
      </c>
      <c r="AJ161" s="41" t="str">
        <f t="shared" si="30"/>
        <v>UNKNOWN</v>
      </c>
      <c r="AK161" s="54"/>
      <c r="AL161" s="54" t="str">
        <f t="shared" si="33"/>
        <v>1F</v>
      </c>
      <c r="AM161" s="56" t="str">
        <f t="shared" si="34"/>
        <v>00</v>
      </c>
      <c r="AN161" s="56" t="str">
        <f t="shared" si="35"/>
        <v>00</v>
      </c>
      <c r="AO161" s="56" t="str">
        <f t="shared" si="36"/>
        <v>00</v>
      </c>
      <c r="AQ161" t="str">
        <f t="shared" si="31"/>
        <v xml:space="preserve">    (U4)0x0000001FU,                                                           /* 25 UNKNOWN                                         */</v>
      </c>
    </row>
    <row r="162" spans="2:43">
      <c r="B162" s="127"/>
      <c r="C162" s="41">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1</v>
      </c>
      <c r="AF162" s="119">
        <f t="shared" si="42"/>
        <v>1</v>
      </c>
      <c r="AG162" s="119">
        <f t="shared" si="42"/>
        <v>1</v>
      </c>
      <c r="AH162" s="119">
        <f t="shared" si="42"/>
        <v>1</v>
      </c>
      <c r="AI162" s="119">
        <f t="shared" si="42"/>
        <v>1</v>
      </c>
      <c r="AJ162" s="41" t="str">
        <f t="shared" si="30"/>
        <v>UNKNOWN</v>
      </c>
      <c r="AK162" s="54"/>
      <c r="AL162" s="54" t="str">
        <f t="shared" si="33"/>
        <v>1F</v>
      </c>
      <c r="AM162" s="56" t="str">
        <f t="shared" si="34"/>
        <v>00</v>
      </c>
      <c r="AN162" s="56" t="str">
        <f t="shared" si="35"/>
        <v>00</v>
      </c>
      <c r="AO162" s="56" t="str">
        <f t="shared" si="36"/>
        <v>00</v>
      </c>
      <c r="AQ162" t="str">
        <f t="shared" si="31"/>
        <v xml:space="preserve">    (U4)0x0000001FU,                                                           /* 26 UNKNOWN                                         */</v>
      </c>
    </row>
    <row r="163" spans="2:43">
      <c r="B163" s="127"/>
      <c r="C163" s="41">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1</v>
      </c>
      <c r="AF163" s="119">
        <f t="shared" si="42"/>
        <v>1</v>
      </c>
      <c r="AG163" s="119">
        <f t="shared" si="42"/>
        <v>1</v>
      </c>
      <c r="AH163" s="119">
        <f t="shared" si="42"/>
        <v>1</v>
      </c>
      <c r="AI163" s="119">
        <f t="shared" si="42"/>
        <v>1</v>
      </c>
      <c r="AJ163" s="41" t="str">
        <f t="shared" si="30"/>
        <v>UNKNOWN</v>
      </c>
      <c r="AK163" s="54"/>
      <c r="AL163" s="54" t="str">
        <f t="shared" si="33"/>
        <v>1F</v>
      </c>
      <c r="AM163" s="56" t="str">
        <f t="shared" si="34"/>
        <v>00</v>
      </c>
      <c r="AN163" s="56" t="str">
        <f t="shared" si="35"/>
        <v>00</v>
      </c>
      <c r="AO163" s="56" t="str">
        <f t="shared" si="36"/>
        <v>00</v>
      </c>
      <c r="AQ163" t="str">
        <f t="shared" si="31"/>
        <v xml:space="preserve">    (U4)0x0000001FU,                                                           /* 27 UNKNOWN                                         */</v>
      </c>
    </row>
    <row r="164" spans="2:43">
      <c r="B164" s="127"/>
      <c r="C164" s="41">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1</v>
      </c>
      <c r="AF164" s="119">
        <f t="shared" si="42"/>
        <v>1</v>
      </c>
      <c r="AG164" s="119">
        <f t="shared" si="42"/>
        <v>1</v>
      </c>
      <c r="AH164" s="119">
        <f t="shared" si="42"/>
        <v>1</v>
      </c>
      <c r="AI164" s="119">
        <f t="shared" si="42"/>
        <v>1</v>
      </c>
      <c r="AJ164" s="41" t="str">
        <f t="shared" si="30"/>
        <v>UNKNOWN</v>
      </c>
      <c r="AK164" s="54"/>
      <c r="AL164" s="54" t="str">
        <f t="shared" si="33"/>
        <v>1F</v>
      </c>
      <c r="AM164" s="56" t="str">
        <f t="shared" si="34"/>
        <v>00</v>
      </c>
      <c r="AN164" s="56" t="str">
        <f t="shared" si="35"/>
        <v>00</v>
      </c>
      <c r="AO164" s="56" t="str">
        <f t="shared" si="36"/>
        <v>00</v>
      </c>
      <c r="AQ164" t="str">
        <f t="shared" si="31"/>
        <v xml:space="preserve">    (U4)0x0000001FU,                                                           /* 28 UNKNOWN                                         */</v>
      </c>
    </row>
    <row r="165" spans="2:43">
      <c r="B165" s="127"/>
      <c r="C165" s="41">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1</v>
      </c>
      <c r="AF165" s="119">
        <f t="shared" si="42"/>
        <v>1</v>
      </c>
      <c r="AG165" s="119">
        <f t="shared" si="42"/>
        <v>1</v>
      </c>
      <c r="AH165" s="119">
        <f t="shared" si="42"/>
        <v>1</v>
      </c>
      <c r="AI165" s="119">
        <f t="shared" si="42"/>
        <v>1</v>
      </c>
      <c r="AJ165" s="41" t="str">
        <f t="shared" si="30"/>
        <v>UNKNOWN</v>
      </c>
      <c r="AK165" s="54"/>
      <c r="AL165" s="54" t="str">
        <f t="shared" si="33"/>
        <v>1F</v>
      </c>
      <c r="AM165" s="56" t="str">
        <f t="shared" si="34"/>
        <v>00</v>
      </c>
      <c r="AN165" s="56" t="str">
        <f t="shared" si="35"/>
        <v>00</v>
      </c>
      <c r="AO165" s="56" t="str">
        <f t="shared" si="36"/>
        <v>00</v>
      </c>
      <c r="AQ165" t="str">
        <f t="shared" si="31"/>
        <v xml:space="preserve">    (U4)0x0000001FU,                                                           /* 29 UNKNOWN                                         */</v>
      </c>
    </row>
    <row r="166" spans="2:43">
      <c r="B166" s="127"/>
      <c r="C166" s="41">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1</v>
      </c>
      <c r="AF166" s="119">
        <f t="shared" si="42"/>
        <v>1</v>
      </c>
      <c r="AG166" s="119">
        <f t="shared" si="42"/>
        <v>1</v>
      </c>
      <c r="AH166" s="119">
        <f t="shared" si="42"/>
        <v>1</v>
      </c>
      <c r="AI166" s="119">
        <f t="shared" si="42"/>
        <v>1</v>
      </c>
      <c r="AJ166" s="41" t="str">
        <f t="shared" si="30"/>
        <v>UNKNOWN</v>
      </c>
      <c r="AK166" s="54"/>
      <c r="AL166" s="54" t="str">
        <f t="shared" si="33"/>
        <v>1F</v>
      </c>
      <c r="AM166" s="56" t="str">
        <f t="shared" si="34"/>
        <v>00</v>
      </c>
      <c r="AN166" s="56" t="str">
        <f t="shared" si="35"/>
        <v>00</v>
      </c>
      <c r="AO166" s="56" t="str">
        <f t="shared" si="36"/>
        <v>00</v>
      </c>
      <c r="AQ166" t="str">
        <f t="shared" si="31"/>
        <v xml:space="preserve">    (U4)0x0000001FU,                                                           /* 30 UNKNOWN                                         */</v>
      </c>
    </row>
    <row r="167" spans="2:43">
      <c r="B167" s="127"/>
      <c r="C167" s="41">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1</v>
      </c>
      <c r="AF167" s="119">
        <f t="shared" si="42"/>
        <v>1</v>
      </c>
      <c r="AG167" s="119">
        <f t="shared" si="42"/>
        <v>1</v>
      </c>
      <c r="AH167" s="119">
        <f t="shared" si="42"/>
        <v>1</v>
      </c>
      <c r="AI167" s="119">
        <f t="shared" ref="AI167" si="43">IF(OR(AI37=0,AI37=1),1,0)</f>
        <v>1</v>
      </c>
      <c r="AJ167" s="41" t="str">
        <f t="shared" si="30"/>
        <v>UNKNOWN</v>
      </c>
      <c r="AK167" s="54"/>
      <c r="AL167" s="54" t="str">
        <f t="shared" si="33"/>
        <v>1F</v>
      </c>
      <c r="AM167" s="56" t="str">
        <f t="shared" si="34"/>
        <v>00</v>
      </c>
      <c r="AN167" s="56" t="str">
        <f t="shared" si="35"/>
        <v>00</v>
      </c>
      <c r="AO167" s="56" t="str">
        <f t="shared" si="36"/>
        <v>00</v>
      </c>
      <c r="AQ167" t="str">
        <f t="shared" si="31"/>
        <v xml:space="preserve">    (U4)0x0000001FU                                                            /* 31 UNKNOWN                                         */</v>
      </c>
    </row>
    <row r="168" spans="2:43">
      <c r="B168" s="127"/>
      <c r="C168" s="41">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27"/>
      <c r="C169" s="41">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27"/>
      <c r="C170" s="41">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27"/>
      <c r="C171" s="41">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27"/>
      <c r="C172" s="41">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27"/>
      <c r="C173" s="41">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27"/>
      <c r="C174" s="41">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27"/>
      <c r="C175" s="41">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27"/>
      <c r="C176" s="41">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27"/>
      <c r="C177" s="41">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27"/>
      <c r="C178" s="41">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27"/>
      <c r="C179" s="41">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27"/>
      <c r="C180" s="41">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27"/>
      <c r="C181" s="41">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27"/>
      <c r="C182" s="41">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27"/>
      <c r="C183" s="41">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27"/>
      <c r="C184" s="41">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27"/>
      <c r="C185" s="41">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27"/>
      <c r="C186" s="41">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27"/>
      <c r="C187" s="41">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27"/>
      <c r="C188" s="41">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27"/>
      <c r="C189" s="41">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27"/>
      <c r="C190" s="41">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27"/>
      <c r="C191" s="41">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27"/>
      <c r="C192" s="41">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27"/>
      <c r="C193" s="41">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27"/>
      <c r="C194" s="41">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27"/>
      <c r="C195" s="41">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27"/>
      <c r="C196" s="41">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27"/>
      <c r="C197" s="41">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27"/>
      <c r="C198" s="41">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28"/>
      <c r="C199" s="41">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L3:AD3 AF29:AJ29 AF6:AI28 AF30:AI37 D6:AE37 D38:AJ69 AF3:AI3" name="Table作成編集範囲"/>
    <protectedRange sqref="B3" name="Table作成編集範囲_1"/>
    <protectedRange sqref="AJ30:AJ37 AJ6:AJ28" name="Table作成編集範囲_2"/>
  </protectedRanges>
  <mergeCells count="4">
    <mergeCell ref="C2:C3"/>
    <mergeCell ref="AJ2:AJ3"/>
    <mergeCell ref="AG3:AI3"/>
    <mergeCell ref="A4:B5"/>
  </mergeCells>
  <phoneticPr fontId="2"/>
  <conditionalFormatting sqref="D6:AD37 D38:AI69">
    <cfRule type="cellIs" dxfId="134" priority="154" operator="equal">
      <formula>1</formula>
    </cfRule>
    <cfRule type="cellIs" dxfId="133" priority="155" operator="equal">
      <formula>"×"</formula>
    </cfRule>
  </conditionalFormatting>
  <conditionalFormatting sqref="AR5:AS70">
    <cfRule type="expression" dxfId="132" priority="153">
      <formula>$B$3="Index Table"</formula>
    </cfRule>
  </conditionalFormatting>
  <conditionalFormatting sqref="AF6">
    <cfRule type="cellIs" dxfId="131" priority="141" operator="equal">
      <formula>1</formula>
    </cfRule>
    <cfRule type="cellIs" dxfId="130" priority="142" operator="equal">
      <formula>"×"</formula>
    </cfRule>
  </conditionalFormatting>
  <conditionalFormatting sqref="AF7:AH7 AF8:AG9 AI8 AH10:AI10 AH11 AF10:AF13 AI12 AG14:AI14">
    <cfRule type="cellIs" dxfId="129" priority="135" operator="equal">
      <formula>1</formula>
    </cfRule>
    <cfRule type="cellIs" dxfId="128" priority="136" operator="equal">
      <formula>"×"</formula>
    </cfRule>
  </conditionalFormatting>
  <conditionalFormatting sqref="AI7">
    <cfRule type="cellIs" dxfId="127" priority="133" operator="equal">
      <formula>1</formula>
    </cfRule>
    <cfRule type="cellIs" dxfId="126" priority="134" operator="equal">
      <formula>"×"</formula>
    </cfRule>
  </conditionalFormatting>
  <conditionalFormatting sqref="AH8">
    <cfRule type="cellIs" dxfId="125" priority="131" operator="equal">
      <formula>1</formula>
    </cfRule>
    <cfRule type="cellIs" dxfId="124" priority="132" operator="equal">
      <formula>"×"</formula>
    </cfRule>
  </conditionalFormatting>
  <conditionalFormatting sqref="AH9">
    <cfRule type="cellIs" dxfId="123" priority="129" operator="equal">
      <formula>1</formula>
    </cfRule>
    <cfRule type="cellIs" dxfId="122" priority="130" operator="equal">
      <formula>"×"</formula>
    </cfRule>
  </conditionalFormatting>
  <conditionalFormatting sqref="AI9">
    <cfRule type="cellIs" dxfId="121" priority="127" operator="equal">
      <formula>1</formula>
    </cfRule>
    <cfRule type="cellIs" dxfId="120" priority="128" operator="equal">
      <formula>"×"</formula>
    </cfRule>
  </conditionalFormatting>
  <conditionalFormatting sqref="AG10">
    <cfRule type="cellIs" dxfId="119" priority="125" operator="equal">
      <formula>1</formula>
    </cfRule>
    <cfRule type="cellIs" dxfId="118" priority="126" operator="equal">
      <formula>"×"</formula>
    </cfRule>
  </conditionalFormatting>
  <conditionalFormatting sqref="AG11">
    <cfRule type="cellIs" dxfId="117" priority="123" operator="equal">
      <formula>1</formula>
    </cfRule>
    <cfRule type="cellIs" dxfId="116" priority="124" operator="equal">
      <formula>"×"</formula>
    </cfRule>
  </conditionalFormatting>
  <conditionalFormatting sqref="AI11">
    <cfRule type="cellIs" dxfId="115" priority="121" operator="equal">
      <formula>1</formula>
    </cfRule>
    <cfRule type="cellIs" dxfId="114" priority="122" operator="equal">
      <formula>"×"</formula>
    </cfRule>
  </conditionalFormatting>
  <conditionalFormatting sqref="AG12">
    <cfRule type="cellIs" dxfId="113" priority="119" operator="equal">
      <formula>1</formula>
    </cfRule>
    <cfRule type="cellIs" dxfId="112" priority="120" operator="equal">
      <formula>"×"</formula>
    </cfRule>
  </conditionalFormatting>
  <conditionalFormatting sqref="AH12">
    <cfRule type="cellIs" dxfId="111" priority="117" operator="equal">
      <formula>1</formula>
    </cfRule>
    <cfRule type="cellIs" dxfId="110" priority="118" operator="equal">
      <formula>"×"</formula>
    </cfRule>
  </conditionalFormatting>
  <conditionalFormatting sqref="AG13">
    <cfRule type="cellIs" dxfId="109" priority="115" operator="equal">
      <formula>1</formula>
    </cfRule>
    <cfRule type="cellIs" dxfId="108" priority="116" operator="equal">
      <formula>"×"</formula>
    </cfRule>
  </conditionalFormatting>
  <conditionalFormatting sqref="AH13">
    <cfRule type="cellIs" dxfId="107" priority="113" operator="equal">
      <formula>1</formula>
    </cfRule>
    <cfRule type="cellIs" dxfId="106" priority="114" operator="equal">
      <formula>"×"</formula>
    </cfRule>
  </conditionalFormatting>
  <conditionalFormatting sqref="AI13">
    <cfRule type="cellIs" dxfId="105" priority="111" operator="equal">
      <formula>1</formula>
    </cfRule>
    <cfRule type="cellIs" dxfId="104" priority="112" operator="equal">
      <formula>"×"</formula>
    </cfRule>
  </conditionalFormatting>
  <conditionalFormatting sqref="AF14">
    <cfRule type="cellIs" dxfId="103" priority="109" operator="equal">
      <formula>1</formula>
    </cfRule>
    <cfRule type="cellIs" dxfId="102" priority="110" operator="equal">
      <formula>"×"</formula>
    </cfRule>
  </conditionalFormatting>
  <conditionalFormatting sqref="AF15">
    <cfRule type="cellIs" dxfId="101" priority="107" operator="equal">
      <formula>1</formula>
    </cfRule>
    <cfRule type="cellIs" dxfId="100" priority="108" operator="equal">
      <formula>"×"</formula>
    </cfRule>
  </conditionalFormatting>
  <conditionalFormatting sqref="AF16">
    <cfRule type="cellIs" dxfId="99" priority="105" operator="equal">
      <formula>1</formula>
    </cfRule>
    <cfRule type="cellIs" dxfId="98" priority="106" operator="equal">
      <formula>"×"</formula>
    </cfRule>
  </conditionalFormatting>
  <conditionalFormatting sqref="AG6:AI6">
    <cfRule type="cellIs" dxfId="97" priority="103" operator="equal">
      <formula>1</formula>
    </cfRule>
    <cfRule type="cellIs" dxfId="96" priority="104" operator="equal">
      <formula>"×"</formula>
    </cfRule>
  </conditionalFormatting>
  <conditionalFormatting sqref="AG15:AH15 AG16:AG17 AI16 AH18:AI18 AH19 AI20">
    <cfRule type="cellIs" dxfId="95" priority="101" operator="equal">
      <formula>1</formula>
    </cfRule>
    <cfRule type="cellIs" dxfId="94" priority="102" operator="equal">
      <formula>"×"</formula>
    </cfRule>
  </conditionalFormatting>
  <conditionalFormatting sqref="AI15">
    <cfRule type="cellIs" dxfId="93" priority="99" operator="equal">
      <formula>1</formula>
    </cfRule>
    <cfRule type="cellIs" dxfId="92" priority="100" operator="equal">
      <formula>"×"</formula>
    </cfRule>
  </conditionalFormatting>
  <conditionalFormatting sqref="AH16">
    <cfRule type="cellIs" dxfId="91" priority="97" operator="equal">
      <formula>1</formula>
    </cfRule>
    <cfRule type="cellIs" dxfId="90" priority="98" operator="equal">
      <formula>"×"</formula>
    </cfRule>
  </conditionalFormatting>
  <conditionalFormatting sqref="AH17">
    <cfRule type="cellIs" dxfId="89" priority="95" operator="equal">
      <formula>1</formula>
    </cfRule>
    <cfRule type="cellIs" dxfId="88" priority="96" operator="equal">
      <formula>"×"</formula>
    </cfRule>
  </conditionalFormatting>
  <conditionalFormatting sqref="AI17">
    <cfRule type="cellIs" dxfId="87" priority="93" operator="equal">
      <formula>1</formula>
    </cfRule>
    <cfRule type="cellIs" dxfId="86" priority="94" operator="equal">
      <formula>"×"</formula>
    </cfRule>
  </conditionalFormatting>
  <conditionalFormatting sqref="AG18">
    <cfRule type="cellIs" dxfId="85" priority="91" operator="equal">
      <formula>1</formula>
    </cfRule>
    <cfRule type="cellIs" dxfId="84" priority="92" operator="equal">
      <formula>"×"</formula>
    </cfRule>
  </conditionalFormatting>
  <conditionalFormatting sqref="AG19">
    <cfRule type="cellIs" dxfId="83" priority="89" operator="equal">
      <formula>1</formula>
    </cfRule>
    <cfRule type="cellIs" dxfId="82" priority="90" operator="equal">
      <formula>"×"</formula>
    </cfRule>
  </conditionalFormatting>
  <conditionalFormatting sqref="AI19">
    <cfRule type="cellIs" dxfId="81" priority="87" operator="equal">
      <formula>1</formula>
    </cfRule>
    <cfRule type="cellIs" dxfId="80" priority="88" operator="equal">
      <formula>"×"</formula>
    </cfRule>
  </conditionalFormatting>
  <conditionalFormatting sqref="AG20">
    <cfRule type="cellIs" dxfId="79" priority="85" operator="equal">
      <formula>1</formula>
    </cfRule>
    <cfRule type="cellIs" dxfId="78" priority="86" operator="equal">
      <formula>"×"</formula>
    </cfRule>
  </conditionalFormatting>
  <conditionalFormatting sqref="AH20">
    <cfRule type="cellIs" dxfId="77" priority="83" operator="equal">
      <formula>1</formula>
    </cfRule>
    <cfRule type="cellIs" dxfId="76" priority="84" operator="equal">
      <formula>"×"</formula>
    </cfRule>
  </conditionalFormatting>
  <conditionalFormatting sqref="AG21">
    <cfRule type="cellIs" dxfId="75" priority="81" operator="equal">
      <formula>1</formula>
    </cfRule>
    <cfRule type="cellIs" dxfId="74" priority="82" operator="equal">
      <formula>"×"</formula>
    </cfRule>
  </conditionalFormatting>
  <conditionalFormatting sqref="AH21">
    <cfRule type="cellIs" dxfId="73" priority="79" operator="equal">
      <formula>1</formula>
    </cfRule>
    <cfRule type="cellIs" dxfId="72" priority="80" operator="equal">
      <formula>"×"</formula>
    </cfRule>
  </conditionalFormatting>
  <conditionalFormatting sqref="AI21">
    <cfRule type="cellIs" dxfId="71" priority="77" operator="equal">
      <formula>1</formula>
    </cfRule>
    <cfRule type="cellIs" dxfId="70" priority="78" operator="equal">
      <formula>"×"</formula>
    </cfRule>
  </conditionalFormatting>
  <conditionalFormatting sqref="AF17:AF21">
    <cfRule type="cellIs" dxfId="69" priority="75" operator="equal">
      <formula>1</formula>
    </cfRule>
    <cfRule type="cellIs" dxfId="68" priority="76" operator="equal">
      <formula>"×"</formula>
    </cfRule>
  </conditionalFormatting>
  <conditionalFormatting sqref="AF22">
    <cfRule type="cellIs" dxfId="67" priority="67" operator="equal">
      <formula>1</formula>
    </cfRule>
    <cfRule type="cellIs" dxfId="66" priority="68" operator="equal">
      <formula>"×"</formula>
    </cfRule>
  </conditionalFormatting>
  <conditionalFormatting sqref="AF23:AH23 AF24:AG25 AI24 AH26:AI26 AH27 AF26:AF29 AI28 AG30:AI30">
    <cfRule type="cellIs" dxfId="65" priority="65" operator="equal">
      <formula>1</formula>
    </cfRule>
    <cfRule type="cellIs" dxfId="64" priority="66" operator="equal">
      <formula>"×"</formula>
    </cfRule>
  </conditionalFormatting>
  <conditionalFormatting sqref="AI23">
    <cfRule type="cellIs" dxfId="63" priority="63" operator="equal">
      <formula>1</formula>
    </cfRule>
    <cfRule type="cellIs" dxfId="62" priority="64" operator="equal">
      <formula>"×"</formula>
    </cfRule>
  </conditionalFormatting>
  <conditionalFormatting sqref="AH24">
    <cfRule type="cellIs" dxfId="61" priority="61" operator="equal">
      <formula>1</formula>
    </cfRule>
    <cfRule type="cellIs" dxfId="60" priority="62" operator="equal">
      <formula>"×"</formula>
    </cfRule>
  </conditionalFormatting>
  <conditionalFormatting sqref="AH25">
    <cfRule type="cellIs" dxfId="59" priority="59" operator="equal">
      <formula>1</formula>
    </cfRule>
    <cfRule type="cellIs" dxfId="58" priority="60" operator="equal">
      <formula>"×"</formula>
    </cfRule>
  </conditionalFormatting>
  <conditionalFormatting sqref="AI25">
    <cfRule type="cellIs" dxfId="57" priority="57" operator="equal">
      <formula>1</formula>
    </cfRule>
    <cfRule type="cellIs" dxfId="56" priority="58" operator="equal">
      <formula>"×"</formula>
    </cfRule>
  </conditionalFormatting>
  <conditionalFormatting sqref="AG26">
    <cfRule type="cellIs" dxfId="55" priority="55" operator="equal">
      <formula>1</formula>
    </cfRule>
    <cfRule type="cellIs" dxfId="54" priority="56" operator="equal">
      <formula>"×"</formula>
    </cfRule>
  </conditionalFormatting>
  <conditionalFormatting sqref="AG27">
    <cfRule type="cellIs" dxfId="53" priority="53" operator="equal">
      <formula>1</formula>
    </cfRule>
    <cfRule type="cellIs" dxfId="52" priority="54" operator="equal">
      <formula>"×"</formula>
    </cfRule>
  </conditionalFormatting>
  <conditionalFormatting sqref="AI27">
    <cfRule type="cellIs" dxfId="51" priority="51" operator="equal">
      <formula>1</formula>
    </cfRule>
    <cfRule type="cellIs" dxfId="50" priority="52" operator="equal">
      <formula>"×"</formula>
    </cfRule>
  </conditionalFormatting>
  <conditionalFormatting sqref="AG28">
    <cfRule type="cellIs" dxfId="49" priority="49" operator="equal">
      <formula>1</formula>
    </cfRule>
    <cfRule type="cellIs" dxfId="48" priority="50" operator="equal">
      <formula>"×"</formula>
    </cfRule>
  </conditionalFormatting>
  <conditionalFormatting sqref="AH28">
    <cfRule type="cellIs" dxfId="47" priority="47" operator="equal">
      <formula>1</formula>
    </cfRule>
    <cfRule type="cellIs" dxfId="46" priority="48" operator="equal">
      <formula>"×"</formula>
    </cfRule>
  </conditionalFormatting>
  <conditionalFormatting sqref="AG29">
    <cfRule type="cellIs" dxfId="45" priority="45" operator="equal">
      <formula>1</formula>
    </cfRule>
    <cfRule type="cellIs" dxfId="44" priority="46" operator="equal">
      <formula>"×"</formula>
    </cfRule>
  </conditionalFormatting>
  <conditionalFormatting sqref="AH29">
    <cfRule type="cellIs" dxfId="43" priority="43" operator="equal">
      <formula>1</formula>
    </cfRule>
    <cfRule type="cellIs" dxfId="42" priority="44" operator="equal">
      <formula>"×"</formula>
    </cfRule>
  </conditionalFormatting>
  <conditionalFormatting sqref="AI29">
    <cfRule type="cellIs" dxfId="41" priority="41" operator="equal">
      <formula>1</formula>
    </cfRule>
    <cfRule type="cellIs" dxfId="40" priority="42" operator="equal">
      <formula>"×"</formula>
    </cfRule>
  </conditionalFormatting>
  <conditionalFormatting sqref="AF30">
    <cfRule type="cellIs" dxfId="39" priority="39" operator="equal">
      <formula>1</formula>
    </cfRule>
    <cfRule type="cellIs" dxfId="38" priority="40" operator="equal">
      <formula>"×"</formula>
    </cfRule>
  </conditionalFormatting>
  <conditionalFormatting sqref="AF31">
    <cfRule type="cellIs" dxfId="37" priority="37" operator="equal">
      <formula>1</formula>
    </cfRule>
    <cfRule type="cellIs" dxfId="36" priority="38" operator="equal">
      <formula>"×"</formula>
    </cfRule>
  </conditionalFormatting>
  <conditionalFormatting sqref="AF32">
    <cfRule type="cellIs" dxfId="35" priority="35" operator="equal">
      <formula>1</formula>
    </cfRule>
    <cfRule type="cellIs" dxfId="34" priority="36" operator="equal">
      <formula>"×"</formula>
    </cfRule>
  </conditionalFormatting>
  <conditionalFormatting sqref="AG22:AI22">
    <cfRule type="cellIs" dxfId="33" priority="33" operator="equal">
      <formula>1</formula>
    </cfRule>
    <cfRule type="cellIs" dxfId="32" priority="34" operator="equal">
      <formula>"×"</formula>
    </cfRule>
  </conditionalFormatting>
  <conditionalFormatting sqref="AG31:AH31 AG32:AG33 AI32 AH34:AI34 AH35 AI36">
    <cfRule type="cellIs" dxfId="31" priority="31" operator="equal">
      <formula>1</formula>
    </cfRule>
    <cfRule type="cellIs" dxfId="30" priority="32" operator="equal">
      <formula>"×"</formula>
    </cfRule>
  </conditionalFormatting>
  <conditionalFormatting sqref="AI31">
    <cfRule type="cellIs" dxfId="29" priority="29" operator="equal">
      <formula>1</formula>
    </cfRule>
    <cfRule type="cellIs" dxfId="28" priority="30" operator="equal">
      <formula>"×"</formula>
    </cfRule>
  </conditionalFormatting>
  <conditionalFormatting sqref="AH32">
    <cfRule type="cellIs" dxfId="27" priority="27" operator="equal">
      <formula>1</formula>
    </cfRule>
    <cfRule type="cellIs" dxfId="26" priority="28" operator="equal">
      <formula>"×"</formula>
    </cfRule>
  </conditionalFormatting>
  <conditionalFormatting sqref="AH33">
    <cfRule type="cellIs" dxfId="25" priority="25" operator="equal">
      <formula>1</formula>
    </cfRule>
    <cfRule type="cellIs" dxfId="24" priority="26" operator="equal">
      <formula>"×"</formula>
    </cfRule>
  </conditionalFormatting>
  <conditionalFormatting sqref="AI33">
    <cfRule type="cellIs" dxfId="23" priority="23" operator="equal">
      <formula>1</formula>
    </cfRule>
    <cfRule type="cellIs" dxfId="22" priority="24" operator="equal">
      <formula>"×"</formula>
    </cfRule>
  </conditionalFormatting>
  <conditionalFormatting sqref="AG34">
    <cfRule type="cellIs" dxfId="21" priority="21" operator="equal">
      <formula>1</formula>
    </cfRule>
    <cfRule type="cellIs" dxfId="20" priority="22" operator="equal">
      <formula>"×"</formula>
    </cfRule>
  </conditionalFormatting>
  <conditionalFormatting sqref="AG35">
    <cfRule type="cellIs" dxfId="19" priority="19" operator="equal">
      <formula>1</formula>
    </cfRule>
    <cfRule type="cellIs" dxfId="18" priority="20" operator="equal">
      <formula>"×"</formula>
    </cfRule>
  </conditionalFormatting>
  <conditionalFormatting sqref="AI35">
    <cfRule type="cellIs" dxfId="17" priority="17" operator="equal">
      <formula>1</formula>
    </cfRule>
    <cfRule type="cellIs" dxfId="16" priority="18" operator="equal">
      <formula>"×"</formula>
    </cfRule>
  </conditionalFormatting>
  <conditionalFormatting sqref="AG36">
    <cfRule type="cellIs" dxfId="15" priority="15" operator="equal">
      <formula>1</formula>
    </cfRule>
    <cfRule type="cellIs" dxfId="14" priority="16" operator="equal">
      <formula>"×"</formula>
    </cfRule>
  </conditionalFormatting>
  <conditionalFormatting sqref="AH36">
    <cfRule type="cellIs" dxfId="13" priority="13" operator="equal">
      <formula>1</formula>
    </cfRule>
    <cfRule type="cellIs" dxfId="12" priority="14" operator="equal">
      <formula>"×"</formula>
    </cfRule>
  </conditionalFormatting>
  <conditionalFormatting sqref="AG37">
    <cfRule type="cellIs" dxfId="11" priority="11" operator="equal">
      <formula>1</formula>
    </cfRule>
    <cfRule type="cellIs" dxfId="10" priority="12" operator="equal">
      <formula>"×"</formula>
    </cfRule>
  </conditionalFormatting>
  <conditionalFormatting sqref="AH37">
    <cfRule type="cellIs" dxfId="9" priority="9" operator="equal">
      <formula>1</formula>
    </cfRule>
    <cfRule type="cellIs" dxfId="8" priority="10" operator="equal">
      <formula>"×"</formula>
    </cfRule>
  </conditionalFormatting>
  <conditionalFormatting sqref="AI37">
    <cfRule type="cellIs" dxfId="7" priority="7" operator="equal">
      <formula>1</formula>
    </cfRule>
    <cfRule type="cellIs" dxfId="6" priority="8" operator="equal">
      <formula>"×"</formula>
    </cfRule>
  </conditionalFormatting>
  <conditionalFormatting sqref="AF33:AF37">
    <cfRule type="cellIs" dxfId="5" priority="5" operator="equal">
      <formula>1</formula>
    </cfRule>
    <cfRule type="cellIs" dxfId="4" priority="6" operator="equal">
      <formula>"×"</formula>
    </cfRule>
  </conditionalFormatting>
  <conditionalFormatting sqref="AE22:AE37">
    <cfRule type="cellIs" dxfId="3" priority="3" operator="equal">
      <formula>1</formula>
    </cfRule>
    <cfRule type="cellIs" dxfId="2" priority="4" operator="equal">
      <formula>"×"</formula>
    </cfRule>
  </conditionalFormatting>
  <conditionalFormatting sqref="AE6:AE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BB179"/>
  <sheetViews>
    <sheetView zoomScale="70" zoomScaleNormal="70" workbookViewId="0"/>
  </sheetViews>
  <sheetFormatPr defaultRowHeight="13"/>
  <cols>
    <col min="2" max="2" width="73.26953125" customWidth="1"/>
    <col min="3" max="10" width="3.36328125" customWidth="1"/>
    <col min="11" max="11" width="17" customWidth="1"/>
    <col min="12" max="12" width="37.26953125" customWidth="1"/>
    <col min="13" max="13" width="25.6328125" bestFit="1" customWidth="1"/>
    <col min="14" max="14" width="14.6328125" bestFit="1" customWidth="1"/>
    <col min="15" max="15" width="17" customWidth="1"/>
    <col min="16" max="16" width="17" bestFit="1" customWidth="1"/>
    <col min="17" max="17" width="16.7265625" customWidth="1"/>
    <col min="20" max="20" width="16.90625" customWidth="1"/>
  </cols>
  <sheetData>
    <row r="3" spans="2:17" ht="14.5" thickBot="1">
      <c r="B3" s="203" t="s">
        <v>294</v>
      </c>
      <c r="C3" s="204"/>
      <c r="D3" s="204"/>
      <c r="E3" s="204"/>
      <c r="F3" s="204"/>
      <c r="G3" s="204"/>
      <c r="H3" s="204"/>
      <c r="I3" s="204"/>
      <c r="J3" s="204"/>
      <c r="K3" s="204"/>
      <c r="L3" s="204"/>
      <c r="M3" s="204"/>
      <c r="N3" s="204"/>
      <c r="O3" s="204"/>
      <c r="P3" s="204"/>
      <c r="Q3" s="204"/>
    </row>
    <row r="4" spans="2:17" ht="14.5" thickBot="1">
      <c r="B4" s="205" t="s">
        <v>120</v>
      </c>
      <c r="C4" s="347" t="s">
        <v>213</v>
      </c>
      <c r="D4" s="348"/>
      <c r="E4" s="348"/>
      <c r="F4" s="348"/>
      <c r="G4" s="348"/>
      <c r="H4" s="348"/>
      <c r="I4" s="348"/>
      <c r="J4" s="349"/>
      <c r="K4" s="206"/>
      <c r="L4" s="206"/>
      <c r="M4" s="207"/>
      <c r="N4" s="208"/>
      <c r="O4" s="208"/>
      <c r="P4" s="208"/>
      <c r="Q4" s="209"/>
    </row>
    <row r="5" spans="2:17">
      <c r="B5" s="210"/>
      <c r="C5" s="211" t="s">
        <v>162</v>
      </c>
      <c r="D5" s="211"/>
      <c r="E5" s="211"/>
      <c r="F5" s="211"/>
      <c r="G5" s="211"/>
      <c r="H5" s="211"/>
      <c r="I5" s="211"/>
      <c r="J5" s="211"/>
      <c r="K5" s="211"/>
      <c r="L5" s="211"/>
      <c r="M5" s="212" t="s">
        <v>150</v>
      </c>
      <c r="N5" s="213" t="s">
        <v>21</v>
      </c>
      <c r="O5" s="214"/>
      <c r="P5" s="214"/>
      <c r="Q5" s="215"/>
    </row>
    <row r="6" spans="2:17">
      <c r="B6" s="216" t="s">
        <v>22</v>
      </c>
      <c r="C6" s="350" t="s">
        <v>180</v>
      </c>
      <c r="D6" s="345"/>
      <c r="E6" s="345"/>
      <c r="F6" s="345"/>
      <c r="G6" s="345"/>
      <c r="H6" s="345"/>
      <c r="I6" s="345"/>
      <c r="J6" s="346"/>
      <c r="K6" s="217" t="s">
        <v>23</v>
      </c>
      <c r="L6" s="217"/>
      <c r="M6" s="197" t="s">
        <v>299</v>
      </c>
      <c r="N6" s="170" t="s">
        <v>245</v>
      </c>
      <c r="O6" s="170" t="s">
        <v>246</v>
      </c>
      <c r="P6" s="218" t="s">
        <v>251</v>
      </c>
      <c r="Q6" s="174" t="s">
        <v>27</v>
      </c>
    </row>
    <row r="7" spans="2:17">
      <c r="B7" s="216" t="s">
        <v>33</v>
      </c>
      <c r="C7" s="219" t="s">
        <v>124</v>
      </c>
      <c r="D7" s="219" t="s">
        <v>163</v>
      </c>
      <c r="E7" s="219" t="s">
        <v>124</v>
      </c>
      <c r="F7" s="219" t="s">
        <v>124</v>
      </c>
      <c r="G7" s="219" t="s">
        <v>124</v>
      </c>
      <c r="H7" s="219" t="s">
        <v>124</v>
      </c>
      <c r="I7" s="219" t="s">
        <v>124</v>
      </c>
      <c r="J7" s="219" t="s">
        <v>124</v>
      </c>
      <c r="K7" s="220" t="s">
        <v>126</v>
      </c>
      <c r="L7" s="221" t="s">
        <v>126</v>
      </c>
      <c r="M7" s="197" t="s">
        <v>301</v>
      </c>
      <c r="N7" s="222"/>
      <c r="O7" s="222"/>
      <c r="P7" s="223"/>
      <c r="Q7" s="224"/>
    </row>
    <row r="8" spans="2:17" ht="26">
      <c r="B8" s="225" t="s">
        <v>28</v>
      </c>
      <c r="C8" s="344" t="s">
        <v>35</v>
      </c>
      <c r="D8" s="345"/>
      <c r="E8" s="345"/>
      <c r="F8" s="345"/>
      <c r="G8" s="345"/>
      <c r="H8" s="345"/>
      <c r="I8" s="345"/>
      <c r="J8" s="346"/>
      <c r="K8" s="226" t="s">
        <v>229</v>
      </c>
      <c r="L8" s="227" t="s">
        <v>228</v>
      </c>
      <c r="M8" s="228"/>
      <c r="N8" s="222"/>
      <c r="O8" s="222"/>
      <c r="P8" s="223"/>
      <c r="Q8" s="174"/>
    </row>
    <row r="9" spans="2:17" ht="131">
      <c r="B9" s="216" t="s">
        <v>29</v>
      </c>
      <c r="C9" s="229" t="s">
        <v>165</v>
      </c>
      <c r="D9" s="229" t="s">
        <v>62</v>
      </c>
      <c r="E9" s="229" t="s">
        <v>166</v>
      </c>
      <c r="F9" s="229" t="s">
        <v>167</v>
      </c>
      <c r="G9" s="229" t="s">
        <v>168</v>
      </c>
      <c r="H9" s="229" t="s">
        <v>169</v>
      </c>
      <c r="I9" s="229" t="s">
        <v>170</v>
      </c>
      <c r="J9" s="229" t="s">
        <v>171</v>
      </c>
      <c r="K9" s="226" t="s">
        <v>252</v>
      </c>
      <c r="L9" s="227" t="s">
        <v>272</v>
      </c>
      <c r="M9" s="197" t="s">
        <v>209</v>
      </c>
      <c r="N9" s="222"/>
      <c r="O9" s="222"/>
      <c r="P9" s="223"/>
      <c r="Q9" s="224"/>
    </row>
    <row r="10" spans="2:17" ht="65.5" thickBot="1">
      <c r="B10" s="230" t="s">
        <v>30</v>
      </c>
      <c r="C10" s="231" t="s">
        <v>173</v>
      </c>
      <c r="D10" s="231" t="s">
        <v>124</v>
      </c>
      <c r="E10" s="231" t="s">
        <v>173</v>
      </c>
      <c r="F10" s="231" t="s">
        <v>173</v>
      </c>
      <c r="G10" s="231" t="s">
        <v>173</v>
      </c>
      <c r="H10" s="231" t="s">
        <v>173</v>
      </c>
      <c r="I10" s="231" t="s">
        <v>173</v>
      </c>
      <c r="J10" s="231" t="s">
        <v>173</v>
      </c>
      <c r="K10" s="232" t="s">
        <v>244</v>
      </c>
      <c r="L10" s="232" t="s">
        <v>264</v>
      </c>
      <c r="M10" s="233" t="s">
        <v>300</v>
      </c>
      <c r="N10" s="234"/>
      <c r="O10" s="234"/>
      <c r="P10" s="235" t="s">
        <v>313</v>
      </c>
      <c r="Q10" s="236"/>
    </row>
    <row r="11" spans="2:17" ht="13.5" thickTop="1">
      <c r="B11" s="237" t="s">
        <v>309</v>
      </c>
      <c r="C11" s="238" t="s">
        <v>172</v>
      </c>
      <c r="D11" s="238" t="s">
        <v>172</v>
      </c>
      <c r="E11" s="238" t="s">
        <v>172</v>
      </c>
      <c r="F11" s="238" t="s">
        <v>172</v>
      </c>
      <c r="G11" s="238" t="s">
        <v>172</v>
      </c>
      <c r="H11" s="238" t="s">
        <v>172</v>
      </c>
      <c r="I11" s="239">
        <v>1</v>
      </c>
      <c r="J11" s="238" t="s">
        <v>172</v>
      </c>
      <c r="K11" s="240" t="s">
        <v>223</v>
      </c>
      <c r="L11" s="241">
        <v>0</v>
      </c>
      <c r="M11" s="242" t="s">
        <v>32</v>
      </c>
      <c r="N11" s="243"/>
      <c r="O11" s="243"/>
      <c r="P11" s="244" t="s">
        <v>31</v>
      </c>
      <c r="Q11" s="245"/>
    </row>
    <row r="12" spans="2:17">
      <c r="B12" s="237" t="s">
        <v>310</v>
      </c>
      <c r="C12" s="246" t="s">
        <v>172</v>
      </c>
      <c r="D12" s="246" t="s">
        <v>172</v>
      </c>
      <c r="E12" s="246" t="s">
        <v>172</v>
      </c>
      <c r="F12" s="246" t="s">
        <v>172</v>
      </c>
      <c r="G12" s="246" t="s">
        <v>172</v>
      </c>
      <c r="H12" s="246" t="s">
        <v>172</v>
      </c>
      <c r="I12" s="247">
        <v>1</v>
      </c>
      <c r="J12" s="246" t="s">
        <v>172</v>
      </c>
      <c r="K12" s="240" t="s">
        <v>265</v>
      </c>
      <c r="L12" s="248">
        <v>1</v>
      </c>
      <c r="M12" s="196" t="s">
        <v>32</v>
      </c>
      <c r="N12" s="249"/>
      <c r="O12" s="249"/>
      <c r="P12" s="244" t="s">
        <v>31</v>
      </c>
      <c r="Q12" s="250"/>
    </row>
    <row r="13" spans="2:17">
      <c r="B13" s="237" t="s">
        <v>311</v>
      </c>
      <c r="C13" s="246" t="s">
        <v>172</v>
      </c>
      <c r="D13" s="246" t="s">
        <v>172</v>
      </c>
      <c r="E13" s="246" t="s">
        <v>172</v>
      </c>
      <c r="F13" s="246" t="s">
        <v>172</v>
      </c>
      <c r="G13" s="246" t="s">
        <v>172</v>
      </c>
      <c r="H13" s="246" t="s">
        <v>172</v>
      </c>
      <c r="I13" s="247">
        <v>1</v>
      </c>
      <c r="J13" s="246" t="s">
        <v>172</v>
      </c>
      <c r="K13" s="240" t="s">
        <v>265</v>
      </c>
      <c r="L13" s="248">
        <v>10</v>
      </c>
      <c r="M13" s="196" t="s">
        <v>32</v>
      </c>
      <c r="N13" s="249"/>
      <c r="O13" s="249"/>
      <c r="P13" s="251" t="s">
        <v>124</v>
      </c>
      <c r="Q13" s="250"/>
    </row>
    <row r="14" spans="2:17">
      <c r="B14" s="237" t="s">
        <v>291</v>
      </c>
      <c r="C14" s="246" t="s">
        <v>172</v>
      </c>
      <c r="D14" s="246" t="s">
        <v>172</v>
      </c>
      <c r="E14" s="246" t="s">
        <v>172</v>
      </c>
      <c r="F14" s="246" t="s">
        <v>172</v>
      </c>
      <c r="G14" s="246" t="s">
        <v>172</v>
      </c>
      <c r="H14" s="246" t="s">
        <v>172</v>
      </c>
      <c r="I14" s="247">
        <v>1</v>
      </c>
      <c r="J14" s="246" t="s">
        <v>172</v>
      </c>
      <c r="K14" s="240" t="s">
        <v>265</v>
      </c>
      <c r="L14" s="248">
        <v>11</v>
      </c>
      <c r="M14" s="196" t="s">
        <v>308</v>
      </c>
      <c r="N14" s="249"/>
      <c r="O14" s="249"/>
      <c r="P14" s="251" t="s">
        <v>314</v>
      </c>
      <c r="Q14" s="250"/>
    </row>
    <row r="15" spans="2:17">
      <c r="B15" s="237" t="s">
        <v>312</v>
      </c>
      <c r="C15" s="246" t="s">
        <v>172</v>
      </c>
      <c r="D15" s="246" t="s">
        <v>172</v>
      </c>
      <c r="E15" s="246" t="s">
        <v>172</v>
      </c>
      <c r="F15" s="246" t="s">
        <v>172</v>
      </c>
      <c r="G15" s="246" t="s">
        <v>172</v>
      </c>
      <c r="H15" s="246" t="s">
        <v>172</v>
      </c>
      <c r="I15" s="247">
        <v>1</v>
      </c>
      <c r="J15" s="246" t="s">
        <v>172</v>
      </c>
      <c r="K15" s="252" t="s">
        <v>224</v>
      </c>
      <c r="L15" s="248" t="s">
        <v>247</v>
      </c>
      <c r="M15" s="196" t="s">
        <v>32</v>
      </c>
      <c r="N15" s="249"/>
      <c r="O15" s="249"/>
      <c r="P15" s="251" t="s">
        <v>31</v>
      </c>
      <c r="Q15" s="250"/>
    </row>
    <row r="16" spans="2:17" ht="13.5" thickBot="1">
      <c r="B16" s="253" t="s">
        <v>293</v>
      </c>
      <c r="C16" s="254" t="s">
        <v>172</v>
      </c>
      <c r="D16" s="254" t="s">
        <v>172</v>
      </c>
      <c r="E16" s="254" t="s">
        <v>172</v>
      </c>
      <c r="F16" s="254" t="s">
        <v>172</v>
      </c>
      <c r="G16" s="254" t="s">
        <v>172</v>
      </c>
      <c r="H16" s="254" t="s">
        <v>172</v>
      </c>
      <c r="I16" s="255">
        <v>0</v>
      </c>
      <c r="J16" s="254" t="s">
        <v>172</v>
      </c>
      <c r="K16" s="256" t="s">
        <v>250</v>
      </c>
      <c r="L16" s="257" t="s">
        <v>247</v>
      </c>
      <c r="M16" s="258" t="s">
        <v>32</v>
      </c>
      <c r="N16" s="259"/>
      <c r="O16" s="259"/>
      <c r="P16" s="260" t="s">
        <v>31</v>
      </c>
      <c r="Q16" s="261"/>
    </row>
    <row r="28" spans="2:17" ht="14.5" thickBot="1">
      <c r="B28" s="274" t="s">
        <v>295</v>
      </c>
      <c r="C28" s="204"/>
      <c r="D28" s="204"/>
      <c r="E28" s="204"/>
      <c r="F28" s="204"/>
      <c r="G28" s="204"/>
      <c r="H28" s="204"/>
      <c r="I28" s="204"/>
      <c r="J28" s="204"/>
      <c r="K28" s="204"/>
      <c r="L28" s="204"/>
      <c r="M28" s="204"/>
      <c r="N28" s="204"/>
      <c r="O28" s="204"/>
      <c r="P28" s="204"/>
      <c r="Q28" s="204"/>
    </row>
    <row r="29" spans="2:17" ht="14.5" thickBot="1">
      <c r="B29" s="205" t="s">
        <v>120</v>
      </c>
      <c r="C29" s="347" t="s">
        <v>213</v>
      </c>
      <c r="D29" s="348"/>
      <c r="E29" s="348"/>
      <c r="F29" s="348"/>
      <c r="G29" s="348"/>
      <c r="H29" s="348"/>
      <c r="I29" s="348"/>
      <c r="J29" s="349"/>
      <c r="K29" s="206"/>
      <c r="L29" s="206"/>
      <c r="M29" s="207"/>
      <c r="N29" s="208"/>
      <c r="O29" s="208"/>
      <c r="P29" s="208"/>
      <c r="Q29" s="209"/>
    </row>
    <row r="30" spans="2:17">
      <c r="B30" s="210"/>
      <c r="C30" s="211" t="s">
        <v>162</v>
      </c>
      <c r="D30" s="211"/>
      <c r="E30" s="211"/>
      <c r="F30" s="211"/>
      <c r="G30" s="211"/>
      <c r="H30" s="211"/>
      <c r="I30" s="211"/>
      <c r="J30" s="211"/>
      <c r="K30" s="211"/>
      <c r="L30" s="211"/>
      <c r="M30" s="212" t="s">
        <v>51</v>
      </c>
      <c r="N30" s="213" t="s">
        <v>21</v>
      </c>
      <c r="O30" s="214"/>
      <c r="P30" s="214"/>
      <c r="Q30" s="215"/>
    </row>
    <row r="31" spans="2:17">
      <c r="B31" s="216" t="s">
        <v>22</v>
      </c>
      <c r="C31" s="350" t="s">
        <v>180</v>
      </c>
      <c r="D31" s="345"/>
      <c r="E31" s="345"/>
      <c r="F31" s="345"/>
      <c r="G31" s="345"/>
      <c r="H31" s="345"/>
      <c r="I31" s="345"/>
      <c r="J31" s="346"/>
      <c r="K31" s="217" t="s">
        <v>23</v>
      </c>
      <c r="L31" s="217"/>
      <c r="M31" s="197" t="s">
        <v>258</v>
      </c>
      <c r="N31" s="170" t="s">
        <v>245</v>
      </c>
      <c r="O31" s="170" t="s">
        <v>175</v>
      </c>
      <c r="P31" s="218" t="s">
        <v>251</v>
      </c>
      <c r="Q31" s="174" t="s">
        <v>27</v>
      </c>
    </row>
    <row r="32" spans="2:17">
      <c r="B32" s="216" t="s">
        <v>33</v>
      </c>
      <c r="C32" s="219" t="s">
        <v>124</v>
      </c>
      <c r="D32" s="219" t="s">
        <v>124</v>
      </c>
      <c r="E32" s="219" t="s">
        <v>124</v>
      </c>
      <c r="F32" s="219" t="s">
        <v>124</v>
      </c>
      <c r="G32" s="219" t="s">
        <v>124</v>
      </c>
      <c r="H32" s="219" t="s">
        <v>124</v>
      </c>
      <c r="I32" s="219" t="s">
        <v>124</v>
      </c>
      <c r="J32" s="219" t="s">
        <v>124</v>
      </c>
      <c r="K32" s="220" t="s">
        <v>126</v>
      </c>
      <c r="L32" s="221" t="s">
        <v>126</v>
      </c>
      <c r="M32" s="197" t="s">
        <v>48</v>
      </c>
      <c r="N32" s="222"/>
      <c r="O32" s="222"/>
      <c r="P32" s="223"/>
      <c r="Q32" s="224"/>
    </row>
    <row r="33" spans="2:17" ht="26">
      <c r="B33" s="225" t="s">
        <v>28</v>
      </c>
      <c r="C33" s="344" t="s">
        <v>35</v>
      </c>
      <c r="D33" s="345"/>
      <c r="E33" s="345"/>
      <c r="F33" s="345"/>
      <c r="G33" s="345"/>
      <c r="H33" s="345"/>
      <c r="I33" s="345"/>
      <c r="J33" s="346"/>
      <c r="K33" s="226" t="s">
        <v>228</v>
      </c>
      <c r="L33" s="227" t="s">
        <v>228</v>
      </c>
      <c r="M33" s="228"/>
      <c r="N33" s="222"/>
      <c r="O33" s="222"/>
      <c r="P33" s="223"/>
      <c r="Q33" s="174"/>
    </row>
    <row r="34" spans="2:17" ht="131">
      <c r="B34" s="216" t="s">
        <v>29</v>
      </c>
      <c r="C34" s="229" t="s">
        <v>165</v>
      </c>
      <c r="D34" s="229" t="s">
        <v>62</v>
      </c>
      <c r="E34" s="229" t="s">
        <v>166</v>
      </c>
      <c r="F34" s="229" t="s">
        <v>167</v>
      </c>
      <c r="G34" s="229" t="s">
        <v>168</v>
      </c>
      <c r="H34" s="229" t="s">
        <v>169</v>
      </c>
      <c r="I34" s="229" t="s">
        <v>170</v>
      </c>
      <c r="J34" s="229" t="s">
        <v>171</v>
      </c>
      <c r="K34" s="226" t="s">
        <v>230</v>
      </c>
      <c r="L34" s="227" t="s">
        <v>272</v>
      </c>
      <c r="M34" s="197" t="s">
        <v>209</v>
      </c>
      <c r="N34" s="222"/>
      <c r="O34" s="222"/>
      <c r="P34" s="223"/>
      <c r="Q34" s="224"/>
    </row>
    <row r="35" spans="2:17" ht="65.5" thickBot="1">
      <c r="B35" s="230" t="s">
        <v>30</v>
      </c>
      <c r="C35" s="231" t="s">
        <v>173</v>
      </c>
      <c r="D35" s="231" t="s">
        <v>124</v>
      </c>
      <c r="E35" s="231" t="s">
        <v>173</v>
      </c>
      <c r="F35" s="231" t="s">
        <v>173</v>
      </c>
      <c r="G35" s="231" t="s">
        <v>173</v>
      </c>
      <c r="H35" s="231" t="s">
        <v>173</v>
      </c>
      <c r="I35" s="231" t="s">
        <v>173</v>
      </c>
      <c r="J35" s="231" t="s">
        <v>173</v>
      </c>
      <c r="K35" s="232" t="s">
        <v>244</v>
      </c>
      <c r="L35" s="232" t="s">
        <v>264</v>
      </c>
      <c r="M35" s="275" t="s">
        <v>315</v>
      </c>
      <c r="N35" s="234"/>
      <c r="O35" s="234"/>
      <c r="P35" s="277" t="s">
        <v>313</v>
      </c>
      <c r="Q35" s="236"/>
    </row>
    <row r="36" spans="2:17" ht="13.5" thickTop="1">
      <c r="B36" s="237" t="s">
        <v>262</v>
      </c>
      <c r="C36" s="238" t="s">
        <v>172</v>
      </c>
      <c r="D36" s="238" t="s">
        <v>172</v>
      </c>
      <c r="E36" s="238" t="s">
        <v>172</v>
      </c>
      <c r="F36" s="238" t="s">
        <v>172</v>
      </c>
      <c r="G36" s="238" t="s">
        <v>172</v>
      </c>
      <c r="H36" s="238" t="s">
        <v>172</v>
      </c>
      <c r="I36" s="238" t="s">
        <v>172</v>
      </c>
      <c r="J36" s="238" t="s">
        <v>172</v>
      </c>
      <c r="K36" s="240" t="s">
        <v>223</v>
      </c>
      <c r="L36" s="241">
        <v>0</v>
      </c>
      <c r="M36" s="242" t="s">
        <v>32</v>
      </c>
      <c r="N36" s="243"/>
      <c r="O36" s="243"/>
      <c r="P36" s="244" t="s">
        <v>31</v>
      </c>
      <c r="Q36" s="245"/>
    </row>
    <row r="37" spans="2:17">
      <c r="B37" s="237" t="s">
        <v>263</v>
      </c>
      <c r="C37" s="246" t="s">
        <v>172</v>
      </c>
      <c r="D37" s="246" t="s">
        <v>172</v>
      </c>
      <c r="E37" s="246" t="s">
        <v>172</v>
      </c>
      <c r="F37" s="246" t="s">
        <v>172</v>
      </c>
      <c r="G37" s="246" t="s">
        <v>172</v>
      </c>
      <c r="H37" s="246" t="s">
        <v>172</v>
      </c>
      <c r="I37" s="246" t="s">
        <v>172</v>
      </c>
      <c r="J37" s="246" t="s">
        <v>172</v>
      </c>
      <c r="K37" s="240" t="s">
        <v>265</v>
      </c>
      <c r="L37" s="248">
        <v>1</v>
      </c>
      <c r="M37" s="196" t="s">
        <v>32</v>
      </c>
      <c r="N37" s="249"/>
      <c r="O37" s="249"/>
      <c r="P37" s="244" t="s">
        <v>31</v>
      </c>
      <c r="Q37" s="250"/>
    </row>
    <row r="38" spans="2:17">
      <c r="B38" s="237" t="s">
        <v>260</v>
      </c>
      <c r="C38" s="246" t="s">
        <v>172</v>
      </c>
      <c r="D38" s="246" t="s">
        <v>172</v>
      </c>
      <c r="E38" s="246" t="s">
        <v>172</v>
      </c>
      <c r="F38" s="246" t="s">
        <v>172</v>
      </c>
      <c r="G38" s="246" t="s">
        <v>172</v>
      </c>
      <c r="H38" s="246" t="s">
        <v>172</v>
      </c>
      <c r="I38" s="246" t="s">
        <v>172</v>
      </c>
      <c r="J38" s="246" t="s">
        <v>172</v>
      </c>
      <c r="K38" s="240" t="s">
        <v>265</v>
      </c>
      <c r="L38" s="248">
        <v>10</v>
      </c>
      <c r="M38" s="276" t="s">
        <v>303</v>
      </c>
      <c r="N38" s="249"/>
      <c r="O38" s="249"/>
      <c r="P38" s="200" t="s">
        <v>316</v>
      </c>
      <c r="Q38" s="250"/>
    </row>
    <row r="39" spans="2:17">
      <c r="B39" s="237" t="s">
        <v>261</v>
      </c>
      <c r="C39" s="246" t="s">
        <v>172</v>
      </c>
      <c r="D39" s="246" t="s">
        <v>172</v>
      </c>
      <c r="E39" s="246" t="s">
        <v>172</v>
      </c>
      <c r="F39" s="246" t="s">
        <v>172</v>
      </c>
      <c r="G39" s="246" t="s">
        <v>172</v>
      </c>
      <c r="H39" s="246" t="s">
        <v>172</v>
      </c>
      <c r="I39" s="246" t="s">
        <v>172</v>
      </c>
      <c r="J39" s="246" t="s">
        <v>172</v>
      </c>
      <c r="K39" s="240" t="s">
        <v>265</v>
      </c>
      <c r="L39" s="248">
        <v>11</v>
      </c>
      <c r="M39" s="276" t="s">
        <v>32</v>
      </c>
      <c r="N39" s="249"/>
      <c r="O39" s="249"/>
      <c r="P39" s="200" t="s">
        <v>305</v>
      </c>
      <c r="Q39" s="250"/>
    </row>
    <row r="40" spans="2:17">
      <c r="B40" s="237" t="s">
        <v>255</v>
      </c>
      <c r="C40" s="246" t="s">
        <v>172</v>
      </c>
      <c r="D40" s="246" t="s">
        <v>172</v>
      </c>
      <c r="E40" s="246" t="s">
        <v>172</v>
      </c>
      <c r="F40" s="246" t="s">
        <v>172</v>
      </c>
      <c r="G40" s="246" t="s">
        <v>172</v>
      </c>
      <c r="H40" s="246" t="s">
        <v>172</v>
      </c>
      <c r="I40" s="246" t="s">
        <v>172</v>
      </c>
      <c r="J40" s="246" t="s">
        <v>172</v>
      </c>
      <c r="K40" s="252" t="s">
        <v>224</v>
      </c>
      <c r="L40" s="248" t="s">
        <v>247</v>
      </c>
      <c r="M40" s="196" t="s">
        <v>32</v>
      </c>
      <c r="N40" s="249"/>
      <c r="O40" s="249"/>
      <c r="P40" s="251" t="s">
        <v>31</v>
      </c>
      <c r="Q40" s="250"/>
    </row>
    <row r="41" spans="2:17" ht="13.5" thickBot="1">
      <c r="B41" s="253" t="s">
        <v>249</v>
      </c>
      <c r="C41" s="254" t="s">
        <v>172</v>
      </c>
      <c r="D41" s="254" t="s">
        <v>172</v>
      </c>
      <c r="E41" s="254" t="s">
        <v>172</v>
      </c>
      <c r="F41" s="254" t="s">
        <v>172</v>
      </c>
      <c r="G41" s="254" t="s">
        <v>172</v>
      </c>
      <c r="H41" s="254" t="s">
        <v>172</v>
      </c>
      <c r="I41" s="254" t="s">
        <v>172</v>
      </c>
      <c r="J41" s="254" t="s">
        <v>172</v>
      </c>
      <c r="K41" s="256" t="s">
        <v>250</v>
      </c>
      <c r="L41" s="257" t="s">
        <v>247</v>
      </c>
      <c r="M41" s="258" t="s">
        <v>32</v>
      </c>
      <c r="N41" s="259"/>
      <c r="O41" s="259"/>
      <c r="P41" s="260" t="s">
        <v>31</v>
      </c>
      <c r="Q41" s="261"/>
    </row>
    <row r="50" spans="2:17" ht="14.5" thickBot="1">
      <c r="B50" s="25" t="s">
        <v>285</v>
      </c>
    </row>
    <row r="51" spans="2:17" ht="14.5" thickBot="1">
      <c r="B51" s="90" t="s">
        <v>158</v>
      </c>
      <c r="C51" s="337" t="s">
        <v>213</v>
      </c>
      <c r="D51" s="338"/>
      <c r="E51" s="338"/>
      <c r="F51" s="338"/>
      <c r="G51" s="338"/>
      <c r="H51" s="338"/>
      <c r="I51" s="338"/>
      <c r="J51" s="339"/>
      <c r="K51" s="159"/>
      <c r="L51" s="159"/>
      <c r="M51" s="162"/>
      <c r="N51" s="160"/>
      <c r="O51" s="160"/>
      <c r="P51" s="160"/>
      <c r="Q51" s="161"/>
    </row>
    <row r="52" spans="2:17">
      <c r="B52" s="64"/>
      <c r="C52" s="31" t="s">
        <v>162</v>
      </c>
      <c r="D52" s="31"/>
      <c r="E52" s="31"/>
      <c r="F52" s="31"/>
      <c r="G52" s="31"/>
      <c r="H52" s="31"/>
      <c r="I52" s="31"/>
      <c r="J52" s="31"/>
      <c r="K52" s="31"/>
      <c r="L52" s="32"/>
      <c r="M52" s="28" t="s">
        <v>150</v>
      </c>
      <c r="N52" s="37" t="s">
        <v>21</v>
      </c>
      <c r="O52" s="38"/>
      <c r="P52" s="38"/>
      <c r="Q52" s="39"/>
    </row>
    <row r="53" spans="2:17">
      <c r="B53" s="65" t="s">
        <v>22</v>
      </c>
      <c r="C53" s="340" t="s">
        <v>181</v>
      </c>
      <c r="D53" s="341"/>
      <c r="E53" s="341"/>
      <c r="F53" s="341"/>
      <c r="G53" s="341"/>
      <c r="H53" s="341"/>
      <c r="I53" s="341"/>
      <c r="J53" s="342"/>
      <c r="K53" s="33" t="s">
        <v>23</v>
      </c>
      <c r="L53" s="67"/>
      <c r="M53" s="197" t="s">
        <v>281</v>
      </c>
      <c r="N53" s="70" t="s">
        <v>245</v>
      </c>
      <c r="O53" s="27" t="s">
        <v>210</v>
      </c>
      <c r="P53" s="70" t="s">
        <v>26</v>
      </c>
      <c r="Q53" s="134" t="s">
        <v>322</v>
      </c>
    </row>
    <row r="54" spans="2:17">
      <c r="B54" s="65" t="s">
        <v>33</v>
      </c>
      <c r="C54" s="157" t="s">
        <v>174</v>
      </c>
      <c r="D54" s="157" t="s">
        <v>163</v>
      </c>
      <c r="E54" s="157" t="s">
        <v>174</v>
      </c>
      <c r="F54" s="157" t="s">
        <v>174</v>
      </c>
      <c r="G54" s="157" t="s">
        <v>174</v>
      </c>
      <c r="H54" s="157" t="s">
        <v>174</v>
      </c>
      <c r="I54" s="157" t="s">
        <v>174</v>
      </c>
      <c r="J54" s="157" t="s">
        <v>174</v>
      </c>
      <c r="K54" s="132" t="s">
        <v>126</v>
      </c>
      <c r="L54" s="133" t="s">
        <v>126</v>
      </c>
      <c r="M54" s="29" t="s">
        <v>48</v>
      </c>
      <c r="N54" s="71"/>
      <c r="O54" s="34"/>
      <c r="P54" s="71"/>
      <c r="Q54" s="71"/>
    </row>
    <row r="55" spans="2:17" ht="26">
      <c r="B55" s="66" t="s">
        <v>28</v>
      </c>
      <c r="C55" s="343" t="s">
        <v>164</v>
      </c>
      <c r="D55" s="341"/>
      <c r="E55" s="341"/>
      <c r="F55" s="341"/>
      <c r="G55" s="341"/>
      <c r="H55" s="341"/>
      <c r="I55" s="341"/>
      <c r="J55" s="342"/>
      <c r="K55" s="1" t="s">
        <v>229</v>
      </c>
      <c r="L55" s="26" t="s">
        <v>228</v>
      </c>
      <c r="M55" s="30"/>
      <c r="N55" s="71"/>
      <c r="O55" s="34"/>
      <c r="P55" s="71"/>
      <c r="Q55" s="71"/>
    </row>
    <row r="56" spans="2:17" ht="131">
      <c r="B56" s="65" t="s">
        <v>29</v>
      </c>
      <c r="C56" s="158" t="s">
        <v>165</v>
      </c>
      <c r="D56" s="158" t="s">
        <v>62</v>
      </c>
      <c r="E56" s="158" t="s">
        <v>166</v>
      </c>
      <c r="F56" s="158" t="s">
        <v>167</v>
      </c>
      <c r="G56" s="158" t="s">
        <v>168</v>
      </c>
      <c r="H56" s="158" t="s">
        <v>169</v>
      </c>
      <c r="I56" s="158" t="s">
        <v>170</v>
      </c>
      <c r="J56" s="158" t="s">
        <v>171</v>
      </c>
      <c r="K56" s="1" t="s">
        <v>230</v>
      </c>
      <c r="L56" s="26" t="s">
        <v>271</v>
      </c>
      <c r="M56" s="29" t="s">
        <v>209</v>
      </c>
      <c r="N56" s="71"/>
      <c r="O56" s="34"/>
      <c r="P56" s="71"/>
      <c r="Q56" s="71"/>
    </row>
    <row r="57" spans="2:17" ht="123" customHeight="1" thickBot="1">
      <c r="B57" s="262" t="s">
        <v>30</v>
      </c>
      <c r="C57" s="231" t="s">
        <v>173</v>
      </c>
      <c r="D57" s="231" t="s">
        <v>124</v>
      </c>
      <c r="E57" s="231" t="s">
        <v>173</v>
      </c>
      <c r="F57" s="231" t="s">
        <v>173</v>
      </c>
      <c r="G57" s="231" t="s">
        <v>173</v>
      </c>
      <c r="H57" s="231" t="s">
        <v>173</v>
      </c>
      <c r="I57" s="231" t="s">
        <v>173</v>
      </c>
      <c r="J57" s="231" t="s">
        <v>173</v>
      </c>
      <c r="K57" s="232" t="s">
        <v>244</v>
      </c>
      <c r="L57" s="232" t="s">
        <v>348</v>
      </c>
      <c r="M57" s="233" t="s">
        <v>320</v>
      </c>
      <c r="N57" s="234"/>
      <c r="O57" s="235" t="s">
        <v>343</v>
      </c>
      <c r="P57" s="69"/>
      <c r="Q57" s="185"/>
    </row>
    <row r="58" spans="2:17" ht="13.5" thickTop="1">
      <c r="B58" s="237" t="s">
        <v>248</v>
      </c>
      <c r="C58" s="238" t="s">
        <v>172</v>
      </c>
      <c r="D58" s="238" t="s">
        <v>172</v>
      </c>
      <c r="E58" s="238" t="s">
        <v>172</v>
      </c>
      <c r="F58" s="238" t="s">
        <v>172</v>
      </c>
      <c r="G58" s="238" t="s">
        <v>172</v>
      </c>
      <c r="H58" s="238" t="s">
        <v>172</v>
      </c>
      <c r="I58" s="238" t="s">
        <v>172</v>
      </c>
      <c r="J58" s="238" t="s">
        <v>172</v>
      </c>
      <c r="K58" s="263" t="s">
        <v>223</v>
      </c>
      <c r="L58" s="264" t="s">
        <v>215</v>
      </c>
      <c r="M58" s="242" t="s">
        <v>32</v>
      </c>
      <c r="N58" s="243"/>
      <c r="O58" s="244" t="s">
        <v>31</v>
      </c>
      <c r="P58" s="35"/>
      <c r="Q58" s="184"/>
    </row>
    <row r="59" spans="2:17">
      <c r="B59" s="265" t="s">
        <v>231</v>
      </c>
      <c r="C59" s="246" t="s">
        <v>172</v>
      </c>
      <c r="D59" s="246" t="s">
        <v>172</v>
      </c>
      <c r="E59" s="246" t="s">
        <v>172</v>
      </c>
      <c r="F59" s="246" t="s">
        <v>172</v>
      </c>
      <c r="G59" s="246" t="s">
        <v>172</v>
      </c>
      <c r="H59" s="246" t="s">
        <v>172</v>
      </c>
      <c r="I59" s="246" t="s">
        <v>172</v>
      </c>
      <c r="J59" s="246" t="s">
        <v>172</v>
      </c>
      <c r="K59" s="263" t="s">
        <v>223</v>
      </c>
      <c r="L59" s="266" t="s">
        <v>216</v>
      </c>
      <c r="M59" s="276" t="s">
        <v>317</v>
      </c>
      <c r="N59" s="249"/>
      <c r="O59" s="200" t="s">
        <v>305</v>
      </c>
      <c r="P59" s="36"/>
      <c r="Q59" s="186"/>
    </row>
    <row r="60" spans="2:17">
      <c r="B60" s="265" t="s">
        <v>349</v>
      </c>
      <c r="C60" s="246" t="s">
        <v>172</v>
      </c>
      <c r="D60" s="246" t="s">
        <v>172</v>
      </c>
      <c r="E60" s="246" t="s">
        <v>172</v>
      </c>
      <c r="F60" s="246" t="s">
        <v>172</v>
      </c>
      <c r="G60" s="246" t="s">
        <v>172</v>
      </c>
      <c r="H60" s="246" t="s">
        <v>172</v>
      </c>
      <c r="I60" s="246" t="s">
        <v>172</v>
      </c>
      <c r="J60" s="246" t="s">
        <v>172</v>
      </c>
      <c r="K60" s="263" t="s">
        <v>223</v>
      </c>
      <c r="L60" s="266" t="s">
        <v>217</v>
      </c>
      <c r="M60" s="276" t="s">
        <v>317</v>
      </c>
      <c r="N60" s="249"/>
      <c r="O60" s="200" t="s">
        <v>124</v>
      </c>
      <c r="P60" s="36"/>
      <c r="Q60" s="186"/>
    </row>
    <row r="61" spans="2:17">
      <c r="B61" s="265" t="s">
        <v>232</v>
      </c>
      <c r="C61" s="246" t="s">
        <v>172</v>
      </c>
      <c r="D61" s="246" t="s">
        <v>172</v>
      </c>
      <c r="E61" s="246" t="s">
        <v>172</v>
      </c>
      <c r="F61" s="246" t="s">
        <v>172</v>
      </c>
      <c r="G61" s="246" t="s">
        <v>172</v>
      </c>
      <c r="H61" s="246" t="s">
        <v>172</v>
      </c>
      <c r="I61" s="246" t="s">
        <v>172</v>
      </c>
      <c r="J61" s="246" t="s">
        <v>172</v>
      </c>
      <c r="K61" s="263" t="s">
        <v>223</v>
      </c>
      <c r="L61" s="266" t="s">
        <v>218</v>
      </c>
      <c r="M61" s="196" t="s">
        <v>319</v>
      </c>
      <c r="N61" s="249"/>
      <c r="O61" s="200" t="s">
        <v>321</v>
      </c>
      <c r="P61" s="36"/>
      <c r="Q61" s="186"/>
    </row>
    <row r="62" spans="2:17">
      <c r="B62" s="265" t="s">
        <v>350</v>
      </c>
      <c r="C62" s="246" t="s">
        <v>172</v>
      </c>
      <c r="D62" s="246" t="s">
        <v>172</v>
      </c>
      <c r="E62" s="246" t="s">
        <v>172</v>
      </c>
      <c r="F62" s="246" t="s">
        <v>172</v>
      </c>
      <c r="G62" s="246" t="s">
        <v>172</v>
      </c>
      <c r="H62" s="246" t="s">
        <v>172</v>
      </c>
      <c r="I62" s="246" t="s">
        <v>172</v>
      </c>
      <c r="J62" s="246" t="s">
        <v>172</v>
      </c>
      <c r="K62" s="263" t="s">
        <v>223</v>
      </c>
      <c r="L62" s="266" t="s">
        <v>219</v>
      </c>
      <c r="M62" s="276" t="s">
        <v>317</v>
      </c>
      <c r="N62" s="249"/>
      <c r="O62" s="200" t="s">
        <v>124</v>
      </c>
      <c r="P62" s="36"/>
      <c r="Q62" s="186"/>
    </row>
    <row r="63" spans="2:17">
      <c r="B63" s="265" t="s">
        <v>233</v>
      </c>
      <c r="C63" s="246" t="s">
        <v>172</v>
      </c>
      <c r="D63" s="246" t="s">
        <v>172</v>
      </c>
      <c r="E63" s="246" t="s">
        <v>172</v>
      </c>
      <c r="F63" s="246" t="s">
        <v>172</v>
      </c>
      <c r="G63" s="246" t="s">
        <v>172</v>
      </c>
      <c r="H63" s="246" t="s">
        <v>172</v>
      </c>
      <c r="I63" s="246" t="s">
        <v>172</v>
      </c>
      <c r="J63" s="246" t="s">
        <v>172</v>
      </c>
      <c r="K63" s="263" t="s">
        <v>223</v>
      </c>
      <c r="L63" s="266" t="s">
        <v>220</v>
      </c>
      <c r="M63" s="196" t="s">
        <v>283</v>
      </c>
      <c r="N63" s="249"/>
      <c r="O63" s="251" t="s">
        <v>226</v>
      </c>
      <c r="P63" s="36"/>
      <c r="Q63" s="186"/>
    </row>
    <row r="64" spans="2:17">
      <c r="B64" s="265" t="s">
        <v>234</v>
      </c>
      <c r="C64" s="246" t="s">
        <v>172</v>
      </c>
      <c r="D64" s="246" t="s">
        <v>172</v>
      </c>
      <c r="E64" s="246" t="s">
        <v>172</v>
      </c>
      <c r="F64" s="246" t="s">
        <v>172</v>
      </c>
      <c r="G64" s="246" t="s">
        <v>172</v>
      </c>
      <c r="H64" s="246" t="s">
        <v>172</v>
      </c>
      <c r="I64" s="246" t="s">
        <v>172</v>
      </c>
      <c r="J64" s="246" t="s">
        <v>172</v>
      </c>
      <c r="K64" s="263" t="s">
        <v>223</v>
      </c>
      <c r="L64" s="266" t="s">
        <v>221</v>
      </c>
      <c r="M64" s="196" t="s">
        <v>282</v>
      </c>
      <c r="N64" s="249"/>
      <c r="O64" s="251" t="s">
        <v>227</v>
      </c>
      <c r="P64" s="36"/>
      <c r="Q64" s="186"/>
    </row>
    <row r="65" spans="2:17">
      <c r="B65" s="265" t="s">
        <v>351</v>
      </c>
      <c r="C65" s="246" t="s">
        <v>172</v>
      </c>
      <c r="D65" s="246" t="s">
        <v>172</v>
      </c>
      <c r="E65" s="246" t="s">
        <v>172</v>
      </c>
      <c r="F65" s="246" t="s">
        <v>172</v>
      </c>
      <c r="G65" s="246" t="s">
        <v>172</v>
      </c>
      <c r="H65" s="246" t="s">
        <v>172</v>
      </c>
      <c r="I65" s="246" t="s">
        <v>172</v>
      </c>
      <c r="J65" s="246" t="s">
        <v>172</v>
      </c>
      <c r="K65" s="263" t="s">
        <v>223</v>
      </c>
      <c r="L65" s="266" t="s">
        <v>222</v>
      </c>
      <c r="M65" s="196" t="s">
        <v>105</v>
      </c>
      <c r="N65" s="249"/>
      <c r="O65" s="251" t="s">
        <v>124</v>
      </c>
      <c r="P65" s="36"/>
      <c r="Q65" s="186"/>
    </row>
    <row r="66" spans="2:17">
      <c r="B66" s="265" t="s">
        <v>235</v>
      </c>
      <c r="C66" s="246" t="s">
        <v>172</v>
      </c>
      <c r="D66" s="246" t="s">
        <v>172</v>
      </c>
      <c r="E66" s="246" t="s">
        <v>172</v>
      </c>
      <c r="F66" s="246" t="s">
        <v>172</v>
      </c>
      <c r="G66" s="246" t="s">
        <v>172</v>
      </c>
      <c r="H66" s="246" t="s">
        <v>172</v>
      </c>
      <c r="I66" s="246" t="s">
        <v>172</v>
      </c>
      <c r="J66" s="246" t="s">
        <v>172</v>
      </c>
      <c r="K66" s="252" t="s">
        <v>224</v>
      </c>
      <c r="L66" s="266" t="s">
        <v>241</v>
      </c>
      <c r="M66" s="196" t="s">
        <v>32</v>
      </c>
      <c r="N66" s="249"/>
      <c r="O66" s="251" t="s">
        <v>31</v>
      </c>
      <c r="P66" s="36"/>
      <c r="Q66" s="186"/>
    </row>
    <row r="67" spans="2:17" ht="13.5" thickBot="1">
      <c r="B67" s="267" t="s">
        <v>249</v>
      </c>
      <c r="C67" s="268" t="s">
        <v>172</v>
      </c>
      <c r="D67" s="268" t="s">
        <v>172</v>
      </c>
      <c r="E67" s="268" t="s">
        <v>172</v>
      </c>
      <c r="F67" s="268" t="s">
        <v>172</v>
      </c>
      <c r="G67" s="268" t="s">
        <v>172</v>
      </c>
      <c r="H67" s="268" t="s">
        <v>172</v>
      </c>
      <c r="I67" s="268" t="s">
        <v>172</v>
      </c>
      <c r="J67" s="268" t="s">
        <v>172</v>
      </c>
      <c r="K67" s="256" t="s">
        <v>250</v>
      </c>
      <c r="L67" s="269" t="s">
        <v>241</v>
      </c>
      <c r="M67" s="270" t="s">
        <v>32</v>
      </c>
      <c r="N67" s="271"/>
      <c r="O67" s="272" t="s">
        <v>31</v>
      </c>
      <c r="P67" s="187"/>
      <c r="Q67" s="195"/>
    </row>
    <row r="78" spans="2:17" ht="14.5" thickBot="1">
      <c r="B78" s="25" t="s">
        <v>276</v>
      </c>
    </row>
    <row r="79" spans="2:17" ht="14.5" thickBot="1">
      <c r="B79" s="90" t="s">
        <v>120</v>
      </c>
      <c r="C79" s="337" t="s">
        <v>213</v>
      </c>
      <c r="D79" s="338"/>
      <c r="E79" s="338"/>
      <c r="F79" s="338"/>
      <c r="G79" s="338"/>
      <c r="H79" s="338"/>
      <c r="I79" s="338"/>
      <c r="J79" s="339"/>
      <c r="K79" s="159"/>
      <c r="L79" s="159"/>
      <c r="M79" s="162"/>
      <c r="N79" s="160"/>
      <c r="O79" s="160"/>
      <c r="P79" s="160"/>
      <c r="Q79" s="161"/>
    </row>
    <row r="80" spans="2:17">
      <c r="B80" s="64"/>
      <c r="C80" s="31" t="s">
        <v>162</v>
      </c>
      <c r="D80" s="31"/>
      <c r="E80" s="31"/>
      <c r="F80" s="31"/>
      <c r="G80" s="31"/>
      <c r="H80" s="31"/>
      <c r="I80" s="31"/>
      <c r="J80" s="31"/>
      <c r="K80" s="31"/>
      <c r="L80" s="32"/>
      <c r="M80" s="28" t="s">
        <v>51</v>
      </c>
      <c r="N80" s="37" t="s">
        <v>21</v>
      </c>
      <c r="O80" s="38"/>
      <c r="P80" s="38"/>
      <c r="Q80" s="39"/>
    </row>
    <row r="81" spans="2:17">
      <c r="B81" s="65" t="s">
        <v>22</v>
      </c>
      <c r="C81" s="340" t="s">
        <v>180</v>
      </c>
      <c r="D81" s="341"/>
      <c r="E81" s="341"/>
      <c r="F81" s="341"/>
      <c r="G81" s="341"/>
      <c r="H81" s="341"/>
      <c r="I81" s="341"/>
      <c r="J81" s="342"/>
      <c r="K81" s="33" t="s">
        <v>23</v>
      </c>
      <c r="L81" s="67"/>
      <c r="M81" s="29" t="s">
        <v>279</v>
      </c>
      <c r="N81" s="70" t="s">
        <v>245</v>
      </c>
      <c r="O81" s="27" t="s">
        <v>175</v>
      </c>
      <c r="P81" s="70" t="s">
        <v>26</v>
      </c>
      <c r="Q81" s="278" t="s">
        <v>27</v>
      </c>
    </row>
    <row r="82" spans="2:17" ht="26">
      <c r="B82" s="65" t="s">
        <v>33</v>
      </c>
      <c r="C82" s="157" t="s">
        <v>124</v>
      </c>
      <c r="D82" s="157" t="s">
        <v>124</v>
      </c>
      <c r="E82" s="157" t="s">
        <v>124</v>
      </c>
      <c r="F82" s="157" t="s">
        <v>124</v>
      </c>
      <c r="G82" s="157" t="s">
        <v>124</v>
      </c>
      <c r="H82" s="157" t="s">
        <v>124</v>
      </c>
      <c r="I82" s="157" t="s">
        <v>124</v>
      </c>
      <c r="J82" s="157" t="s">
        <v>124</v>
      </c>
      <c r="K82" s="132" t="s">
        <v>126</v>
      </c>
      <c r="L82" s="133" t="s">
        <v>126</v>
      </c>
      <c r="M82" s="29" t="s">
        <v>47</v>
      </c>
      <c r="N82" s="71"/>
      <c r="O82" s="34"/>
      <c r="P82" s="71"/>
      <c r="Q82" s="279" t="s">
        <v>211</v>
      </c>
    </row>
    <row r="83" spans="2:17" ht="26">
      <c r="B83" s="66" t="s">
        <v>28</v>
      </c>
      <c r="C83" s="343" t="s">
        <v>35</v>
      </c>
      <c r="D83" s="341"/>
      <c r="E83" s="341"/>
      <c r="F83" s="341"/>
      <c r="G83" s="341"/>
      <c r="H83" s="341"/>
      <c r="I83" s="341"/>
      <c r="J83" s="342"/>
      <c r="K83" s="1" t="s">
        <v>228</v>
      </c>
      <c r="L83" s="26" t="s">
        <v>228</v>
      </c>
      <c r="M83" s="30"/>
      <c r="N83" s="71"/>
      <c r="O83" s="34"/>
      <c r="P83" s="71"/>
      <c r="Q83" s="280" t="s">
        <v>239</v>
      </c>
    </row>
    <row r="84" spans="2:17" ht="131">
      <c r="B84" s="65" t="s">
        <v>29</v>
      </c>
      <c r="C84" s="158" t="s">
        <v>165</v>
      </c>
      <c r="D84" s="158" t="s">
        <v>62</v>
      </c>
      <c r="E84" s="158" t="s">
        <v>166</v>
      </c>
      <c r="F84" s="158" t="s">
        <v>167</v>
      </c>
      <c r="G84" s="158" t="s">
        <v>168</v>
      </c>
      <c r="H84" s="158" t="s">
        <v>169</v>
      </c>
      <c r="I84" s="158" t="s">
        <v>170</v>
      </c>
      <c r="J84" s="158" t="s">
        <v>171</v>
      </c>
      <c r="K84" s="1" t="s">
        <v>230</v>
      </c>
      <c r="L84" s="26" t="s">
        <v>271</v>
      </c>
      <c r="M84" s="29" t="s">
        <v>209</v>
      </c>
      <c r="N84" s="71"/>
      <c r="O84" s="34"/>
      <c r="P84" s="71"/>
      <c r="Q84" s="281" t="s">
        <v>238</v>
      </c>
    </row>
    <row r="85" spans="2:17" ht="123.75" customHeight="1" thickBot="1">
      <c r="B85" s="262" t="s">
        <v>30</v>
      </c>
      <c r="C85" s="231" t="s">
        <v>173</v>
      </c>
      <c r="D85" s="231" t="s">
        <v>124</v>
      </c>
      <c r="E85" s="231" t="s">
        <v>173</v>
      </c>
      <c r="F85" s="231" t="s">
        <v>173</v>
      </c>
      <c r="G85" s="231" t="s">
        <v>173</v>
      </c>
      <c r="H85" s="231" t="s">
        <v>173</v>
      </c>
      <c r="I85" s="231" t="s">
        <v>173</v>
      </c>
      <c r="J85" s="231" t="s">
        <v>173</v>
      </c>
      <c r="K85" s="232" t="s">
        <v>244</v>
      </c>
      <c r="L85" s="232" t="s">
        <v>348</v>
      </c>
      <c r="M85" s="233" t="s">
        <v>344</v>
      </c>
      <c r="N85" s="234"/>
      <c r="O85" s="235" t="s">
        <v>333</v>
      </c>
      <c r="P85" s="234"/>
      <c r="Q85" s="282" t="s">
        <v>212</v>
      </c>
    </row>
    <row r="86" spans="2:17" ht="13.5" thickTop="1">
      <c r="B86" s="237" t="s">
        <v>286</v>
      </c>
      <c r="C86" s="238" t="s">
        <v>172</v>
      </c>
      <c r="D86" s="238" t="s">
        <v>172</v>
      </c>
      <c r="E86" s="238" t="s">
        <v>172</v>
      </c>
      <c r="F86" s="238" t="s">
        <v>172</v>
      </c>
      <c r="G86" s="238" t="s">
        <v>172</v>
      </c>
      <c r="H86" s="238" t="s">
        <v>172</v>
      </c>
      <c r="I86" s="239" t="s">
        <v>277</v>
      </c>
      <c r="J86" s="238" t="s">
        <v>172</v>
      </c>
      <c r="K86" s="263" t="s">
        <v>223</v>
      </c>
      <c r="L86" s="264" t="s">
        <v>215</v>
      </c>
      <c r="M86" s="242" t="s">
        <v>32</v>
      </c>
      <c r="N86" s="243"/>
      <c r="O86" s="244" t="s">
        <v>31</v>
      </c>
      <c r="P86" s="243"/>
      <c r="Q86" s="283" t="s">
        <v>305</v>
      </c>
    </row>
    <row r="87" spans="2:17">
      <c r="B87" s="265" t="s">
        <v>287</v>
      </c>
      <c r="C87" s="246" t="s">
        <v>172</v>
      </c>
      <c r="D87" s="246" t="s">
        <v>172</v>
      </c>
      <c r="E87" s="246" t="s">
        <v>172</v>
      </c>
      <c r="F87" s="246" t="s">
        <v>172</v>
      </c>
      <c r="G87" s="246" t="s">
        <v>172</v>
      </c>
      <c r="H87" s="246" t="s">
        <v>172</v>
      </c>
      <c r="I87" s="247" t="s">
        <v>277</v>
      </c>
      <c r="J87" s="246" t="s">
        <v>172</v>
      </c>
      <c r="K87" s="263" t="s">
        <v>223</v>
      </c>
      <c r="L87" s="266" t="s">
        <v>216</v>
      </c>
      <c r="M87" s="196" t="s">
        <v>237</v>
      </c>
      <c r="N87" s="249"/>
      <c r="O87" s="251" t="s">
        <v>225</v>
      </c>
      <c r="P87" s="249"/>
      <c r="Q87" s="284" t="s">
        <v>323</v>
      </c>
    </row>
    <row r="88" spans="2:17">
      <c r="B88" s="265" t="s">
        <v>346</v>
      </c>
      <c r="C88" s="246" t="s">
        <v>172</v>
      </c>
      <c r="D88" s="246" t="s">
        <v>172</v>
      </c>
      <c r="E88" s="246" t="s">
        <v>172</v>
      </c>
      <c r="F88" s="246" t="s">
        <v>172</v>
      </c>
      <c r="G88" s="246" t="s">
        <v>172</v>
      </c>
      <c r="H88" s="246" t="s">
        <v>172</v>
      </c>
      <c r="I88" s="247" t="s">
        <v>277</v>
      </c>
      <c r="J88" s="246" t="s">
        <v>172</v>
      </c>
      <c r="K88" s="263" t="s">
        <v>223</v>
      </c>
      <c r="L88" s="266" t="s">
        <v>217</v>
      </c>
      <c r="M88" s="276" t="s">
        <v>337</v>
      </c>
      <c r="N88" s="249"/>
      <c r="O88" s="200" t="s">
        <v>335</v>
      </c>
      <c r="P88" s="249"/>
      <c r="Q88" s="284" t="s">
        <v>305</v>
      </c>
    </row>
    <row r="89" spans="2:17">
      <c r="B89" s="265" t="s">
        <v>288</v>
      </c>
      <c r="C89" s="246" t="s">
        <v>172</v>
      </c>
      <c r="D89" s="246" t="s">
        <v>172</v>
      </c>
      <c r="E89" s="246" t="s">
        <v>172</v>
      </c>
      <c r="F89" s="246" t="s">
        <v>172</v>
      </c>
      <c r="G89" s="246" t="s">
        <v>172</v>
      </c>
      <c r="H89" s="246" t="s">
        <v>172</v>
      </c>
      <c r="I89" s="247" t="s">
        <v>277</v>
      </c>
      <c r="J89" s="246" t="s">
        <v>172</v>
      </c>
      <c r="K89" s="263" t="s">
        <v>223</v>
      </c>
      <c r="L89" s="266" t="s">
        <v>218</v>
      </c>
      <c r="M89" s="196" t="s">
        <v>278</v>
      </c>
      <c r="N89" s="249"/>
      <c r="O89" s="251" t="s">
        <v>124</v>
      </c>
      <c r="P89" s="249"/>
      <c r="Q89" s="284" t="s">
        <v>305</v>
      </c>
    </row>
    <row r="90" spans="2:17">
      <c r="B90" s="265" t="s">
        <v>345</v>
      </c>
      <c r="C90" s="246" t="s">
        <v>172</v>
      </c>
      <c r="D90" s="246" t="s">
        <v>172</v>
      </c>
      <c r="E90" s="246" t="s">
        <v>172</v>
      </c>
      <c r="F90" s="246" t="s">
        <v>172</v>
      </c>
      <c r="G90" s="246" t="s">
        <v>172</v>
      </c>
      <c r="H90" s="246" t="s">
        <v>172</v>
      </c>
      <c r="I90" s="247" t="s">
        <v>277</v>
      </c>
      <c r="J90" s="246" t="s">
        <v>172</v>
      </c>
      <c r="K90" s="263" t="s">
        <v>223</v>
      </c>
      <c r="L90" s="266" t="s">
        <v>219</v>
      </c>
      <c r="M90" s="196" t="s">
        <v>278</v>
      </c>
      <c r="N90" s="249"/>
      <c r="O90" s="251" t="s">
        <v>124</v>
      </c>
      <c r="P90" s="249"/>
      <c r="Q90" s="284" t="s">
        <v>305</v>
      </c>
    </row>
    <row r="91" spans="2:17">
      <c r="B91" s="265" t="s">
        <v>289</v>
      </c>
      <c r="C91" s="246" t="s">
        <v>172</v>
      </c>
      <c r="D91" s="246" t="s">
        <v>172</v>
      </c>
      <c r="E91" s="246" t="s">
        <v>172</v>
      </c>
      <c r="F91" s="246" t="s">
        <v>172</v>
      </c>
      <c r="G91" s="246" t="s">
        <v>172</v>
      </c>
      <c r="H91" s="246" t="s">
        <v>172</v>
      </c>
      <c r="I91" s="247" t="s">
        <v>277</v>
      </c>
      <c r="J91" s="246" t="s">
        <v>172</v>
      </c>
      <c r="K91" s="263" t="s">
        <v>223</v>
      </c>
      <c r="L91" s="266" t="s">
        <v>220</v>
      </c>
      <c r="M91" s="196" t="s">
        <v>278</v>
      </c>
      <c r="N91" s="249"/>
      <c r="O91" s="251" t="s">
        <v>124</v>
      </c>
      <c r="P91" s="249"/>
      <c r="Q91" s="284" t="s">
        <v>305</v>
      </c>
    </row>
    <row r="92" spans="2:17">
      <c r="B92" s="265" t="s">
        <v>290</v>
      </c>
      <c r="C92" s="246" t="s">
        <v>172</v>
      </c>
      <c r="D92" s="246" t="s">
        <v>172</v>
      </c>
      <c r="E92" s="246" t="s">
        <v>172</v>
      </c>
      <c r="F92" s="246" t="s">
        <v>172</v>
      </c>
      <c r="G92" s="246" t="s">
        <v>172</v>
      </c>
      <c r="H92" s="246" t="s">
        <v>172</v>
      </c>
      <c r="I92" s="247" t="s">
        <v>277</v>
      </c>
      <c r="J92" s="246" t="s">
        <v>172</v>
      </c>
      <c r="K92" s="263" t="s">
        <v>223</v>
      </c>
      <c r="L92" s="266" t="s">
        <v>221</v>
      </c>
      <c r="M92" s="196" t="s">
        <v>278</v>
      </c>
      <c r="N92" s="249"/>
      <c r="O92" s="251" t="s">
        <v>124</v>
      </c>
      <c r="P92" s="249"/>
      <c r="Q92" s="284" t="s">
        <v>305</v>
      </c>
    </row>
    <row r="93" spans="2:17">
      <c r="B93" s="265" t="s">
        <v>347</v>
      </c>
      <c r="C93" s="246" t="s">
        <v>172</v>
      </c>
      <c r="D93" s="246" t="s">
        <v>172</v>
      </c>
      <c r="E93" s="246" t="s">
        <v>172</v>
      </c>
      <c r="F93" s="246" t="s">
        <v>172</v>
      </c>
      <c r="G93" s="246" t="s">
        <v>172</v>
      </c>
      <c r="H93" s="246" t="s">
        <v>172</v>
      </c>
      <c r="I93" s="247" t="s">
        <v>277</v>
      </c>
      <c r="J93" s="246" t="s">
        <v>172</v>
      </c>
      <c r="K93" s="263" t="s">
        <v>223</v>
      </c>
      <c r="L93" s="266" t="s">
        <v>222</v>
      </c>
      <c r="M93" s="276" t="s">
        <v>336</v>
      </c>
      <c r="N93" s="249"/>
      <c r="O93" s="200" t="s">
        <v>334</v>
      </c>
      <c r="P93" s="249"/>
      <c r="Q93" s="284" t="s">
        <v>305</v>
      </c>
    </row>
    <row r="94" spans="2:17">
      <c r="B94" s="265" t="s">
        <v>292</v>
      </c>
      <c r="C94" s="246" t="s">
        <v>172</v>
      </c>
      <c r="D94" s="246" t="s">
        <v>172</v>
      </c>
      <c r="E94" s="246" t="s">
        <v>172</v>
      </c>
      <c r="F94" s="246" t="s">
        <v>172</v>
      </c>
      <c r="G94" s="246" t="s">
        <v>172</v>
      </c>
      <c r="H94" s="246" t="s">
        <v>172</v>
      </c>
      <c r="I94" s="247" t="s">
        <v>277</v>
      </c>
      <c r="J94" s="246" t="s">
        <v>172</v>
      </c>
      <c r="K94" s="252" t="s">
        <v>224</v>
      </c>
      <c r="L94" s="266" t="s">
        <v>241</v>
      </c>
      <c r="M94" s="196" t="s">
        <v>32</v>
      </c>
      <c r="N94" s="249"/>
      <c r="O94" s="251" t="s">
        <v>31</v>
      </c>
      <c r="P94" s="249"/>
      <c r="Q94" s="284" t="s">
        <v>305</v>
      </c>
    </row>
    <row r="95" spans="2:17" ht="13.5" thickBot="1">
      <c r="B95" s="267" t="s">
        <v>293</v>
      </c>
      <c r="C95" s="268" t="s">
        <v>172</v>
      </c>
      <c r="D95" s="268" t="s">
        <v>172</v>
      </c>
      <c r="E95" s="268" t="s">
        <v>172</v>
      </c>
      <c r="F95" s="268" t="s">
        <v>172</v>
      </c>
      <c r="G95" s="268" t="s">
        <v>172</v>
      </c>
      <c r="H95" s="268" t="s">
        <v>172</v>
      </c>
      <c r="I95" s="273" t="s">
        <v>223</v>
      </c>
      <c r="J95" s="268" t="s">
        <v>172</v>
      </c>
      <c r="K95" s="256" t="s">
        <v>250</v>
      </c>
      <c r="L95" s="269" t="s">
        <v>241</v>
      </c>
      <c r="M95" s="270" t="s">
        <v>32</v>
      </c>
      <c r="N95" s="271"/>
      <c r="O95" s="272" t="s">
        <v>31</v>
      </c>
      <c r="P95" s="271"/>
      <c r="Q95" s="285" t="s">
        <v>305</v>
      </c>
    </row>
    <row r="179" spans="54:54">
      <c r="BB179" t="s">
        <v>242</v>
      </c>
    </row>
  </sheetData>
  <mergeCells count="12">
    <mergeCell ref="C4:J4"/>
    <mergeCell ref="C6:J6"/>
    <mergeCell ref="C29:J29"/>
    <mergeCell ref="C31:J31"/>
    <mergeCell ref="C33:J33"/>
    <mergeCell ref="C79:J79"/>
    <mergeCell ref="C81:J81"/>
    <mergeCell ref="C83:J83"/>
    <mergeCell ref="C8:J8"/>
    <mergeCell ref="C51:J51"/>
    <mergeCell ref="C53:J53"/>
    <mergeCell ref="C55:J55"/>
  </mergeCells>
  <phoneticPr fontId="2"/>
  <dataValidations count="1">
    <dataValidation type="list" allowBlank="1" showInputMessage="1" showErrorMessage="1" sqref="C51 C4 C79 C29"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8" t="s">
        <v>82</v>
      </c>
      <c r="C2" s="79">
        <f>MAX(B4:B28)</f>
        <v>19</v>
      </c>
      <c r="D2" s="79"/>
    </row>
    <row r="3" spans="2:4" ht="13.5" thickBot="1">
      <c r="B3" s="72" t="s">
        <v>82</v>
      </c>
      <c r="C3" s="80" t="s">
        <v>86</v>
      </c>
      <c r="D3" s="73" t="s">
        <v>83</v>
      </c>
    </row>
    <row r="4" spans="2:4" ht="13.5" thickTop="1">
      <c r="B4" s="12">
        <v>0</v>
      </c>
      <c r="C4" s="81" t="s">
        <v>87</v>
      </c>
      <c r="D4" s="14" t="s">
        <v>20</v>
      </c>
    </row>
    <row r="5" spans="2:4" ht="39">
      <c r="B5" s="2">
        <v>1</v>
      </c>
      <c r="C5" s="82" t="s">
        <v>87</v>
      </c>
      <c r="D5" s="84" t="s">
        <v>88</v>
      </c>
    </row>
    <row r="6" spans="2:4" ht="26">
      <c r="B6" s="2">
        <v>2</v>
      </c>
      <c r="C6" s="82" t="s">
        <v>90</v>
      </c>
      <c r="D6" s="84" t="s">
        <v>91</v>
      </c>
    </row>
    <row r="7" spans="2:4" ht="52">
      <c r="B7" s="2">
        <v>3</v>
      </c>
      <c r="C7" s="82" t="s">
        <v>87</v>
      </c>
      <c r="D7" s="84" t="s">
        <v>94</v>
      </c>
    </row>
    <row r="8" spans="2:4" ht="78">
      <c r="B8" s="2">
        <v>4</v>
      </c>
      <c r="C8" s="82" t="s">
        <v>102</v>
      </c>
      <c r="D8" s="84" t="s">
        <v>108</v>
      </c>
    </row>
    <row r="9" spans="2:4" ht="41.25" customHeight="1">
      <c r="B9" s="2">
        <v>5</v>
      </c>
      <c r="C9" s="82" t="s">
        <v>103</v>
      </c>
      <c r="D9" s="84" t="s">
        <v>104</v>
      </c>
    </row>
    <row r="10" spans="2:4" ht="26">
      <c r="B10" s="2">
        <v>6</v>
      </c>
      <c r="C10" s="82" t="s">
        <v>87</v>
      </c>
      <c r="D10" s="84" t="s">
        <v>107</v>
      </c>
    </row>
    <row r="11" spans="2:4" ht="26">
      <c r="B11" s="2">
        <v>7</v>
      </c>
      <c r="C11" s="82" t="s">
        <v>102</v>
      </c>
      <c r="D11" s="84" t="s">
        <v>106</v>
      </c>
    </row>
    <row r="12" spans="2:4" ht="26">
      <c r="B12" s="2">
        <v>8</v>
      </c>
      <c r="C12" s="82" t="s">
        <v>87</v>
      </c>
      <c r="D12" s="84" t="s">
        <v>109</v>
      </c>
    </row>
    <row r="13" spans="2:4" ht="26">
      <c r="B13" s="2">
        <v>9</v>
      </c>
      <c r="C13" s="82" t="s">
        <v>87</v>
      </c>
      <c r="D13" s="84" t="s">
        <v>110</v>
      </c>
    </row>
    <row r="14" spans="2:4" ht="26">
      <c r="B14" s="2">
        <v>10</v>
      </c>
      <c r="C14" s="82" t="s">
        <v>111</v>
      </c>
      <c r="D14" s="84" t="s">
        <v>112</v>
      </c>
    </row>
    <row r="15" spans="2:4" ht="130">
      <c r="B15" s="2">
        <v>11</v>
      </c>
      <c r="C15" s="82" t="s">
        <v>87</v>
      </c>
      <c r="D15" s="84" t="s">
        <v>125</v>
      </c>
    </row>
    <row r="16" spans="2:4" ht="191.25" customHeight="1">
      <c r="B16" s="2">
        <v>12</v>
      </c>
      <c r="C16" s="82" t="s">
        <v>156</v>
      </c>
      <c r="D16" s="84" t="s">
        <v>178</v>
      </c>
    </row>
    <row r="17" spans="2:4" ht="26">
      <c r="B17" s="2">
        <v>13</v>
      </c>
      <c r="C17" s="82" t="s">
        <v>90</v>
      </c>
      <c r="D17" s="84" t="s">
        <v>182</v>
      </c>
    </row>
    <row r="18" spans="2:4" ht="91">
      <c r="B18" s="2">
        <v>14</v>
      </c>
      <c r="C18" s="82" t="s">
        <v>90</v>
      </c>
      <c r="D18" s="84" t="s">
        <v>184</v>
      </c>
    </row>
    <row r="19" spans="2:4" ht="39">
      <c r="B19" s="2">
        <v>15</v>
      </c>
      <c r="C19" s="82" t="s">
        <v>103</v>
      </c>
      <c r="D19" s="84" t="s">
        <v>188</v>
      </c>
    </row>
    <row r="20" spans="2:4" ht="64.5" customHeight="1">
      <c r="B20" s="2">
        <v>16</v>
      </c>
      <c r="C20" s="82" t="s">
        <v>103</v>
      </c>
      <c r="D20" s="84" t="s">
        <v>192</v>
      </c>
    </row>
    <row r="21" spans="2:4" ht="66.75" customHeight="1">
      <c r="B21" s="2">
        <v>17</v>
      </c>
      <c r="C21" s="82" t="s">
        <v>102</v>
      </c>
      <c r="D21" s="84" t="s">
        <v>207</v>
      </c>
    </row>
    <row r="22" spans="2:4" ht="26">
      <c r="B22" s="2">
        <v>18</v>
      </c>
      <c r="C22" s="82" t="s">
        <v>273</v>
      </c>
      <c r="D22" s="84" t="s">
        <v>274</v>
      </c>
    </row>
    <row r="23" spans="2:4" ht="26">
      <c r="B23" s="2">
        <v>19</v>
      </c>
      <c r="C23" s="82" t="s">
        <v>273</v>
      </c>
      <c r="D23" s="84" t="s">
        <v>275</v>
      </c>
    </row>
    <row r="24" spans="2:4">
      <c r="B24" s="2"/>
      <c r="C24" s="82"/>
      <c r="D24" s="84"/>
    </row>
    <row r="25" spans="2:4">
      <c r="B25" s="2"/>
      <c r="C25" s="82"/>
      <c r="D25" s="68"/>
    </row>
    <row r="26" spans="2:4">
      <c r="B26" s="2"/>
      <c r="C26" s="82"/>
      <c r="D26" s="68"/>
    </row>
    <row r="27" spans="2:4" ht="13.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はじめに</vt:lpstr>
      <vt:lpstr>Matrix</vt:lpstr>
      <vt:lpstr>Config_IF</vt:lpstr>
      <vt:lpstr>CH_Design</vt:lpstr>
      <vt:lpstr>BCB</vt:lpstr>
      <vt:lpstr>BC</vt:lpstr>
      <vt:lpstr>PD</vt:lpstr>
      <vt:lpstr>PDB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Regalario Dianna Mad (REGALARIO DIANNA MAD)</cp:lastModifiedBy>
  <dcterms:created xsi:type="dcterms:W3CDTF">2019-02-05T04:25:17Z</dcterms:created>
  <dcterms:modified xsi:type="dcterms:W3CDTF">2024-02-20T08:20:00Z</dcterms:modified>
</cp:coreProperties>
</file>