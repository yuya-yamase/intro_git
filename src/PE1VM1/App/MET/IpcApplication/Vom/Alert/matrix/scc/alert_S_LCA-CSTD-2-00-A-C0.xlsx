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91F7CC75-3E25-403D-9094-273DC880C15D}" xr6:coauthVersionLast="47" xr6:coauthVersionMax="47" xr10:uidLastSave="{00000000-0000-0000-0000-000000000000}"/>
  <bookViews>
    <workbookView xWindow="-120" yWindow="-120" windowWidth="29040" windowHeight="15720" tabRatio="630" activeTab="3" xr2:uid="{00000000-000D-0000-FFFF-FFFF00000000}"/>
  </bookViews>
  <sheets>
    <sheet name="表紙" sheetId="23" r:id="rId1"/>
    <sheet name="_表紙" sheetId="1" r:id="rId2"/>
    <sheet name="はじめに" sheetId="10" r:id="rId3"/>
    <sheet name="Matrix" sheetId="4" r:id="rId4"/>
    <sheet name="Config_IF" sheetId="11" r:id="rId5"/>
    <sheet name="CH_Design" sheetId="5" r:id="rId6"/>
    <sheet name="BC_RQ" sheetId="15" r:id="rId7"/>
    <sheet name="BC_CL" sheetId="16" r:id="rId8"/>
    <sheet name="BC_VC" sheetId="9" r:id="rId9"/>
    <sheet name="Reference" sheetId="12" r:id="rId10"/>
    <sheet name="Reference2" sheetId="13" r:id="rId11"/>
    <sheet name="History" sheetId="20"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5" i="1" l="1"/>
  <c r="A9" i="23"/>
  <c r="B14" i="1"/>
  <c r="B13" i="1" l="1"/>
  <c r="AU11" i="9"/>
  <c r="AU10" i="9"/>
  <c r="AU11" i="16"/>
  <c r="AU10" i="16"/>
  <c r="AU11" i="15"/>
  <c r="AU10" i="15"/>
  <c r="B3" i="9" l="1"/>
  <c r="B3" i="16"/>
  <c r="B3" i="15"/>
  <c r="C2" i="20" l="1"/>
  <c r="AJ199" i="16" l="1"/>
  <c r="AQ199" i="16" s="1"/>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Q197" i="16" s="1"/>
  <c r="AI197" i="16"/>
  <c r="AH197" i="16"/>
  <c r="AG197" i="16"/>
  <c r="AF197" i="16"/>
  <c r="AE197" i="16"/>
  <c r="AD197" i="16"/>
  <c r="AC197" i="16"/>
  <c r="AB197" i="16"/>
  <c r="AL197" i="16" s="1"/>
  <c r="AA197" i="16"/>
  <c r="Z197" i="16"/>
  <c r="Y197" i="16"/>
  <c r="X197" i="16"/>
  <c r="W197" i="16"/>
  <c r="V197" i="16"/>
  <c r="U197" i="16"/>
  <c r="T197" i="16"/>
  <c r="S197" i="16"/>
  <c r="R197" i="16"/>
  <c r="Q197" i="16"/>
  <c r="P197" i="16"/>
  <c r="O197" i="16"/>
  <c r="N197" i="16"/>
  <c r="M197" i="16"/>
  <c r="L197" i="16"/>
  <c r="K197" i="16"/>
  <c r="J197" i="16"/>
  <c r="I197" i="16"/>
  <c r="H197" i="16"/>
  <c r="G197" i="16"/>
  <c r="F197" i="16"/>
  <c r="E197" i="16"/>
  <c r="D197" i="16"/>
  <c r="AO197" i="16" s="1"/>
  <c r="AJ196" i="16"/>
  <c r="AQ196" i="16" s="1"/>
  <c r="AS67" i="16" s="1"/>
  <c r="AI196" i="16"/>
  <c r="AH196" i="16"/>
  <c r="AG196" i="16"/>
  <c r="AF196" i="16"/>
  <c r="AE196" i="16"/>
  <c r="AD196" i="16"/>
  <c r="AC196" i="16"/>
  <c r="AB196" i="16"/>
  <c r="AA196" i="16"/>
  <c r="Z196" i="16"/>
  <c r="Y196" i="16"/>
  <c r="X196" i="16"/>
  <c r="W196" i="16"/>
  <c r="V196" i="16"/>
  <c r="U196" i="16"/>
  <c r="T196" i="16"/>
  <c r="AM196" i="16" s="1"/>
  <c r="S196" i="16"/>
  <c r="R196" i="16"/>
  <c r="Q196" i="16"/>
  <c r="P196" i="16"/>
  <c r="O196" i="16"/>
  <c r="N196" i="16"/>
  <c r="M196" i="16"/>
  <c r="L196" i="16"/>
  <c r="K196" i="16"/>
  <c r="J196" i="16"/>
  <c r="I196" i="16"/>
  <c r="H196" i="16"/>
  <c r="G196" i="16"/>
  <c r="F196" i="16"/>
  <c r="E196" i="16"/>
  <c r="D196" i="16"/>
  <c r="AJ195" i="16"/>
  <c r="AQ195" i="16" s="1"/>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L194" i="16" s="1"/>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Q193" i="16" s="1"/>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Q192"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O192" i="16" s="1"/>
  <c r="AJ191" i="16"/>
  <c r="AQ191" i="16" s="1"/>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AJ190" i="16"/>
  <c r="AQ190" i="16" s="1"/>
  <c r="AI190" i="16"/>
  <c r="AH190" i="16"/>
  <c r="AG190" i="16"/>
  <c r="AF190" i="16"/>
  <c r="AE190" i="16"/>
  <c r="AD190" i="16"/>
  <c r="AC190" i="16"/>
  <c r="AB190" i="16"/>
  <c r="AA190" i="16"/>
  <c r="Z190" i="16"/>
  <c r="Y190" i="16"/>
  <c r="X190" i="16"/>
  <c r="W190" i="16"/>
  <c r="V190" i="16"/>
  <c r="U190" i="16"/>
  <c r="T190" i="16"/>
  <c r="AM190" i="16" s="1"/>
  <c r="S190" i="16"/>
  <c r="R190" i="16"/>
  <c r="Q190" i="16"/>
  <c r="P190" i="16"/>
  <c r="O190" i="16"/>
  <c r="N190" i="16"/>
  <c r="M190" i="16"/>
  <c r="L190" i="16"/>
  <c r="K190" i="16"/>
  <c r="J190" i="16"/>
  <c r="I190" i="16"/>
  <c r="H190" i="16"/>
  <c r="G190" i="16"/>
  <c r="F190" i="16"/>
  <c r="E190" i="16"/>
  <c r="D190" i="16"/>
  <c r="AJ189" i="16"/>
  <c r="AQ189" i="16" s="1"/>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AJ188" i="16"/>
  <c r="AQ188" i="16" s="1"/>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AN188" i="16" s="1"/>
  <c r="L188" i="16"/>
  <c r="K188" i="16"/>
  <c r="J188" i="16"/>
  <c r="I188" i="16"/>
  <c r="H188" i="16"/>
  <c r="G188" i="16"/>
  <c r="F188" i="16"/>
  <c r="E188" i="16"/>
  <c r="D188" i="16"/>
  <c r="AJ187" i="16"/>
  <c r="AQ187" i="16" s="1"/>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N186" i="16"/>
  <c r="M186" i="16"/>
  <c r="L186" i="16"/>
  <c r="K186" i="16"/>
  <c r="J186" i="16"/>
  <c r="I186" i="16"/>
  <c r="H186" i="16"/>
  <c r="G186" i="16"/>
  <c r="F186" i="16"/>
  <c r="E186" i="16"/>
  <c r="D186" i="16"/>
  <c r="AJ185" i="16"/>
  <c r="AQ185" i="16" s="1"/>
  <c r="AI185" i="16"/>
  <c r="AH185" i="16"/>
  <c r="AG185" i="16"/>
  <c r="AF185" i="16"/>
  <c r="AE185" i="16"/>
  <c r="AD185" i="16"/>
  <c r="AC185" i="16"/>
  <c r="AB185" i="16"/>
  <c r="AA185" i="16"/>
  <c r="Z185" i="16"/>
  <c r="Y185" i="16"/>
  <c r="X185" i="16"/>
  <c r="W185" i="16"/>
  <c r="V185" i="16"/>
  <c r="U185" i="16"/>
  <c r="T185" i="16"/>
  <c r="S185" i="16"/>
  <c r="R185" i="16"/>
  <c r="Q185" i="16"/>
  <c r="P185" i="16"/>
  <c r="O185" i="16"/>
  <c r="N185" i="16"/>
  <c r="M185" i="16"/>
  <c r="L185" i="16"/>
  <c r="K185" i="16"/>
  <c r="J185" i="16"/>
  <c r="I185" i="16"/>
  <c r="H185" i="16"/>
  <c r="G185" i="16"/>
  <c r="F185" i="16"/>
  <c r="E185" i="16"/>
  <c r="D185" i="16"/>
  <c r="AQ184"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C184" i="16"/>
  <c r="AJ183" i="16"/>
  <c r="AQ183" i="16" s="1"/>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J181" i="16"/>
  <c r="AQ181" i="16" s="1"/>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Q180" i="16"/>
  <c r="AJ180" i="16"/>
  <c r="AI180" i="16"/>
  <c r="AH180" i="16"/>
  <c r="AG180" i="16"/>
  <c r="AF180" i="16"/>
  <c r="AE180" i="16"/>
  <c r="AD180" i="16"/>
  <c r="AC180" i="16"/>
  <c r="AL180" i="16" s="1"/>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J179" i="16"/>
  <c r="AQ179" i="16" s="1"/>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L178" i="16" s="1"/>
  <c r="AC178" i="16"/>
  <c r="AB178" i="16"/>
  <c r="AA178" i="16"/>
  <c r="Z178" i="16"/>
  <c r="Y178" i="16"/>
  <c r="X178" i="16"/>
  <c r="W178" i="16"/>
  <c r="V178" i="16"/>
  <c r="U178" i="16"/>
  <c r="T178" i="16"/>
  <c r="S178" i="16"/>
  <c r="R178" i="16"/>
  <c r="Q178" i="16"/>
  <c r="P178" i="16"/>
  <c r="O178" i="16"/>
  <c r="N178" i="16"/>
  <c r="M178" i="16"/>
  <c r="L178" i="16"/>
  <c r="AN178" i="16" s="1"/>
  <c r="K178" i="16"/>
  <c r="J178" i="16"/>
  <c r="I178" i="16"/>
  <c r="H178" i="16"/>
  <c r="G178" i="16"/>
  <c r="F178" i="16"/>
  <c r="E178" i="16"/>
  <c r="D178" i="16"/>
  <c r="AJ177" i="16"/>
  <c r="AQ177" i="16" s="1"/>
  <c r="AS47" i="16" s="1"/>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AN177" i="16" s="1"/>
  <c r="K177" i="16"/>
  <c r="J177" i="16"/>
  <c r="I177" i="16"/>
  <c r="H177" i="16"/>
  <c r="G177" i="16"/>
  <c r="F177" i="16"/>
  <c r="E177" i="16"/>
  <c r="D177" i="16"/>
  <c r="AQ176"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J175" i="16"/>
  <c r="AQ175" i="16" s="1"/>
  <c r="AI175" i="16"/>
  <c r="AH175" i="16"/>
  <c r="AG175" i="16"/>
  <c r="AF175" i="16"/>
  <c r="AE175" i="16"/>
  <c r="AD175" i="16"/>
  <c r="AC175" i="16"/>
  <c r="AB175" i="16"/>
  <c r="AL175" i="16" s="1"/>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O175" i="16" s="1"/>
  <c r="AJ174" i="16"/>
  <c r="AQ174" i="16" s="1"/>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J173" i="16"/>
  <c r="AQ173" i="16" s="1"/>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AJ172" i="16"/>
  <c r="AQ172" i="16" s="1"/>
  <c r="AS43" i="16" s="1"/>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AN172" i="16" s="1"/>
  <c r="K172" i="16"/>
  <c r="J172" i="16"/>
  <c r="I172" i="16"/>
  <c r="H172" i="16"/>
  <c r="G172" i="16"/>
  <c r="F172" i="16"/>
  <c r="E172" i="16"/>
  <c r="D172" i="16"/>
  <c r="AJ171" i="16"/>
  <c r="AQ171" i="16" s="1"/>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Q170" i="16" s="1"/>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AO170" i="16" s="1"/>
  <c r="AJ169" i="16"/>
  <c r="AQ169" i="16" s="1"/>
  <c r="AI169" i="16"/>
  <c r="AH169" i="16"/>
  <c r="AG169" i="16"/>
  <c r="AF169" i="16"/>
  <c r="AE169" i="16"/>
  <c r="AD169" i="16"/>
  <c r="AC169" i="16"/>
  <c r="AB169" i="16"/>
  <c r="AL169" i="16" s="1"/>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O169" i="16" s="1"/>
  <c r="AJ168" i="16"/>
  <c r="AQ16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J167" i="16"/>
  <c r="AQ167" i="16" s="1"/>
  <c r="AI167" i="16"/>
  <c r="AH167" i="16"/>
  <c r="AG167" i="16"/>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E167" i="16"/>
  <c r="D167" i="16"/>
  <c r="AJ166" i="16"/>
  <c r="AQ166" i="16" s="1"/>
  <c r="AI166" i="16"/>
  <c r="AH166" i="16"/>
  <c r="AG166" i="16"/>
  <c r="AF166" i="16"/>
  <c r="AE166" i="16"/>
  <c r="AD166" i="16"/>
  <c r="AC166" i="16"/>
  <c r="AB166" i="16"/>
  <c r="AA166" i="16"/>
  <c r="Z166" i="16"/>
  <c r="Y166" i="16"/>
  <c r="X166" i="16"/>
  <c r="W166" i="16"/>
  <c r="V166" i="16"/>
  <c r="U166" i="16"/>
  <c r="T166" i="16"/>
  <c r="S166" i="16"/>
  <c r="R166" i="16"/>
  <c r="Q166" i="16"/>
  <c r="P166" i="16"/>
  <c r="O166" i="16"/>
  <c r="N166" i="16"/>
  <c r="M166" i="16"/>
  <c r="L166" i="16"/>
  <c r="K166" i="16"/>
  <c r="J166" i="16"/>
  <c r="I166" i="16"/>
  <c r="H166" i="16"/>
  <c r="G166" i="16"/>
  <c r="F166" i="16"/>
  <c r="E166" i="16"/>
  <c r="D166" i="16"/>
  <c r="AJ165" i="16"/>
  <c r="AQ165" i="16" s="1"/>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Q164" i="16"/>
  <c r="AJ164" i="16"/>
  <c r="AI164" i="16"/>
  <c r="AH164" i="16"/>
  <c r="AG164" i="16"/>
  <c r="AF164" i="16"/>
  <c r="AE164" i="16"/>
  <c r="AD164" i="16"/>
  <c r="AC164" i="16"/>
  <c r="AL164" i="16" s="1"/>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Q163" i="16" s="1"/>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Q162" i="16" s="1"/>
  <c r="AI162" i="16"/>
  <c r="AH162" i="16"/>
  <c r="AG162" i="16"/>
  <c r="AF162" i="16"/>
  <c r="AE162" i="16"/>
  <c r="AD162" i="16"/>
  <c r="AC162" i="16"/>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AJ161" i="16"/>
  <c r="AQ161" i="16" s="1"/>
  <c r="AI161" i="16"/>
  <c r="AH161" i="16"/>
  <c r="AG161" i="16"/>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G161" i="16"/>
  <c r="F161" i="16"/>
  <c r="E161" i="16"/>
  <c r="D161" i="16"/>
  <c r="AJ160" i="16"/>
  <c r="AQ160" i="16" s="1"/>
  <c r="AS31" i="16" s="1"/>
  <c r="AI160" i="16"/>
  <c r="AH160" i="16"/>
  <c r="AG160" i="16"/>
  <c r="AF160" i="16"/>
  <c r="AE160" i="16"/>
  <c r="AD160" i="16"/>
  <c r="AC160" i="16"/>
  <c r="AB160" i="16"/>
  <c r="AA160" i="16"/>
  <c r="Z160" i="16"/>
  <c r="Y160" i="16"/>
  <c r="X160" i="16"/>
  <c r="W160" i="16"/>
  <c r="V160" i="16"/>
  <c r="U160" i="16"/>
  <c r="T160" i="16"/>
  <c r="S160" i="16"/>
  <c r="R160" i="16"/>
  <c r="Q160" i="16"/>
  <c r="P160" i="16"/>
  <c r="O160" i="16"/>
  <c r="AN160" i="16" s="1"/>
  <c r="N160" i="16"/>
  <c r="M160" i="16"/>
  <c r="L160" i="16"/>
  <c r="K160" i="16"/>
  <c r="J160" i="16"/>
  <c r="I160" i="16"/>
  <c r="H160" i="16"/>
  <c r="G160" i="16"/>
  <c r="F160" i="16"/>
  <c r="E160" i="16"/>
  <c r="D160" i="16"/>
  <c r="AJ159" i="16"/>
  <c r="AQ159" i="16" s="1"/>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Q158" i="16" s="1"/>
  <c r="AS28" i="16" s="1"/>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J157" i="16"/>
  <c r="AQ157" i="16" s="1"/>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Q156" i="16" s="1"/>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Q155" i="16" s="1"/>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Q154" i="16" s="1"/>
  <c r="AS24" i="16" s="1"/>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O154" i="16" s="1"/>
  <c r="AJ153" i="16"/>
  <c r="AQ153" i="16" s="1"/>
  <c r="AI153" i="16"/>
  <c r="AH153" i="16"/>
  <c r="AG153" i="16"/>
  <c r="AF153" i="16"/>
  <c r="AE153" i="16"/>
  <c r="AD153" i="16"/>
  <c r="AC153" i="16"/>
  <c r="AB153" i="16"/>
  <c r="AL153" i="16" s="1"/>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O153" i="16" s="1"/>
  <c r="AJ152" i="16"/>
  <c r="AQ152" i="16" s="1"/>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51" i="16"/>
  <c r="AQ151" i="16" s="1"/>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Q150" i="16" s="1"/>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J149" i="16"/>
  <c r="AQ149" i="16" s="1"/>
  <c r="AS19" i="16" s="1"/>
  <c r="AI149" i="16"/>
  <c r="AH149" i="16"/>
  <c r="AG149" i="16"/>
  <c r="AF149" i="16"/>
  <c r="AE149" i="16"/>
  <c r="AD149" i="16"/>
  <c r="AC149" i="16"/>
  <c r="AB149" i="16"/>
  <c r="AA149" i="16"/>
  <c r="Z149" i="16"/>
  <c r="Y149" i="16"/>
  <c r="X149" i="16"/>
  <c r="AM149" i="16" s="1"/>
  <c r="W149" i="16"/>
  <c r="V149" i="16"/>
  <c r="U149" i="16"/>
  <c r="T149" i="16"/>
  <c r="S149" i="16"/>
  <c r="R149" i="16"/>
  <c r="Q149" i="16"/>
  <c r="P149" i="16"/>
  <c r="O149" i="16"/>
  <c r="N149" i="16"/>
  <c r="M149" i="16"/>
  <c r="L149" i="16"/>
  <c r="K149" i="16"/>
  <c r="J149" i="16"/>
  <c r="I149" i="16"/>
  <c r="H149" i="16"/>
  <c r="G149" i="16"/>
  <c r="F149" i="16"/>
  <c r="E149" i="16"/>
  <c r="D149" i="16"/>
  <c r="AQ148"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O148" i="16" s="1"/>
  <c r="AJ147" i="16"/>
  <c r="AQ147" i="16" s="1"/>
  <c r="AI147" i="16"/>
  <c r="AH147" i="16"/>
  <c r="AG147" i="16"/>
  <c r="AF147" i="16"/>
  <c r="AE147" i="16"/>
  <c r="AD147" i="16"/>
  <c r="AC147" i="16"/>
  <c r="AB147" i="16"/>
  <c r="AA147" i="16"/>
  <c r="Z147" i="16"/>
  <c r="Y147" i="16"/>
  <c r="X147" i="16"/>
  <c r="W147" i="16"/>
  <c r="V147" i="16"/>
  <c r="U147" i="16"/>
  <c r="T147" i="16"/>
  <c r="AM147" i="16" s="1"/>
  <c r="S147" i="16"/>
  <c r="R147" i="16"/>
  <c r="Q147" i="16"/>
  <c r="P147" i="16"/>
  <c r="O147" i="16"/>
  <c r="N147" i="16"/>
  <c r="M147" i="16"/>
  <c r="L147" i="16"/>
  <c r="K147" i="16"/>
  <c r="J147" i="16"/>
  <c r="I147" i="16"/>
  <c r="H147" i="16"/>
  <c r="G147" i="16"/>
  <c r="F147" i="16"/>
  <c r="E147" i="16"/>
  <c r="D147" i="16"/>
  <c r="AJ146" i="16"/>
  <c r="AQ146" i="16" s="1"/>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AJ145" i="16"/>
  <c r="AQ145" i="16" s="1"/>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Q144" i="16" s="1"/>
  <c r="AS15" i="16" s="1"/>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J143" i="16"/>
  <c r="AQ143" i="16" s="1"/>
  <c r="AS13" i="16" s="1"/>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Q142" i="16" s="1"/>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Q141" i="16" s="1"/>
  <c r="AI141" i="16"/>
  <c r="AH141" i="16"/>
  <c r="AG141" i="16"/>
  <c r="AF141" i="16"/>
  <c r="AE141" i="16"/>
  <c r="AD141" i="16"/>
  <c r="AC141" i="16"/>
  <c r="AB141" i="16"/>
  <c r="AL141" i="16" s="1"/>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O141" i="16" s="1"/>
  <c r="AQ140"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AN136" i="16" s="1"/>
  <c r="N136" i="16"/>
  <c r="M136" i="16"/>
  <c r="L136" i="16"/>
  <c r="K136" i="16"/>
  <c r="J136" i="16"/>
  <c r="I136" i="16"/>
  <c r="H136" i="16"/>
  <c r="G136" i="16"/>
  <c r="F136" i="16"/>
  <c r="E136" i="16"/>
  <c r="D136" i="16"/>
  <c r="C136" i="16"/>
  <c r="AJ134" i="16"/>
  <c r="AQ134" i="16" s="1"/>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Q133" i="16"/>
  <c r="AR68" i="16" s="1"/>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AO133" i="16" s="1"/>
  <c r="AJ132" i="16"/>
  <c r="AQ132" i="16" s="1"/>
  <c r="AI132" i="16"/>
  <c r="AH132" i="16"/>
  <c r="AG132" i="16"/>
  <c r="AF132" i="16"/>
  <c r="AE132" i="16"/>
  <c r="AD132" i="16"/>
  <c r="AC132" i="16"/>
  <c r="AB132" i="16"/>
  <c r="AA132" i="16"/>
  <c r="Z132" i="16"/>
  <c r="Y132" i="16"/>
  <c r="X132" i="16"/>
  <c r="W132" i="16"/>
  <c r="V132" i="16"/>
  <c r="U132" i="16"/>
  <c r="T132" i="16"/>
  <c r="S132" i="16"/>
  <c r="R132" i="16"/>
  <c r="Q132" i="16"/>
  <c r="P132" i="16"/>
  <c r="O132" i="16"/>
  <c r="N132" i="16"/>
  <c r="M132" i="16"/>
  <c r="L132" i="16"/>
  <c r="K132" i="16"/>
  <c r="J132" i="16"/>
  <c r="I132" i="16"/>
  <c r="H132" i="16"/>
  <c r="G132" i="16"/>
  <c r="F132" i="16"/>
  <c r="E132" i="16"/>
  <c r="D132" i="16"/>
  <c r="AJ131" i="16"/>
  <c r="AQ131" i="16" s="1"/>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J130" i="16"/>
  <c r="AQ130" i="16" s="1"/>
  <c r="AI130" i="16"/>
  <c r="AH130" i="16"/>
  <c r="AG130" i="16"/>
  <c r="AF130" i="16"/>
  <c r="AE130" i="16"/>
  <c r="AD130" i="16"/>
  <c r="AC130" i="16"/>
  <c r="AB130" i="16"/>
  <c r="AA130" i="16"/>
  <c r="Z130" i="16"/>
  <c r="AM130" i="16" s="1"/>
  <c r="Y130" i="16"/>
  <c r="X130" i="16"/>
  <c r="W130" i="16"/>
  <c r="V130" i="16"/>
  <c r="U130" i="16"/>
  <c r="T130" i="16"/>
  <c r="S130" i="16"/>
  <c r="R130" i="16"/>
  <c r="Q130" i="16"/>
  <c r="P130" i="16"/>
  <c r="O130" i="16"/>
  <c r="N130" i="16"/>
  <c r="AN130" i="16" s="1"/>
  <c r="M130" i="16"/>
  <c r="L130" i="16"/>
  <c r="K130" i="16"/>
  <c r="J130" i="16"/>
  <c r="I130" i="16"/>
  <c r="H130" i="16"/>
  <c r="G130" i="16"/>
  <c r="F130" i="16"/>
  <c r="E130" i="16"/>
  <c r="D130" i="16"/>
  <c r="AJ129" i="16"/>
  <c r="AQ129" i="16" s="1"/>
  <c r="AR64" i="16" s="1"/>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AN129" i="16" s="1"/>
  <c r="K129" i="16"/>
  <c r="J129" i="16"/>
  <c r="I129" i="16"/>
  <c r="H129" i="16"/>
  <c r="G129" i="16"/>
  <c r="F129" i="16"/>
  <c r="E129" i="16"/>
  <c r="D129" i="16"/>
  <c r="AQ128"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J127" i="16"/>
  <c r="AQ127" i="16" s="1"/>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J126" i="16"/>
  <c r="AQ126" i="16" s="1"/>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Q125" i="16"/>
  <c r="AR61" i="16" s="1"/>
  <c r="AJ125" i="16"/>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O125" i="16" s="1"/>
  <c r="AJ124" i="16"/>
  <c r="AQ124" i="16" s="1"/>
  <c r="AI124" i="16"/>
  <c r="AH124" i="16"/>
  <c r="AG124" i="16"/>
  <c r="AF124" i="16"/>
  <c r="AE124" i="16"/>
  <c r="AD124" i="16"/>
  <c r="AL124" i="16" s="1"/>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J123" i="16"/>
  <c r="AQ123" i="16" s="1"/>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Q122" i="16"/>
  <c r="AJ122" i="16"/>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L120" i="16"/>
  <c r="AJ120" i="16"/>
  <c r="AQ120" i="16" s="1"/>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AN120" i="16" s="1"/>
  <c r="L120" i="16"/>
  <c r="K120" i="16"/>
  <c r="J120" i="16"/>
  <c r="I120" i="16"/>
  <c r="H120" i="16"/>
  <c r="G120" i="16"/>
  <c r="F120" i="16"/>
  <c r="E120" i="16"/>
  <c r="D120" i="16"/>
  <c r="AO120" i="16" s="1"/>
  <c r="AJ119" i="16"/>
  <c r="AQ119" i="16" s="1"/>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J118" i="16"/>
  <c r="AQ118" i="16" s="1"/>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Q117" i="16"/>
  <c r="AJ117" i="16"/>
  <c r="AI117" i="16"/>
  <c r="AH117" i="16"/>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E117" i="16"/>
  <c r="D117" i="16"/>
  <c r="AJ116" i="16"/>
  <c r="AQ116" i="16" s="1"/>
  <c r="AI116" i="16"/>
  <c r="AH116" i="16"/>
  <c r="AG116"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E116" i="16"/>
  <c r="D116" i="16"/>
  <c r="AJ115" i="16"/>
  <c r="AQ115" i="16" s="1"/>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Q114" i="16"/>
  <c r="AR49" i="16" s="1"/>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13" i="16"/>
  <c r="AQ113" i="16" s="1"/>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Q112" i="16"/>
  <c r="AJ112" i="16"/>
  <c r="AI112" i="16"/>
  <c r="AH112" i="16"/>
  <c r="AG112" i="16"/>
  <c r="AF112" i="16"/>
  <c r="AE112" i="16"/>
  <c r="AD112" i="16"/>
  <c r="AC112" i="16"/>
  <c r="AB112" i="16"/>
  <c r="AL112" i="16" s="1"/>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D112" i="16"/>
  <c r="AJ111" i="16"/>
  <c r="AQ111" i="16" s="1"/>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AQ110" i="16"/>
  <c r="AJ110" i="16"/>
  <c r="AI110" i="16"/>
  <c r="AH110" i="16"/>
  <c r="AG110" i="16"/>
  <c r="AF110" i="16"/>
  <c r="AE110" i="16"/>
  <c r="AD110" i="16"/>
  <c r="AC110" i="16"/>
  <c r="AB110" i="16"/>
  <c r="AA110" i="16"/>
  <c r="Z110" i="16"/>
  <c r="AM110" i="16" s="1"/>
  <c r="Y110" i="16"/>
  <c r="X110" i="16"/>
  <c r="W110" i="16"/>
  <c r="V110" i="16"/>
  <c r="U110" i="16"/>
  <c r="T110" i="16"/>
  <c r="S110" i="16"/>
  <c r="R110" i="16"/>
  <c r="Q110" i="16"/>
  <c r="P110" i="16"/>
  <c r="O110" i="16"/>
  <c r="N110" i="16"/>
  <c r="M110" i="16"/>
  <c r="L110" i="16"/>
  <c r="K110" i="16"/>
  <c r="J110" i="16"/>
  <c r="I110" i="16"/>
  <c r="H110" i="16"/>
  <c r="G110" i="16"/>
  <c r="F110" i="16"/>
  <c r="E110" i="16"/>
  <c r="D110" i="16"/>
  <c r="AJ109" i="16"/>
  <c r="AQ109" i="16" s="1"/>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Q108" i="16"/>
  <c r="AL108"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AN108" i="16" s="1"/>
  <c r="L108" i="16"/>
  <c r="K108" i="16"/>
  <c r="J108" i="16"/>
  <c r="I108" i="16"/>
  <c r="H108" i="16"/>
  <c r="G108" i="16"/>
  <c r="F108" i="16"/>
  <c r="E108" i="16"/>
  <c r="D108" i="16"/>
  <c r="AJ107" i="16"/>
  <c r="AQ107" i="16" s="1"/>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AO107" i="16" s="1"/>
  <c r="F107" i="16"/>
  <c r="E107" i="16"/>
  <c r="D107" i="16"/>
  <c r="AJ106" i="16"/>
  <c r="AQ106" i="16" s="1"/>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AQ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J104" i="16"/>
  <c r="AQ104" i="16" s="1"/>
  <c r="AI104" i="16"/>
  <c r="AH104" i="16"/>
  <c r="AG104" i="16"/>
  <c r="AF104" i="16"/>
  <c r="AE104" i="16"/>
  <c r="AD104" i="16"/>
  <c r="AC104" i="16"/>
  <c r="AB104" i="16"/>
  <c r="AL104" i="16" s="1"/>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J103" i="16"/>
  <c r="AQ103" i="16" s="1"/>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D103" i="16"/>
  <c r="AJ102" i="16"/>
  <c r="AQ102" i="16" s="1"/>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J101" i="16"/>
  <c r="AQ101" i="16" s="1"/>
  <c r="AR36" i="16" s="1"/>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O101" i="16" s="1"/>
  <c r="AJ100" i="16"/>
  <c r="AQ100" i="16" s="1"/>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D100" i="16"/>
  <c r="AJ99" i="16"/>
  <c r="AQ99" i="16" s="1"/>
  <c r="AR34" i="16" s="1"/>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Q98" i="16" s="1"/>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Q97" i="16" s="1"/>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G97" i="16"/>
  <c r="F97" i="16"/>
  <c r="E97" i="16"/>
  <c r="D97" i="16"/>
  <c r="AJ96" i="16"/>
  <c r="AQ96" i="16" s="1"/>
  <c r="AI96" i="16"/>
  <c r="AH96" i="16"/>
  <c r="AG96" i="16"/>
  <c r="AF96" i="16"/>
  <c r="AE96" i="16"/>
  <c r="AD96" i="16"/>
  <c r="AC96" i="16"/>
  <c r="AL96" i="16" s="1"/>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J95" i="16"/>
  <c r="AQ95" i="16" s="1"/>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AJ94" i="16"/>
  <c r="AQ94" i="16" s="1"/>
  <c r="AR29" i="16" s="1"/>
  <c r="AI94" i="16"/>
  <c r="AH94" i="16"/>
  <c r="AG94" i="16"/>
  <c r="AF94" i="16"/>
  <c r="AE94" i="16"/>
  <c r="AD94" i="16"/>
  <c r="AC94" i="16"/>
  <c r="AB94" i="16"/>
  <c r="AA94" i="16"/>
  <c r="Z94" i="16"/>
  <c r="Y94" i="16"/>
  <c r="X94" i="16"/>
  <c r="W94" i="16"/>
  <c r="V94" i="16"/>
  <c r="U94" i="16"/>
  <c r="T94" i="16"/>
  <c r="S94" i="16"/>
  <c r="R94" i="16"/>
  <c r="Q94" i="16"/>
  <c r="P94" i="16"/>
  <c r="O94" i="16"/>
  <c r="N94" i="16"/>
  <c r="AN94" i="16" s="1"/>
  <c r="M94" i="16"/>
  <c r="L94" i="16"/>
  <c r="K94" i="16"/>
  <c r="J94" i="16"/>
  <c r="I94" i="16"/>
  <c r="H94" i="16"/>
  <c r="G94" i="16"/>
  <c r="F94" i="16"/>
  <c r="E94" i="16"/>
  <c r="D94" i="16"/>
  <c r="AJ93" i="16"/>
  <c r="AQ93" i="16" s="1"/>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E93" i="16"/>
  <c r="D93" i="16"/>
  <c r="AJ92" i="16"/>
  <c r="AQ92" i="16" s="1"/>
  <c r="AI92" i="16"/>
  <c r="AH92" i="16"/>
  <c r="AG92" i="16"/>
  <c r="AF92" i="16"/>
  <c r="AE92" i="16"/>
  <c r="AD92" i="16"/>
  <c r="AC92" i="16"/>
  <c r="AB92" i="16"/>
  <c r="AL92" i="16" s="1"/>
  <c r="AA92" i="16"/>
  <c r="Z92" i="16"/>
  <c r="Y92" i="16"/>
  <c r="X92" i="16"/>
  <c r="W92" i="16"/>
  <c r="V92" i="16"/>
  <c r="U92" i="16"/>
  <c r="T92" i="16"/>
  <c r="S92" i="16"/>
  <c r="R92" i="16"/>
  <c r="Q92" i="16"/>
  <c r="P92" i="16"/>
  <c r="O92" i="16"/>
  <c r="N92" i="16"/>
  <c r="M92" i="16"/>
  <c r="L92" i="16"/>
  <c r="K92" i="16"/>
  <c r="J92" i="16"/>
  <c r="I92" i="16"/>
  <c r="H92" i="16"/>
  <c r="G92" i="16"/>
  <c r="F92" i="16"/>
  <c r="E92" i="16"/>
  <c r="D92" i="16"/>
  <c r="AO92" i="16" s="1"/>
  <c r="C92" i="16"/>
  <c r="AJ91" i="16"/>
  <c r="AQ91" i="16" s="1"/>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E91" i="16"/>
  <c r="D91" i="16"/>
  <c r="AO91" i="16" s="1"/>
  <c r="AJ90" i="16"/>
  <c r="AQ90" i="16" s="1"/>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Q89" i="16" s="1"/>
  <c r="AI89" i="16"/>
  <c r="AH89" i="16"/>
  <c r="AG89" i="16"/>
  <c r="AF89" i="16"/>
  <c r="AE89" i="16"/>
  <c r="AD89" i="16"/>
  <c r="AC89" i="16"/>
  <c r="AB89" i="16"/>
  <c r="AA89" i="16"/>
  <c r="Z89" i="16"/>
  <c r="Y89" i="16"/>
  <c r="X89" i="16"/>
  <c r="W89" i="16"/>
  <c r="V89" i="16"/>
  <c r="U89" i="16"/>
  <c r="T89" i="16"/>
  <c r="S89" i="16"/>
  <c r="R89" i="16"/>
  <c r="Q89" i="16"/>
  <c r="P89" i="16"/>
  <c r="O89" i="16"/>
  <c r="N89" i="16"/>
  <c r="M89" i="16"/>
  <c r="L89" i="16"/>
  <c r="AN89" i="16" s="1"/>
  <c r="K89" i="16"/>
  <c r="J89" i="16"/>
  <c r="I89" i="16"/>
  <c r="H89" i="16"/>
  <c r="G89" i="16"/>
  <c r="F89" i="16"/>
  <c r="E89" i="16"/>
  <c r="D89" i="16"/>
  <c r="AJ88" i="16"/>
  <c r="AQ88" i="16" s="1"/>
  <c r="AI88" i="16"/>
  <c r="AH88" i="16"/>
  <c r="AG88" i="16"/>
  <c r="AF88" i="16"/>
  <c r="AE88" i="16"/>
  <c r="AD88" i="16"/>
  <c r="AC88" i="16"/>
  <c r="AB88" i="16"/>
  <c r="AA88" i="16"/>
  <c r="Z88" i="16"/>
  <c r="Y88" i="16"/>
  <c r="X88" i="16"/>
  <c r="W88" i="16"/>
  <c r="V88" i="16"/>
  <c r="U88" i="16"/>
  <c r="T88" i="16"/>
  <c r="AM88" i="16" s="1"/>
  <c r="S88" i="16"/>
  <c r="R88" i="16"/>
  <c r="Q88" i="16"/>
  <c r="P88" i="16"/>
  <c r="O88" i="16"/>
  <c r="N88" i="16"/>
  <c r="M88" i="16"/>
  <c r="L88" i="16"/>
  <c r="K88" i="16"/>
  <c r="J88" i="16"/>
  <c r="I88" i="16"/>
  <c r="H88" i="16"/>
  <c r="G88" i="16"/>
  <c r="F88" i="16"/>
  <c r="E88" i="16"/>
  <c r="D88" i="16"/>
  <c r="AJ87" i="16"/>
  <c r="AQ87" i="16" s="1"/>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Q86" i="16" s="1"/>
  <c r="AR21" i="16" s="1"/>
  <c r="AI86" i="16"/>
  <c r="AH86" i="16"/>
  <c r="AG86" i="16"/>
  <c r="AF86" i="16"/>
  <c r="AE86" i="16"/>
  <c r="AD86" i="16"/>
  <c r="AC86" i="16"/>
  <c r="AB86" i="16"/>
  <c r="AL86" i="16" s="1"/>
  <c r="AA86" i="16"/>
  <c r="Z86" i="16"/>
  <c r="Y86" i="16"/>
  <c r="X86" i="16"/>
  <c r="AM86" i="16" s="1"/>
  <c r="W86" i="16"/>
  <c r="V86" i="16"/>
  <c r="U86" i="16"/>
  <c r="T86" i="16"/>
  <c r="S86" i="16"/>
  <c r="R86" i="16"/>
  <c r="Q86" i="16"/>
  <c r="P86" i="16"/>
  <c r="O86" i="16"/>
  <c r="N86" i="16"/>
  <c r="M86" i="16"/>
  <c r="L86" i="16"/>
  <c r="K86" i="16"/>
  <c r="J86" i="16"/>
  <c r="I86" i="16"/>
  <c r="H86" i="16"/>
  <c r="G86" i="16"/>
  <c r="F86" i="16"/>
  <c r="E86" i="16"/>
  <c r="D86" i="16"/>
  <c r="AO86" i="16" s="1"/>
  <c r="AQ85"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AJ84" i="16"/>
  <c r="AQ84" i="16" s="1"/>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J83" i="16"/>
  <c r="AQ83" i="16" s="1"/>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AO83" i="16" s="1"/>
  <c r="AJ82" i="16"/>
  <c r="AQ82" i="16" s="1"/>
  <c r="AI82" i="16"/>
  <c r="AH82" i="16"/>
  <c r="AG82" i="16"/>
  <c r="AF82" i="16"/>
  <c r="AE82" i="16"/>
  <c r="AD82" i="16"/>
  <c r="AC82" i="16"/>
  <c r="AB82" i="16"/>
  <c r="AA82" i="16"/>
  <c r="Z82" i="16"/>
  <c r="Y82" i="16"/>
  <c r="X82" i="16"/>
  <c r="W82" i="16"/>
  <c r="V82" i="16"/>
  <c r="U82" i="16"/>
  <c r="T82" i="16"/>
  <c r="AM82" i="16" s="1"/>
  <c r="S82" i="16"/>
  <c r="R82" i="16"/>
  <c r="Q82" i="16"/>
  <c r="P82" i="16"/>
  <c r="O82" i="16"/>
  <c r="N82" i="16"/>
  <c r="AN82" i="16" s="1"/>
  <c r="M82" i="16"/>
  <c r="L82" i="16"/>
  <c r="K82" i="16"/>
  <c r="J82" i="16"/>
  <c r="I82" i="16"/>
  <c r="H82" i="16"/>
  <c r="G82" i="16"/>
  <c r="F82" i="16"/>
  <c r="E82" i="16"/>
  <c r="D82" i="16"/>
  <c r="AJ81" i="16"/>
  <c r="AQ81" i="16" s="1"/>
  <c r="AI81" i="16"/>
  <c r="AH81" i="16"/>
  <c r="AG81" i="16"/>
  <c r="AF81" i="16"/>
  <c r="AE81" i="16"/>
  <c r="AD81" i="16"/>
  <c r="AC81" i="16"/>
  <c r="AB81" i="16"/>
  <c r="AA81" i="16"/>
  <c r="Z81" i="16"/>
  <c r="Y81" i="16"/>
  <c r="X81" i="16"/>
  <c r="W81" i="16"/>
  <c r="V81" i="16"/>
  <c r="U81" i="16"/>
  <c r="T81" i="16"/>
  <c r="S81" i="16"/>
  <c r="R81" i="16"/>
  <c r="Q81" i="16"/>
  <c r="P81" i="16"/>
  <c r="O81" i="16"/>
  <c r="N81" i="16"/>
  <c r="M81" i="16"/>
  <c r="L81" i="16"/>
  <c r="AN81" i="16" s="1"/>
  <c r="K81" i="16"/>
  <c r="J81" i="16"/>
  <c r="I81" i="16"/>
  <c r="H81" i="16"/>
  <c r="G81" i="16"/>
  <c r="F81" i="16"/>
  <c r="E81" i="16"/>
  <c r="D81" i="16"/>
  <c r="AJ80" i="16"/>
  <c r="AQ80" i="16" s="1"/>
  <c r="AI80" i="16"/>
  <c r="AH80" i="16"/>
  <c r="AL80" i="16" s="1"/>
  <c r="AG80" i="16"/>
  <c r="AF80" i="16"/>
  <c r="AE80" i="16"/>
  <c r="AD80" i="16"/>
  <c r="AC80" i="16"/>
  <c r="AB80" i="16"/>
  <c r="AA80" i="16"/>
  <c r="Z80" i="16"/>
  <c r="Y80" i="16"/>
  <c r="X80" i="16"/>
  <c r="W80" i="16"/>
  <c r="V80" i="16"/>
  <c r="U80" i="16"/>
  <c r="T80" i="16"/>
  <c r="S80" i="16"/>
  <c r="R80" i="16"/>
  <c r="Q80" i="16"/>
  <c r="P80" i="16"/>
  <c r="O80" i="16"/>
  <c r="N80" i="16"/>
  <c r="M80" i="16"/>
  <c r="AN80" i="16" s="1"/>
  <c r="L80" i="16"/>
  <c r="K80" i="16"/>
  <c r="J80" i="16"/>
  <c r="I80" i="16"/>
  <c r="H80" i="16"/>
  <c r="G80" i="16"/>
  <c r="F80" i="16"/>
  <c r="E80" i="16"/>
  <c r="D80" i="16"/>
  <c r="C80" i="16"/>
  <c r="AJ79" i="16"/>
  <c r="AQ79" i="16" s="1"/>
  <c r="AR14" i="16" s="1"/>
  <c r="AI79" i="16"/>
  <c r="AH79" i="16"/>
  <c r="AG79" i="16"/>
  <c r="AF79" i="16"/>
  <c r="AE79" i="16"/>
  <c r="AD79" i="16"/>
  <c r="AC79" i="16"/>
  <c r="AB79" i="16"/>
  <c r="AA79" i="16"/>
  <c r="Z79" i="16"/>
  <c r="Y79" i="16"/>
  <c r="X79" i="16"/>
  <c r="W79" i="16"/>
  <c r="V79" i="16"/>
  <c r="U79" i="16"/>
  <c r="T79" i="16"/>
  <c r="AM79" i="16" s="1"/>
  <c r="S79" i="16"/>
  <c r="R79" i="16"/>
  <c r="Q79" i="16"/>
  <c r="P79" i="16"/>
  <c r="O79" i="16"/>
  <c r="N79" i="16"/>
  <c r="M79" i="16"/>
  <c r="L79" i="16"/>
  <c r="K79" i="16"/>
  <c r="J79" i="16"/>
  <c r="I79" i="16"/>
  <c r="H79" i="16"/>
  <c r="G79" i="16"/>
  <c r="F79" i="16"/>
  <c r="E79" i="16"/>
  <c r="D79" i="16"/>
  <c r="AJ78" i="16"/>
  <c r="AQ78" i="16" s="1"/>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AQ77" i="16"/>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E77" i="16"/>
  <c r="D77" i="16"/>
  <c r="AL76" i="16"/>
  <c r="AJ76" i="16"/>
  <c r="AQ76" i="16" s="1"/>
  <c r="AI76" i="16"/>
  <c r="AH76" i="16"/>
  <c r="AG76" i="16"/>
  <c r="AF76" i="16"/>
  <c r="AE76" i="16"/>
  <c r="AD76" i="16"/>
  <c r="AC76" i="16"/>
  <c r="AB76" i="16"/>
  <c r="AA76" i="16"/>
  <c r="Z76" i="16"/>
  <c r="Y76" i="16"/>
  <c r="X76" i="16"/>
  <c r="W76" i="16"/>
  <c r="V76" i="16"/>
  <c r="U76" i="16"/>
  <c r="T76" i="16"/>
  <c r="S76" i="16"/>
  <c r="R76" i="16"/>
  <c r="Q76" i="16"/>
  <c r="P76" i="16"/>
  <c r="O76" i="16"/>
  <c r="N76" i="16"/>
  <c r="M76" i="16"/>
  <c r="AN76" i="16" s="1"/>
  <c r="L76" i="16"/>
  <c r="K76" i="16"/>
  <c r="J76" i="16"/>
  <c r="I76" i="16"/>
  <c r="H76" i="16"/>
  <c r="G76" i="16"/>
  <c r="F76" i="16"/>
  <c r="E76" i="16"/>
  <c r="D76" i="16"/>
  <c r="AO76" i="16" s="1"/>
  <c r="AO75" i="16"/>
  <c r="AJ75" i="16"/>
  <c r="AQ75" i="16" s="1"/>
  <c r="AI75" i="16"/>
  <c r="AH75" i="16"/>
  <c r="AG75" i="16"/>
  <c r="AF75" i="16"/>
  <c r="AE75" i="16"/>
  <c r="AD75" i="16"/>
  <c r="AC75" i="16"/>
  <c r="AB75" i="16"/>
  <c r="AA75" i="16"/>
  <c r="Z75" i="16"/>
  <c r="Y75" i="16"/>
  <c r="X75" i="16"/>
  <c r="W75" i="16"/>
  <c r="V75" i="16"/>
  <c r="U75" i="16"/>
  <c r="T75" i="16"/>
  <c r="S75" i="16"/>
  <c r="R75" i="16"/>
  <c r="Q75" i="16"/>
  <c r="P75" i="16"/>
  <c r="O75" i="16"/>
  <c r="N75" i="16"/>
  <c r="M75" i="16"/>
  <c r="L75" i="16"/>
  <c r="AN75" i="16" s="1"/>
  <c r="K75" i="16"/>
  <c r="J75" i="16"/>
  <c r="I75" i="16"/>
  <c r="H75" i="16"/>
  <c r="G75" i="16"/>
  <c r="F75" i="16"/>
  <c r="E75" i="16"/>
  <c r="D75" i="16"/>
  <c r="AJ74" i="16"/>
  <c r="AI74" i="16"/>
  <c r="AH74" i="16"/>
  <c r="AG74" i="16"/>
  <c r="AF74" i="16"/>
  <c r="AE74" i="16"/>
  <c r="AD74" i="16"/>
  <c r="AC74" i="16"/>
  <c r="AB74" i="16"/>
  <c r="AA74" i="16"/>
  <c r="Z74" i="16"/>
  <c r="Y74" i="16"/>
  <c r="X74" i="16"/>
  <c r="W74" i="16"/>
  <c r="V74" i="16"/>
  <c r="AM74" i="16" s="1"/>
  <c r="U74" i="16"/>
  <c r="T74" i="16"/>
  <c r="S74" i="16"/>
  <c r="R74" i="16"/>
  <c r="Q74" i="16"/>
  <c r="P74" i="16"/>
  <c r="O74" i="16"/>
  <c r="N74" i="16"/>
  <c r="M74" i="16"/>
  <c r="L74" i="16"/>
  <c r="K74" i="16"/>
  <c r="J74" i="16"/>
  <c r="I74" i="16"/>
  <c r="H74" i="16"/>
  <c r="G74" i="16"/>
  <c r="F74" i="16"/>
  <c r="E74" i="16"/>
  <c r="D74"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AM72" i="16" s="1"/>
  <c r="S72" i="16"/>
  <c r="R72" i="16"/>
  <c r="Q72" i="16"/>
  <c r="P72" i="16"/>
  <c r="O72" i="16"/>
  <c r="N72" i="16"/>
  <c r="M72" i="16"/>
  <c r="L72" i="16"/>
  <c r="K72" i="16"/>
  <c r="J72" i="16"/>
  <c r="I72" i="16"/>
  <c r="H72" i="16"/>
  <c r="G72" i="16"/>
  <c r="F72" i="16"/>
  <c r="E72" i="16"/>
  <c r="D72" i="16"/>
  <c r="C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F71" i="16"/>
  <c r="E71" i="16"/>
  <c r="D71" i="16"/>
  <c r="AT70" i="16"/>
  <c r="AR70" i="16"/>
  <c r="AT69" i="16"/>
  <c r="C69" i="16"/>
  <c r="C199" i="16" s="1"/>
  <c r="AT68" i="16"/>
  <c r="AS68" i="16"/>
  <c r="C68" i="16"/>
  <c r="C198" i="16" s="1"/>
  <c r="AT67" i="16"/>
  <c r="C67" i="16"/>
  <c r="C197" i="16" s="1"/>
  <c r="AT66" i="16"/>
  <c r="C66" i="16"/>
  <c r="AT65" i="16"/>
  <c r="AR65" i="16"/>
  <c r="C65" i="16"/>
  <c r="C195" i="16" s="1"/>
  <c r="AT64" i="16"/>
  <c r="C64" i="16"/>
  <c r="C194" i="16" s="1"/>
  <c r="AT63" i="16"/>
  <c r="C63" i="16"/>
  <c r="C193" i="16" s="1"/>
  <c r="AT62" i="16"/>
  <c r="C62" i="16"/>
  <c r="AT61" i="16"/>
  <c r="C61" i="16"/>
  <c r="C191" i="16" s="1"/>
  <c r="AT60" i="16"/>
  <c r="AR60" i="16"/>
  <c r="C60" i="16"/>
  <c r="C190" i="16" s="1"/>
  <c r="AT59" i="16"/>
  <c r="C59" i="16"/>
  <c r="AT58" i="16"/>
  <c r="C58" i="16"/>
  <c r="C123" i="16" s="1"/>
  <c r="AT57" i="16"/>
  <c r="C57" i="16"/>
  <c r="C187" i="16" s="1"/>
  <c r="AT56" i="16"/>
  <c r="AS56" i="16"/>
  <c r="C56" i="16"/>
  <c r="C186" i="16" s="1"/>
  <c r="AT55" i="16"/>
  <c r="AS55" i="16"/>
  <c r="C55" i="16"/>
  <c r="AT54" i="16"/>
  <c r="C54" i="16"/>
  <c r="C119" i="16" s="1"/>
  <c r="AT53" i="16"/>
  <c r="C53" i="16"/>
  <c r="C183" i="16" s="1"/>
  <c r="AT52" i="16"/>
  <c r="C52" i="16"/>
  <c r="C182" i="16" s="1"/>
  <c r="AT51" i="16"/>
  <c r="C51" i="16"/>
  <c r="C181" i="16" s="1"/>
  <c r="AT50" i="16"/>
  <c r="C50" i="16"/>
  <c r="AT49" i="16"/>
  <c r="C49" i="16"/>
  <c r="C179" i="16" s="1"/>
  <c r="AT48" i="16"/>
  <c r="C48" i="16"/>
  <c r="C178" i="16" s="1"/>
  <c r="AT47" i="16"/>
  <c r="C47" i="16"/>
  <c r="AT46" i="16"/>
  <c r="C46" i="16"/>
  <c r="C111" i="16" s="1"/>
  <c r="AT45" i="16"/>
  <c r="C45" i="16"/>
  <c r="C175" i="16" s="1"/>
  <c r="AT44" i="16"/>
  <c r="AS44" i="16"/>
  <c r="C44" i="16"/>
  <c r="C174" i="16" s="1"/>
  <c r="AT43" i="16"/>
  <c r="C43" i="16"/>
  <c r="AT42" i="16"/>
  <c r="C42" i="16"/>
  <c r="C107" i="16" s="1"/>
  <c r="AT41" i="16"/>
  <c r="C41" i="16"/>
  <c r="C171" i="16" s="1"/>
  <c r="AT40" i="16"/>
  <c r="C40" i="16"/>
  <c r="C170" i="16" s="1"/>
  <c r="AT39" i="16"/>
  <c r="C39" i="16"/>
  <c r="AT38" i="16"/>
  <c r="C38" i="16"/>
  <c r="C103" i="16" s="1"/>
  <c r="AT37" i="16"/>
  <c r="C37" i="16"/>
  <c r="C167" i="16" s="1"/>
  <c r="AT36" i="16"/>
  <c r="C36" i="16"/>
  <c r="C166" i="16" s="1"/>
  <c r="AT35" i="16"/>
  <c r="C35" i="16"/>
  <c r="AT34" i="16"/>
  <c r="C34" i="16"/>
  <c r="C99" i="16" s="1"/>
  <c r="AT33" i="16"/>
  <c r="C33" i="16"/>
  <c r="C163" i="16" s="1"/>
  <c r="AT32" i="16"/>
  <c r="AS32" i="16"/>
  <c r="C32" i="16"/>
  <c r="C162" i="16" s="1"/>
  <c r="AT31" i="16"/>
  <c r="C31" i="16"/>
  <c r="AT30" i="16"/>
  <c r="C30" i="16"/>
  <c r="C95" i="16" s="1"/>
  <c r="AT29" i="16"/>
  <c r="C29" i="16"/>
  <c r="C159" i="16" s="1"/>
  <c r="AT28" i="16"/>
  <c r="C28" i="16"/>
  <c r="C158" i="16" s="1"/>
  <c r="AT27" i="16"/>
  <c r="C27" i="16"/>
  <c r="C157" i="16" s="1"/>
  <c r="AT26" i="16"/>
  <c r="C26" i="16"/>
  <c r="AT25" i="16"/>
  <c r="C25" i="16"/>
  <c r="C155" i="16" s="1"/>
  <c r="AT24" i="16"/>
  <c r="C24" i="16"/>
  <c r="C154" i="16" s="1"/>
  <c r="AT23" i="16"/>
  <c r="C23" i="16"/>
  <c r="AT22" i="16"/>
  <c r="C22" i="16"/>
  <c r="C87" i="16" s="1"/>
  <c r="AT21" i="16"/>
  <c r="C21" i="16"/>
  <c r="C151" i="16" s="1"/>
  <c r="AT20" i="16"/>
  <c r="C20" i="16"/>
  <c r="C150" i="16" s="1"/>
  <c r="AT19" i="16"/>
  <c r="C19" i="16"/>
  <c r="AT18" i="16"/>
  <c r="C18" i="16"/>
  <c r="AT17" i="16"/>
  <c r="C17" i="16"/>
  <c r="C147" i="16" s="1"/>
  <c r="AT16" i="16"/>
  <c r="C16" i="16"/>
  <c r="C146" i="16" s="1"/>
  <c r="AT15" i="16"/>
  <c r="C15" i="16"/>
  <c r="C145" i="16" s="1"/>
  <c r="AT14" i="16"/>
  <c r="C14" i="16"/>
  <c r="C79" i="16" s="1"/>
  <c r="AW13" i="16"/>
  <c r="AT13" i="16"/>
  <c r="C13" i="16"/>
  <c r="C143" i="16" s="1"/>
  <c r="AT12" i="16"/>
  <c r="C12" i="16"/>
  <c r="C142" i="16" s="1"/>
  <c r="AT11" i="16"/>
  <c r="C11" i="16"/>
  <c r="C141" i="16" s="1"/>
  <c r="AT10" i="16"/>
  <c r="C10" i="16"/>
  <c r="C75" i="16" s="1"/>
  <c r="AL9" i="16"/>
  <c r="C9" i="16"/>
  <c r="AL8" i="16"/>
  <c r="AT8" i="16" s="1"/>
  <c r="C8" i="16"/>
  <c r="C138" i="16" s="1"/>
  <c r="AW7" i="16"/>
  <c r="C7" i="16"/>
  <c r="C137" i="16" s="1"/>
  <c r="AW6" i="16"/>
  <c r="AL6" i="16"/>
  <c r="AT6" i="16" s="1"/>
  <c r="C6" i="16"/>
  <c r="C71" i="16" s="1"/>
  <c r="AQ199" i="15"/>
  <c r="AJ199" i="15"/>
  <c r="AI199" i="15"/>
  <c r="AH199" i="15"/>
  <c r="AG199" i="15"/>
  <c r="AF199" i="15"/>
  <c r="AE199" i="15"/>
  <c r="AD199" i="15"/>
  <c r="AC199" i="15"/>
  <c r="AB199" i="15"/>
  <c r="AA199" i="15"/>
  <c r="Z199" i="15"/>
  <c r="Y199" i="15"/>
  <c r="X199" i="15"/>
  <c r="W199" i="15"/>
  <c r="V199" i="15"/>
  <c r="U199" i="15"/>
  <c r="T199" i="15"/>
  <c r="AM199" i="15" s="1"/>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S68"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AN197" i="15" s="1"/>
  <c r="M197" i="15"/>
  <c r="L197" i="15"/>
  <c r="K197" i="15"/>
  <c r="J197" i="15"/>
  <c r="I197" i="15"/>
  <c r="H197" i="15"/>
  <c r="G197" i="15"/>
  <c r="F197" i="15"/>
  <c r="E197" i="15"/>
  <c r="D197" i="15"/>
  <c r="AJ196" i="15"/>
  <c r="AQ196" i="15" s="1"/>
  <c r="AS66" i="15" s="1"/>
  <c r="AI196" i="15"/>
  <c r="AH196" i="15"/>
  <c r="AG196" i="15"/>
  <c r="AF196" i="15"/>
  <c r="AE196" i="15"/>
  <c r="AD196" i="15"/>
  <c r="AC196" i="15"/>
  <c r="AB196" i="15"/>
  <c r="AA196" i="15"/>
  <c r="Z196" i="15"/>
  <c r="Y196" i="15"/>
  <c r="X196" i="15"/>
  <c r="AM196" i="15" s="1"/>
  <c r="W196" i="15"/>
  <c r="V196" i="15"/>
  <c r="U196" i="15"/>
  <c r="T196" i="15"/>
  <c r="S196" i="15"/>
  <c r="R196" i="15"/>
  <c r="Q196" i="15"/>
  <c r="P196" i="15"/>
  <c r="O196" i="15"/>
  <c r="N196" i="15"/>
  <c r="M196" i="15"/>
  <c r="L196" i="15"/>
  <c r="AN196" i="15" s="1"/>
  <c r="K196" i="15"/>
  <c r="J196" i="15"/>
  <c r="I196" i="15"/>
  <c r="H196" i="15"/>
  <c r="G196" i="15"/>
  <c r="F196" i="15"/>
  <c r="E196" i="15"/>
  <c r="D196" i="15"/>
  <c r="AQ195"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B194" i="15"/>
  <c r="AA194" i="15"/>
  <c r="Z194" i="15"/>
  <c r="Y194" i="15"/>
  <c r="X194" i="15"/>
  <c r="W194" i="15"/>
  <c r="V194" i="15"/>
  <c r="U194" i="15"/>
  <c r="T194" i="15"/>
  <c r="AM194" i="15" s="1"/>
  <c r="S194" i="15"/>
  <c r="R194" i="15"/>
  <c r="Q194" i="15"/>
  <c r="P194" i="15"/>
  <c r="O194" i="15"/>
  <c r="N194" i="15"/>
  <c r="M194" i="15"/>
  <c r="L194" i="15"/>
  <c r="K194" i="15"/>
  <c r="J194" i="15"/>
  <c r="I194" i="15"/>
  <c r="H194" i="15"/>
  <c r="G194" i="15"/>
  <c r="F194" i="15"/>
  <c r="E194" i="15"/>
  <c r="D194" i="15"/>
  <c r="AJ193" i="15"/>
  <c r="AQ193" i="15" s="1"/>
  <c r="AI193" i="15"/>
  <c r="AH193" i="15"/>
  <c r="AG193" i="15"/>
  <c r="AF193" i="15"/>
  <c r="AE193" i="15"/>
  <c r="AD193" i="15"/>
  <c r="AC193" i="15"/>
  <c r="AB193" i="15"/>
  <c r="AL193" i="15" s="1"/>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O193" i="15" s="1"/>
  <c r="AJ192" i="15"/>
  <c r="AQ192" i="15" s="1"/>
  <c r="AS62" i="15" s="1"/>
  <c r="AI192" i="15"/>
  <c r="AH192" i="15"/>
  <c r="AG192" i="15"/>
  <c r="AF192" i="15"/>
  <c r="AE192" i="15"/>
  <c r="AD192" i="15"/>
  <c r="AC192" i="15"/>
  <c r="AB192" i="15"/>
  <c r="AL192" i="15" s="1"/>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O192" i="15" s="1"/>
  <c r="AQ191" i="15"/>
  <c r="AS61" i="15" s="1"/>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AN191" i="15" s="1"/>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L189" i="15" s="1"/>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O189" i="15" s="1"/>
  <c r="AQ188"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Q187" i="15" s="1"/>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AN186" i="15" s="1"/>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S53"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AN182" i="15" s="1"/>
  <c r="K182" i="15"/>
  <c r="J182" i="15"/>
  <c r="I182" i="15"/>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Q178" i="15" s="1"/>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L177" i="15" s="1"/>
  <c r="AA177" i="15"/>
  <c r="Z177" i="15"/>
  <c r="Y177" i="15"/>
  <c r="AM177" i="15" s="1"/>
  <c r="X177" i="15"/>
  <c r="W177" i="15"/>
  <c r="V177" i="15"/>
  <c r="U177" i="15"/>
  <c r="T177" i="15"/>
  <c r="S177" i="15"/>
  <c r="R177" i="15"/>
  <c r="Q177" i="15"/>
  <c r="P177" i="15"/>
  <c r="O177" i="15"/>
  <c r="N177" i="15"/>
  <c r="M177" i="15"/>
  <c r="L177" i="15"/>
  <c r="K177" i="15"/>
  <c r="J177" i="15"/>
  <c r="I177" i="15"/>
  <c r="H177" i="15"/>
  <c r="G177" i="15"/>
  <c r="F177" i="15"/>
  <c r="E177" i="15"/>
  <c r="D177" i="15"/>
  <c r="AO177" i="15" s="1"/>
  <c r="AJ176" i="15"/>
  <c r="AQ176" i="15" s="1"/>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L173" i="15" s="1"/>
  <c r="AA173" i="15"/>
  <c r="Z173" i="15"/>
  <c r="Y173" i="15"/>
  <c r="X173" i="15"/>
  <c r="W173" i="15"/>
  <c r="V173" i="15"/>
  <c r="U173" i="15"/>
  <c r="T173" i="15"/>
  <c r="AM173" i="15" s="1"/>
  <c r="S173" i="15"/>
  <c r="R173" i="15"/>
  <c r="Q173" i="15"/>
  <c r="P173" i="15"/>
  <c r="O173" i="15"/>
  <c r="N173" i="15"/>
  <c r="M173" i="15"/>
  <c r="L173" i="15"/>
  <c r="K173" i="15"/>
  <c r="J173" i="15"/>
  <c r="I173" i="15"/>
  <c r="H173" i="15"/>
  <c r="G173" i="15"/>
  <c r="F173" i="15"/>
  <c r="E173" i="15"/>
  <c r="D173" i="15"/>
  <c r="AO173" i="15" s="1"/>
  <c r="AQ172"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Q171" i="15" s="1"/>
  <c r="AS42"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O171" i="15" s="1"/>
  <c r="AJ170" i="15"/>
  <c r="AQ170" i="15" s="1"/>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AM169" i="15" s="1"/>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Q167" i="15" s="1"/>
  <c r="AS37" i="15" s="1"/>
  <c r="AI167" i="15"/>
  <c r="AH167" i="15"/>
  <c r="AG167" i="15"/>
  <c r="AF167" i="15"/>
  <c r="AE167" i="15"/>
  <c r="AD167" i="15"/>
  <c r="AC167" i="15"/>
  <c r="AB167" i="15"/>
  <c r="AA167" i="15"/>
  <c r="Z167" i="15"/>
  <c r="Y167" i="15"/>
  <c r="X167" i="15"/>
  <c r="W167" i="15"/>
  <c r="V167" i="15"/>
  <c r="U167" i="15"/>
  <c r="T167" i="15"/>
  <c r="AM167" i="15" s="1"/>
  <c r="S167" i="15"/>
  <c r="R167" i="15"/>
  <c r="Q167" i="15"/>
  <c r="P167" i="15"/>
  <c r="O167" i="15"/>
  <c r="N167" i="15"/>
  <c r="M167" i="15"/>
  <c r="L167" i="15"/>
  <c r="K167" i="15"/>
  <c r="J167" i="15"/>
  <c r="I167" i="15"/>
  <c r="H167" i="15"/>
  <c r="G167" i="15"/>
  <c r="F167" i="15"/>
  <c r="E167" i="15"/>
  <c r="D167" i="15"/>
  <c r="AJ166" i="15"/>
  <c r="AQ166" i="15" s="1"/>
  <c r="AS36" i="15" s="1"/>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Q163" i="15" s="1"/>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Q162" i="15" s="1"/>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Q161" i="15" s="1"/>
  <c r="AS32" i="15" s="1"/>
  <c r="AI161" i="15"/>
  <c r="AH161" i="15"/>
  <c r="AG161" i="15"/>
  <c r="AF161" i="15"/>
  <c r="AE161" i="15"/>
  <c r="AD161" i="15"/>
  <c r="AC161" i="15"/>
  <c r="AB161" i="15"/>
  <c r="AL161" i="15" s="1"/>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O161" i="15" s="1"/>
  <c r="AQ160" i="15"/>
  <c r="AJ160" i="15"/>
  <c r="AI160" i="15"/>
  <c r="AH160" i="15"/>
  <c r="AG160" i="15"/>
  <c r="AF160" i="15"/>
  <c r="AE160" i="15"/>
  <c r="AD160" i="15"/>
  <c r="AC160" i="15"/>
  <c r="AB160" i="15"/>
  <c r="AA160" i="15"/>
  <c r="Z160" i="15"/>
  <c r="Y160" i="15"/>
  <c r="X160" i="15"/>
  <c r="W160" i="15"/>
  <c r="V160" i="15"/>
  <c r="AM160" i="15" s="1"/>
  <c r="U160" i="15"/>
  <c r="T160" i="15"/>
  <c r="S160" i="15"/>
  <c r="R160" i="15"/>
  <c r="Q160" i="15"/>
  <c r="P160" i="15"/>
  <c r="O160" i="15"/>
  <c r="N160" i="15"/>
  <c r="M160" i="15"/>
  <c r="L160" i="15"/>
  <c r="K160" i="15"/>
  <c r="J160" i="15"/>
  <c r="I160" i="15"/>
  <c r="H160" i="15"/>
  <c r="G160" i="15"/>
  <c r="F160" i="15"/>
  <c r="E160" i="15"/>
  <c r="D160" i="15"/>
  <c r="AJ159" i="15"/>
  <c r="AQ159" i="15" s="1"/>
  <c r="AI159" i="15"/>
  <c r="AH159" i="15"/>
  <c r="AG159" i="15"/>
  <c r="AF159" i="15"/>
  <c r="AL159" i="15" s="1"/>
  <c r="AE159" i="15"/>
  <c r="AD159" i="15"/>
  <c r="AC159" i="15"/>
  <c r="AB159" i="15"/>
  <c r="AA159" i="15"/>
  <c r="Z159" i="15"/>
  <c r="Y159" i="15"/>
  <c r="X159" i="15"/>
  <c r="W159" i="15"/>
  <c r="V159" i="15"/>
  <c r="U159" i="15"/>
  <c r="T159" i="15"/>
  <c r="AM159" i="15" s="1"/>
  <c r="S159" i="15"/>
  <c r="R159" i="15"/>
  <c r="Q159" i="15"/>
  <c r="P159" i="15"/>
  <c r="O159" i="15"/>
  <c r="N159" i="15"/>
  <c r="M159" i="15"/>
  <c r="L159" i="15"/>
  <c r="K159" i="15"/>
  <c r="J159" i="15"/>
  <c r="I159" i="15"/>
  <c r="H159" i="15"/>
  <c r="G159" i="15"/>
  <c r="F159" i="15"/>
  <c r="E159" i="15"/>
  <c r="D159" i="15"/>
  <c r="AJ158" i="15"/>
  <c r="AQ158" i="15" s="1"/>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A157" i="15"/>
  <c r="Z157" i="15"/>
  <c r="AM157" i="15" s="1"/>
  <c r="Y157" i="15"/>
  <c r="X157" i="15"/>
  <c r="W157" i="15"/>
  <c r="V157" i="15"/>
  <c r="U157" i="15"/>
  <c r="T157" i="15"/>
  <c r="S157" i="15"/>
  <c r="R157" i="15"/>
  <c r="Q157" i="15"/>
  <c r="P157" i="15"/>
  <c r="O157" i="15"/>
  <c r="N157" i="15"/>
  <c r="AN157" i="15" s="1"/>
  <c r="M157" i="15"/>
  <c r="L157" i="15"/>
  <c r="K157" i="15"/>
  <c r="J157" i="15"/>
  <c r="I157" i="15"/>
  <c r="H157" i="15"/>
  <c r="G157" i="15"/>
  <c r="F157" i="15"/>
  <c r="E157" i="15"/>
  <c r="D157" i="15"/>
  <c r="C157" i="15"/>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Q155" i="15" s="1"/>
  <c r="AS25" i="15" s="1"/>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Q154" i="15" s="1"/>
  <c r="AI154" i="15"/>
  <c r="AH154" i="15"/>
  <c r="AG154" i="15"/>
  <c r="AF154" i="15"/>
  <c r="AE154" i="15"/>
  <c r="AD154" i="15"/>
  <c r="AC154" i="15"/>
  <c r="AB154" i="15"/>
  <c r="AA154" i="15"/>
  <c r="Z154" i="15"/>
  <c r="Y154" i="15"/>
  <c r="X154" i="15"/>
  <c r="W154" i="15"/>
  <c r="V154" i="15"/>
  <c r="U154" i="15"/>
  <c r="T154" i="15"/>
  <c r="AM154" i="15" s="1"/>
  <c r="S154" i="15"/>
  <c r="R154" i="15"/>
  <c r="Q154" i="15"/>
  <c r="P154" i="15"/>
  <c r="O154" i="15"/>
  <c r="N154" i="15"/>
  <c r="M154" i="15"/>
  <c r="L154" i="15"/>
  <c r="AN154" i="15" s="1"/>
  <c r="K154" i="15"/>
  <c r="J154" i="15"/>
  <c r="I154" i="15"/>
  <c r="H154" i="15"/>
  <c r="G154" i="15"/>
  <c r="F154" i="15"/>
  <c r="E154" i="15"/>
  <c r="D154" i="15"/>
  <c r="AJ153" i="15"/>
  <c r="AQ153" i="15" s="1"/>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Q152"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AN150" i="15" s="1"/>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AN147" i="15" s="1"/>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AM145" i="15" s="1"/>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AM141" i="15" s="1"/>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AN138" i="15" s="1"/>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L133" i="15" s="1"/>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AN132" i="15" s="1"/>
  <c r="L132" i="15"/>
  <c r="K132" i="15"/>
  <c r="J132" i="15"/>
  <c r="I132" i="15"/>
  <c r="H132" i="15"/>
  <c r="G132" i="15"/>
  <c r="F132" i="15"/>
  <c r="E132" i="15"/>
  <c r="D132" i="15"/>
  <c r="AO132" i="15" s="1"/>
  <c r="AQ131" i="15"/>
  <c r="AR66" i="15" s="1"/>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AN130" i="15" s="1"/>
  <c r="L130" i="15"/>
  <c r="K130" i="15"/>
  <c r="J130" i="15"/>
  <c r="I130" i="15"/>
  <c r="H130" i="15"/>
  <c r="G130" i="15"/>
  <c r="F130" i="15"/>
  <c r="E130" i="15"/>
  <c r="D130" i="15"/>
  <c r="AJ129" i="15"/>
  <c r="AQ129" i="15" s="1"/>
  <c r="AI129" i="15"/>
  <c r="AH129" i="15"/>
  <c r="AG129" i="15"/>
  <c r="AF129" i="15"/>
  <c r="AE129" i="15"/>
  <c r="AD129" i="15"/>
  <c r="AC129" i="15"/>
  <c r="AB129" i="15"/>
  <c r="AL129" i="15" s="1"/>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B128" i="15"/>
  <c r="AA128" i="15"/>
  <c r="Z128" i="15"/>
  <c r="Y128" i="15"/>
  <c r="X128" i="15"/>
  <c r="W128" i="15"/>
  <c r="V128" i="15"/>
  <c r="U128" i="15"/>
  <c r="T128" i="15"/>
  <c r="AM128" i="15" s="1"/>
  <c r="S128" i="15"/>
  <c r="R128" i="15"/>
  <c r="Q128" i="15"/>
  <c r="P128" i="15"/>
  <c r="O128" i="15"/>
  <c r="N128" i="15"/>
  <c r="M128" i="15"/>
  <c r="L128" i="15"/>
  <c r="AN128" i="15" s="1"/>
  <c r="K128" i="15"/>
  <c r="J128" i="15"/>
  <c r="I128" i="15"/>
  <c r="H128" i="15"/>
  <c r="AO128" i="15" s="1"/>
  <c r="G128" i="15"/>
  <c r="F128" i="15"/>
  <c r="E128" i="15"/>
  <c r="D128" i="15"/>
  <c r="AQ127"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L126" i="15" s="1"/>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O126" i="15" s="1"/>
  <c r="AJ125" i="15"/>
  <c r="AQ125" i="15" s="1"/>
  <c r="AI125" i="15"/>
  <c r="AH125" i="15"/>
  <c r="AG125" i="15"/>
  <c r="AF125" i="15"/>
  <c r="AE125" i="15"/>
  <c r="AD125" i="15"/>
  <c r="AC125" i="15"/>
  <c r="AL125" i="15" s="1"/>
  <c r="AB125" i="15"/>
  <c r="AA125" i="15"/>
  <c r="Z125" i="15"/>
  <c r="AM125" i="15" s="1"/>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L124" i="15" s="1"/>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AN122" i="15" s="1"/>
  <c r="K122" i="15"/>
  <c r="J122" i="15"/>
  <c r="I122" i="15"/>
  <c r="H122" i="15"/>
  <c r="G122" i="15"/>
  <c r="F122" i="15"/>
  <c r="E122" i="15"/>
  <c r="D122" i="15"/>
  <c r="AJ121" i="15"/>
  <c r="AQ121" i="15" s="1"/>
  <c r="AI121" i="15"/>
  <c r="AH121" i="15"/>
  <c r="AG121" i="15"/>
  <c r="AF121" i="15"/>
  <c r="AE121" i="15"/>
  <c r="AL121" i="15" s="1"/>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Q120"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AM119" i="15" s="1"/>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R52" i="15" s="1"/>
  <c r="AI117" i="15"/>
  <c r="AH117" i="15"/>
  <c r="AG117" i="15"/>
  <c r="AF117" i="15"/>
  <c r="AE117" i="15"/>
  <c r="AD117" i="15"/>
  <c r="AC117" i="15"/>
  <c r="AB117" i="15"/>
  <c r="AL117" i="15" s="1"/>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C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I114" i="15"/>
  <c r="AH114" i="15"/>
  <c r="AG114" i="15"/>
  <c r="AF114" i="15"/>
  <c r="AE114" i="15"/>
  <c r="AD114" i="15"/>
  <c r="AC114" i="15"/>
  <c r="AB114" i="15"/>
  <c r="AA114" i="15"/>
  <c r="Z114" i="15"/>
  <c r="Y114" i="15"/>
  <c r="X114" i="15"/>
  <c r="W114" i="15"/>
  <c r="V114" i="15"/>
  <c r="U114" i="15"/>
  <c r="T114" i="15"/>
  <c r="AM114" i="15" s="1"/>
  <c r="S114" i="15"/>
  <c r="R114" i="15"/>
  <c r="Q114" i="15"/>
  <c r="P114" i="15"/>
  <c r="O114" i="15"/>
  <c r="N114" i="15"/>
  <c r="M114" i="15"/>
  <c r="L114" i="15"/>
  <c r="K114" i="15"/>
  <c r="J114" i="15"/>
  <c r="I114" i="15"/>
  <c r="H114" i="15"/>
  <c r="G114" i="15"/>
  <c r="F114" i="15"/>
  <c r="E114" i="15"/>
  <c r="D114" i="15"/>
  <c r="AQ113" i="15"/>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J112" i="15"/>
  <c r="AI112" i="15"/>
  <c r="AH112" i="15"/>
  <c r="AG112" i="15"/>
  <c r="AF112" i="15"/>
  <c r="AE112" i="15"/>
  <c r="AD112" i="15"/>
  <c r="AC112" i="15"/>
  <c r="AB112" i="15"/>
  <c r="AA112" i="15"/>
  <c r="Z112" i="15"/>
  <c r="Y112" i="15"/>
  <c r="X112" i="15"/>
  <c r="W112" i="15"/>
  <c r="V112" i="15"/>
  <c r="U112" i="15"/>
  <c r="T112" i="15"/>
  <c r="AM112" i="15" s="1"/>
  <c r="S112" i="15"/>
  <c r="R112" i="15"/>
  <c r="Q112" i="15"/>
  <c r="P112" i="15"/>
  <c r="O112" i="15"/>
  <c r="N112" i="15"/>
  <c r="M112" i="15"/>
  <c r="AN112" i="15" s="1"/>
  <c r="L112" i="15"/>
  <c r="K112" i="15"/>
  <c r="J112" i="15"/>
  <c r="I112" i="15"/>
  <c r="H112" i="15"/>
  <c r="G112" i="15"/>
  <c r="F112" i="15"/>
  <c r="E112" i="15"/>
  <c r="D112" i="15"/>
  <c r="AO112" i="15" s="1"/>
  <c r="AJ111" i="15"/>
  <c r="AQ111" i="15" s="1"/>
  <c r="AR47" i="15" s="1"/>
  <c r="AI111" i="15"/>
  <c r="AH111" i="15"/>
  <c r="AG111" i="15"/>
  <c r="AF111" i="15"/>
  <c r="AE111" i="15"/>
  <c r="AD111" i="15"/>
  <c r="AC111" i="15"/>
  <c r="AB111" i="15"/>
  <c r="AA111" i="15"/>
  <c r="Z111" i="15"/>
  <c r="Y111" i="15"/>
  <c r="X111" i="15"/>
  <c r="W111" i="15"/>
  <c r="V111" i="15"/>
  <c r="U111" i="15"/>
  <c r="T111" i="15"/>
  <c r="AM111" i="15" s="1"/>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Q108" i="15" s="1"/>
  <c r="AR43"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R42"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Q105" i="15"/>
  <c r="AR40" i="15" s="1"/>
  <c r="AJ105" i="15"/>
  <c r="AI105" i="15"/>
  <c r="AH105" i="15"/>
  <c r="AG105" i="15"/>
  <c r="AF105" i="15"/>
  <c r="AE105" i="15"/>
  <c r="AD105" i="15"/>
  <c r="AC105" i="15"/>
  <c r="AL105" i="15" s="1"/>
  <c r="AB105" i="15"/>
  <c r="AA105" i="15"/>
  <c r="Z105" i="15"/>
  <c r="AM105" i="15" s="1"/>
  <c r="Y105" i="15"/>
  <c r="X105" i="15"/>
  <c r="W105" i="15"/>
  <c r="V105" i="15"/>
  <c r="U105" i="15"/>
  <c r="T105" i="15"/>
  <c r="S105" i="15"/>
  <c r="R105" i="15"/>
  <c r="Q105" i="15"/>
  <c r="P105" i="15"/>
  <c r="O105" i="15"/>
  <c r="N105" i="15"/>
  <c r="M105" i="15"/>
  <c r="L105" i="15"/>
  <c r="K105" i="15"/>
  <c r="J105" i="15"/>
  <c r="I105" i="15"/>
  <c r="H105" i="15"/>
  <c r="G105" i="15"/>
  <c r="F105" i="15"/>
  <c r="E105" i="15"/>
  <c r="D105" i="15"/>
  <c r="AQ104"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AN104" i="15" s="1"/>
  <c r="L104" i="15"/>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Q102" i="15" s="1"/>
  <c r="AI102" i="15"/>
  <c r="AH102" i="15"/>
  <c r="AG102" i="15"/>
  <c r="AF102" i="15"/>
  <c r="AE102" i="15"/>
  <c r="AD102" i="15"/>
  <c r="AC102" i="15"/>
  <c r="AB102" i="15"/>
  <c r="AA102" i="15"/>
  <c r="Z102" i="15"/>
  <c r="Y102" i="15"/>
  <c r="X102" i="15"/>
  <c r="W102" i="15"/>
  <c r="V102" i="15"/>
  <c r="U102" i="15"/>
  <c r="AM102" i="15" s="1"/>
  <c r="T102" i="15"/>
  <c r="S102" i="15"/>
  <c r="R102" i="15"/>
  <c r="Q102" i="15"/>
  <c r="P102" i="15"/>
  <c r="O102" i="15"/>
  <c r="N102" i="15"/>
  <c r="M102" i="15"/>
  <c r="L102" i="15"/>
  <c r="AN102" i="15" s="1"/>
  <c r="K102" i="15"/>
  <c r="J102" i="15"/>
  <c r="I102" i="15"/>
  <c r="H102" i="15"/>
  <c r="G102" i="15"/>
  <c r="F102" i="15"/>
  <c r="E102" i="15"/>
  <c r="D102"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R35" i="15" s="1"/>
  <c r="AI100" i="15"/>
  <c r="AH100" i="15"/>
  <c r="AG100" i="15"/>
  <c r="AF100" i="15"/>
  <c r="AE100" i="15"/>
  <c r="AD100" i="15"/>
  <c r="AC100" i="15"/>
  <c r="AB100" i="15"/>
  <c r="AL100" i="15" s="1"/>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O100" i="15" s="1"/>
  <c r="AQ99"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M98" i="15"/>
  <c r="AJ98" i="15"/>
  <c r="AQ98" i="15" s="1"/>
  <c r="AR34"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L97" i="15"/>
  <c r="AJ97" i="15"/>
  <c r="AQ97" i="15" s="1"/>
  <c r="AR33"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Q96" i="15" s="1"/>
  <c r="AI96" i="15"/>
  <c r="AH96" i="15"/>
  <c r="AG96" i="15"/>
  <c r="AF96" i="15"/>
  <c r="AE96" i="15"/>
  <c r="AD96" i="15"/>
  <c r="AC96" i="15"/>
  <c r="AB96" i="15"/>
  <c r="AA96" i="15"/>
  <c r="Z96" i="15"/>
  <c r="Y96" i="15"/>
  <c r="X96" i="15"/>
  <c r="W96" i="15"/>
  <c r="V96" i="15"/>
  <c r="U96" i="15"/>
  <c r="T96" i="15"/>
  <c r="S96" i="15"/>
  <c r="R96" i="15"/>
  <c r="Q96" i="15"/>
  <c r="P96" i="15"/>
  <c r="O96" i="15"/>
  <c r="N96" i="15"/>
  <c r="M96" i="15"/>
  <c r="L96" i="15"/>
  <c r="AN96" i="15" s="1"/>
  <c r="K96" i="15"/>
  <c r="J96" i="15"/>
  <c r="I96" i="15"/>
  <c r="H96" i="15"/>
  <c r="G96" i="15"/>
  <c r="F96" i="15"/>
  <c r="E96" i="15"/>
  <c r="D96" i="15"/>
  <c r="AO96" i="15" s="1"/>
  <c r="C96" i="15"/>
  <c r="AJ95" i="15"/>
  <c r="AQ95" i="15" s="1"/>
  <c r="AR30"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Q94" i="15" s="1"/>
  <c r="AI94" i="15"/>
  <c r="AH94" i="15"/>
  <c r="AG94" i="15"/>
  <c r="AF94" i="15"/>
  <c r="AE94" i="15"/>
  <c r="AD94" i="15"/>
  <c r="AC94" i="15"/>
  <c r="AB94" i="15"/>
  <c r="AA94" i="15"/>
  <c r="Z94" i="15"/>
  <c r="Y94" i="15"/>
  <c r="X94" i="15"/>
  <c r="W94" i="15"/>
  <c r="V94" i="15"/>
  <c r="U94" i="15"/>
  <c r="T94" i="15"/>
  <c r="S94" i="15"/>
  <c r="R94" i="15"/>
  <c r="Q94" i="15"/>
  <c r="P94" i="15"/>
  <c r="O94" i="15"/>
  <c r="N94" i="15"/>
  <c r="M94" i="15"/>
  <c r="L94" i="15"/>
  <c r="AN94" i="15" s="1"/>
  <c r="K94" i="15"/>
  <c r="J94" i="15"/>
  <c r="I94" i="15"/>
  <c r="H94" i="15"/>
  <c r="G94" i="15"/>
  <c r="F94" i="15"/>
  <c r="E94" i="15"/>
  <c r="D94" i="15"/>
  <c r="AJ93" i="15"/>
  <c r="AQ93" i="15" s="1"/>
  <c r="AI93" i="15"/>
  <c r="AH93" i="15"/>
  <c r="AG93" i="15"/>
  <c r="AF93" i="15"/>
  <c r="AE93" i="15"/>
  <c r="AD93" i="15"/>
  <c r="AC93" i="15"/>
  <c r="AL93" i="15" s="1"/>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Q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C92" i="15"/>
  <c r="AQ91"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Q90" i="15" s="1"/>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Q89" i="15"/>
  <c r="AJ89" i="15"/>
  <c r="AI89" i="15"/>
  <c r="AH89" i="15"/>
  <c r="AL89" i="15" s="1"/>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Q88" i="15" s="1"/>
  <c r="AR23" i="15" s="1"/>
  <c r="AI88" i="15"/>
  <c r="AH88" i="15"/>
  <c r="AG88" i="15"/>
  <c r="AF88" i="15"/>
  <c r="AE88" i="15"/>
  <c r="AD88" i="15"/>
  <c r="AC88" i="15"/>
  <c r="AB88" i="15"/>
  <c r="AA88" i="15"/>
  <c r="Z88" i="15"/>
  <c r="Y88" i="15"/>
  <c r="X88" i="15"/>
  <c r="W88" i="15"/>
  <c r="V88" i="15"/>
  <c r="U88" i="15"/>
  <c r="T88" i="15"/>
  <c r="S88" i="15"/>
  <c r="R88" i="15"/>
  <c r="Q88" i="15"/>
  <c r="P88" i="15"/>
  <c r="O88" i="15"/>
  <c r="N88" i="15"/>
  <c r="M88" i="15"/>
  <c r="L88" i="15"/>
  <c r="AN88" i="15" s="1"/>
  <c r="K88" i="15"/>
  <c r="J88" i="15"/>
  <c r="I88" i="15"/>
  <c r="H88" i="15"/>
  <c r="G88" i="15"/>
  <c r="F88" i="15"/>
  <c r="E88" i="15"/>
  <c r="D88" i="15"/>
  <c r="C88" i="15"/>
  <c r="AJ87" i="15"/>
  <c r="AQ87" i="15" s="1"/>
  <c r="AI87" i="15"/>
  <c r="AH87" i="15"/>
  <c r="AG87" i="15"/>
  <c r="AF87" i="15"/>
  <c r="AE87" i="15"/>
  <c r="AD87" i="15"/>
  <c r="AC87" i="15"/>
  <c r="AB87" i="15"/>
  <c r="AA87" i="15"/>
  <c r="Z87" i="15"/>
  <c r="Y87" i="15"/>
  <c r="X87" i="15"/>
  <c r="W87" i="15"/>
  <c r="V87" i="15"/>
  <c r="U87" i="15"/>
  <c r="T87" i="15"/>
  <c r="AM87" i="15" s="1"/>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AM86" i="15" s="1"/>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AM83" i="15" s="1"/>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AM79" i="15" s="1"/>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AM75" i="15" s="1"/>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AM74" i="15" s="1"/>
  <c r="S74" i="15"/>
  <c r="R74" i="15"/>
  <c r="Q74" i="15"/>
  <c r="P74" i="15"/>
  <c r="O74" i="15"/>
  <c r="N74" i="15"/>
  <c r="M74" i="15"/>
  <c r="L74" i="15"/>
  <c r="K74" i="15"/>
  <c r="J74" i="15"/>
  <c r="I74" i="15"/>
  <c r="H74" i="15"/>
  <c r="G74" i="15"/>
  <c r="F74" i="15"/>
  <c r="E74" i="15"/>
  <c r="D74" i="15"/>
  <c r="AJ73" i="15"/>
  <c r="AI73" i="15"/>
  <c r="AH73" i="15"/>
  <c r="AG73" i="15"/>
  <c r="AF73" i="15"/>
  <c r="AE73" i="15"/>
  <c r="AD73" i="15"/>
  <c r="AC73" i="15"/>
  <c r="AL73" i="15" s="1"/>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L72"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O72" i="15" s="1"/>
  <c r="C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R70" i="15"/>
  <c r="AT69" i="15"/>
  <c r="C69" i="15"/>
  <c r="AT68" i="15"/>
  <c r="C68" i="15"/>
  <c r="C198" i="15" s="1"/>
  <c r="AT67" i="15"/>
  <c r="C67" i="15"/>
  <c r="C197" i="15" s="1"/>
  <c r="AT66" i="15"/>
  <c r="C66" i="15"/>
  <c r="C131" i="15" s="1"/>
  <c r="AT65" i="15"/>
  <c r="C65" i="15"/>
  <c r="C195" i="15" s="1"/>
  <c r="AT64" i="15"/>
  <c r="AS64" i="15"/>
  <c r="C64" i="15"/>
  <c r="AT63" i="15"/>
  <c r="C63" i="15"/>
  <c r="C128" i="15" s="1"/>
  <c r="AT62" i="15"/>
  <c r="C62" i="15"/>
  <c r="AT61" i="15"/>
  <c r="AR61" i="15"/>
  <c r="C61" i="15"/>
  <c r="C191" i="15" s="1"/>
  <c r="AT60" i="15"/>
  <c r="C60" i="15"/>
  <c r="C190" i="15" s="1"/>
  <c r="AT59" i="15"/>
  <c r="AS59" i="15"/>
  <c r="C59" i="15"/>
  <c r="C189" i="15" s="1"/>
  <c r="AT58" i="15"/>
  <c r="C58" i="15"/>
  <c r="AT57" i="15"/>
  <c r="C57" i="15"/>
  <c r="AT56" i="15"/>
  <c r="AS56" i="15"/>
  <c r="C56" i="15"/>
  <c r="C186" i="15" s="1"/>
  <c r="AT55" i="15"/>
  <c r="AS55" i="15"/>
  <c r="C55" i="15"/>
  <c r="C120" i="15" s="1"/>
  <c r="AT54" i="15"/>
  <c r="AS54" i="15"/>
  <c r="C54" i="15"/>
  <c r="C119" i="15" s="1"/>
  <c r="AT53" i="15"/>
  <c r="C53" i="15"/>
  <c r="C183" i="15" s="1"/>
  <c r="AT52" i="15"/>
  <c r="C52" i="15"/>
  <c r="AT51" i="15"/>
  <c r="C51" i="15"/>
  <c r="C181" i="15" s="1"/>
  <c r="AT50" i="15"/>
  <c r="C50" i="15"/>
  <c r="AT49" i="15"/>
  <c r="AR49" i="15"/>
  <c r="C49" i="15"/>
  <c r="C179" i="15" s="1"/>
  <c r="AT48" i="15"/>
  <c r="C48" i="15"/>
  <c r="C178" i="15" s="1"/>
  <c r="AT47" i="15"/>
  <c r="C47" i="15"/>
  <c r="C177" i="15" s="1"/>
  <c r="AT46" i="15"/>
  <c r="C46" i="15"/>
  <c r="AT45" i="15"/>
  <c r="C45" i="15"/>
  <c r="AT44" i="15"/>
  <c r="AS44" i="15"/>
  <c r="C44" i="15"/>
  <c r="C174" i="15" s="1"/>
  <c r="AT43" i="15"/>
  <c r="AS43" i="15"/>
  <c r="C43" i="15"/>
  <c r="C173" i="15" s="1"/>
  <c r="AT42" i="15"/>
  <c r="C42" i="15"/>
  <c r="C107" i="15" s="1"/>
  <c r="AT41" i="15"/>
  <c r="C41" i="15"/>
  <c r="C171" i="15" s="1"/>
  <c r="AT40" i="15"/>
  <c r="C40" i="15"/>
  <c r="AT39" i="15"/>
  <c r="C39" i="15"/>
  <c r="C169" i="15" s="1"/>
  <c r="AT38" i="15"/>
  <c r="C38" i="15"/>
  <c r="AT37" i="15"/>
  <c r="C37" i="15"/>
  <c r="C167" i="15" s="1"/>
  <c r="AT36" i="15"/>
  <c r="C36" i="15"/>
  <c r="C166" i="15" s="1"/>
  <c r="AT35" i="15"/>
  <c r="C35" i="15"/>
  <c r="C165" i="15" s="1"/>
  <c r="AT34" i="15"/>
  <c r="C34" i="15"/>
  <c r="AT33" i="15"/>
  <c r="C33" i="15"/>
  <c r="AT32" i="15"/>
  <c r="C32" i="15"/>
  <c r="C162" i="15" s="1"/>
  <c r="AT31" i="15"/>
  <c r="C31" i="15"/>
  <c r="C161" i="15" s="1"/>
  <c r="AT30" i="15"/>
  <c r="C30" i="15"/>
  <c r="C95" i="15" s="1"/>
  <c r="AT29" i="15"/>
  <c r="C29" i="15"/>
  <c r="C159" i="15" s="1"/>
  <c r="AT28" i="15"/>
  <c r="AS28" i="15"/>
  <c r="C28" i="15"/>
  <c r="AT27" i="15"/>
  <c r="C27" i="15"/>
  <c r="AT26" i="15"/>
  <c r="C26" i="15"/>
  <c r="AT25" i="15"/>
  <c r="AR25" i="15"/>
  <c r="C25" i="15"/>
  <c r="C155" i="15" s="1"/>
  <c r="AT24" i="15"/>
  <c r="C24" i="15"/>
  <c r="C154" i="15" s="1"/>
  <c r="AT23" i="15"/>
  <c r="AS23" i="15"/>
  <c r="C23" i="15"/>
  <c r="C153" i="15" s="1"/>
  <c r="AT22" i="15"/>
  <c r="C22" i="15"/>
  <c r="C21" i="15"/>
  <c r="AT20" i="15"/>
  <c r="C20" i="15"/>
  <c r="C150" i="15" s="1"/>
  <c r="C19" i="15"/>
  <c r="C84" i="15" s="1"/>
  <c r="AT18" i="15"/>
  <c r="C18" i="15"/>
  <c r="C83" i="15" s="1"/>
  <c r="AT17" i="15"/>
  <c r="C17" i="15"/>
  <c r="C147" i="15" s="1"/>
  <c r="C16" i="15"/>
  <c r="C146" i="15" s="1"/>
  <c r="C15" i="15"/>
  <c r="C80" i="15" s="1"/>
  <c r="AT14" i="15"/>
  <c r="C14" i="15"/>
  <c r="AW13" i="15"/>
  <c r="C13" i="15"/>
  <c r="C12" i="15"/>
  <c r="C142" i="15" s="1"/>
  <c r="C11" i="15"/>
  <c r="C76" i="15" s="1"/>
  <c r="C10" i="15"/>
  <c r="C75" i="15" s="1"/>
  <c r="C9" i="15"/>
  <c r="C8" i="15"/>
  <c r="C138" i="15" s="1"/>
  <c r="AW7" i="15"/>
  <c r="C7" i="15"/>
  <c r="C137" i="15" s="1"/>
  <c r="AW6" i="15"/>
  <c r="B6" i="15" s="1"/>
  <c r="AL6" i="15"/>
  <c r="C6" i="15"/>
  <c r="AR51" i="15" l="1"/>
  <c r="AS30" i="15"/>
  <c r="AS34" i="15"/>
  <c r="AS35" i="15"/>
  <c r="AS38" i="15"/>
  <c r="AR37" i="16"/>
  <c r="AS46" i="15"/>
  <c r="AS47" i="15"/>
  <c r="AS50" i="15"/>
  <c r="AR16" i="16"/>
  <c r="AR17" i="16"/>
  <c r="AR31" i="15"/>
  <c r="AR63" i="15"/>
  <c r="AR64" i="15"/>
  <c r="AN72" i="15"/>
  <c r="AN117" i="15"/>
  <c r="AM117" i="15"/>
  <c r="AO133" i="15"/>
  <c r="AL146" i="15"/>
  <c r="AN151" i="15"/>
  <c r="AN171" i="15"/>
  <c r="AO178" i="15"/>
  <c r="AO183" i="15"/>
  <c r="AN193" i="15"/>
  <c r="AL84" i="16"/>
  <c r="AL101" i="16"/>
  <c r="AN110" i="16"/>
  <c r="AO111" i="16"/>
  <c r="AL111" i="16"/>
  <c r="AL116" i="16"/>
  <c r="AO92" i="15"/>
  <c r="AM94" i="15"/>
  <c r="AM97" i="15"/>
  <c r="AO99" i="15"/>
  <c r="AL99" i="15"/>
  <c r="AR39" i="15"/>
  <c r="AM127" i="15"/>
  <c r="AN142" i="15"/>
  <c r="AN177" i="15"/>
  <c r="AN187" i="15"/>
  <c r="AM193" i="15"/>
  <c r="C169" i="16"/>
  <c r="C104" i="16"/>
  <c r="C115" i="16"/>
  <c r="C180" i="16"/>
  <c r="AO77" i="16"/>
  <c r="AM84" i="16"/>
  <c r="AO73" i="15"/>
  <c r="AN76" i="15"/>
  <c r="AO77" i="15"/>
  <c r="AN80" i="15"/>
  <c r="AO81" i="15"/>
  <c r="AN84" i="15"/>
  <c r="AO85" i="15"/>
  <c r="AO91" i="15"/>
  <c r="AL91" i="15"/>
  <c r="AN95" i="15"/>
  <c r="C104" i="15"/>
  <c r="AM109" i="15"/>
  <c r="AR44" i="15"/>
  <c r="C124" i="15"/>
  <c r="AN124" i="15"/>
  <c r="AO125" i="15"/>
  <c r="AM136" i="15"/>
  <c r="AN146" i="15"/>
  <c r="AN155" i="15"/>
  <c r="AN156" i="15"/>
  <c r="AO157" i="15"/>
  <c r="AL157" i="15"/>
  <c r="AN161" i="15"/>
  <c r="AM161" i="15"/>
  <c r="AM163" i="15"/>
  <c r="AL163" i="15"/>
  <c r="AM164" i="15"/>
  <c r="AL170" i="15"/>
  <c r="AM174" i="15"/>
  <c r="AM180" i="15"/>
  <c r="AL186" i="15"/>
  <c r="AO188" i="15"/>
  <c r="AL188" i="15"/>
  <c r="C193" i="15"/>
  <c r="C131" i="16"/>
  <c r="C196" i="16"/>
  <c r="AO71" i="16"/>
  <c r="C76" i="16"/>
  <c r="AL77" i="16"/>
  <c r="AO87" i="16"/>
  <c r="AR25" i="16"/>
  <c r="AO96" i="16"/>
  <c r="AN99" i="16"/>
  <c r="AN109" i="16"/>
  <c r="AR44" i="16"/>
  <c r="AL121" i="16"/>
  <c r="AM127" i="16"/>
  <c r="AN133" i="16"/>
  <c r="AN134" i="16"/>
  <c r="AM134" i="16"/>
  <c r="AO136" i="16"/>
  <c r="C140" i="16"/>
  <c r="AN152" i="16"/>
  <c r="AN156" i="16"/>
  <c r="AO188" i="16"/>
  <c r="AN123" i="15"/>
  <c r="AL154" i="15"/>
  <c r="AM89" i="15"/>
  <c r="AM140" i="15"/>
  <c r="AN165" i="15"/>
  <c r="AM165" i="15"/>
  <c r="AL167" i="15"/>
  <c r="AM168" i="15"/>
  <c r="AN175" i="15"/>
  <c r="AL190" i="15"/>
  <c r="AL72" i="16"/>
  <c r="AN90" i="16"/>
  <c r="AM90" i="16"/>
  <c r="AL100" i="16"/>
  <c r="C144" i="16"/>
  <c r="AN144" i="16"/>
  <c r="AM177" i="16"/>
  <c r="AR38" i="15"/>
  <c r="AS31" i="15"/>
  <c r="AO76" i="15"/>
  <c r="AO80" i="15"/>
  <c r="AO84" i="15"/>
  <c r="AO117" i="15"/>
  <c r="AM132" i="15"/>
  <c r="AM139" i="15"/>
  <c r="AL139" i="15"/>
  <c r="AN141" i="15"/>
  <c r="AM144" i="15"/>
  <c r="AN159" i="15"/>
  <c r="AN160" i="15"/>
  <c r="AS39" i="15"/>
  <c r="AL174" i="15"/>
  <c r="AM178" i="15"/>
  <c r="AN181" i="15"/>
  <c r="AM181" i="15"/>
  <c r="AM183" i="15"/>
  <c r="AL183" i="15"/>
  <c r="AM184" i="15"/>
  <c r="AN190" i="15"/>
  <c r="AS60" i="15"/>
  <c r="AO197" i="15"/>
  <c r="AL197" i="15"/>
  <c r="AS14" i="16"/>
  <c r="C149" i="16"/>
  <c r="C84" i="16"/>
  <c r="C161" i="16"/>
  <c r="C96" i="16"/>
  <c r="C127" i="16"/>
  <c r="C192" i="16"/>
  <c r="AM77" i="16"/>
  <c r="AR19" i="16"/>
  <c r="AM92" i="16"/>
  <c r="AR48" i="16"/>
  <c r="AM121" i="16"/>
  <c r="AO165" i="16"/>
  <c r="AL165" i="16"/>
  <c r="AN168" i="16"/>
  <c r="AS41" i="15"/>
  <c r="AS57" i="15"/>
  <c r="C83" i="16"/>
  <c r="C148" i="16"/>
  <c r="AM106" i="15"/>
  <c r="AR50" i="15"/>
  <c r="AN116" i="15"/>
  <c r="AM129" i="15"/>
  <c r="AO137" i="15"/>
  <c r="AQ137" i="15" s="1"/>
  <c r="AS7" i="15" s="1"/>
  <c r="AM148" i="15"/>
  <c r="AL158" i="15"/>
  <c r="AO165" i="15"/>
  <c r="AL165" i="15"/>
  <c r="AN174" i="15"/>
  <c r="AS45" i="15"/>
  <c r="AM198" i="15"/>
  <c r="AM94" i="16"/>
  <c r="AO99" i="16"/>
  <c r="AL99" i="16"/>
  <c r="C160" i="16"/>
  <c r="AO182" i="16"/>
  <c r="AS52" i="15"/>
  <c r="AR58" i="15"/>
  <c r="AR24" i="15"/>
  <c r="AM101" i="15"/>
  <c r="AM143" i="15"/>
  <c r="AN145" i="15"/>
  <c r="AN74" i="15"/>
  <c r="AN78" i="15"/>
  <c r="AN82" i="15"/>
  <c r="AN86" i="15"/>
  <c r="AM93" i="15"/>
  <c r="AR28" i="15"/>
  <c r="AO102" i="15"/>
  <c r="AL102" i="15"/>
  <c r="AO104" i="15"/>
  <c r="AM104" i="15"/>
  <c r="AN107" i="15"/>
  <c r="AN108" i="15"/>
  <c r="AL109" i="15"/>
  <c r="AO116" i="15"/>
  <c r="AL116" i="15"/>
  <c r="AM121" i="15"/>
  <c r="AM131" i="15"/>
  <c r="AN134" i="15"/>
  <c r="AO141" i="15"/>
  <c r="AM147" i="15"/>
  <c r="AN149" i="15"/>
  <c r="AM152" i="15"/>
  <c r="AN158" i="15"/>
  <c r="AS29" i="15"/>
  <c r="AN163" i="15"/>
  <c r="AN164" i="15"/>
  <c r="AN169" i="15"/>
  <c r="AO175" i="15"/>
  <c r="AN179" i="15"/>
  <c r="AO181" i="15"/>
  <c r="AL181" i="15"/>
  <c r="AO186" i="15"/>
  <c r="AL194" i="15"/>
  <c r="C91" i="16"/>
  <c r="C156" i="16"/>
  <c r="AR23" i="16"/>
  <c r="AM91" i="16"/>
  <c r="AN93" i="16"/>
  <c r="AM98" i="16"/>
  <c r="AN112" i="16"/>
  <c r="AR53" i="16"/>
  <c r="AO128" i="16"/>
  <c r="AL128" i="16"/>
  <c r="AO143" i="16"/>
  <c r="AO173" i="16"/>
  <c r="AL173" i="16"/>
  <c r="AO199" i="16"/>
  <c r="AL199" i="16"/>
  <c r="AS26" i="15"/>
  <c r="AN137" i="15"/>
  <c r="AO71" i="15"/>
  <c r="AM103" i="15"/>
  <c r="AL115" i="15"/>
  <c r="AR55" i="15"/>
  <c r="AM123" i="15"/>
  <c r="AR62" i="15"/>
  <c r="AO129" i="15"/>
  <c r="AO136" i="15"/>
  <c r="AO145" i="15"/>
  <c r="AO154" i="15"/>
  <c r="AL162" i="15"/>
  <c r="AO164" i="15"/>
  <c r="AL164" i="15"/>
  <c r="AM172" i="15"/>
  <c r="AL178" i="15"/>
  <c r="AN185" i="15"/>
  <c r="AM185" i="15"/>
  <c r="AM187" i="15"/>
  <c r="AL187" i="15"/>
  <c r="AM188" i="15"/>
  <c r="AN194" i="15"/>
  <c r="AS65" i="15"/>
  <c r="AN195" i="15"/>
  <c r="AO79" i="16"/>
  <c r="AL79" i="16"/>
  <c r="AO94" i="16"/>
  <c r="AL94" i="16"/>
  <c r="AN97" i="16"/>
  <c r="AN101" i="16"/>
  <c r="AM102" i="16"/>
  <c r="C132" i="16"/>
  <c r="AO138" i="16"/>
  <c r="AL138" i="16"/>
  <c r="C168" i="16"/>
  <c r="AM77" i="15"/>
  <c r="AM96" i="15"/>
  <c r="AO108" i="15"/>
  <c r="AM110" i="15"/>
  <c r="AM113" i="15"/>
  <c r="AO115" i="15"/>
  <c r="AM76" i="15"/>
  <c r="AM80" i="15"/>
  <c r="AM84" i="15"/>
  <c r="AM95" i="15"/>
  <c r="AN111" i="15"/>
  <c r="AR48" i="15"/>
  <c r="AO121" i="15"/>
  <c r="AN126" i="15"/>
  <c r="AN133" i="15"/>
  <c r="AM133" i="15"/>
  <c r="AR68" i="15"/>
  <c r="AO149" i="15"/>
  <c r="AL149" i="15"/>
  <c r="AN153" i="15"/>
  <c r="AM153" i="15"/>
  <c r="AM156" i="15"/>
  <c r="AN162" i="15"/>
  <c r="AS33" i="15"/>
  <c r="AN167" i="15"/>
  <c r="AO169" i="15"/>
  <c r="AL169" i="15"/>
  <c r="AN178" i="15"/>
  <c r="C185" i="15"/>
  <c r="AM197" i="15"/>
  <c r="AL198" i="15"/>
  <c r="C173" i="16"/>
  <c r="C108" i="16"/>
  <c r="AO84" i="16"/>
  <c r="AR27" i="16"/>
  <c r="AM95" i="16"/>
  <c r="AO98" i="16"/>
  <c r="AL98" i="16"/>
  <c r="AL107" i="16"/>
  <c r="AL132" i="16"/>
  <c r="AO159" i="16"/>
  <c r="AL159" i="16"/>
  <c r="C172" i="16"/>
  <c r="AN184" i="16"/>
  <c r="AN193" i="16"/>
  <c r="AM193" i="16"/>
  <c r="AS63" i="16"/>
  <c r="AL88" i="16"/>
  <c r="AM72" i="15"/>
  <c r="AM81" i="15"/>
  <c r="AM85" i="15"/>
  <c r="AM71" i="15"/>
  <c r="AO75" i="15"/>
  <c r="AO79" i="15"/>
  <c r="AO83" i="15"/>
  <c r="AM90" i="15"/>
  <c r="AR27" i="15"/>
  <c r="AO101" i="15"/>
  <c r="AO107" i="15"/>
  <c r="AL107" i="15"/>
  <c r="C112" i="15"/>
  <c r="AN120" i="15"/>
  <c r="AN139" i="15"/>
  <c r="AL166" i="15"/>
  <c r="AN173" i="15"/>
  <c r="AO179" i="15"/>
  <c r="AN183" i="15"/>
  <c r="AO185" i="15"/>
  <c r="AL185" i="15"/>
  <c r="AN189" i="15"/>
  <c r="AM189" i="15"/>
  <c r="AM192" i="15"/>
  <c r="AN198" i="15"/>
  <c r="AS69" i="15"/>
  <c r="AN199" i="15"/>
  <c r="AL73" i="16"/>
  <c r="AN87" i="16"/>
  <c r="AN92" i="16"/>
  <c r="AR31" i="16"/>
  <c r="AO102" i="16"/>
  <c r="AL102" i="16"/>
  <c r="AN105" i="16"/>
  <c r="AN106" i="16"/>
  <c r="AM106" i="16"/>
  <c r="AO112" i="16"/>
  <c r="AM119" i="16"/>
  <c r="AR56" i="16"/>
  <c r="AM124" i="16"/>
  <c r="AM191" i="16"/>
  <c r="AO198" i="16"/>
  <c r="AR67" i="15"/>
  <c r="AM134" i="15"/>
  <c r="AR57" i="15"/>
  <c r="AM73" i="15"/>
  <c r="AO74" i="15"/>
  <c r="AO78" i="15"/>
  <c r="AL80" i="15"/>
  <c r="AO82" i="15"/>
  <c r="AO86" i="15"/>
  <c r="AL86" i="15"/>
  <c r="AO88" i="15"/>
  <c r="AM88" i="15"/>
  <c r="AN91" i="15"/>
  <c r="C100" i="15"/>
  <c r="AN100" i="15"/>
  <c r="AL101" i="15"/>
  <c r="AN110" i="15"/>
  <c r="AR46" i="15"/>
  <c r="AN118" i="15"/>
  <c r="AR53" i="15"/>
  <c r="AO120" i="15"/>
  <c r="AL120" i="15"/>
  <c r="AM130" i="15"/>
  <c r="AN143" i="15"/>
  <c r="AO144" i="15"/>
  <c r="AO153" i="15"/>
  <c r="AL153" i="15"/>
  <c r="AO158" i="15"/>
  <c r="AN166" i="15"/>
  <c r="AM176" i="15"/>
  <c r="AL182" i="15"/>
  <c r="AO184" i="15"/>
  <c r="AL184" i="15"/>
  <c r="AS58" i="15"/>
  <c r="AS63" i="15"/>
  <c r="C185" i="16"/>
  <c r="C120" i="16"/>
  <c r="AN91" i="16"/>
  <c r="AN96" i="16"/>
  <c r="AR41" i="16"/>
  <c r="AM108" i="16"/>
  <c r="AO131" i="16"/>
  <c r="AL131" i="16"/>
  <c r="AN140" i="16"/>
  <c r="AN149" i="16"/>
  <c r="AO185" i="16"/>
  <c r="AL185" i="16"/>
  <c r="AO109" i="16"/>
  <c r="AM111" i="16"/>
  <c r="AN113" i="16"/>
  <c r="AN114" i="16"/>
  <c r="AM114" i="16"/>
  <c r="AO115" i="16"/>
  <c r="AL115" i="16"/>
  <c r="AN119" i="16"/>
  <c r="AM131" i="16"/>
  <c r="AN132" i="16"/>
  <c r="AL136" i="16"/>
  <c r="AO140" i="16"/>
  <c r="AO160" i="16"/>
  <c r="AM162" i="16"/>
  <c r="AN164" i="16"/>
  <c r="AM171" i="16"/>
  <c r="AO184" i="16"/>
  <c r="AL190" i="16"/>
  <c r="AO194" i="16"/>
  <c r="AL91" i="16"/>
  <c r="AN100" i="16"/>
  <c r="AM103" i="16"/>
  <c r="AO108" i="16"/>
  <c r="AL109" i="16"/>
  <c r="AO121" i="16"/>
  <c r="AM123" i="16"/>
  <c r="AN125" i="16"/>
  <c r="AN126" i="16"/>
  <c r="AM126" i="16"/>
  <c r="AO127" i="16"/>
  <c r="AL127" i="16"/>
  <c r="AN138" i="16"/>
  <c r="AL140" i="16"/>
  <c r="AO145" i="16"/>
  <c r="AL145" i="16"/>
  <c r="AM151" i="16"/>
  <c r="AN153" i="16"/>
  <c r="AM153" i="16"/>
  <c r="AS23" i="16"/>
  <c r="AM156" i="16"/>
  <c r="AN158" i="16"/>
  <c r="AN159" i="16"/>
  <c r="AL160" i="16"/>
  <c r="AO164" i="16"/>
  <c r="AM166" i="16"/>
  <c r="AN173" i="16"/>
  <c r="AM173" i="16"/>
  <c r="AN182" i="16"/>
  <c r="AL184" i="16"/>
  <c r="AM186" i="16"/>
  <c r="AO189" i="16"/>
  <c r="AL189" i="16"/>
  <c r="AM195" i="16"/>
  <c r="AN197" i="16"/>
  <c r="AM197" i="16"/>
  <c r="AN124" i="16"/>
  <c r="AO132" i="16"/>
  <c r="AO144" i="16"/>
  <c r="AO149" i="16"/>
  <c r="AL149" i="16"/>
  <c r="AM155" i="16"/>
  <c r="AN162" i="16"/>
  <c r="AO168" i="16"/>
  <c r="AM175" i="16"/>
  <c r="AL188" i="16"/>
  <c r="AO193" i="16"/>
  <c r="AL193" i="16"/>
  <c r="AM199" i="16"/>
  <c r="AO194" i="15"/>
  <c r="AO199" i="15"/>
  <c r="AL199" i="15"/>
  <c r="AN84" i="16"/>
  <c r="AO90" i="16"/>
  <c r="AL90" i="16"/>
  <c r="AO95" i="16"/>
  <c r="AL95" i="16"/>
  <c r="AO100" i="16"/>
  <c r="AN104" i="16"/>
  <c r="AO106" i="16"/>
  <c r="AL106" i="16"/>
  <c r="AM109" i="16"/>
  <c r="AM115" i="16"/>
  <c r="AN117" i="16"/>
  <c r="AM118" i="16"/>
  <c r="AO119" i="16"/>
  <c r="AL119" i="16"/>
  <c r="AN137" i="16"/>
  <c r="AM137" i="16"/>
  <c r="AL139" i="16"/>
  <c r="AM140" i="16"/>
  <c r="AN142" i="16"/>
  <c r="AS12" i="16"/>
  <c r="AL144" i="16"/>
  <c r="AN147" i="16"/>
  <c r="AN148" i="16"/>
  <c r="AM150" i="16"/>
  <c r="AN157" i="16"/>
  <c r="AM157" i="16"/>
  <c r="AS27" i="16"/>
  <c r="AN166" i="16"/>
  <c r="AL168" i="16"/>
  <c r="AM170" i="16"/>
  <c r="AM179" i="16"/>
  <c r="AN181" i="16"/>
  <c r="AM181" i="16"/>
  <c r="AS51" i="16"/>
  <c r="AM184" i="16"/>
  <c r="AN186" i="16"/>
  <c r="AN187" i="16"/>
  <c r="AN192" i="16"/>
  <c r="AM194" i="16"/>
  <c r="AN72" i="16"/>
  <c r="AN77" i="16"/>
  <c r="AN78" i="16"/>
  <c r="AM78" i="16"/>
  <c r="AN88" i="16"/>
  <c r="AM96" i="16"/>
  <c r="AR33" i="16"/>
  <c r="AM101" i="16"/>
  <c r="AM107" i="16"/>
  <c r="AN116" i="16"/>
  <c r="AO118" i="16"/>
  <c r="AL118" i="16"/>
  <c r="AO124" i="16"/>
  <c r="AL125" i="16"/>
  <c r="AM133" i="16"/>
  <c r="AM139" i="16"/>
  <c r="AN146" i="16"/>
  <c r="AL148" i="16"/>
  <c r="AO152" i="16"/>
  <c r="AM154" i="16"/>
  <c r="AM159" i="16"/>
  <c r="AN161" i="16"/>
  <c r="AM161" i="16"/>
  <c r="AO172" i="16"/>
  <c r="AO177" i="16"/>
  <c r="AL177" i="16"/>
  <c r="AM183" i="16"/>
  <c r="AM188" i="16"/>
  <c r="AN190" i="16"/>
  <c r="AS60" i="16"/>
  <c r="AN191" i="16"/>
  <c r="AL192" i="16"/>
  <c r="AN196" i="16"/>
  <c r="AM198" i="16"/>
  <c r="AO104" i="16"/>
  <c r="AN128" i="16"/>
  <c r="AO130" i="16"/>
  <c r="AL130" i="16"/>
  <c r="AM132" i="16"/>
  <c r="AN141" i="16"/>
  <c r="AM141" i="16"/>
  <c r="AS11" i="16"/>
  <c r="AL143" i="16"/>
  <c r="AM144" i="16"/>
  <c r="AL152" i="16"/>
  <c r="AN165" i="16"/>
  <c r="AM165" i="16"/>
  <c r="AS35" i="16"/>
  <c r="AM168" i="16"/>
  <c r="AN170" i="16"/>
  <c r="AS40" i="16"/>
  <c r="AN171" i="16"/>
  <c r="AL172" i="16"/>
  <c r="AM174" i="16"/>
  <c r="AN176" i="16"/>
  <c r="AL182" i="16"/>
  <c r="AN185" i="16"/>
  <c r="AM185" i="16"/>
  <c r="AO191" i="16"/>
  <c r="AL191" i="16"/>
  <c r="AO196" i="16"/>
  <c r="AO137" i="16"/>
  <c r="AL137" i="16"/>
  <c r="AN150" i="16"/>
  <c r="AO157" i="16"/>
  <c r="AL157" i="16"/>
  <c r="AM163" i="16"/>
  <c r="AO166" i="16"/>
  <c r="AO176" i="16"/>
  <c r="AO181" i="16"/>
  <c r="AL181" i="16"/>
  <c r="AO186" i="16"/>
  <c r="AN194" i="16"/>
  <c r="AS64" i="16"/>
  <c r="AN195" i="16"/>
  <c r="AL196" i="16"/>
  <c r="AO103" i="16"/>
  <c r="AL103" i="16"/>
  <c r="AM112" i="16"/>
  <c r="AO116" i="16"/>
  <c r="AL117" i="16"/>
  <c r="AN121" i="16"/>
  <c r="AN122" i="16"/>
  <c r="AM122" i="16"/>
  <c r="AO123" i="16"/>
  <c r="AL123" i="16"/>
  <c r="AM125" i="16"/>
  <c r="AM138" i="16"/>
  <c r="AM143" i="16"/>
  <c r="AN145" i="16"/>
  <c r="AM145" i="16"/>
  <c r="AL147" i="16"/>
  <c r="AO156" i="16"/>
  <c r="AL162" i="16"/>
  <c r="AM167" i="16"/>
  <c r="AL176" i="16"/>
  <c r="AN180" i="16"/>
  <c r="AM182" i="16"/>
  <c r="AM187" i="16"/>
  <c r="AN189" i="16"/>
  <c r="AM189" i="16"/>
  <c r="AS59" i="16"/>
  <c r="AM192" i="16"/>
  <c r="AO195" i="16"/>
  <c r="AL195" i="16"/>
  <c r="AM152" i="16"/>
  <c r="AN154" i="16"/>
  <c r="AN155" i="16"/>
  <c r="AL156" i="16"/>
  <c r="AO161" i="16"/>
  <c r="AL161" i="16"/>
  <c r="AL166" i="16"/>
  <c r="AN169" i="16"/>
  <c r="AM169" i="16"/>
  <c r="AS39" i="16"/>
  <c r="AM172" i="16"/>
  <c r="AN174" i="16"/>
  <c r="AN175" i="16"/>
  <c r="AO180" i="16"/>
  <c r="AN198" i="16"/>
  <c r="AN199" i="16"/>
  <c r="AL83" i="16"/>
  <c r="AN127" i="16"/>
  <c r="AR63" i="16"/>
  <c r="AR62" i="16"/>
  <c r="C165" i="16"/>
  <c r="C100" i="16"/>
  <c r="AO89" i="16"/>
  <c r="AR55" i="16"/>
  <c r="AR54" i="16"/>
  <c r="AO122" i="16"/>
  <c r="AL122" i="16"/>
  <c r="AS16" i="16"/>
  <c r="AS22" i="16"/>
  <c r="AS21" i="16"/>
  <c r="AL154" i="16"/>
  <c r="AM160" i="16"/>
  <c r="AN163" i="16"/>
  <c r="AS38" i="16"/>
  <c r="AS37" i="16"/>
  <c r="AL170" i="16"/>
  <c r="AM176" i="16"/>
  <c r="AS48" i="16"/>
  <c r="AN179" i="16"/>
  <c r="AS53" i="16"/>
  <c r="AS54" i="16"/>
  <c r="AL186" i="16"/>
  <c r="C164" i="16"/>
  <c r="AS70" i="16"/>
  <c r="AS69" i="16"/>
  <c r="AS20" i="16"/>
  <c r="C189" i="16"/>
  <c r="C124" i="16"/>
  <c r="AM85" i="16"/>
  <c r="AR22" i="16"/>
  <c r="AM97" i="16"/>
  <c r="AM117" i="16"/>
  <c r="AO129" i="16"/>
  <c r="AM71" i="16"/>
  <c r="AN73" i="16"/>
  <c r="AN74" i="16"/>
  <c r="AL75" i="16"/>
  <c r="AR15" i="16"/>
  <c r="AO82" i="16"/>
  <c r="AL82" i="16"/>
  <c r="AL89" i="16"/>
  <c r="AR28" i="16"/>
  <c r="AO114" i="16"/>
  <c r="AL114" i="16"/>
  <c r="AM116" i="16"/>
  <c r="AL129" i="16"/>
  <c r="AO142" i="16"/>
  <c r="AL142" i="16"/>
  <c r="AO147" i="16"/>
  <c r="C152" i="16"/>
  <c r="AO158" i="16"/>
  <c r="AO163" i="16"/>
  <c r="AL163" i="16"/>
  <c r="AO174" i="16"/>
  <c r="AO179" i="16"/>
  <c r="AL179" i="16"/>
  <c r="AO190" i="16"/>
  <c r="C139" i="16"/>
  <c r="C74" i="16"/>
  <c r="AN79" i="16"/>
  <c r="AO88" i="16"/>
  <c r="AN103" i="16"/>
  <c r="AR39" i="16"/>
  <c r="AR38" i="16"/>
  <c r="AN111" i="16"/>
  <c r="AR46" i="16"/>
  <c r="AR47" i="16"/>
  <c r="AO74" i="16"/>
  <c r="AO81" i="16"/>
  <c r="AM83" i="16"/>
  <c r="AR26" i="16"/>
  <c r="AO113" i="16"/>
  <c r="AM148" i="16"/>
  <c r="AN151" i="16"/>
  <c r="AS26" i="16"/>
  <c r="AS25" i="16"/>
  <c r="AL158" i="16"/>
  <c r="AM164" i="16"/>
  <c r="AS36" i="16"/>
  <c r="AN167" i="16"/>
  <c r="AS41" i="16"/>
  <c r="AS42" i="16"/>
  <c r="AL174" i="16"/>
  <c r="AM180" i="16"/>
  <c r="AS52" i="16"/>
  <c r="AN183" i="16"/>
  <c r="AS58" i="16"/>
  <c r="AS57" i="16"/>
  <c r="AL74" i="16"/>
  <c r="AN71" i="16"/>
  <c r="AM76" i="16"/>
  <c r="AR13" i="16"/>
  <c r="AL81" i="16"/>
  <c r="AN85" i="16"/>
  <c r="AN86" i="16"/>
  <c r="AL87" i="16"/>
  <c r="AM89" i="16"/>
  <c r="AO93" i="16"/>
  <c r="AO105" i="16"/>
  <c r="AL113" i="16"/>
  <c r="AN118" i="16"/>
  <c r="AM129" i="16"/>
  <c r="AN131" i="16"/>
  <c r="AR67" i="16"/>
  <c r="AR66" i="16"/>
  <c r="AO134" i="16"/>
  <c r="AL134" i="16"/>
  <c r="AN139" i="16"/>
  <c r="AO146" i="16"/>
  <c r="AL146" i="16"/>
  <c r="AO151" i="16"/>
  <c r="AL151" i="16"/>
  <c r="AO162" i="16"/>
  <c r="AO167" i="16"/>
  <c r="AL167" i="16"/>
  <c r="AO178" i="16"/>
  <c r="AO183" i="16"/>
  <c r="AL183" i="16"/>
  <c r="C188" i="16"/>
  <c r="AT9" i="16"/>
  <c r="AN98" i="16"/>
  <c r="AO73" i="16"/>
  <c r="AM75" i="16"/>
  <c r="AO80" i="16"/>
  <c r="AR20" i="16"/>
  <c r="AL93" i="16"/>
  <c r="AR32" i="16"/>
  <c r="AM100" i="16"/>
  <c r="AL105" i="16"/>
  <c r="AO126" i="16"/>
  <c r="AL126" i="16"/>
  <c r="AM128" i="16"/>
  <c r="AM142" i="16"/>
  <c r="AM158" i="16"/>
  <c r="AS46" i="16"/>
  <c r="AS45" i="16"/>
  <c r="AS62" i="16"/>
  <c r="AS61" i="16"/>
  <c r="C177" i="16"/>
  <c r="C112" i="16"/>
  <c r="AN123" i="16"/>
  <c r="AQ138" i="16"/>
  <c r="AS8" i="16" s="1"/>
  <c r="AS29" i="16"/>
  <c r="AS30" i="16"/>
  <c r="AO72" i="16"/>
  <c r="AQ72" i="16" s="1"/>
  <c r="AR7" i="16" s="1"/>
  <c r="AR12" i="16"/>
  <c r="AM81" i="16"/>
  <c r="AN83" i="16"/>
  <c r="AR18" i="16"/>
  <c r="AN95" i="16"/>
  <c r="AR30" i="16"/>
  <c r="AM99" i="16"/>
  <c r="AN102" i="16"/>
  <c r="AM113" i="16"/>
  <c r="AN115" i="16"/>
  <c r="AR51" i="16"/>
  <c r="AR50" i="16"/>
  <c r="AM120" i="16"/>
  <c r="AL133" i="16"/>
  <c r="AM136" i="16"/>
  <c r="AQ136" i="16" s="1"/>
  <c r="AS6" i="16" s="1"/>
  <c r="AO139" i="16"/>
  <c r="AQ139" i="16" s="1"/>
  <c r="AN143" i="16"/>
  <c r="AO150" i="16"/>
  <c r="AO155" i="16"/>
  <c r="AL155" i="16"/>
  <c r="AO171" i="16"/>
  <c r="AL171" i="16"/>
  <c r="C176" i="16"/>
  <c r="AO187" i="16"/>
  <c r="AL187" i="16"/>
  <c r="AR58" i="16"/>
  <c r="AR59" i="16"/>
  <c r="AL71" i="16"/>
  <c r="AR11" i="16"/>
  <c r="AO78" i="16"/>
  <c r="AL78" i="16"/>
  <c r="AO85" i="16"/>
  <c r="AM87" i="16"/>
  <c r="AM93" i="16"/>
  <c r="AO97" i="16"/>
  <c r="AM105" i="16"/>
  <c r="AN107" i="16"/>
  <c r="AR43" i="16"/>
  <c r="AR42" i="16"/>
  <c r="AO110" i="16"/>
  <c r="AL110" i="16"/>
  <c r="AO117" i="16"/>
  <c r="AM146" i="16"/>
  <c r="AL150" i="16"/>
  <c r="AM178" i="16"/>
  <c r="AS65" i="16"/>
  <c r="AS66" i="16"/>
  <c r="AL198" i="16"/>
  <c r="C153" i="16"/>
  <c r="C88" i="16"/>
  <c r="AR24" i="16"/>
  <c r="AM73" i="16"/>
  <c r="AM80" i="16"/>
  <c r="AL85" i="16"/>
  <c r="AL97" i="16"/>
  <c r="AR35" i="16"/>
  <c r="AM104" i="16"/>
  <c r="AQ137" i="16"/>
  <c r="AS7" i="16" s="1"/>
  <c r="AS17" i="16"/>
  <c r="AS18" i="16"/>
  <c r="AS34" i="16"/>
  <c r="AS33" i="16"/>
  <c r="AS50" i="16"/>
  <c r="AS49" i="16"/>
  <c r="C116" i="16"/>
  <c r="C128" i="16"/>
  <c r="B6" i="16"/>
  <c r="AR40" i="16"/>
  <c r="AR52" i="16"/>
  <c r="AR45" i="16"/>
  <c r="AR57" i="16"/>
  <c r="AR69" i="16"/>
  <c r="C73" i="16"/>
  <c r="C77" i="16"/>
  <c r="C81" i="16"/>
  <c r="C85" i="16"/>
  <c r="C89" i="16"/>
  <c r="C93" i="16"/>
  <c r="C97" i="16"/>
  <c r="C101" i="16"/>
  <c r="C105" i="16"/>
  <c r="C109" i="16"/>
  <c r="C113" i="16"/>
  <c r="C117" i="16"/>
  <c r="C121" i="16"/>
  <c r="C125" i="16"/>
  <c r="C129" i="16"/>
  <c r="C133" i="16"/>
  <c r="C78" i="16"/>
  <c r="C82" i="16"/>
  <c r="C86" i="16"/>
  <c r="C90" i="16"/>
  <c r="C94" i="16"/>
  <c r="C98" i="16"/>
  <c r="C102" i="16"/>
  <c r="C106" i="16"/>
  <c r="C110" i="16"/>
  <c r="C114" i="16"/>
  <c r="C118" i="16"/>
  <c r="C122" i="16"/>
  <c r="C126" i="16"/>
  <c r="C130" i="16"/>
  <c r="C134" i="16"/>
  <c r="AL142" i="15"/>
  <c r="AL77" i="15"/>
  <c r="AL81" i="15"/>
  <c r="AL147" i="15"/>
  <c r="AL76" i="15"/>
  <c r="AQ76" i="15" s="1"/>
  <c r="AL84" i="15"/>
  <c r="AL82" i="15"/>
  <c r="AL138" i="15"/>
  <c r="AL144" i="15"/>
  <c r="AL150" i="15"/>
  <c r="AL85" i="15"/>
  <c r="AL137" i="15"/>
  <c r="AL143" i="15"/>
  <c r="AL141" i="15"/>
  <c r="AL74" i="15"/>
  <c r="AL136" i="15"/>
  <c r="AL145" i="15"/>
  <c r="AQ145" i="15" s="1"/>
  <c r="AL78" i="15"/>
  <c r="AQ78" i="15" s="1"/>
  <c r="AQ80" i="15"/>
  <c r="AQ72" i="15"/>
  <c r="AR7" i="15" s="1"/>
  <c r="AQ84" i="15"/>
  <c r="AR36" i="15"/>
  <c r="AR37" i="15"/>
  <c r="C87" i="15"/>
  <c r="C152" i="15"/>
  <c r="C111" i="15"/>
  <c r="C176" i="15"/>
  <c r="AN71" i="15"/>
  <c r="AN75" i="15"/>
  <c r="AN77" i="15"/>
  <c r="AN81" i="15"/>
  <c r="AS67" i="15"/>
  <c r="AL71" i="15"/>
  <c r="AL75" i="15"/>
  <c r="AQ75" i="15" s="1"/>
  <c r="AL79" i="15"/>
  <c r="AL83" i="15"/>
  <c r="AO87" i="15"/>
  <c r="AL87" i="15"/>
  <c r="AM92" i="15"/>
  <c r="AN99" i="15"/>
  <c r="AO103" i="15"/>
  <c r="AL103" i="15"/>
  <c r="AM108" i="15"/>
  <c r="AN115" i="15"/>
  <c r="AN125" i="15"/>
  <c r="AO127" i="15"/>
  <c r="AL127" i="15"/>
  <c r="C145" i="15"/>
  <c r="AO152" i="15"/>
  <c r="AL152" i="15"/>
  <c r="AS27" i="15"/>
  <c r="AO159" i="15"/>
  <c r="AM162" i="15"/>
  <c r="AN172" i="15"/>
  <c r="AM175" i="15"/>
  <c r="AL175" i="15"/>
  <c r="AS48" i="15"/>
  <c r="AN184" i="15"/>
  <c r="AS40" i="15"/>
  <c r="AM91" i="15"/>
  <c r="AN97" i="15"/>
  <c r="AN98" i="15"/>
  <c r="AM107" i="15"/>
  <c r="AN113" i="15"/>
  <c r="AN114" i="15"/>
  <c r="AO118" i="15"/>
  <c r="AL118" i="15"/>
  <c r="AM120" i="15"/>
  <c r="AM122" i="15"/>
  <c r="AN136" i="15"/>
  <c r="AO138" i="15"/>
  <c r="AQ138" i="15" s="1"/>
  <c r="AS8" i="15" s="1"/>
  <c r="AN144" i="15"/>
  <c r="AQ144" i="15" s="1"/>
  <c r="AO146" i="15"/>
  <c r="AO166" i="15"/>
  <c r="AO172" i="15"/>
  <c r="AL172" i="15"/>
  <c r="AM182" i="15"/>
  <c r="AM195" i="15"/>
  <c r="C182" i="15"/>
  <c r="C117" i="15"/>
  <c r="AN109" i="15"/>
  <c r="AN131" i="15"/>
  <c r="AO191" i="15"/>
  <c r="C123" i="15"/>
  <c r="C188" i="15"/>
  <c r="C158" i="15"/>
  <c r="C93" i="15"/>
  <c r="AR29" i="15"/>
  <c r="AR32" i="15"/>
  <c r="C143" i="15"/>
  <c r="C78" i="15"/>
  <c r="AT15" i="15"/>
  <c r="C103" i="15"/>
  <c r="C168" i="15"/>
  <c r="C175" i="15"/>
  <c r="C110" i="15"/>
  <c r="C127" i="15"/>
  <c r="C192" i="15"/>
  <c r="C199" i="15"/>
  <c r="C134" i="15"/>
  <c r="AL96" i="15"/>
  <c r="AO97" i="15"/>
  <c r="AO98" i="15"/>
  <c r="AL98" i="15"/>
  <c r="AL112" i="15"/>
  <c r="AO113" i="15"/>
  <c r="AO114" i="15"/>
  <c r="AL114" i="15"/>
  <c r="AN121" i="15"/>
  <c r="AR56" i="15"/>
  <c r="AO123" i="15"/>
  <c r="AL123" i="15"/>
  <c r="C132" i="15"/>
  <c r="AO134" i="15"/>
  <c r="AL134" i="15"/>
  <c r="AM138" i="15"/>
  <c r="AO143" i="15"/>
  <c r="AQ143" i="15" s="1"/>
  <c r="AM146" i="15"/>
  <c r="AQ146" i="15" s="1"/>
  <c r="AS16" i="15" s="1"/>
  <c r="AO156" i="15"/>
  <c r="AL156" i="15"/>
  <c r="AO163" i="15"/>
  <c r="AM166" i="15"/>
  <c r="AN176" i="15"/>
  <c r="AM179" i="15"/>
  <c r="AL179" i="15"/>
  <c r="AN188" i="15"/>
  <c r="AL191" i="15"/>
  <c r="AO198" i="15"/>
  <c r="C99" i="15"/>
  <c r="C164" i="15"/>
  <c r="C151" i="15"/>
  <c r="C86" i="15"/>
  <c r="AR26" i="15"/>
  <c r="AO95" i="15"/>
  <c r="AL95" i="15"/>
  <c r="AM100" i="15"/>
  <c r="AO111" i="15"/>
  <c r="AL111" i="15"/>
  <c r="AM116" i="15"/>
  <c r="AM118" i="15"/>
  <c r="AR65" i="15"/>
  <c r="AL132" i="15"/>
  <c r="C141" i="15"/>
  <c r="C149" i="15"/>
  <c r="AO150" i="15"/>
  <c r="AS24" i="15"/>
  <c r="AO170" i="15"/>
  <c r="AO176" i="15"/>
  <c r="AL176" i="15"/>
  <c r="AS51" i="15"/>
  <c r="AM186" i="15"/>
  <c r="AN93" i="15"/>
  <c r="AR45" i="15"/>
  <c r="AR59" i="15"/>
  <c r="AR69" i="15"/>
  <c r="AN89" i="15"/>
  <c r="AN90" i="15"/>
  <c r="AM99" i="15"/>
  <c r="AN105" i="15"/>
  <c r="AN106" i="15"/>
  <c r="AR41" i="15"/>
  <c r="C108" i="15"/>
  <c r="AM115" i="15"/>
  <c r="AN119" i="15"/>
  <c r="AN129" i="15"/>
  <c r="AO131" i="15"/>
  <c r="AL131" i="15"/>
  <c r="AN140" i="15"/>
  <c r="AO142" i="15"/>
  <c r="AN148" i="15"/>
  <c r="AM151" i="15"/>
  <c r="AL151" i="15"/>
  <c r="AQ151" i="15" s="1"/>
  <c r="AO155" i="15"/>
  <c r="AM158" i="15"/>
  <c r="AN168" i="15"/>
  <c r="AM171" i="15"/>
  <c r="AL171" i="15"/>
  <c r="AO190" i="15"/>
  <c r="AO196" i="15"/>
  <c r="AL196" i="15"/>
  <c r="AQ149" i="15"/>
  <c r="AL92" i="15"/>
  <c r="AO93" i="15"/>
  <c r="AO94" i="15"/>
  <c r="AL94" i="15"/>
  <c r="AL108" i="15"/>
  <c r="AO109" i="15"/>
  <c r="AO110" i="15"/>
  <c r="AL110" i="15"/>
  <c r="AO122" i="15"/>
  <c r="AL122" i="15"/>
  <c r="AM124" i="15"/>
  <c r="AM126" i="15"/>
  <c r="AO140" i="15"/>
  <c r="AL140" i="15"/>
  <c r="AO148" i="15"/>
  <c r="AL148" i="15"/>
  <c r="AO162" i="15"/>
  <c r="AO168" i="15"/>
  <c r="AL168" i="15"/>
  <c r="AM191" i="15"/>
  <c r="B136" i="15"/>
  <c r="B71" i="15"/>
  <c r="AN83" i="15"/>
  <c r="AN87" i="15"/>
  <c r="AN103" i="15"/>
  <c r="AN127" i="15"/>
  <c r="AO182" i="15"/>
  <c r="AO195" i="15"/>
  <c r="AL195" i="15"/>
  <c r="C71" i="15"/>
  <c r="C136" i="15"/>
  <c r="C79" i="15"/>
  <c r="AQ79" i="15" s="1"/>
  <c r="AR14" i="15" s="1"/>
  <c r="C144" i="15"/>
  <c r="C194" i="15"/>
  <c r="C129" i="15"/>
  <c r="AN73" i="15"/>
  <c r="AN101" i="15"/>
  <c r="AO119" i="15"/>
  <c r="AL119" i="15"/>
  <c r="AO130" i="15"/>
  <c r="AL130" i="15"/>
  <c r="AM150" i="15"/>
  <c r="AO160" i="15"/>
  <c r="AL160" i="15"/>
  <c r="AO167" i="15"/>
  <c r="AM170" i="15"/>
  <c r="AN180" i="15"/>
  <c r="AN192" i="15"/>
  <c r="AN79" i="15"/>
  <c r="C170" i="15"/>
  <c r="C105" i="15"/>
  <c r="AN85" i="15"/>
  <c r="AQ85" i="15" s="1"/>
  <c r="AR20" i="15" s="1"/>
  <c r="AQ86" i="15"/>
  <c r="AR22" i="15" s="1"/>
  <c r="AT6" i="15"/>
  <c r="C139" i="15"/>
  <c r="C74" i="15"/>
  <c r="C91" i="15"/>
  <c r="C156" i="15"/>
  <c r="C163" i="15"/>
  <c r="C98" i="15"/>
  <c r="C115" i="15"/>
  <c r="C180" i="15"/>
  <c r="C187" i="15"/>
  <c r="C122" i="15"/>
  <c r="AL88" i="15"/>
  <c r="AO89" i="15"/>
  <c r="AO90" i="15"/>
  <c r="AL90" i="15"/>
  <c r="AL104" i="15"/>
  <c r="AO105" i="15"/>
  <c r="AO106" i="15"/>
  <c r="AL106" i="15"/>
  <c r="AL128" i="15"/>
  <c r="AO139" i="15"/>
  <c r="AM142" i="15"/>
  <c r="AQ142" i="15" s="1"/>
  <c r="AO147" i="15"/>
  <c r="AN152" i="15"/>
  <c r="AM155" i="15"/>
  <c r="AL155" i="15"/>
  <c r="AO174" i="15"/>
  <c r="AO180" i="15"/>
  <c r="AL180" i="15"/>
  <c r="AO187" i="15"/>
  <c r="AM190" i="15"/>
  <c r="C140" i="15"/>
  <c r="C148" i="15"/>
  <c r="C160" i="15"/>
  <c r="C172" i="15"/>
  <c r="C184" i="15"/>
  <c r="C196" i="15"/>
  <c r="C73" i="15"/>
  <c r="C77" i="15"/>
  <c r="C81" i="15"/>
  <c r="AQ81" i="15" s="1"/>
  <c r="C85" i="15"/>
  <c r="C89" i="15"/>
  <c r="C97" i="15"/>
  <c r="C101" i="15"/>
  <c r="C109" i="15"/>
  <c r="C113" i="15"/>
  <c r="C121" i="15"/>
  <c r="C125" i="15"/>
  <c r="C133" i="15"/>
  <c r="C82" i="15"/>
  <c r="AQ82" i="15" s="1"/>
  <c r="C90" i="15"/>
  <c r="C94" i="15"/>
  <c r="C102" i="15"/>
  <c r="C106" i="15"/>
  <c r="C114" i="15"/>
  <c r="C118" i="15"/>
  <c r="C126" i="15"/>
  <c r="C130" i="15"/>
  <c r="AQ136" i="15" l="1"/>
  <c r="AS6" i="15" s="1"/>
  <c r="AQ71" i="16"/>
  <c r="AR6" i="16" s="1"/>
  <c r="AQ73" i="16"/>
  <c r="AR8" i="16" s="1"/>
  <c r="AQ139" i="15"/>
  <c r="AS9" i="15" s="1"/>
  <c r="AQ73" i="15"/>
  <c r="AR8" i="15" s="1"/>
  <c r="AR16" i="15"/>
  <c r="AQ74" i="15"/>
  <c r="AR9" i="15" s="1"/>
  <c r="AS14" i="15"/>
  <c r="AQ74" i="16"/>
  <c r="AR9" i="16"/>
  <c r="AR10" i="16"/>
  <c r="AS10" i="16"/>
  <c r="AS9" i="16"/>
  <c r="B136" i="16"/>
  <c r="B71" i="16"/>
  <c r="AR21" i="15"/>
  <c r="AS13" i="15"/>
  <c r="AR15" i="15"/>
  <c r="AS15" i="15"/>
  <c r="AR11" i="15"/>
  <c r="AS19" i="15"/>
  <c r="AR17" i="15"/>
  <c r="AQ147" i="15"/>
  <c r="AS17" i="15" s="1"/>
  <c r="AQ77" i="15"/>
  <c r="AR12" i="15" s="1"/>
  <c r="AQ71" i="15"/>
  <c r="AR6" i="15" s="1"/>
  <c r="AQ83" i="15"/>
  <c r="AR18" i="15" s="1"/>
  <c r="AQ150" i="15"/>
  <c r="AS20" i="15" s="1"/>
  <c r="AQ141" i="15"/>
  <c r="AQ148" i="15"/>
  <c r="AQ140" i="15"/>
  <c r="AS10" i="15" s="1"/>
  <c r="AS22" i="15"/>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S11" i="15" l="1"/>
  <c r="AS12" i="15"/>
  <c r="AR10" i="15"/>
  <c r="AR13" i="15"/>
  <c r="AS18" i="15"/>
  <c r="AS21" i="15"/>
  <c r="AR19" i="15"/>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S56"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Q181" i="9"/>
  <c r="AS51" i="9" s="1"/>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AM168" i="9" s="1"/>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AM163" i="9" s="1"/>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S31"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S27" i="9" s="1"/>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AM147" i="9" s="1"/>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AM138" i="9" s="1"/>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R63"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R58"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AN106" i="9" s="1"/>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AQ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AM86" i="9" s="1"/>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O81" i="9" s="1"/>
  <c r="AJ80" i="9"/>
  <c r="AQ80" i="9" s="1"/>
  <c r="AR15"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AN75" i="9" s="1"/>
  <c r="K75" i="9"/>
  <c r="J75" i="9"/>
  <c r="I75" i="9"/>
  <c r="H75" i="9"/>
  <c r="G75" i="9"/>
  <c r="F75" i="9"/>
  <c r="AO75" i="9" s="1"/>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C63" i="9"/>
  <c r="AT62" i="9"/>
  <c r="C62" i="9"/>
  <c r="AT61" i="9"/>
  <c r="C61" i="9"/>
  <c r="AT60" i="9"/>
  <c r="C60" i="9"/>
  <c r="C190" i="9" s="1"/>
  <c r="AT59" i="9"/>
  <c r="C59" i="9"/>
  <c r="C189" i="9" s="1"/>
  <c r="AT58" i="9"/>
  <c r="C58" i="9"/>
  <c r="AT57" i="9"/>
  <c r="C57" i="9"/>
  <c r="AT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R37" i="9"/>
  <c r="C37" i="9"/>
  <c r="C167" i="9" s="1"/>
  <c r="AT36" i="9"/>
  <c r="C36" i="9"/>
  <c r="C166" i="9" s="1"/>
  <c r="AT35" i="9"/>
  <c r="AS35" i="9"/>
  <c r="C35" i="9"/>
  <c r="C165" i="9" s="1"/>
  <c r="AT34" i="9"/>
  <c r="C34" i="9"/>
  <c r="AT33" i="9"/>
  <c r="C33" i="9"/>
  <c r="AT32" i="9"/>
  <c r="AS32" i="9"/>
  <c r="C32" i="9"/>
  <c r="AT31" i="9"/>
  <c r="C31" i="9"/>
  <c r="AT30" i="9"/>
  <c r="C30" i="9"/>
  <c r="AT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C19" i="9"/>
  <c r="AT18" i="9"/>
  <c r="C18" i="9"/>
  <c r="C148" i="9" s="1"/>
  <c r="AT17" i="9"/>
  <c r="AS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S18" i="9" l="1"/>
  <c r="AS19" i="9"/>
  <c r="AO129" i="9"/>
  <c r="AO163" i="9"/>
  <c r="AL196" i="9"/>
  <c r="AR41" i="9"/>
  <c r="C76" i="9"/>
  <c r="AR36" i="9"/>
  <c r="AM105" i="9"/>
  <c r="AM82" i="9"/>
  <c r="AR54" i="9"/>
  <c r="AM196" i="9"/>
  <c r="AM81" i="9"/>
  <c r="AO84" i="9"/>
  <c r="AL106" i="9"/>
  <c r="AR44" i="9"/>
  <c r="AN156" i="9"/>
  <c r="AN168" i="9"/>
  <c r="AS38" i="9"/>
  <c r="AS42" i="9"/>
  <c r="AS46" i="9"/>
  <c r="AS64" i="9"/>
  <c r="AR28" i="9"/>
  <c r="AO77" i="9"/>
  <c r="AS30" i="9"/>
  <c r="AO173" i="9"/>
  <c r="AN86" i="9"/>
  <c r="AL110" i="9"/>
  <c r="AR56" i="9"/>
  <c r="AR61" i="9"/>
  <c r="AO181" i="9"/>
  <c r="AL181" i="9"/>
  <c r="AM195" i="9"/>
  <c r="AL83" i="9"/>
  <c r="AO105" i="9"/>
  <c r="AN163" i="9"/>
  <c r="AN196" i="9"/>
  <c r="AM106" i="9"/>
  <c r="AN129" i="9"/>
  <c r="AL147" i="9"/>
  <c r="AO156" i="9"/>
  <c r="AO168" i="9"/>
  <c r="AL168" i="9"/>
  <c r="AR55" i="9"/>
  <c r="AR59" i="9"/>
  <c r="AS15" i="9"/>
  <c r="AM75" i="9"/>
  <c r="AO86" i="9"/>
  <c r="AL86" i="9"/>
  <c r="AO121" i="9"/>
  <c r="AS23" i="9"/>
  <c r="AS49"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Q71" i="9" s="1"/>
  <c r="AR6" i="9" s="1"/>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L73" i="9"/>
  <c r="AQ73" i="9"/>
  <c r="AL77" i="9"/>
  <c r="AQ77" i="9" s="1"/>
  <c r="AR12" i="9" s="1"/>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Q139" i="9"/>
  <c r="AS9" i="9" s="1"/>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Q143" i="9" s="1"/>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78" i="9" l="1"/>
  <c r="AR13" i="9" s="1"/>
  <c r="AQ76" i="9"/>
  <c r="AR11" i="9" s="1"/>
  <c r="AQ140" i="9"/>
  <c r="AS10" i="9" s="1"/>
  <c r="AQ74" i="9"/>
  <c r="AR9" i="9" s="1"/>
  <c r="AS14" i="9"/>
  <c r="AS13" i="9"/>
  <c r="AQ141" i="9"/>
  <c r="AS11" i="9" s="1"/>
  <c r="AQ72" i="9"/>
  <c r="AR7" i="9" s="1"/>
  <c r="AQ137" i="9"/>
  <c r="AS7" i="9" s="1"/>
  <c r="AQ136" i="9"/>
  <c r="AS6" i="9" s="1"/>
  <c r="AS8" i="9"/>
  <c r="AR8" i="9"/>
  <c r="B136" i="9"/>
  <c r="B71" i="9"/>
  <c r="D7" i="4"/>
  <c r="M13" i="4"/>
  <c r="N13" i="4" s="1"/>
  <c r="AR14" i="9" l="1"/>
  <c r="D3" i="1"/>
  <c r="D5" i="4" s="1"/>
  <c r="D4" i="4" l="1"/>
  <c r="D6" i="4" s="1"/>
  <c r="AW17" i="15" l="1"/>
  <c r="AL18" i="15" s="1"/>
  <c r="AW17" i="16"/>
  <c r="AL8" i="15"/>
  <c r="AT8" i="15" s="1"/>
  <c r="AL9" i="15"/>
  <c r="AT9" i="15"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9"/>
  <c r="AL35" i="9" s="1"/>
  <c r="AL9" i="9"/>
  <c r="AT9" i="9" s="1"/>
  <c r="AL10" i="9"/>
  <c r="AT10" i="9" s="1"/>
  <c r="AL11" i="9"/>
  <c r="AT11" i="9" s="1"/>
  <c r="AL12" i="9"/>
  <c r="AT12" i="9" s="1"/>
  <c r="AL6" i="9"/>
  <c r="AT6" i="9" s="1"/>
  <c r="AL13" i="9"/>
  <c r="AT13" i="9" s="1"/>
  <c r="AL8" i="9"/>
  <c r="AT8" i="9" s="1"/>
  <c r="AL52" i="15" l="1"/>
  <c r="AL38" i="15"/>
  <c r="AL55" i="15"/>
  <c r="AL35" i="15"/>
  <c r="AL67" i="15"/>
  <c r="AL56" i="15"/>
  <c r="AL68" i="15"/>
  <c r="AW8" i="15"/>
  <c r="AL7" i="15"/>
  <c r="AT7" i="15" s="1"/>
  <c r="AW11" i="15"/>
  <c r="AU13" i="15" s="1"/>
  <c r="AL19" i="15"/>
  <c r="AT19" i="15" s="1"/>
  <c r="AW10" i="15"/>
  <c r="AU14" i="15" s="1"/>
  <c r="AL26" i="15"/>
  <c r="AL42" i="15"/>
  <c r="AL60" i="15"/>
  <c r="AL10" i="15"/>
  <c r="AT10" i="15" s="1"/>
  <c r="AL36" i="15"/>
  <c r="AL49" i="15"/>
  <c r="AL23" i="15"/>
  <c r="AL59" i="15"/>
  <c r="AL48" i="15"/>
  <c r="AL61" i="15"/>
  <c r="AL66" i="15"/>
  <c r="AL15" i="15"/>
  <c r="AL47" i="15"/>
  <c r="AL29" i="15"/>
  <c r="AL58" i="15"/>
  <c r="AL16" i="15"/>
  <c r="AT16" i="15" s="1"/>
  <c r="AL30" i="15"/>
  <c r="AL53" i="15"/>
  <c r="AL27" i="15"/>
  <c r="AL21" i="15"/>
  <c r="AT21" i="15" s="1"/>
  <c r="AL45" i="15"/>
  <c r="AL33" i="15"/>
  <c r="AL22" i="15"/>
  <c r="AL54" i="15"/>
  <c r="AL40" i="15"/>
  <c r="AL39" i="15"/>
  <c r="AL17" i="15"/>
  <c r="AW9" i="15"/>
  <c r="AL65" i="15"/>
  <c r="AL31" i="15"/>
  <c r="AL51" i="15"/>
  <c r="AL12" i="15"/>
  <c r="AT12" i="15" s="1"/>
  <c r="AL28" i="15"/>
  <c r="AL43" i="15"/>
  <c r="AL44" i="15"/>
  <c r="AL14" i="15"/>
  <c r="AL50" i="15"/>
  <c r="AL62" i="15"/>
  <c r="AL63" i="15"/>
  <c r="AL20" i="15"/>
  <c r="AW16" i="15"/>
  <c r="AU15" i="15" s="1"/>
  <c r="AL57" i="15"/>
  <c r="AL69" i="15"/>
  <c r="AL24" i="15"/>
  <c r="AL32" i="15"/>
  <c r="AL11" i="15"/>
  <c r="AT11" i="15" s="1"/>
  <c r="AL34" i="15"/>
  <c r="AL25" i="15"/>
  <c r="AL13" i="15"/>
  <c r="AT13" i="15" s="1"/>
  <c r="AL41" i="15"/>
  <c r="AL64" i="15"/>
  <c r="AL46" i="15"/>
  <c r="AL37" i="15"/>
  <c r="AW12" i="15"/>
  <c r="AU5" i="15" s="1"/>
  <c r="AW12" i="16"/>
  <c r="AU5" i="16" s="1"/>
  <c r="AL61" i="16"/>
  <c r="AL49" i="16"/>
  <c r="AL37" i="16"/>
  <c r="AL25" i="16"/>
  <c r="AL7" i="16"/>
  <c r="AT7" i="16" s="1"/>
  <c r="AL68" i="16"/>
  <c r="AL56" i="16"/>
  <c r="AL44" i="16"/>
  <c r="AL32" i="16"/>
  <c r="AL20" i="16"/>
  <c r="AL14" i="16"/>
  <c r="AL63" i="16"/>
  <c r="AL51" i="16"/>
  <c r="AL39" i="16"/>
  <c r="AL27" i="16"/>
  <c r="AL12" i="16"/>
  <c r="AL58" i="16"/>
  <c r="AL46" i="16"/>
  <c r="AL34" i="16"/>
  <c r="AL22" i="16"/>
  <c r="AL60" i="16"/>
  <c r="AL48" i="16"/>
  <c r="AL36" i="16"/>
  <c r="AL24" i="16"/>
  <c r="AL17" i="16"/>
  <c r="AL67" i="16"/>
  <c r="AL55" i="16"/>
  <c r="AL43" i="16"/>
  <c r="AL31" i="16"/>
  <c r="AL19" i="16"/>
  <c r="AL15" i="16"/>
  <c r="AL62" i="16"/>
  <c r="AL50" i="16"/>
  <c r="AL38" i="16"/>
  <c r="AL26" i="16"/>
  <c r="AL69" i="16"/>
  <c r="AL57" i="16"/>
  <c r="AL45" i="16"/>
  <c r="AL33" i="16"/>
  <c r="AL21" i="16"/>
  <c r="AL13" i="16"/>
  <c r="AL64" i="16"/>
  <c r="AL52" i="16"/>
  <c r="AL40" i="16"/>
  <c r="AL28" i="16"/>
  <c r="AL11" i="16"/>
  <c r="AL59" i="16"/>
  <c r="AL47" i="16"/>
  <c r="AL35" i="16"/>
  <c r="AL23" i="16"/>
  <c r="AL53" i="16"/>
  <c r="AL29" i="16"/>
  <c r="AL66" i="16"/>
  <c r="AL42" i="16"/>
  <c r="AW10" i="16"/>
  <c r="AU14" i="16" s="1"/>
  <c r="AL18" i="16"/>
  <c r="AL10" i="16"/>
  <c r="AL41" i="16"/>
  <c r="AW11" i="16"/>
  <c r="AU13" i="16" s="1"/>
  <c r="AL65" i="16"/>
  <c r="AL30" i="16"/>
  <c r="AL54" i="16"/>
  <c r="AL16" i="16"/>
  <c r="AW9" i="16"/>
  <c r="AW8" i="16"/>
  <c r="AW16" i="16"/>
  <c r="AU15" i="16" s="1"/>
  <c r="AW12" i="9"/>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T5" i="15" l="1"/>
  <c r="AR5" i="16"/>
  <c r="AR5" i="15"/>
  <c r="AV5" i="15"/>
  <c r="AS5" i="15"/>
  <c r="AV5" i="16"/>
  <c r="AS5" i="16"/>
  <c r="AT5" i="16"/>
  <c r="AS5" i="9"/>
  <c r="AR5" i="9"/>
  <c r="AT5" i="9"/>
  <c r="AV5" i="9"/>
  <c r="B16" i="1"/>
  <c r="B12" i="1"/>
  <c r="B11" i="1"/>
  <c r="B10" i="1"/>
  <c r="B9" i="1"/>
  <c r="H14" i="4" l="1"/>
  <c r="I14" i="4"/>
  <c r="H15" i="4"/>
  <c r="I15" i="4"/>
  <c r="H16" i="4"/>
  <c r="I16" i="4"/>
  <c r="H17" i="4"/>
  <c r="G18" i="4"/>
  <c r="H18" i="4"/>
  <c r="G19" i="4"/>
  <c r="H19"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G17" i="4" s="1"/>
  <c r="M18" i="4"/>
  <c r="N18" i="4" s="1"/>
  <c r="F18" i="4" s="1"/>
  <c r="M19" i="4"/>
  <c r="N19" i="4" s="1"/>
  <c r="F19" i="4" s="1"/>
  <c r="M20" i="4"/>
  <c r="N20" i="4" s="1"/>
  <c r="F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7" i="4" l="1"/>
  <c r="G14" i="4"/>
  <c r="F16" i="4"/>
  <c r="G15" i="4"/>
  <c r="AW15" i="16" l="1"/>
  <c r="AU8" i="16" s="1"/>
  <c r="AW14" i="9"/>
  <c r="AU7" i="9" s="1"/>
  <c r="AW14" i="16"/>
  <c r="AU7" i="16" s="1"/>
  <c r="AW15" i="9"/>
  <c r="AU8" i="9" s="1"/>
  <c r="G13" i="4"/>
  <c r="F13" i="4"/>
  <c r="AW14" i="15" s="1"/>
  <c r="AU7" i="15" s="1"/>
  <c r="AW15" i="15" l="1"/>
  <c r="AU8" i="15"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7" authorId="0" shapeId="0" xr:uid="{00000000-0006-0000-0B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 authorId="1" shapeId="0" xr:uid="{00000000-0006-0000-0B00-00000A000000}">
      <text>
        <r>
          <rPr>
            <b/>
            <sz val="9"/>
            <color indexed="81"/>
            <rFont val="MS P ゴシック"/>
            <family val="3"/>
            <charset val="128"/>
          </rPr>
          <t xml:space="preserve">リモート送信条件成立：IG ON 且つ PTS ONが15[s]以上
</t>
        </r>
      </text>
    </comment>
    <comment ref="E20" authorId="1" shapeId="0" xr:uid="{00000000-0006-0000-0B00-00000B000000}">
      <text>
        <r>
          <rPr>
            <b/>
            <sz val="9"/>
            <color indexed="81"/>
            <rFont val="MS P ゴシック"/>
            <family val="3"/>
            <charset val="128"/>
          </rPr>
          <t xml:space="preserve">IG ON 且つ ST OFF
</t>
        </r>
      </text>
    </comment>
    <comment ref="F20" authorId="1" shapeId="0" xr:uid="{00000000-0006-0000-0B00-00000C000000}">
      <text>
        <r>
          <rPr>
            <b/>
            <sz val="9"/>
            <color indexed="81"/>
            <rFont val="MS P ゴシック"/>
            <family val="3"/>
            <charset val="128"/>
          </rPr>
          <t>IG ON</t>
        </r>
      </text>
    </comment>
    <comment ref="G20" authorId="1" shapeId="0" xr:uid="{00000000-0006-0000-0B00-00000D000000}">
      <text>
        <r>
          <rPr>
            <b/>
            <sz val="9"/>
            <color indexed="81"/>
            <rFont val="MS P ゴシック"/>
            <family val="3"/>
            <charset val="128"/>
          </rPr>
          <t xml:space="preserve">IG OFF 且つ IG OFF後25[m]未満
</t>
        </r>
      </text>
    </comment>
    <comment ref="H20" authorId="1" shapeId="0" xr:uid="{00000000-0006-0000-0B00-00000E000000}">
      <text>
        <r>
          <rPr>
            <b/>
            <sz val="9"/>
            <color indexed="81"/>
            <rFont val="MS P ゴシック"/>
            <family val="3"/>
            <charset val="128"/>
          </rPr>
          <t xml:space="preserve">IG OFF
</t>
        </r>
      </text>
    </comment>
    <comment ref="I20" authorId="1" shapeId="0" xr:uid="{00000000-0006-0000-0B00-00000F000000}">
      <text>
        <r>
          <rPr>
            <b/>
            <sz val="9"/>
            <color indexed="81"/>
            <rFont val="MS P ゴシック"/>
            <family val="3"/>
            <charset val="128"/>
          </rPr>
          <t xml:space="preserve">IG ON 又は IG OFF後25[m]未満
</t>
        </r>
      </text>
    </comment>
    <comment ref="J20" authorId="1" shapeId="0" xr:uid="{00000000-0006-0000-0B00-000010000000}">
      <text>
        <r>
          <rPr>
            <b/>
            <sz val="9"/>
            <color indexed="81"/>
            <rFont val="MS P ゴシック"/>
            <family val="3"/>
            <charset val="128"/>
          </rPr>
          <t>+B ON 又は ACC ON</t>
        </r>
      </text>
    </comment>
    <comment ref="B30" authorId="0" shapeId="0" xr:uid="{00000000-0006-0000-0B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3" authorId="1" shapeId="0" xr:uid="{00000000-0006-0000-0B00-000012000000}">
      <text>
        <r>
          <rPr>
            <b/>
            <sz val="9"/>
            <color indexed="81"/>
            <rFont val="MS P ゴシック"/>
            <family val="3"/>
            <charset val="128"/>
          </rPr>
          <t xml:space="preserve">リモート送信条件成立：IG ON 且つ PTS ONが15[s]以上
</t>
        </r>
      </text>
    </comment>
    <comment ref="E33" authorId="1" shapeId="0" xr:uid="{00000000-0006-0000-0B00-000013000000}">
      <text>
        <r>
          <rPr>
            <b/>
            <sz val="9"/>
            <color indexed="81"/>
            <rFont val="MS P ゴシック"/>
            <family val="3"/>
            <charset val="128"/>
          </rPr>
          <t xml:space="preserve">IG ON 且つ ST OFF
</t>
        </r>
      </text>
    </comment>
    <comment ref="F33" authorId="1" shapeId="0" xr:uid="{00000000-0006-0000-0B00-000014000000}">
      <text>
        <r>
          <rPr>
            <b/>
            <sz val="9"/>
            <color indexed="81"/>
            <rFont val="MS P ゴシック"/>
            <family val="3"/>
            <charset val="128"/>
          </rPr>
          <t>IG ON</t>
        </r>
      </text>
    </comment>
    <comment ref="G33" authorId="1" shapeId="0" xr:uid="{00000000-0006-0000-0B00-000015000000}">
      <text>
        <r>
          <rPr>
            <b/>
            <sz val="9"/>
            <color indexed="81"/>
            <rFont val="MS P ゴシック"/>
            <family val="3"/>
            <charset val="128"/>
          </rPr>
          <t xml:space="preserve">IG OFF 且つ IG OFF後25[m]未満
</t>
        </r>
      </text>
    </comment>
    <comment ref="H33" authorId="1" shapeId="0" xr:uid="{00000000-0006-0000-0B00-000016000000}">
      <text>
        <r>
          <rPr>
            <b/>
            <sz val="9"/>
            <color indexed="81"/>
            <rFont val="MS P ゴシック"/>
            <family val="3"/>
            <charset val="128"/>
          </rPr>
          <t xml:space="preserve">IG OFF
</t>
        </r>
      </text>
    </comment>
    <comment ref="I33" authorId="1" shapeId="0" xr:uid="{00000000-0006-0000-0B00-000017000000}">
      <text>
        <r>
          <rPr>
            <b/>
            <sz val="9"/>
            <color indexed="81"/>
            <rFont val="MS P ゴシック"/>
            <family val="3"/>
            <charset val="128"/>
          </rPr>
          <t xml:space="preserve">IG ON 又は IG OFF後25[m]未満
</t>
        </r>
      </text>
    </comment>
    <comment ref="J33" authorId="1" shapeId="0" xr:uid="{00000000-0006-0000-0B00-000018000000}">
      <text>
        <r>
          <rPr>
            <b/>
            <sz val="9"/>
            <color indexed="81"/>
            <rFont val="MS P ゴシック"/>
            <family val="3"/>
            <charset val="128"/>
          </rPr>
          <t>+B ON 又は ACC ON</t>
        </r>
      </text>
    </comment>
    <comment ref="B43" authorId="0" shapeId="0" xr:uid="{00000000-0006-0000-0B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6" authorId="1" shapeId="0" xr:uid="{00000000-0006-0000-0B00-00001A000000}">
      <text>
        <r>
          <rPr>
            <b/>
            <sz val="9"/>
            <color indexed="81"/>
            <rFont val="MS P ゴシック"/>
            <family val="3"/>
            <charset val="128"/>
          </rPr>
          <t xml:space="preserve">リモート送信条件成立：IG ON 且つ PTS ONが15[s]以上
</t>
        </r>
      </text>
    </comment>
    <comment ref="E46" authorId="1" shapeId="0" xr:uid="{00000000-0006-0000-0B00-00001B000000}">
      <text>
        <r>
          <rPr>
            <b/>
            <sz val="9"/>
            <color indexed="81"/>
            <rFont val="MS P ゴシック"/>
            <family val="3"/>
            <charset val="128"/>
          </rPr>
          <t xml:space="preserve">IG ON 且つ ST OFF
</t>
        </r>
      </text>
    </comment>
    <comment ref="F46" authorId="1" shapeId="0" xr:uid="{00000000-0006-0000-0B00-00001C000000}">
      <text>
        <r>
          <rPr>
            <b/>
            <sz val="9"/>
            <color indexed="81"/>
            <rFont val="MS P ゴシック"/>
            <family val="3"/>
            <charset val="128"/>
          </rPr>
          <t>IG ON</t>
        </r>
      </text>
    </comment>
    <comment ref="G46" authorId="1" shapeId="0" xr:uid="{00000000-0006-0000-0B00-00001D000000}">
      <text>
        <r>
          <rPr>
            <b/>
            <sz val="9"/>
            <color indexed="81"/>
            <rFont val="MS P ゴシック"/>
            <family val="3"/>
            <charset val="128"/>
          </rPr>
          <t xml:space="preserve">IG OFF 且つ IG OFF後25[m]未満
</t>
        </r>
      </text>
    </comment>
    <comment ref="H46" authorId="1" shapeId="0" xr:uid="{00000000-0006-0000-0B00-00001E000000}">
      <text>
        <r>
          <rPr>
            <b/>
            <sz val="9"/>
            <color indexed="81"/>
            <rFont val="MS P ゴシック"/>
            <family val="3"/>
            <charset val="128"/>
          </rPr>
          <t xml:space="preserve">IG OFF
</t>
        </r>
      </text>
    </comment>
    <comment ref="I46" authorId="1" shapeId="0" xr:uid="{00000000-0006-0000-0B00-00001F000000}">
      <text>
        <r>
          <rPr>
            <b/>
            <sz val="9"/>
            <color indexed="81"/>
            <rFont val="MS P ゴシック"/>
            <family val="3"/>
            <charset val="128"/>
          </rPr>
          <t xml:space="preserve">IG ON 又は IG OFF後25[m]未満
</t>
        </r>
      </text>
    </comment>
    <comment ref="J46" authorId="1" shapeId="0" xr:uid="{00000000-0006-0000-0B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<sst xmlns="http://schemas.openxmlformats.org/spreadsheetml/2006/main" count="7035" uniqueCount="357">
  <si>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</si>
  <si>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</si>
  <si>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</si>
  <si>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</si>
  <si>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</si>
  <si>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</si>
  <si>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</si>
  <si>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</si>
  <si>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</si>
  <si>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</si>
  <si>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</si>
  <si>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</si>
  <si>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</si>
  <si>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</si>
  <si>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</si>
  <si>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</si>
  <si>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</si>
  <si>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</si>
  <si>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</si>
  <si>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</si>
  <si>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</si>
  <si>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</si>
  <si>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</si>
  <si>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</si>
  <si>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</si>
  <si>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</si>
  <si>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</si>
  <si>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</si>
  <si>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判定結果</t>
  </si>
  <si>
    <t>取り得る値</t>
  </si>
  <si>
    <t>-</t>
  </si>
  <si>
    <t>UNKNOWN</t>
  </si>
  <si>
    <t>10b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</si>
  <si>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</si>
  <si>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</si>
  <si>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</si>
  <si>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</si>
  <si>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</si>
  <si>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</si>
  <si>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</si>
  <si>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</si>
  <si>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</si>
  <si>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</si>
  <si>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</si>
  <si>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</si>
  <si>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</si>
  <si>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</si>
  <si>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</si>
  <si>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</si>
  <si>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</si>
  <si>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</si>
  <si>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</si>
  <si>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</si>
  <si>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</si>
  <si>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</si>
  <si>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</si>
  <si>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</si>
  <si>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</si>
  <si>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</si>
  <si>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</si>
  <si>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</si>
  <si>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</si>
  <si>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</si>
  <si>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</si>
  <si>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</si>
  <si>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</si>
  <si>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</si>
  <si>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</si>
  <si>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</si>
  <si>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</si>
  <si>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</si>
  <si>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</si>
  <si>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</si>
  <si>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</si>
  <si>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</si>
  <si>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</si>
  <si>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</si>
  <si>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</si>
  <si>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</si>
  <si>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</si>
  <si>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</si>
  <si>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</si>
  <si>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</si>
  <si>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</si>
  <si>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</si>
  <si>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</si>
  <si>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</si>
  <si>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</si>
  <si>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</si>
  <si>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</si>
  <si>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</si>
  <si>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</si>
  <si>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</si>
  <si>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</si>
  <si>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</si>
  <si>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</si>
  <si>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</si>
  <si>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</si>
  <si>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</si>
  <si>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</si>
  <si>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</si>
  <si>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</si>
  <si>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</si>
  <si>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</si>
  <si>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</si>
  <si>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</si>
  <si>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</si>
  <si>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</si>
  <si>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</si>
  <si>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</si>
  <si>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</si>
  <si>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</si>
  <si>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</si>
  <si>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</si>
  <si>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</si>
  <si>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</si>
  <si>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</si>
  <si>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</si>
  <si>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</si>
  <si>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</si>
  <si>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</si>
  <si>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</si>
  <si>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</si>
  <si>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</si>
  <si>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</si>
  <si>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</si>
  <si>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</si>
  <si>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</si>
  <si>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</si>
  <si>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</si>
  <si>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</si>
  <si>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</si>
  <si>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</si>
  <si>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</si>
  <si>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</si>
  <si>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</si>
  <si>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</si>
  <si>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</si>
  <si>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</si>
  <si>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</si>
  <si>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</si>
  <si>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</si>
  <si>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</si>
  <si>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</si>
  <si>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</si>
  <si>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</si>
  <si>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</si>
  <si>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</si>
  <si>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</si>
  <si>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</si>
  <si>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</si>
  <si>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</si>
  <si>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</si>
  <si>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</si>
  <si>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</si>
  <si>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</si>
  <si>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</si>
  <si>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</si>
  <si>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</si>
  <si>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</si>
  <si>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</si>
  <si>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</si>
  <si>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</si>
  <si>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</si>
  <si>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</si>
  <si>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</si>
  <si>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</si>
  <si>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</si>
  <si>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</si>
  <si>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</si>
  <si>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</si>
  <si>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</si>
  <si>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</si>
  <si>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</si>
  <si>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</si>
  <si>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</si>
  <si>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</si>
  <si>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</si>
  <si>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</si>
  <si>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</si>
  <si>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</si>
  <si>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</si>
  <si>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</si>
  <si>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</si>
  <si>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</si>
  <si>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</si>
  <si>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</si>
  <si>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</si>
  <si>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</si>
  <si>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</si>
  <si>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</si>
  <si>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</si>
  <si>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Table Type</t>
    <phoneticPr fontId="2"/>
  </si>
  <si>
    <t>Index</t>
  </si>
  <si>
    <t>入力</t>
    <phoneticPr fontId="2"/>
  </si>
  <si>
    <t>REQ</t>
    <phoneticPr fontId="2"/>
  </si>
  <si>
    <t>Vehicle Operation Mode</t>
    <phoneticPr fontId="2"/>
  </si>
  <si>
    <t>-</t>
    <phoneticPr fontId="2"/>
  </si>
  <si>
    <t>-</t>
    <phoneticPr fontId="2"/>
  </si>
  <si>
    <t>-</t>
    <phoneticPr fontId="2"/>
  </si>
  <si>
    <t>ALERT_VOM_IGN_ON</t>
    <phoneticPr fontId="2"/>
  </si>
  <si>
    <t>VOM</t>
    <phoneticPr fontId="2"/>
  </si>
  <si>
    <t>DS11S37</t>
    <phoneticPr fontId="2"/>
  </si>
  <si>
    <t>RWT_EN</t>
    <phoneticPr fontId="2"/>
  </si>
  <si>
    <t>VCS_ON</t>
    <phoneticPr fontId="2"/>
  </si>
  <si>
    <t>IGN_ON</t>
    <phoneticPr fontId="2"/>
  </si>
  <si>
    <t>IGN_OFF_WT</t>
    <phoneticPr fontId="2"/>
  </si>
  <si>
    <t>IGN_OFF</t>
    <phoneticPr fontId="2"/>
  </si>
  <si>
    <t>BAT_WT</t>
    <phoneticPr fontId="2"/>
  </si>
  <si>
    <t>BAT_AO</t>
    <phoneticPr fontId="2"/>
  </si>
  <si>
    <t>DS11S37_STS</t>
    <phoneticPr fontId="2"/>
  </si>
  <si>
    <t>0b/
1b</t>
    <phoneticPr fontId="2"/>
  </si>
  <si>
    <t>通常(00b)/
未受信(01b)/
通信途絶(10b)/
未受信通信途絶(11b)</t>
    <phoneticPr fontId="2"/>
  </si>
  <si>
    <t>UNKNOWN</t>
    <phoneticPr fontId="2"/>
  </si>
  <si>
    <t>UNKNOWN</t>
    <phoneticPr fontId="2"/>
  </si>
  <si>
    <t>IG-ON + 未受信 + *</t>
    <rPh sb="8" eb="9">
      <t>ミ</t>
    </rPh>
    <rPh sb="9" eb="11">
      <t>ジュシン</t>
    </rPh>
    <phoneticPr fontId="2"/>
  </si>
  <si>
    <t>IG-ON + 通信途絶 + *</t>
    <rPh sb="8" eb="10">
      <t>ツウシン</t>
    </rPh>
    <rPh sb="10" eb="12">
      <t>トゼツ</t>
    </rPh>
    <phoneticPr fontId="2"/>
  </si>
  <si>
    <t>IG-OFF + * + *</t>
    <phoneticPr fontId="2"/>
  </si>
  <si>
    <t>IG-ON + 未受信通信途絶 + *</t>
    <phoneticPr fontId="2"/>
  </si>
  <si>
    <t>11b</t>
    <phoneticPr fontId="2"/>
  </si>
  <si>
    <t>DS11S37</t>
    <phoneticPr fontId="2"/>
  </si>
  <si>
    <t>0b</t>
  </si>
  <si>
    <t>0b</t>
    <phoneticPr fontId="2"/>
  </si>
  <si>
    <t>1b</t>
    <phoneticPr fontId="2"/>
  </si>
  <si>
    <t>*b</t>
    <phoneticPr fontId="2"/>
  </si>
  <si>
    <t>通常(0b)/
未受信(1b)</t>
    <phoneticPr fontId="2"/>
  </si>
  <si>
    <t>信号名(データラベル)</t>
    <phoneticPr fontId="2"/>
  </si>
  <si>
    <t>出力無し(0b)/
単発(1b)</t>
    <phoneticPr fontId="2"/>
  </si>
  <si>
    <t>IG-ON + 通常 + 出力無し</t>
    <rPh sb="8" eb="10">
      <t>ツウジョウ</t>
    </rPh>
    <phoneticPr fontId="2"/>
  </si>
  <si>
    <t>IG-ON + 通常 + 単発</t>
    <rPh sb="8" eb="10">
      <t>ツウジョウ</t>
    </rPh>
    <phoneticPr fontId="2"/>
  </si>
  <si>
    <t>0b</t>
    <phoneticPr fontId="2"/>
  </si>
  <si>
    <t>1b</t>
    <phoneticPr fontId="2"/>
  </si>
  <si>
    <t>*b</t>
    <phoneticPr fontId="2"/>
  </si>
  <si>
    <t>*b</t>
    <phoneticPr fontId="2"/>
  </si>
  <si>
    <t>TT</t>
    <phoneticPr fontId="2"/>
  </si>
  <si>
    <t>BC</t>
    <phoneticPr fontId="2"/>
  </si>
  <si>
    <t>-/
単発</t>
    <phoneticPr fontId="2"/>
  </si>
  <si>
    <t>単発</t>
    <rPh sb="0" eb="2">
      <t>タンパツ</t>
    </rPh>
    <phoneticPr fontId="2"/>
  </si>
  <si>
    <t>SINGLE</t>
    <phoneticPr fontId="2"/>
  </si>
  <si>
    <t>UNKNOWN/
SINGLE</t>
    <phoneticPr fontId="2"/>
  </si>
  <si>
    <t>-/
2連発</t>
    <phoneticPr fontId="2"/>
  </si>
  <si>
    <t>2連発</t>
    <rPh sb="1" eb="3">
      <t>レンパツ</t>
    </rPh>
    <phoneticPr fontId="2"/>
  </si>
  <si>
    <t>DOUBLE</t>
  </si>
  <si>
    <t>DOUBLE</t>
    <phoneticPr fontId="2"/>
  </si>
  <si>
    <t>UNKNOWN/
DOUBLE</t>
    <phoneticPr fontId="2"/>
  </si>
  <si>
    <t>ALERT_CH_S_LCA_BC_CL</t>
    <phoneticPr fontId="2"/>
  </si>
  <si>
    <t>出力無し(0b)/
2連発(1b)</t>
    <phoneticPr fontId="2"/>
  </si>
  <si>
    <t>IG-ON + 通常 + 2連発</t>
    <rPh sb="8" eb="10">
      <t>ツウジョウ</t>
    </rPh>
    <phoneticPr fontId="2"/>
  </si>
  <si>
    <t>ALERT_CH_S_LCA_BC_VC</t>
    <phoneticPr fontId="2"/>
  </si>
  <si>
    <t>出力無し(0b)/
断続(1b)</t>
    <phoneticPr fontId="2"/>
  </si>
  <si>
    <t>IG-ON + 通常 + 断続</t>
    <rPh sb="8" eb="10">
      <t>ツウジョウ</t>
    </rPh>
    <phoneticPr fontId="2"/>
  </si>
  <si>
    <t>-/
断続</t>
    <phoneticPr fontId="2"/>
  </si>
  <si>
    <t>断続</t>
    <rPh sb="0" eb="2">
      <t>ダンゾク</t>
    </rPh>
    <phoneticPr fontId="2"/>
  </si>
  <si>
    <t>ALERT_CH_S_LCA_BC_RQ</t>
    <phoneticPr fontId="2"/>
  </si>
  <si>
    <t>00b</t>
    <phoneticPr fontId="2"/>
  </si>
  <si>
    <t>01b</t>
    <phoneticPr fontId="2"/>
  </si>
  <si>
    <t>**b</t>
    <phoneticPr fontId="2"/>
  </si>
  <si>
    <t>BC_RQ</t>
  </si>
  <si>
    <t>BC_CL</t>
  </si>
  <si>
    <t>BC_VC</t>
  </si>
  <si>
    <t>■CH構成</t>
    <rPh sb="3" eb="5">
      <t>コウセイ</t>
    </rPh>
    <phoneticPr fontId="21"/>
  </si>
  <si>
    <t>表示先</t>
    <rPh sb="0" eb="2">
      <t>ヒョウジ</t>
    </rPh>
    <rPh sb="2" eb="3">
      <t>サキ</t>
    </rPh>
    <phoneticPr fontId="21"/>
  </si>
  <si>
    <t>シグナル</t>
    <phoneticPr fontId="21"/>
  </si>
  <si>
    <t>値</t>
    <rPh sb="0" eb="1">
      <t>アタイ</t>
    </rPh>
    <phoneticPr fontId="21"/>
  </si>
  <si>
    <t>フレーム</t>
    <phoneticPr fontId="21"/>
  </si>
  <si>
    <t>振る舞い</t>
    <rPh sb="0" eb="1">
      <t>フ</t>
    </rPh>
    <rPh sb="2" eb="3">
      <t>マ</t>
    </rPh>
    <phoneticPr fontId="21"/>
  </si>
  <si>
    <t>フェール処理</t>
    <rPh sb="4" eb="6">
      <t>ショリ</t>
    </rPh>
    <phoneticPr fontId="21"/>
  </si>
  <si>
    <t>RW</t>
    <phoneticPr fontId="21"/>
  </si>
  <si>
    <t>REQ</t>
    <phoneticPr fontId="21"/>
  </si>
  <si>
    <t>CH</t>
    <phoneticPr fontId="21"/>
  </si>
  <si>
    <t>DS11S37</t>
    <phoneticPr fontId="21"/>
  </si>
  <si>
    <t>最終状態保持</t>
    <rPh sb="0" eb="2">
      <t>サイシュウ</t>
    </rPh>
    <rPh sb="2" eb="4">
      <t>ジョウタイ</t>
    </rPh>
    <rPh sb="4" eb="6">
      <t>ホジ</t>
    </rPh>
    <phoneticPr fontId="21"/>
  </si>
  <si>
    <t>BZR</t>
    <phoneticPr fontId="21"/>
  </si>
  <si>
    <t>LCSRQBZ</t>
    <phoneticPr fontId="21"/>
  </si>
  <si>
    <t>Other than 1b -&gt; 1b</t>
    <phoneticPr fontId="21"/>
  </si>
  <si>
    <t>単発</t>
    <phoneticPr fontId="21"/>
  </si>
  <si>
    <t>SINGLE</t>
    <phoneticPr fontId="21"/>
  </si>
  <si>
    <t>BC_RQ</t>
    <phoneticPr fontId="21"/>
  </si>
  <si>
    <t>LCANGBZ</t>
    <phoneticPr fontId="21"/>
  </si>
  <si>
    <t>DS11S37</t>
    <phoneticPr fontId="21"/>
  </si>
  <si>
    <t>2連発</t>
    <phoneticPr fontId="21"/>
  </si>
  <si>
    <t>DOUBLE</t>
    <phoneticPr fontId="21"/>
  </si>
  <si>
    <t>BC_CL</t>
    <phoneticPr fontId="21"/>
  </si>
  <si>
    <t>LCAVCBZ</t>
    <phoneticPr fontId="21"/>
  </si>
  <si>
    <t>1b</t>
    <phoneticPr fontId="21"/>
  </si>
  <si>
    <t>DS11S37</t>
    <phoneticPr fontId="21"/>
  </si>
  <si>
    <t>断続</t>
    <phoneticPr fontId="21"/>
  </si>
  <si>
    <t>BC_VC</t>
    <phoneticPr fontId="21"/>
  </si>
  <si>
    <t>エッジ判定不要</t>
    <rPh sb="3" eb="5">
      <t>ハンテイ</t>
    </rPh>
    <rPh sb="5" eb="7">
      <t>フヨウ</t>
    </rPh>
    <phoneticPr fontId="2"/>
  </si>
  <si>
    <t>memo1</t>
    <phoneticPr fontId="21"/>
  </si>
  <si>
    <t>memo2</t>
    <phoneticPr fontId="2"/>
  </si>
  <si>
    <t>CYCL</t>
    <phoneticPr fontId="2"/>
  </si>
  <si>
    <t>UNKNOWN/
CYCL</t>
    <phoneticPr fontId="2"/>
  </si>
  <si>
    <t>CYCL</t>
    <phoneticPr fontId="21"/>
  </si>
  <si>
    <t>×</t>
  </si>
  <si>
    <t>×</t>
    <phoneticPr fontId="2"/>
  </si>
  <si>
    <t>CYCL</t>
  </si>
  <si>
    <t>DS11S37_STS</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</si>
  <si>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</si>
  <si>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</si>
  <si>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</si>
  <si>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LCSRQBZ_SIG</t>
    <phoneticPr fontId="2"/>
  </si>
  <si>
    <t>LCANGBZ_SIG</t>
    <phoneticPr fontId="2"/>
  </si>
  <si>
    <t>LCAVCBZ_SIG</t>
    <phoneticPr fontId="2"/>
  </si>
  <si>
    <t>DS11S37_STS</t>
    <phoneticPr fontId="24"/>
  </si>
  <si>
    <t>レーンチェンジアシスト BC_RQ判定</t>
    <rPh sb="17" eb="19">
      <t>ハンテイ</t>
    </rPh>
    <phoneticPr fontId="2"/>
  </si>
  <si>
    <t>レーンチェンジアシスト BC_CL判定</t>
    <rPh sb="17" eb="19">
      <t>ハンテイ</t>
    </rPh>
    <phoneticPr fontId="2"/>
  </si>
  <si>
    <t>レーンチェンジアシスト BC_VC判定</t>
    <rPh sb="17" eb="19">
      <t>ハンテイ</t>
    </rPh>
    <phoneticPr fontId="2"/>
  </si>
  <si>
    <t>大藤</t>
    <rPh sb="0" eb="2">
      <t>オオフジ</t>
    </rPh>
    <phoneticPr fontId="2"/>
  </si>
  <si>
    <t>新規作成(流用元：alert_S_LCA-CSTD-1-05-A-C0.xlsx  ※840B CV)
050D　CV対応
[Matrix]シート
・対象仕様書およびロケーションを変更
[CH_Design]シート
S_LCA-CSTD-1-MEF01-REQ14-/S_LCA-CSTD-1-MEF01-REQ19-(HUD用)を
S_LCA-CSTD-1-MEF01-REQ20-/S_LCA-CSTD-1-MEF01-REQ21-(HUD用)に変更
[Reference]シート
・キャプチャ更新
・レーンチェンジアシスト PD_MG判定の真理値表のREQ14,REQ19をREQ20,REQ21に変更</t>
    <rPh sb="0" eb="4">
      <t>シンキサクセイ</t>
    </rPh>
    <rPh sb="5" eb="8">
      <t>リュウヨウモト</t>
    </rPh>
    <rPh sb="226" eb="228">
      <t>ヘンコウ</t>
    </rPh>
    <rPh sb="250" eb="252">
      <t>コウシン</t>
    </rPh>
    <rPh sb="274" eb="278">
      <t>シンリチヒョウ</t>
    </rPh>
    <rPh sb="303" eb="305">
      <t>ヘンコウ</t>
    </rPh>
    <phoneticPr fontId="2"/>
  </si>
  <si>
    <t>1.1.0</t>
  </si>
  <si>
    <t>臼井</t>
    <rPh sb="0" eb="2">
      <t>ウスイ</t>
    </rPh>
    <phoneticPr fontId="2"/>
  </si>
  <si>
    <t>1.2.0</t>
    <phoneticPr fontId="2"/>
  </si>
  <si>
    <t>840B MPT対応
[Matrix]シート
・ロケーション変更
・対象仕様書変更
・LCAW送信条件から、LCAINDIが削除されたため、RW送信を無しに変更
[CH_Design]シート
・LCAW送信条件から、LCAINDIが削除されたため、RW送信を無しに変更
[RW]シート
・LCAWの送信削除に伴い削除
[Reference]シート
・LCAW送信条件から、LCAINDIが削除されたため、RW送信を無しに変更
・RW仕様書のキャプチャ貼り替え</t>
    <rPh sb="39" eb="41">
      <t>ヘンコウ</t>
    </rPh>
    <rPh sb="47" eb="51">
      <t>ソウシンジョウケン</t>
    </rPh>
    <rPh sb="62" eb="64">
      <t>サクジョ</t>
    </rPh>
    <rPh sb="72" eb="74">
      <t>ソウシン</t>
    </rPh>
    <rPh sb="75" eb="76">
      <t>ナ</t>
    </rPh>
    <rPh sb="78" eb="80">
      <t>ヘンコウ</t>
    </rPh>
    <rPh sb="156" eb="158">
      <t>サクジョ</t>
    </rPh>
    <rPh sb="216" eb="219">
      <t>シヨウショ</t>
    </rPh>
    <rPh sb="225" eb="226">
      <t>ハ</t>
    </rPh>
    <rPh sb="227" eb="228">
      <t>カ</t>
    </rPh>
    <phoneticPr fontId="2"/>
  </si>
  <si>
    <t>840B MPT対応（流用元：alert_S_LCA-CSTD-1-06-A-C0.xlsx 840B MPT）
[Matrix]シート
・ロケーション変更
・対象仕様書変更
[CH_Design]シート
・HUD用MIDのREQ26～REQ28対応
[Reference]シート
・キャプチャ貼り替え(MID)</t>
    <rPh sb="11" eb="14">
      <t>リュウヨウモト</t>
    </rPh>
    <rPh sb="85" eb="87">
      <t>ヘンコウ</t>
    </rPh>
    <rPh sb="107" eb="108">
      <t>ヨウ</t>
    </rPh>
    <rPh sb="123" eb="125">
      <t>タイオウ</t>
    </rPh>
    <rPh sb="147" eb="148">
      <t>ハ</t>
    </rPh>
    <rPh sb="149" eb="150">
      <t>カ</t>
    </rPh>
    <phoneticPr fontId="2"/>
  </si>
  <si>
    <t>1.3.0</t>
    <phoneticPr fontId="2"/>
  </si>
  <si>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</si>
  <si>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</si>
  <si>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</si>
  <si>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</si>
  <si>
    <t xml:space="preserve">    {</t>
  </si>
  <si>
    <t xml:space="preserve">    }</t>
  </si>
  <si>
    <t>};</t>
  </si>
  <si>
    <r>
      <t xml:space="preserve">LaneChangeSupport </t>
    </r>
    <r>
      <rPr>
        <b/>
        <sz val="11"/>
        <rFont val="Meiryo UI"/>
        <family val="3"/>
        <charset val="128"/>
      </rPr>
      <t>R</t>
    </r>
    <r>
      <rPr>
        <sz val="11"/>
        <rFont val="Meiryo UI"/>
        <family val="3"/>
        <charset val="128"/>
      </rPr>
      <t>e</t>
    </r>
    <r>
      <rPr>
        <b/>
        <sz val="11"/>
        <rFont val="Meiryo UI"/>
        <family val="3"/>
        <charset val="128"/>
      </rPr>
      <t>Q</t>
    </r>
    <r>
      <rPr>
        <sz val="11"/>
        <rFont val="Meiryo UI"/>
        <family val="3"/>
        <charset val="128"/>
      </rPr>
      <t>uest acceptance buzzer</t>
    </r>
    <phoneticPr fontId="21"/>
  </si>
  <si>
    <r>
      <t xml:space="preserve">LaneChangeSupport </t>
    </r>
    <r>
      <rPr>
        <b/>
        <sz val="11"/>
        <rFont val="Meiryo UI"/>
        <family val="3"/>
        <charset val="128"/>
      </rPr>
      <t>C</t>
    </r>
    <r>
      <rPr>
        <sz val="11"/>
        <rFont val="Meiryo UI"/>
        <family val="3"/>
        <charset val="128"/>
      </rPr>
      <t>ance</t>
    </r>
    <r>
      <rPr>
        <b/>
        <sz val="11"/>
        <rFont val="Meiryo UI"/>
        <family val="3"/>
        <charset val="128"/>
      </rPr>
      <t>L</t>
    </r>
    <r>
      <rPr>
        <sz val="11"/>
        <rFont val="Meiryo UI"/>
        <family val="3"/>
        <charset val="128"/>
      </rPr>
      <t xml:space="preserve"> buzzer</t>
    </r>
    <phoneticPr fontId="21"/>
  </si>
  <si>
    <r>
      <t xml:space="preserve">LaneChangeSupport </t>
    </r>
    <r>
      <rPr>
        <b/>
        <sz val="11"/>
        <rFont val="Meiryo UI"/>
        <family val="3"/>
        <charset val="128"/>
      </rPr>
      <t>V</t>
    </r>
    <r>
      <rPr>
        <sz val="11"/>
        <rFont val="Meiryo UI"/>
        <family val="3"/>
        <charset val="128"/>
      </rPr>
      <t xml:space="preserve">ehicle </t>
    </r>
    <r>
      <rPr>
        <b/>
        <sz val="11"/>
        <rFont val="Meiryo UI"/>
        <family val="3"/>
        <charset val="128"/>
      </rPr>
      <t>C</t>
    </r>
    <r>
      <rPr>
        <sz val="11"/>
        <rFont val="Meiryo UI"/>
        <family val="3"/>
        <charset val="128"/>
      </rPr>
      <t>aution buzzer</t>
    </r>
    <phoneticPr fontId="21"/>
  </si>
  <si>
    <t>面企画#2 1A対応(流用元:alert_S_LCA-CSTD-1-08-A-C0.xlsx ※840B MPT)
[Matrix]シート
・ロケーション変更
・対象仕様書変更
[CH_Design]シート
・ALERT_CH_S_LCA_PD_MGのUNAVLBL1、UNAVLBL2、UNAVLBL3、NTHOLD、SGST1、SGST2、SGST3のPDについて、Appendix資料内容に関するコメントを追加
[Reference]シート
・キャプチャ更新
・MIDの特別条件のコメント修正
・特別条件の補足資料名をMET-S_LCA-CSTD-1-08-C-C0_Appendix.docxに変更
・Appendix資料内容に関するコメントを追加</t>
    <rPh sb="86" eb="88">
      <t>ヘンコウ</t>
    </rPh>
    <rPh sb="193" eb="195">
      <t>シリョウ</t>
    </rPh>
    <rPh sb="195" eb="197">
      <t>ナイヨウ</t>
    </rPh>
    <rPh sb="198" eb="199">
      <t>カン</t>
    </rPh>
    <rPh sb="206" eb="208">
      <t>ツイカ</t>
    </rPh>
    <rPh sb="238" eb="242">
      <t>トクベツジョウケン</t>
    </rPh>
    <rPh sb="247" eb="249">
      <t>シュウセイ</t>
    </rPh>
    <rPh sb="251" eb="255">
      <t>トクベツジョウケン</t>
    </rPh>
    <rPh sb="256" eb="258">
      <t>ホソク</t>
    </rPh>
    <rPh sb="258" eb="260">
      <t>シリョウ</t>
    </rPh>
    <rPh sb="260" eb="261">
      <t>ナ</t>
    </rPh>
    <rPh sb="301" eb="303">
      <t>ヘンコウ</t>
    </rPh>
    <rPh sb="313" eb="315">
      <t>シリョウ</t>
    </rPh>
    <rPh sb="315" eb="317">
      <t>ナイヨウ</t>
    </rPh>
    <rPh sb="318" eb="319">
      <t>カン</t>
    </rPh>
    <rPh sb="326" eb="328">
      <t>ツイカ</t>
    </rPh>
    <phoneticPr fontId="2"/>
  </si>
  <si>
    <t>1.4.0</t>
    <phoneticPr fontId="2"/>
  </si>
  <si>
    <t>宮本</t>
    <rPh sb="0" eb="2">
      <t>ミヤモト</t>
    </rPh>
    <phoneticPr fontId="2"/>
  </si>
  <si>
    <t>■MET-M_REMWAR-CSTD-1-08-A-C0.xlsx</t>
    <phoneticPr fontId="24"/>
  </si>
  <si>
    <t>https://aip01.dndev.net/bitbucket/scm/AIP_TP_ABROAD/22-24fgm2.git</t>
    <phoneticPr fontId="2"/>
  </si>
  <si>
    <t>面企画#2.5 296D 認証車（流用元：alert_S_LCA-CSTD-1-08-C-C0.xlsx）
[Matrix]
・対象仕様書、ロケーションを更新
[CH_Design]
・CANCELの要求IDを変更(REQ18→29) 　※要求IDの変更のみ
[Reference]
・制御仕様を更新
・真理値表（PD_MG）の要求IDを変更(REQ18→29)</t>
    <rPh sb="77" eb="79">
      <t>コウシン</t>
    </rPh>
    <rPh sb="100" eb="102">
      <t>ヨウキュウ</t>
    </rPh>
    <rPh sb="105" eb="107">
      <t>ヘンコウ</t>
    </rPh>
    <rPh sb="143" eb="145">
      <t>セイギョ</t>
    </rPh>
    <rPh sb="145" eb="147">
      <t>シヨウ</t>
    </rPh>
    <rPh sb="148" eb="150">
      <t>コウシン</t>
    </rPh>
    <phoneticPr fontId="2"/>
  </si>
  <si>
    <t>鈴木大助</t>
    <rPh sb="0" eb="4">
      <t>スズキダイスケ</t>
    </rPh>
    <phoneticPr fontId="2"/>
  </si>
  <si>
    <t>廣部</t>
    <rPh sb="0" eb="2">
      <t>ヒロベ</t>
    </rPh>
    <phoneticPr fontId="2"/>
  </si>
  <si>
    <t>S_LCA-CSTD-2-BZR01-REQ02-</t>
  </si>
  <si>
    <t>S_LCA-CSTD-2-BZR01-REQ03-</t>
  </si>
  <si>
    <t>S_LCA-CSTD-2-BZR01-REQ05-</t>
  </si>
  <si>
    <t>1.5.0</t>
    <phoneticPr fontId="2"/>
  </si>
  <si>
    <t>19PFv3対応 （流用元：alert_S_LCA-CSTD-1-08-C-C0.xlsx）
[Matrix]
・対象仕様書、ロケーションを更新
[CH_Design]
・TT左右を分けました。
・AVAILの要求IDを追加(REQ30,31)[Reference]
・制御仕様を更新</t>
    <rPh sb="6" eb="8">
      <t>タイオウ</t>
    </rPh>
    <rPh sb="70" eb="72">
      <t>コウシン</t>
    </rPh>
    <rPh sb="88" eb="89">
      <t>ヒダリ</t>
    </rPh>
    <rPh sb="89" eb="90">
      <t>ミギ</t>
    </rPh>
    <rPh sb="91" eb="92">
      <t>ワ</t>
    </rPh>
    <rPh sb="105" eb="107">
      <t>ヨウキュウ</t>
    </rPh>
    <rPh sb="110" eb="112">
      <t>ツイカ</t>
    </rPh>
    <rPh sb="135" eb="137">
      <t>セイギョ</t>
    </rPh>
    <rPh sb="137" eb="139">
      <t>シヨウ</t>
    </rPh>
    <rPh sb="140" eb="142">
      <t>コウシン</t>
    </rPh>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</si>
  <si>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</si>
  <si>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</si>
  <si>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</si>
  <si>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</si>
  <si>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</si>
  <si>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</si>
  <si>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</si>
  <si>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</si>
  <si>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</si>
  <si>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33"/>
  </si>
  <si>
    <t>MET-S_ADBZR-CSTD-0-02-A-C0</t>
    <phoneticPr fontId="2"/>
  </si>
  <si>
    <t>https://svn.geniie.net/bevs3/bevs3cdc/仕様書/MET/#1/tags/00.Product/v0.2.1/</t>
    <phoneticPr fontId="2"/>
  </si>
  <si>
    <t>ALERT_CH_S_LCA_BC_RQ</t>
  </si>
  <si>
    <t>ALERT_CH_S_LCA_BC_CL</t>
  </si>
  <si>
    <t>ALERT_CH_S_LCA_BC_VC</t>
  </si>
  <si>
    <t>1.6.0</t>
    <phoneticPr fontId="2"/>
  </si>
  <si>
    <t>KSE八木春樹</t>
    <rPh sb="3" eb="7">
      <t>ヤギハルキ</t>
    </rPh>
    <phoneticPr fontId="2"/>
  </si>
  <si>
    <t xml:space="preserve">BEV シス検#2(流用元：alert_S_LCA-CSTD-2-00-A-C0.c)
[Matrix]シート
CH削除
[CH_Design]シート
CH削除
[TT_L]シート
CH削除に伴い、シート削除
[TT_R]シート
CH削除に伴い、シート削除
[PD_MG]シート
CH削除に伴い、シート削除
[PD_SG]シート
CH削除に伴い、シート削除
[Reference]シート
CH削除に伴い、真理値表の修正
[Reference2]シート
CH削除に伴い、表の修正
</t>
    <rPh sb="6" eb="7">
      <t>ケン</t>
    </rPh>
    <rPh sb="52" eb="54">
      <t>ツイカ</t>
    </rPh>
    <rPh sb="58" eb="60">
      <t>サクジョ</t>
    </rPh>
    <rPh sb="103" eb="105">
      <t>サクジョ</t>
    </rPh>
    <rPh sb="193" eb="195">
      <t>ツイカ</t>
    </rPh>
    <rPh sb="198" eb="200">
      <t>サクジョ</t>
    </rPh>
    <rPh sb="201" eb="202">
      <t>トモナ</t>
    </rPh>
    <rPh sb="236" eb="237">
      <t>ヒョウ</t>
    </rPh>
    <rPh sb="238" eb="240">
      <t>シュウセイ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</si>
</sst>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6"/>
      <name val="Meiryo UI"/>
      <family val="2"/>
      <charset val="128"/>
    </font>
    <font>
      <sz val="11"/>
      <color theme="1"/>
      <name val="Meiryo UI"/>
      <family val="3"/>
      <charset val="128"/>
    </font>
    <font>
      <sz val="11"/>
      <name val="Meiryo UI"/>
      <family val="3"/>
      <charset val="128"/>
    </font>
    <font>
      <sz val="12"/>
      <color theme="1"/>
      <name val="HGｺﾞｼｯｸM"/>
      <family val="3"/>
      <charset val="128"/>
    </font>
    <font>
      <b/>
      <sz val="11"/>
      <name val="Meiryo UI"/>
      <family val="3"/>
      <charset val="128"/>
    </font>
    <font>
      <b/>
      <sz val="11"/>
      <color rgb="FFFF0000"/>
      <name val="ＭＳ Ｐゴシック"/>
      <family val="3"/>
      <charset val="128"/>
      <scheme val="minor"/>
    </font>
    <font>
      <sz val="11"/>
      <color theme="1"/>
      <name val="ＭＳ Ｐゴシック"/>
      <family val="2"/>
      <charset val="128"/>
      <scheme val="minor"/>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rgb="FFFFFFFF"/>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7" fillId="0" borderId="0">
      <alignment vertical="center"/>
    </xf>
    <xf numFmtId="0" fontId="27" fillId="0" borderId="0">
      <alignment vertical="center"/>
    </xf>
  </cellStyleXfs>
  <cellXfs count="31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0" borderId="32" xfId="0" quotePrefix="1" applyBorder="1" applyAlignment="1">
      <alignment vertical="center" wrapText="1"/>
    </xf>
    <xf numFmtId="0" fontId="0" fillId="23" borderId="25" xfId="0" applyFill="1" applyBorder="1" applyAlignment="1">
      <alignment horizontal="center" vertical="center"/>
    </xf>
    <xf numFmtId="0" fontId="0" fillId="18" borderId="31" xfId="0" applyFill="1" applyBorder="1" applyAlignment="1">
      <alignment vertical="center" textRotation="90"/>
    </xf>
    <xf numFmtId="0" fontId="22" fillId="0" borderId="0" xfId="2" applyFont="1">
      <alignment vertical="center"/>
    </xf>
    <xf numFmtId="0" fontId="0" fillId="22" borderId="2" xfId="0" applyFill="1" applyBorder="1" applyAlignment="1">
      <alignment vertical="center" textRotation="90"/>
    </xf>
    <xf numFmtId="14" fontId="0" fillId="0" borderId="14" xfId="0" applyNumberFormat="1" applyBorder="1">
      <alignment vertical="center"/>
    </xf>
    <xf numFmtId="0" fontId="0" fillId="0" borderId="0" xfId="0" applyAlignment="1">
      <alignment vertical="center" wrapText="1"/>
    </xf>
    <xf numFmtId="0" fontId="23" fillId="0" borderId="2" xfId="2" applyFont="1" applyBorder="1">
      <alignment vertical="center"/>
    </xf>
    <xf numFmtId="0" fontId="0" fillId="0" borderId="14" xfId="0" applyBorder="1" applyAlignment="1">
      <alignment vertical="center" wrapText="1"/>
    </xf>
    <xf numFmtId="0" fontId="16" fillId="7" borderId="62" xfId="0" applyFont="1"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23" fillId="0" borderId="0" xfId="2" applyFont="1">
      <alignment vertical="center"/>
    </xf>
    <xf numFmtId="0" fontId="23" fillId="0" borderId="63" xfId="2" applyFont="1" applyBorder="1">
      <alignment vertical="center"/>
    </xf>
    <xf numFmtId="0" fontId="23" fillId="0" borderId="62" xfId="2" applyFont="1" applyBorder="1">
      <alignment vertical="center"/>
    </xf>
    <xf numFmtId="0" fontId="23" fillId="0" borderId="14" xfId="2" applyFont="1" applyBorder="1">
      <alignment vertical="center"/>
    </xf>
    <xf numFmtId="0" fontId="26" fillId="0" borderId="0" xfId="0" applyFont="1">
      <alignment vertical="center"/>
    </xf>
    <xf numFmtId="14" fontId="0" fillId="0" borderId="2" xfId="0" applyNumberFormat="1" applyBorder="1">
      <alignment vertical="center"/>
    </xf>
    <xf numFmtId="0" fontId="22" fillId="24" borderId="64" xfId="3" applyFont="1" applyFill="1" applyBorder="1">
      <alignment vertical="center"/>
    </xf>
    <xf numFmtId="0" fontId="22" fillId="24" borderId="66" xfId="3" applyFont="1" applyFill="1" applyBorder="1">
      <alignment vertical="center"/>
    </xf>
    <xf numFmtId="0" fontId="22" fillId="24" borderId="65" xfId="3" applyFont="1" applyFill="1" applyBorder="1">
      <alignment vertical="center"/>
    </xf>
    <xf numFmtId="0" fontId="22" fillId="0" borderId="0" xfId="3" applyFont="1">
      <alignment vertical="center"/>
    </xf>
    <xf numFmtId="0" fontId="22" fillId="24" borderId="77" xfId="3" applyFont="1" applyFill="1" applyBorder="1">
      <alignment vertical="center"/>
    </xf>
    <xf numFmtId="0" fontId="22" fillId="24" borderId="0" xfId="3" applyFont="1" applyFill="1">
      <alignment vertical="center"/>
    </xf>
    <xf numFmtId="0" fontId="22" fillId="24" borderId="78" xfId="3" applyFont="1" applyFill="1" applyBorder="1">
      <alignment vertical="center"/>
    </xf>
    <xf numFmtId="0" fontId="31" fillId="24" borderId="0" xfId="4" applyFont="1" applyFill="1">
      <alignment vertical="center"/>
    </xf>
    <xf numFmtId="0" fontId="22" fillId="24" borderId="0" xfId="4" applyFont="1" applyFill="1">
      <alignment vertical="center"/>
    </xf>
    <xf numFmtId="0" fontId="22" fillId="24" borderId="64" xfId="4" applyFont="1" applyFill="1" applyBorder="1">
      <alignment vertical="center"/>
    </xf>
    <xf numFmtId="0" fontId="22" fillId="24" borderId="66" xfId="4" applyFont="1" applyFill="1" applyBorder="1">
      <alignment vertical="center"/>
    </xf>
    <xf numFmtId="0" fontId="22" fillId="24" borderId="65" xfId="4" applyFont="1" applyFill="1" applyBorder="1">
      <alignment vertical="center"/>
    </xf>
    <xf numFmtId="0" fontId="22" fillId="24" borderId="79" xfId="4" applyFont="1" applyFill="1" applyBorder="1">
      <alignment vertical="center"/>
    </xf>
    <xf numFmtId="0" fontId="22" fillId="24" borderId="77" xfId="4" applyFont="1" applyFill="1" applyBorder="1">
      <alignment vertical="center"/>
    </xf>
    <xf numFmtId="0" fontId="22" fillId="24" borderId="78" xfId="4" applyFont="1" applyFill="1" applyBorder="1">
      <alignment vertical="center"/>
    </xf>
    <xf numFmtId="0" fontId="22" fillId="24" borderId="80" xfId="4" applyFont="1" applyFill="1" applyBorder="1">
      <alignment vertical="center"/>
    </xf>
    <xf numFmtId="0" fontId="32" fillId="24" borderId="0" xfId="4" applyFont="1" applyFill="1" applyAlignment="1">
      <alignment horizontal="center" vertical="center"/>
    </xf>
    <xf numFmtId="0" fontId="22" fillId="24" borderId="29" xfId="4" applyFont="1" applyFill="1" applyBorder="1">
      <alignment vertical="center"/>
    </xf>
    <xf numFmtId="0" fontId="22" fillId="24" borderId="11" xfId="4" applyFont="1" applyFill="1" applyBorder="1">
      <alignment vertical="center"/>
    </xf>
    <xf numFmtId="0" fontId="22" fillId="24" borderId="25" xfId="4" applyFont="1" applyFill="1" applyBorder="1">
      <alignment vertical="center"/>
    </xf>
    <xf numFmtId="0" fontId="22" fillId="24" borderId="81" xfId="4" applyFont="1" applyFill="1" applyBorder="1">
      <alignment vertical="center"/>
    </xf>
    <xf numFmtId="0" fontId="22" fillId="24" borderId="29" xfId="3" applyFont="1" applyFill="1" applyBorder="1">
      <alignment vertical="center"/>
    </xf>
    <xf numFmtId="0" fontId="22" fillId="24" borderId="11" xfId="3" applyFont="1" applyFill="1" applyBorder="1">
      <alignment vertical="center"/>
    </xf>
    <xf numFmtId="0" fontId="22" fillId="24" borderId="25" xfId="3" applyFont="1" applyFill="1" applyBorder="1">
      <alignment vertical="center"/>
    </xf>
    <xf numFmtId="0" fontId="22" fillId="24" borderId="0" xfId="4" applyFont="1" applyFill="1" applyBorder="1">
      <alignment vertical="center"/>
    </xf>
    <xf numFmtId="0" fontId="0" fillId="0" borderId="2" xfId="0" applyBorder="1" applyAlignment="1">
      <alignment vertical="top" wrapText="1"/>
    </xf>
    <xf numFmtId="0" fontId="19" fillId="0" borderId="63" xfId="0" applyFont="1" applyBorder="1">
      <alignment vertical="center"/>
    </xf>
    <xf numFmtId="0" fontId="16" fillId="0" borderId="6" xfId="0" applyFont="1" applyBorder="1">
      <alignment vertical="center"/>
    </xf>
    <xf numFmtId="0" fontId="19" fillId="0" borderId="6" xfId="0" applyFont="1" applyBorder="1">
      <alignment vertical="center"/>
    </xf>
    <xf numFmtId="0" fontId="19" fillId="0" borderId="2" xfId="0" applyFont="1" applyBorder="1" applyAlignment="1">
      <alignment vertical="center" wrapText="1"/>
    </xf>
    <xf numFmtId="0" fontId="19" fillId="0" borderId="14" xfId="0" applyFont="1" applyBorder="1">
      <alignment vertical="center"/>
    </xf>
    <xf numFmtId="0" fontId="22" fillId="24" borderId="27" xfId="4" applyFont="1" applyFill="1" applyBorder="1" applyAlignment="1">
      <alignment horizontal="center" vertical="center"/>
    </xf>
    <xf numFmtId="0" fontId="22" fillId="24" borderId="12" xfId="4" applyFont="1" applyFill="1" applyBorder="1" applyAlignment="1">
      <alignment horizontal="center" vertical="center"/>
    </xf>
    <xf numFmtId="0" fontId="22" fillId="24" borderId="31" xfId="4" applyFont="1" applyFill="1" applyBorder="1" applyAlignment="1">
      <alignment horizontal="center" vertical="center"/>
    </xf>
    <xf numFmtId="0" fontId="28" fillId="24" borderId="77" xfId="3" applyFont="1" applyFill="1" applyBorder="1" applyAlignment="1">
      <alignment horizontal="center" vertical="center"/>
    </xf>
    <xf numFmtId="0" fontId="29" fillId="24" borderId="0" xfId="3" applyFont="1" applyFill="1" applyAlignment="1">
      <alignment horizontal="center" vertical="center"/>
    </xf>
    <xf numFmtId="0" fontId="29" fillId="24" borderId="78" xfId="3" applyFont="1" applyFill="1" applyBorder="1" applyAlignment="1">
      <alignment horizontal="center" vertical="center"/>
    </xf>
    <xf numFmtId="0" fontId="30" fillId="24" borderId="77" xfId="3" applyFont="1" applyFill="1" applyBorder="1" applyAlignment="1">
      <alignment horizontal="center" vertical="center"/>
    </xf>
    <xf numFmtId="0" fontId="22" fillId="24" borderId="0" xfId="3" applyFont="1" applyFill="1" applyAlignment="1">
      <alignment horizontal="center" vertical="center"/>
    </xf>
    <xf numFmtId="0" fontId="22" fillId="24" borderId="78" xfId="3" applyFont="1" applyFill="1" applyBorder="1" applyAlignment="1">
      <alignment horizontal="center" vertical="center"/>
    </xf>
    <xf numFmtId="0" fontId="22" fillId="24" borderId="64" xfId="4"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14" fontId="19" fillId="0" borderId="63" xfId="0" applyNumberFormat="1" applyFont="1" applyBorder="1">
      <alignment vertical="center"/>
    </xf>
  </cellXfs>
  <cellStyles count="5">
    <cellStyle name="ハイパーリンク" xfId="1" builtinId="8"/>
    <cellStyle name="標準" xfId="0" builtinId="0"/>
    <cellStyle name="標準 2" xfId="2" xr:uid="{00000000-0005-0000-0000-000002000000}"/>
    <cellStyle name="標準 5" xfId="3" xr:uid="{B753765B-FBC8-45F2-8283-82CC9612EFA0}"/>
    <cellStyle name="標準 7" xfId="4" xr:uid="{73EE494F-9269-4290-BD6F-3C3A71AB0F45}"/>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0000FF"/>
      <color rgb="FFFFCC99"/>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theme" Target="theme/theme1.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s>
</file>

<file path=xl/drawings/_rels/drawing5.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85725</xdr:colOff>
          <xdr:row>35</xdr:row>
          <xdr:rowOff>66675</xdr:rowOff>
        </xdr:from>
        <xdr:to>
          <xdr:col>38</xdr:col>
          <xdr:colOff>85725</xdr:colOff>
          <xdr:row>39</xdr:row>
          <xdr:rowOff>66675</xdr:rowOff>
        </xdr:to>
        <xdr:sp macro="" textlink="">
          <xdr:nvSpPr>
            <xdr:cNvPr id="28673" name="inei1_REYES DYAN" hidden="1">
              <a:extLst>
                <a:ext uri="{63B3BB69-23CF-44E3-9099-C40C66FF867C}">
                  <a14:compatExt spid="_x0000_s28673"/>
                </a:ext>
                <a:ext uri="{FF2B5EF4-FFF2-40B4-BE49-F238E27FC236}">
                  <a16:creationId xmlns:a16="http://schemas.microsoft.com/office/drawing/2014/main" id="{00000000-0008-0000-0000-00000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8165</xdr:colOff>
      <xdr:row>109</xdr:row>
      <xdr:rowOff>24865</xdr:rowOff>
    </xdr:from>
    <xdr:to>
      <xdr:col>61</xdr:col>
      <xdr:colOff>188730</xdr:colOff>
      <xdr:row>131</xdr:row>
      <xdr:rowOff>39632</xdr:rowOff>
    </xdr:to>
    <xdr:pic>
      <xdr:nvPicPr>
        <xdr:cNvPr id="245" name="図 244">
          <a:extLst>
            <a:ext uri="{FF2B5EF4-FFF2-40B4-BE49-F238E27FC236}">
              <a16:creationId xmlns:a16="http://schemas.microsoft.com/office/drawing/2014/main" id="{C715FE95-5E8A-41DA-94E5-B4F29EE6F3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34415" y="84928983"/>
          <a:ext cx="26926765" cy="3786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10886</xdr:colOff>
      <xdr:row>58</xdr:row>
      <xdr:rowOff>1731</xdr:rowOff>
    </xdr:from>
    <xdr:to>
      <xdr:col>43</xdr:col>
      <xdr:colOff>467277</xdr:colOff>
      <xdr:row>102</xdr:row>
      <xdr:rowOff>66638</xdr:rowOff>
    </xdr:to>
    <xdr:pic>
      <xdr:nvPicPr>
        <xdr:cNvPr id="38" name="図 37">
          <a:extLst>
            <a:ext uri="{FF2B5EF4-FFF2-40B4-BE49-F238E27FC236}">
              <a16:creationId xmlns:a16="http://schemas.microsoft.com/office/drawing/2014/main" id="{405C7DAA-6041-B745-6E8B-A19EBA9D47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23529" y="77974371"/>
          <a:ext cx="14743891" cy="78481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xdr:row>
      <xdr:rowOff>56031</xdr:rowOff>
    </xdr:from>
    <xdr:to>
      <xdr:col>14</xdr:col>
      <xdr:colOff>26894</xdr:colOff>
      <xdr:row>12</xdr:row>
      <xdr:rowOff>125507</xdr:rowOff>
    </xdr:to>
    <xdr:sp macro="" textlink="">
      <xdr:nvSpPr>
        <xdr:cNvPr id="10" name="線吹き出し 1 (枠付き) 9">
          <a:extLst>
            <a:ext uri="{FF2B5EF4-FFF2-40B4-BE49-F238E27FC236}">
              <a16:creationId xmlns:a16="http://schemas.microsoft.com/office/drawing/2014/main" id="{00000000-0008-0000-0B00-00000A000000}"/>
            </a:ext>
          </a:extLst>
        </xdr:cNvPr>
        <xdr:cNvSpPr/>
      </xdr:nvSpPr>
      <xdr:spPr>
        <a:xfrm>
          <a:off x="7646894" y="17384807"/>
          <a:ext cx="4329953" cy="239806"/>
        </a:xfrm>
        <a:prstGeom prst="borderCallout1">
          <a:avLst>
            <a:gd name="adj1" fmla="val 47144"/>
            <a:gd name="adj2" fmla="val -921"/>
            <a:gd name="adj3" fmla="val 619748"/>
            <a:gd name="adj4" fmla="val -132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フェール処理は最終状態保持のため、通信途絶ビットはマスクする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11</xdr:col>
      <xdr:colOff>11207</xdr:colOff>
      <xdr:row>24</xdr:row>
      <xdr:rowOff>84553</xdr:rowOff>
    </xdr:from>
    <xdr:to>
      <xdr:col>14</xdr:col>
      <xdr:colOff>170330</xdr:colOff>
      <xdr:row>25</xdr:row>
      <xdr:rowOff>156883</xdr:rowOff>
    </xdr:to>
    <xdr:sp macro="" textlink="">
      <xdr:nvSpPr>
        <xdr:cNvPr id="11" name="線吹き出し 1 (枠付き) 10">
          <a:extLst>
            <a:ext uri="{FF2B5EF4-FFF2-40B4-BE49-F238E27FC236}">
              <a16:creationId xmlns:a16="http://schemas.microsoft.com/office/drawing/2014/main" id="{00000000-0008-0000-0B00-00000B000000}"/>
            </a:ext>
          </a:extLst>
        </xdr:cNvPr>
        <xdr:cNvSpPr/>
      </xdr:nvSpPr>
      <xdr:spPr>
        <a:xfrm>
          <a:off x="8494060" y="20730882"/>
          <a:ext cx="4944035" cy="257736"/>
        </a:xfrm>
        <a:prstGeom prst="borderCallout1">
          <a:avLst>
            <a:gd name="adj1" fmla="val 47144"/>
            <a:gd name="adj2" fmla="val -921"/>
            <a:gd name="adj3" fmla="val 570043"/>
            <a:gd name="adj4" fmla="val -136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フェール処理は最終状態保持のため、通信途絶ビットはマスクする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29</xdr:col>
      <xdr:colOff>221396</xdr:colOff>
      <xdr:row>127</xdr:row>
      <xdr:rowOff>82013</xdr:rowOff>
    </xdr:from>
    <xdr:to>
      <xdr:col>61</xdr:col>
      <xdr:colOff>171450</xdr:colOff>
      <xdr:row>131</xdr:row>
      <xdr:rowOff>30307</xdr:rowOff>
    </xdr:to>
    <xdr:sp macro="" textlink="">
      <xdr:nvSpPr>
        <xdr:cNvPr id="193" name="正方形/長方形 192">
          <a:extLst>
            <a:ext uri="{FF2B5EF4-FFF2-40B4-BE49-F238E27FC236}">
              <a16:creationId xmlns:a16="http://schemas.microsoft.com/office/drawing/2014/main" id="{00000000-0008-0000-0B00-0000C1000000}"/>
            </a:ext>
          </a:extLst>
        </xdr:cNvPr>
        <xdr:cNvSpPr/>
      </xdr:nvSpPr>
      <xdr:spPr>
        <a:xfrm>
          <a:off x="24548246" y="88072231"/>
          <a:ext cx="21895654" cy="6340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22</xdr:col>
      <xdr:colOff>32241</xdr:colOff>
      <xdr:row>83</xdr:row>
      <xdr:rowOff>35750</xdr:rowOff>
    </xdr:from>
    <xdr:to>
      <xdr:col>43</xdr:col>
      <xdr:colOff>421820</xdr:colOff>
      <xdr:row>85</xdr:row>
      <xdr:rowOff>23503</xdr:rowOff>
    </xdr:to>
    <xdr:sp macro="" textlink="">
      <xdr:nvSpPr>
        <xdr:cNvPr id="199" name="正方形/長方形 198">
          <a:extLst>
            <a:ext uri="{FF2B5EF4-FFF2-40B4-BE49-F238E27FC236}">
              <a16:creationId xmlns:a16="http://schemas.microsoft.com/office/drawing/2014/main" id="{00000000-0008-0000-0B00-0000C7000000}"/>
            </a:ext>
          </a:extLst>
        </xdr:cNvPr>
        <xdr:cNvSpPr/>
      </xdr:nvSpPr>
      <xdr:spPr>
        <a:xfrm>
          <a:off x="19544884" y="82449761"/>
          <a:ext cx="14677079" cy="3224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12</xdr:col>
      <xdr:colOff>317125</xdr:colOff>
      <xdr:row>111</xdr:row>
      <xdr:rowOff>115472</xdr:rowOff>
    </xdr:from>
    <xdr:to>
      <xdr:col>19</xdr:col>
      <xdr:colOff>580464</xdr:colOff>
      <xdr:row>120</xdr:row>
      <xdr:rowOff>2292</xdr:rowOff>
    </xdr:to>
    <xdr:sp macro="" textlink="">
      <xdr:nvSpPr>
        <xdr:cNvPr id="200" name="線吹き出し 1 (枠付き) 199">
          <a:extLst>
            <a:ext uri="{FF2B5EF4-FFF2-40B4-BE49-F238E27FC236}">
              <a16:creationId xmlns:a16="http://schemas.microsoft.com/office/drawing/2014/main" id="{00000000-0008-0000-0B00-0000C8000000}"/>
            </a:ext>
          </a:extLst>
        </xdr:cNvPr>
        <xdr:cNvSpPr/>
      </xdr:nvSpPr>
      <xdr:spPr>
        <a:xfrm>
          <a:off x="10985125" y="85362490"/>
          <a:ext cx="7064189" cy="1429870"/>
        </a:xfrm>
        <a:prstGeom prst="borderCallout1">
          <a:avLst>
            <a:gd name="adj1" fmla="val 21709"/>
            <a:gd name="adj2" fmla="val 100154"/>
            <a:gd name="adj3" fmla="val 221919"/>
            <a:gd name="adj4" fmla="val 1903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LCAW</a:t>
          </a:r>
          <a:r>
            <a:rPr kumimoji="1"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の</a:t>
          </a:r>
          <a:r>
            <a:rPr kumimoji="1"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RW</a:t>
          </a:r>
          <a:r>
            <a:rPr kumimoji="1"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信号出力条件が複数あり、かつそれぞれ異なる</a:t>
          </a:r>
          <a:r>
            <a:rPr kumimoji="1"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CH</a:t>
          </a:r>
          <a:r>
            <a:rPr kumimoji="1"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にて使用している。</a:t>
          </a:r>
          <a:endParaRPr kumimoji="1"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endParaRPr>
        </a:p>
        <a:p>
          <a:r>
            <a:rPr kumimoji="1"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その為、</a:t>
          </a:r>
          <a:r>
            <a:rPr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rPr>
            <a:t>RW</a:t>
          </a:r>
          <a:r>
            <a:rPr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rPr>
            <a:t>出力判定用の</a:t>
          </a:r>
          <a:r>
            <a:rPr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rPr>
            <a:t>CH</a:t>
          </a:r>
          <a:r>
            <a:rPr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rPr>
            <a:t>を追加し、判定を行う。</a:t>
          </a:r>
          <a:endParaRPr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endParaRPr>
        </a:p>
        <a:p>
          <a:r>
            <a:rPr kumimoji="1"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cs typeface="+mn-cs"/>
            </a:rPr>
            <a:t>R/W</a:t>
          </a:r>
          <a:r>
            <a:rPr kumimoji="1"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cs typeface="+mn-cs"/>
            </a:rPr>
            <a:t>送信信号の有無が無しと記載されており、</a:t>
          </a:r>
          <a:r>
            <a:rPr kumimoji="1"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cs typeface="+mn-cs"/>
            </a:rPr>
            <a:t>M_REMWAR</a:t>
          </a:r>
          <a:r>
            <a:rPr kumimoji="1"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cs typeface="+mn-cs"/>
            </a:rPr>
            <a:t>の送信信号、送信条件が取り消されているため、</a:t>
          </a:r>
          <a:r>
            <a:rPr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rPr>
            <a:t>本機能では、</a:t>
          </a:r>
          <a:r>
            <a:rPr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rPr>
            <a:t>LCAW</a:t>
          </a:r>
          <a:r>
            <a:rPr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rPr>
            <a:t>の</a:t>
          </a:r>
          <a:r>
            <a:rPr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rPr>
            <a:t>RW</a:t>
          </a:r>
          <a:r>
            <a:rPr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rPr>
            <a:t>送信は行わない。</a:t>
          </a:r>
          <a:endParaRPr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15</xdr:col>
      <xdr:colOff>372595</xdr:colOff>
      <xdr:row>84</xdr:row>
      <xdr:rowOff>39152</xdr:rowOff>
    </xdr:from>
    <xdr:to>
      <xdr:col>22</xdr:col>
      <xdr:colOff>32241</xdr:colOff>
      <xdr:row>111</xdr:row>
      <xdr:rowOff>115472</xdr:rowOff>
    </xdr:to>
    <xdr:cxnSp macro="">
      <xdr:nvCxnSpPr>
        <xdr:cNvPr id="225" name="直線コネクタ 224">
          <a:extLst>
            <a:ext uri="{FF2B5EF4-FFF2-40B4-BE49-F238E27FC236}">
              <a16:creationId xmlns:a16="http://schemas.microsoft.com/office/drawing/2014/main" id="{00000000-0008-0000-0B00-0000E1000000}"/>
            </a:ext>
          </a:extLst>
        </xdr:cNvPr>
        <xdr:cNvCxnSpPr>
          <a:stCxn id="199" idx="1"/>
          <a:endCxn id="200" idx="3"/>
        </xdr:cNvCxnSpPr>
      </xdr:nvCxnSpPr>
      <xdr:spPr>
        <a:xfrm flipH="1">
          <a:off x="14517220" y="80657020"/>
          <a:ext cx="5041271" cy="470547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76200</xdr:colOff>
      <xdr:row>11</xdr:row>
      <xdr:rowOff>47625</xdr:rowOff>
    </xdr:from>
    <xdr:to>
      <xdr:col>10</xdr:col>
      <xdr:colOff>1266825</xdr:colOff>
      <xdr:row>12</xdr:row>
      <xdr:rowOff>128599</xdr:rowOff>
    </xdr:to>
    <xdr:sp macro="" textlink="">
      <xdr:nvSpPr>
        <xdr:cNvPr id="226" name="線吹き出し 1 (枠付き) 225">
          <a:extLst>
            <a:ext uri="{FF2B5EF4-FFF2-40B4-BE49-F238E27FC236}">
              <a16:creationId xmlns:a16="http://schemas.microsoft.com/office/drawing/2014/main" id="{00000000-0008-0000-0B00-0000E2000000}"/>
            </a:ext>
          </a:extLst>
        </xdr:cNvPr>
        <xdr:cNvSpPr/>
      </xdr:nvSpPr>
      <xdr:spPr>
        <a:xfrm>
          <a:off x="5514975" y="17564100"/>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xdr:col>
      <xdr:colOff>76200</xdr:colOff>
      <xdr:row>24</xdr:row>
      <xdr:rowOff>47625</xdr:rowOff>
    </xdr:from>
    <xdr:to>
      <xdr:col>10</xdr:col>
      <xdr:colOff>1266825</xdr:colOff>
      <xdr:row>25</xdr:row>
      <xdr:rowOff>128599</xdr:rowOff>
    </xdr:to>
    <xdr:sp macro="" textlink="">
      <xdr:nvSpPr>
        <xdr:cNvPr id="227" name="線吹き出し 1 (枠付き) 226">
          <a:extLst>
            <a:ext uri="{FF2B5EF4-FFF2-40B4-BE49-F238E27FC236}">
              <a16:creationId xmlns:a16="http://schemas.microsoft.com/office/drawing/2014/main" id="{00000000-0008-0000-0B00-0000E3000000}"/>
            </a:ext>
          </a:extLst>
        </xdr:cNvPr>
        <xdr:cNvSpPr/>
      </xdr:nvSpPr>
      <xdr:spPr>
        <a:xfrm>
          <a:off x="5514975" y="21021675"/>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9</xdr:col>
      <xdr:colOff>28575</xdr:colOff>
      <xdr:row>37</xdr:row>
      <xdr:rowOff>57150</xdr:rowOff>
    </xdr:from>
    <xdr:to>
      <xdr:col>11</xdr:col>
      <xdr:colOff>1000125</xdr:colOff>
      <xdr:row>38</xdr:row>
      <xdr:rowOff>147649</xdr:rowOff>
    </xdr:to>
    <xdr:sp macro="" textlink="">
      <xdr:nvSpPr>
        <xdr:cNvPr id="228" name="線吹き出し 1 (枠付き) 227">
          <a:extLst>
            <a:ext uri="{FF2B5EF4-FFF2-40B4-BE49-F238E27FC236}">
              <a16:creationId xmlns:a16="http://schemas.microsoft.com/office/drawing/2014/main" id="{00000000-0008-0000-0B00-0000E4000000}"/>
            </a:ext>
          </a:extLst>
        </xdr:cNvPr>
        <xdr:cNvSpPr/>
      </xdr:nvSpPr>
      <xdr:spPr>
        <a:xfrm>
          <a:off x="6753225" y="24498300"/>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20</xdr:col>
      <xdr:colOff>0</xdr:colOff>
      <xdr:row>20</xdr:row>
      <xdr:rowOff>2651</xdr:rowOff>
    </xdr:from>
    <xdr:to>
      <xdr:col>86</xdr:col>
      <xdr:colOff>414617</xdr:colOff>
      <xdr:row>52</xdr:row>
      <xdr:rowOff>94298</xdr:rowOff>
    </xdr:to>
    <xdr:grpSp>
      <xdr:nvGrpSpPr>
        <xdr:cNvPr id="98" name="グループ化 97">
          <a:extLst>
            <a:ext uri="{FF2B5EF4-FFF2-40B4-BE49-F238E27FC236}">
              <a16:creationId xmlns:a16="http://schemas.microsoft.com/office/drawing/2014/main" id="{0587D230-24AB-EE8B-A551-4785DE8C5093}"/>
            </a:ext>
          </a:extLst>
        </xdr:cNvPr>
        <xdr:cNvGrpSpPr/>
      </xdr:nvGrpSpPr>
      <xdr:grpSpPr>
        <a:xfrm>
          <a:off x="18328821" y="4724330"/>
          <a:ext cx="45318189" cy="8283147"/>
          <a:chOff x="18151929" y="42206318"/>
          <a:chExt cx="45318188" cy="8299723"/>
        </a:xfrm>
      </xdr:grpSpPr>
      <xdr:pic>
        <xdr:nvPicPr>
          <xdr:cNvPr id="95" name="図 94">
            <a:extLst>
              <a:ext uri="{FF2B5EF4-FFF2-40B4-BE49-F238E27FC236}">
                <a16:creationId xmlns:a16="http://schemas.microsoft.com/office/drawing/2014/main" id="{48551715-277F-4883-8143-8D6A185C49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151929" y="42685607"/>
            <a:ext cx="19263360" cy="782043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5" name="正方形/長方形 174">
            <a:extLst>
              <a:ext uri="{FF2B5EF4-FFF2-40B4-BE49-F238E27FC236}">
                <a16:creationId xmlns:a16="http://schemas.microsoft.com/office/drawing/2014/main" id="{00000000-0008-0000-0B00-0000AF000000}"/>
              </a:ext>
            </a:extLst>
          </xdr:cNvPr>
          <xdr:cNvSpPr/>
        </xdr:nvSpPr>
        <xdr:spPr>
          <a:xfrm>
            <a:off x="27265675" y="43811856"/>
            <a:ext cx="1379603" cy="37042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77" name="正方形/長方形 176">
            <a:extLst>
              <a:ext uri="{FF2B5EF4-FFF2-40B4-BE49-F238E27FC236}">
                <a16:creationId xmlns:a16="http://schemas.microsoft.com/office/drawing/2014/main" id="{00000000-0008-0000-0B00-0000B1000000}"/>
              </a:ext>
            </a:extLst>
          </xdr:cNvPr>
          <xdr:cNvSpPr/>
        </xdr:nvSpPr>
        <xdr:spPr>
          <a:xfrm>
            <a:off x="28626228" y="47946190"/>
            <a:ext cx="1551214" cy="12516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78" name="正方形/長方形 177">
            <a:extLst>
              <a:ext uri="{FF2B5EF4-FFF2-40B4-BE49-F238E27FC236}">
                <a16:creationId xmlns:a16="http://schemas.microsoft.com/office/drawing/2014/main" id="{00000000-0008-0000-0B00-0000B2000000}"/>
              </a:ext>
            </a:extLst>
          </xdr:cNvPr>
          <xdr:cNvSpPr/>
        </xdr:nvSpPr>
        <xdr:spPr>
          <a:xfrm>
            <a:off x="30192173" y="48978511"/>
            <a:ext cx="1516019" cy="2193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79" name="線吹き出し 1 (枠付き) 178">
            <a:extLst>
              <a:ext uri="{FF2B5EF4-FFF2-40B4-BE49-F238E27FC236}">
                <a16:creationId xmlns:a16="http://schemas.microsoft.com/office/drawing/2014/main" id="{00000000-0008-0000-0B00-0000B3000000}"/>
              </a:ext>
            </a:extLst>
          </xdr:cNvPr>
          <xdr:cNvSpPr/>
        </xdr:nvSpPr>
        <xdr:spPr>
          <a:xfrm>
            <a:off x="28568122" y="43098843"/>
            <a:ext cx="1279471" cy="377611"/>
          </a:xfrm>
          <a:prstGeom prst="borderCallout1">
            <a:avLst>
              <a:gd name="adj1" fmla="val 42429"/>
              <a:gd name="adj2" fmla="val -3670"/>
              <a:gd name="adj3" fmla="val 178588"/>
              <a:gd name="adj4" fmla="val -504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181" name="線吹き出し 1 (枠付き) 180">
            <a:extLst>
              <a:ext uri="{FF2B5EF4-FFF2-40B4-BE49-F238E27FC236}">
                <a16:creationId xmlns:a16="http://schemas.microsoft.com/office/drawing/2014/main" id="{00000000-0008-0000-0B00-0000B5000000}"/>
              </a:ext>
            </a:extLst>
          </xdr:cNvPr>
          <xdr:cNvSpPr/>
        </xdr:nvSpPr>
        <xdr:spPr>
          <a:xfrm>
            <a:off x="33090413" y="47710093"/>
            <a:ext cx="2442480" cy="331605"/>
          </a:xfrm>
          <a:prstGeom prst="borderCallout1">
            <a:avLst>
              <a:gd name="adj1" fmla="val 44823"/>
              <a:gd name="adj2" fmla="val -3207"/>
              <a:gd name="adj3" fmla="val 298398"/>
              <a:gd name="adj4" fmla="val -631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通信途絶時は前回値保持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82" name="正方形/長方形 181">
            <a:extLst>
              <a:ext uri="{FF2B5EF4-FFF2-40B4-BE49-F238E27FC236}">
                <a16:creationId xmlns:a16="http://schemas.microsoft.com/office/drawing/2014/main" id="{00000000-0008-0000-0B00-0000B6000000}"/>
              </a:ext>
            </a:extLst>
          </xdr:cNvPr>
          <xdr:cNvSpPr/>
        </xdr:nvSpPr>
        <xdr:spPr>
          <a:xfrm>
            <a:off x="30189771" y="47949390"/>
            <a:ext cx="1505267" cy="10315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83" name="線吹き出し 1 (枠付き) 182">
            <a:extLst>
              <a:ext uri="{FF2B5EF4-FFF2-40B4-BE49-F238E27FC236}">
                <a16:creationId xmlns:a16="http://schemas.microsoft.com/office/drawing/2014/main" id="{00000000-0008-0000-0B00-0000B7000000}"/>
              </a:ext>
            </a:extLst>
          </xdr:cNvPr>
          <xdr:cNvSpPr/>
        </xdr:nvSpPr>
        <xdr:spPr>
          <a:xfrm>
            <a:off x="27798115" y="49400421"/>
            <a:ext cx="1537603" cy="498573"/>
          </a:xfrm>
          <a:prstGeom prst="borderCallout1">
            <a:avLst>
              <a:gd name="adj1" fmla="val -3657"/>
              <a:gd name="adj2" fmla="val 41279"/>
              <a:gd name="adj3" fmla="val -39681"/>
              <a:gd name="adj4" fmla="val 923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初期値は非吹鳴</a:t>
            </a:r>
          </a:p>
        </xdr:txBody>
      </xdr:sp>
      <xdr:sp macro="" textlink="">
        <xdr:nvSpPr>
          <xdr:cNvPr id="184" name="線吹き出し 1 (枠付き) 183">
            <a:extLst>
              <a:ext uri="{FF2B5EF4-FFF2-40B4-BE49-F238E27FC236}">
                <a16:creationId xmlns:a16="http://schemas.microsoft.com/office/drawing/2014/main" id="{00000000-0008-0000-0B00-0000B8000000}"/>
              </a:ext>
            </a:extLst>
          </xdr:cNvPr>
          <xdr:cNvSpPr/>
        </xdr:nvSpPr>
        <xdr:spPr>
          <a:xfrm>
            <a:off x="31809345" y="49317934"/>
            <a:ext cx="1936509" cy="476992"/>
          </a:xfrm>
          <a:prstGeom prst="borderCallout1">
            <a:avLst>
              <a:gd name="adj1" fmla="val 44823"/>
              <a:gd name="adj2" fmla="val -3207"/>
              <a:gd name="adj3" fmla="val -32287"/>
              <a:gd name="adj4" fmla="val -45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85" name="正方形/長方形 184">
            <a:extLst>
              <a:ext uri="{FF2B5EF4-FFF2-40B4-BE49-F238E27FC236}">
                <a16:creationId xmlns:a16="http://schemas.microsoft.com/office/drawing/2014/main" id="{00000000-0008-0000-0B00-0000B9000000}"/>
              </a:ext>
            </a:extLst>
          </xdr:cNvPr>
          <xdr:cNvSpPr/>
        </xdr:nvSpPr>
        <xdr:spPr>
          <a:xfrm>
            <a:off x="28634475" y="45053090"/>
            <a:ext cx="1531200" cy="12656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86" name="線吹き出し 1 (枠付き) 185">
            <a:extLst>
              <a:ext uri="{FF2B5EF4-FFF2-40B4-BE49-F238E27FC236}">
                <a16:creationId xmlns:a16="http://schemas.microsoft.com/office/drawing/2014/main" id="{00000000-0008-0000-0B00-0000BA000000}"/>
              </a:ext>
            </a:extLst>
          </xdr:cNvPr>
          <xdr:cNvSpPr/>
        </xdr:nvSpPr>
        <xdr:spPr>
          <a:xfrm>
            <a:off x="30481924" y="43104547"/>
            <a:ext cx="3528890" cy="503684"/>
          </a:xfrm>
          <a:prstGeom prst="borderCallout1">
            <a:avLst>
              <a:gd name="adj1" fmla="val 44823"/>
              <a:gd name="adj2" fmla="val -3207"/>
              <a:gd name="adj3" fmla="val 385870"/>
              <a:gd name="adj4" fmla="val -25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以外→</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のため、エッジ判定不要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88" name="線吹き出し 1 (枠付き) 187">
            <a:extLst>
              <a:ext uri="{FF2B5EF4-FFF2-40B4-BE49-F238E27FC236}">
                <a16:creationId xmlns:a16="http://schemas.microsoft.com/office/drawing/2014/main" id="{00000000-0008-0000-0B00-0000BC000000}"/>
              </a:ext>
            </a:extLst>
          </xdr:cNvPr>
          <xdr:cNvSpPr/>
        </xdr:nvSpPr>
        <xdr:spPr>
          <a:xfrm>
            <a:off x="23259565" y="43170834"/>
            <a:ext cx="1810817" cy="382918"/>
          </a:xfrm>
          <a:prstGeom prst="borderCallout1">
            <a:avLst>
              <a:gd name="adj1" fmla="val 48660"/>
              <a:gd name="adj2" fmla="val 1032"/>
              <a:gd name="adj3" fmla="val 54001"/>
              <a:gd name="adj4" fmla="val -25134"/>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rPr>
              <a:t>BC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rPr>
              <a:t>要求有りと判断</a:t>
            </a:r>
          </a:p>
        </xdr:txBody>
      </xdr:sp>
      <xdr:sp macro="" textlink="">
        <xdr:nvSpPr>
          <xdr:cNvPr id="190" name="正方形/長方形 189">
            <a:extLst>
              <a:ext uri="{FF2B5EF4-FFF2-40B4-BE49-F238E27FC236}">
                <a16:creationId xmlns:a16="http://schemas.microsoft.com/office/drawing/2014/main" id="{00000000-0008-0000-0B00-0000BE000000}"/>
              </a:ext>
            </a:extLst>
          </xdr:cNvPr>
          <xdr:cNvSpPr/>
        </xdr:nvSpPr>
        <xdr:spPr>
          <a:xfrm>
            <a:off x="21962729" y="43336348"/>
            <a:ext cx="852367" cy="2745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1" name="正方形/長方形 210">
            <a:extLst>
              <a:ext uri="{FF2B5EF4-FFF2-40B4-BE49-F238E27FC236}">
                <a16:creationId xmlns:a16="http://schemas.microsoft.com/office/drawing/2014/main" id="{00000000-0008-0000-0B00-0000D3000000}"/>
              </a:ext>
            </a:extLst>
          </xdr:cNvPr>
          <xdr:cNvSpPr/>
        </xdr:nvSpPr>
        <xdr:spPr>
          <a:xfrm>
            <a:off x="52076617" y="42716986"/>
            <a:ext cx="11393500" cy="21153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2" name="線吹き出し 1 (枠付き) 211">
            <a:extLst>
              <a:ext uri="{FF2B5EF4-FFF2-40B4-BE49-F238E27FC236}">
                <a16:creationId xmlns:a16="http://schemas.microsoft.com/office/drawing/2014/main" id="{00000000-0008-0000-0B00-0000D4000000}"/>
              </a:ext>
            </a:extLst>
          </xdr:cNvPr>
          <xdr:cNvSpPr/>
        </xdr:nvSpPr>
        <xdr:spPr>
          <a:xfrm>
            <a:off x="58115789" y="42206318"/>
            <a:ext cx="1632054" cy="338987"/>
          </a:xfrm>
          <a:prstGeom prst="borderCallout1">
            <a:avLst>
              <a:gd name="adj1" fmla="val 44823"/>
              <a:gd name="adj2" fmla="val -3207"/>
              <a:gd name="adj3" fmla="val 151956"/>
              <a:gd name="adj4" fmla="val -198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表示側の責務</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221" name="正方形/長方形 220">
            <a:extLst>
              <a:ext uri="{FF2B5EF4-FFF2-40B4-BE49-F238E27FC236}">
                <a16:creationId xmlns:a16="http://schemas.microsoft.com/office/drawing/2014/main" id="{00000000-0008-0000-0B00-0000DD000000}"/>
              </a:ext>
            </a:extLst>
          </xdr:cNvPr>
          <xdr:cNvSpPr/>
        </xdr:nvSpPr>
        <xdr:spPr>
          <a:xfrm>
            <a:off x="30166234" y="45043565"/>
            <a:ext cx="1531605" cy="7240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22" name="線吹き出し 1 (枠付き) 221">
            <a:extLst>
              <a:ext uri="{FF2B5EF4-FFF2-40B4-BE49-F238E27FC236}">
                <a16:creationId xmlns:a16="http://schemas.microsoft.com/office/drawing/2014/main" id="{00000000-0008-0000-0B00-0000DE000000}"/>
              </a:ext>
            </a:extLst>
          </xdr:cNvPr>
          <xdr:cNvSpPr/>
        </xdr:nvSpPr>
        <xdr:spPr>
          <a:xfrm>
            <a:off x="34693414" y="43131441"/>
            <a:ext cx="1495184" cy="503684"/>
          </a:xfrm>
          <a:prstGeom prst="borderCallout1">
            <a:avLst>
              <a:gd name="adj1" fmla="val 44823"/>
              <a:gd name="adj2" fmla="val -3207"/>
              <a:gd name="adj3" fmla="val 383122"/>
              <a:gd name="adj4" fmla="val -2002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xnSp macro="">
        <xdr:nvCxnSpPr>
          <xdr:cNvPr id="223" name="直線コネクタ 222">
            <a:extLst>
              <a:ext uri="{FF2B5EF4-FFF2-40B4-BE49-F238E27FC236}">
                <a16:creationId xmlns:a16="http://schemas.microsoft.com/office/drawing/2014/main" id="{00000000-0008-0000-0B00-0000DF000000}"/>
              </a:ext>
            </a:extLst>
          </xdr:cNvPr>
          <xdr:cNvCxnSpPr>
            <a:stCxn id="222" idx="0"/>
          </xdr:cNvCxnSpPr>
        </xdr:nvCxnSpPr>
        <xdr:spPr>
          <a:xfrm>
            <a:off x="36188598" y="43383283"/>
            <a:ext cx="15861125" cy="397299"/>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pic>
        <xdr:nvPicPr>
          <xdr:cNvPr id="97" name="図 96">
            <a:extLst>
              <a:ext uri="{FF2B5EF4-FFF2-40B4-BE49-F238E27FC236}">
                <a16:creationId xmlns:a16="http://schemas.microsoft.com/office/drawing/2014/main" id="{07192B51-2DFE-4FEC-CB81-ACE1D3AFB212}"/>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82732"/>
          <a:stretch/>
        </xdr:blipFill>
        <xdr:spPr bwMode="auto">
          <a:xfrm>
            <a:off x="41893672" y="42685607"/>
            <a:ext cx="21132549" cy="233628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車両仕様"/>
      <sheetName val="#REF!"/>
      <sheetName val="選択リスト"/>
      <sheetName val="★DropDown"/>
      <sheetName val="加工費"/>
      <sheetName val="R32C_116グループ（144Pin版）"/>
      <sheetName val="MN103SH40Q"/>
      <sheetName val="DataInputRule"/>
      <sheetName val="信息定义"/>
      <sheetName val="Q&amp;A確認"/>
      <sheetName val="Sheet1"/>
      <sheetName val="⑥フューエル"/>
      <sheetName val="改訂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FMEA記載方法"/>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MET397D-25"/>
      <sheetName val="集計表"/>
      <sheetName val="format"/>
      <sheetName val="要求仕様Ｑ＆Ａ-ソフト"/>
      <sheetName val="Ｓｉ問連"/>
      <sheetName val="アップロード系(2)"/>
      <sheetName val="エンジン型式"/>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sheetData sheetId="1394"/>
      <sheetData sheetId="1395"/>
      <sheetData sheetId="1396" refreshError="1"/>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sheetData sheetId="1452"/>
      <sheetData sheetId="1453"/>
      <sheetData sheetId="1454"/>
      <sheetData sheetId="1455"/>
      <sheetData sheetId="1456"/>
      <sheetData sheetId="1457"/>
      <sheetData sheetId="1458"/>
      <sheetData sheetId="1459"/>
      <sheetData sheetId="1460"/>
      <sheetData sheetId="1461"/>
      <sheetData sheetId="1462" refreshError="1"/>
      <sheetData sheetId="1463">
        <row r="3">
          <cell r="C3" t="str">
            <v>2022年</v>
          </cell>
        </row>
      </sheetData>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row r="1">
          <cell r="A1"/>
        </row>
      </sheetData>
      <sheetData sheetId="2967"/>
      <sheetData sheetId="2968"/>
      <sheetData sheetId="2969"/>
      <sheetData sheetId="2970">
        <row r="1">
          <cell r="B1" t="str">
            <v>文章管理番号</v>
          </cell>
        </row>
      </sheetData>
      <sheetData sheetId="297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34925">
          <a:solidFill>
            <a:srgbClr val="FF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svn/aip/tmcapp/sd/evidence/trunk/02_Design/01_Vom/Alert/03_Component/v5xx/alert_design.pptx" TargetMode="External"/><Relationship Id="rId1" Type="http://schemas.openxmlformats.org/officeDocument/2006/relationships/hyperlink" Target="https://aip01.dndev.net/wiki/display/MET631B/D1L1+and+R-Car+Local+Communication+Specification"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74D6-A343-46F3-B03C-3120492F9C2E}">
  <dimension ref="A1:AN42"/>
  <sheetViews>
    <sheetView view="pageBreakPreview" zoomScaleNormal="100" zoomScaleSheetLayoutView="100" workbookViewId="0">
      <selection activeCell="O22" sqref="O22"/>
    </sheetView>
  </sheetViews>
  <sheetFormatPr defaultColWidth="9" defaultRowHeight="15.75"/>
  <cols>
    <col min="1" max="40" width="2.25" style="215" customWidth="1"/>
    <col min="41" max="16384" width="9" style="215"/>
  </cols>
  <sheetData>
    <row r="1" spans="1:40" ht="13.5" customHeight="1">
      <c r="A1" s="212"/>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4"/>
    </row>
    <row r="2" spans="1:40" ht="13.5" customHeight="1">
      <c r="A2" s="216"/>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8"/>
    </row>
    <row r="3" spans="1:40" ht="13.5" customHeight="1">
      <c r="A3" s="216"/>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8"/>
    </row>
    <row r="4" spans="1:40" ht="13.5" customHeight="1">
      <c r="A4" s="216"/>
      <c r="B4" s="217"/>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8"/>
    </row>
    <row r="5" spans="1:40" ht="13.5" customHeight="1">
      <c r="A5" s="216"/>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8"/>
    </row>
    <row r="6" spans="1:40" ht="13.5" customHeight="1">
      <c r="A6" s="216"/>
      <c r="B6" s="217"/>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c r="AD6" s="217"/>
      <c r="AE6" s="217"/>
      <c r="AF6" s="217"/>
      <c r="AG6" s="217"/>
      <c r="AH6" s="217"/>
      <c r="AI6" s="217"/>
      <c r="AJ6" s="217"/>
      <c r="AK6" s="217"/>
      <c r="AL6" s="217"/>
      <c r="AM6" s="217"/>
      <c r="AN6" s="218"/>
    </row>
    <row r="7" spans="1:40" ht="13.5" customHeight="1">
      <c r="A7" s="216"/>
      <c r="B7" s="217"/>
      <c r="C7" s="217"/>
      <c r="D7" s="217"/>
      <c r="E7" s="217"/>
      <c r="F7" s="217"/>
      <c r="G7" s="217"/>
      <c r="H7" s="217"/>
      <c r="I7" s="217"/>
      <c r="J7" s="217"/>
      <c r="K7" s="217"/>
      <c r="L7" s="217"/>
      <c r="M7" s="217"/>
      <c r="N7" s="217"/>
      <c r="O7" s="217"/>
      <c r="P7" s="217"/>
      <c r="Q7" s="217"/>
      <c r="R7" s="217"/>
      <c r="S7" s="217"/>
      <c r="T7" s="217"/>
      <c r="U7" s="217"/>
      <c r="V7" s="217"/>
      <c r="W7" s="217"/>
      <c r="X7" s="217"/>
      <c r="Y7" s="217"/>
      <c r="Z7" s="217"/>
      <c r="AA7" s="217"/>
      <c r="AB7" s="217"/>
      <c r="AC7" s="217"/>
      <c r="AD7" s="217"/>
      <c r="AE7" s="217"/>
      <c r="AF7" s="217"/>
      <c r="AG7" s="217"/>
      <c r="AH7" s="217"/>
      <c r="AI7" s="217"/>
      <c r="AJ7" s="217"/>
      <c r="AK7" s="217"/>
      <c r="AL7" s="217"/>
      <c r="AM7" s="217"/>
      <c r="AN7" s="218"/>
    </row>
    <row r="8" spans="1:40" ht="13.5" customHeight="1">
      <c r="A8" s="216"/>
      <c r="B8" s="217"/>
      <c r="C8" s="217"/>
      <c r="D8" s="217"/>
      <c r="E8" s="217"/>
      <c r="F8" s="217"/>
      <c r="G8" s="217"/>
      <c r="H8" s="217"/>
      <c r="I8" s="217"/>
      <c r="J8" s="217"/>
      <c r="K8" s="217"/>
      <c r="L8" s="217"/>
      <c r="M8" s="217"/>
      <c r="N8" s="217"/>
      <c r="O8" s="217"/>
      <c r="P8" s="217"/>
      <c r="Q8" s="217"/>
      <c r="R8" s="217"/>
      <c r="S8" s="217"/>
      <c r="T8" s="217"/>
      <c r="U8" s="217"/>
      <c r="V8" s="217"/>
      <c r="W8" s="217"/>
      <c r="X8" s="217"/>
      <c r="Y8" s="217"/>
      <c r="Z8" s="217"/>
      <c r="AA8" s="217"/>
      <c r="AB8" s="217"/>
      <c r="AC8" s="217"/>
      <c r="AD8" s="217"/>
      <c r="AE8" s="217"/>
      <c r="AF8" s="217"/>
      <c r="AG8" s="217"/>
      <c r="AH8" s="217"/>
      <c r="AI8" s="217"/>
      <c r="AJ8" s="217"/>
      <c r="AK8" s="217"/>
      <c r="AL8" s="217"/>
      <c r="AM8" s="217"/>
      <c r="AN8" s="218"/>
    </row>
    <row r="9" spans="1:40" ht="28.5" customHeight="1">
      <c r="A9" s="246" t="str">
        <f ca="1">MID(CELL("filename",A1), FIND("[",CELL("filename",A1))+1, FIND("]",CELL("filename",A1))-FIND("[",CELL("filename",A1))-6)</f>
        <v>alert_S_LCA-CSTD-2-00-A-C0</v>
      </c>
      <c r="B9" s="247"/>
      <c r="C9" s="247"/>
      <c r="D9" s="247"/>
      <c r="E9" s="247"/>
      <c r="F9" s="247"/>
      <c r="G9" s="247"/>
      <c r="H9" s="247"/>
      <c r="I9" s="247"/>
      <c r="J9" s="247"/>
      <c r="K9" s="247"/>
      <c r="L9" s="247"/>
      <c r="M9" s="247"/>
      <c r="N9" s="247"/>
      <c r="O9" s="247"/>
      <c r="P9" s="247"/>
      <c r="Q9" s="247"/>
      <c r="R9" s="247"/>
      <c r="S9" s="247"/>
      <c r="T9" s="247"/>
      <c r="U9" s="247"/>
      <c r="V9" s="247"/>
      <c r="W9" s="247"/>
      <c r="X9" s="247"/>
      <c r="Y9" s="247"/>
      <c r="Z9" s="247"/>
      <c r="AA9" s="247"/>
      <c r="AB9" s="247"/>
      <c r="AC9" s="247"/>
      <c r="AD9" s="247"/>
      <c r="AE9" s="247"/>
      <c r="AF9" s="247"/>
      <c r="AG9" s="247"/>
      <c r="AH9" s="247"/>
      <c r="AI9" s="247"/>
      <c r="AJ9" s="247"/>
      <c r="AK9" s="247"/>
      <c r="AL9" s="247"/>
      <c r="AM9" s="247"/>
      <c r="AN9" s="248"/>
    </row>
    <row r="10" spans="1:40" ht="28.5" customHeight="1">
      <c r="A10" s="249"/>
      <c r="B10" s="250"/>
      <c r="C10" s="250"/>
      <c r="D10" s="250"/>
      <c r="E10" s="250"/>
      <c r="F10" s="250"/>
      <c r="G10" s="250"/>
      <c r="H10" s="250"/>
      <c r="I10" s="250"/>
      <c r="J10" s="250"/>
      <c r="K10" s="250"/>
      <c r="L10" s="250"/>
      <c r="M10" s="250"/>
      <c r="N10" s="250"/>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1"/>
    </row>
    <row r="11" spans="1:40" ht="13.5" customHeight="1">
      <c r="A11" s="216"/>
      <c r="B11" s="217"/>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8"/>
    </row>
    <row r="12" spans="1:40" ht="13.5" customHeight="1">
      <c r="A12" s="216"/>
      <c r="B12" s="217"/>
      <c r="C12" s="217"/>
      <c r="D12" s="217"/>
      <c r="E12" s="217"/>
      <c r="F12" s="217"/>
      <c r="G12" s="217"/>
      <c r="H12" s="217"/>
      <c r="I12" s="217"/>
      <c r="J12" s="217"/>
      <c r="K12" s="217"/>
      <c r="L12" s="217"/>
      <c r="M12" s="217"/>
      <c r="N12" s="217"/>
      <c r="O12" s="217"/>
      <c r="P12" s="217"/>
      <c r="Q12" s="217"/>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8"/>
    </row>
    <row r="13" spans="1:40" ht="13.5" customHeight="1">
      <c r="A13" s="216"/>
      <c r="B13" s="217"/>
      <c r="C13" s="217"/>
      <c r="D13" s="217"/>
      <c r="E13" s="217"/>
      <c r="F13" s="217"/>
      <c r="G13" s="217"/>
      <c r="H13" s="217"/>
      <c r="I13" s="217"/>
      <c r="J13" s="217"/>
      <c r="K13" s="217"/>
      <c r="L13" s="217"/>
      <c r="M13" s="217"/>
      <c r="N13" s="217"/>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8"/>
    </row>
    <row r="14" spans="1:40" ht="13.5" customHeight="1">
      <c r="A14" s="216"/>
      <c r="B14" s="217"/>
      <c r="C14" s="217"/>
      <c r="D14" s="217"/>
      <c r="E14" s="217"/>
      <c r="F14" s="217"/>
      <c r="G14" s="217"/>
      <c r="H14" s="217"/>
      <c r="I14" s="217"/>
      <c r="J14" s="217"/>
      <c r="K14" s="217"/>
      <c r="L14" s="217"/>
      <c r="M14" s="217"/>
      <c r="N14" s="217"/>
      <c r="O14" s="217"/>
      <c r="P14" s="217"/>
      <c r="Q14" s="217"/>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8"/>
    </row>
    <row r="15" spans="1:40" ht="13.5" customHeight="1">
      <c r="A15" s="216"/>
      <c r="B15" s="217"/>
      <c r="C15" s="217"/>
      <c r="D15" s="217"/>
      <c r="E15" s="217"/>
      <c r="F15" s="217"/>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8"/>
    </row>
    <row r="16" spans="1:40" ht="13.5" customHeight="1">
      <c r="A16" s="216"/>
      <c r="B16" s="217"/>
      <c r="C16" s="217"/>
      <c r="D16" s="217"/>
      <c r="E16" s="217"/>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8"/>
    </row>
    <row r="17" spans="1:40" ht="13.5" customHeight="1">
      <c r="A17" s="216"/>
      <c r="B17" s="217"/>
      <c r="C17" s="217"/>
      <c r="D17" s="217"/>
      <c r="E17" s="217"/>
      <c r="F17" s="217"/>
      <c r="G17" s="217"/>
      <c r="H17" s="217"/>
      <c r="I17" s="217"/>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8"/>
    </row>
    <row r="18" spans="1:40" ht="13.5" customHeight="1">
      <c r="A18" s="216"/>
      <c r="B18" s="217"/>
      <c r="C18" s="217"/>
      <c r="D18" s="217"/>
      <c r="E18" s="217"/>
      <c r="F18" s="217"/>
      <c r="G18" s="217"/>
      <c r="H18" s="217"/>
      <c r="I18" s="217"/>
      <c r="J18" s="217"/>
      <c r="K18" s="217"/>
      <c r="L18" s="217"/>
      <c r="M18" s="217"/>
      <c r="N18" s="217"/>
      <c r="O18" s="217"/>
      <c r="P18" s="217"/>
      <c r="Q18" s="217"/>
      <c r="R18" s="217"/>
      <c r="S18" s="217"/>
      <c r="T18" s="217"/>
      <c r="U18" s="217"/>
      <c r="V18" s="217"/>
      <c r="W18" s="217"/>
      <c r="X18" s="217"/>
      <c r="Y18" s="219" t="s">
        <v>339</v>
      </c>
      <c r="Z18" s="220"/>
      <c r="AA18" s="220"/>
      <c r="AB18" s="220"/>
      <c r="AC18" s="220"/>
      <c r="AD18" s="220"/>
      <c r="AE18" s="220"/>
      <c r="AF18" s="220"/>
      <c r="AG18" s="220"/>
      <c r="AH18" s="220"/>
      <c r="AI18" s="220"/>
      <c r="AJ18" s="220"/>
      <c r="AK18" s="220"/>
      <c r="AL18" s="220"/>
      <c r="AM18" s="220"/>
      <c r="AN18" s="218"/>
    </row>
    <row r="19" spans="1:40" ht="13.5" customHeight="1">
      <c r="A19" s="216"/>
      <c r="B19" s="217"/>
      <c r="C19" s="217"/>
      <c r="D19" s="217"/>
      <c r="E19" s="217"/>
      <c r="F19" s="217"/>
      <c r="G19" s="217"/>
      <c r="H19" s="217"/>
      <c r="I19" s="217"/>
      <c r="J19" s="217"/>
      <c r="K19" s="217"/>
      <c r="L19" s="217"/>
      <c r="M19" s="217"/>
      <c r="N19" s="217"/>
      <c r="O19" s="217"/>
      <c r="P19" s="217"/>
      <c r="Q19" s="217"/>
      <c r="R19" s="217"/>
      <c r="S19" s="217"/>
      <c r="T19" s="217"/>
      <c r="U19" s="217"/>
      <c r="V19" s="217"/>
      <c r="W19" s="217"/>
      <c r="X19" s="217"/>
      <c r="Y19" s="243" t="s">
        <v>340</v>
      </c>
      <c r="Z19" s="244"/>
      <c r="AA19" s="244"/>
      <c r="AB19" s="244"/>
      <c r="AC19" s="245"/>
      <c r="AD19" s="243" t="s">
        <v>341</v>
      </c>
      <c r="AE19" s="244"/>
      <c r="AF19" s="244"/>
      <c r="AG19" s="244"/>
      <c r="AH19" s="245"/>
      <c r="AI19" s="252" t="s">
        <v>342</v>
      </c>
      <c r="AJ19" s="244"/>
      <c r="AK19" s="244"/>
      <c r="AL19" s="244"/>
      <c r="AM19" s="245"/>
      <c r="AN19" s="218"/>
    </row>
    <row r="20" spans="1:40" ht="13.5" customHeight="1">
      <c r="A20" s="216"/>
      <c r="B20" s="217"/>
      <c r="C20" s="217"/>
      <c r="D20" s="217"/>
      <c r="E20" s="217"/>
      <c r="F20" s="217"/>
      <c r="G20" s="217"/>
      <c r="H20" s="217"/>
      <c r="I20" s="217"/>
      <c r="J20" s="217"/>
      <c r="K20" s="217"/>
      <c r="L20" s="217"/>
      <c r="M20" s="217"/>
      <c r="N20" s="217"/>
      <c r="O20" s="217"/>
      <c r="P20" s="217"/>
      <c r="Q20" s="217"/>
      <c r="R20" s="217"/>
      <c r="S20" s="217"/>
      <c r="T20" s="217"/>
      <c r="U20" s="217"/>
      <c r="V20" s="217"/>
      <c r="W20" s="217"/>
      <c r="X20" s="217"/>
      <c r="Y20" s="221"/>
      <c r="Z20" s="222"/>
      <c r="AA20" s="222"/>
      <c r="AB20" s="222"/>
      <c r="AC20" s="223"/>
      <c r="AD20" s="221"/>
      <c r="AE20" s="222"/>
      <c r="AF20" s="222"/>
      <c r="AG20" s="222"/>
      <c r="AH20" s="222"/>
      <c r="AI20" s="224"/>
      <c r="AJ20" s="222"/>
      <c r="AK20" s="222"/>
      <c r="AL20" s="222"/>
      <c r="AM20" s="223"/>
      <c r="AN20" s="218"/>
    </row>
    <row r="21" spans="1:40" ht="13.5" customHeight="1">
      <c r="A21" s="216"/>
      <c r="B21" s="217"/>
      <c r="C21" s="217"/>
      <c r="D21" s="217"/>
      <c r="E21" s="217"/>
      <c r="F21" s="217"/>
      <c r="G21" s="217"/>
      <c r="H21" s="217"/>
      <c r="I21" s="217"/>
      <c r="J21" s="217"/>
      <c r="K21" s="217"/>
      <c r="L21" s="217"/>
      <c r="M21" s="217"/>
      <c r="N21" s="217"/>
      <c r="O21" s="217"/>
      <c r="P21" s="217"/>
      <c r="Q21" s="217"/>
      <c r="R21" s="217"/>
      <c r="S21" s="217"/>
      <c r="T21" s="217"/>
      <c r="U21" s="217"/>
      <c r="V21" s="217"/>
      <c r="W21" s="217"/>
      <c r="X21" s="217"/>
      <c r="Y21" s="225"/>
      <c r="Z21" s="220"/>
      <c r="AA21" s="220"/>
      <c r="AB21" s="220"/>
      <c r="AC21" s="226"/>
      <c r="AD21" s="225"/>
      <c r="AE21" s="220"/>
      <c r="AF21" s="220"/>
      <c r="AG21" s="220"/>
      <c r="AH21" s="226"/>
      <c r="AI21" s="225"/>
      <c r="AJ21" s="227"/>
      <c r="AK21" s="220"/>
      <c r="AL21" s="220"/>
      <c r="AM21" s="226"/>
      <c r="AN21" s="218"/>
    </row>
    <row r="22" spans="1:40" ht="13.5" customHeight="1">
      <c r="A22" s="216"/>
      <c r="B22" s="217"/>
      <c r="C22" s="217"/>
      <c r="D22" s="217"/>
      <c r="E22" s="217"/>
      <c r="F22" s="217"/>
      <c r="G22" s="217"/>
      <c r="H22" s="217"/>
      <c r="I22" s="217"/>
      <c r="J22" s="217"/>
      <c r="K22" s="217"/>
      <c r="L22" s="217"/>
      <c r="M22" s="217"/>
      <c r="N22" s="217"/>
      <c r="O22" s="217"/>
      <c r="P22" s="217"/>
      <c r="Q22" s="217"/>
      <c r="R22" s="217"/>
      <c r="S22" s="217"/>
      <c r="T22" s="217"/>
      <c r="U22" s="217"/>
      <c r="V22" s="217"/>
      <c r="W22" s="217"/>
      <c r="X22" s="217"/>
      <c r="Y22" s="225"/>
      <c r="Z22" s="220"/>
      <c r="AA22" s="228" t="s">
        <v>343</v>
      </c>
      <c r="AB22" s="220"/>
      <c r="AC22" s="226"/>
      <c r="AD22" s="225"/>
      <c r="AE22" s="220"/>
      <c r="AF22" s="228" t="s">
        <v>344</v>
      </c>
      <c r="AG22" s="220"/>
      <c r="AH22" s="226"/>
      <c r="AI22" s="225"/>
      <c r="AJ22" s="220"/>
      <c r="AK22" s="227"/>
      <c r="AL22" s="220"/>
      <c r="AM22" s="226"/>
      <c r="AN22" s="218"/>
    </row>
    <row r="23" spans="1:40" ht="13.5" customHeight="1">
      <c r="A23" s="216"/>
      <c r="B23" s="217"/>
      <c r="C23" s="217"/>
      <c r="D23" s="217"/>
      <c r="E23" s="217"/>
      <c r="F23" s="217"/>
      <c r="G23" s="217"/>
      <c r="H23" s="217"/>
      <c r="I23" s="217"/>
      <c r="J23" s="217"/>
      <c r="K23" s="217"/>
      <c r="L23" s="217"/>
      <c r="M23" s="217"/>
      <c r="N23" s="217"/>
      <c r="O23" s="217"/>
      <c r="P23" s="217"/>
      <c r="Q23" s="217"/>
      <c r="R23" s="217"/>
      <c r="S23" s="217"/>
      <c r="T23" s="217"/>
      <c r="U23" s="217"/>
      <c r="V23" s="217"/>
      <c r="W23" s="217"/>
      <c r="X23" s="217"/>
      <c r="Y23" s="225"/>
      <c r="Z23" s="220"/>
      <c r="AA23" s="220"/>
      <c r="AB23" s="220"/>
      <c r="AC23" s="226"/>
      <c r="AD23" s="225"/>
      <c r="AE23" s="220"/>
      <c r="AF23" s="220"/>
      <c r="AG23" s="220"/>
      <c r="AH23" s="226"/>
      <c r="AI23" s="225"/>
      <c r="AJ23" s="220"/>
      <c r="AK23" s="220"/>
      <c r="AL23" s="227"/>
      <c r="AM23" s="226"/>
      <c r="AN23" s="218"/>
    </row>
    <row r="24" spans="1:40" ht="13.5" customHeight="1">
      <c r="A24" s="216"/>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29"/>
      <c r="Z24" s="230"/>
      <c r="AA24" s="230"/>
      <c r="AB24" s="230"/>
      <c r="AC24" s="231"/>
      <c r="AD24" s="229"/>
      <c r="AE24" s="230"/>
      <c r="AF24" s="230"/>
      <c r="AG24" s="230"/>
      <c r="AH24" s="231"/>
      <c r="AI24" s="229"/>
      <c r="AJ24" s="230"/>
      <c r="AK24" s="230"/>
      <c r="AL24" s="230"/>
      <c r="AM24" s="232"/>
      <c r="AN24" s="218"/>
    </row>
    <row r="25" spans="1:40" ht="13.5" customHeight="1">
      <c r="A25" s="216"/>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20"/>
      <c r="Z25" s="220"/>
      <c r="AA25" s="220"/>
      <c r="AB25" s="220"/>
      <c r="AC25" s="220"/>
      <c r="AD25" s="220"/>
      <c r="AE25" s="220"/>
      <c r="AF25" s="220"/>
      <c r="AG25" s="220"/>
      <c r="AH25" s="220"/>
      <c r="AI25" s="220"/>
      <c r="AJ25" s="220"/>
      <c r="AK25" s="220"/>
      <c r="AL25" s="220"/>
      <c r="AM25" s="220"/>
      <c r="AN25" s="218"/>
    </row>
    <row r="26" spans="1:40" ht="13.5" customHeight="1">
      <c r="A26" s="216"/>
      <c r="B26" s="217"/>
      <c r="C26" s="217"/>
      <c r="D26" s="217"/>
      <c r="E26" s="217"/>
      <c r="F26" s="217"/>
      <c r="G26" s="217"/>
      <c r="H26" s="217"/>
      <c r="I26" s="217"/>
      <c r="J26" s="217"/>
      <c r="K26" s="217"/>
      <c r="L26" s="217"/>
      <c r="M26" s="217"/>
      <c r="N26" s="217"/>
      <c r="O26" s="217"/>
      <c r="P26" s="217"/>
      <c r="Q26" s="217"/>
      <c r="R26" s="217"/>
      <c r="S26" s="217"/>
      <c r="T26" s="217"/>
      <c r="U26" s="217"/>
      <c r="V26" s="217"/>
      <c r="W26" s="217"/>
      <c r="X26" s="217"/>
      <c r="Y26" s="219" t="s">
        <v>345</v>
      </c>
      <c r="Z26" s="220"/>
      <c r="AA26" s="220"/>
      <c r="AB26" s="220"/>
      <c r="AC26" s="220"/>
      <c r="AD26" s="220"/>
      <c r="AE26" s="220"/>
      <c r="AF26" s="220"/>
      <c r="AG26" s="220"/>
      <c r="AH26" s="220"/>
      <c r="AI26" s="220"/>
      <c r="AJ26" s="220"/>
      <c r="AK26" s="220"/>
      <c r="AL26" s="220"/>
      <c r="AM26" s="220"/>
      <c r="AN26" s="218"/>
    </row>
    <row r="27" spans="1:40" ht="13.5" customHeight="1">
      <c r="A27" s="216"/>
      <c r="B27" s="217"/>
      <c r="C27" s="217"/>
      <c r="D27" s="217"/>
      <c r="E27" s="217"/>
      <c r="F27" s="217"/>
      <c r="G27" s="217"/>
      <c r="H27" s="217"/>
      <c r="I27" s="217"/>
      <c r="J27" s="217"/>
      <c r="K27" s="217"/>
      <c r="L27" s="217"/>
      <c r="M27" s="217"/>
      <c r="N27" s="217"/>
      <c r="O27" s="217"/>
      <c r="P27" s="217"/>
      <c r="Q27" s="217"/>
      <c r="R27" s="217"/>
      <c r="S27" s="217"/>
      <c r="T27" s="217"/>
      <c r="U27" s="217"/>
      <c r="V27" s="217"/>
      <c r="W27" s="217"/>
      <c r="X27" s="217"/>
      <c r="Y27" s="243" t="s">
        <v>340</v>
      </c>
      <c r="Z27" s="244"/>
      <c r="AA27" s="244"/>
      <c r="AB27" s="244"/>
      <c r="AC27" s="245"/>
      <c r="AD27" s="243" t="s">
        <v>341</v>
      </c>
      <c r="AE27" s="244"/>
      <c r="AF27" s="244"/>
      <c r="AG27" s="244"/>
      <c r="AH27" s="245"/>
      <c r="AI27" s="252" t="s">
        <v>342</v>
      </c>
      <c r="AJ27" s="244"/>
      <c r="AK27" s="244"/>
      <c r="AL27" s="244"/>
      <c r="AM27" s="245"/>
      <c r="AN27" s="218"/>
    </row>
    <row r="28" spans="1:40" ht="13.5" customHeight="1">
      <c r="A28" s="216"/>
      <c r="B28" s="217"/>
      <c r="C28" s="217"/>
      <c r="D28" s="217"/>
      <c r="E28" s="217"/>
      <c r="F28" s="217"/>
      <c r="G28" s="217"/>
      <c r="H28" s="217"/>
      <c r="I28" s="217"/>
      <c r="J28" s="217"/>
      <c r="K28" s="217"/>
      <c r="L28" s="217"/>
      <c r="M28" s="217"/>
      <c r="N28" s="217"/>
      <c r="O28" s="217"/>
      <c r="P28" s="217"/>
      <c r="Q28" s="217"/>
      <c r="R28" s="217"/>
      <c r="S28" s="217"/>
      <c r="T28" s="217"/>
      <c r="U28" s="217"/>
      <c r="V28" s="217"/>
      <c r="W28" s="217"/>
      <c r="X28" s="217"/>
      <c r="Y28" s="221"/>
      <c r="Z28" s="222"/>
      <c r="AA28" s="222"/>
      <c r="AB28" s="222"/>
      <c r="AC28" s="223"/>
      <c r="AD28" s="221"/>
      <c r="AE28" s="222"/>
      <c r="AF28" s="222"/>
      <c r="AG28" s="222"/>
      <c r="AH28" s="222"/>
      <c r="AI28" s="224"/>
      <c r="AJ28" s="222"/>
      <c r="AK28" s="222"/>
      <c r="AL28" s="222"/>
      <c r="AM28" s="223"/>
      <c r="AN28" s="218"/>
    </row>
    <row r="29" spans="1:40" ht="13.5" customHeight="1">
      <c r="A29" s="216"/>
      <c r="B29" s="217"/>
      <c r="C29" s="217"/>
      <c r="D29" s="217"/>
      <c r="E29" s="217"/>
      <c r="F29" s="217"/>
      <c r="G29" s="217"/>
      <c r="H29" s="217"/>
      <c r="I29" s="217"/>
      <c r="J29" s="217"/>
      <c r="K29" s="217"/>
      <c r="L29" s="217"/>
      <c r="M29" s="217"/>
      <c r="N29" s="217"/>
      <c r="O29" s="217"/>
      <c r="P29" s="217"/>
      <c r="Q29" s="217"/>
      <c r="R29" s="217"/>
      <c r="S29" s="217"/>
      <c r="T29" s="217"/>
      <c r="U29" s="217"/>
      <c r="V29" s="217"/>
      <c r="W29" s="217"/>
      <c r="X29" s="217"/>
      <c r="Y29" s="225"/>
      <c r="Z29" s="220"/>
      <c r="AA29" s="220"/>
      <c r="AB29" s="220"/>
      <c r="AC29" s="226"/>
      <c r="AD29" s="225"/>
      <c r="AE29" s="220"/>
      <c r="AF29" s="220"/>
      <c r="AG29" s="220"/>
      <c r="AH29" s="226"/>
      <c r="AI29" s="225"/>
      <c r="AJ29" s="227"/>
      <c r="AK29" s="220"/>
      <c r="AL29" s="220"/>
      <c r="AM29" s="226"/>
      <c r="AN29" s="218"/>
    </row>
    <row r="30" spans="1:40" ht="13.5" customHeight="1">
      <c r="A30" s="216"/>
      <c r="B30" s="217"/>
      <c r="C30" s="217"/>
      <c r="D30" s="217"/>
      <c r="E30" s="217"/>
      <c r="F30" s="217"/>
      <c r="G30" s="217"/>
      <c r="H30" s="217"/>
      <c r="I30" s="217"/>
      <c r="J30" s="217"/>
      <c r="K30" s="217"/>
      <c r="L30" s="217"/>
      <c r="M30" s="217"/>
      <c r="N30" s="217"/>
      <c r="O30" s="217"/>
      <c r="P30" s="217"/>
      <c r="Q30" s="217"/>
      <c r="R30" s="217"/>
      <c r="S30" s="217"/>
      <c r="T30" s="217"/>
      <c r="U30" s="217"/>
      <c r="V30" s="217"/>
      <c r="W30" s="217"/>
      <c r="X30" s="217"/>
      <c r="Y30" s="225"/>
      <c r="Z30" s="220"/>
      <c r="AA30" s="228" t="s">
        <v>346</v>
      </c>
      <c r="AB30" s="220"/>
      <c r="AC30" s="226"/>
      <c r="AD30" s="225"/>
      <c r="AE30" s="220"/>
      <c r="AF30" s="228" t="s">
        <v>347</v>
      </c>
      <c r="AG30" s="220"/>
      <c r="AH30" s="226"/>
      <c r="AI30" s="225"/>
      <c r="AJ30" s="220"/>
      <c r="AK30" s="227"/>
      <c r="AL30" s="220"/>
      <c r="AM30" s="226"/>
      <c r="AN30" s="218"/>
    </row>
    <row r="31" spans="1:40" ht="13.5" customHeight="1">
      <c r="A31" s="216"/>
      <c r="B31" s="217"/>
      <c r="C31" s="217"/>
      <c r="D31" s="217"/>
      <c r="E31" s="217"/>
      <c r="F31" s="217"/>
      <c r="G31" s="217"/>
      <c r="H31" s="217"/>
      <c r="I31" s="217"/>
      <c r="J31" s="217"/>
      <c r="K31" s="217"/>
      <c r="L31" s="217"/>
      <c r="M31" s="217"/>
      <c r="N31" s="217"/>
      <c r="O31" s="217"/>
      <c r="P31" s="217"/>
      <c r="Q31" s="217"/>
      <c r="R31" s="217"/>
      <c r="S31" s="217"/>
      <c r="T31" s="217"/>
      <c r="U31" s="217"/>
      <c r="V31" s="217"/>
      <c r="W31" s="217"/>
      <c r="X31" s="217"/>
      <c r="Y31" s="225"/>
      <c r="Z31" s="220"/>
      <c r="AA31" s="220"/>
      <c r="AB31" s="220"/>
      <c r="AC31" s="226"/>
      <c r="AD31" s="225"/>
      <c r="AE31" s="220"/>
      <c r="AF31" s="220"/>
      <c r="AG31" s="220"/>
      <c r="AH31" s="226"/>
      <c r="AI31" s="225"/>
      <c r="AJ31" s="220"/>
      <c r="AK31" s="220"/>
      <c r="AL31" s="227"/>
      <c r="AM31" s="226"/>
      <c r="AN31" s="218"/>
    </row>
    <row r="32" spans="1:40" ht="13.5" customHeight="1">
      <c r="A32" s="216"/>
      <c r="B32" s="217"/>
      <c r="C32" s="217"/>
      <c r="D32" s="217"/>
      <c r="E32" s="217"/>
      <c r="F32" s="217"/>
      <c r="G32" s="217"/>
      <c r="H32" s="217"/>
      <c r="I32" s="217"/>
      <c r="J32" s="217"/>
      <c r="K32" s="217"/>
      <c r="L32" s="217"/>
      <c r="M32" s="217"/>
      <c r="N32" s="217"/>
      <c r="O32" s="217"/>
      <c r="P32" s="217"/>
      <c r="Q32" s="217"/>
      <c r="R32" s="217"/>
      <c r="S32" s="217"/>
      <c r="T32" s="217"/>
      <c r="U32" s="217"/>
      <c r="V32" s="217"/>
      <c r="W32" s="217"/>
      <c r="X32" s="217"/>
      <c r="Y32" s="229"/>
      <c r="Z32" s="230"/>
      <c r="AA32" s="230"/>
      <c r="AB32" s="230"/>
      <c r="AC32" s="231"/>
      <c r="AD32" s="229"/>
      <c r="AE32" s="230"/>
      <c r="AF32" s="230"/>
      <c r="AG32" s="230"/>
      <c r="AH32" s="231"/>
      <c r="AI32" s="229"/>
      <c r="AJ32" s="230"/>
      <c r="AK32" s="230"/>
      <c r="AL32" s="230"/>
      <c r="AM32" s="232"/>
      <c r="AN32" s="218"/>
    </row>
    <row r="33" spans="1:40" ht="13.5" customHeight="1">
      <c r="A33" s="216"/>
      <c r="B33" s="217"/>
      <c r="C33" s="217"/>
      <c r="D33" s="217"/>
      <c r="E33" s="217"/>
      <c r="F33" s="217"/>
      <c r="G33" s="217"/>
      <c r="H33" s="217"/>
      <c r="I33" s="217"/>
      <c r="J33" s="217"/>
      <c r="K33" s="217"/>
      <c r="L33" s="217"/>
      <c r="M33" s="217"/>
      <c r="N33" s="217"/>
      <c r="O33" s="217"/>
      <c r="P33" s="217"/>
      <c r="Q33" s="217"/>
      <c r="R33" s="217"/>
      <c r="S33" s="217"/>
      <c r="T33" s="217"/>
      <c r="U33" s="217"/>
      <c r="V33" s="217"/>
      <c r="W33" s="217"/>
      <c r="X33" s="217"/>
      <c r="Y33" s="220"/>
      <c r="Z33" s="220"/>
      <c r="AA33" s="220"/>
      <c r="AB33" s="220"/>
      <c r="AC33" s="220"/>
      <c r="AD33" s="220"/>
      <c r="AE33" s="220"/>
      <c r="AF33" s="220"/>
      <c r="AG33" s="220"/>
      <c r="AH33" s="220"/>
      <c r="AI33" s="220"/>
      <c r="AJ33" s="220"/>
      <c r="AK33" s="220"/>
      <c r="AL33" s="220"/>
      <c r="AM33" s="220"/>
      <c r="AN33" s="218"/>
    </row>
    <row r="34" spans="1:40" ht="13.5" customHeight="1">
      <c r="A34" s="216"/>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9" t="s">
        <v>348</v>
      </c>
      <c r="Z34" s="220"/>
      <c r="AA34" s="220"/>
      <c r="AB34" s="220"/>
      <c r="AC34" s="220"/>
      <c r="AD34" s="220"/>
      <c r="AE34" s="220"/>
      <c r="AF34" s="220"/>
      <c r="AG34" s="220"/>
      <c r="AH34" s="220"/>
      <c r="AI34" s="220"/>
      <c r="AJ34" s="220"/>
      <c r="AK34" s="220"/>
      <c r="AL34" s="220"/>
      <c r="AM34" s="220"/>
      <c r="AN34" s="218"/>
    </row>
    <row r="35" spans="1:40" ht="13.5" customHeight="1">
      <c r="A35" s="216"/>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43" t="s">
        <v>340</v>
      </c>
      <c r="Z35" s="244"/>
      <c r="AA35" s="244"/>
      <c r="AB35" s="244"/>
      <c r="AC35" s="245"/>
      <c r="AD35" s="243" t="s">
        <v>341</v>
      </c>
      <c r="AE35" s="244"/>
      <c r="AF35" s="244"/>
      <c r="AG35" s="244"/>
      <c r="AH35" s="245"/>
      <c r="AI35" s="243" t="s">
        <v>342</v>
      </c>
      <c r="AJ35" s="244"/>
      <c r="AK35" s="244"/>
      <c r="AL35" s="244"/>
      <c r="AM35" s="245"/>
      <c r="AN35" s="218"/>
    </row>
    <row r="36" spans="1:40" ht="13.5" customHeight="1">
      <c r="A36" s="216"/>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24"/>
      <c r="Z36" s="222"/>
      <c r="AA36" s="222"/>
      <c r="AB36" s="222"/>
      <c r="AC36" s="223"/>
      <c r="AD36" s="224"/>
      <c r="AE36" s="222"/>
      <c r="AF36" s="222"/>
      <c r="AG36" s="222"/>
      <c r="AH36" s="223"/>
      <c r="AI36" s="221"/>
      <c r="AJ36" s="222"/>
      <c r="AK36" s="222"/>
      <c r="AL36" s="222"/>
      <c r="AM36" s="223"/>
      <c r="AN36" s="218"/>
    </row>
    <row r="37" spans="1:40" ht="13.5" customHeight="1">
      <c r="A37" s="216"/>
      <c r="B37" s="217"/>
      <c r="C37" s="217"/>
      <c r="D37" s="217"/>
      <c r="E37" s="217"/>
      <c r="F37" s="217"/>
      <c r="G37" s="217"/>
      <c r="H37" s="217"/>
      <c r="I37" s="217"/>
      <c r="J37" s="217"/>
      <c r="K37" s="217"/>
      <c r="L37" s="217"/>
      <c r="M37" s="217"/>
      <c r="N37" s="217"/>
      <c r="O37" s="217"/>
      <c r="P37" s="217"/>
      <c r="Q37" s="217"/>
      <c r="R37" s="217"/>
      <c r="S37" s="217"/>
      <c r="T37" s="217"/>
      <c r="U37" s="217"/>
      <c r="V37" s="217"/>
      <c r="W37" s="217"/>
      <c r="X37" s="217"/>
      <c r="Y37" s="225"/>
      <c r="Z37" s="227"/>
      <c r="AA37" s="220"/>
      <c r="AB37" s="220"/>
      <c r="AC37" s="226"/>
      <c r="AD37" s="225"/>
      <c r="AE37" s="227"/>
      <c r="AF37" s="220"/>
      <c r="AG37" s="220"/>
      <c r="AH37" s="226"/>
      <c r="AI37" s="225"/>
      <c r="AJ37" s="236"/>
      <c r="AK37" s="236"/>
      <c r="AL37" s="236"/>
      <c r="AM37" s="226"/>
      <c r="AN37" s="218"/>
    </row>
    <row r="38" spans="1:40" ht="13.5" customHeight="1">
      <c r="A38" s="216"/>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25"/>
      <c r="Z38" s="220"/>
      <c r="AA38" s="227"/>
      <c r="AB38" s="220"/>
      <c r="AC38" s="226"/>
      <c r="AD38" s="225"/>
      <c r="AE38" s="220"/>
      <c r="AF38" s="227"/>
      <c r="AG38" s="220"/>
      <c r="AH38" s="226"/>
      <c r="AI38" s="225"/>
      <c r="AJ38" s="236"/>
      <c r="AK38" s="236"/>
      <c r="AL38" s="236"/>
      <c r="AM38" s="226"/>
      <c r="AN38" s="218"/>
    </row>
    <row r="39" spans="1:40" ht="13.5" customHeight="1">
      <c r="A39" s="216"/>
      <c r="B39" s="217"/>
      <c r="C39" s="217"/>
      <c r="D39" s="217"/>
      <c r="E39" s="217"/>
      <c r="F39" s="217"/>
      <c r="G39" s="217"/>
      <c r="H39" s="217"/>
      <c r="I39" s="217"/>
      <c r="J39" s="217"/>
      <c r="K39" s="217"/>
      <c r="L39" s="217"/>
      <c r="M39" s="217"/>
      <c r="N39" s="217"/>
      <c r="O39" s="217"/>
      <c r="P39" s="217"/>
      <c r="Q39" s="217"/>
      <c r="R39" s="217"/>
      <c r="S39" s="217"/>
      <c r="T39" s="217"/>
      <c r="U39" s="217"/>
      <c r="V39" s="217"/>
      <c r="W39" s="217"/>
      <c r="X39" s="217"/>
      <c r="Y39" s="225"/>
      <c r="Z39" s="220"/>
      <c r="AA39" s="220"/>
      <c r="AB39" s="227"/>
      <c r="AC39" s="226"/>
      <c r="AD39" s="225"/>
      <c r="AE39" s="220"/>
      <c r="AF39" s="220"/>
      <c r="AG39" s="227"/>
      <c r="AH39" s="226"/>
      <c r="AI39" s="225"/>
      <c r="AJ39" s="236"/>
      <c r="AK39" s="236"/>
      <c r="AL39" s="236"/>
      <c r="AM39" s="226"/>
      <c r="AN39" s="218"/>
    </row>
    <row r="40" spans="1:40" ht="13.5" customHeight="1">
      <c r="A40" s="216"/>
      <c r="B40" s="217"/>
      <c r="C40" s="217"/>
      <c r="D40" s="217"/>
      <c r="E40" s="217"/>
      <c r="F40" s="217"/>
      <c r="G40" s="217"/>
      <c r="H40" s="217"/>
      <c r="I40" s="217"/>
      <c r="J40" s="217"/>
      <c r="K40" s="217"/>
      <c r="L40" s="217"/>
      <c r="M40" s="217"/>
      <c r="N40" s="217"/>
      <c r="O40" s="217"/>
      <c r="P40" s="217"/>
      <c r="Q40" s="217"/>
      <c r="R40" s="217"/>
      <c r="S40" s="217"/>
      <c r="T40" s="217"/>
      <c r="U40" s="217"/>
      <c r="V40" s="217"/>
      <c r="W40" s="217"/>
      <c r="X40" s="217"/>
      <c r="Y40" s="229"/>
      <c r="Z40" s="230"/>
      <c r="AA40" s="230"/>
      <c r="AB40" s="230"/>
      <c r="AC40" s="232"/>
      <c r="AD40" s="229"/>
      <c r="AE40" s="230"/>
      <c r="AF40" s="230"/>
      <c r="AG40" s="230"/>
      <c r="AH40" s="232"/>
      <c r="AI40" s="229"/>
      <c r="AJ40" s="230"/>
      <c r="AK40" s="230"/>
      <c r="AL40" s="230"/>
      <c r="AM40" s="231"/>
      <c r="AN40" s="218"/>
    </row>
    <row r="41" spans="1:40" ht="13.5" customHeight="1">
      <c r="A41" s="216"/>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217"/>
      <c r="AN41" s="218"/>
    </row>
    <row r="42" spans="1:40" ht="13.5" customHeight="1">
      <c r="A42" s="233"/>
      <c r="B42" s="234"/>
      <c r="C42" s="234"/>
      <c r="D42" s="234"/>
      <c r="E42" s="234"/>
      <c r="F42" s="234"/>
      <c r="G42" s="234"/>
      <c r="H42" s="234"/>
      <c r="I42" s="234"/>
      <c r="J42" s="234"/>
      <c r="K42" s="234"/>
      <c r="L42" s="234"/>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5"/>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8673" r:id="rId4">
          <objectPr defaultSize="0" r:id="rId5">
            <anchor>
              <from>
                <xdr:col>34</xdr:col>
                <xdr:colOff>85725</xdr:colOff>
                <xdr:row>35</xdr:row>
                <xdr:rowOff>66675</xdr:rowOff>
              </from>
              <to>
                <xdr:col>38</xdr:col>
                <xdr:colOff>85725</xdr:colOff>
                <xdr:row>39</xdr:row>
                <xdr:rowOff>66675</xdr:rowOff>
              </to>
            </anchor>
          </objectPr>
        </oleObject>
      </mc:Choice>
      <mc:Fallback>
        <oleObject progId="Dstmp.StampObject.7" shapeId="2867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topLeftCell="A12" zoomScale="85" zoomScaleNormal="85" workbookViewId="0">
      <selection activeCell="L16" sqref="L16"/>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59" t="s">
        <v>14</v>
      </c>
      <c r="J2" s="259"/>
      <c r="K2" s="259"/>
      <c r="L2" s="259"/>
      <c r="M2" s="259"/>
      <c r="N2" s="259"/>
      <c r="O2" s="259"/>
      <c r="P2" s="259"/>
      <c r="Q2" s="259"/>
      <c r="R2" s="259"/>
    </row>
    <row r="3" spans="2:18" ht="25.5" customHeight="1">
      <c r="C3" s="6"/>
      <c r="D3" s="10" t="str">
        <f ca="1">REPLACE(LEFT(CELL("filename",$B$1),FIND(".xls",CELL("filename",$B$1))-1),1,FIND("[",CELL("filename",$B$1)),)</f>
        <v>alert_S_LCA-CSTD-2-00-A-C0</v>
      </c>
      <c r="E3" s="6"/>
      <c r="F3" s="6"/>
      <c r="H3" s="8" t="s">
        <v>167</v>
      </c>
      <c r="I3" s="260" t="s">
        <v>330</v>
      </c>
      <c r="J3" s="260"/>
      <c r="K3" s="260"/>
      <c r="L3" s="260"/>
      <c r="M3" s="260"/>
      <c r="N3" s="260"/>
      <c r="O3" s="260"/>
      <c r="P3" s="260"/>
      <c r="Q3" s="260"/>
      <c r="R3" s="260"/>
    </row>
    <row r="4" spans="2:18" ht="25.5" customHeight="1">
      <c r="C4" s="6"/>
      <c r="D4" s="6"/>
      <c r="E4" s="24" t="str">
        <f>DGET(B8:C17,"Ver.",H4:H5)</f>
        <v>1.6.0</v>
      </c>
      <c r="F4" s="6"/>
      <c r="H4" s="9" t="s">
        <v>15</v>
      </c>
    </row>
    <row r="5" spans="2:18" ht="25.5" customHeight="1">
      <c r="C5" s="6"/>
      <c r="D5" s="6"/>
      <c r="E5" s="6"/>
      <c r="F5" s="6"/>
      <c r="H5" s="11">
        <f>MAX(B9:B17)</f>
        <v>7</v>
      </c>
    </row>
    <row r="6" spans="2:18" ht="14.25" thickBot="1"/>
    <row r="7" spans="2:18">
      <c r="C7" s="253" t="s">
        <v>0</v>
      </c>
      <c r="D7" s="254"/>
      <c r="E7" s="255" t="s">
        <v>2</v>
      </c>
      <c r="F7" s="255"/>
      <c r="G7" s="256" t="s">
        <v>5</v>
      </c>
      <c r="H7" s="256"/>
      <c r="I7" s="256"/>
      <c r="J7" s="256"/>
      <c r="K7" s="256"/>
      <c r="L7" s="256"/>
      <c r="M7" s="257" t="s">
        <v>12</v>
      </c>
      <c r="N7" s="257"/>
      <c r="O7" s="257"/>
      <c r="P7" s="257"/>
      <c r="Q7" s="257"/>
      <c r="R7" s="258"/>
    </row>
    <row r="8" spans="2:18" ht="27.75" thickBot="1">
      <c r="B8" s="9" t="s">
        <v>89</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92" customHeight="1" thickTop="1">
      <c r="B9" s="9">
        <f>IF(C9=0,0,ROW()-ROW($B$8))</f>
        <v>1</v>
      </c>
      <c r="C9" s="12" t="s">
        <v>189</v>
      </c>
      <c r="D9" s="204" t="s">
        <v>309</v>
      </c>
      <c r="E9" s="13" t="s">
        <v>30</v>
      </c>
      <c r="F9" s="13" t="s">
        <v>190</v>
      </c>
      <c r="G9" s="13" t="s">
        <v>30</v>
      </c>
      <c r="H9" s="13" t="s">
        <v>30</v>
      </c>
      <c r="I9" s="13" t="s">
        <v>30</v>
      </c>
      <c r="J9" s="13" t="s">
        <v>30</v>
      </c>
      <c r="K9" s="13" t="s">
        <v>30</v>
      </c>
      <c r="L9" s="13" t="s">
        <v>30</v>
      </c>
      <c r="M9" s="13"/>
      <c r="N9" s="199"/>
      <c r="O9" s="13"/>
      <c r="P9" s="199"/>
      <c r="Q9" s="1" t="s">
        <v>308</v>
      </c>
      <c r="R9" s="205">
        <v>44365</v>
      </c>
    </row>
    <row r="10" spans="2:18" ht="162">
      <c r="B10" s="9">
        <f t="shared" ref="B10:B16" si="0">IF(C10=0,0,ROW()-ROW($B$8))</f>
        <v>2</v>
      </c>
      <c r="C10" s="12" t="s">
        <v>310</v>
      </c>
      <c r="D10" s="202" t="s">
        <v>313</v>
      </c>
      <c r="E10" s="13" t="s">
        <v>30</v>
      </c>
      <c r="F10" s="13" t="s">
        <v>190</v>
      </c>
      <c r="G10" s="13" t="s">
        <v>30</v>
      </c>
      <c r="H10" s="13" t="s">
        <v>30</v>
      </c>
      <c r="I10" s="13" t="s">
        <v>30</v>
      </c>
      <c r="J10" s="13" t="s">
        <v>30</v>
      </c>
      <c r="K10" s="13" t="s">
        <v>30</v>
      </c>
      <c r="L10" s="13" t="s">
        <v>30</v>
      </c>
      <c r="M10" s="13"/>
      <c r="N10" s="199"/>
      <c r="O10" s="13"/>
      <c r="P10" s="199"/>
      <c r="Q10" s="13" t="s">
        <v>311</v>
      </c>
      <c r="R10" s="193">
        <v>44557</v>
      </c>
    </row>
    <row r="11" spans="2:18" ht="108">
      <c r="B11" s="9">
        <f t="shared" si="0"/>
        <v>3</v>
      </c>
      <c r="C11" s="12" t="s">
        <v>312</v>
      </c>
      <c r="D11" s="202" t="s">
        <v>314</v>
      </c>
      <c r="E11" s="13" t="s">
        <v>30</v>
      </c>
      <c r="F11" s="13" t="s">
        <v>190</v>
      </c>
      <c r="G11" s="13" t="s">
        <v>30</v>
      </c>
      <c r="H11" s="13" t="s">
        <v>30</v>
      </c>
      <c r="I11" s="13" t="s">
        <v>30</v>
      </c>
      <c r="J11" s="13" t="s">
        <v>30</v>
      </c>
      <c r="K11" s="13" t="s">
        <v>30</v>
      </c>
      <c r="L11" s="13" t="s">
        <v>30</v>
      </c>
      <c r="M11" s="1"/>
      <c r="N11" s="1"/>
      <c r="O11" s="1"/>
      <c r="P11" s="1"/>
      <c r="Q11" s="1" t="s">
        <v>311</v>
      </c>
      <c r="R11" s="205">
        <v>44558</v>
      </c>
    </row>
    <row r="12" spans="2:18" ht="162">
      <c r="B12" s="9">
        <f t="shared" si="0"/>
        <v>4</v>
      </c>
      <c r="C12" s="2" t="s">
        <v>315</v>
      </c>
      <c r="D12" s="204" t="s">
        <v>326</v>
      </c>
      <c r="E12" s="13" t="s">
        <v>30</v>
      </c>
      <c r="F12" s="13" t="s">
        <v>190</v>
      </c>
      <c r="G12" s="13" t="s">
        <v>30</v>
      </c>
      <c r="H12" s="13" t="s">
        <v>30</v>
      </c>
      <c r="I12" s="13" t="s">
        <v>30</v>
      </c>
      <c r="J12" s="13" t="s">
        <v>30</v>
      </c>
      <c r="K12" s="13" t="s">
        <v>30</v>
      </c>
      <c r="L12" s="13" t="s">
        <v>30</v>
      </c>
      <c r="M12" s="1"/>
      <c r="N12" s="1"/>
      <c r="O12" s="1"/>
      <c r="P12" s="1"/>
      <c r="Q12" s="1" t="s">
        <v>316</v>
      </c>
      <c r="R12" s="205">
        <v>44749</v>
      </c>
    </row>
    <row r="13" spans="2:18" ht="108">
      <c r="B13" s="9">
        <f t="shared" ref="B13" si="1">IF(C13=0,0,ROW()-ROW($B$8))</f>
        <v>5</v>
      </c>
      <c r="C13" s="2" t="s">
        <v>327</v>
      </c>
      <c r="D13" s="204" t="s">
        <v>331</v>
      </c>
      <c r="E13" s="13" t="s">
        <v>30</v>
      </c>
      <c r="F13" s="13" t="s">
        <v>190</v>
      </c>
      <c r="G13" s="13" t="s">
        <v>30</v>
      </c>
      <c r="H13" s="13" t="s">
        <v>30</v>
      </c>
      <c r="I13" s="13" t="s">
        <v>30</v>
      </c>
      <c r="J13" s="13" t="s">
        <v>30</v>
      </c>
      <c r="K13" s="13" t="s">
        <v>30</v>
      </c>
      <c r="L13" s="13" t="s">
        <v>30</v>
      </c>
      <c r="M13" s="1" t="s">
        <v>333</v>
      </c>
      <c r="N13" s="211">
        <v>44848</v>
      </c>
      <c r="O13" s="1" t="s">
        <v>332</v>
      </c>
      <c r="P13" s="211">
        <v>44848</v>
      </c>
      <c r="Q13" s="1" t="s">
        <v>328</v>
      </c>
      <c r="R13" s="205">
        <v>44819</v>
      </c>
    </row>
    <row r="14" spans="2:18" ht="94.5">
      <c r="B14" s="9">
        <f t="shared" ref="B14:B15" si="2">IF(C14=0,0,ROW()-ROW($B$8))</f>
        <v>6</v>
      </c>
      <c r="C14" s="240" t="s">
        <v>337</v>
      </c>
      <c r="D14" s="241" t="s">
        <v>338</v>
      </c>
      <c r="E14" s="242" t="s">
        <v>30</v>
      </c>
      <c r="F14" s="242" t="s">
        <v>190</v>
      </c>
      <c r="G14" s="242" t="s">
        <v>30</v>
      </c>
      <c r="H14" s="242" t="s">
        <v>30</v>
      </c>
      <c r="I14" s="242" t="s">
        <v>30</v>
      </c>
      <c r="J14" s="242" t="s">
        <v>30</v>
      </c>
      <c r="K14" s="242" t="s">
        <v>30</v>
      </c>
      <c r="L14" s="242" t="s">
        <v>30</v>
      </c>
      <c r="M14" s="242" t="s">
        <v>30</v>
      </c>
      <c r="N14" s="242" t="s">
        <v>30</v>
      </c>
      <c r="O14" s="242" t="s">
        <v>30</v>
      </c>
      <c r="P14" s="242" t="s">
        <v>30</v>
      </c>
      <c r="Q14" s="242" t="s">
        <v>30</v>
      </c>
      <c r="R14" s="205" t="s">
        <v>30</v>
      </c>
    </row>
    <row r="15" spans="2:18" ht="270">
      <c r="B15" s="9">
        <f t="shared" si="2"/>
        <v>7</v>
      </c>
      <c r="C15" s="239" t="s">
        <v>354</v>
      </c>
      <c r="D15" s="237" t="s">
        <v>356</v>
      </c>
      <c r="E15" s="238" t="s">
        <v>30</v>
      </c>
      <c r="F15" s="238" t="s">
        <v>190</v>
      </c>
      <c r="G15" s="238"/>
      <c r="H15" s="238"/>
      <c r="I15" s="238"/>
      <c r="J15" s="238"/>
      <c r="K15" s="238" t="s">
        <v>355</v>
      </c>
      <c r="L15" s="309">
        <v>45839</v>
      </c>
      <c r="M15" s="238" t="s">
        <v>30</v>
      </c>
      <c r="N15" s="238" t="s">
        <v>30</v>
      </c>
      <c r="O15" s="238" t="s">
        <v>30</v>
      </c>
      <c r="P15" s="238" t="s">
        <v>30</v>
      </c>
      <c r="Q15" s="238" t="s">
        <v>30</v>
      </c>
      <c r="R15" s="205" t="s">
        <v>30</v>
      </c>
    </row>
    <row r="16" spans="2:18" ht="14.25" thickBot="1">
      <c r="B16" s="9">
        <f t="shared" si="0"/>
        <v>0</v>
      </c>
      <c r="C16" s="3"/>
      <c r="D16" s="4"/>
      <c r="E16" s="4"/>
      <c r="F16" s="4"/>
      <c r="G16" s="4"/>
      <c r="H16" s="4"/>
      <c r="I16" s="4"/>
      <c r="J16" s="4"/>
      <c r="K16" s="4"/>
      <c r="L16" s="4"/>
      <c r="M16" s="4"/>
      <c r="N16" s="4"/>
      <c r="O16" s="4"/>
      <c r="P16" s="4"/>
      <c r="Q16" s="4"/>
      <c r="R16" s="5"/>
    </row>
  </sheetData>
  <mergeCells count="6">
    <mergeCell ref="C7:D7"/>
    <mergeCell ref="E7:F7"/>
    <mergeCell ref="G7:L7"/>
    <mergeCell ref="M7:R7"/>
    <mergeCell ref="I2:R2"/>
    <mergeCell ref="I3:R3"/>
  </mergeCells>
  <phoneticPr fontId="2"/>
  <hyperlinks>
    <hyperlink ref="I3" r:id="rId1" display="https://aip01.dndev.net/bitbucket/scm/aip_tp/tmcapp_ict1_alert.git" xr:uid="{CDC58F19-14E7-4003-A4BF-4A3BC26C4FD1}"/>
    <hyperlink ref="I3:R3" r:id="rId2" display="https://aip01.dndev.net/bitbucket/scm/AIP_TP_ABROAD/22-24fgm2.git" xr:uid="{97EFED69-2C65-46A8-8244-B926B2130825}"/>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9" t="s">
        <v>126</v>
      </c>
    </row>
    <row r="3" spans="2:5">
      <c r="C3" t="s">
        <v>136</v>
      </c>
    </row>
    <row r="6" spans="2:5" ht="14.25" thickBot="1">
      <c r="B6" s="159" t="s">
        <v>127</v>
      </c>
      <c r="C6" s="159"/>
    </row>
    <row r="7" spans="2:5" ht="14.25" thickBot="1">
      <c r="C7" s="84" t="s">
        <v>129</v>
      </c>
      <c r="D7" s="92"/>
      <c r="E7" s="85" t="s">
        <v>137</v>
      </c>
    </row>
    <row r="8" spans="2:5" ht="20.25" customHeight="1" thickTop="1">
      <c r="C8" s="162">
        <v>0</v>
      </c>
      <c r="D8" s="93" t="s">
        <v>138</v>
      </c>
      <c r="E8" s="161" t="s">
        <v>319</v>
      </c>
    </row>
    <row r="9" spans="2:5">
      <c r="C9" s="168"/>
      <c r="D9" s="200"/>
      <c r="E9" s="169"/>
    </row>
    <row r="10" spans="2:5" ht="14.25" thickBot="1">
      <c r="C10" s="166"/>
      <c r="D10" s="95"/>
      <c r="E10" s="5"/>
    </row>
    <row r="11" spans="2:5">
      <c r="C11" s="164"/>
    </row>
    <row r="12" spans="2:5" ht="14.25" thickBot="1">
      <c r="B12" s="159" t="s">
        <v>128</v>
      </c>
      <c r="C12" s="91"/>
      <c r="D12" s="91"/>
    </row>
    <row r="13" spans="2:5" ht="14.25" thickBot="1">
      <c r="B13" s="160"/>
      <c r="C13" s="165" t="s">
        <v>129</v>
      </c>
      <c r="D13" s="92" t="s">
        <v>130</v>
      </c>
      <c r="E13" s="85" t="s">
        <v>131</v>
      </c>
    </row>
    <row r="14" spans="2:5" ht="14.25" thickTop="1">
      <c r="C14" s="162">
        <v>0</v>
      </c>
      <c r="D14" s="93" t="s">
        <v>143</v>
      </c>
      <c r="E14" s="167" t="s">
        <v>144</v>
      </c>
    </row>
    <row r="15" spans="2:5">
      <c r="C15" s="163">
        <v>1</v>
      </c>
      <c r="D15" s="94" t="s">
        <v>23</v>
      </c>
      <c r="E15" s="81" t="s">
        <v>132</v>
      </c>
    </row>
    <row r="16" spans="2:5">
      <c r="C16" s="163">
        <v>2</v>
      </c>
      <c r="D16" s="94" t="s">
        <v>24</v>
      </c>
      <c r="E16" s="81" t="s">
        <v>133</v>
      </c>
    </row>
    <row r="17" spans="2:5">
      <c r="C17" s="163">
        <v>3</v>
      </c>
      <c r="D17" s="94" t="s">
        <v>25</v>
      </c>
      <c r="E17" s="81" t="s">
        <v>134</v>
      </c>
    </row>
    <row r="18" spans="2:5">
      <c r="C18" s="163">
        <v>4</v>
      </c>
      <c r="D18" s="94" t="s">
        <v>26</v>
      </c>
      <c r="E18" s="81" t="s">
        <v>135</v>
      </c>
    </row>
    <row r="19" spans="2:5">
      <c r="C19" s="163">
        <v>5</v>
      </c>
      <c r="D19" s="94" t="s">
        <v>145</v>
      </c>
      <c r="E19" s="81" t="s">
        <v>147</v>
      </c>
    </row>
    <row r="20" spans="2:5">
      <c r="C20" s="163">
        <v>6</v>
      </c>
      <c r="D20" s="94" t="s">
        <v>151</v>
      </c>
      <c r="E20" s="81" t="s">
        <v>162</v>
      </c>
    </row>
    <row r="21" spans="2:5" ht="14.25" thickBot="1">
      <c r="C21" s="166"/>
      <c r="D21" s="95"/>
      <c r="E21" s="5"/>
    </row>
    <row r="24" spans="2:5" ht="14.25" thickBot="1">
      <c r="B24" s="159" t="s">
        <v>139</v>
      </c>
    </row>
    <row r="25" spans="2:5" ht="14.25" thickBot="1">
      <c r="C25" s="165" t="s">
        <v>129</v>
      </c>
      <c r="D25" s="92" t="s">
        <v>130</v>
      </c>
      <c r="E25" s="85" t="s">
        <v>131</v>
      </c>
    </row>
    <row r="26" spans="2:5" ht="30.75" customHeight="1" thickTop="1">
      <c r="C26" s="162">
        <v>0</v>
      </c>
      <c r="D26" s="93" t="s">
        <v>140</v>
      </c>
      <c r="E26" s="167" t="s">
        <v>148</v>
      </c>
    </row>
    <row r="27" spans="2:5" ht="120" customHeight="1">
      <c r="C27" s="163">
        <v>1</v>
      </c>
      <c r="D27" s="94" t="s">
        <v>164</v>
      </c>
      <c r="E27" s="96" t="s">
        <v>166</v>
      </c>
    </row>
    <row r="28" spans="2:5" ht="81" customHeight="1">
      <c r="C28" s="163">
        <v>2</v>
      </c>
      <c r="D28" s="94" t="s">
        <v>161</v>
      </c>
      <c r="E28" s="96" t="s">
        <v>171</v>
      </c>
    </row>
    <row r="29" spans="2:5" ht="45" customHeight="1">
      <c r="C29" s="163">
        <v>3</v>
      </c>
      <c r="D29" s="94" t="s">
        <v>146</v>
      </c>
      <c r="E29" s="96" t="s">
        <v>149</v>
      </c>
    </row>
    <row r="30" spans="2:5" ht="16.5" customHeight="1">
      <c r="C30" s="163">
        <v>4</v>
      </c>
      <c r="D30" s="94" t="s">
        <v>141</v>
      </c>
      <c r="E30" s="81" t="s">
        <v>154</v>
      </c>
    </row>
    <row r="31" spans="2:5" ht="16.5" customHeight="1">
      <c r="C31" s="163">
        <v>5</v>
      </c>
      <c r="D31" s="94" t="s">
        <v>142</v>
      </c>
      <c r="E31" s="81" t="s">
        <v>150</v>
      </c>
    </row>
    <row r="32" spans="2:5">
      <c r="C32" s="163"/>
      <c r="D32" s="94"/>
      <c r="E32" s="81"/>
    </row>
    <row r="33" spans="2:5">
      <c r="C33" s="163"/>
      <c r="D33" s="94"/>
      <c r="E33" s="81"/>
    </row>
    <row r="34" spans="2:5" ht="14.25" thickBot="1">
      <c r="C34" s="166"/>
      <c r="D34" s="95"/>
      <c r="E34" s="5"/>
    </row>
    <row r="37" spans="2:5" ht="14.25" thickBot="1">
      <c r="B37" s="159" t="s">
        <v>158</v>
      </c>
    </row>
    <row r="38" spans="2:5">
      <c r="C38" s="261"/>
      <c r="D38" s="262"/>
      <c r="E38" s="117" t="s">
        <v>115</v>
      </c>
    </row>
    <row r="39" spans="2:5" ht="14.25" thickBot="1">
      <c r="C39" s="263"/>
      <c r="D39" s="264"/>
      <c r="E39" s="5" t="s">
        <v>116</v>
      </c>
    </row>
  </sheetData>
  <mergeCells count="2">
    <mergeCell ref="C38:D38"/>
    <mergeCell ref="C39:D39"/>
  </mergeCells>
  <phoneticPr fontId="2"/>
  <hyperlinks>
    <hyperlink ref="E9" r:id="rId1" display="https://aip01.dndev.net/wiki/display/MET631B/D1L1+and+R-Car+Local+Communication+Specification" xr:uid="{CB56A07E-DA6B-4094-AD17-C7DD019126E8}"/>
    <hyperlink ref="E8" r:id="rId2" display="https://aip01.dndev.net/svn/aip/tmcapp/sd/evidence/trunk/02_Design/01_Vom/Alert/03_Component/v5xx/alert_design.pptx" xr:uid="{F7451528-EFBD-4FEF-B0E5-BEEDAB386911}"/>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D22" sqref="D22"/>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5" t="s">
        <v>18</v>
      </c>
      <c r="C2" s="266"/>
      <c r="D2" s="271" t="s">
        <v>349</v>
      </c>
      <c r="E2" s="272"/>
      <c r="F2" s="272"/>
      <c r="G2" s="272"/>
      <c r="H2" s="273"/>
    </row>
    <row r="3" spans="2:14">
      <c r="B3" s="267" t="s">
        <v>113</v>
      </c>
      <c r="C3" s="268"/>
      <c r="D3" s="274" t="s">
        <v>350</v>
      </c>
      <c r="E3" s="275"/>
      <c r="F3" s="275"/>
      <c r="G3" s="275"/>
      <c r="H3" s="276"/>
    </row>
    <row r="4" spans="2:14" ht="14.25" thickBot="1">
      <c r="B4" s="269" t="s">
        <v>17</v>
      </c>
      <c r="C4" s="270"/>
      <c r="D4" s="277" t="str">
        <f ca="1">_表紙!D3&amp;".c"</f>
        <v>alert_S_LCA-CSTD-2-00-A-C0.c</v>
      </c>
      <c r="E4" s="278"/>
      <c r="F4" s="278"/>
      <c r="G4" s="278"/>
      <c r="H4" s="279"/>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265" t="s">
        <v>36</v>
      </c>
      <c r="C6" s="266"/>
      <c r="D6" s="280" t="str">
        <f ca="1">MID(D4, LEN("alert_") + 1, FIND("-",D4,1) - LEN("alert_") - 1)</f>
        <v>S_LCA</v>
      </c>
      <c r="E6" s="281"/>
      <c r="F6" s="281"/>
      <c r="G6" s="281"/>
      <c r="H6" s="282"/>
    </row>
    <row r="7" spans="2:14">
      <c r="B7" s="267" t="s">
        <v>37</v>
      </c>
      <c r="C7" s="268"/>
      <c r="D7" s="283">
        <f>COUNTA($D$13:$D$37)</f>
        <v>3</v>
      </c>
      <c r="E7" s="284"/>
      <c r="F7" s="284"/>
      <c r="G7" s="284"/>
      <c r="H7" s="285"/>
    </row>
    <row r="8" spans="2:14">
      <c r="B8" s="267" t="s">
        <v>92</v>
      </c>
      <c r="C8" s="268"/>
      <c r="D8" s="283" t="str">
        <f ca="1">"st_gp_ALERT_"&amp;UPPER(D6)&amp;"_MTRX"</f>
        <v>st_gp_ALERT_S_LCA_MTRX</v>
      </c>
      <c r="E8" s="284"/>
      <c r="F8" s="284"/>
      <c r="G8" s="284"/>
      <c r="H8" s="285"/>
    </row>
    <row r="9" spans="2:14">
      <c r="B9" s="267" t="s">
        <v>38</v>
      </c>
      <c r="C9" s="268"/>
      <c r="D9" s="286" t="s">
        <v>191</v>
      </c>
      <c r="E9" s="287"/>
      <c r="F9" s="287"/>
      <c r="G9" s="287"/>
      <c r="H9" s="288"/>
    </row>
    <row r="10" spans="2:14" ht="14.25" thickBot="1">
      <c r="B10" s="269" t="s">
        <v>44</v>
      </c>
      <c r="C10" s="270"/>
      <c r="D10" s="289"/>
      <c r="E10" s="290"/>
      <c r="F10" s="290"/>
      <c r="G10" s="290"/>
      <c r="H10" s="291"/>
    </row>
    <row r="11" spans="2:14" ht="14.25" thickBot="1"/>
    <row r="12" spans="2:14" ht="14.25" thickBot="1">
      <c r="B12" s="150" t="s">
        <v>34</v>
      </c>
      <c r="C12" s="110" t="s">
        <v>43</v>
      </c>
      <c r="D12" s="111" t="s">
        <v>35</v>
      </c>
      <c r="E12" s="111" t="s">
        <v>39</v>
      </c>
      <c r="F12" s="111" t="s">
        <v>40</v>
      </c>
      <c r="G12" s="111" t="s">
        <v>41</v>
      </c>
      <c r="H12" s="112" t="s">
        <v>42</v>
      </c>
      <c r="I12" s="155" t="s">
        <v>51</v>
      </c>
      <c r="K12" t="s">
        <v>45</v>
      </c>
      <c r="L12" t="s">
        <v>38</v>
      </c>
      <c r="M12" t="s">
        <v>84</v>
      </c>
    </row>
    <row r="13" spans="2:14" ht="14.25" thickTop="1">
      <c r="B13" s="113">
        <v>1</v>
      </c>
      <c r="C13" s="115" t="s">
        <v>257</v>
      </c>
      <c r="D13" s="116" t="s">
        <v>48</v>
      </c>
      <c r="E13" s="116" t="s">
        <v>157</v>
      </c>
      <c r="F13" s="59" t="str">
        <f t="shared" ref="F13:F37" ca="1" si="0">IF($D13&lt;&gt;"","u4_s_Alert"&amp;UPPER(LEFT($D$6,1))&amp;LOWER(MID($D$6,2,100))&amp;IF($D$7=1,"",N13)&amp;"Srcchk","")</f>
        <v>u4_s_AlertS_lcaBcRqSrcchk</v>
      </c>
      <c r="G13" s="59" t="str">
        <f t="shared" ref="G13:G37" si="1">IF($D13&lt;&gt;"",IF($E13="○","vd_s_Alert"&amp;UPPER(LEFT($D$6,1))&amp;LOWER(MID($D$6,2,100))&amp;IF($D$7=1,"",N13)&amp;"RwTx","NULL"),"")</f>
        <v>NULL</v>
      </c>
      <c r="H13" s="114" t="str">
        <f ca="1">IF($D13&lt;&gt;"","ALERT_CH_"&amp;UPPER($D$6)&amp;IF($D$7=1,"","_"&amp;UPPER($C13)),"")</f>
        <v>ALERT_CH_S_LCA_BC_RQ</v>
      </c>
      <c r="I13" s="156" t="str">
        <f ca="1">IF($D13&lt;&gt;"","ALERT_REQ_"&amp;UPPER($D$6)&amp;IF($D$7=1,"","_"&amp;UPPER($C13)),"")</f>
        <v>ALERT_REQ_S_LCA_BC_RQ</v>
      </c>
      <c r="K13" t="s">
        <v>46</v>
      </c>
      <c r="L13" t="s">
        <v>50</v>
      </c>
      <c r="M13">
        <f t="shared" ref="M13:M37" si="2">FIND("_",C13,1)</f>
        <v>3</v>
      </c>
      <c r="N13" t="str">
        <f t="shared" ref="N13:N37" si="3">IF(IFERROR(M13,0),UPPER(LEFT(C13,1))&amp;LOWER(MID(C13,2,M13-2))&amp;UPPER(MID(C13,M13+1,1))&amp;LOWER(MID(C13,M13+2,100)),UPPER(LEFT(C13,1))&amp;LOWER(MID(C13,2,100)))</f>
        <v>BcRq</v>
      </c>
    </row>
    <row r="14" spans="2:14">
      <c r="B14" s="103">
        <v>2</v>
      </c>
      <c r="C14" s="153" t="s">
        <v>258</v>
      </c>
      <c r="D14" s="154" t="s">
        <v>48</v>
      </c>
      <c r="E14" s="154" t="s">
        <v>157</v>
      </c>
      <c r="F14" s="54" t="str">
        <f t="shared" ca="1" si="0"/>
        <v>u4_s_AlertS_lcaBcClSrcchk</v>
      </c>
      <c r="G14" s="54" t="str">
        <f t="shared" si="1"/>
        <v>NULL</v>
      </c>
      <c r="H14" s="74" t="str">
        <f t="shared" ref="H14:H37" ca="1" si="4">IF($D14&lt;&gt;"","ALERT_CH_"&amp;UPPER($D$6)&amp;IF($D$7=1,"","_"&amp;UPPER($C14)),"")</f>
        <v>ALERT_CH_S_LCA_BC_CL</v>
      </c>
      <c r="I14" s="157" t="str">
        <f t="shared" ref="I14:I37" ca="1" si="5">IF($D14&lt;&gt;"","ALERT_REQ_"&amp;UPPER($D$6)&amp;IF($D$7=1,"","_"&amp;UPPER($C14)),"")</f>
        <v>ALERT_REQ_S_LCA_BC_CL</v>
      </c>
      <c r="K14" t="s">
        <v>47</v>
      </c>
      <c r="L14" t="str">
        <f ca="1">"vd_g_Alert"&amp;UPPER(LEFT(D6,1))&amp;LOWER(MID(D6,2,100))&amp;"Init"</f>
        <v>vd_g_AlertS_lcaInit</v>
      </c>
      <c r="M14">
        <f t="shared" si="2"/>
        <v>3</v>
      </c>
      <c r="N14" t="str">
        <f t="shared" si="3"/>
        <v>BcCl</v>
      </c>
    </row>
    <row r="15" spans="2:14">
      <c r="B15" s="103">
        <v>3</v>
      </c>
      <c r="C15" s="153" t="s">
        <v>259</v>
      </c>
      <c r="D15" s="154" t="s">
        <v>48</v>
      </c>
      <c r="E15" s="154" t="s">
        <v>157</v>
      </c>
      <c r="F15" s="54" t="str">
        <f t="shared" ca="1" si="0"/>
        <v>u4_s_AlertS_lcaBcVcSrcchk</v>
      </c>
      <c r="G15" s="54" t="str">
        <f t="shared" si="1"/>
        <v>NULL</v>
      </c>
      <c r="H15" s="74" t="str">
        <f t="shared" ca="1" si="4"/>
        <v>ALERT_CH_S_LCA_BC_VC</v>
      </c>
      <c r="I15" s="157" t="str">
        <f t="shared" ca="1" si="5"/>
        <v>ALERT_REQ_S_LCA_BC_VC</v>
      </c>
      <c r="K15" t="s">
        <v>117</v>
      </c>
      <c r="M15">
        <f t="shared" si="2"/>
        <v>3</v>
      </c>
      <c r="N15" t="str">
        <f t="shared" si="3"/>
        <v>BcVc</v>
      </c>
    </row>
    <row r="16" spans="2:14">
      <c r="B16" s="103">
        <v>4</v>
      </c>
      <c r="C16" s="153"/>
      <c r="D16" s="154"/>
      <c r="E16" s="154"/>
      <c r="F16" s="54" t="str">
        <f t="shared" si="0"/>
        <v/>
      </c>
      <c r="G16" s="54" t="str">
        <f t="shared" si="1"/>
        <v/>
      </c>
      <c r="H16" s="74" t="str">
        <f t="shared" si="4"/>
        <v/>
      </c>
      <c r="I16" s="157" t="str">
        <f t="shared" si="5"/>
        <v/>
      </c>
      <c r="K16" t="s">
        <v>118</v>
      </c>
      <c r="M16" t="e">
        <f t="shared" si="2"/>
        <v>#VALUE!</v>
      </c>
      <c r="N16" t="str">
        <f t="shared" si="3"/>
        <v/>
      </c>
    </row>
    <row r="17" spans="2:14">
      <c r="B17" s="103">
        <v>5</v>
      </c>
      <c r="C17" s="153"/>
      <c r="D17" s="154"/>
      <c r="E17" s="154"/>
      <c r="F17" s="54" t="str">
        <f t="shared" si="0"/>
        <v/>
      </c>
      <c r="G17" s="54" t="str">
        <f t="shared" si="1"/>
        <v/>
      </c>
      <c r="H17" s="74" t="str">
        <f t="shared" si="4"/>
        <v/>
      </c>
      <c r="I17" s="157" t="str">
        <f t="shared" si="5"/>
        <v/>
      </c>
      <c r="K17" t="s">
        <v>48</v>
      </c>
      <c r="M17" t="e">
        <f t="shared" si="2"/>
        <v>#VALUE!</v>
      </c>
      <c r="N17" t="str">
        <f t="shared" si="3"/>
        <v/>
      </c>
    </row>
    <row r="18" spans="2:14">
      <c r="B18" s="103">
        <v>6</v>
      </c>
      <c r="C18" s="153"/>
      <c r="D18" s="154"/>
      <c r="E18" s="154"/>
      <c r="F18" s="54" t="str">
        <f t="shared" si="0"/>
        <v/>
      </c>
      <c r="G18" s="54" t="str">
        <f t="shared" si="1"/>
        <v/>
      </c>
      <c r="H18" s="74" t="str">
        <f t="shared" si="4"/>
        <v/>
      </c>
      <c r="I18" s="157" t="str">
        <f t="shared" si="5"/>
        <v/>
      </c>
      <c r="K18" t="s">
        <v>49</v>
      </c>
      <c r="M18" t="e">
        <f t="shared" si="2"/>
        <v>#VALUE!</v>
      </c>
      <c r="N18" t="str">
        <f t="shared" si="3"/>
        <v/>
      </c>
    </row>
    <row r="19" spans="2:14">
      <c r="B19" s="103">
        <v>7</v>
      </c>
      <c r="C19" s="153"/>
      <c r="D19" s="154"/>
      <c r="E19" s="154"/>
      <c r="F19" s="54" t="str">
        <f t="shared" si="0"/>
        <v/>
      </c>
      <c r="G19" s="54" t="str">
        <f t="shared" si="1"/>
        <v/>
      </c>
      <c r="H19" s="74" t="str">
        <f t="shared" si="4"/>
        <v/>
      </c>
      <c r="I19" s="157" t="str">
        <f t="shared" si="5"/>
        <v/>
      </c>
      <c r="K19" t="s">
        <v>49</v>
      </c>
      <c r="M19" t="e">
        <f t="shared" si="2"/>
        <v>#VALUE!</v>
      </c>
      <c r="N19" t="str">
        <f t="shared" si="3"/>
        <v/>
      </c>
    </row>
    <row r="20" spans="2:14">
      <c r="B20" s="103">
        <v>8</v>
      </c>
      <c r="C20" s="153"/>
      <c r="D20" s="154"/>
      <c r="E20" s="154"/>
      <c r="F20" s="54" t="str">
        <f t="shared" si="0"/>
        <v/>
      </c>
      <c r="G20" s="54" t="str">
        <f t="shared" si="1"/>
        <v/>
      </c>
      <c r="H20" s="74" t="str">
        <f t="shared" si="4"/>
        <v/>
      </c>
      <c r="I20" s="157" t="str">
        <f t="shared" si="5"/>
        <v/>
      </c>
      <c r="K20" t="s">
        <v>49</v>
      </c>
      <c r="M20" t="e">
        <f t="shared" si="2"/>
        <v>#VALUE!</v>
      </c>
      <c r="N20" t="str">
        <f t="shared" si="3"/>
        <v/>
      </c>
    </row>
    <row r="21" spans="2:14">
      <c r="B21" s="103">
        <v>9</v>
      </c>
      <c r="C21" s="153"/>
      <c r="D21" s="154"/>
      <c r="E21" s="154"/>
      <c r="F21" s="54" t="str">
        <f t="shared" si="0"/>
        <v/>
      </c>
      <c r="G21" s="54" t="str">
        <f t="shared" si="1"/>
        <v/>
      </c>
      <c r="H21" s="74" t="str">
        <f t="shared" si="4"/>
        <v/>
      </c>
      <c r="I21" s="157" t="str">
        <f t="shared" si="5"/>
        <v/>
      </c>
      <c r="K21" t="s">
        <v>49</v>
      </c>
      <c r="M21" t="e">
        <f t="shared" si="2"/>
        <v>#VALUE!</v>
      </c>
      <c r="N21" t="str">
        <f t="shared" si="3"/>
        <v/>
      </c>
    </row>
    <row r="22" spans="2:14">
      <c r="B22" s="103">
        <v>10</v>
      </c>
      <c r="C22" s="153"/>
      <c r="D22" s="154"/>
      <c r="E22" s="154"/>
      <c r="F22" s="54" t="str">
        <f t="shared" si="0"/>
        <v/>
      </c>
      <c r="G22" s="54" t="str">
        <f t="shared" si="1"/>
        <v/>
      </c>
      <c r="H22" s="74" t="str">
        <f t="shared" si="4"/>
        <v/>
      </c>
      <c r="I22" s="157" t="str">
        <f t="shared" si="5"/>
        <v/>
      </c>
      <c r="K22" t="s">
        <v>49</v>
      </c>
      <c r="M22" t="e">
        <f t="shared" si="2"/>
        <v>#VALUE!</v>
      </c>
      <c r="N22" t="str">
        <f t="shared" si="3"/>
        <v/>
      </c>
    </row>
    <row r="23" spans="2:14">
      <c r="B23" s="103">
        <v>11</v>
      </c>
      <c r="C23" s="153"/>
      <c r="D23" s="154"/>
      <c r="E23" s="154"/>
      <c r="F23" s="54" t="str">
        <f t="shared" si="0"/>
        <v/>
      </c>
      <c r="G23" s="54" t="str">
        <f t="shared" si="1"/>
        <v/>
      </c>
      <c r="H23" s="74" t="str">
        <f t="shared" si="4"/>
        <v/>
      </c>
      <c r="I23" s="157" t="str">
        <f t="shared" si="5"/>
        <v/>
      </c>
      <c r="K23" t="s">
        <v>49</v>
      </c>
      <c r="M23" t="e">
        <f t="shared" si="2"/>
        <v>#VALUE!</v>
      </c>
      <c r="N23" t="str">
        <f t="shared" si="3"/>
        <v/>
      </c>
    </row>
    <row r="24" spans="2:14">
      <c r="B24" s="103">
        <v>12</v>
      </c>
      <c r="C24" s="153"/>
      <c r="D24" s="154"/>
      <c r="E24" s="154"/>
      <c r="F24" s="54" t="str">
        <f t="shared" si="0"/>
        <v/>
      </c>
      <c r="G24" s="54" t="str">
        <f t="shared" si="1"/>
        <v/>
      </c>
      <c r="H24" s="74" t="str">
        <f t="shared" si="4"/>
        <v/>
      </c>
      <c r="I24" s="157" t="str">
        <f t="shared" si="5"/>
        <v/>
      </c>
      <c r="K24" t="s">
        <v>49</v>
      </c>
      <c r="M24" t="e">
        <f t="shared" si="2"/>
        <v>#VALUE!</v>
      </c>
      <c r="N24" t="str">
        <f t="shared" si="3"/>
        <v/>
      </c>
    </row>
    <row r="25" spans="2:14">
      <c r="B25" s="103">
        <v>13</v>
      </c>
      <c r="C25" s="153"/>
      <c r="D25" s="154"/>
      <c r="E25" s="154"/>
      <c r="F25" s="54" t="str">
        <f t="shared" si="0"/>
        <v/>
      </c>
      <c r="G25" s="54" t="str">
        <f t="shared" si="1"/>
        <v/>
      </c>
      <c r="H25" s="74" t="str">
        <f t="shared" si="4"/>
        <v/>
      </c>
      <c r="I25" s="157" t="str">
        <f t="shared" si="5"/>
        <v/>
      </c>
      <c r="K25" t="s">
        <v>49</v>
      </c>
      <c r="M25" t="e">
        <f t="shared" si="2"/>
        <v>#VALUE!</v>
      </c>
      <c r="N25" t="str">
        <f t="shared" si="3"/>
        <v/>
      </c>
    </row>
    <row r="26" spans="2:14">
      <c r="B26" s="103">
        <v>14</v>
      </c>
      <c r="C26" s="153"/>
      <c r="D26" s="154"/>
      <c r="E26" s="154"/>
      <c r="F26" s="54" t="str">
        <f t="shared" si="0"/>
        <v/>
      </c>
      <c r="G26" s="54" t="str">
        <f t="shared" si="1"/>
        <v/>
      </c>
      <c r="H26" s="74" t="str">
        <f t="shared" si="4"/>
        <v/>
      </c>
      <c r="I26" s="157" t="str">
        <f t="shared" si="5"/>
        <v/>
      </c>
      <c r="K26" t="s">
        <v>49</v>
      </c>
      <c r="M26" t="e">
        <f t="shared" si="2"/>
        <v>#VALUE!</v>
      </c>
      <c r="N26" t="str">
        <f t="shared" si="3"/>
        <v/>
      </c>
    </row>
    <row r="27" spans="2:14">
      <c r="B27" s="103">
        <v>15</v>
      </c>
      <c r="C27" s="153"/>
      <c r="D27" s="154"/>
      <c r="E27" s="154"/>
      <c r="F27" s="54" t="str">
        <f t="shared" si="0"/>
        <v/>
      </c>
      <c r="G27" s="54" t="str">
        <f t="shared" si="1"/>
        <v/>
      </c>
      <c r="H27" s="74" t="str">
        <f t="shared" si="4"/>
        <v/>
      </c>
      <c r="I27" s="157" t="str">
        <f t="shared" si="5"/>
        <v/>
      </c>
      <c r="K27" t="s">
        <v>49</v>
      </c>
      <c r="M27" t="e">
        <f t="shared" si="2"/>
        <v>#VALUE!</v>
      </c>
      <c r="N27" t="str">
        <f t="shared" si="3"/>
        <v/>
      </c>
    </row>
    <row r="28" spans="2:14">
      <c r="B28" s="103">
        <v>16</v>
      </c>
      <c r="C28" s="153"/>
      <c r="D28" s="154"/>
      <c r="E28" s="154"/>
      <c r="F28" s="54" t="str">
        <f t="shared" si="0"/>
        <v/>
      </c>
      <c r="G28" s="54" t="str">
        <f t="shared" si="1"/>
        <v/>
      </c>
      <c r="H28" s="74" t="str">
        <f t="shared" si="4"/>
        <v/>
      </c>
      <c r="I28" s="157" t="str">
        <f t="shared" si="5"/>
        <v/>
      </c>
      <c r="K28" t="s">
        <v>49</v>
      </c>
      <c r="M28" t="e">
        <f t="shared" si="2"/>
        <v>#VALUE!</v>
      </c>
      <c r="N28" t="str">
        <f t="shared" si="3"/>
        <v/>
      </c>
    </row>
    <row r="29" spans="2:14">
      <c r="B29" s="103">
        <v>17</v>
      </c>
      <c r="C29" s="153"/>
      <c r="D29" s="154"/>
      <c r="E29" s="154"/>
      <c r="F29" s="54" t="str">
        <f t="shared" si="0"/>
        <v/>
      </c>
      <c r="G29" s="54" t="str">
        <f t="shared" si="1"/>
        <v/>
      </c>
      <c r="H29" s="74" t="str">
        <f t="shared" si="4"/>
        <v/>
      </c>
      <c r="I29" s="157" t="str">
        <f t="shared" si="5"/>
        <v/>
      </c>
      <c r="K29" t="s">
        <v>49</v>
      </c>
      <c r="M29" t="e">
        <f t="shared" si="2"/>
        <v>#VALUE!</v>
      </c>
      <c r="N29" t="str">
        <f t="shared" si="3"/>
        <v/>
      </c>
    </row>
    <row r="30" spans="2:14">
      <c r="B30" s="103">
        <v>18</v>
      </c>
      <c r="C30" s="153"/>
      <c r="D30" s="154"/>
      <c r="E30" s="154"/>
      <c r="F30" s="54" t="str">
        <f t="shared" si="0"/>
        <v/>
      </c>
      <c r="G30" s="54" t="str">
        <f t="shared" si="1"/>
        <v/>
      </c>
      <c r="H30" s="74" t="str">
        <f t="shared" si="4"/>
        <v/>
      </c>
      <c r="I30" s="157" t="str">
        <f t="shared" si="5"/>
        <v/>
      </c>
      <c r="K30" t="s">
        <v>49</v>
      </c>
      <c r="M30" t="e">
        <f t="shared" si="2"/>
        <v>#VALUE!</v>
      </c>
      <c r="N30" t="str">
        <f t="shared" si="3"/>
        <v/>
      </c>
    </row>
    <row r="31" spans="2:14">
      <c r="B31" s="103">
        <v>19</v>
      </c>
      <c r="C31" s="153"/>
      <c r="D31" s="154"/>
      <c r="E31" s="154"/>
      <c r="F31" s="54" t="str">
        <f t="shared" si="0"/>
        <v/>
      </c>
      <c r="G31" s="54" t="str">
        <f t="shared" si="1"/>
        <v/>
      </c>
      <c r="H31" s="74" t="str">
        <f t="shared" si="4"/>
        <v/>
      </c>
      <c r="I31" s="157" t="str">
        <f t="shared" si="5"/>
        <v/>
      </c>
      <c r="K31" t="s">
        <v>49</v>
      </c>
      <c r="M31" t="e">
        <f t="shared" si="2"/>
        <v>#VALUE!</v>
      </c>
      <c r="N31" t="str">
        <f t="shared" si="3"/>
        <v/>
      </c>
    </row>
    <row r="32" spans="2:14">
      <c r="B32" s="103">
        <v>20</v>
      </c>
      <c r="C32" s="153"/>
      <c r="D32" s="154"/>
      <c r="E32" s="154"/>
      <c r="F32" s="54" t="str">
        <f t="shared" si="0"/>
        <v/>
      </c>
      <c r="G32" s="54" t="str">
        <f t="shared" si="1"/>
        <v/>
      </c>
      <c r="H32" s="74" t="str">
        <f t="shared" si="4"/>
        <v/>
      </c>
      <c r="I32" s="157" t="str">
        <f t="shared" si="5"/>
        <v/>
      </c>
      <c r="K32" t="s">
        <v>49</v>
      </c>
      <c r="M32" t="e">
        <f t="shared" si="2"/>
        <v>#VALUE!</v>
      </c>
      <c r="N32" t="str">
        <f t="shared" si="3"/>
        <v/>
      </c>
    </row>
    <row r="33" spans="2:14">
      <c r="B33" s="103">
        <v>21</v>
      </c>
      <c r="C33" s="153"/>
      <c r="D33" s="154"/>
      <c r="E33" s="154"/>
      <c r="F33" s="54" t="str">
        <f t="shared" si="0"/>
        <v/>
      </c>
      <c r="G33" s="54" t="str">
        <f t="shared" si="1"/>
        <v/>
      </c>
      <c r="H33" s="74" t="str">
        <f t="shared" si="4"/>
        <v/>
      </c>
      <c r="I33" s="157" t="str">
        <f t="shared" si="5"/>
        <v/>
      </c>
      <c r="K33" t="s">
        <v>49</v>
      </c>
      <c r="M33" t="e">
        <f t="shared" si="2"/>
        <v>#VALUE!</v>
      </c>
      <c r="N33" t="str">
        <f t="shared" si="3"/>
        <v/>
      </c>
    </row>
    <row r="34" spans="2:14">
      <c r="B34" s="103">
        <v>22</v>
      </c>
      <c r="C34" s="153"/>
      <c r="D34" s="154"/>
      <c r="E34" s="154"/>
      <c r="F34" s="54" t="str">
        <f t="shared" si="0"/>
        <v/>
      </c>
      <c r="G34" s="54" t="str">
        <f t="shared" si="1"/>
        <v/>
      </c>
      <c r="H34" s="74" t="str">
        <f t="shared" si="4"/>
        <v/>
      </c>
      <c r="I34" s="157" t="str">
        <f t="shared" si="5"/>
        <v/>
      </c>
      <c r="K34" t="s">
        <v>49</v>
      </c>
      <c r="M34" t="e">
        <f t="shared" si="2"/>
        <v>#VALUE!</v>
      </c>
      <c r="N34" t="str">
        <f t="shared" si="3"/>
        <v/>
      </c>
    </row>
    <row r="35" spans="2:14">
      <c r="B35" s="103">
        <v>23</v>
      </c>
      <c r="C35" s="153"/>
      <c r="D35" s="154"/>
      <c r="E35" s="154"/>
      <c r="F35" s="54" t="str">
        <f t="shared" si="0"/>
        <v/>
      </c>
      <c r="G35" s="54" t="str">
        <f t="shared" si="1"/>
        <v/>
      </c>
      <c r="H35" s="74" t="str">
        <f t="shared" si="4"/>
        <v/>
      </c>
      <c r="I35" s="157" t="str">
        <f t="shared" si="5"/>
        <v/>
      </c>
      <c r="K35" t="s">
        <v>49</v>
      </c>
      <c r="M35" t="e">
        <f t="shared" si="2"/>
        <v>#VALUE!</v>
      </c>
      <c r="N35" t="str">
        <f t="shared" si="3"/>
        <v/>
      </c>
    </row>
    <row r="36" spans="2:14">
      <c r="B36" s="103">
        <v>24</v>
      </c>
      <c r="C36" s="153"/>
      <c r="D36" s="154"/>
      <c r="E36" s="154"/>
      <c r="F36" s="54" t="str">
        <f t="shared" si="0"/>
        <v/>
      </c>
      <c r="G36" s="54" t="str">
        <f t="shared" si="1"/>
        <v/>
      </c>
      <c r="H36" s="74" t="str">
        <f t="shared" si="4"/>
        <v/>
      </c>
      <c r="I36" s="157" t="str">
        <f t="shared" si="5"/>
        <v/>
      </c>
      <c r="K36" t="s">
        <v>49</v>
      </c>
      <c r="M36" t="e">
        <f t="shared" si="2"/>
        <v>#VALUE!</v>
      </c>
      <c r="N36" t="str">
        <f t="shared" si="3"/>
        <v/>
      </c>
    </row>
    <row r="37" spans="2:14" ht="14.25" thickBot="1">
      <c r="B37" s="104">
        <v>25</v>
      </c>
      <c r="C37" s="151"/>
      <c r="D37" s="152"/>
      <c r="E37" s="152"/>
      <c r="F37" s="62" t="str">
        <f t="shared" si="0"/>
        <v/>
      </c>
      <c r="G37" s="62" t="str">
        <f t="shared" si="1"/>
        <v/>
      </c>
      <c r="H37" s="75" t="str">
        <f t="shared" si="4"/>
        <v/>
      </c>
      <c r="I37" s="158" t="str">
        <f t="shared" si="5"/>
        <v/>
      </c>
      <c r="K37" t="s">
        <v>49</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183</v>
      </c>
      <c r="O2" t="s">
        <v>185</v>
      </c>
    </row>
    <row r="3" spans="2:18" ht="14.25" thickBot="1">
      <c r="B3" s="150" t="s">
        <v>34</v>
      </c>
      <c r="C3" s="111" t="s">
        <v>173</v>
      </c>
      <c r="D3" s="111" t="s">
        <v>179</v>
      </c>
      <c r="E3" s="112" t="s">
        <v>180</v>
      </c>
      <c r="F3" s="191" t="s">
        <v>175</v>
      </c>
      <c r="G3" s="188" t="s">
        <v>188</v>
      </c>
      <c r="O3" s="150" t="s">
        <v>34</v>
      </c>
      <c r="P3" s="187" t="s">
        <v>169</v>
      </c>
      <c r="Q3" s="187" t="s">
        <v>182</v>
      </c>
      <c r="R3" s="188" t="s">
        <v>175</v>
      </c>
    </row>
    <row r="4" spans="2:18" ht="14.25" hidden="1" thickTop="1">
      <c r="B4" s="179">
        <v>0</v>
      </c>
      <c r="C4" s="180" t="s">
        <v>159</v>
      </c>
      <c r="D4" s="180"/>
      <c r="E4" s="181"/>
      <c r="F4" s="192"/>
      <c r="G4" s="81"/>
      <c r="O4" s="189">
        <v>0</v>
      </c>
      <c r="P4" s="186" t="s">
        <v>159</v>
      </c>
      <c r="Q4" s="186" t="s">
        <v>159</v>
      </c>
      <c r="R4" s="144"/>
    </row>
    <row r="5" spans="2:18" ht="14.25" thickTop="1">
      <c r="B5" s="182">
        <v>1</v>
      </c>
      <c r="C5" s="154"/>
      <c r="D5" s="25"/>
      <c r="E5" s="74" t="str">
        <f>IF($C5&lt;&gt;"","ALERT_" &amp; D5 &amp; "_ID_"&amp;UPPER(Matrix!$D$6) &amp; "_" &amp; $C5,"")</f>
        <v/>
      </c>
      <c r="F5" s="121"/>
      <c r="G5" s="74" t="str">
        <f>IF(E5&lt;&gt;"",LEN(E5),"")</f>
        <v/>
      </c>
      <c r="O5" s="182">
        <v>1</v>
      </c>
      <c r="P5" s="154"/>
      <c r="Q5" s="154"/>
      <c r="R5" s="122"/>
    </row>
    <row r="6" spans="2:18">
      <c r="B6" s="182">
        <v>2</v>
      </c>
      <c r="C6" s="154"/>
      <c r="D6" s="25"/>
      <c r="E6" s="74" t="str">
        <f>IF($C6&lt;&gt;"","ALERT_" &amp; D6 &amp; "_ID_"&amp;UPPER(Matrix!$D$6) &amp; "_" &amp; $C6,"")</f>
        <v/>
      </c>
      <c r="F6" s="121"/>
      <c r="G6" s="74" t="str">
        <f t="shared" ref="G6:G29" si="0">IF(E6&lt;&gt;"",LEN(E6),"")</f>
        <v/>
      </c>
      <c r="O6" s="182">
        <v>2</v>
      </c>
      <c r="P6" s="154"/>
      <c r="Q6" s="154"/>
      <c r="R6" s="122"/>
    </row>
    <row r="7" spans="2:18">
      <c r="B7" s="182">
        <v>3</v>
      </c>
      <c r="C7" s="154"/>
      <c r="D7" s="25"/>
      <c r="E7" s="74" t="str">
        <f>IF($C7&lt;&gt;"","ALERT_" &amp; D7 &amp; "_ID_"&amp;UPPER(Matrix!$D$6) &amp; "_" &amp; $C7,"")</f>
        <v/>
      </c>
      <c r="F7" s="121"/>
      <c r="G7" s="74" t="str">
        <f t="shared" si="0"/>
        <v/>
      </c>
      <c r="O7" s="182">
        <v>3</v>
      </c>
      <c r="P7" s="154"/>
      <c r="Q7" s="154"/>
      <c r="R7" s="122"/>
    </row>
    <row r="8" spans="2:18">
      <c r="B8" s="182">
        <v>4</v>
      </c>
      <c r="C8" s="154"/>
      <c r="D8" s="25"/>
      <c r="E8" s="74" t="str">
        <f>IF($C8&lt;&gt;"","ALERT_" &amp; D8 &amp; "_ID_"&amp;UPPER(Matrix!$D$6) &amp; "_" &amp; $C8,"")</f>
        <v/>
      </c>
      <c r="F8" s="121"/>
      <c r="G8" s="74" t="str">
        <f t="shared" si="0"/>
        <v/>
      </c>
      <c r="O8" s="182">
        <v>4</v>
      </c>
      <c r="P8" s="154"/>
      <c r="Q8" s="154"/>
      <c r="R8" s="122"/>
    </row>
    <row r="9" spans="2:18">
      <c r="B9" s="182">
        <v>5</v>
      </c>
      <c r="C9" s="154"/>
      <c r="D9" s="25"/>
      <c r="E9" s="74" t="str">
        <f>IF($C9&lt;&gt;"","ALERT_" &amp; D9 &amp; "_ID_"&amp;UPPER(Matrix!$D$6) &amp; "_" &amp; $C9,"")</f>
        <v/>
      </c>
      <c r="F9" s="121"/>
      <c r="G9" s="74" t="str">
        <f t="shared" si="0"/>
        <v/>
      </c>
      <c r="O9" s="182">
        <v>5</v>
      </c>
      <c r="P9" s="154"/>
      <c r="Q9" s="154"/>
      <c r="R9" s="122"/>
    </row>
    <row r="10" spans="2:18">
      <c r="B10" s="182">
        <v>6</v>
      </c>
      <c r="C10" s="154"/>
      <c r="D10" s="25"/>
      <c r="E10" s="74" t="str">
        <f>IF($C10&lt;&gt;"","ALERT_" &amp; D10 &amp; "_ID_"&amp;UPPER(Matrix!$D$6) &amp; "_" &amp; $C10,"")</f>
        <v/>
      </c>
      <c r="F10" s="121"/>
      <c r="G10" s="74" t="str">
        <f t="shared" si="0"/>
        <v/>
      </c>
      <c r="O10" s="182">
        <v>6</v>
      </c>
      <c r="P10" s="154"/>
      <c r="Q10" s="154"/>
      <c r="R10" s="122"/>
    </row>
    <row r="11" spans="2:18">
      <c r="B11" s="182">
        <v>7</v>
      </c>
      <c r="C11" s="154"/>
      <c r="D11" s="25"/>
      <c r="E11" s="74" t="str">
        <f>IF($C11&lt;&gt;"","ALERT_" &amp; D11 &amp; "_ID_"&amp;UPPER(Matrix!$D$6) &amp; "_" &amp; $C11,"")</f>
        <v/>
      </c>
      <c r="F11" s="121"/>
      <c r="G11" s="74" t="str">
        <f t="shared" si="0"/>
        <v/>
      </c>
      <c r="O11" s="182">
        <v>7</v>
      </c>
      <c r="P11" s="154"/>
      <c r="Q11" s="154"/>
      <c r="R11" s="122"/>
    </row>
    <row r="12" spans="2:18">
      <c r="B12" s="182">
        <v>8</v>
      </c>
      <c r="C12" s="154"/>
      <c r="D12" s="25"/>
      <c r="E12" s="74" t="str">
        <f>IF($C12&lt;&gt;"","ALERT_" &amp; D12 &amp; "_ID_"&amp;UPPER(Matrix!$D$6) &amp; "_" &amp; $C12,"")</f>
        <v/>
      </c>
      <c r="F12" s="121"/>
      <c r="G12" s="74" t="str">
        <f t="shared" si="0"/>
        <v/>
      </c>
      <c r="O12" s="182">
        <v>8</v>
      </c>
      <c r="P12" s="154"/>
      <c r="Q12" s="154"/>
      <c r="R12" s="122"/>
    </row>
    <row r="13" spans="2:18">
      <c r="B13" s="182">
        <v>9</v>
      </c>
      <c r="C13" s="154"/>
      <c r="D13" s="25"/>
      <c r="E13" s="74" t="str">
        <f>IF($C13&lt;&gt;"","ALERT_" &amp; D13 &amp; "_ID_"&amp;UPPER(Matrix!$D$6) &amp; "_" &amp; $C13,"")</f>
        <v/>
      </c>
      <c r="F13" s="121"/>
      <c r="G13" s="74" t="str">
        <f t="shared" si="0"/>
        <v/>
      </c>
      <c r="O13" s="182">
        <v>9</v>
      </c>
      <c r="P13" s="154"/>
      <c r="Q13" s="154"/>
      <c r="R13" s="122"/>
    </row>
    <row r="14" spans="2:18">
      <c r="B14" s="182">
        <v>10</v>
      </c>
      <c r="C14" s="154"/>
      <c r="D14" s="25"/>
      <c r="E14" s="74" t="str">
        <f>IF($C14&lt;&gt;"","ALERT_" &amp; D14 &amp; "_ID_"&amp;UPPER(Matrix!$D$6) &amp; "_" &amp; $C14,"")</f>
        <v/>
      </c>
      <c r="F14" s="121"/>
      <c r="G14" s="74" t="str">
        <f t="shared" si="0"/>
        <v/>
      </c>
      <c r="O14" s="182">
        <v>10</v>
      </c>
      <c r="P14" s="154"/>
      <c r="Q14" s="154"/>
      <c r="R14" s="122"/>
    </row>
    <row r="15" spans="2:18">
      <c r="B15" s="182">
        <v>11</v>
      </c>
      <c r="C15" s="154"/>
      <c r="D15" s="25"/>
      <c r="E15" s="74" t="str">
        <f>IF($C15&lt;&gt;"","ALERT_" &amp; D15 &amp; "_ID_"&amp;UPPER(Matrix!$D$6) &amp; "_" &amp; $C15,"")</f>
        <v/>
      </c>
      <c r="F15" s="121"/>
      <c r="G15" s="74" t="str">
        <f t="shared" si="0"/>
        <v/>
      </c>
      <c r="O15" s="182">
        <v>11</v>
      </c>
      <c r="P15" s="154"/>
      <c r="Q15" s="154"/>
      <c r="R15" s="122"/>
    </row>
    <row r="16" spans="2:18">
      <c r="B16" s="182">
        <v>12</v>
      </c>
      <c r="C16" s="154"/>
      <c r="D16" s="25"/>
      <c r="E16" s="74" t="str">
        <f>IF($C16&lt;&gt;"","ALERT_" &amp; D16 &amp; "_ID_"&amp;UPPER(Matrix!$D$6) &amp; "_" &amp; $C16,"")</f>
        <v/>
      </c>
      <c r="F16" s="121"/>
      <c r="G16" s="74" t="str">
        <f t="shared" si="0"/>
        <v/>
      </c>
      <c r="O16" s="182">
        <v>12</v>
      </c>
      <c r="P16" s="154"/>
      <c r="Q16" s="154"/>
      <c r="R16" s="122"/>
    </row>
    <row r="17" spans="2:18">
      <c r="B17" s="182">
        <v>13</v>
      </c>
      <c r="C17" s="154"/>
      <c r="D17" s="25"/>
      <c r="E17" s="74" t="str">
        <f>IF($C17&lt;&gt;"","ALERT_" &amp; D17 &amp; "_ID_"&amp;UPPER(Matrix!$D$6) &amp; "_" &amp; $C17,"")</f>
        <v/>
      </c>
      <c r="F17" s="121"/>
      <c r="G17" s="74" t="str">
        <f t="shared" si="0"/>
        <v/>
      </c>
      <c r="O17" s="182">
        <v>13</v>
      </c>
      <c r="P17" s="154"/>
      <c r="Q17" s="154"/>
      <c r="R17" s="122"/>
    </row>
    <row r="18" spans="2:18">
      <c r="B18" s="182">
        <v>14</v>
      </c>
      <c r="C18" s="154"/>
      <c r="D18" s="25"/>
      <c r="E18" s="74" t="str">
        <f>IF($C18&lt;&gt;"","ALERT_" &amp; D18 &amp; "_ID_"&amp;UPPER(Matrix!$D$6) &amp; "_" &amp; $C18,"")</f>
        <v/>
      </c>
      <c r="F18" s="121"/>
      <c r="G18" s="74" t="str">
        <f t="shared" si="0"/>
        <v/>
      </c>
      <c r="O18" s="182">
        <v>14</v>
      </c>
      <c r="P18" s="154"/>
      <c r="Q18" s="154"/>
      <c r="R18" s="122"/>
    </row>
    <row r="19" spans="2:18">
      <c r="B19" s="182">
        <v>15</v>
      </c>
      <c r="C19" s="154"/>
      <c r="D19" s="25"/>
      <c r="E19" s="74" t="str">
        <f>IF($C19&lt;&gt;"","ALERT_" &amp; D19 &amp; "_ID_"&amp;UPPER(Matrix!$D$6) &amp; "_" &amp; $C19,"")</f>
        <v/>
      </c>
      <c r="F19" s="121"/>
      <c r="G19" s="74" t="str">
        <f t="shared" si="0"/>
        <v/>
      </c>
      <c r="O19" s="182">
        <v>15</v>
      </c>
      <c r="P19" s="154"/>
      <c r="Q19" s="154"/>
      <c r="R19" s="122"/>
    </row>
    <row r="20" spans="2:18">
      <c r="B20" s="182">
        <v>16</v>
      </c>
      <c r="C20" s="154"/>
      <c r="D20" s="25"/>
      <c r="E20" s="74" t="str">
        <f>IF($C20&lt;&gt;"","ALERT_" &amp; D20 &amp; "_ID_"&amp;UPPER(Matrix!$D$6) &amp; "_" &amp; $C20,"")</f>
        <v/>
      </c>
      <c r="F20" s="121"/>
      <c r="G20" s="74" t="str">
        <f t="shared" si="0"/>
        <v/>
      </c>
      <c r="O20" s="182">
        <v>16</v>
      </c>
      <c r="P20" s="154"/>
      <c r="Q20" s="154"/>
      <c r="R20" s="122"/>
    </row>
    <row r="21" spans="2:18">
      <c r="B21" s="182">
        <v>17</v>
      </c>
      <c r="C21" s="154"/>
      <c r="D21" s="25"/>
      <c r="E21" s="74" t="str">
        <f>IF($C21&lt;&gt;"","ALERT_" &amp; D21 &amp; "_ID_"&amp;UPPER(Matrix!$D$6) &amp; "_" &amp; $C21,"")</f>
        <v/>
      </c>
      <c r="F21" s="121"/>
      <c r="G21" s="74" t="str">
        <f t="shared" si="0"/>
        <v/>
      </c>
      <c r="O21" s="182">
        <v>17</v>
      </c>
      <c r="P21" s="154"/>
      <c r="Q21" s="154"/>
      <c r="R21" s="122"/>
    </row>
    <row r="22" spans="2:18">
      <c r="B22" s="182">
        <v>18</v>
      </c>
      <c r="C22" s="154"/>
      <c r="D22" s="25"/>
      <c r="E22" s="74" t="str">
        <f>IF($C22&lt;&gt;"","ALERT_" &amp; D22 &amp; "_ID_"&amp;UPPER(Matrix!$D$6) &amp; "_" &amp; $C22,"")</f>
        <v/>
      </c>
      <c r="F22" s="121"/>
      <c r="G22" s="74" t="str">
        <f t="shared" si="0"/>
        <v/>
      </c>
      <c r="O22" s="182">
        <v>18</v>
      </c>
      <c r="P22" s="154"/>
      <c r="Q22" s="154"/>
      <c r="R22" s="122"/>
    </row>
    <row r="23" spans="2:18">
      <c r="B23" s="182">
        <v>19</v>
      </c>
      <c r="C23" s="154"/>
      <c r="D23" s="25"/>
      <c r="E23" s="74" t="str">
        <f>IF($C23&lt;&gt;"","ALERT_" &amp; D23 &amp; "_ID_"&amp;UPPER(Matrix!$D$6) &amp; "_" &amp; $C23,"")</f>
        <v/>
      </c>
      <c r="F23" s="121"/>
      <c r="G23" s="74" t="str">
        <f t="shared" si="0"/>
        <v/>
      </c>
      <c r="O23" s="182">
        <v>19</v>
      </c>
      <c r="P23" s="154"/>
      <c r="Q23" s="154"/>
      <c r="R23" s="122"/>
    </row>
    <row r="24" spans="2:18">
      <c r="B24" s="182">
        <v>20</v>
      </c>
      <c r="C24" s="154"/>
      <c r="D24" s="25"/>
      <c r="E24" s="74" t="str">
        <f>IF($C24&lt;&gt;"","ALERT_" &amp; D24 &amp; "_ID_"&amp;UPPER(Matrix!$D$6) &amp; "_" &amp; $C24,"")</f>
        <v/>
      </c>
      <c r="F24" s="121"/>
      <c r="G24" s="74" t="str">
        <f t="shared" si="0"/>
        <v/>
      </c>
      <c r="O24" s="182">
        <v>20</v>
      </c>
      <c r="P24" s="154"/>
      <c r="Q24" s="154"/>
      <c r="R24" s="122"/>
    </row>
    <row r="25" spans="2:18">
      <c r="B25" s="182">
        <v>21</v>
      </c>
      <c r="C25" s="154"/>
      <c r="D25" s="25"/>
      <c r="E25" s="74" t="str">
        <f>IF($C25&lt;&gt;"","ALERT_" &amp; D25 &amp; "_ID_"&amp;UPPER(Matrix!$D$6) &amp; "_" &amp; $C25,"")</f>
        <v/>
      </c>
      <c r="F25" s="121"/>
      <c r="G25" s="74" t="str">
        <f t="shared" si="0"/>
        <v/>
      </c>
      <c r="O25" s="182">
        <v>21</v>
      </c>
      <c r="P25" s="154"/>
      <c r="Q25" s="154"/>
      <c r="R25" s="122"/>
    </row>
    <row r="26" spans="2:18">
      <c r="B26" s="182">
        <v>22</v>
      </c>
      <c r="C26" s="154"/>
      <c r="D26" s="25"/>
      <c r="E26" s="74" t="str">
        <f>IF($C26&lt;&gt;"","ALERT_" &amp; D26 &amp; "_ID_"&amp;UPPER(Matrix!$D$6) &amp; "_" &amp; $C26,"")</f>
        <v/>
      </c>
      <c r="F26" s="121"/>
      <c r="G26" s="74" t="str">
        <f t="shared" si="0"/>
        <v/>
      </c>
      <c r="O26" s="182">
        <v>22</v>
      </c>
      <c r="P26" s="154"/>
      <c r="Q26" s="154"/>
      <c r="R26" s="122"/>
    </row>
    <row r="27" spans="2:18">
      <c r="B27" s="182">
        <v>23</v>
      </c>
      <c r="C27" s="154"/>
      <c r="D27" s="25"/>
      <c r="E27" s="74" t="str">
        <f>IF($C27&lt;&gt;"","ALERT_" &amp; D27 &amp; "_ID_"&amp;UPPER(Matrix!$D$6) &amp; "_" &amp; $C27,"")</f>
        <v/>
      </c>
      <c r="F27" s="121"/>
      <c r="G27" s="74" t="str">
        <f t="shared" si="0"/>
        <v/>
      </c>
      <c r="O27" s="182">
        <v>23</v>
      </c>
      <c r="P27" s="154"/>
      <c r="Q27" s="154"/>
      <c r="R27" s="122"/>
    </row>
    <row r="28" spans="2:18">
      <c r="B28" s="182">
        <v>24</v>
      </c>
      <c r="C28" s="154"/>
      <c r="D28" s="25"/>
      <c r="E28" s="74" t="str">
        <f>IF($C28&lt;&gt;"","ALERT_" &amp; D28 &amp; "_ID_"&amp;UPPER(Matrix!$D$6) &amp; "_" &amp; $C28,"")</f>
        <v/>
      </c>
      <c r="F28" s="121"/>
      <c r="G28" s="74" t="str">
        <f t="shared" si="0"/>
        <v/>
      </c>
      <c r="O28" s="182">
        <v>24</v>
      </c>
      <c r="P28" s="154"/>
      <c r="Q28" s="154"/>
      <c r="R28" s="122"/>
    </row>
    <row r="29" spans="2:18" ht="14.25" thickBot="1">
      <c r="B29" s="183">
        <v>25</v>
      </c>
      <c r="C29" s="152"/>
      <c r="D29" s="61"/>
      <c r="E29" s="75" t="str">
        <f>IF($C29&lt;&gt;"","ALERT_" &amp; D29 &amp; "_ID_"&amp;UPPER(Matrix!$D$6) &amp; "_" &amp; $C29,"")</f>
        <v/>
      </c>
      <c r="F29" s="123"/>
      <c r="G29" s="75" t="str">
        <f t="shared" si="0"/>
        <v/>
      </c>
      <c r="O29" s="183">
        <v>25</v>
      </c>
      <c r="P29" s="152"/>
      <c r="Q29" s="152"/>
      <c r="R29" s="124"/>
    </row>
    <row r="32" spans="2:18" ht="14.25" thickBot="1">
      <c r="B32" t="s">
        <v>184</v>
      </c>
      <c r="O32" t="s">
        <v>181</v>
      </c>
    </row>
    <row r="33" spans="2:18" ht="14.25" thickBot="1">
      <c r="B33" s="150" t="s">
        <v>34</v>
      </c>
      <c r="C33" s="111" t="s">
        <v>173</v>
      </c>
      <c r="D33" s="111" t="s">
        <v>178</v>
      </c>
      <c r="E33" s="112" t="s">
        <v>176</v>
      </c>
      <c r="F33" s="188" t="s">
        <v>177</v>
      </c>
      <c r="G33" s="188" t="s">
        <v>188</v>
      </c>
      <c r="O33" s="150" t="s">
        <v>34</v>
      </c>
      <c r="P33" s="187" t="s">
        <v>170</v>
      </c>
      <c r="Q33" s="187" t="s">
        <v>186</v>
      </c>
      <c r="R33" s="188" t="s">
        <v>174</v>
      </c>
    </row>
    <row r="34" spans="2:18" ht="14.25" hidden="1" thickTop="1">
      <c r="B34" s="179">
        <v>0</v>
      </c>
      <c r="C34" s="180" t="s">
        <v>159</v>
      </c>
      <c r="D34" s="180"/>
      <c r="E34" s="181"/>
      <c r="F34" s="190" t="s">
        <v>159</v>
      </c>
      <c r="G34" s="81"/>
      <c r="O34" s="189">
        <v>0</v>
      </c>
      <c r="P34" s="186" t="s">
        <v>159</v>
      </c>
      <c r="Q34" s="186" t="s">
        <v>159</v>
      </c>
      <c r="R34" s="190" t="s">
        <v>159</v>
      </c>
    </row>
    <row r="35" spans="2:18" ht="14.25" thickTop="1">
      <c r="B35" s="182">
        <v>1</v>
      </c>
      <c r="C35" s="154"/>
      <c r="D35" s="25"/>
      <c r="E35" s="74" t="str">
        <f>IF($C35&lt;&gt;"","ALERT_" &amp; UPPER(Matrix!$D$6) &amp; "_" &amp; $C35,"")</f>
        <v/>
      </c>
      <c r="F35" s="184"/>
      <c r="G35" s="74" t="str">
        <f>IF(E35&lt;&gt;"",LEN(E35),"")</f>
        <v/>
      </c>
      <c r="O35" s="182">
        <v>1</v>
      </c>
      <c r="P35" s="154"/>
      <c r="Q35" s="154"/>
      <c r="R35" s="184"/>
    </row>
    <row r="36" spans="2:18">
      <c r="B36" s="182">
        <v>2</v>
      </c>
      <c r="C36" s="154"/>
      <c r="D36" s="25"/>
      <c r="E36" s="74" t="str">
        <f>IF($C36&lt;&gt;"","ALERT_" &amp; UPPER(Matrix!$D$6) &amp; "_" &amp; $C36,"")</f>
        <v/>
      </c>
      <c r="F36" s="184"/>
      <c r="G36" s="74" t="str">
        <f>IF(E36&lt;&gt;"",LEN(E36),"")</f>
        <v/>
      </c>
      <c r="O36" s="182">
        <v>2</v>
      </c>
      <c r="P36" s="154"/>
      <c r="Q36" s="154"/>
      <c r="R36" s="184"/>
    </row>
    <row r="37" spans="2:18">
      <c r="B37" s="182">
        <v>3</v>
      </c>
      <c r="C37" s="154"/>
      <c r="D37" s="25"/>
      <c r="E37" s="74" t="str">
        <f>IF($C37&lt;&gt;"","ALERT_" &amp; UPPER(Matrix!$D$6) &amp; "_" &amp; $C37,"")</f>
        <v/>
      </c>
      <c r="F37" s="184"/>
      <c r="G37" s="74" t="str">
        <f>IF(E37&lt;&gt;"",LEN(E37),"")</f>
        <v/>
      </c>
      <c r="O37" s="182">
        <v>3</v>
      </c>
      <c r="P37" s="154"/>
      <c r="Q37" s="154"/>
      <c r="R37" s="184"/>
    </row>
    <row r="38" spans="2:18">
      <c r="B38" s="182">
        <v>4</v>
      </c>
      <c r="C38" s="154"/>
      <c r="D38" s="25"/>
      <c r="E38" s="74" t="str">
        <f>IF($C38&lt;&gt;"","ALERT_" &amp; UPPER(Matrix!$D$6) &amp; "_" &amp; $C38,"")</f>
        <v/>
      </c>
      <c r="F38" s="184"/>
      <c r="G38" s="74" t="str">
        <f t="shared" ref="G38:G59" si="1">IF(E38&lt;&gt;"",LEN(E38),"")</f>
        <v/>
      </c>
      <c r="O38" s="182">
        <v>4</v>
      </c>
      <c r="P38" s="154"/>
      <c r="Q38" s="154"/>
      <c r="R38" s="184"/>
    </row>
    <row r="39" spans="2:18">
      <c r="B39" s="182">
        <v>5</v>
      </c>
      <c r="C39" s="154"/>
      <c r="D39" s="25"/>
      <c r="E39" s="74" t="str">
        <f>IF($C39&lt;&gt;"","ALERT_" &amp; UPPER(Matrix!$D$6) &amp; "_" &amp; $C39,"")</f>
        <v/>
      </c>
      <c r="F39" s="184"/>
      <c r="G39" s="74" t="str">
        <f t="shared" si="1"/>
        <v/>
      </c>
      <c r="O39" s="182">
        <v>5</v>
      </c>
      <c r="P39" s="154"/>
      <c r="Q39" s="154"/>
      <c r="R39" s="184"/>
    </row>
    <row r="40" spans="2:18">
      <c r="B40" s="182">
        <v>6</v>
      </c>
      <c r="C40" s="154"/>
      <c r="D40" s="25"/>
      <c r="E40" s="74" t="str">
        <f>IF($C40&lt;&gt;"","ALERT_" &amp; UPPER(Matrix!$D$6) &amp; "_" &amp; $C40,"")</f>
        <v/>
      </c>
      <c r="F40" s="184"/>
      <c r="G40" s="74" t="str">
        <f t="shared" si="1"/>
        <v/>
      </c>
      <c r="O40" s="182">
        <v>6</v>
      </c>
      <c r="P40" s="154"/>
      <c r="Q40" s="154"/>
      <c r="R40" s="184"/>
    </row>
    <row r="41" spans="2:18">
      <c r="B41" s="182">
        <v>7</v>
      </c>
      <c r="C41" s="154"/>
      <c r="D41" s="25"/>
      <c r="E41" s="74" t="str">
        <f>IF($C41&lt;&gt;"","ALERT_" &amp; UPPER(Matrix!$D$6) &amp; "_" &amp; $C41,"")</f>
        <v/>
      </c>
      <c r="F41" s="184"/>
      <c r="G41" s="74" t="str">
        <f t="shared" si="1"/>
        <v/>
      </c>
      <c r="O41" s="182">
        <v>7</v>
      </c>
      <c r="P41" s="154"/>
      <c r="Q41" s="154"/>
      <c r="R41" s="184"/>
    </row>
    <row r="42" spans="2:18">
      <c r="B42" s="182">
        <v>8</v>
      </c>
      <c r="C42" s="154"/>
      <c r="D42" s="25"/>
      <c r="E42" s="74" t="str">
        <f>IF($C42&lt;&gt;"","ALERT_" &amp; UPPER(Matrix!$D$6) &amp; "_" &amp; $C42,"")</f>
        <v/>
      </c>
      <c r="F42" s="184"/>
      <c r="G42" s="74" t="str">
        <f t="shared" si="1"/>
        <v/>
      </c>
      <c r="O42" s="182">
        <v>8</v>
      </c>
      <c r="P42" s="154"/>
      <c r="Q42" s="154"/>
      <c r="R42" s="184"/>
    </row>
    <row r="43" spans="2:18">
      <c r="B43" s="182">
        <v>9</v>
      </c>
      <c r="C43" s="154"/>
      <c r="D43" s="25"/>
      <c r="E43" s="74" t="str">
        <f>IF($C43&lt;&gt;"","ALERT_" &amp; UPPER(Matrix!$D$6) &amp; "_" &amp; $C43,"")</f>
        <v/>
      </c>
      <c r="F43" s="184"/>
      <c r="G43" s="74" t="str">
        <f t="shared" si="1"/>
        <v/>
      </c>
      <c r="O43" s="182">
        <v>9</v>
      </c>
      <c r="P43" s="154"/>
      <c r="Q43" s="154"/>
      <c r="R43" s="184"/>
    </row>
    <row r="44" spans="2:18">
      <c r="B44" s="182">
        <v>10</v>
      </c>
      <c r="C44" s="154"/>
      <c r="D44" s="25"/>
      <c r="E44" s="74" t="str">
        <f>IF($C44&lt;&gt;"","ALERT_" &amp; UPPER(Matrix!$D$6) &amp; "_" &amp; $C44,"")</f>
        <v/>
      </c>
      <c r="F44" s="184"/>
      <c r="G44" s="74" t="str">
        <f t="shared" si="1"/>
        <v/>
      </c>
      <c r="O44" s="182">
        <v>10</v>
      </c>
      <c r="P44" s="154"/>
      <c r="Q44" s="154"/>
      <c r="R44" s="184"/>
    </row>
    <row r="45" spans="2:18">
      <c r="B45" s="182">
        <v>11</v>
      </c>
      <c r="C45" s="154"/>
      <c r="D45" s="25"/>
      <c r="E45" s="74" t="str">
        <f>IF($C45&lt;&gt;"","ALERT_" &amp; UPPER(Matrix!$D$6) &amp; "_" &amp; $C45,"")</f>
        <v/>
      </c>
      <c r="F45" s="184"/>
      <c r="G45" s="74" t="str">
        <f t="shared" si="1"/>
        <v/>
      </c>
      <c r="O45" s="182">
        <v>11</v>
      </c>
      <c r="P45" s="154"/>
      <c r="Q45" s="154"/>
      <c r="R45" s="184"/>
    </row>
    <row r="46" spans="2:18">
      <c r="B46" s="182">
        <v>12</v>
      </c>
      <c r="C46" s="154"/>
      <c r="D46" s="25"/>
      <c r="E46" s="74" t="str">
        <f>IF($C46&lt;&gt;"","ALERT_" &amp; UPPER(Matrix!$D$6) &amp; "_" &amp; $C46,"")</f>
        <v/>
      </c>
      <c r="F46" s="184"/>
      <c r="G46" s="74" t="str">
        <f t="shared" si="1"/>
        <v/>
      </c>
      <c r="O46" s="182">
        <v>12</v>
      </c>
      <c r="P46" s="154"/>
      <c r="Q46" s="154"/>
      <c r="R46" s="184"/>
    </row>
    <row r="47" spans="2:18">
      <c r="B47" s="182">
        <v>13</v>
      </c>
      <c r="C47" s="154"/>
      <c r="D47" s="25"/>
      <c r="E47" s="74" t="str">
        <f>IF($C47&lt;&gt;"","ALERT_" &amp; UPPER(Matrix!$D$6) &amp; "_" &amp; $C47,"")</f>
        <v/>
      </c>
      <c r="F47" s="184"/>
      <c r="G47" s="74" t="str">
        <f t="shared" si="1"/>
        <v/>
      </c>
      <c r="O47" s="182">
        <v>13</v>
      </c>
      <c r="P47" s="154"/>
      <c r="Q47" s="154"/>
      <c r="R47" s="184"/>
    </row>
    <row r="48" spans="2:18">
      <c r="B48" s="182">
        <v>14</v>
      </c>
      <c r="C48" s="154"/>
      <c r="D48" s="25"/>
      <c r="E48" s="74" t="str">
        <f>IF($C48&lt;&gt;"","ALERT_" &amp; UPPER(Matrix!$D$6) &amp; "_" &amp; $C48,"")</f>
        <v/>
      </c>
      <c r="F48" s="184"/>
      <c r="G48" s="74" t="str">
        <f t="shared" si="1"/>
        <v/>
      </c>
      <c r="O48" s="182">
        <v>14</v>
      </c>
      <c r="P48" s="154"/>
      <c r="Q48" s="154"/>
      <c r="R48" s="184"/>
    </row>
    <row r="49" spans="2:18">
      <c r="B49" s="182">
        <v>15</v>
      </c>
      <c r="C49" s="154"/>
      <c r="D49" s="25"/>
      <c r="E49" s="74" t="str">
        <f>IF($C49&lt;&gt;"","ALERT_" &amp; UPPER(Matrix!$D$6) &amp; "_" &amp; $C49,"")</f>
        <v/>
      </c>
      <c r="F49" s="184"/>
      <c r="G49" s="74" t="str">
        <f t="shared" si="1"/>
        <v/>
      </c>
      <c r="O49" s="182">
        <v>15</v>
      </c>
      <c r="P49" s="154"/>
      <c r="Q49" s="154"/>
      <c r="R49" s="184"/>
    </row>
    <row r="50" spans="2:18">
      <c r="B50" s="182">
        <v>16</v>
      </c>
      <c r="C50" s="154"/>
      <c r="D50" s="25"/>
      <c r="E50" s="74" t="str">
        <f>IF($C50&lt;&gt;"","ALERT_" &amp; UPPER(Matrix!$D$6) &amp; "_" &amp; $C50,"")</f>
        <v/>
      </c>
      <c r="F50" s="184"/>
      <c r="G50" s="74" t="str">
        <f t="shared" si="1"/>
        <v/>
      </c>
      <c r="O50" s="182">
        <v>16</v>
      </c>
      <c r="P50" s="154"/>
      <c r="Q50" s="154"/>
      <c r="R50" s="184"/>
    </row>
    <row r="51" spans="2:18">
      <c r="B51" s="182">
        <v>17</v>
      </c>
      <c r="C51" s="154"/>
      <c r="D51" s="25"/>
      <c r="E51" s="74" t="str">
        <f>IF($C51&lt;&gt;"","ALERT_" &amp; UPPER(Matrix!$D$6) &amp; "_" &amp; $C51,"")</f>
        <v/>
      </c>
      <c r="F51" s="184"/>
      <c r="G51" s="74" t="str">
        <f t="shared" si="1"/>
        <v/>
      </c>
      <c r="O51" s="182">
        <v>17</v>
      </c>
      <c r="P51" s="154"/>
      <c r="Q51" s="154"/>
      <c r="R51" s="184"/>
    </row>
    <row r="52" spans="2:18">
      <c r="B52" s="182">
        <v>18</v>
      </c>
      <c r="C52" s="154"/>
      <c r="D52" s="25"/>
      <c r="E52" s="74" t="str">
        <f>IF($C52&lt;&gt;"","ALERT_" &amp; UPPER(Matrix!$D$6) &amp; "_" &amp; $C52,"")</f>
        <v/>
      </c>
      <c r="F52" s="184"/>
      <c r="G52" s="74" t="str">
        <f t="shared" si="1"/>
        <v/>
      </c>
      <c r="O52" s="182">
        <v>18</v>
      </c>
      <c r="P52" s="154"/>
      <c r="Q52" s="154"/>
      <c r="R52" s="184"/>
    </row>
    <row r="53" spans="2:18">
      <c r="B53" s="182">
        <v>19</v>
      </c>
      <c r="C53" s="154"/>
      <c r="D53" s="25"/>
      <c r="E53" s="74" t="str">
        <f>IF($C53&lt;&gt;"","ALERT_" &amp; UPPER(Matrix!$D$6) &amp; "_" &amp; $C53,"")</f>
        <v/>
      </c>
      <c r="F53" s="184"/>
      <c r="G53" s="74" t="str">
        <f t="shared" si="1"/>
        <v/>
      </c>
      <c r="O53" s="182">
        <v>19</v>
      </c>
      <c r="P53" s="154"/>
      <c r="Q53" s="154"/>
      <c r="R53" s="184"/>
    </row>
    <row r="54" spans="2:18">
      <c r="B54" s="182">
        <v>20</v>
      </c>
      <c r="C54" s="154"/>
      <c r="D54" s="25"/>
      <c r="E54" s="74" t="str">
        <f>IF($C54&lt;&gt;"","ALERT_" &amp; UPPER(Matrix!$D$6) &amp; "_" &amp; $C54,"")</f>
        <v/>
      </c>
      <c r="F54" s="184"/>
      <c r="G54" s="74" t="str">
        <f t="shared" si="1"/>
        <v/>
      </c>
      <c r="O54" s="182">
        <v>20</v>
      </c>
      <c r="P54" s="154"/>
      <c r="Q54" s="154"/>
      <c r="R54" s="184"/>
    </row>
    <row r="55" spans="2:18">
      <c r="B55" s="182">
        <v>21</v>
      </c>
      <c r="C55" s="154"/>
      <c r="D55" s="25"/>
      <c r="E55" s="74" t="str">
        <f>IF($C55&lt;&gt;"","ALERT_" &amp; UPPER(Matrix!$D$6) &amp; "_" &amp; $C55,"")</f>
        <v/>
      </c>
      <c r="F55" s="184"/>
      <c r="G55" s="74" t="str">
        <f t="shared" si="1"/>
        <v/>
      </c>
      <c r="O55" s="182">
        <v>21</v>
      </c>
      <c r="P55" s="154"/>
      <c r="Q55" s="154"/>
      <c r="R55" s="184"/>
    </row>
    <row r="56" spans="2:18">
      <c r="B56" s="182">
        <v>22</v>
      </c>
      <c r="C56" s="154"/>
      <c r="D56" s="25"/>
      <c r="E56" s="74" t="str">
        <f>IF($C56&lt;&gt;"","ALERT_" &amp; UPPER(Matrix!$D$6) &amp; "_" &amp; $C56,"")</f>
        <v/>
      </c>
      <c r="F56" s="184"/>
      <c r="G56" s="74" t="str">
        <f t="shared" si="1"/>
        <v/>
      </c>
      <c r="O56" s="182">
        <v>22</v>
      </c>
      <c r="P56" s="154"/>
      <c r="Q56" s="154"/>
      <c r="R56" s="184"/>
    </row>
    <row r="57" spans="2:18">
      <c r="B57" s="182">
        <v>23</v>
      </c>
      <c r="C57" s="154"/>
      <c r="D57" s="25"/>
      <c r="E57" s="74" t="str">
        <f>IF($C57&lt;&gt;"","ALERT_" &amp; UPPER(Matrix!$D$6) &amp; "_" &amp; $C57,"")</f>
        <v/>
      </c>
      <c r="F57" s="184"/>
      <c r="G57" s="74" t="str">
        <f t="shared" si="1"/>
        <v/>
      </c>
      <c r="O57" s="182">
        <v>23</v>
      </c>
      <c r="P57" s="154"/>
      <c r="Q57" s="154"/>
      <c r="R57" s="184"/>
    </row>
    <row r="58" spans="2:18">
      <c r="B58" s="182">
        <v>24</v>
      </c>
      <c r="C58" s="154"/>
      <c r="D58" s="25"/>
      <c r="E58" s="74" t="str">
        <f>IF($C58&lt;&gt;"","ALERT_" &amp; UPPER(Matrix!$D$6) &amp; "_" &amp; $C58,"")</f>
        <v/>
      </c>
      <c r="F58" s="184"/>
      <c r="G58" s="74" t="str">
        <f t="shared" si="1"/>
        <v/>
      </c>
      <c r="O58" s="182">
        <v>24</v>
      </c>
      <c r="P58" s="154"/>
      <c r="Q58" s="154"/>
      <c r="R58" s="184"/>
    </row>
    <row r="59" spans="2:18" ht="14.25" thickBot="1">
      <c r="B59" s="183">
        <v>25</v>
      </c>
      <c r="C59" s="152"/>
      <c r="D59" s="61"/>
      <c r="E59" s="75" t="str">
        <f>IF($C59&lt;&gt;"","ALERT_" &amp; UPPER(Matrix!$D$6) &amp; "_" &amp; $C59,"")</f>
        <v/>
      </c>
      <c r="F59" s="185"/>
      <c r="G59" s="75" t="str">
        <f t="shared" si="1"/>
        <v/>
      </c>
      <c r="O59" s="183">
        <v>25</v>
      </c>
      <c r="P59" s="152"/>
      <c r="Q59" s="152"/>
      <c r="R59" s="18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E18" sqref="E18"/>
    </sheetView>
  </sheetViews>
  <sheetFormatPr defaultRowHeight="13.5"/>
  <cols>
    <col min="2" max="2" width="28.375" customWidth="1"/>
    <col min="3" max="3" width="15.875" customWidth="1"/>
    <col min="5" max="5" width="12.375" customWidth="1"/>
    <col min="6" max="6" width="19.75" customWidth="1"/>
    <col min="7" max="7" width="12.375" customWidth="1"/>
    <col min="8" max="8" width="34.875" customWidth="1"/>
    <col min="9" max="9" width="12.375" customWidth="1"/>
    <col min="10" max="10" width="69" customWidth="1"/>
    <col min="11" max="11" width="12.375" customWidth="1"/>
    <col min="12" max="12" width="16.125" customWidth="1"/>
    <col min="14" max="14" width="38.125" customWidth="1"/>
    <col min="15" max="15" width="57.125" hidden="1" customWidth="1"/>
    <col min="21" max="21" width="13" hidden="1" customWidth="1"/>
  </cols>
  <sheetData>
    <row r="1" spans="2:21" ht="14.25" thickBot="1">
      <c r="C1" s="97" t="s">
        <v>101</v>
      </c>
    </row>
    <row r="2" spans="2:21" ht="14.25" thickBot="1">
      <c r="B2" s="105" t="s">
        <v>58</v>
      </c>
      <c r="C2" s="106" t="s">
        <v>119</v>
      </c>
      <c r="D2" s="107" t="s">
        <v>52</v>
      </c>
      <c r="E2" s="108" t="s">
        <v>53</v>
      </c>
      <c r="F2" s="109" t="s">
        <v>23</v>
      </c>
      <c r="G2" s="108" t="s">
        <v>54</v>
      </c>
      <c r="H2" s="109" t="s">
        <v>25</v>
      </c>
      <c r="I2" s="108" t="s">
        <v>55</v>
      </c>
      <c r="J2" s="109" t="s">
        <v>156</v>
      </c>
      <c r="K2" s="108" t="s">
        <v>56</v>
      </c>
      <c r="L2" s="109" t="s">
        <v>26</v>
      </c>
      <c r="M2" s="106" t="s">
        <v>57</v>
      </c>
      <c r="N2" s="109" t="s">
        <v>114</v>
      </c>
      <c r="O2" s="125" t="s">
        <v>80</v>
      </c>
    </row>
    <row r="3" spans="2:21" ht="15" hidden="1" thickTop="1" thickBot="1">
      <c r="B3" s="26"/>
      <c r="C3" s="58" t="s">
        <v>105</v>
      </c>
      <c r="D3" s="118"/>
      <c r="E3" s="12"/>
      <c r="F3" s="14"/>
      <c r="G3" s="12"/>
      <c r="H3" s="14"/>
      <c r="I3" s="12"/>
      <c r="J3" s="14"/>
      <c r="K3" s="12"/>
      <c r="L3" s="14"/>
      <c r="M3" s="59"/>
      <c r="N3" s="114"/>
      <c r="O3" s="126"/>
      <c r="U3" s="101" t="s">
        <v>95</v>
      </c>
    </row>
    <row r="4" spans="2:21" ht="14.25" thickTop="1">
      <c r="B4" s="26" t="s">
        <v>351</v>
      </c>
      <c r="C4" s="58" t="s">
        <v>124</v>
      </c>
      <c r="D4" s="118">
        <v>0</v>
      </c>
      <c r="E4" s="119" t="s">
        <v>123</v>
      </c>
      <c r="F4" s="120" t="s">
        <v>30</v>
      </c>
      <c r="G4" s="119" t="s">
        <v>123</v>
      </c>
      <c r="H4" s="120" t="s">
        <v>334</v>
      </c>
      <c r="I4" s="119" t="s">
        <v>123</v>
      </c>
      <c r="J4" s="120" t="s">
        <v>30</v>
      </c>
      <c r="K4" s="119" t="s">
        <v>123</v>
      </c>
      <c r="L4" s="120" t="s">
        <v>30</v>
      </c>
      <c r="M4" s="59">
        <f ca="1">LEN(N4)</f>
        <v>28</v>
      </c>
      <c r="N4" s="114" t="str">
        <f ca="1">VLOOKUP($B4,Matrix!$H$13:$I$37,2,FALSE)&amp;"_"&amp;C4</f>
        <v>ALERT_REQ_S_LCA_BC_RQ_SINGLE</v>
      </c>
      <c r="O4" s="126" t="str">
        <f t="shared" ref="O4:O35" ca="1" si="0">"#define "&amp;N4&amp;REPT(" ",48-M4)&amp;"("&amp;D4&amp;"U)"</f>
        <v>#define ALERT_REQ_S_LCA_BC_RQ_SINGLE                    (0U)</v>
      </c>
      <c r="U4" s="101" t="s">
        <v>95</v>
      </c>
    </row>
    <row r="5" spans="2:21">
      <c r="B5" s="26" t="s">
        <v>352</v>
      </c>
      <c r="C5" s="25" t="s">
        <v>242</v>
      </c>
      <c r="D5" s="121">
        <v>0</v>
      </c>
      <c r="E5" s="26" t="s">
        <v>123</v>
      </c>
      <c r="F5" s="122" t="s">
        <v>30</v>
      </c>
      <c r="G5" s="26" t="s">
        <v>123</v>
      </c>
      <c r="H5" s="122" t="s">
        <v>335</v>
      </c>
      <c r="I5" s="26" t="s">
        <v>123</v>
      </c>
      <c r="J5" s="122" t="s">
        <v>30</v>
      </c>
      <c r="K5" s="26" t="s">
        <v>123</v>
      </c>
      <c r="L5" s="122" t="s">
        <v>30</v>
      </c>
      <c r="M5" s="54">
        <f t="shared" ref="M5:M68" ca="1" si="1">LEN(N5)</f>
        <v>28</v>
      </c>
      <c r="N5" s="114" t="str">
        <f ca="1">VLOOKUP($B5,Matrix!$H$13:$I$37,2,FALSE)&amp;"_"&amp;C5</f>
        <v>ALERT_REQ_S_LCA_BC_CL_DOUBLE</v>
      </c>
      <c r="O5" s="127" t="str">
        <f t="shared" ca="1" si="0"/>
        <v>#define ALERT_REQ_S_LCA_BC_CL_DOUBLE                    (0U)</v>
      </c>
      <c r="U5" s="99" t="s">
        <v>96</v>
      </c>
    </row>
    <row r="6" spans="2:21">
      <c r="B6" s="26" t="s">
        <v>353</v>
      </c>
      <c r="C6" s="58" t="s">
        <v>296</v>
      </c>
      <c r="D6" s="118">
        <v>0</v>
      </c>
      <c r="E6" s="26" t="s">
        <v>123</v>
      </c>
      <c r="F6" s="122" t="s">
        <v>30</v>
      </c>
      <c r="G6" s="26" t="s">
        <v>123</v>
      </c>
      <c r="H6" s="122" t="s">
        <v>336</v>
      </c>
      <c r="I6" s="26" t="s">
        <v>123</v>
      </c>
      <c r="J6" s="122" t="s">
        <v>30</v>
      </c>
      <c r="K6" s="26" t="s">
        <v>123</v>
      </c>
      <c r="L6" s="122" t="s">
        <v>30</v>
      </c>
      <c r="M6" s="54">
        <f t="shared" ca="1" si="1"/>
        <v>26</v>
      </c>
      <c r="N6" s="114" t="str">
        <f ca="1">VLOOKUP($B6,Matrix!$H$13:$I$37,2,FALSE)&amp;"_"&amp;C6</f>
        <v>ALERT_REQ_S_LCA_BC_VC_CYCL</v>
      </c>
      <c r="O6" s="127" t="str">
        <f t="shared" ca="1" si="0"/>
        <v>#define ALERT_REQ_S_LCA_BC_VC_CYCL                      (0U)</v>
      </c>
      <c r="U6" s="33" t="s">
        <v>97</v>
      </c>
    </row>
    <row r="7" spans="2:21">
      <c r="B7" s="26"/>
      <c r="C7" s="58"/>
      <c r="D7" s="121"/>
      <c r="E7" s="119"/>
      <c r="F7" s="120"/>
      <c r="G7" s="26"/>
      <c r="H7" s="122"/>
      <c r="I7" s="26"/>
      <c r="J7" s="122"/>
      <c r="K7" s="26"/>
      <c r="L7" s="122"/>
      <c r="M7" s="54" t="e">
        <f t="shared" ca="1" si="1"/>
        <v>#N/A</v>
      </c>
      <c r="N7" s="114" t="e">
        <f ca="1">VLOOKUP($B7,Matrix!$H$13:$I$37,2,FALSE)&amp;"_"&amp;C7</f>
        <v>#N/A</v>
      </c>
      <c r="O7" s="127" t="e">
        <f t="shared" ca="1" si="0"/>
        <v>#N/A</v>
      </c>
      <c r="U7" s="33" t="s">
        <v>98</v>
      </c>
    </row>
    <row r="8" spans="2:21">
      <c r="B8" s="26"/>
      <c r="C8" s="25"/>
      <c r="D8" s="121"/>
      <c r="E8" s="26"/>
      <c r="F8" s="122"/>
      <c r="G8" s="26"/>
      <c r="H8" s="122"/>
      <c r="I8" s="26"/>
      <c r="J8" s="122"/>
      <c r="K8" s="26"/>
      <c r="L8" s="122"/>
      <c r="M8" s="54" t="e">
        <f t="shared" ca="1" si="1"/>
        <v>#N/A</v>
      </c>
      <c r="N8" s="114" t="e">
        <f ca="1">VLOOKUP($B8,Matrix!$H$13:$I$37,2,FALSE)&amp;"_"&amp;C8</f>
        <v>#N/A</v>
      </c>
      <c r="O8" s="127" t="e">
        <f t="shared" ca="1" si="0"/>
        <v>#N/A</v>
      </c>
      <c r="U8" s="33" t="s">
        <v>99</v>
      </c>
    </row>
    <row r="9" spans="2:21">
      <c r="B9" s="26"/>
      <c r="C9" s="58"/>
      <c r="D9" s="121"/>
      <c r="E9" s="26"/>
      <c r="F9" s="122"/>
      <c r="G9" s="26"/>
      <c r="H9" s="122"/>
      <c r="I9" s="26"/>
      <c r="J9" s="122"/>
      <c r="K9" s="26"/>
      <c r="L9" s="122"/>
      <c r="M9" s="54" t="e">
        <f t="shared" ca="1" si="1"/>
        <v>#N/A</v>
      </c>
      <c r="N9" s="114" t="e">
        <f ca="1">VLOOKUP($B9,Matrix!$H$13:$I$37,2,FALSE)&amp;"_"&amp;C9</f>
        <v>#N/A</v>
      </c>
      <c r="O9" s="127" t="e">
        <f t="shared" ca="1" si="0"/>
        <v>#N/A</v>
      </c>
      <c r="U9" s="33" t="s">
        <v>100</v>
      </c>
    </row>
    <row r="10" spans="2:21">
      <c r="B10" s="26"/>
      <c r="C10" s="25"/>
      <c r="D10" s="121"/>
      <c r="E10" s="26"/>
      <c r="F10" s="122"/>
      <c r="G10" s="26"/>
      <c r="H10" s="122"/>
      <c r="I10" s="26"/>
      <c r="J10" s="122"/>
      <c r="K10" s="26"/>
      <c r="L10" s="122"/>
      <c r="M10" s="54" t="e">
        <f t="shared" ca="1" si="1"/>
        <v>#N/A</v>
      </c>
      <c r="N10" s="114" t="e">
        <f ca="1">VLOOKUP($B10,Matrix!$H$13:$I$37,2,FALSE)&amp;"_"&amp;C10</f>
        <v>#N/A</v>
      </c>
      <c r="O10" s="127" t="e">
        <f t="shared" ca="1" si="0"/>
        <v>#N/A</v>
      </c>
      <c r="U10" s="33"/>
    </row>
    <row r="11" spans="2:21">
      <c r="B11" s="26"/>
      <c r="C11" s="25"/>
      <c r="D11" s="121"/>
      <c r="E11" s="26"/>
      <c r="F11" s="122"/>
      <c r="G11" s="26"/>
      <c r="H11" s="122"/>
      <c r="I11" s="26"/>
      <c r="J11" s="122"/>
      <c r="K11" s="26"/>
      <c r="L11" s="122"/>
      <c r="M11" s="54" t="e">
        <f t="shared" ca="1" si="1"/>
        <v>#N/A</v>
      </c>
      <c r="N11" s="114" t="e">
        <f ca="1">VLOOKUP($B11,Matrix!$H$13:$I$37,2,FALSE)&amp;"_"&amp;C11</f>
        <v>#N/A</v>
      </c>
      <c r="O11" s="127" t="e">
        <f t="shared" ca="1" si="0"/>
        <v>#N/A</v>
      </c>
      <c r="U11" s="33"/>
    </row>
    <row r="12" spans="2:21">
      <c r="B12" s="26"/>
      <c r="C12" s="25"/>
      <c r="D12" s="121"/>
      <c r="E12" s="26"/>
      <c r="F12" s="122"/>
      <c r="G12" s="26"/>
      <c r="H12" s="122"/>
      <c r="I12" s="26"/>
      <c r="J12" s="122"/>
      <c r="K12" s="26"/>
      <c r="L12" s="122"/>
      <c r="M12" s="54" t="e">
        <f t="shared" ca="1" si="1"/>
        <v>#N/A</v>
      </c>
      <c r="N12" s="114" t="e">
        <f ca="1">VLOOKUP($B12,Matrix!$H$13:$I$37,2,FALSE)&amp;"_"&amp;C12</f>
        <v>#N/A</v>
      </c>
      <c r="O12" s="127" t="e">
        <f t="shared" ca="1" si="0"/>
        <v>#N/A</v>
      </c>
      <c r="U12" s="33"/>
    </row>
    <row r="13" spans="2:21" ht="14.25" thickBot="1">
      <c r="B13" s="26"/>
      <c r="C13" s="25"/>
      <c r="D13" s="121"/>
      <c r="E13" s="26"/>
      <c r="F13" s="122"/>
      <c r="G13" s="26"/>
      <c r="H13" s="122"/>
      <c r="I13" s="26"/>
      <c r="J13" s="122"/>
      <c r="K13" s="26"/>
      <c r="L13" s="122"/>
      <c r="M13" s="54" t="e">
        <f t="shared" ca="1" si="1"/>
        <v>#N/A</v>
      </c>
      <c r="N13" s="114" t="e">
        <f ca="1">VLOOKUP($B13,Matrix!$H$13:$I$37,2,FALSE)&amp;"_"&amp;C13</f>
        <v>#N/A</v>
      </c>
      <c r="O13" s="127" t="e">
        <f t="shared" ca="1" si="0"/>
        <v>#N/A</v>
      </c>
      <c r="U13" s="100"/>
    </row>
    <row r="14" spans="2:21">
      <c r="B14" s="26"/>
      <c r="C14" s="25"/>
      <c r="D14" s="121"/>
      <c r="E14" s="26"/>
      <c r="F14" s="122"/>
      <c r="G14" s="26"/>
      <c r="H14" s="122"/>
      <c r="I14" s="26"/>
      <c r="J14" s="122"/>
      <c r="K14" s="26"/>
      <c r="L14" s="122"/>
      <c r="M14" s="54" t="e">
        <f t="shared" ca="1" si="1"/>
        <v>#N/A</v>
      </c>
      <c r="N14" s="114" t="e">
        <f ca="1">VLOOKUP($B14,Matrix!$H$13:$I$37,2,FALSE)&amp;"_"&amp;C14</f>
        <v>#N/A</v>
      </c>
      <c r="O14" s="127" t="e">
        <f t="shared" ca="1" si="0"/>
        <v>#N/A</v>
      </c>
    </row>
    <row r="15" spans="2:21">
      <c r="B15" s="26"/>
      <c r="C15" s="25"/>
      <c r="D15" s="121"/>
      <c r="E15" s="26"/>
      <c r="F15" s="122"/>
      <c r="G15" s="26"/>
      <c r="H15" s="122"/>
      <c r="I15" s="26"/>
      <c r="J15" s="122"/>
      <c r="K15" s="26"/>
      <c r="L15" s="122"/>
      <c r="M15" s="54" t="e">
        <f t="shared" ca="1" si="1"/>
        <v>#N/A</v>
      </c>
      <c r="N15" s="114" t="e">
        <f ca="1">VLOOKUP($B15,Matrix!$H$13:$I$37,2,FALSE)&amp;"_"&amp;C15</f>
        <v>#N/A</v>
      </c>
      <c r="O15" s="127" t="e">
        <f t="shared" ca="1" si="0"/>
        <v>#N/A</v>
      </c>
    </row>
    <row r="16" spans="2:21">
      <c r="B16" s="26"/>
      <c r="C16" s="25"/>
      <c r="D16" s="121"/>
      <c r="E16" s="26"/>
      <c r="F16" s="122"/>
      <c r="G16" s="26"/>
      <c r="H16" s="122"/>
      <c r="I16" s="26"/>
      <c r="J16" s="122"/>
      <c r="K16" s="26"/>
      <c r="L16" s="122"/>
      <c r="M16" s="54" t="e">
        <f t="shared" ca="1" si="1"/>
        <v>#N/A</v>
      </c>
      <c r="N16" s="114" t="e">
        <f ca="1">VLOOKUP($B16,Matrix!$H$13:$I$37,2,FALSE)&amp;"_"&amp;C16</f>
        <v>#N/A</v>
      </c>
      <c r="O16" s="127" t="e">
        <f t="shared" ca="1" si="0"/>
        <v>#N/A</v>
      </c>
    </row>
    <row r="17" spans="2:15">
      <c r="B17" s="26"/>
      <c r="C17" s="25"/>
      <c r="D17" s="121"/>
      <c r="E17" s="26"/>
      <c r="F17" s="122"/>
      <c r="G17" s="26"/>
      <c r="H17" s="122"/>
      <c r="I17" s="26"/>
      <c r="J17" s="122"/>
      <c r="K17" s="26"/>
      <c r="L17" s="122"/>
      <c r="M17" s="54" t="e">
        <f t="shared" ca="1" si="1"/>
        <v>#N/A</v>
      </c>
      <c r="N17" s="114" t="e">
        <f ca="1">VLOOKUP($B17,Matrix!$H$13:$I$37,2,FALSE)&amp;"_"&amp;C17</f>
        <v>#N/A</v>
      </c>
      <c r="O17" s="127" t="e">
        <f t="shared" ca="1" si="0"/>
        <v>#N/A</v>
      </c>
    </row>
    <row r="18" spans="2:15">
      <c r="B18" s="26"/>
      <c r="C18" s="25"/>
      <c r="D18" s="121"/>
      <c r="E18" s="26"/>
      <c r="F18" s="122"/>
      <c r="G18" s="26"/>
      <c r="H18" s="122"/>
      <c r="I18" s="26"/>
      <c r="J18" s="122"/>
      <c r="K18" s="26"/>
      <c r="L18" s="122"/>
      <c r="M18" s="54" t="e">
        <f t="shared" ca="1" si="1"/>
        <v>#N/A</v>
      </c>
      <c r="N18" s="114" t="e">
        <f ca="1">VLOOKUP($B18,Matrix!$H$13:$I$37,2,FALSE)&amp;"_"&amp;C18</f>
        <v>#N/A</v>
      </c>
      <c r="O18" s="127" t="e">
        <f t="shared" ca="1" si="0"/>
        <v>#N/A</v>
      </c>
    </row>
    <row r="19" spans="2:15">
      <c r="B19" s="26"/>
      <c r="C19" s="25"/>
      <c r="D19" s="121"/>
      <c r="E19" s="26"/>
      <c r="F19" s="122"/>
      <c r="G19" s="26"/>
      <c r="H19" s="122"/>
      <c r="I19" s="26"/>
      <c r="J19" s="122"/>
      <c r="K19" s="26"/>
      <c r="L19" s="122"/>
      <c r="M19" s="54" t="e">
        <f t="shared" ca="1" si="1"/>
        <v>#N/A</v>
      </c>
      <c r="N19" s="114" t="e">
        <f ca="1">VLOOKUP($B19,Matrix!$H$13:$I$37,2,FALSE)&amp;"_"&amp;C19</f>
        <v>#N/A</v>
      </c>
      <c r="O19" s="127" t="e">
        <f t="shared" ca="1" si="0"/>
        <v>#N/A</v>
      </c>
    </row>
    <row r="20" spans="2:15">
      <c r="B20" s="26"/>
      <c r="C20" s="25"/>
      <c r="D20" s="121"/>
      <c r="E20" s="26"/>
      <c r="F20" s="122"/>
      <c r="G20" s="26"/>
      <c r="H20" s="122"/>
      <c r="I20" s="26"/>
      <c r="J20" s="122"/>
      <c r="K20" s="26"/>
      <c r="L20" s="122"/>
      <c r="M20" s="54" t="e">
        <f t="shared" ca="1" si="1"/>
        <v>#N/A</v>
      </c>
      <c r="N20" s="114" t="e">
        <f ca="1">VLOOKUP($B20,Matrix!$H$13:$I$37,2,FALSE)&amp;"_"&amp;C20</f>
        <v>#N/A</v>
      </c>
      <c r="O20" s="127" t="e">
        <f t="shared" ca="1" si="0"/>
        <v>#N/A</v>
      </c>
    </row>
    <row r="21" spans="2:15">
      <c r="B21" s="26"/>
      <c r="C21" s="25"/>
      <c r="D21" s="121"/>
      <c r="E21" s="26"/>
      <c r="F21" s="122"/>
      <c r="G21" s="26"/>
      <c r="H21" s="122"/>
      <c r="I21" s="26"/>
      <c r="J21" s="122"/>
      <c r="K21" s="26"/>
      <c r="L21" s="122"/>
      <c r="M21" s="54" t="e">
        <f t="shared" ca="1" si="1"/>
        <v>#N/A</v>
      </c>
      <c r="N21" s="114" t="e">
        <f ca="1">VLOOKUP($B21,Matrix!$H$13:$I$37,2,FALSE)&amp;"_"&amp;C21</f>
        <v>#N/A</v>
      </c>
      <c r="O21" s="127" t="e">
        <f t="shared" ca="1" si="0"/>
        <v>#N/A</v>
      </c>
    </row>
    <row r="22" spans="2:15">
      <c r="B22" s="26"/>
      <c r="C22" s="25"/>
      <c r="D22" s="121"/>
      <c r="E22" s="26"/>
      <c r="F22" s="122"/>
      <c r="G22" s="26"/>
      <c r="H22" s="122"/>
      <c r="I22" s="26"/>
      <c r="J22" s="122"/>
      <c r="K22" s="26"/>
      <c r="L22" s="122"/>
      <c r="M22" s="54" t="e">
        <f t="shared" ca="1" si="1"/>
        <v>#N/A</v>
      </c>
      <c r="N22" s="114" t="e">
        <f ca="1">VLOOKUP($B22,Matrix!$H$13:$I$37,2,FALSE)&amp;"_"&amp;C22</f>
        <v>#N/A</v>
      </c>
      <c r="O22" s="127" t="e">
        <f t="shared" ca="1" si="0"/>
        <v>#N/A</v>
      </c>
    </row>
    <row r="23" spans="2:15">
      <c r="B23" s="26"/>
      <c r="C23" s="25"/>
      <c r="D23" s="121"/>
      <c r="E23" s="26"/>
      <c r="F23" s="122"/>
      <c r="G23" s="26"/>
      <c r="H23" s="122"/>
      <c r="I23" s="26"/>
      <c r="J23" s="122"/>
      <c r="K23" s="26"/>
      <c r="L23" s="122"/>
      <c r="M23" s="54" t="e">
        <f t="shared" ca="1" si="1"/>
        <v>#N/A</v>
      </c>
      <c r="N23" s="114" t="e">
        <f ca="1">VLOOKUP($B23,Matrix!$H$13:$I$37,2,FALSE)&amp;"_"&amp;C23</f>
        <v>#N/A</v>
      </c>
      <c r="O23" s="127" t="e">
        <f t="shared" ca="1" si="0"/>
        <v>#N/A</v>
      </c>
    </row>
    <row r="24" spans="2:15">
      <c r="B24" s="26"/>
      <c r="C24" s="25"/>
      <c r="D24" s="121"/>
      <c r="E24" s="26"/>
      <c r="F24" s="122"/>
      <c r="G24" s="26"/>
      <c r="H24" s="122"/>
      <c r="I24" s="26"/>
      <c r="J24" s="122"/>
      <c r="K24" s="26"/>
      <c r="L24" s="122"/>
      <c r="M24" s="54" t="e">
        <f t="shared" ca="1" si="1"/>
        <v>#N/A</v>
      </c>
      <c r="N24" s="114" t="e">
        <f ca="1">VLOOKUP($B24,Matrix!$H$13:$I$37,2,FALSE)&amp;"_"&amp;C24</f>
        <v>#N/A</v>
      </c>
      <c r="O24" s="127" t="e">
        <f t="shared" ca="1" si="0"/>
        <v>#N/A</v>
      </c>
    </row>
    <row r="25" spans="2:15">
      <c r="B25" s="26"/>
      <c r="C25" s="25"/>
      <c r="D25" s="121"/>
      <c r="E25" s="26"/>
      <c r="F25" s="122"/>
      <c r="G25" s="26"/>
      <c r="H25" s="122"/>
      <c r="I25" s="26"/>
      <c r="J25" s="122"/>
      <c r="K25" s="26"/>
      <c r="L25" s="122"/>
      <c r="M25" s="54" t="e">
        <f t="shared" ca="1" si="1"/>
        <v>#N/A</v>
      </c>
      <c r="N25" s="114" t="e">
        <f ca="1">VLOOKUP($B25,Matrix!$H$13:$I$37,2,FALSE)&amp;"_"&amp;C25</f>
        <v>#N/A</v>
      </c>
      <c r="O25" s="127" t="e">
        <f t="shared" ca="1" si="0"/>
        <v>#N/A</v>
      </c>
    </row>
    <row r="26" spans="2:15">
      <c r="B26" s="26"/>
      <c r="C26" s="25"/>
      <c r="D26" s="121"/>
      <c r="E26" s="26"/>
      <c r="F26" s="122"/>
      <c r="G26" s="26"/>
      <c r="H26" s="122"/>
      <c r="I26" s="26"/>
      <c r="J26" s="122"/>
      <c r="K26" s="26"/>
      <c r="L26" s="122"/>
      <c r="M26" s="54" t="e">
        <f t="shared" ca="1" si="1"/>
        <v>#N/A</v>
      </c>
      <c r="N26" s="114" t="e">
        <f ca="1">VLOOKUP($B26,Matrix!$H$13:$I$37,2,FALSE)&amp;"_"&amp;C26</f>
        <v>#N/A</v>
      </c>
      <c r="O26" s="127" t="e">
        <f t="shared" ca="1" si="0"/>
        <v>#N/A</v>
      </c>
    </row>
    <row r="27" spans="2:15">
      <c r="B27" s="26"/>
      <c r="C27" s="25"/>
      <c r="D27" s="121"/>
      <c r="E27" s="26"/>
      <c r="F27" s="122"/>
      <c r="G27" s="26"/>
      <c r="H27" s="122"/>
      <c r="I27" s="26"/>
      <c r="J27" s="122"/>
      <c r="K27" s="26"/>
      <c r="L27" s="122"/>
      <c r="M27" s="54" t="e">
        <f t="shared" ca="1" si="1"/>
        <v>#N/A</v>
      </c>
      <c r="N27" s="114" t="e">
        <f ca="1">VLOOKUP($B27,Matrix!$H$13:$I$37,2,FALSE)&amp;"_"&amp;C27</f>
        <v>#N/A</v>
      </c>
      <c r="O27" s="127" t="e">
        <f t="shared" ca="1" si="0"/>
        <v>#N/A</v>
      </c>
    </row>
    <row r="28" spans="2:15">
      <c r="B28" s="26"/>
      <c r="C28" s="25"/>
      <c r="D28" s="121"/>
      <c r="E28" s="26"/>
      <c r="F28" s="122"/>
      <c r="G28" s="26"/>
      <c r="H28" s="122"/>
      <c r="I28" s="26"/>
      <c r="J28" s="122"/>
      <c r="K28" s="26"/>
      <c r="L28" s="122"/>
      <c r="M28" s="54" t="e">
        <f t="shared" ca="1" si="1"/>
        <v>#N/A</v>
      </c>
      <c r="N28" s="114" t="e">
        <f ca="1">VLOOKUP($B28,Matrix!$H$13:$I$37,2,FALSE)&amp;"_"&amp;C28</f>
        <v>#N/A</v>
      </c>
      <c r="O28" s="127" t="e">
        <f t="shared" ca="1" si="0"/>
        <v>#N/A</v>
      </c>
    </row>
    <row r="29" spans="2:15">
      <c r="B29" s="26"/>
      <c r="C29" s="25"/>
      <c r="D29" s="121"/>
      <c r="E29" s="26"/>
      <c r="F29" s="122"/>
      <c r="G29" s="26"/>
      <c r="H29" s="122"/>
      <c r="I29" s="26"/>
      <c r="J29" s="122"/>
      <c r="K29" s="26"/>
      <c r="L29" s="122"/>
      <c r="M29" s="54" t="e">
        <f t="shared" ca="1" si="1"/>
        <v>#N/A</v>
      </c>
      <c r="N29" s="114" t="e">
        <f ca="1">VLOOKUP($B29,Matrix!$H$13:$I$37,2,FALSE)&amp;"_"&amp;C29</f>
        <v>#N/A</v>
      </c>
      <c r="O29" s="127" t="e">
        <f t="shared" ca="1" si="0"/>
        <v>#N/A</v>
      </c>
    </row>
    <row r="30" spans="2:15">
      <c r="B30" s="26"/>
      <c r="C30" s="25"/>
      <c r="D30" s="121"/>
      <c r="E30" s="26"/>
      <c r="F30" s="122"/>
      <c r="G30" s="26"/>
      <c r="H30" s="122"/>
      <c r="I30" s="26"/>
      <c r="J30" s="122"/>
      <c r="K30" s="26"/>
      <c r="L30" s="122"/>
      <c r="M30" s="54" t="e">
        <f t="shared" ca="1" si="1"/>
        <v>#N/A</v>
      </c>
      <c r="N30" s="114" t="e">
        <f ca="1">VLOOKUP($B30,Matrix!$H$13:$I$37,2,FALSE)&amp;"_"&amp;C30</f>
        <v>#N/A</v>
      </c>
      <c r="O30" s="127" t="e">
        <f t="shared" ca="1" si="0"/>
        <v>#N/A</v>
      </c>
    </row>
    <row r="31" spans="2:15">
      <c r="B31" s="26"/>
      <c r="C31" s="25"/>
      <c r="D31" s="121"/>
      <c r="E31" s="26"/>
      <c r="F31" s="122"/>
      <c r="G31" s="26"/>
      <c r="H31" s="122"/>
      <c r="I31" s="26"/>
      <c r="J31" s="122"/>
      <c r="K31" s="26"/>
      <c r="L31" s="122"/>
      <c r="M31" s="54" t="e">
        <f t="shared" ca="1" si="1"/>
        <v>#N/A</v>
      </c>
      <c r="N31" s="114" t="e">
        <f ca="1">VLOOKUP($B31,Matrix!$H$13:$I$37,2,FALSE)&amp;"_"&amp;C31</f>
        <v>#N/A</v>
      </c>
      <c r="O31" s="127" t="e">
        <f t="shared" ca="1" si="0"/>
        <v>#N/A</v>
      </c>
    </row>
    <row r="32" spans="2:15">
      <c r="B32" s="26"/>
      <c r="C32" s="25"/>
      <c r="D32" s="121"/>
      <c r="E32" s="26"/>
      <c r="F32" s="122"/>
      <c r="G32" s="26"/>
      <c r="H32" s="122"/>
      <c r="I32" s="26"/>
      <c r="J32" s="122"/>
      <c r="K32" s="26"/>
      <c r="L32" s="122"/>
      <c r="M32" s="54" t="e">
        <f t="shared" ca="1" si="1"/>
        <v>#N/A</v>
      </c>
      <c r="N32" s="114" t="e">
        <f ca="1">VLOOKUP($B32,Matrix!$H$13:$I$37,2,FALSE)&amp;"_"&amp;C32</f>
        <v>#N/A</v>
      </c>
      <c r="O32" s="127" t="e">
        <f t="shared" ca="1" si="0"/>
        <v>#N/A</v>
      </c>
    </row>
    <row r="33" spans="2:15">
      <c r="B33" s="26"/>
      <c r="C33" s="25"/>
      <c r="D33" s="121"/>
      <c r="E33" s="26"/>
      <c r="F33" s="122"/>
      <c r="G33" s="26"/>
      <c r="H33" s="122"/>
      <c r="I33" s="26"/>
      <c r="J33" s="122"/>
      <c r="K33" s="26"/>
      <c r="L33" s="122"/>
      <c r="M33" s="54" t="e">
        <f t="shared" ca="1" si="1"/>
        <v>#N/A</v>
      </c>
      <c r="N33" s="114" t="e">
        <f ca="1">VLOOKUP($B33,Matrix!$H$13:$I$37,2,FALSE)&amp;"_"&amp;C33</f>
        <v>#N/A</v>
      </c>
      <c r="O33" s="127" t="e">
        <f t="shared" ca="1" si="0"/>
        <v>#N/A</v>
      </c>
    </row>
    <row r="34" spans="2:15">
      <c r="B34" s="26"/>
      <c r="C34" s="25"/>
      <c r="D34" s="121"/>
      <c r="E34" s="26"/>
      <c r="F34" s="122"/>
      <c r="G34" s="26"/>
      <c r="H34" s="122"/>
      <c r="I34" s="26"/>
      <c r="J34" s="122"/>
      <c r="K34" s="26"/>
      <c r="L34" s="122"/>
      <c r="M34" s="54" t="e">
        <f t="shared" ca="1" si="1"/>
        <v>#N/A</v>
      </c>
      <c r="N34" s="114" t="e">
        <f ca="1">VLOOKUP($B34,Matrix!$H$13:$I$37,2,FALSE)&amp;"_"&amp;C34</f>
        <v>#N/A</v>
      </c>
      <c r="O34" s="127" t="e">
        <f t="shared" ca="1" si="0"/>
        <v>#N/A</v>
      </c>
    </row>
    <row r="35" spans="2:15">
      <c r="B35" s="26"/>
      <c r="C35" s="25"/>
      <c r="D35" s="121"/>
      <c r="E35" s="26"/>
      <c r="F35" s="122"/>
      <c r="G35" s="26"/>
      <c r="H35" s="122"/>
      <c r="I35" s="26"/>
      <c r="J35" s="122"/>
      <c r="K35" s="26"/>
      <c r="L35" s="122"/>
      <c r="M35" s="54" t="e">
        <f t="shared" ca="1" si="1"/>
        <v>#N/A</v>
      </c>
      <c r="N35" s="114" t="e">
        <f ca="1">VLOOKUP($B35,Matrix!$H$13:$I$37,2,FALSE)&amp;"_"&amp;C35</f>
        <v>#N/A</v>
      </c>
      <c r="O35" s="127" t="e">
        <f t="shared" ca="1" si="0"/>
        <v>#N/A</v>
      </c>
    </row>
    <row r="36" spans="2:15">
      <c r="B36" s="26"/>
      <c r="C36" s="25"/>
      <c r="D36" s="121"/>
      <c r="E36" s="26"/>
      <c r="F36" s="122"/>
      <c r="G36" s="26"/>
      <c r="H36" s="122"/>
      <c r="I36" s="26"/>
      <c r="J36" s="122"/>
      <c r="K36" s="26"/>
      <c r="L36" s="122"/>
      <c r="M36" s="54" t="e">
        <f t="shared" ca="1" si="1"/>
        <v>#N/A</v>
      </c>
      <c r="N36" s="114" t="e">
        <f ca="1">VLOOKUP($B36,Matrix!$H$13:$I$37,2,FALSE)&amp;"_"&amp;C36</f>
        <v>#N/A</v>
      </c>
      <c r="O36" s="127" t="e">
        <f t="shared" ref="O36:O67" ca="1" si="2">"#define "&amp;N36&amp;REPT(" ",48-M36)&amp;"("&amp;D36&amp;"U)"</f>
        <v>#N/A</v>
      </c>
    </row>
    <row r="37" spans="2:15">
      <c r="B37" s="26"/>
      <c r="C37" s="25"/>
      <c r="D37" s="121"/>
      <c r="E37" s="26"/>
      <c r="F37" s="122"/>
      <c r="G37" s="26"/>
      <c r="H37" s="122"/>
      <c r="I37" s="26"/>
      <c r="J37" s="122"/>
      <c r="K37" s="26"/>
      <c r="L37" s="122"/>
      <c r="M37" s="54" t="e">
        <f t="shared" ca="1" si="1"/>
        <v>#N/A</v>
      </c>
      <c r="N37" s="114" t="e">
        <f ca="1">VLOOKUP($B37,Matrix!$H$13:$I$37,2,FALSE)&amp;"_"&amp;C37</f>
        <v>#N/A</v>
      </c>
      <c r="O37" s="127" t="e">
        <f t="shared" ca="1" si="2"/>
        <v>#N/A</v>
      </c>
    </row>
    <row r="38" spans="2:15">
      <c r="B38" s="26"/>
      <c r="C38" s="25"/>
      <c r="D38" s="121"/>
      <c r="E38" s="26"/>
      <c r="F38" s="122"/>
      <c r="G38" s="26"/>
      <c r="H38" s="122"/>
      <c r="I38" s="26"/>
      <c r="J38" s="122"/>
      <c r="K38" s="26"/>
      <c r="L38" s="122"/>
      <c r="M38" s="54" t="e">
        <f t="shared" ca="1" si="1"/>
        <v>#N/A</v>
      </c>
      <c r="N38" s="114" t="e">
        <f ca="1">VLOOKUP($B38,Matrix!$H$13:$I$37,2,FALSE)&amp;"_"&amp;C38</f>
        <v>#N/A</v>
      </c>
      <c r="O38" s="127" t="e">
        <f t="shared" ca="1" si="2"/>
        <v>#N/A</v>
      </c>
    </row>
    <row r="39" spans="2:15">
      <c r="B39" s="26"/>
      <c r="C39" s="25"/>
      <c r="D39" s="121"/>
      <c r="E39" s="26"/>
      <c r="F39" s="122"/>
      <c r="G39" s="26"/>
      <c r="H39" s="122"/>
      <c r="I39" s="26"/>
      <c r="J39" s="122"/>
      <c r="K39" s="26"/>
      <c r="L39" s="122"/>
      <c r="M39" s="54" t="e">
        <f t="shared" ca="1" si="1"/>
        <v>#N/A</v>
      </c>
      <c r="N39" s="114" t="e">
        <f ca="1">VLOOKUP($B39,Matrix!$H$13:$I$37,2,FALSE)&amp;"_"&amp;C39</f>
        <v>#N/A</v>
      </c>
      <c r="O39" s="127" t="e">
        <f t="shared" ca="1" si="2"/>
        <v>#N/A</v>
      </c>
    </row>
    <row r="40" spans="2:15">
      <c r="B40" s="26"/>
      <c r="C40" s="25"/>
      <c r="D40" s="121"/>
      <c r="E40" s="26"/>
      <c r="F40" s="122"/>
      <c r="G40" s="26"/>
      <c r="H40" s="122"/>
      <c r="I40" s="26"/>
      <c r="J40" s="122"/>
      <c r="K40" s="26"/>
      <c r="L40" s="122"/>
      <c r="M40" s="54" t="e">
        <f t="shared" ca="1" si="1"/>
        <v>#N/A</v>
      </c>
      <c r="N40" s="114" t="e">
        <f ca="1">VLOOKUP($B40,Matrix!$H$13:$I$37,2,FALSE)&amp;"_"&amp;C40</f>
        <v>#N/A</v>
      </c>
      <c r="O40" s="127" t="e">
        <f t="shared" ca="1" si="2"/>
        <v>#N/A</v>
      </c>
    </row>
    <row r="41" spans="2:15">
      <c r="B41" s="26"/>
      <c r="C41" s="25"/>
      <c r="D41" s="121"/>
      <c r="E41" s="26"/>
      <c r="F41" s="122"/>
      <c r="G41" s="26"/>
      <c r="H41" s="122"/>
      <c r="I41" s="26"/>
      <c r="J41" s="122"/>
      <c r="K41" s="26"/>
      <c r="L41" s="122"/>
      <c r="M41" s="54" t="e">
        <f t="shared" ca="1" si="1"/>
        <v>#N/A</v>
      </c>
      <c r="N41" s="114" t="e">
        <f ca="1">VLOOKUP($B41,Matrix!$H$13:$I$37,2,FALSE)&amp;"_"&amp;C41</f>
        <v>#N/A</v>
      </c>
      <c r="O41" s="127" t="e">
        <f t="shared" ca="1" si="2"/>
        <v>#N/A</v>
      </c>
    </row>
    <row r="42" spans="2:15">
      <c r="B42" s="26"/>
      <c r="C42" s="25"/>
      <c r="D42" s="121"/>
      <c r="E42" s="26"/>
      <c r="F42" s="122"/>
      <c r="G42" s="26"/>
      <c r="H42" s="122"/>
      <c r="I42" s="26"/>
      <c r="J42" s="122"/>
      <c r="K42" s="26"/>
      <c r="L42" s="122"/>
      <c r="M42" s="54" t="e">
        <f t="shared" ca="1" si="1"/>
        <v>#N/A</v>
      </c>
      <c r="N42" s="114" t="e">
        <f ca="1">VLOOKUP($B42,Matrix!$H$13:$I$37,2,FALSE)&amp;"_"&amp;C42</f>
        <v>#N/A</v>
      </c>
      <c r="O42" s="127" t="e">
        <f t="shared" ca="1" si="2"/>
        <v>#N/A</v>
      </c>
    </row>
    <row r="43" spans="2:15">
      <c r="B43" s="26"/>
      <c r="C43" s="25"/>
      <c r="D43" s="121"/>
      <c r="E43" s="26"/>
      <c r="F43" s="122"/>
      <c r="G43" s="26"/>
      <c r="H43" s="122"/>
      <c r="I43" s="26"/>
      <c r="J43" s="122"/>
      <c r="K43" s="26"/>
      <c r="L43" s="122"/>
      <c r="M43" s="54" t="e">
        <f t="shared" ca="1" si="1"/>
        <v>#N/A</v>
      </c>
      <c r="N43" s="114" t="e">
        <f ca="1">VLOOKUP($B43,Matrix!$H$13:$I$37,2,FALSE)&amp;"_"&amp;C43</f>
        <v>#N/A</v>
      </c>
      <c r="O43" s="127" t="e">
        <f t="shared" ca="1" si="2"/>
        <v>#N/A</v>
      </c>
    </row>
    <row r="44" spans="2:15">
      <c r="B44" s="26"/>
      <c r="C44" s="25"/>
      <c r="D44" s="121"/>
      <c r="E44" s="26"/>
      <c r="F44" s="122"/>
      <c r="G44" s="26"/>
      <c r="H44" s="122"/>
      <c r="I44" s="26"/>
      <c r="J44" s="122"/>
      <c r="K44" s="26"/>
      <c r="L44" s="122"/>
      <c r="M44" s="54" t="e">
        <f t="shared" ca="1" si="1"/>
        <v>#N/A</v>
      </c>
      <c r="N44" s="114" t="e">
        <f ca="1">VLOOKUP($B44,Matrix!$H$13:$I$37,2,FALSE)&amp;"_"&amp;C44</f>
        <v>#N/A</v>
      </c>
      <c r="O44" s="127" t="e">
        <f t="shared" ca="1" si="2"/>
        <v>#N/A</v>
      </c>
    </row>
    <row r="45" spans="2:15">
      <c r="B45" s="26"/>
      <c r="C45" s="25"/>
      <c r="D45" s="121"/>
      <c r="E45" s="26"/>
      <c r="F45" s="122"/>
      <c r="G45" s="26"/>
      <c r="H45" s="122"/>
      <c r="I45" s="26"/>
      <c r="J45" s="122"/>
      <c r="K45" s="26"/>
      <c r="L45" s="122"/>
      <c r="M45" s="54" t="e">
        <f t="shared" ca="1" si="1"/>
        <v>#N/A</v>
      </c>
      <c r="N45" s="114" t="e">
        <f ca="1">VLOOKUP($B45,Matrix!$H$13:$I$37,2,FALSE)&amp;"_"&amp;C45</f>
        <v>#N/A</v>
      </c>
      <c r="O45" s="127" t="e">
        <f t="shared" ca="1" si="2"/>
        <v>#N/A</v>
      </c>
    </row>
    <row r="46" spans="2:15">
      <c r="B46" s="26"/>
      <c r="C46" s="25"/>
      <c r="D46" s="121"/>
      <c r="E46" s="26"/>
      <c r="F46" s="122"/>
      <c r="G46" s="26"/>
      <c r="H46" s="122"/>
      <c r="I46" s="26"/>
      <c r="J46" s="122"/>
      <c r="K46" s="26"/>
      <c r="L46" s="122"/>
      <c r="M46" s="54" t="e">
        <f t="shared" ca="1" si="1"/>
        <v>#N/A</v>
      </c>
      <c r="N46" s="114" t="e">
        <f ca="1">VLOOKUP($B46,Matrix!$H$13:$I$37,2,FALSE)&amp;"_"&amp;C46</f>
        <v>#N/A</v>
      </c>
      <c r="O46" s="127" t="e">
        <f t="shared" ca="1" si="2"/>
        <v>#N/A</v>
      </c>
    </row>
    <row r="47" spans="2:15">
      <c r="B47" s="26"/>
      <c r="C47" s="25"/>
      <c r="D47" s="121"/>
      <c r="E47" s="26"/>
      <c r="F47" s="122"/>
      <c r="G47" s="26"/>
      <c r="H47" s="122"/>
      <c r="I47" s="26"/>
      <c r="J47" s="122"/>
      <c r="K47" s="26"/>
      <c r="L47" s="122"/>
      <c r="M47" s="54" t="e">
        <f t="shared" ca="1" si="1"/>
        <v>#N/A</v>
      </c>
      <c r="N47" s="114" t="e">
        <f ca="1">VLOOKUP($B47,Matrix!$H$13:$I$37,2,FALSE)&amp;"_"&amp;C47</f>
        <v>#N/A</v>
      </c>
      <c r="O47" s="127" t="e">
        <f t="shared" ca="1" si="2"/>
        <v>#N/A</v>
      </c>
    </row>
    <row r="48" spans="2:15">
      <c r="B48" s="26"/>
      <c r="C48" s="25"/>
      <c r="D48" s="121"/>
      <c r="E48" s="26"/>
      <c r="F48" s="122"/>
      <c r="G48" s="26"/>
      <c r="H48" s="122"/>
      <c r="I48" s="26"/>
      <c r="J48" s="122"/>
      <c r="K48" s="26"/>
      <c r="L48" s="122"/>
      <c r="M48" s="54" t="e">
        <f t="shared" ca="1" si="1"/>
        <v>#N/A</v>
      </c>
      <c r="N48" s="114" t="e">
        <f ca="1">VLOOKUP($B48,Matrix!$H$13:$I$37,2,FALSE)&amp;"_"&amp;C48</f>
        <v>#N/A</v>
      </c>
      <c r="O48" s="127" t="e">
        <f t="shared" ca="1" si="2"/>
        <v>#N/A</v>
      </c>
    </row>
    <row r="49" spans="2:15">
      <c r="B49" s="26"/>
      <c r="C49" s="25"/>
      <c r="D49" s="121"/>
      <c r="E49" s="26"/>
      <c r="F49" s="122"/>
      <c r="G49" s="26"/>
      <c r="H49" s="122"/>
      <c r="I49" s="26"/>
      <c r="J49" s="122"/>
      <c r="K49" s="26"/>
      <c r="L49" s="122"/>
      <c r="M49" s="54" t="e">
        <f t="shared" ca="1" si="1"/>
        <v>#N/A</v>
      </c>
      <c r="N49" s="114" t="e">
        <f ca="1">VLOOKUP($B49,Matrix!$H$13:$I$37,2,FALSE)&amp;"_"&amp;C49</f>
        <v>#N/A</v>
      </c>
      <c r="O49" s="127" t="e">
        <f t="shared" ca="1" si="2"/>
        <v>#N/A</v>
      </c>
    </row>
    <row r="50" spans="2:15">
      <c r="B50" s="26"/>
      <c r="C50" s="25"/>
      <c r="D50" s="121"/>
      <c r="E50" s="26"/>
      <c r="F50" s="122"/>
      <c r="G50" s="26"/>
      <c r="H50" s="122"/>
      <c r="I50" s="26"/>
      <c r="J50" s="122"/>
      <c r="K50" s="26"/>
      <c r="L50" s="122"/>
      <c r="M50" s="54" t="e">
        <f t="shared" ca="1" si="1"/>
        <v>#N/A</v>
      </c>
      <c r="N50" s="114" t="e">
        <f ca="1">VLOOKUP($B50,Matrix!$H$13:$I$37,2,FALSE)&amp;"_"&amp;C50</f>
        <v>#N/A</v>
      </c>
      <c r="O50" s="127" t="e">
        <f t="shared" ca="1" si="2"/>
        <v>#N/A</v>
      </c>
    </row>
    <row r="51" spans="2:15">
      <c r="B51" s="26"/>
      <c r="C51" s="25"/>
      <c r="D51" s="121"/>
      <c r="E51" s="26"/>
      <c r="F51" s="122"/>
      <c r="G51" s="26"/>
      <c r="H51" s="122"/>
      <c r="I51" s="26"/>
      <c r="J51" s="122"/>
      <c r="K51" s="26"/>
      <c r="L51" s="122"/>
      <c r="M51" s="54" t="e">
        <f t="shared" ca="1" si="1"/>
        <v>#N/A</v>
      </c>
      <c r="N51" s="114" t="e">
        <f ca="1">VLOOKUP($B51,Matrix!$H$13:$I$37,2,FALSE)&amp;"_"&amp;C51</f>
        <v>#N/A</v>
      </c>
      <c r="O51" s="127" t="e">
        <f t="shared" ca="1" si="2"/>
        <v>#N/A</v>
      </c>
    </row>
    <row r="52" spans="2:15">
      <c r="B52" s="26"/>
      <c r="C52" s="25"/>
      <c r="D52" s="121"/>
      <c r="E52" s="26"/>
      <c r="F52" s="122"/>
      <c r="G52" s="26"/>
      <c r="H52" s="122"/>
      <c r="I52" s="26"/>
      <c r="J52" s="122"/>
      <c r="K52" s="26"/>
      <c r="L52" s="122"/>
      <c r="M52" s="54" t="e">
        <f t="shared" ca="1" si="1"/>
        <v>#N/A</v>
      </c>
      <c r="N52" s="114" t="e">
        <f ca="1">VLOOKUP($B52,Matrix!$H$13:$I$37,2,FALSE)&amp;"_"&amp;C52</f>
        <v>#N/A</v>
      </c>
      <c r="O52" s="127" t="e">
        <f t="shared" ca="1" si="2"/>
        <v>#N/A</v>
      </c>
    </row>
    <row r="53" spans="2:15">
      <c r="B53" s="26"/>
      <c r="C53" s="25"/>
      <c r="D53" s="121"/>
      <c r="E53" s="26"/>
      <c r="F53" s="122"/>
      <c r="G53" s="26"/>
      <c r="H53" s="122"/>
      <c r="I53" s="26"/>
      <c r="J53" s="122"/>
      <c r="K53" s="26"/>
      <c r="L53" s="122"/>
      <c r="M53" s="54" t="e">
        <f t="shared" ca="1" si="1"/>
        <v>#N/A</v>
      </c>
      <c r="N53" s="114" t="e">
        <f ca="1">VLOOKUP($B53,Matrix!$H$13:$I$37,2,FALSE)&amp;"_"&amp;C53</f>
        <v>#N/A</v>
      </c>
      <c r="O53" s="127" t="e">
        <f t="shared" ca="1" si="2"/>
        <v>#N/A</v>
      </c>
    </row>
    <row r="54" spans="2:15">
      <c r="B54" s="26"/>
      <c r="C54" s="25"/>
      <c r="D54" s="121"/>
      <c r="E54" s="26"/>
      <c r="F54" s="122"/>
      <c r="G54" s="26"/>
      <c r="H54" s="122"/>
      <c r="I54" s="26"/>
      <c r="J54" s="122"/>
      <c r="K54" s="26"/>
      <c r="L54" s="122"/>
      <c r="M54" s="54" t="e">
        <f t="shared" ca="1" si="1"/>
        <v>#N/A</v>
      </c>
      <c r="N54" s="114" t="e">
        <f ca="1">VLOOKUP($B54,Matrix!$H$13:$I$37,2,FALSE)&amp;"_"&amp;C54</f>
        <v>#N/A</v>
      </c>
      <c r="O54" s="127" t="e">
        <f t="shared" ca="1" si="2"/>
        <v>#N/A</v>
      </c>
    </row>
    <row r="55" spans="2:15">
      <c r="B55" s="26"/>
      <c r="C55" s="25"/>
      <c r="D55" s="121"/>
      <c r="E55" s="26"/>
      <c r="F55" s="122"/>
      <c r="G55" s="26"/>
      <c r="H55" s="122"/>
      <c r="I55" s="26"/>
      <c r="J55" s="122"/>
      <c r="K55" s="26"/>
      <c r="L55" s="122"/>
      <c r="M55" s="54" t="e">
        <f t="shared" ca="1" si="1"/>
        <v>#N/A</v>
      </c>
      <c r="N55" s="114" t="e">
        <f ca="1">VLOOKUP($B55,Matrix!$H$13:$I$37,2,FALSE)&amp;"_"&amp;C55</f>
        <v>#N/A</v>
      </c>
      <c r="O55" s="127" t="e">
        <f t="shared" ca="1" si="2"/>
        <v>#N/A</v>
      </c>
    </row>
    <row r="56" spans="2:15">
      <c r="B56" s="26"/>
      <c r="C56" s="25"/>
      <c r="D56" s="121"/>
      <c r="E56" s="26"/>
      <c r="F56" s="122"/>
      <c r="G56" s="26"/>
      <c r="H56" s="122"/>
      <c r="I56" s="26"/>
      <c r="J56" s="122"/>
      <c r="K56" s="26"/>
      <c r="L56" s="122"/>
      <c r="M56" s="54" t="e">
        <f t="shared" ca="1" si="1"/>
        <v>#N/A</v>
      </c>
      <c r="N56" s="114" t="e">
        <f ca="1">VLOOKUP($B56,Matrix!$H$13:$I$37,2,FALSE)&amp;"_"&amp;C56</f>
        <v>#N/A</v>
      </c>
      <c r="O56" s="127" t="e">
        <f t="shared" ca="1" si="2"/>
        <v>#N/A</v>
      </c>
    </row>
    <row r="57" spans="2:15">
      <c r="B57" s="26"/>
      <c r="C57" s="25"/>
      <c r="D57" s="121"/>
      <c r="E57" s="26"/>
      <c r="F57" s="122"/>
      <c r="G57" s="26"/>
      <c r="H57" s="122"/>
      <c r="I57" s="26"/>
      <c r="J57" s="122"/>
      <c r="K57" s="26"/>
      <c r="L57" s="122"/>
      <c r="M57" s="54" t="e">
        <f t="shared" ca="1" si="1"/>
        <v>#N/A</v>
      </c>
      <c r="N57" s="114" t="e">
        <f ca="1">VLOOKUP($B57,Matrix!$H$13:$I$37,2,FALSE)&amp;"_"&amp;C57</f>
        <v>#N/A</v>
      </c>
      <c r="O57" s="127" t="e">
        <f t="shared" ca="1" si="2"/>
        <v>#N/A</v>
      </c>
    </row>
    <row r="58" spans="2:15">
      <c r="B58" s="26"/>
      <c r="C58" s="25"/>
      <c r="D58" s="121"/>
      <c r="E58" s="26"/>
      <c r="F58" s="122"/>
      <c r="G58" s="26"/>
      <c r="H58" s="122"/>
      <c r="I58" s="26"/>
      <c r="J58" s="122"/>
      <c r="K58" s="26"/>
      <c r="L58" s="122"/>
      <c r="M58" s="54" t="e">
        <f t="shared" ca="1" si="1"/>
        <v>#N/A</v>
      </c>
      <c r="N58" s="114" t="e">
        <f ca="1">VLOOKUP($B58,Matrix!$H$13:$I$37,2,FALSE)&amp;"_"&amp;C58</f>
        <v>#N/A</v>
      </c>
      <c r="O58" s="127" t="e">
        <f t="shared" ca="1" si="2"/>
        <v>#N/A</v>
      </c>
    </row>
    <row r="59" spans="2:15">
      <c r="B59" s="26"/>
      <c r="C59" s="25"/>
      <c r="D59" s="121"/>
      <c r="E59" s="26"/>
      <c r="F59" s="122"/>
      <c r="G59" s="26"/>
      <c r="H59" s="122"/>
      <c r="I59" s="26"/>
      <c r="J59" s="122"/>
      <c r="K59" s="26"/>
      <c r="L59" s="122"/>
      <c r="M59" s="54" t="e">
        <f t="shared" ca="1" si="1"/>
        <v>#N/A</v>
      </c>
      <c r="N59" s="114" t="e">
        <f ca="1">VLOOKUP($B59,Matrix!$H$13:$I$37,2,FALSE)&amp;"_"&amp;C59</f>
        <v>#N/A</v>
      </c>
      <c r="O59" s="127" t="e">
        <f t="shared" ca="1" si="2"/>
        <v>#N/A</v>
      </c>
    </row>
    <row r="60" spans="2:15">
      <c r="B60" s="26"/>
      <c r="C60" s="25"/>
      <c r="D60" s="121"/>
      <c r="E60" s="26"/>
      <c r="F60" s="122"/>
      <c r="G60" s="26"/>
      <c r="H60" s="122"/>
      <c r="I60" s="26"/>
      <c r="J60" s="122"/>
      <c r="K60" s="26"/>
      <c r="L60" s="122"/>
      <c r="M60" s="54" t="e">
        <f t="shared" ca="1" si="1"/>
        <v>#N/A</v>
      </c>
      <c r="N60" s="114" t="e">
        <f ca="1">VLOOKUP($B60,Matrix!$H$13:$I$37,2,FALSE)&amp;"_"&amp;C60</f>
        <v>#N/A</v>
      </c>
      <c r="O60" s="127" t="e">
        <f t="shared" ca="1" si="2"/>
        <v>#N/A</v>
      </c>
    </row>
    <row r="61" spans="2:15">
      <c r="B61" s="26"/>
      <c r="C61" s="25"/>
      <c r="D61" s="121"/>
      <c r="E61" s="26"/>
      <c r="F61" s="122"/>
      <c r="G61" s="26"/>
      <c r="H61" s="122"/>
      <c r="I61" s="26"/>
      <c r="J61" s="122"/>
      <c r="K61" s="26"/>
      <c r="L61" s="122"/>
      <c r="M61" s="54" t="e">
        <f t="shared" ca="1" si="1"/>
        <v>#N/A</v>
      </c>
      <c r="N61" s="114" t="e">
        <f ca="1">VLOOKUP($B61,Matrix!$H$13:$I$37,2,FALSE)&amp;"_"&amp;C61</f>
        <v>#N/A</v>
      </c>
      <c r="O61" s="127" t="e">
        <f t="shared" ca="1" si="2"/>
        <v>#N/A</v>
      </c>
    </row>
    <row r="62" spans="2:15">
      <c r="B62" s="26"/>
      <c r="C62" s="25"/>
      <c r="D62" s="121"/>
      <c r="E62" s="26"/>
      <c r="F62" s="122"/>
      <c r="G62" s="26"/>
      <c r="H62" s="122"/>
      <c r="I62" s="26"/>
      <c r="J62" s="122"/>
      <c r="K62" s="26"/>
      <c r="L62" s="122"/>
      <c r="M62" s="54" t="e">
        <f t="shared" ca="1" si="1"/>
        <v>#N/A</v>
      </c>
      <c r="N62" s="114" t="e">
        <f ca="1">VLOOKUP($B62,Matrix!$H$13:$I$37,2,FALSE)&amp;"_"&amp;C62</f>
        <v>#N/A</v>
      </c>
      <c r="O62" s="127" t="e">
        <f t="shared" ca="1" si="2"/>
        <v>#N/A</v>
      </c>
    </row>
    <row r="63" spans="2:15">
      <c r="B63" s="26"/>
      <c r="C63" s="25"/>
      <c r="D63" s="121"/>
      <c r="E63" s="26"/>
      <c r="F63" s="122"/>
      <c r="G63" s="26"/>
      <c r="H63" s="122"/>
      <c r="I63" s="26"/>
      <c r="J63" s="122"/>
      <c r="K63" s="26"/>
      <c r="L63" s="122"/>
      <c r="M63" s="54" t="e">
        <f t="shared" ca="1" si="1"/>
        <v>#N/A</v>
      </c>
      <c r="N63" s="114" t="e">
        <f ca="1">VLOOKUP($B63,Matrix!$H$13:$I$37,2,FALSE)&amp;"_"&amp;C63</f>
        <v>#N/A</v>
      </c>
      <c r="O63" s="127" t="e">
        <f t="shared" ca="1" si="2"/>
        <v>#N/A</v>
      </c>
    </row>
    <row r="64" spans="2:15">
      <c r="B64" s="26"/>
      <c r="C64" s="25"/>
      <c r="D64" s="121"/>
      <c r="E64" s="26"/>
      <c r="F64" s="122"/>
      <c r="G64" s="26"/>
      <c r="H64" s="122"/>
      <c r="I64" s="26"/>
      <c r="J64" s="122"/>
      <c r="K64" s="26"/>
      <c r="L64" s="122"/>
      <c r="M64" s="54" t="e">
        <f t="shared" ca="1" si="1"/>
        <v>#N/A</v>
      </c>
      <c r="N64" s="114" t="e">
        <f ca="1">VLOOKUP($B64,Matrix!$H$13:$I$37,2,FALSE)&amp;"_"&amp;C64</f>
        <v>#N/A</v>
      </c>
      <c r="O64" s="127" t="e">
        <f t="shared" ca="1" si="2"/>
        <v>#N/A</v>
      </c>
    </row>
    <row r="65" spans="2:15">
      <c r="B65" s="26"/>
      <c r="C65" s="25"/>
      <c r="D65" s="121"/>
      <c r="E65" s="26"/>
      <c r="F65" s="122"/>
      <c r="G65" s="26"/>
      <c r="H65" s="122"/>
      <c r="I65" s="26"/>
      <c r="J65" s="122"/>
      <c r="K65" s="26"/>
      <c r="L65" s="122"/>
      <c r="M65" s="54" t="e">
        <f t="shared" ca="1" si="1"/>
        <v>#N/A</v>
      </c>
      <c r="N65" s="114" t="e">
        <f ca="1">VLOOKUP($B65,Matrix!$H$13:$I$37,2,FALSE)&amp;"_"&amp;C65</f>
        <v>#N/A</v>
      </c>
      <c r="O65" s="127" t="e">
        <f t="shared" ca="1" si="2"/>
        <v>#N/A</v>
      </c>
    </row>
    <row r="66" spans="2:15">
      <c r="B66" s="26"/>
      <c r="C66" s="25"/>
      <c r="D66" s="121"/>
      <c r="E66" s="26"/>
      <c r="F66" s="122"/>
      <c r="G66" s="26"/>
      <c r="H66" s="122"/>
      <c r="I66" s="26"/>
      <c r="J66" s="122"/>
      <c r="K66" s="26"/>
      <c r="L66" s="122"/>
      <c r="M66" s="54" t="e">
        <f t="shared" ca="1" si="1"/>
        <v>#N/A</v>
      </c>
      <c r="N66" s="114" t="e">
        <f ca="1">VLOOKUP($B66,Matrix!$H$13:$I$37,2,FALSE)&amp;"_"&amp;C66</f>
        <v>#N/A</v>
      </c>
      <c r="O66" s="127" t="e">
        <f t="shared" ca="1" si="2"/>
        <v>#N/A</v>
      </c>
    </row>
    <row r="67" spans="2:15">
      <c r="B67" s="26"/>
      <c r="C67" s="25"/>
      <c r="D67" s="121"/>
      <c r="E67" s="26"/>
      <c r="F67" s="122"/>
      <c r="G67" s="26"/>
      <c r="H67" s="122"/>
      <c r="I67" s="26"/>
      <c r="J67" s="122"/>
      <c r="K67" s="26"/>
      <c r="L67" s="122"/>
      <c r="M67" s="54" t="e">
        <f t="shared" ca="1" si="1"/>
        <v>#N/A</v>
      </c>
      <c r="N67" s="114" t="e">
        <f ca="1">VLOOKUP($B67,Matrix!$H$13:$I$37,2,FALSE)&amp;"_"&amp;C67</f>
        <v>#N/A</v>
      </c>
      <c r="O67" s="127" t="e">
        <f t="shared" ca="1" si="2"/>
        <v>#N/A</v>
      </c>
    </row>
    <row r="68" spans="2:15">
      <c r="B68" s="26"/>
      <c r="C68" s="25"/>
      <c r="D68" s="121"/>
      <c r="E68" s="26"/>
      <c r="F68" s="122"/>
      <c r="G68" s="26"/>
      <c r="H68" s="122"/>
      <c r="I68" s="26"/>
      <c r="J68" s="122"/>
      <c r="K68" s="26"/>
      <c r="L68" s="122"/>
      <c r="M68" s="54" t="e">
        <f t="shared" ca="1" si="1"/>
        <v>#N/A</v>
      </c>
      <c r="N68" s="114" t="e">
        <f ca="1">VLOOKUP($B68,Matrix!$H$13:$I$37,2,FALSE)&amp;"_"&amp;C68</f>
        <v>#N/A</v>
      </c>
      <c r="O68" s="127" t="e">
        <f t="shared" ref="O68:O99" ca="1" si="3">"#define "&amp;N68&amp;REPT(" ",48-M68)&amp;"("&amp;D68&amp;"U)"</f>
        <v>#N/A</v>
      </c>
    </row>
    <row r="69" spans="2:15">
      <c r="B69" s="26"/>
      <c r="C69" s="25"/>
      <c r="D69" s="121"/>
      <c r="E69" s="26"/>
      <c r="F69" s="122"/>
      <c r="G69" s="26"/>
      <c r="H69" s="122"/>
      <c r="I69" s="26"/>
      <c r="J69" s="122"/>
      <c r="K69" s="26"/>
      <c r="L69" s="122"/>
      <c r="M69" s="54" t="e">
        <f t="shared" ref="M69:M103" ca="1" si="4">LEN(N69)</f>
        <v>#N/A</v>
      </c>
      <c r="N69" s="114" t="e">
        <f ca="1">VLOOKUP($B69,Matrix!$H$13:$I$37,2,FALSE)&amp;"_"&amp;C69</f>
        <v>#N/A</v>
      </c>
      <c r="O69" s="127" t="e">
        <f t="shared" ca="1" si="3"/>
        <v>#N/A</v>
      </c>
    </row>
    <row r="70" spans="2:15">
      <c r="B70" s="26"/>
      <c r="C70" s="25"/>
      <c r="D70" s="121"/>
      <c r="E70" s="26"/>
      <c r="F70" s="122"/>
      <c r="G70" s="26"/>
      <c r="H70" s="122"/>
      <c r="I70" s="26"/>
      <c r="J70" s="122"/>
      <c r="K70" s="26"/>
      <c r="L70" s="122"/>
      <c r="M70" s="54" t="e">
        <f t="shared" ca="1" si="4"/>
        <v>#N/A</v>
      </c>
      <c r="N70" s="114" t="e">
        <f ca="1">VLOOKUP($B70,Matrix!$H$13:$I$37,2,FALSE)&amp;"_"&amp;C70</f>
        <v>#N/A</v>
      </c>
      <c r="O70" s="127" t="e">
        <f t="shared" ca="1" si="3"/>
        <v>#N/A</v>
      </c>
    </row>
    <row r="71" spans="2:15">
      <c r="B71" s="26"/>
      <c r="C71" s="25"/>
      <c r="D71" s="121"/>
      <c r="E71" s="26"/>
      <c r="F71" s="122"/>
      <c r="G71" s="26"/>
      <c r="H71" s="122"/>
      <c r="I71" s="26"/>
      <c r="J71" s="122"/>
      <c r="K71" s="26"/>
      <c r="L71" s="122"/>
      <c r="M71" s="54" t="e">
        <f t="shared" ca="1" si="4"/>
        <v>#N/A</v>
      </c>
      <c r="N71" s="114" t="e">
        <f ca="1">VLOOKUP($B71,Matrix!$H$13:$I$37,2,FALSE)&amp;"_"&amp;C71</f>
        <v>#N/A</v>
      </c>
      <c r="O71" s="127" t="e">
        <f t="shared" ca="1" si="3"/>
        <v>#N/A</v>
      </c>
    </row>
    <row r="72" spans="2:15">
      <c r="B72" s="26"/>
      <c r="C72" s="25"/>
      <c r="D72" s="121"/>
      <c r="E72" s="26"/>
      <c r="F72" s="122"/>
      <c r="G72" s="26"/>
      <c r="H72" s="122"/>
      <c r="I72" s="26"/>
      <c r="J72" s="122"/>
      <c r="K72" s="26"/>
      <c r="L72" s="122"/>
      <c r="M72" s="54" t="e">
        <f t="shared" ca="1" si="4"/>
        <v>#N/A</v>
      </c>
      <c r="N72" s="114" t="e">
        <f ca="1">VLOOKUP($B72,Matrix!$H$13:$I$37,2,FALSE)&amp;"_"&amp;C72</f>
        <v>#N/A</v>
      </c>
      <c r="O72" s="127" t="e">
        <f t="shared" ca="1" si="3"/>
        <v>#N/A</v>
      </c>
    </row>
    <row r="73" spans="2:15">
      <c r="B73" s="26"/>
      <c r="C73" s="25"/>
      <c r="D73" s="121"/>
      <c r="E73" s="26"/>
      <c r="F73" s="122"/>
      <c r="G73" s="26"/>
      <c r="H73" s="122"/>
      <c r="I73" s="26"/>
      <c r="J73" s="122"/>
      <c r="K73" s="26"/>
      <c r="L73" s="122"/>
      <c r="M73" s="54" t="e">
        <f t="shared" ca="1" si="4"/>
        <v>#N/A</v>
      </c>
      <c r="N73" s="114" t="e">
        <f ca="1">VLOOKUP($B73,Matrix!$H$13:$I$37,2,FALSE)&amp;"_"&amp;C73</f>
        <v>#N/A</v>
      </c>
      <c r="O73" s="127" t="e">
        <f t="shared" ca="1" si="3"/>
        <v>#N/A</v>
      </c>
    </row>
    <row r="74" spans="2:15">
      <c r="B74" s="26"/>
      <c r="C74" s="25"/>
      <c r="D74" s="121"/>
      <c r="E74" s="26"/>
      <c r="F74" s="122"/>
      <c r="G74" s="26"/>
      <c r="H74" s="122"/>
      <c r="I74" s="26"/>
      <c r="J74" s="122"/>
      <c r="K74" s="26"/>
      <c r="L74" s="122"/>
      <c r="M74" s="54" t="e">
        <f t="shared" ca="1" si="4"/>
        <v>#N/A</v>
      </c>
      <c r="N74" s="114" t="e">
        <f ca="1">VLOOKUP($B74,Matrix!$H$13:$I$37,2,FALSE)&amp;"_"&amp;C74</f>
        <v>#N/A</v>
      </c>
      <c r="O74" s="127" t="e">
        <f t="shared" ca="1" si="3"/>
        <v>#N/A</v>
      </c>
    </row>
    <row r="75" spans="2:15">
      <c r="B75" s="26"/>
      <c r="C75" s="25"/>
      <c r="D75" s="121"/>
      <c r="E75" s="26"/>
      <c r="F75" s="122"/>
      <c r="G75" s="26"/>
      <c r="H75" s="122"/>
      <c r="I75" s="26"/>
      <c r="J75" s="122"/>
      <c r="K75" s="26"/>
      <c r="L75" s="122"/>
      <c r="M75" s="54" t="e">
        <f t="shared" ca="1" si="4"/>
        <v>#N/A</v>
      </c>
      <c r="N75" s="114" t="e">
        <f ca="1">VLOOKUP($B75,Matrix!$H$13:$I$37,2,FALSE)&amp;"_"&amp;C75</f>
        <v>#N/A</v>
      </c>
      <c r="O75" s="127" t="e">
        <f t="shared" ca="1" si="3"/>
        <v>#N/A</v>
      </c>
    </row>
    <row r="76" spans="2:15">
      <c r="B76" s="26"/>
      <c r="C76" s="25"/>
      <c r="D76" s="121"/>
      <c r="E76" s="26"/>
      <c r="F76" s="122"/>
      <c r="G76" s="26"/>
      <c r="H76" s="122"/>
      <c r="I76" s="26"/>
      <c r="J76" s="122"/>
      <c r="K76" s="26"/>
      <c r="L76" s="122"/>
      <c r="M76" s="54" t="e">
        <f t="shared" ca="1" si="4"/>
        <v>#N/A</v>
      </c>
      <c r="N76" s="114" t="e">
        <f ca="1">VLOOKUP($B76,Matrix!$H$13:$I$37,2,FALSE)&amp;"_"&amp;C76</f>
        <v>#N/A</v>
      </c>
      <c r="O76" s="127" t="e">
        <f t="shared" ca="1" si="3"/>
        <v>#N/A</v>
      </c>
    </row>
    <row r="77" spans="2:15">
      <c r="B77" s="26"/>
      <c r="C77" s="25"/>
      <c r="D77" s="121"/>
      <c r="E77" s="26"/>
      <c r="F77" s="122"/>
      <c r="G77" s="26"/>
      <c r="H77" s="122"/>
      <c r="I77" s="26"/>
      <c r="J77" s="122"/>
      <c r="K77" s="26"/>
      <c r="L77" s="122"/>
      <c r="M77" s="54" t="e">
        <f t="shared" ca="1" si="4"/>
        <v>#N/A</v>
      </c>
      <c r="N77" s="114" t="e">
        <f ca="1">VLOOKUP($B77,Matrix!$H$13:$I$37,2,FALSE)&amp;"_"&amp;C77</f>
        <v>#N/A</v>
      </c>
      <c r="O77" s="127" t="e">
        <f t="shared" ca="1" si="3"/>
        <v>#N/A</v>
      </c>
    </row>
    <row r="78" spans="2:15">
      <c r="B78" s="26"/>
      <c r="C78" s="25"/>
      <c r="D78" s="121"/>
      <c r="E78" s="26"/>
      <c r="F78" s="122"/>
      <c r="G78" s="26"/>
      <c r="H78" s="122"/>
      <c r="I78" s="26"/>
      <c r="J78" s="122"/>
      <c r="K78" s="26"/>
      <c r="L78" s="122"/>
      <c r="M78" s="54" t="e">
        <f t="shared" ca="1" si="4"/>
        <v>#N/A</v>
      </c>
      <c r="N78" s="114" t="e">
        <f ca="1">VLOOKUP($B78,Matrix!$H$13:$I$37,2,FALSE)&amp;"_"&amp;C78</f>
        <v>#N/A</v>
      </c>
      <c r="O78" s="127" t="e">
        <f t="shared" ca="1" si="3"/>
        <v>#N/A</v>
      </c>
    </row>
    <row r="79" spans="2:15">
      <c r="B79" s="26"/>
      <c r="C79" s="25"/>
      <c r="D79" s="121"/>
      <c r="E79" s="26"/>
      <c r="F79" s="122"/>
      <c r="G79" s="26"/>
      <c r="H79" s="122"/>
      <c r="I79" s="26"/>
      <c r="J79" s="122"/>
      <c r="K79" s="26"/>
      <c r="L79" s="122"/>
      <c r="M79" s="54" t="e">
        <f t="shared" ca="1" si="4"/>
        <v>#N/A</v>
      </c>
      <c r="N79" s="114" t="e">
        <f ca="1">VLOOKUP($B79,Matrix!$H$13:$I$37,2,FALSE)&amp;"_"&amp;C79</f>
        <v>#N/A</v>
      </c>
      <c r="O79" s="127" t="e">
        <f t="shared" ca="1" si="3"/>
        <v>#N/A</v>
      </c>
    </row>
    <row r="80" spans="2:15">
      <c r="B80" s="26"/>
      <c r="C80" s="25"/>
      <c r="D80" s="121"/>
      <c r="E80" s="26"/>
      <c r="F80" s="122"/>
      <c r="G80" s="26"/>
      <c r="H80" s="122"/>
      <c r="I80" s="26"/>
      <c r="J80" s="122"/>
      <c r="K80" s="26"/>
      <c r="L80" s="122"/>
      <c r="M80" s="54" t="e">
        <f t="shared" ca="1" si="4"/>
        <v>#N/A</v>
      </c>
      <c r="N80" s="114" t="e">
        <f ca="1">VLOOKUP($B80,Matrix!$H$13:$I$37,2,FALSE)&amp;"_"&amp;C80</f>
        <v>#N/A</v>
      </c>
      <c r="O80" s="127" t="e">
        <f t="shared" ca="1" si="3"/>
        <v>#N/A</v>
      </c>
    </row>
    <row r="81" spans="2:15">
      <c r="B81" s="26"/>
      <c r="C81" s="25"/>
      <c r="D81" s="121"/>
      <c r="E81" s="26"/>
      <c r="F81" s="122"/>
      <c r="G81" s="26"/>
      <c r="H81" s="122"/>
      <c r="I81" s="26"/>
      <c r="J81" s="122"/>
      <c r="K81" s="26"/>
      <c r="L81" s="122"/>
      <c r="M81" s="54" t="e">
        <f t="shared" ca="1" si="4"/>
        <v>#N/A</v>
      </c>
      <c r="N81" s="114" t="e">
        <f ca="1">VLOOKUP($B81,Matrix!$H$13:$I$37,2,FALSE)&amp;"_"&amp;C81</f>
        <v>#N/A</v>
      </c>
      <c r="O81" s="127" t="e">
        <f t="shared" ca="1" si="3"/>
        <v>#N/A</v>
      </c>
    </row>
    <row r="82" spans="2:15">
      <c r="B82" s="26"/>
      <c r="C82" s="25"/>
      <c r="D82" s="121"/>
      <c r="E82" s="26"/>
      <c r="F82" s="122"/>
      <c r="G82" s="26"/>
      <c r="H82" s="122"/>
      <c r="I82" s="26"/>
      <c r="J82" s="122"/>
      <c r="K82" s="26"/>
      <c r="L82" s="122"/>
      <c r="M82" s="54" t="e">
        <f t="shared" ca="1" si="4"/>
        <v>#N/A</v>
      </c>
      <c r="N82" s="114" t="e">
        <f ca="1">VLOOKUP($B82,Matrix!$H$13:$I$37,2,FALSE)&amp;"_"&amp;C82</f>
        <v>#N/A</v>
      </c>
      <c r="O82" s="127" t="e">
        <f t="shared" ca="1" si="3"/>
        <v>#N/A</v>
      </c>
    </row>
    <row r="83" spans="2:15">
      <c r="B83" s="26"/>
      <c r="C83" s="25"/>
      <c r="D83" s="121"/>
      <c r="E83" s="26"/>
      <c r="F83" s="122"/>
      <c r="G83" s="26"/>
      <c r="H83" s="122"/>
      <c r="I83" s="26"/>
      <c r="J83" s="122"/>
      <c r="K83" s="26"/>
      <c r="L83" s="122"/>
      <c r="M83" s="54" t="e">
        <f t="shared" ca="1" si="4"/>
        <v>#N/A</v>
      </c>
      <c r="N83" s="114" t="e">
        <f ca="1">VLOOKUP($B83,Matrix!$H$13:$I$37,2,FALSE)&amp;"_"&amp;C83</f>
        <v>#N/A</v>
      </c>
      <c r="O83" s="127" t="e">
        <f t="shared" ca="1" si="3"/>
        <v>#N/A</v>
      </c>
    </row>
    <row r="84" spans="2:15">
      <c r="B84" s="26"/>
      <c r="C84" s="25"/>
      <c r="D84" s="121"/>
      <c r="E84" s="26"/>
      <c r="F84" s="122"/>
      <c r="G84" s="26"/>
      <c r="H84" s="122"/>
      <c r="I84" s="26"/>
      <c r="J84" s="122"/>
      <c r="K84" s="26"/>
      <c r="L84" s="122"/>
      <c r="M84" s="54" t="e">
        <f t="shared" ca="1" si="4"/>
        <v>#N/A</v>
      </c>
      <c r="N84" s="114" t="e">
        <f ca="1">VLOOKUP($B84,Matrix!$H$13:$I$37,2,FALSE)&amp;"_"&amp;C84</f>
        <v>#N/A</v>
      </c>
      <c r="O84" s="127" t="e">
        <f t="shared" ca="1" si="3"/>
        <v>#N/A</v>
      </c>
    </row>
    <row r="85" spans="2:15">
      <c r="B85" s="26"/>
      <c r="C85" s="25"/>
      <c r="D85" s="121"/>
      <c r="E85" s="26"/>
      <c r="F85" s="122"/>
      <c r="G85" s="26"/>
      <c r="H85" s="122"/>
      <c r="I85" s="26"/>
      <c r="J85" s="122"/>
      <c r="K85" s="26"/>
      <c r="L85" s="122"/>
      <c r="M85" s="54" t="e">
        <f t="shared" ca="1" si="4"/>
        <v>#N/A</v>
      </c>
      <c r="N85" s="114" t="e">
        <f ca="1">VLOOKUP($B85,Matrix!$H$13:$I$37,2,FALSE)&amp;"_"&amp;C85</f>
        <v>#N/A</v>
      </c>
      <c r="O85" s="127" t="e">
        <f t="shared" ca="1" si="3"/>
        <v>#N/A</v>
      </c>
    </row>
    <row r="86" spans="2:15">
      <c r="B86" s="26"/>
      <c r="C86" s="25"/>
      <c r="D86" s="121"/>
      <c r="E86" s="26"/>
      <c r="F86" s="122"/>
      <c r="G86" s="26"/>
      <c r="H86" s="122"/>
      <c r="I86" s="26"/>
      <c r="J86" s="122"/>
      <c r="K86" s="26"/>
      <c r="L86" s="122"/>
      <c r="M86" s="54" t="e">
        <f t="shared" ca="1" si="4"/>
        <v>#N/A</v>
      </c>
      <c r="N86" s="114" t="e">
        <f ca="1">VLOOKUP($B86,Matrix!$H$13:$I$37,2,FALSE)&amp;"_"&amp;C86</f>
        <v>#N/A</v>
      </c>
      <c r="O86" s="127" t="e">
        <f t="shared" ca="1" si="3"/>
        <v>#N/A</v>
      </c>
    </row>
    <row r="87" spans="2:15">
      <c r="B87" s="26"/>
      <c r="C87" s="25"/>
      <c r="D87" s="121"/>
      <c r="E87" s="26"/>
      <c r="F87" s="122"/>
      <c r="G87" s="26"/>
      <c r="H87" s="122"/>
      <c r="I87" s="26"/>
      <c r="J87" s="122"/>
      <c r="K87" s="26"/>
      <c r="L87" s="122"/>
      <c r="M87" s="54" t="e">
        <f t="shared" ca="1" si="4"/>
        <v>#N/A</v>
      </c>
      <c r="N87" s="74" t="e">
        <f ca="1">VLOOKUP($B87,Matrix!$H$13:$I$37,2,FALSE)&amp;"_"&amp;C87</f>
        <v>#N/A</v>
      </c>
      <c r="O87" s="127" t="e">
        <f t="shared" ca="1" si="3"/>
        <v>#N/A</v>
      </c>
    </row>
    <row r="88" spans="2:15">
      <c r="B88" s="26"/>
      <c r="C88" s="25"/>
      <c r="D88" s="121"/>
      <c r="E88" s="26"/>
      <c r="F88" s="122"/>
      <c r="G88" s="26"/>
      <c r="H88" s="122"/>
      <c r="I88" s="26"/>
      <c r="J88" s="122"/>
      <c r="K88" s="26"/>
      <c r="L88" s="122"/>
      <c r="M88" s="54" t="e">
        <f t="shared" ca="1" si="4"/>
        <v>#N/A</v>
      </c>
      <c r="N88" s="74" t="e">
        <f ca="1">VLOOKUP($B88,Matrix!$H$13:$I$37,2,FALSE)&amp;"_"&amp;C88</f>
        <v>#N/A</v>
      </c>
      <c r="O88" s="127" t="e">
        <f t="shared" ca="1" si="3"/>
        <v>#N/A</v>
      </c>
    </row>
    <row r="89" spans="2:15">
      <c r="B89" s="26"/>
      <c r="C89" s="25"/>
      <c r="D89" s="121"/>
      <c r="E89" s="26"/>
      <c r="F89" s="122"/>
      <c r="G89" s="26"/>
      <c r="H89" s="122"/>
      <c r="I89" s="26"/>
      <c r="J89" s="122"/>
      <c r="K89" s="26"/>
      <c r="L89" s="122"/>
      <c r="M89" s="54" t="e">
        <f t="shared" ca="1" si="4"/>
        <v>#N/A</v>
      </c>
      <c r="N89" s="74" t="e">
        <f ca="1">VLOOKUP($B89,Matrix!$H$13:$I$37,2,FALSE)&amp;"_"&amp;C89</f>
        <v>#N/A</v>
      </c>
      <c r="O89" s="127" t="e">
        <f t="shared" ca="1" si="3"/>
        <v>#N/A</v>
      </c>
    </row>
    <row r="90" spans="2:15">
      <c r="B90" s="26"/>
      <c r="C90" s="25"/>
      <c r="D90" s="121"/>
      <c r="E90" s="26"/>
      <c r="F90" s="122"/>
      <c r="G90" s="26"/>
      <c r="H90" s="122"/>
      <c r="I90" s="26"/>
      <c r="J90" s="122"/>
      <c r="K90" s="26"/>
      <c r="L90" s="122"/>
      <c r="M90" s="54" t="e">
        <f t="shared" ca="1" si="4"/>
        <v>#N/A</v>
      </c>
      <c r="N90" s="74" t="e">
        <f ca="1">VLOOKUP($B90,Matrix!$H$13:$I$37,2,FALSE)&amp;"_"&amp;C90</f>
        <v>#N/A</v>
      </c>
      <c r="O90" s="127" t="e">
        <f t="shared" ca="1" si="3"/>
        <v>#N/A</v>
      </c>
    </row>
    <row r="91" spans="2:15">
      <c r="B91" s="26"/>
      <c r="C91" s="25"/>
      <c r="D91" s="121"/>
      <c r="E91" s="26"/>
      <c r="F91" s="122"/>
      <c r="G91" s="26"/>
      <c r="H91" s="122"/>
      <c r="I91" s="26"/>
      <c r="J91" s="122"/>
      <c r="K91" s="26"/>
      <c r="L91" s="122"/>
      <c r="M91" s="54" t="e">
        <f t="shared" ca="1" si="4"/>
        <v>#N/A</v>
      </c>
      <c r="N91" s="74" t="e">
        <f ca="1">VLOOKUP($B91,Matrix!$H$13:$I$37,2,FALSE)&amp;"_"&amp;C91</f>
        <v>#N/A</v>
      </c>
      <c r="O91" s="127" t="e">
        <f t="shared" ca="1" si="3"/>
        <v>#N/A</v>
      </c>
    </row>
    <row r="92" spans="2:15">
      <c r="B92" s="26"/>
      <c r="C92" s="25"/>
      <c r="D92" s="121"/>
      <c r="E92" s="26"/>
      <c r="F92" s="122"/>
      <c r="G92" s="26"/>
      <c r="H92" s="122"/>
      <c r="I92" s="26"/>
      <c r="J92" s="122"/>
      <c r="K92" s="26"/>
      <c r="L92" s="122"/>
      <c r="M92" s="54" t="e">
        <f t="shared" ca="1" si="4"/>
        <v>#N/A</v>
      </c>
      <c r="N92" s="74" t="e">
        <f ca="1">VLOOKUP($B92,Matrix!$H$13:$I$37,2,FALSE)&amp;"_"&amp;C92</f>
        <v>#N/A</v>
      </c>
      <c r="O92" s="127" t="e">
        <f t="shared" ca="1" si="3"/>
        <v>#N/A</v>
      </c>
    </row>
    <row r="93" spans="2:15">
      <c r="B93" s="26"/>
      <c r="C93" s="25"/>
      <c r="D93" s="121"/>
      <c r="E93" s="26"/>
      <c r="F93" s="122"/>
      <c r="G93" s="26"/>
      <c r="H93" s="122"/>
      <c r="I93" s="26"/>
      <c r="J93" s="122"/>
      <c r="K93" s="26"/>
      <c r="L93" s="122"/>
      <c r="M93" s="54" t="e">
        <f t="shared" ca="1" si="4"/>
        <v>#N/A</v>
      </c>
      <c r="N93" s="74" t="e">
        <f ca="1">VLOOKUP($B93,Matrix!$H$13:$I$37,2,FALSE)&amp;"_"&amp;C93</f>
        <v>#N/A</v>
      </c>
      <c r="O93" s="127" t="e">
        <f t="shared" ca="1" si="3"/>
        <v>#N/A</v>
      </c>
    </row>
    <row r="94" spans="2:15">
      <c r="B94" s="26"/>
      <c r="C94" s="25"/>
      <c r="D94" s="121"/>
      <c r="E94" s="26"/>
      <c r="F94" s="122"/>
      <c r="G94" s="26"/>
      <c r="H94" s="122"/>
      <c r="I94" s="26"/>
      <c r="J94" s="122"/>
      <c r="K94" s="26"/>
      <c r="L94" s="122"/>
      <c r="M94" s="54" t="e">
        <f t="shared" ca="1" si="4"/>
        <v>#N/A</v>
      </c>
      <c r="N94" s="74" t="e">
        <f ca="1">VLOOKUP($B94,Matrix!$H$13:$I$37,2,FALSE)&amp;"_"&amp;C94</f>
        <v>#N/A</v>
      </c>
      <c r="O94" s="127" t="e">
        <f t="shared" ca="1" si="3"/>
        <v>#N/A</v>
      </c>
    </row>
    <row r="95" spans="2:15">
      <c r="B95" s="26"/>
      <c r="C95" s="25"/>
      <c r="D95" s="121"/>
      <c r="E95" s="26"/>
      <c r="F95" s="122"/>
      <c r="G95" s="26"/>
      <c r="H95" s="122"/>
      <c r="I95" s="26"/>
      <c r="J95" s="122"/>
      <c r="K95" s="26"/>
      <c r="L95" s="122"/>
      <c r="M95" s="54" t="e">
        <f t="shared" ca="1" si="4"/>
        <v>#N/A</v>
      </c>
      <c r="N95" s="74" t="e">
        <f ca="1">VLOOKUP($B95,Matrix!$H$13:$I$37,2,FALSE)&amp;"_"&amp;C95</f>
        <v>#N/A</v>
      </c>
      <c r="O95" s="127" t="e">
        <f t="shared" ca="1" si="3"/>
        <v>#N/A</v>
      </c>
    </row>
    <row r="96" spans="2:15">
      <c r="B96" s="26"/>
      <c r="C96" s="25"/>
      <c r="D96" s="121"/>
      <c r="E96" s="26"/>
      <c r="F96" s="122"/>
      <c r="G96" s="26"/>
      <c r="H96" s="122"/>
      <c r="I96" s="26"/>
      <c r="J96" s="122"/>
      <c r="K96" s="26"/>
      <c r="L96" s="122"/>
      <c r="M96" s="54" t="e">
        <f t="shared" ca="1" si="4"/>
        <v>#N/A</v>
      </c>
      <c r="N96" s="74" t="e">
        <f ca="1">VLOOKUP($B96,Matrix!$H$13:$I$37,2,FALSE)&amp;"_"&amp;C96</f>
        <v>#N/A</v>
      </c>
      <c r="O96" s="127" t="e">
        <f t="shared" ca="1" si="3"/>
        <v>#N/A</v>
      </c>
    </row>
    <row r="97" spans="2:15">
      <c r="B97" s="26"/>
      <c r="C97" s="25"/>
      <c r="D97" s="121"/>
      <c r="E97" s="26"/>
      <c r="F97" s="122"/>
      <c r="G97" s="26"/>
      <c r="H97" s="122"/>
      <c r="I97" s="26"/>
      <c r="J97" s="122"/>
      <c r="K97" s="26"/>
      <c r="L97" s="122"/>
      <c r="M97" s="54" t="e">
        <f t="shared" ca="1" si="4"/>
        <v>#N/A</v>
      </c>
      <c r="N97" s="74" t="e">
        <f ca="1">VLOOKUP($B97,Matrix!$H$13:$I$37,2,FALSE)&amp;"_"&amp;C97</f>
        <v>#N/A</v>
      </c>
      <c r="O97" s="127" t="e">
        <f t="shared" ca="1" si="3"/>
        <v>#N/A</v>
      </c>
    </row>
    <row r="98" spans="2:15">
      <c r="B98" s="26"/>
      <c r="C98" s="25"/>
      <c r="D98" s="121"/>
      <c r="E98" s="26"/>
      <c r="F98" s="122"/>
      <c r="G98" s="26"/>
      <c r="H98" s="122"/>
      <c r="I98" s="26"/>
      <c r="J98" s="122"/>
      <c r="K98" s="26"/>
      <c r="L98" s="122"/>
      <c r="M98" s="54" t="e">
        <f t="shared" ca="1" si="4"/>
        <v>#N/A</v>
      </c>
      <c r="N98" s="74" t="e">
        <f ca="1">VLOOKUP($B98,Matrix!$H$13:$I$37,2,FALSE)&amp;"_"&amp;C98</f>
        <v>#N/A</v>
      </c>
      <c r="O98" s="127" t="e">
        <f t="shared" ca="1" si="3"/>
        <v>#N/A</v>
      </c>
    </row>
    <row r="99" spans="2:15">
      <c r="B99" s="26"/>
      <c r="C99" s="25"/>
      <c r="D99" s="121"/>
      <c r="E99" s="26"/>
      <c r="F99" s="122"/>
      <c r="G99" s="26"/>
      <c r="H99" s="122"/>
      <c r="I99" s="26"/>
      <c r="J99" s="122"/>
      <c r="K99" s="26"/>
      <c r="L99" s="122"/>
      <c r="M99" s="54" t="e">
        <f t="shared" ca="1" si="4"/>
        <v>#N/A</v>
      </c>
      <c r="N99" s="74" t="e">
        <f ca="1">VLOOKUP($B99,Matrix!$H$13:$I$37,2,FALSE)&amp;"_"&amp;C99</f>
        <v>#N/A</v>
      </c>
      <c r="O99" s="127" t="e">
        <f t="shared" ca="1" si="3"/>
        <v>#N/A</v>
      </c>
    </row>
    <row r="100" spans="2:15">
      <c r="B100" s="26"/>
      <c r="C100" s="25"/>
      <c r="D100" s="121"/>
      <c r="E100" s="26"/>
      <c r="F100" s="122"/>
      <c r="G100" s="26"/>
      <c r="H100" s="122"/>
      <c r="I100" s="26"/>
      <c r="J100" s="122"/>
      <c r="K100" s="26"/>
      <c r="L100" s="122"/>
      <c r="M100" s="54" t="e">
        <f t="shared" ca="1" si="4"/>
        <v>#N/A</v>
      </c>
      <c r="N100" s="74" t="e">
        <f ca="1">VLOOKUP($B100,Matrix!$H$13:$I$37,2,FALSE)&amp;"_"&amp;C100</f>
        <v>#N/A</v>
      </c>
      <c r="O100" s="127" t="e">
        <f t="shared" ref="O100:O103" ca="1" si="5">"#define "&amp;N100&amp;REPT(" ",48-M100)&amp;"("&amp;D100&amp;"U)"</f>
        <v>#N/A</v>
      </c>
    </row>
    <row r="101" spans="2:15">
      <c r="B101" s="26"/>
      <c r="C101" s="25"/>
      <c r="D101" s="121"/>
      <c r="E101" s="26"/>
      <c r="F101" s="122"/>
      <c r="G101" s="26"/>
      <c r="H101" s="122"/>
      <c r="I101" s="26"/>
      <c r="J101" s="122"/>
      <c r="K101" s="26"/>
      <c r="L101" s="122"/>
      <c r="M101" s="54" t="e">
        <f t="shared" ca="1" si="4"/>
        <v>#N/A</v>
      </c>
      <c r="N101" s="74" t="e">
        <f ca="1">VLOOKUP($B101,Matrix!$H$13:$I$37,2,FALSE)&amp;"_"&amp;C101</f>
        <v>#N/A</v>
      </c>
      <c r="O101" s="127" t="e">
        <f t="shared" ca="1" si="5"/>
        <v>#N/A</v>
      </c>
    </row>
    <row r="102" spans="2:15">
      <c r="B102" s="26"/>
      <c r="C102" s="25"/>
      <c r="D102" s="121"/>
      <c r="E102" s="26"/>
      <c r="F102" s="122"/>
      <c r="G102" s="26"/>
      <c r="H102" s="122"/>
      <c r="I102" s="26"/>
      <c r="J102" s="122"/>
      <c r="K102" s="26"/>
      <c r="L102" s="122"/>
      <c r="M102" s="54" t="e">
        <f t="shared" ca="1" si="4"/>
        <v>#N/A</v>
      </c>
      <c r="N102" s="74" t="e">
        <f ca="1">VLOOKUP($B102,Matrix!$H$13:$I$37,2,FALSE)&amp;"_"&amp;C102</f>
        <v>#N/A</v>
      </c>
      <c r="O102" s="127" t="e">
        <f t="shared" ca="1" si="5"/>
        <v>#N/A</v>
      </c>
    </row>
    <row r="103" spans="2:15" ht="14.25" thickBot="1">
      <c r="B103" s="60"/>
      <c r="C103" s="61"/>
      <c r="D103" s="123"/>
      <c r="E103" s="60"/>
      <c r="F103" s="124"/>
      <c r="G103" s="60"/>
      <c r="H103" s="124"/>
      <c r="I103" s="60"/>
      <c r="J103" s="124"/>
      <c r="K103" s="60"/>
      <c r="L103" s="124"/>
      <c r="M103" s="62" t="e">
        <f t="shared" ca="1" si="4"/>
        <v>#N/A</v>
      </c>
      <c r="N103" s="75" t="e">
        <f ca="1">VLOOKUP($B103,Matrix!$H$13:$I$37,2,FALSE)&amp;"_"&amp;C103</f>
        <v>#N/A</v>
      </c>
      <c r="O103" s="128" t="e">
        <f t="shared" ca="1" si="5"/>
        <v>#N/A</v>
      </c>
    </row>
  </sheetData>
  <protectedRanges>
    <protectedRange sqref="B4:L103" name="範囲1"/>
  </protectedRanges>
  <phoneticPr fontId="2"/>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topLeftCell="AD1" zoomScale="85" zoomScaleNormal="85" workbookViewId="0">
      <pane ySplit="3" topLeftCell="A4" activePane="bottomLeft" state="frozen"/>
      <selection pane="bottomLeft" activeCell="AU6" sqref="AU6:AU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9" t="s">
        <v>120</v>
      </c>
      <c r="C2" s="292" t="s">
        <v>81</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94" t="s">
        <v>152</v>
      </c>
    </row>
    <row r="3" spans="1:49" ht="213" customHeight="1" thickBot="1">
      <c r="B3" s="203" t="str">
        <f>IF(OR(IF(COUNTIF(D6:AC69,"0")&lt;&gt;0,TRUE,FALSE),IF(COUNTIF(D6:AC69,"1")&lt;&gt;0,TRUE,FALSE)),"Search Table","Index Table")</f>
        <v>Index Table</v>
      </c>
      <c r="C3" s="293"/>
      <c r="D3" s="131" t="s">
        <v>61</v>
      </c>
      <c r="E3" s="131" t="s">
        <v>66</v>
      </c>
      <c r="F3" s="131" t="s">
        <v>49</v>
      </c>
      <c r="G3" s="131" t="s">
        <v>48</v>
      </c>
      <c r="H3" s="131" t="s">
        <v>118</v>
      </c>
      <c r="I3" s="131" t="s">
        <v>117</v>
      </c>
      <c r="J3" s="131" t="s">
        <v>122</v>
      </c>
      <c r="K3" s="131" t="s">
        <v>121</v>
      </c>
      <c r="L3" s="132" t="s">
        <v>66</v>
      </c>
      <c r="M3" s="132" t="s">
        <v>62</v>
      </c>
      <c r="N3" s="132" t="s">
        <v>62</v>
      </c>
      <c r="O3" s="132" t="s">
        <v>62</v>
      </c>
      <c r="P3" s="132" t="s">
        <v>62</v>
      </c>
      <c r="Q3" s="132" t="s">
        <v>62</v>
      </c>
      <c r="R3" s="132" t="s">
        <v>62</v>
      </c>
      <c r="S3" s="132" t="s">
        <v>62</v>
      </c>
      <c r="T3" s="132" t="s">
        <v>62</v>
      </c>
      <c r="U3" s="132" t="s">
        <v>62</v>
      </c>
      <c r="V3" s="132" t="s">
        <v>62</v>
      </c>
      <c r="W3" s="132" t="s">
        <v>62</v>
      </c>
      <c r="X3" s="132" t="s">
        <v>62</v>
      </c>
      <c r="Y3" s="132" t="s">
        <v>62</v>
      </c>
      <c r="Z3" s="132" t="s">
        <v>62</v>
      </c>
      <c r="AA3" s="132" t="s">
        <v>62</v>
      </c>
      <c r="AB3" s="132" t="s">
        <v>66</v>
      </c>
      <c r="AC3" s="132" t="s">
        <v>62</v>
      </c>
      <c r="AD3" s="132" t="s">
        <v>66</v>
      </c>
      <c r="AE3" s="132" t="s">
        <v>62</v>
      </c>
      <c r="AF3" s="132" t="s">
        <v>66</v>
      </c>
      <c r="AG3" s="132" t="s">
        <v>62</v>
      </c>
      <c r="AH3" s="198" t="s">
        <v>210</v>
      </c>
      <c r="AI3" s="198" t="s">
        <v>301</v>
      </c>
      <c r="AJ3" s="295"/>
      <c r="AR3" s="98" t="s">
        <v>93</v>
      </c>
    </row>
    <row r="4" spans="1:49" ht="14.25" thickBot="1">
      <c r="A4" s="296" t="s">
        <v>63</v>
      </c>
      <c r="B4" s="297"/>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3"/>
      <c r="AR4" s="86" t="s">
        <v>79</v>
      </c>
      <c r="AS4" s="87"/>
      <c r="AT4" s="87"/>
      <c r="AU4" s="87"/>
      <c r="AV4" s="87"/>
      <c r="AW4" s="88"/>
    </row>
    <row r="5" spans="1:49" ht="14.25" thickBot="1">
      <c r="A5" s="298"/>
      <c r="B5" s="299"/>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4"/>
      <c r="AR5" s="89" t="str">
        <f ca="1">"static const U4  "&amp;AW8&amp;"["&amp;AW10&amp;"]"&amp;" = {"</f>
        <v>static const U4  u4_sp_ALERT_S_LCA_BC_RQ_CRIT[ALERT_S_LCA_BC_RQ_NUM_DST] = {</v>
      </c>
      <c r="AS5" s="89" t="str">
        <f ca="1">"static const U4  "&amp;$AW$9&amp;"["&amp;$AW$10&amp;"] = {"</f>
        <v>static const U4  u4_sp_ALERT_S_LCA_BC_RQ_MASK[ALERT_S_LCA_BC_RQ_NUM_DST] = {</v>
      </c>
      <c r="AT5" s="89" t="str">
        <f ca="1">"static const U1  "&amp;$AW$11&amp;"["&amp;$AW$10&amp;"] = {"</f>
        <v>static const U1  u1_sp_ALERT_S_LCA_BC_RQ_DST[ALERT_S_LCA_BC_RQ_NUM_DST] = {</v>
      </c>
      <c r="AU5" s="89" t="str">
        <f ca="1">"const ST_ALERT_MTRX "&amp;$AW$12&amp;" = {"</f>
        <v>const ST_ALERT_MTRX st_gp_ALERT_S_LCA_MTRX[3] = {</v>
      </c>
      <c r="AV5" s="71" t="str">
        <f ca="1">"#define "&amp;AW10&amp;REPT(" ",41-LEN(AW10))&amp;"("&amp;AW13&amp;"U)"</f>
        <v>#define ALERT_S_LCA_BC_RQ_NUM_DST                (4U)</v>
      </c>
      <c r="AW5" s="72"/>
    </row>
    <row r="6" spans="1:49">
      <c r="B6" s="136" t="str">
        <f ca="1">"Table "&amp;$AW$6</f>
        <v>Table BC_RQ</v>
      </c>
      <c r="C6" s="59">
        <f>ROW()-ROW($C$6)</f>
        <v>0</v>
      </c>
      <c r="D6" s="38" t="s">
        <v>67</v>
      </c>
      <c r="E6" s="38" t="s">
        <v>67</v>
      </c>
      <c r="F6" s="38" t="s">
        <v>67</v>
      </c>
      <c r="G6" s="38" t="s">
        <v>67</v>
      </c>
      <c r="H6" s="38" t="s">
        <v>67</v>
      </c>
      <c r="I6" s="38" t="s">
        <v>67</v>
      </c>
      <c r="J6" s="38" t="s">
        <v>67</v>
      </c>
      <c r="K6" s="38" t="s">
        <v>294</v>
      </c>
      <c r="L6" s="38" t="s">
        <v>67</v>
      </c>
      <c r="M6" s="38" t="s">
        <v>67</v>
      </c>
      <c r="N6" s="38" t="s">
        <v>67</v>
      </c>
      <c r="O6" s="38" t="s">
        <v>67</v>
      </c>
      <c r="P6" s="38" t="s">
        <v>67</v>
      </c>
      <c r="Q6" s="38" t="s">
        <v>67</v>
      </c>
      <c r="R6" s="38" t="s">
        <v>67</v>
      </c>
      <c r="S6" s="38" t="s">
        <v>67</v>
      </c>
      <c r="T6" s="38" t="s">
        <v>67</v>
      </c>
      <c r="U6" s="38" t="s">
        <v>67</v>
      </c>
      <c r="V6" s="38" t="s">
        <v>67</v>
      </c>
      <c r="W6" s="38" t="s">
        <v>67</v>
      </c>
      <c r="X6" s="38" t="s">
        <v>67</v>
      </c>
      <c r="Y6" s="38" t="s">
        <v>67</v>
      </c>
      <c r="Z6" s="38" t="s">
        <v>67</v>
      </c>
      <c r="AA6" s="38" t="s">
        <v>67</v>
      </c>
      <c r="AB6" s="38" t="s">
        <v>67</v>
      </c>
      <c r="AC6" s="38" t="s">
        <v>67</v>
      </c>
      <c r="AD6" s="38" t="s">
        <v>67</v>
      </c>
      <c r="AE6" s="38" t="s">
        <v>67</v>
      </c>
      <c r="AF6" s="68" t="s">
        <v>294</v>
      </c>
      <c r="AG6" s="68" t="s">
        <v>294</v>
      </c>
      <c r="AH6" s="68">
        <v>0</v>
      </c>
      <c r="AI6" s="68">
        <v>0</v>
      </c>
      <c r="AJ6" s="58" t="s">
        <v>31</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(U4)0x00000003U,                                                           /* 00 UNKNOWN                                         */</v>
      </c>
      <c r="AT6" s="69" t="str">
        <f t="shared" ref="AT6:AT69" si="1">IF(AJ6&lt;&gt;"",AL6&amp;IF(AJ7&lt;&gt;"",","," ")&amp;REPT(" ",78-LEN(AL6))&amp;"/* "&amp;IF(C6&lt;10,"0"&amp;C6,C6)&amp;" "&amp;AJ6&amp;REPT(" ",48-LEN(AJ6))&amp;"*/",IF(AJ5&lt;&gt;"","};",""))</f>
        <v xml:space="preserve">    (U1)ALERT_REQ_UNKNOWN,                                                     /* 00 UNKNOWN                                         */</v>
      </c>
      <c r="AU6" s="69" t="s">
        <v>320</v>
      </c>
      <c r="AV6" s="55" t="s">
        <v>68</v>
      </c>
      <c r="AW6" s="73" t="str">
        <f ca="1">UPPER(RIGHT(CELL("filename",A1),LEN(CELL("filename",A1))-FIND("]",CELL("filename",A1))))</f>
        <v>BC_RQ</v>
      </c>
    </row>
    <row r="7" spans="1:49">
      <c r="B7" s="136"/>
      <c r="C7" s="54">
        <f t="shared" ref="C7:C69" si="2">ROW()-ROW($C$6)</f>
        <v>1</v>
      </c>
      <c r="D7" s="68" t="s">
        <v>67</v>
      </c>
      <c r="E7" s="68" t="s">
        <v>67</v>
      </c>
      <c r="F7" s="68" t="s">
        <v>67</v>
      </c>
      <c r="G7" s="68" t="s">
        <v>67</v>
      </c>
      <c r="H7" s="68" t="s">
        <v>67</v>
      </c>
      <c r="I7" s="68" t="s">
        <v>67</v>
      </c>
      <c r="J7" s="68" t="s">
        <v>67</v>
      </c>
      <c r="K7" s="68" t="s">
        <v>294</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38" t="s">
        <v>67</v>
      </c>
      <c r="AE7" s="38" t="s">
        <v>67</v>
      </c>
      <c r="AF7" s="68" t="s">
        <v>294</v>
      </c>
      <c r="AG7" s="68" t="s">
        <v>294</v>
      </c>
      <c r="AH7" s="68">
        <v>0</v>
      </c>
      <c r="AI7" s="68">
        <v>1</v>
      </c>
      <c r="AJ7" s="25" t="s">
        <v>124</v>
      </c>
      <c r="AL7" t="str">
        <f t="shared" ca="1" si="0"/>
        <v xml:space="preserve">    (U1)ALERT_REQ_S_LCA_BC_RQ_SINGLE</v>
      </c>
      <c r="AR7" s="69" t="str">
        <f t="shared" ref="AR7:AR70" si="3">IF(AQ72&lt;&gt;"",AQ72,IF(AQ71&lt;&gt;"","};",""))</f>
        <v xml:space="preserve">    (U4)0x00000001U,                                                           /* 01 SINGLE                                          */</v>
      </c>
      <c r="AS7" s="69" t="str">
        <f t="shared" ref="AS7:AS70" si="4">IF(AQ137&lt;&gt;"",AQ137,IF(AQ136&lt;&gt;"","};",""))</f>
        <v xml:space="preserve">    (U4)0x00000003U,                                                           /* 01 SINGLE                                          */</v>
      </c>
      <c r="AT7" s="69" t="str">
        <f t="shared" ca="1" si="1"/>
        <v xml:space="preserve">    (U1)ALERT_REQ_S_LCA_BC_RQ_SINGLE,                                          /* 01 SINGLE                                          */</v>
      </c>
      <c r="AU7" s="69" t="str">
        <f ca="1">"        &amp;"&amp;$AW$14&amp;","&amp;REPT(" ",69-LEN($AW$14))&amp;"/* fp_u4_SRC_CHK                                      */"</f>
        <v xml:space="preserve">        &amp;u4_s_AlertS_lcaBcRqSrcchk,                                            /* fp_u4_SRC_CHK                                      */</v>
      </c>
      <c r="AV7" s="56" t="s">
        <v>69</v>
      </c>
      <c r="AW7" s="135">
        <f>IF(B3="Search Table",1,0)</f>
        <v>0</v>
      </c>
    </row>
    <row r="8" spans="1:49">
      <c r="B8" s="136"/>
      <c r="C8" s="54">
        <f t="shared" si="2"/>
        <v>2</v>
      </c>
      <c r="D8" s="68" t="s">
        <v>67</v>
      </c>
      <c r="E8" s="68" t="s">
        <v>67</v>
      </c>
      <c r="F8" s="68" t="s">
        <v>67</v>
      </c>
      <c r="G8" s="68" t="s">
        <v>67</v>
      </c>
      <c r="H8" s="68" t="s">
        <v>67</v>
      </c>
      <c r="I8" s="68" t="s">
        <v>67</v>
      </c>
      <c r="J8" s="68" t="s">
        <v>67</v>
      </c>
      <c r="K8" s="68" t="s">
        <v>294</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68" t="s">
        <v>294</v>
      </c>
      <c r="AG8" s="68" t="s">
        <v>294</v>
      </c>
      <c r="AH8" s="68">
        <v>1</v>
      </c>
      <c r="AI8" s="68">
        <v>0</v>
      </c>
      <c r="AJ8" s="25" t="s">
        <v>31</v>
      </c>
      <c r="AL8" t="str">
        <f t="shared" si="0"/>
        <v xml:space="preserve">    (U1)ALERT_REQ_UNKNOWN</v>
      </c>
      <c r="AR8" s="69" t="str">
        <f t="shared" si="3"/>
        <v xml:space="preserve">    (U4)0x00000002U,                                                           /* 02 UNKNOWN                                         */</v>
      </c>
      <c r="AS8" s="69" t="str">
        <f t="shared" si="4"/>
        <v xml:space="preserve">    (U4)0x00000003U,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70</v>
      </c>
      <c r="AW8" s="74" t="str">
        <f ca="1">"u4_sp_ALERT_"&amp;IF(AW6&lt;&gt;AW17,$AW$17&amp;"_"&amp;$AW$6,AW17)&amp;"_CRIT"</f>
        <v>u4_sp_ALERT_S_LCA_BC_RQ_CRIT</v>
      </c>
    </row>
    <row r="9" spans="1:49">
      <c r="B9" s="136"/>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t="s">
        <v>294</v>
      </c>
      <c r="AG9" s="68" t="s">
        <v>294</v>
      </c>
      <c r="AH9" s="68">
        <v>1</v>
      </c>
      <c r="AI9" s="68">
        <v>1</v>
      </c>
      <c r="AJ9" s="25" t="s">
        <v>31</v>
      </c>
      <c r="AL9" t="str">
        <f t="shared" si="0"/>
        <v xml:space="preserve">    (U1)ALERT_REQ_UNKNOWN</v>
      </c>
      <c r="AR9" s="69" t="str">
        <f t="shared" si="3"/>
        <v xml:space="preserve">    (U4)0x00000003U                                                            /* 03 UNKNOWN                                         */</v>
      </c>
      <c r="AS9" s="69" t="str">
        <f t="shared" si="4"/>
        <v xml:space="preserve">    (U4)0x00000003U                                                            /* 03 UNKNOWN                                         */</v>
      </c>
      <c r="AT9" s="69" t="str">
        <f t="shared" si="1"/>
        <v xml:space="preserve">    (U1)ALERT_REQ_UNKNOWN                                                      /* 03 UNKNOWN                                         */</v>
      </c>
      <c r="AU9" s="69"/>
      <c r="AV9" s="56" t="s">
        <v>71</v>
      </c>
      <c r="AW9" s="74" t="str">
        <f ca="1">"u4_sp_ALERT_"&amp;IF(AW6&lt;&gt;AW17,$AW$17&amp;"_"&amp;$AW$6,AW17)&amp;"_MASK"</f>
        <v>u4_sp_ALERT_S_LCA_BC_RQ_MASK</v>
      </c>
    </row>
    <row r="10" spans="1:49">
      <c r="B10" s="136"/>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294</v>
      </c>
      <c r="AG10" s="68" t="s">
        <v>294</v>
      </c>
      <c r="AH10" s="68" t="s">
        <v>294</v>
      </c>
      <c r="AI10" s="68" t="s">
        <v>294</v>
      </c>
      <c r="AJ10" s="25"/>
      <c r="AL10" t="str">
        <f t="shared" ca="1" si="0"/>
        <v xml:space="preserve">    (U1)ALERT_REQ_S_LCA_BC_RQ_</v>
      </c>
      <c r="AR10" s="69" t="str">
        <f t="shared" si="3"/>
        <v>};</v>
      </c>
      <c r="AS10" s="69" t="str">
        <f t="shared" si="4"/>
        <v>};</v>
      </c>
      <c r="AT10" s="69" t="str">
        <f t="shared" si="1"/>
        <v>};</v>
      </c>
      <c r="AU10" s="69" t="str">
        <f>IF($AW$7=1,"        &amp;"&amp;$AW$9&amp;"[0],"&amp;REPT(" ",66-LEN($AW$9))&amp;"/* u4p_MASK                                           */","        (const U4 *)vdp_PTR_NA,                                                /* u4p_MASK                                           */")</f>
        <v xml:space="preserve">        (const U4 *)vdp_PTR_NA,                                                /* u4p_MASK                                           */</v>
      </c>
      <c r="AV10" s="56" t="s">
        <v>72</v>
      </c>
      <c r="AW10" s="74" t="str">
        <f ca="1">"ALERT_"&amp;IF(AW6&lt;&gt;AW17,$AW$17&amp;"_"&amp;$AW$6,AW17)&amp;"_NUM_DST"</f>
        <v>ALERT_S_LCA_BC_RQ_NUM_DST</v>
      </c>
    </row>
    <row r="11" spans="1:49">
      <c r="B11" s="136"/>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294</v>
      </c>
      <c r="AG11" s="68" t="s">
        <v>294</v>
      </c>
      <c r="AH11" s="68" t="s">
        <v>294</v>
      </c>
      <c r="AI11" s="68" t="s">
        <v>294</v>
      </c>
      <c r="AJ11" s="25"/>
      <c r="AL11" t="str">
        <f t="shared" ca="1" si="0"/>
        <v xml:space="preserve">    (U1)ALERT_REQ_S_LCA_BC_RQ_</v>
      </c>
      <c r="AR11" s="69" t="str">
        <f t="shared" si="3"/>
        <v/>
      </c>
      <c r="AS11" s="69" t="str">
        <f t="shared" si="4"/>
        <v/>
      </c>
      <c r="AT11" s="69" t="str">
        <f t="shared" si="1"/>
        <v/>
      </c>
      <c r="AU11" s="69" t="str">
        <f>IF($AW$7=1,"        &amp;"&amp;$AW$8&amp;"[0],"&amp;REPT(" ",66-LEN($AW$8))&amp;"/* u4p_CRIT                                           */","        (const U4 *)vdp_PTR_NA,                                                /* u4p_CRIT                                           */")</f>
        <v xml:space="preserve">        (const U4 *)vdp_PTR_NA,                                                /* u4p_CRIT                                           */</v>
      </c>
      <c r="AV11" s="56" t="s">
        <v>73</v>
      </c>
      <c r="AW11" s="74" t="str">
        <f ca="1">"u1_sp_ALERT_"&amp;IF(AW6&lt;&gt;AW17,$AW$17&amp;"_"&amp;$AW$6,AW17)&amp;"_DST"</f>
        <v>u1_sp_ALERT_S_LCA_BC_RQ_DST</v>
      </c>
    </row>
    <row r="12" spans="1:49">
      <c r="B12" s="136"/>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38" t="s">
        <v>67</v>
      </c>
      <c r="AF12" s="68" t="s">
        <v>294</v>
      </c>
      <c r="AG12" s="68" t="s">
        <v>294</v>
      </c>
      <c r="AH12" s="68" t="s">
        <v>294</v>
      </c>
      <c r="AI12" s="68" t="s">
        <v>294</v>
      </c>
      <c r="AJ12" s="25"/>
      <c r="AL12" t="str">
        <f t="shared" ca="1" si="0"/>
        <v xml:space="preserve">    (U1)ALERT_REQ_S_LCA_BC_RQ_</v>
      </c>
      <c r="AR12" s="69" t="str">
        <f t="shared" si="3"/>
        <v/>
      </c>
      <c r="AS12" s="69" t="str">
        <f t="shared" si="4"/>
        <v/>
      </c>
      <c r="AT12" s="69" t="str">
        <f t="shared" si="1"/>
        <v/>
      </c>
      <c r="AU12" s="69"/>
      <c r="AV12" s="56" t="s">
        <v>85</v>
      </c>
      <c r="AW12" s="74" t="str">
        <f ca="1">Matrix!D8&amp;"["&amp;Matrix!D7&amp;"]"</f>
        <v>st_gp_ALERT_S_LCA_MTRX[3]</v>
      </c>
    </row>
    <row r="13" spans="1:49">
      <c r="B13" s="136"/>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294</v>
      </c>
      <c r="AG13" s="68" t="s">
        <v>294</v>
      </c>
      <c r="AH13" s="68" t="s">
        <v>294</v>
      </c>
      <c r="AI13" s="68" t="s">
        <v>294</v>
      </c>
      <c r="AJ13" s="25"/>
      <c r="AL13" t="str">
        <f t="shared" ca="1" si="0"/>
        <v xml:space="preserve">    (U1)ALERT_REQ_S_LCA_BC_RQ_</v>
      </c>
      <c r="AR13" s="69" t="str">
        <f t="shared" si="3"/>
        <v/>
      </c>
      <c r="AS13" s="69" t="str">
        <f t="shared" si="4"/>
        <v/>
      </c>
      <c r="AT13" s="69" t="str">
        <f t="shared" si="1"/>
        <v/>
      </c>
      <c r="AU13" s="69" t="str">
        <f ca="1">"        &amp;"&amp;$AW$11&amp;"[0],"&amp;REPT(" ",66-LEN($AW$11))&amp;"/* u1p_DST                                            */"</f>
        <v xml:space="preserve">        &amp;u1_sp_ALERT_S_LCA_BC_RQ_DST[0],                                       /* u1p_DST                                            */</v>
      </c>
      <c r="AV13" s="56" t="s">
        <v>74</v>
      </c>
      <c r="AW13" s="135">
        <f>COUNTA($AJ$6:$AJ$69)</f>
        <v>4</v>
      </c>
    </row>
    <row r="14" spans="1:49">
      <c r="B14" s="136"/>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294</v>
      </c>
      <c r="AG14" s="68" t="s">
        <v>294</v>
      </c>
      <c r="AH14" s="68" t="s">
        <v>294</v>
      </c>
      <c r="AI14" s="68" t="s">
        <v>294</v>
      </c>
      <c r="AJ14" s="25"/>
      <c r="AL14" t="str">
        <f t="shared" ca="1" si="0"/>
        <v xml:space="preserve">    (U1)ALERT_REQ_S_LCA_BC_RQ_</v>
      </c>
      <c r="AR14" s="69" t="str">
        <f t="shared" si="3"/>
        <v/>
      </c>
      <c r="AS14" s="69" t="str">
        <f t="shared" si="4"/>
        <v/>
      </c>
      <c r="AT14" s="69" t="str">
        <f t="shared" si="1"/>
        <v/>
      </c>
      <c r="AU14" s="69" t="str">
        <f ca="1">"        (U2)"&amp;$AW$10&amp;","&amp;REPT(" ",66-LEN($AW$10))&amp;"/* u2_num_srch                                        */"</f>
        <v xml:space="preserve">        (U2)ALERT_S_LCA_BC_RQ_NUM_DST,                                         /* u2_num_srch                                        */</v>
      </c>
      <c r="AV14" s="56" t="s">
        <v>75</v>
      </c>
      <c r="AW14" s="74" t="str">
        <f ca="1">IF(AW6&lt;&gt;AW17,VLOOKUP(AW6,Matrix!$C$13:$G$37,4,FALSE),Matrix!F13)</f>
        <v>u4_s_AlertS_lcaBcRqSrcchk</v>
      </c>
    </row>
    <row r="15" spans="1:49">
      <c r="B15" s="136"/>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294</v>
      </c>
      <c r="AG15" s="68" t="s">
        <v>294</v>
      </c>
      <c r="AH15" s="68" t="s">
        <v>294</v>
      </c>
      <c r="AI15" s="68" t="s">
        <v>294</v>
      </c>
      <c r="AJ15" s="25"/>
      <c r="AL15" t="str">
        <f t="shared" ca="1" si="0"/>
        <v xml:space="preserve">    (U1)ALERT_REQ_S_LCA_BC_RQ_</v>
      </c>
      <c r="AR15" s="69" t="str">
        <f t="shared" si="3"/>
        <v/>
      </c>
      <c r="AS15" s="69" t="str">
        <f t="shared" si="4"/>
        <v/>
      </c>
      <c r="AT15" s="69" t="str">
        <f t="shared" si="1"/>
        <v/>
      </c>
      <c r="AU15" s="69" t="str">
        <f ca="1">"        (U1)"&amp;$AW$16&amp;REPT(" ",67-LEN($AW$16))&amp;"/* u1_vom_act                                         */"</f>
        <v xml:space="preserve">        (U1)ALERT_VOM_IGN_ON                                                   /* u1_vom_act                                         */</v>
      </c>
      <c r="AV15" s="56" t="s">
        <v>78</v>
      </c>
      <c r="AW15" s="74" t="str">
        <f ca="1">IF(AW6&lt;&gt;AW17,VLOOKUP(AW6,Matrix!$C$13:$G$37,5,FALSE),Matrix!G13)</f>
        <v>NULL</v>
      </c>
    </row>
    <row r="16" spans="1:49">
      <c r="B16" s="136"/>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295</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294</v>
      </c>
      <c r="AG16" s="68" t="s">
        <v>294</v>
      </c>
      <c r="AH16" s="68" t="s">
        <v>294</v>
      </c>
      <c r="AI16" s="68" t="s">
        <v>294</v>
      </c>
      <c r="AJ16" s="25"/>
      <c r="AL16" t="str">
        <f t="shared" ca="1" si="0"/>
        <v xml:space="preserve">    (U1)ALERT_REQ_S_LCA_BC_RQ_</v>
      </c>
      <c r="AR16" s="69" t="str">
        <f t="shared" si="3"/>
        <v/>
      </c>
      <c r="AS16" s="69" t="str">
        <f t="shared" si="4"/>
        <v/>
      </c>
      <c r="AT16" s="69" t="str">
        <f t="shared" si="1"/>
        <v/>
      </c>
      <c r="AU16" s="69" t="s">
        <v>321</v>
      </c>
      <c r="AV16" s="56" t="s">
        <v>76</v>
      </c>
      <c r="AW16" s="74" t="str">
        <f ca="1">IF(AW6&lt;&gt;AW17,VLOOKUP(AW6,Matrix!$C$13:$G$37,2,FALSE),Matrix!D13)</f>
        <v>ALERT_VOM_IGN_ON</v>
      </c>
    </row>
    <row r="17" spans="2:49" ht="14.25" thickBot="1">
      <c r="B17" s="136"/>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294</v>
      </c>
      <c r="AG17" s="68" t="s">
        <v>294</v>
      </c>
      <c r="AH17" s="68" t="s">
        <v>294</v>
      </c>
      <c r="AI17" s="68" t="s">
        <v>294</v>
      </c>
      <c r="AJ17" s="25"/>
      <c r="AL17" t="str">
        <f t="shared" ca="1" si="0"/>
        <v xml:space="preserve">    (U1)ALERT_REQ_S_LCA_BC_RQ_</v>
      </c>
      <c r="AR17" s="69" t="str">
        <f t="shared" si="3"/>
        <v/>
      </c>
      <c r="AS17" s="69" t="str">
        <f t="shared" si="4"/>
        <v/>
      </c>
      <c r="AT17" s="69" t="str">
        <f t="shared" si="1"/>
        <v/>
      </c>
      <c r="AU17" s="70" t="s">
        <v>322</v>
      </c>
      <c r="AV17" s="57" t="s">
        <v>77</v>
      </c>
      <c r="AW17" s="75" t="str">
        <f ca="1">UPPER(Matrix!$D$6)</f>
        <v>S_LCA</v>
      </c>
    </row>
    <row r="18" spans="2:49">
      <c r="B18" s="136"/>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294</v>
      </c>
      <c r="AG18" s="68" t="s">
        <v>294</v>
      </c>
      <c r="AH18" s="68" t="s">
        <v>294</v>
      </c>
      <c r="AI18" s="68" t="s">
        <v>294</v>
      </c>
      <c r="AJ18" s="25"/>
      <c r="AL18" t="str">
        <f t="shared" ca="1" si="0"/>
        <v xml:space="preserve">    (U1)ALERT_REQ_S_LCA_BC_RQ_</v>
      </c>
      <c r="AR18" s="69" t="str">
        <f t="shared" si="3"/>
        <v/>
      </c>
      <c r="AS18" s="69" t="str">
        <f t="shared" si="4"/>
        <v/>
      </c>
      <c r="AT18" s="69" t="str">
        <f t="shared" si="1"/>
        <v/>
      </c>
    </row>
    <row r="19" spans="2:49">
      <c r="B19" s="136"/>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294</v>
      </c>
      <c r="AG19" s="68" t="s">
        <v>294</v>
      </c>
      <c r="AH19" s="68" t="s">
        <v>294</v>
      </c>
      <c r="AI19" s="68" t="s">
        <v>294</v>
      </c>
      <c r="AJ19" s="25"/>
      <c r="AL19" t="str">
        <f t="shared" ca="1" si="0"/>
        <v xml:space="preserve">    (U1)ALERT_REQ_S_LCA_BC_RQ_</v>
      </c>
      <c r="AR19" s="69" t="str">
        <f t="shared" si="3"/>
        <v/>
      </c>
      <c r="AS19" s="69" t="str">
        <f t="shared" si="4"/>
        <v/>
      </c>
      <c r="AT19" s="69" t="str">
        <f t="shared" si="1"/>
        <v/>
      </c>
    </row>
    <row r="20" spans="2:49">
      <c r="B20" s="136"/>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294</v>
      </c>
      <c r="AG20" s="68" t="s">
        <v>294</v>
      </c>
      <c r="AH20" s="68" t="s">
        <v>294</v>
      </c>
      <c r="AI20" s="68" t="s">
        <v>294</v>
      </c>
      <c r="AJ20" s="25"/>
      <c r="AL20" t="str">
        <f t="shared" ca="1" si="0"/>
        <v xml:space="preserve">    (U1)ALERT_REQ_S_LCA_BC_RQ_</v>
      </c>
      <c r="AR20" s="69" t="str">
        <f t="shared" si="3"/>
        <v/>
      </c>
      <c r="AS20" s="69" t="str">
        <f t="shared" si="4"/>
        <v/>
      </c>
      <c r="AT20" s="69" t="str">
        <f t="shared" si="1"/>
        <v/>
      </c>
    </row>
    <row r="21" spans="2:49">
      <c r="B21" s="136"/>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294</v>
      </c>
      <c r="AG21" s="68" t="s">
        <v>294</v>
      </c>
      <c r="AH21" s="68" t="s">
        <v>294</v>
      </c>
      <c r="AI21" s="68" t="s">
        <v>294</v>
      </c>
      <c r="AJ21" s="25"/>
      <c r="AL21" t="str">
        <f t="shared" ca="1" si="0"/>
        <v xml:space="preserve">    (U1)ALERT_REQ_S_LCA_BC_RQ_</v>
      </c>
      <c r="AR21" s="69" t="str">
        <f t="shared" si="3"/>
        <v/>
      </c>
      <c r="AS21" s="69" t="str">
        <f t="shared" si="4"/>
        <v/>
      </c>
      <c r="AT21" s="69" t="str">
        <f t="shared" si="1"/>
        <v/>
      </c>
    </row>
    <row r="22" spans="2:49">
      <c r="B22" s="136"/>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25"/>
      <c r="AL22" t="str">
        <f t="shared" ca="1" si="0"/>
        <v xml:space="preserve">    (U1)ALERT_REQ_S_LCA_BC_RQ_</v>
      </c>
      <c r="AR22" s="69" t="str">
        <f t="shared" si="3"/>
        <v/>
      </c>
      <c r="AS22" s="69" t="str">
        <f t="shared" si="4"/>
        <v/>
      </c>
      <c r="AT22" s="69" t="str">
        <f t="shared" si="1"/>
        <v/>
      </c>
    </row>
    <row r="23" spans="2:49">
      <c r="B23" s="136"/>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25"/>
      <c r="AL23" t="str">
        <f t="shared" ca="1" si="0"/>
        <v xml:space="preserve">    (U1)ALERT_REQ_S_LCA_BC_RQ_</v>
      </c>
      <c r="AR23" s="69" t="str">
        <f t="shared" si="3"/>
        <v/>
      </c>
      <c r="AS23" s="69" t="str">
        <f t="shared" si="4"/>
        <v/>
      </c>
      <c r="AT23" s="69" t="str">
        <f t="shared" si="1"/>
        <v/>
      </c>
    </row>
    <row r="24" spans="2:49">
      <c r="B24" s="136"/>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5"/>
      <c r="AL24" t="str">
        <f t="shared" ca="1" si="0"/>
        <v xml:space="preserve">    (U1)ALERT_REQ_S_LCA_BC_RQ_</v>
      </c>
      <c r="AR24" s="69" t="str">
        <f t="shared" si="3"/>
        <v/>
      </c>
      <c r="AS24" s="69" t="str">
        <f t="shared" si="4"/>
        <v/>
      </c>
      <c r="AT24" s="69" t="str">
        <f t="shared" si="1"/>
        <v/>
      </c>
    </row>
    <row r="25" spans="2:49">
      <c r="B25" s="136"/>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5"/>
      <c r="AL25" t="str">
        <f t="shared" ca="1" si="0"/>
        <v xml:space="preserve">    (U1)ALERT_REQ_S_LCA_BC_RQ_</v>
      </c>
      <c r="AR25" s="69" t="str">
        <f t="shared" si="3"/>
        <v/>
      </c>
      <c r="AS25" s="69" t="str">
        <f t="shared" si="4"/>
        <v/>
      </c>
      <c r="AT25" s="69" t="str">
        <f t="shared" si="1"/>
        <v/>
      </c>
    </row>
    <row r="26" spans="2:49">
      <c r="B26" s="136"/>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5"/>
      <c r="AL26" t="str">
        <f t="shared" ca="1" si="0"/>
        <v xml:space="preserve">    (U1)ALERT_REQ_S_LCA_BC_RQ_</v>
      </c>
      <c r="AR26" s="69" t="str">
        <f t="shared" si="3"/>
        <v/>
      </c>
      <c r="AS26" s="69" t="str">
        <f t="shared" si="4"/>
        <v/>
      </c>
      <c r="AT26" s="69" t="str">
        <f t="shared" si="1"/>
        <v/>
      </c>
    </row>
    <row r="27" spans="2:49">
      <c r="B27" s="136"/>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5"/>
      <c r="AL27" t="str">
        <f t="shared" ca="1" si="0"/>
        <v xml:space="preserve">    (U1)ALERT_REQ_S_LCA_BC_RQ_</v>
      </c>
      <c r="AR27" s="69" t="str">
        <f t="shared" si="3"/>
        <v/>
      </c>
      <c r="AS27" s="69" t="str">
        <f t="shared" si="4"/>
        <v/>
      </c>
      <c r="AT27" s="69" t="str">
        <f t="shared" si="1"/>
        <v/>
      </c>
    </row>
    <row r="28" spans="2:49">
      <c r="B28" s="136"/>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5"/>
      <c r="AL28" t="str">
        <f t="shared" ca="1" si="0"/>
        <v xml:space="preserve">    (U1)ALERT_REQ_S_LCA_BC_RQ_</v>
      </c>
      <c r="AR28" s="69" t="str">
        <f t="shared" si="3"/>
        <v/>
      </c>
      <c r="AS28" s="69" t="str">
        <f t="shared" si="4"/>
        <v/>
      </c>
      <c r="AT28" s="69" t="str">
        <f t="shared" si="1"/>
        <v/>
      </c>
    </row>
    <row r="29" spans="2:49">
      <c r="B29" s="136"/>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5"/>
      <c r="AL29" t="str">
        <f t="shared" ca="1" si="0"/>
        <v xml:space="preserve">    (U1)ALERT_REQ_S_LCA_BC_RQ_</v>
      </c>
      <c r="AR29" s="69" t="str">
        <f t="shared" si="3"/>
        <v/>
      </c>
      <c r="AS29" s="69" t="str">
        <f t="shared" si="4"/>
        <v/>
      </c>
      <c r="AT29" s="69" t="str">
        <f t="shared" si="1"/>
        <v/>
      </c>
    </row>
    <row r="30" spans="2:49">
      <c r="B30" s="136"/>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5"/>
      <c r="AL30" t="str">
        <f t="shared" ca="1" si="0"/>
        <v xml:space="preserve">    (U1)ALERT_REQ_S_LCA_BC_RQ_</v>
      </c>
      <c r="AR30" s="69" t="str">
        <f t="shared" si="3"/>
        <v/>
      </c>
      <c r="AS30" s="69" t="str">
        <f t="shared" si="4"/>
        <v/>
      </c>
      <c r="AT30" s="69" t="str">
        <f t="shared" si="1"/>
        <v/>
      </c>
    </row>
    <row r="31" spans="2:49">
      <c r="B31" s="136"/>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5"/>
      <c r="AL31" t="str">
        <f t="shared" ca="1" si="0"/>
        <v xml:space="preserve">    (U1)ALERT_REQ_S_LCA_BC_RQ_</v>
      </c>
      <c r="AR31" s="69" t="str">
        <f t="shared" si="3"/>
        <v/>
      </c>
      <c r="AS31" s="69" t="str">
        <f t="shared" si="4"/>
        <v/>
      </c>
      <c r="AT31" s="69" t="str">
        <f t="shared" si="1"/>
        <v/>
      </c>
    </row>
    <row r="32" spans="2:49">
      <c r="B32" s="136"/>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5"/>
      <c r="AL32" t="str">
        <f t="shared" ca="1" si="0"/>
        <v xml:space="preserve">    (U1)ALERT_REQ_S_LCA_BC_RQ_</v>
      </c>
      <c r="AR32" s="69" t="str">
        <f t="shared" si="3"/>
        <v/>
      </c>
      <c r="AS32" s="69" t="str">
        <f t="shared" si="4"/>
        <v/>
      </c>
      <c r="AT32" s="69" t="str">
        <f t="shared" si="1"/>
        <v/>
      </c>
    </row>
    <row r="33" spans="2:46">
      <c r="B33" s="136"/>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5"/>
      <c r="AL33" t="str">
        <f t="shared" ca="1" si="0"/>
        <v xml:space="preserve">    (U1)ALERT_REQ_S_LCA_BC_RQ_</v>
      </c>
      <c r="AR33" s="69" t="str">
        <f t="shared" si="3"/>
        <v/>
      </c>
      <c r="AS33" s="69" t="str">
        <f t="shared" si="4"/>
        <v/>
      </c>
      <c r="AT33" s="69" t="str">
        <f t="shared" si="1"/>
        <v/>
      </c>
    </row>
    <row r="34" spans="2:46">
      <c r="B34" s="136"/>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5"/>
      <c r="AL34" t="str">
        <f t="shared" ca="1" si="0"/>
        <v xml:space="preserve">    (U1)ALERT_REQ_S_LCA_BC_RQ_</v>
      </c>
      <c r="AR34" s="69" t="str">
        <f t="shared" si="3"/>
        <v/>
      </c>
      <c r="AS34" s="69" t="str">
        <f t="shared" si="4"/>
        <v/>
      </c>
      <c r="AT34" s="69" t="str">
        <f t="shared" si="1"/>
        <v/>
      </c>
    </row>
    <row r="35" spans="2:46">
      <c r="B35" s="136"/>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5"/>
      <c r="AL35" t="str">
        <f t="shared" ca="1" si="0"/>
        <v xml:space="preserve">    (U1)ALERT_REQ_S_LCA_BC_RQ_</v>
      </c>
      <c r="AR35" s="69" t="str">
        <f t="shared" si="3"/>
        <v/>
      </c>
      <c r="AS35" s="69" t="str">
        <f t="shared" si="4"/>
        <v/>
      </c>
      <c r="AT35" s="69" t="str">
        <f t="shared" si="1"/>
        <v/>
      </c>
    </row>
    <row r="36" spans="2:46">
      <c r="B36" s="136"/>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5"/>
      <c r="AL36" t="str">
        <f t="shared" ca="1" si="0"/>
        <v xml:space="preserve">    (U1)ALERT_REQ_S_LCA_BC_RQ_</v>
      </c>
      <c r="AR36" s="69" t="str">
        <f t="shared" si="3"/>
        <v/>
      </c>
      <c r="AS36" s="69" t="str">
        <f t="shared" si="4"/>
        <v/>
      </c>
      <c r="AT36" s="69" t="str">
        <f t="shared" si="1"/>
        <v/>
      </c>
    </row>
    <row r="37" spans="2:46">
      <c r="B37" s="136"/>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5"/>
      <c r="AL37" t="str">
        <f t="shared" ca="1" si="0"/>
        <v xml:space="preserve">    (U1)ALERT_REQ_S_LCA_BC_RQ_</v>
      </c>
      <c r="AR37" s="69" t="str">
        <f t="shared" si="3"/>
        <v/>
      </c>
      <c r="AS37" s="69" t="str">
        <f t="shared" si="4"/>
        <v/>
      </c>
      <c r="AT37" s="69" t="str">
        <f t="shared" si="1"/>
        <v/>
      </c>
    </row>
    <row r="38" spans="2:46">
      <c r="B38" s="136"/>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(U1)ALERT_REQ_S_LCA_BC_RQ_</v>
      </c>
      <c r="AR38" s="69" t="str">
        <f t="shared" si="3"/>
        <v/>
      </c>
      <c r="AS38" s="69" t="str">
        <f t="shared" si="4"/>
        <v/>
      </c>
      <c r="AT38" s="69" t="str">
        <f t="shared" si="1"/>
        <v/>
      </c>
    </row>
    <row r="39" spans="2:46">
      <c r="B39" s="136"/>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(U1)ALERT_REQ_S_LCA_BC_RQ_</v>
      </c>
      <c r="AR39" s="69" t="str">
        <f t="shared" si="3"/>
        <v/>
      </c>
      <c r="AS39" s="69" t="str">
        <f t="shared" si="4"/>
        <v/>
      </c>
      <c r="AT39" s="69" t="str">
        <f t="shared" si="1"/>
        <v/>
      </c>
    </row>
    <row r="40" spans="2:46">
      <c r="B40" s="136"/>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(U1)ALERT_REQ_S_LCA_BC_RQ_</v>
      </c>
      <c r="AR40" s="69" t="str">
        <f t="shared" si="3"/>
        <v/>
      </c>
      <c r="AS40" s="69" t="str">
        <f t="shared" si="4"/>
        <v/>
      </c>
      <c r="AT40" s="69" t="str">
        <f t="shared" si="1"/>
        <v/>
      </c>
    </row>
    <row r="41" spans="2:46">
      <c r="B41" s="136"/>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(U1)ALERT_REQ_S_LCA_BC_RQ_</v>
      </c>
      <c r="AR41" s="69" t="str">
        <f t="shared" si="3"/>
        <v/>
      </c>
      <c r="AS41" s="69" t="str">
        <f t="shared" si="4"/>
        <v/>
      </c>
      <c r="AT41" s="69" t="str">
        <f t="shared" si="1"/>
        <v/>
      </c>
    </row>
    <row r="42" spans="2:46">
      <c r="B42" s="136"/>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(U1)ALERT_REQ_S_LCA_BC_RQ_</v>
      </c>
      <c r="AR42" s="69" t="str">
        <f t="shared" si="3"/>
        <v/>
      </c>
      <c r="AS42" s="69" t="str">
        <f t="shared" si="4"/>
        <v/>
      </c>
      <c r="AT42" s="69" t="str">
        <f t="shared" si="1"/>
        <v/>
      </c>
    </row>
    <row r="43" spans="2:46">
      <c r="B43" s="136"/>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(U1)ALERT_REQ_S_LCA_BC_RQ_</v>
      </c>
      <c r="AR43" s="69" t="str">
        <f t="shared" si="3"/>
        <v/>
      </c>
      <c r="AS43" s="69" t="str">
        <f t="shared" si="4"/>
        <v/>
      </c>
      <c r="AT43" s="69" t="str">
        <f t="shared" si="1"/>
        <v/>
      </c>
    </row>
    <row r="44" spans="2:46">
      <c r="B44" s="136"/>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(U1)ALERT_REQ_S_LCA_BC_RQ_</v>
      </c>
      <c r="AR44" s="69" t="str">
        <f t="shared" si="3"/>
        <v/>
      </c>
      <c r="AS44" s="69" t="str">
        <f t="shared" si="4"/>
        <v/>
      </c>
      <c r="AT44" s="69" t="str">
        <f t="shared" si="1"/>
        <v/>
      </c>
    </row>
    <row r="45" spans="2:46">
      <c r="B45" s="136"/>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(U1)ALERT_REQ_S_LCA_BC_RQ_</v>
      </c>
      <c r="AR45" s="69" t="str">
        <f t="shared" si="3"/>
        <v/>
      </c>
      <c r="AS45" s="69" t="str">
        <f t="shared" si="4"/>
        <v/>
      </c>
      <c r="AT45" s="69" t="str">
        <f t="shared" si="1"/>
        <v/>
      </c>
    </row>
    <row r="46" spans="2:46">
      <c r="B46" s="136"/>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(U1)ALERT_REQ_S_LCA_BC_RQ_</v>
      </c>
      <c r="AR46" s="69" t="str">
        <f t="shared" si="3"/>
        <v/>
      </c>
      <c r="AS46" s="69" t="str">
        <f t="shared" si="4"/>
        <v/>
      </c>
      <c r="AT46" s="69" t="str">
        <f t="shared" si="1"/>
        <v/>
      </c>
    </row>
    <row r="47" spans="2:46">
      <c r="B47" s="136"/>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(U1)ALERT_REQ_S_LCA_BC_RQ_</v>
      </c>
      <c r="AR47" s="69" t="str">
        <f t="shared" si="3"/>
        <v/>
      </c>
      <c r="AS47" s="69" t="str">
        <f t="shared" si="4"/>
        <v/>
      </c>
      <c r="AT47" s="69" t="str">
        <f t="shared" si="1"/>
        <v/>
      </c>
    </row>
    <row r="48" spans="2:46">
      <c r="B48" s="136"/>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(U1)ALERT_REQ_S_LCA_BC_RQ_</v>
      </c>
      <c r="AR48" s="69" t="str">
        <f t="shared" si="3"/>
        <v/>
      </c>
      <c r="AS48" s="69" t="str">
        <f t="shared" si="4"/>
        <v/>
      </c>
      <c r="AT48" s="69" t="str">
        <f t="shared" si="1"/>
        <v/>
      </c>
    </row>
    <row r="49" spans="2:46">
      <c r="B49" s="136"/>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(U1)ALERT_REQ_S_LCA_BC_RQ_</v>
      </c>
      <c r="AR49" s="69" t="str">
        <f t="shared" si="3"/>
        <v/>
      </c>
      <c r="AS49" s="69" t="str">
        <f t="shared" si="4"/>
        <v/>
      </c>
      <c r="AT49" s="69" t="str">
        <f t="shared" si="1"/>
        <v/>
      </c>
    </row>
    <row r="50" spans="2:46">
      <c r="B50" s="136"/>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(U1)ALERT_REQ_S_LCA_BC_RQ_</v>
      </c>
      <c r="AR50" s="69" t="str">
        <f t="shared" si="3"/>
        <v/>
      </c>
      <c r="AS50" s="69" t="str">
        <f t="shared" si="4"/>
        <v/>
      </c>
      <c r="AT50" s="69" t="str">
        <f t="shared" si="1"/>
        <v/>
      </c>
    </row>
    <row r="51" spans="2:46">
      <c r="B51" s="136"/>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(U1)ALERT_REQ_S_LCA_BC_RQ_</v>
      </c>
      <c r="AR51" s="69" t="str">
        <f t="shared" si="3"/>
        <v/>
      </c>
      <c r="AS51" s="69" t="str">
        <f t="shared" si="4"/>
        <v/>
      </c>
      <c r="AT51" s="69" t="str">
        <f t="shared" si="1"/>
        <v/>
      </c>
    </row>
    <row r="52" spans="2:46">
      <c r="B52" s="136"/>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(U1)ALERT_REQ_S_LCA_BC_RQ_</v>
      </c>
      <c r="AR52" s="69" t="str">
        <f t="shared" si="3"/>
        <v/>
      </c>
      <c r="AS52" s="69" t="str">
        <f t="shared" si="4"/>
        <v/>
      </c>
      <c r="AT52" s="69" t="str">
        <f t="shared" si="1"/>
        <v/>
      </c>
    </row>
    <row r="53" spans="2:46">
      <c r="B53" s="136"/>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(U1)ALERT_REQ_S_LCA_BC_RQ_</v>
      </c>
      <c r="AR53" s="69" t="str">
        <f t="shared" si="3"/>
        <v/>
      </c>
      <c r="AS53" s="69" t="str">
        <f t="shared" si="4"/>
        <v/>
      </c>
      <c r="AT53" s="69" t="str">
        <f t="shared" si="1"/>
        <v/>
      </c>
    </row>
    <row r="54" spans="2:46">
      <c r="B54" s="136"/>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(U1)ALERT_REQ_S_LCA_BC_RQ_</v>
      </c>
      <c r="AR54" s="69" t="str">
        <f t="shared" si="3"/>
        <v/>
      </c>
      <c r="AS54" s="69" t="str">
        <f t="shared" si="4"/>
        <v/>
      </c>
      <c r="AT54" s="69" t="str">
        <f t="shared" si="1"/>
        <v/>
      </c>
    </row>
    <row r="55" spans="2:46">
      <c r="B55" s="136"/>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(U1)ALERT_REQ_S_LCA_BC_RQ_</v>
      </c>
      <c r="AR55" s="69" t="str">
        <f t="shared" si="3"/>
        <v/>
      </c>
      <c r="AS55" s="69" t="str">
        <f t="shared" si="4"/>
        <v/>
      </c>
      <c r="AT55" s="69" t="str">
        <f t="shared" si="1"/>
        <v/>
      </c>
    </row>
    <row r="56" spans="2:46">
      <c r="B56" s="136"/>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(U1)ALERT_REQ_S_LCA_BC_RQ_</v>
      </c>
      <c r="AR56" s="69" t="str">
        <f t="shared" si="3"/>
        <v/>
      </c>
      <c r="AS56" s="69" t="str">
        <f t="shared" si="4"/>
        <v/>
      </c>
      <c r="AT56" s="69" t="str">
        <f t="shared" si="1"/>
        <v/>
      </c>
    </row>
    <row r="57" spans="2:46">
      <c r="B57" s="136"/>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(U1)ALERT_REQ_S_LCA_BC_RQ_</v>
      </c>
      <c r="AR57" s="69" t="str">
        <f t="shared" si="3"/>
        <v/>
      </c>
      <c r="AS57" s="69" t="str">
        <f t="shared" si="4"/>
        <v/>
      </c>
      <c r="AT57" s="69" t="str">
        <f t="shared" si="1"/>
        <v/>
      </c>
    </row>
    <row r="58" spans="2:46">
      <c r="B58" s="136"/>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(U1)ALERT_REQ_S_LCA_BC_RQ_</v>
      </c>
      <c r="AR58" s="69" t="str">
        <f t="shared" si="3"/>
        <v/>
      </c>
      <c r="AS58" s="69" t="str">
        <f t="shared" si="4"/>
        <v/>
      </c>
      <c r="AT58" s="69" t="str">
        <f t="shared" si="1"/>
        <v/>
      </c>
    </row>
    <row r="59" spans="2:46">
      <c r="B59" s="136"/>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(U1)ALERT_REQ_S_LCA_BC_RQ_</v>
      </c>
      <c r="AR59" s="69" t="str">
        <f t="shared" si="3"/>
        <v/>
      </c>
      <c r="AS59" s="69" t="str">
        <f t="shared" si="4"/>
        <v/>
      </c>
      <c r="AT59" s="69" t="str">
        <f t="shared" si="1"/>
        <v/>
      </c>
    </row>
    <row r="60" spans="2:46">
      <c r="B60" s="136"/>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(U1)ALERT_REQ_S_LCA_BC_RQ_</v>
      </c>
      <c r="AR60" s="69" t="str">
        <f t="shared" si="3"/>
        <v/>
      </c>
      <c r="AS60" s="69" t="str">
        <f t="shared" si="4"/>
        <v/>
      </c>
      <c r="AT60" s="69" t="str">
        <f t="shared" si="1"/>
        <v/>
      </c>
    </row>
    <row r="61" spans="2:46">
      <c r="B61" s="136"/>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(U1)ALERT_REQ_S_LCA_BC_RQ_</v>
      </c>
      <c r="AR61" s="69" t="str">
        <f t="shared" si="3"/>
        <v/>
      </c>
      <c r="AS61" s="69" t="str">
        <f t="shared" si="4"/>
        <v/>
      </c>
      <c r="AT61" s="69" t="str">
        <f t="shared" si="1"/>
        <v/>
      </c>
    </row>
    <row r="62" spans="2:46">
      <c r="B62" s="136"/>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(U1)ALERT_REQ_S_LCA_BC_RQ_</v>
      </c>
      <c r="AR62" s="69" t="str">
        <f t="shared" si="3"/>
        <v/>
      </c>
      <c r="AS62" s="69" t="str">
        <f t="shared" si="4"/>
        <v/>
      </c>
      <c r="AT62" s="69" t="str">
        <f t="shared" si="1"/>
        <v/>
      </c>
    </row>
    <row r="63" spans="2:46">
      <c r="B63" s="136"/>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(U1)ALERT_REQ_S_LCA_BC_RQ_</v>
      </c>
      <c r="AR63" s="69" t="str">
        <f t="shared" si="3"/>
        <v/>
      </c>
      <c r="AS63" s="69" t="str">
        <f t="shared" si="4"/>
        <v/>
      </c>
      <c r="AT63" s="69" t="str">
        <f t="shared" si="1"/>
        <v/>
      </c>
    </row>
    <row r="64" spans="2:46">
      <c r="B64" s="136"/>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(U1)ALERT_REQ_S_LCA_BC_RQ_</v>
      </c>
      <c r="AR64" s="69" t="str">
        <f t="shared" si="3"/>
        <v/>
      </c>
      <c r="AS64" s="69" t="str">
        <f t="shared" si="4"/>
        <v/>
      </c>
      <c r="AT64" s="69" t="str">
        <f t="shared" si="1"/>
        <v/>
      </c>
    </row>
    <row r="65" spans="1:46">
      <c r="B65" s="136"/>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(U1)ALERT_REQ_S_LCA_BC_RQ_</v>
      </c>
      <c r="AR65" s="69" t="str">
        <f t="shared" si="3"/>
        <v/>
      </c>
      <c r="AS65" s="69" t="str">
        <f t="shared" si="4"/>
        <v/>
      </c>
      <c r="AT65" s="69" t="str">
        <f t="shared" si="1"/>
        <v/>
      </c>
    </row>
    <row r="66" spans="1:46">
      <c r="B66" s="136"/>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(U1)ALERT_REQ_S_LCA_BC_RQ_</v>
      </c>
      <c r="AR66" s="69" t="str">
        <f t="shared" si="3"/>
        <v/>
      </c>
      <c r="AS66" s="69" t="str">
        <f t="shared" si="4"/>
        <v/>
      </c>
      <c r="AT66" s="69" t="str">
        <f t="shared" si="1"/>
        <v/>
      </c>
    </row>
    <row r="67" spans="1:46">
      <c r="B67" s="136"/>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(U1)ALERT_REQ_S_LCA_BC_RQ_</v>
      </c>
      <c r="AR67" s="69" t="str">
        <f t="shared" si="3"/>
        <v/>
      </c>
      <c r="AS67" s="69" t="str">
        <f t="shared" si="4"/>
        <v/>
      </c>
      <c r="AT67" s="69" t="str">
        <f t="shared" si="1"/>
        <v/>
      </c>
    </row>
    <row r="68" spans="1:46">
      <c r="B68" s="136"/>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(U1)ALERT_REQ_S_LCA_BC_RQ_</v>
      </c>
      <c r="AR68" s="69" t="str">
        <f t="shared" si="3"/>
        <v/>
      </c>
      <c r="AS68" s="69" t="str">
        <f t="shared" si="4"/>
        <v/>
      </c>
      <c r="AT68" s="69" t="str">
        <f t="shared" si="1"/>
        <v/>
      </c>
    </row>
    <row r="69" spans="1:46">
      <c r="B69" s="137"/>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(U1)ALERT_REQ_S_LCA_BC_RQ_</v>
      </c>
      <c r="AR69" s="69" t="str">
        <f t="shared" si="3"/>
        <v/>
      </c>
      <c r="AS69" s="69" t="str">
        <f t="shared" si="4"/>
        <v/>
      </c>
      <c r="AT69" s="69" t="str">
        <f t="shared" si="1"/>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38" t="str">
        <f ca="1">IF(B6&lt;&gt;"",B6,"")</f>
        <v>Table BC_RQ</v>
      </c>
      <c r="C71" s="54">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54">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54" t="str">
        <f t="shared" si="7"/>
        <v>SINGLE</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SINGLE                                          */</v>
      </c>
    </row>
    <row r="73" spans="1:46">
      <c r="B73" s="136"/>
      <c r="C73" s="54">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6"/>
      <c r="C74" s="54">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6"/>
      <c r="C75" s="54">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0</v>
      </c>
      <c r="AH75" s="130">
        <f t="shared" si="6"/>
        <v>0</v>
      </c>
      <c r="AI75" s="130">
        <f t="shared" si="6"/>
        <v>0</v>
      </c>
      <c r="AJ75" s="54" t="str">
        <f t="shared" si="7"/>
        <v/>
      </c>
      <c r="AK75" s="67"/>
      <c r="AL75" s="67" t="str">
        <f t="shared" si="10"/>
        <v>00</v>
      </c>
      <c r="AM75" s="67" t="str">
        <f t="shared" si="11"/>
        <v>00</v>
      </c>
      <c r="AN75" s="67" t="str">
        <f t="shared" si="12"/>
        <v>00</v>
      </c>
      <c r="AO75" s="67" t="str">
        <f t="shared" si="13"/>
        <v>00</v>
      </c>
      <c r="AQ75" t="str">
        <f t="shared" si="8"/>
        <v/>
      </c>
    </row>
    <row r="76" spans="1:46">
      <c r="B76" s="136"/>
      <c r="C76" s="54">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0</v>
      </c>
      <c r="AH76" s="130">
        <f t="shared" si="6"/>
        <v>0</v>
      </c>
      <c r="AI76" s="130">
        <f t="shared" si="6"/>
        <v>0</v>
      </c>
      <c r="AJ76" s="54" t="str">
        <f t="shared" si="7"/>
        <v/>
      </c>
      <c r="AK76" s="67"/>
      <c r="AL76" s="67" t="str">
        <f t="shared" si="10"/>
        <v>00</v>
      </c>
      <c r="AM76" s="67" t="str">
        <f t="shared" si="11"/>
        <v>00</v>
      </c>
      <c r="AN76" s="67" t="str">
        <f t="shared" si="12"/>
        <v>00</v>
      </c>
      <c r="AO76" s="67" t="str">
        <f t="shared" si="13"/>
        <v>00</v>
      </c>
      <c r="AQ76" t="str">
        <f t="shared" si="8"/>
        <v/>
      </c>
    </row>
    <row r="77" spans="1:46">
      <c r="B77" s="136"/>
      <c r="C77" s="54">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0</v>
      </c>
      <c r="AH77" s="130">
        <f t="shared" si="6"/>
        <v>0</v>
      </c>
      <c r="AI77" s="130">
        <f t="shared" si="6"/>
        <v>0</v>
      </c>
      <c r="AJ77" s="54" t="str">
        <f t="shared" si="7"/>
        <v/>
      </c>
      <c r="AK77" s="67"/>
      <c r="AL77" s="67" t="str">
        <f t="shared" si="10"/>
        <v>00</v>
      </c>
      <c r="AM77" s="67" t="str">
        <f t="shared" si="11"/>
        <v>00</v>
      </c>
      <c r="AN77" s="67" t="str">
        <f t="shared" si="12"/>
        <v>00</v>
      </c>
      <c r="AO77" s="67" t="str">
        <f t="shared" si="13"/>
        <v>00</v>
      </c>
      <c r="AQ77" t="str">
        <f t="shared" si="8"/>
        <v/>
      </c>
    </row>
    <row r="78" spans="1:46">
      <c r="B78" s="136"/>
      <c r="C78" s="54">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0</v>
      </c>
      <c r="AH78" s="130">
        <f t="shared" si="6"/>
        <v>0</v>
      </c>
      <c r="AI78" s="130">
        <f t="shared" ref="AI78" si="14">IF(AI13=1,1,0)</f>
        <v>0</v>
      </c>
      <c r="AJ78" s="54" t="str">
        <f t="shared" si="7"/>
        <v/>
      </c>
      <c r="AK78" s="67"/>
      <c r="AL78" s="67" t="str">
        <f t="shared" si="10"/>
        <v>00</v>
      </c>
      <c r="AM78" s="67" t="str">
        <f t="shared" si="11"/>
        <v>00</v>
      </c>
      <c r="AN78" s="67" t="str">
        <f t="shared" si="12"/>
        <v>00</v>
      </c>
      <c r="AO78" s="67" t="str">
        <f t="shared" si="13"/>
        <v>00</v>
      </c>
      <c r="AQ78" t="str">
        <f t="shared" si="8"/>
        <v/>
      </c>
    </row>
    <row r="79" spans="1:46">
      <c r="B79" s="136"/>
      <c r="C79" s="54">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0</v>
      </c>
      <c r="AG79" s="130">
        <f t="shared" si="15"/>
        <v>0</v>
      </c>
      <c r="AH79" s="130">
        <f t="shared" si="15"/>
        <v>0</v>
      </c>
      <c r="AI79" s="130">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6"/>
      <c r="C80" s="54">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0</v>
      </c>
      <c r="AG80" s="130">
        <f t="shared" si="15"/>
        <v>0</v>
      </c>
      <c r="AH80" s="130">
        <f t="shared" si="15"/>
        <v>0</v>
      </c>
      <c r="AI80" s="130">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6"/>
      <c r="C81" s="54">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0</v>
      </c>
      <c r="AG81" s="130">
        <f t="shared" si="15"/>
        <v>0</v>
      </c>
      <c r="AH81" s="130">
        <f t="shared" si="15"/>
        <v>0</v>
      </c>
      <c r="AI81" s="130">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6"/>
      <c r="C82" s="54">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0</v>
      </c>
      <c r="AG82" s="130">
        <f t="shared" si="15"/>
        <v>0</v>
      </c>
      <c r="AH82" s="130">
        <f t="shared" si="15"/>
        <v>0</v>
      </c>
      <c r="AI82" s="130">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6"/>
      <c r="C83" s="54">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0</v>
      </c>
      <c r="AG83" s="130">
        <f t="shared" si="15"/>
        <v>0</v>
      </c>
      <c r="AH83" s="130">
        <f t="shared" si="15"/>
        <v>0</v>
      </c>
      <c r="AI83" s="130">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6"/>
      <c r="C84" s="54">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0</v>
      </c>
      <c r="AG84" s="130">
        <f t="shared" si="15"/>
        <v>0</v>
      </c>
      <c r="AH84" s="130">
        <f t="shared" si="15"/>
        <v>0</v>
      </c>
      <c r="AI84" s="130">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6"/>
      <c r="C85" s="54">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0</v>
      </c>
      <c r="AG85" s="130">
        <f t="shared" si="15"/>
        <v>0</v>
      </c>
      <c r="AH85" s="130">
        <f t="shared" si="15"/>
        <v>0</v>
      </c>
      <c r="AI85" s="130">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6"/>
      <c r="C86" s="54">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0</v>
      </c>
      <c r="AG86" s="130">
        <f t="shared" si="15"/>
        <v>0</v>
      </c>
      <c r="AH86" s="130">
        <f t="shared" si="15"/>
        <v>0</v>
      </c>
      <c r="AI86" s="130">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6"/>
      <c r="C87" s="54">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0</v>
      </c>
      <c r="AF87" s="130">
        <f t="shared" si="17"/>
        <v>0</v>
      </c>
      <c r="AG87" s="130">
        <f t="shared" si="17"/>
        <v>0</v>
      </c>
      <c r="AH87" s="130">
        <f t="shared" si="17"/>
        <v>0</v>
      </c>
      <c r="AI87" s="130">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6"/>
      <c r="C88" s="54">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0</v>
      </c>
      <c r="AF88" s="130">
        <f t="shared" si="17"/>
        <v>0</v>
      </c>
      <c r="AG88" s="130">
        <f t="shared" si="17"/>
        <v>0</v>
      </c>
      <c r="AH88" s="130">
        <f t="shared" si="17"/>
        <v>0</v>
      </c>
      <c r="AI88" s="130">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6"/>
      <c r="C89" s="54">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0</v>
      </c>
      <c r="AF89" s="130">
        <f t="shared" si="17"/>
        <v>0</v>
      </c>
      <c r="AG89" s="130">
        <f t="shared" si="17"/>
        <v>0</v>
      </c>
      <c r="AH89" s="130">
        <f t="shared" si="17"/>
        <v>0</v>
      </c>
      <c r="AI89" s="130">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6"/>
      <c r="C90" s="54">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0</v>
      </c>
      <c r="AF90" s="130">
        <f t="shared" si="17"/>
        <v>0</v>
      </c>
      <c r="AG90" s="130">
        <f t="shared" si="17"/>
        <v>0</v>
      </c>
      <c r="AH90" s="130">
        <f t="shared" si="17"/>
        <v>0</v>
      </c>
      <c r="AI90" s="130">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6"/>
      <c r="C91" s="54">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0</v>
      </c>
      <c r="AF91" s="130">
        <f t="shared" si="17"/>
        <v>0</v>
      </c>
      <c r="AG91" s="130">
        <f t="shared" si="17"/>
        <v>0</v>
      </c>
      <c r="AH91" s="130">
        <f t="shared" si="17"/>
        <v>0</v>
      </c>
      <c r="AI91" s="130">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6"/>
      <c r="C92" s="54">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0</v>
      </c>
      <c r="AF92" s="130">
        <f t="shared" si="17"/>
        <v>0</v>
      </c>
      <c r="AG92" s="130">
        <f t="shared" si="17"/>
        <v>0</v>
      </c>
      <c r="AH92" s="130">
        <f t="shared" si="17"/>
        <v>0</v>
      </c>
      <c r="AI92" s="130">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6"/>
      <c r="C93" s="54">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0</v>
      </c>
      <c r="AF93" s="130">
        <f t="shared" si="17"/>
        <v>0</v>
      </c>
      <c r="AG93" s="130">
        <f t="shared" si="17"/>
        <v>0</v>
      </c>
      <c r="AH93" s="130">
        <f t="shared" si="17"/>
        <v>0</v>
      </c>
      <c r="AI93" s="130">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6"/>
      <c r="C94" s="54">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0</v>
      </c>
      <c r="AF94" s="130">
        <f t="shared" si="17"/>
        <v>0</v>
      </c>
      <c r="AG94" s="130">
        <f t="shared" si="17"/>
        <v>0</v>
      </c>
      <c r="AH94" s="130">
        <f t="shared" si="17"/>
        <v>0</v>
      </c>
      <c r="AI94" s="130">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6"/>
      <c r="C95" s="54">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0</v>
      </c>
      <c r="AF95" s="130">
        <f t="shared" si="19"/>
        <v>0</v>
      </c>
      <c r="AG95" s="130">
        <f t="shared" si="19"/>
        <v>0</v>
      </c>
      <c r="AH95" s="130">
        <f t="shared" si="19"/>
        <v>0</v>
      </c>
      <c r="AI95" s="130">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6"/>
      <c r="C96" s="54">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0</v>
      </c>
      <c r="AF96" s="130">
        <f t="shared" si="19"/>
        <v>0</v>
      </c>
      <c r="AG96" s="130">
        <f t="shared" si="19"/>
        <v>0</v>
      </c>
      <c r="AH96" s="130">
        <f t="shared" si="19"/>
        <v>0</v>
      </c>
      <c r="AI96" s="130">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6"/>
      <c r="C97" s="54">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0</v>
      </c>
      <c r="AF97" s="130">
        <f t="shared" si="19"/>
        <v>0</v>
      </c>
      <c r="AG97" s="130">
        <f t="shared" si="19"/>
        <v>0</v>
      </c>
      <c r="AH97" s="130">
        <f t="shared" si="19"/>
        <v>0</v>
      </c>
      <c r="AI97" s="130">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6"/>
      <c r="C98" s="54">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0</v>
      </c>
      <c r="AF98" s="130">
        <f t="shared" si="19"/>
        <v>0</v>
      </c>
      <c r="AG98" s="130">
        <f t="shared" si="19"/>
        <v>0</v>
      </c>
      <c r="AH98" s="130">
        <f t="shared" si="19"/>
        <v>0</v>
      </c>
      <c r="AI98" s="130">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6"/>
      <c r="C99" s="54">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0</v>
      </c>
      <c r="AF99" s="130">
        <f t="shared" si="19"/>
        <v>0</v>
      </c>
      <c r="AG99" s="130">
        <f t="shared" si="19"/>
        <v>0</v>
      </c>
      <c r="AH99" s="130">
        <f t="shared" si="19"/>
        <v>0</v>
      </c>
      <c r="AI99" s="130">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6"/>
      <c r="C100" s="54">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0</v>
      </c>
      <c r="AF100" s="130">
        <f t="shared" si="19"/>
        <v>0</v>
      </c>
      <c r="AG100" s="130">
        <f t="shared" si="19"/>
        <v>0</v>
      </c>
      <c r="AH100" s="130">
        <f t="shared" si="19"/>
        <v>0</v>
      </c>
      <c r="AI100" s="130">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6"/>
      <c r="C101" s="54">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0</v>
      </c>
      <c r="AF101" s="130">
        <f t="shared" si="19"/>
        <v>0</v>
      </c>
      <c r="AG101" s="130">
        <f t="shared" si="19"/>
        <v>0</v>
      </c>
      <c r="AH101" s="130">
        <f t="shared" si="19"/>
        <v>0</v>
      </c>
      <c r="AI101" s="130">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6"/>
      <c r="C102" s="54">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0</v>
      </c>
      <c r="AF102" s="130">
        <f t="shared" si="19"/>
        <v>0</v>
      </c>
      <c r="AG102" s="130">
        <f t="shared" si="19"/>
        <v>0</v>
      </c>
      <c r="AH102" s="130">
        <f t="shared" si="19"/>
        <v>0</v>
      </c>
      <c r="AI102" s="130">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6"/>
      <c r="C103" s="54">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0</v>
      </c>
      <c r="AE103" s="130">
        <f t="shared" si="21"/>
        <v>0</v>
      </c>
      <c r="AF103" s="130">
        <f t="shared" si="21"/>
        <v>0</v>
      </c>
      <c r="AG103" s="130">
        <f t="shared" si="21"/>
        <v>0</v>
      </c>
      <c r="AH103" s="130">
        <f t="shared" si="21"/>
        <v>0</v>
      </c>
      <c r="AI103" s="130">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6"/>
      <c r="C104" s="54">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0</v>
      </c>
      <c r="AE104" s="130">
        <f t="shared" si="21"/>
        <v>0</v>
      </c>
      <c r="AF104" s="130">
        <f t="shared" si="21"/>
        <v>0</v>
      </c>
      <c r="AG104" s="130">
        <f t="shared" si="21"/>
        <v>0</v>
      </c>
      <c r="AH104" s="130">
        <f t="shared" si="21"/>
        <v>0</v>
      </c>
      <c r="AI104" s="130">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6"/>
      <c r="C105" s="54">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0</v>
      </c>
      <c r="AE105" s="130">
        <f t="shared" si="21"/>
        <v>0</v>
      </c>
      <c r="AF105" s="130">
        <f t="shared" si="21"/>
        <v>0</v>
      </c>
      <c r="AG105" s="130">
        <f t="shared" si="21"/>
        <v>0</v>
      </c>
      <c r="AH105" s="130">
        <f t="shared" si="21"/>
        <v>0</v>
      </c>
      <c r="AI105" s="130">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6"/>
      <c r="C106" s="54">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0</v>
      </c>
      <c r="AE106" s="130">
        <f t="shared" si="21"/>
        <v>0</v>
      </c>
      <c r="AF106" s="130">
        <f t="shared" si="21"/>
        <v>0</v>
      </c>
      <c r="AG106" s="130">
        <f t="shared" si="21"/>
        <v>0</v>
      </c>
      <c r="AH106" s="130">
        <f t="shared" si="21"/>
        <v>0</v>
      </c>
      <c r="AI106" s="130">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6"/>
      <c r="C107" s="54">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0</v>
      </c>
      <c r="AE107" s="130">
        <f t="shared" si="21"/>
        <v>0</v>
      </c>
      <c r="AF107" s="130">
        <f t="shared" si="21"/>
        <v>0</v>
      </c>
      <c r="AG107" s="130">
        <f t="shared" si="21"/>
        <v>0</v>
      </c>
      <c r="AH107" s="130">
        <f t="shared" si="21"/>
        <v>0</v>
      </c>
      <c r="AI107" s="130">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6"/>
      <c r="C108" s="54">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0</v>
      </c>
      <c r="AE108" s="130">
        <f t="shared" si="21"/>
        <v>0</v>
      </c>
      <c r="AF108" s="130">
        <f t="shared" si="21"/>
        <v>0</v>
      </c>
      <c r="AG108" s="130">
        <f t="shared" si="21"/>
        <v>0</v>
      </c>
      <c r="AH108" s="130">
        <f t="shared" si="21"/>
        <v>0</v>
      </c>
      <c r="AI108" s="130">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6"/>
      <c r="C109" s="54">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0</v>
      </c>
      <c r="AE109" s="130">
        <f t="shared" si="21"/>
        <v>0</v>
      </c>
      <c r="AF109" s="130">
        <f t="shared" si="21"/>
        <v>0</v>
      </c>
      <c r="AG109" s="130">
        <f t="shared" si="21"/>
        <v>0</v>
      </c>
      <c r="AH109" s="130">
        <f t="shared" si="21"/>
        <v>0</v>
      </c>
      <c r="AI109" s="130">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6"/>
      <c r="C110" s="54">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0</v>
      </c>
      <c r="AE110" s="130">
        <f t="shared" si="21"/>
        <v>0</v>
      </c>
      <c r="AF110" s="130">
        <f t="shared" si="21"/>
        <v>0</v>
      </c>
      <c r="AG110" s="130">
        <f t="shared" si="21"/>
        <v>0</v>
      </c>
      <c r="AH110" s="130">
        <f t="shared" si="21"/>
        <v>0</v>
      </c>
      <c r="AI110" s="130">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6"/>
      <c r="C111" s="54">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0</v>
      </c>
      <c r="AE111" s="130">
        <f t="shared" si="23"/>
        <v>0</v>
      </c>
      <c r="AF111" s="130">
        <f t="shared" si="23"/>
        <v>0</v>
      </c>
      <c r="AG111" s="130">
        <f t="shared" si="23"/>
        <v>0</v>
      </c>
      <c r="AH111" s="130">
        <f t="shared" si="23"/>
        <v>0</v>
      </c>
      <c r="AI111" s="130">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6"/>
      <c r="C112" s="54">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0</v>
      </c>
      <c r="AE112" s="130">
        <f t="shared" si="23"/>
        <v>0</v>
      </c>
      <c r="AF112" s="130">
        <f t="shared" si="23"/>
        <v>0</v>
      </c>
      <c r="AG112" s="130">
        <f t="shared" si="23"/>
        <v>0</v>
      </c>
      <c r="AH112" s="130">
        <f t="shared" si="23"/>
        <v>0</v>
      </c>
      <c r="AI112" s="130">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6"/>
      <c r="C113" s="54">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0</v>
      </c>
      <c r="AE113" s="130">
        <f t="shared" si="23"/>
        <v>0</v>
      </c>
      <c r="AF113" s="130">
        <f t="shared" si="23"/>
        <v>0</v>
      </c>
      <c r="AG113" s="130">
        <f t="shared" si="23"/>
        <v>0</v>
      </c>
      <c r="AH113" s="130">
        <f t="shared" si="23"/>
        <v>0</v>
      </c>
      <c r="AI113" s="130">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6"/>
      <c r="C114" s="54">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0</v>
      </c>
      <c r="AE114" s="130">
        <f t="shared" si="23"/>
        <v>0</v>
      </c>
      <c r="AF114" s="130">
        <f t="shared" si="23"/>
        <v>0</v>
      </c>
      <c r="AG114" s="130">
        <f t="shared" si="23"/>
        <v>0</v>
      </c>
      <c r="AH114" s="130">
        <f t="shared" si="23"/>
        <v>0</v>
      </c>
      <c r="AI114" s="130">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6"/>
      <c r="C115" s="54">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0</v>
      </c>
      <c r="AE115" s="130">
        <f t="shared" si="23"/>
        <v>0</v>
      </c>
      <c r="AF115" s="130">
        <f t="shared" si="23"/>
        <v>0</v>
      </c>
      <c r="AG115" s="130">
        <f t="shared" si="23"/>
        <v>0</v>
      </c>
      <c r="AH115" s="130">
        <f t="shared" si="23"/>
        <v>0</v>
      </c>
      <c r="AI115" s="130">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6"/>
      <c r="C116" s="54">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0</v>
      </c>
      <c r="AE116" s="130">
        <f t="shared" si="23"/>
        <v>0</v>
      </c>
      <c r="AF116" s="130">
        <f t="shared" si="23"/>
        <v>0</v>
      </c>
      <c r="AG116" s="130">
        <f t="shared" si="23"/>
        <v>0</v>
      </c>
      <c r="AH116" s="130">
        <f t="shared" si="23"/>
        <v>0</v>
      </c>
      <c r="AI116" s="130">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6"/>
      <c r="C117" s="54">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0</v>
      </c>
      <c r="AE117" s="130">
        <f t="shared" si="23"/>
        <v>0</v>
      </c>
      <c r="AF117" s="130">
        <f t="shared" si="23"/>
        <v>0</v>
      </c>
      <c r="AG117" s="130">
        <f t="shared" si="23"/>
        <v>0</v>
      </c>
      <c r="AH117" s="130">
        <f t="shared" si="23"/>
        <v>0</v>
      </c>
      <c r="AI117" s="130">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6"/>
      <c r="C118" s="54">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0</v>
      </c>
      <c r="AE118" s="130">
        <f t="shared" si="23"/>
        <v>0</v>
      </c>
      <c r="AF118" s="130">
        <f t="shared" si="23"/>
        <v>0</v>
      </c>
      <c r="AG118" s="130">
        <f t="shared" si="23"/>
        <v>0</v>
      </c>
      <c r="AH118" s="130">
        <f t="shared" si="23"/>
        <v>0</v>
      </c>
      <c r="AI118" s="130">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6"/>
      <c r="C119" s="54">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0</v>
      </c>
      <c r="AE119" s="130">
        <f t="shared" si="25"/>
        <v>0</v>
      </c>
      <c r="AF119" s="130">
        <f t="shared" si="25"/>
        <v>0</v>
      </c>
      <c r="AG119" s="130">
        <f t="shared" si="25"/>
        <v>0</v>
      </c>
      <c r="AH119" s="130">
        <f t="shared" si="25"/>
        <v>0</v>
      </c>
      <c r="AI119" s="130">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6"/>
      <c r="C120" s="54">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0</v>
      </c>
      <c r="AE120" s="130">
        <f t="shared" si="25"/>
        <v>0</v>
      </c>
      <c r="AF120" s="130">
        <f t="shared" si="25"/>
        <v>0</v>
      </c>
      <c r="AG120" s="130">
        <f t="shared" si="25"/>
        <v>0</v>
      </c>
      <c r="AH120" s="130">
        <f t="shared" si="25"/>
        <v>0</v>
      </c>
      <c r="AI120" s="130">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6"/>
      <c r="C121" s="54">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0</v>
      </c>
      <c r="AE121" s="130">
        <f t="shared" si="25"/>
        <v>0</v>
      </c>
      <c r="AF121" s="130">
        <f t="shared" si="25"/>
        <v>0</v>
      </c>
      <c r="AG121" s="130">
        <f t="shared" si="25"/>
        <v>0</v>
      </c>
      <c r="AH121" s="130">
        <f t="shared" si="25"/>
        <v>0</v>
      </c>
      <c r="AI121" s="130">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6"/>
      <c r="C122" s="54">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0</v>
      </c>
      <c r="AE122" s="130">
        <f t="shared" si="25"/>
        <v>0</v>
      </c>
      <c r="AF122" s="130">
        <f t="shared" si="25"/>
        <v>0</v>
      </c>
      <c r="AG122" s="130">
        <f t="shared" si="25"/>
        <v>0</v>
      </c>
      <c r="AH122" s="130">
        <f t="shared" si="25"/>
        <v>0</v>
      </c>
      <c r="AI122" s="130">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6"/>
      <c r="C123" s="54">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0</v>
      </c>
      <c r="AE123" s="130">
        <f t="shared" si="25"/>
        <v>0</v>
      </c>
      <c r="AF123" s="130">
        <f t="shared" si="25"/>
        <v>0</v>
      </c>
      <c r="AG123" s="130">
        <f t="shared" si="25"/>
        <v>0</v>
      </c>
      <c r="AH123" s="130">
        <f t="shared" si="25"/>
        <v>0</v>
      </c>
      <c r="AI123" s="130">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6"/>
      <c r="C124" s="54">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0</v>
      </c>
      <c r="AE124" s="130">
        <f t="shared" si="25"/>
        <v>0</v>
      </c>
      <c r="AF124" s="130">
        <f t="shared" si="25"/>
        <v>0</v>
      </c>
      <c r="AG124" s="130">
        <f t="shared" si="25"/>
        <v>0</v>
      </c>
      <c r="AH124" s="130">
        <f t="shared" si="25"/>
        <v>0</v>
      </c>
      <c r="AI124" s="130">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6"/>
      <c r="C125" s="54">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0</v>
      </c>
      <c r="AE125" s="130">
        <f t="shared" si="25"/>
        <v>0</v>
      </c>
      <c r="AF125" s="130">
        <f t="shared" si="25"/>
        <v>0</v>
      </c>
      <c r="AG125" s="130">
        <f t="shared" si="25"/>
        <v>0</v>
      </c>
      <c r="AH125" s="130">
        <f t="shared" si="25"/>
        <v>0</v>
      </c>
      <c r="AI125" s="130">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6"/>
      <c r="C126" s="54">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0</v>
      </c>
      <c r="AE126" s="130">
        <f t="shared" si="25"/>
        <v>0</v>
      </c>
      <c r="AF126" s="130">
        <f t="shared" si="25"/>
        <v>0</v>
      </c>
      <c r="AG126" s="130">
        <f t="shared" si="25"/>
        <v>0</v>
      </c>
      <c r="AH126" s="130">
        <f t="shared" si="25"/>
        <v>0</v>
      </c>
      <c r="AI126" s="130">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6"/>
      <c r="C127" s="54">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0</v>
      </c>
      <c r="AE127" s="130">
        <f t="shared" si="27"/>
        <v>0</v>
      </c>
      <c r="AF127" s="130">
        <f t="shared" si="27"/>
        <v>0</v>
      </c>
      <c r="AG127" s="130">
        <f t="shared" si="27"/>
        <v>0</v>
      </c>
      <c r="AH127" s="130">
        <f t="shared" si="27"/>
        <v>0</v>
      </c>
      <c r="AI127" s="130">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6"/>
      <c r="C128" s="54">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0</v>
      </c>
      <c r="AE128" s="130">
        <f t="shared" si="27"/>
        <v>0</v>
      </c>
      <c r="AF128" s="130">
        <f t="shared" si="27"/>
        <v>0</v>
      </c>
      <c r="AG128" s="130">
        <f t="shared" si="27"/>
        <v>0</v>
      </c>
      <c r="AH128" s="130">
        <f t="shared" si="27"/>
        <v>0</v>
      </c>
      <c r="AI128" s="130">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6"/>
      <c r="C129" s="54">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0</v>
      </c>
      <c r="AE129" s="130">
        <f t="shared" si="27"/>
        <v>0</v>
      </c>
      <c r="AF129" s="130">
        <f t="shared" si="27"/>
        <v>0</v>
      </c>
      <c r="AG129" s="130">
        <f t="shared" si="27"/>
        <v>0</v>
      </c>
      <c r="AH129" s="130">
        <f t="shared" si="27"/>
        <v>0</v>
      </c>
      <c r="AI129" s="130">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6"/>
      <c r="C130" s="54">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0</v>
      </c>
      <c r="AE130" s="130">
        <f t="shared" si="27"/>
        <v>0</v>
      </c>
      <c r="AF130" s="130">
        <f t="shared" si="27"/>
        <v>0</v>
      </c>
      <c r="AG130" s="130">
        <f t="shared" si="27"/>
        <v>0</v>
      </c>
      <c r="AH130" s="130">
        <f t="shared" si="27"/>
        <v>0</v>
      </c>
      <c r="AI130" s="130">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6"/>
      <c r="C131" s="54">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0</v>
      </c>
      <c r="AE131" s="130">
        <f t="shared" si="27"/>
        <v>0</v>
      </c>
      <c r="AF131" s="130">
        <f t="shared" si="27"/>
        <v>0</v>
      </c>
      <c r="AG131" s="130">
        <f t="shared" si="27"/>
        <v>0</v>
      </c>
      <c r="AH131" s="130">
        <f t="shared" si="27"/>
        <v>0</v>
      </c>
      <c r="AI131" s="130">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6"/>
      <c r="C132" s="54">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0</v>
      </c>
      <c r="AE132" s="130">
        <f t="shared" si="27"/>
        <v>0</v>
      </c>
      <c r="AF132" s="130">
        <f t="shared" si="27"/>
        <v>0</v>
      </c>
      <c r="AG132" s="130">
        <f t="shared" si="27"/>
        <v>0</v>
      </c>
      <c r="AH132" s="130">
        <f t="shared" si="27"/>
        <v>0</v>
      </c>
      <c r="AI132" s="130">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6"/>
      <c r="C133" s="54">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0</v>
      </c>
      <c r="AE133" s="130">
        <f t="shared" si="27"/>
        <v>0</v>
      </c>
      <c r="AF133" s="130">
        <f t="shared" si="27"/>
        <v>0</v>
      </c>
      <c r="AG133" s="130">
        <f t="shared" si="27"/>
        <v>0</v>
      </c>
      <c r="AH133" s="130">
        <f t="shared" si="27"/>
        <v>0</v>
      </c>
      <c r="AI133" s="130">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7"/>
      <c r="C134" s="54">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0</v>
      </c>
      <c r="AE134" s="130">
        <f t="shared" si="27"/>
        <v>0</v>
      </c>
      <c r="AF134" s="130">
        <f t="shared" si="27"/>
        <v>0</v>
      </c>
      <c r="AG134" s="130">
        <f t="shared" si="27"/>
        <v>0</v>
      </c>
      <c r="AH134" s="130">
        <f t="shared" si="27"/>
        <v>0</v>
      </c>
      <c r="AI134" s="130">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38" t="str">
        <f ca="1">IF(B6&lt;&gt;"",B6,"")</f>
        <v>Table BC_RQ</v>
      </c>
      <c r="C136" s="54">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0</v>
      </c>
      <c r="AE136" s="130">
        <f t="shared" si="29"/>
        <v>0</v>
      </c>
      <c r="AF136" s="130">
        <f t="shared" si="29"/>
        <v>0</v>
      </c>
      <c r="AG136" s="130">
        <f t="shared" si="29"/>
        <v>0</v>
      </c>
      <c r="AH136" s="130">
        <f t="shared" si="29"/>
        <v>1</v>
      </c>
      <c r="AI136" s="130">
        <f t="shared" si="29"/>
        <v>1</v>
      </c>
      <c r="AJ136" s="54" t="str">
        <f t="shared" ref="AJ136:AJ199" si="30">IF(AJ6&lt;&gt;"",AJ6,"")</f>
        <v>UNKNOWN</v>
      </c>
      <c r="AK136" s="67"/>
      <c r="AL136" s="67" t="str">
        <f>BIN2HEX(AB136&amp;AC136&amp;AD136&amp;AE136&amp;AF136&amp;AG136&amp;AH136&amp;AI136,2)</f>
        <v>03</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6"/>
      <c r="C137" s="54">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0</v>
      </c>
      <c r="AE137" s="130">
        <f t="shared" si="29"/>
        <v>0</v>
      </c>
      <c r="AF137" s="130">
        <f t="shared" si="29"/>
        <v>0</v>
      </c>
      <c r="AG137" s="130">
        <f t="shared" si="29"/>
        <v>0</v>
      </c>
      <c r="AH137" s="130">
        <f t="shared" si="29"/>
        <v>1</v>
      </c>
      <c r="AI137" s="130">
        <f t="shared" si="29"/>
        <v>1</v>
      </c>
      <c r="AJ137" s="54" t="str">
        <f t="shared" si="30"/>
        <v>SINGLE</v>
      </c>
      <c r="AK137" s="67"/>
      <c r="AL137" s="67" t="str">
        <f t="shared" ref="AL137:AL199" si="33">BIN2HEX(AB137&amp;AC137&amp;AD137&amp;AE137&amp;AF137&amp;AG137&amp;AH137&amp;AI137,2)</f>
        <v>03</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(U4)0x00000003U,                                                           /* 01 SINGLE                                          */</v>
      </c>
    </row>
    <row r="138" spans="1:43">
      <c r="B138" s="136"/>
      <c r="C138" s="54">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0</v>
      </c>
      <c r="AE138" s="130">
        <f t="shared" si="29"/>
        <v>0</v>
      </c>
      <c r="AF138" s="130">
        <f t="shared" si="29"/>
        <v>0</v>
      </c>
      <c r="AG138" s="130">
        <f t="shared" si="29"/>
        <v>0</v>
      </c>
      <c r="AH138" s="130">
        <f t="shared" si="29"/>
        <v>1</v>
      </c>
      <c r="AI138" s="130">
        <f t="shared" si="29"/>
        <v>1</v>
      </c>
      <c r="AJ138" s="54" t="str">
        <f t="shared" si="30"/>
        <v>UNKNOWN</v>
      </c>
      <c r="AK138" s="67"/>
      <c r="AL138" s="67" t="str">
        <f t="shared" si="33"/>
        <v>03</v>
      </c>
      <c r="AM138" s="67" t="str">
        <f t="shared" si="34"/>
        <v>00</v>
      </c>
      <c r="AN138" s="67" t="str">
        <f t="shared" si="35"/>
        <v>00</v>
      </c>
      <c r="AO138" s="67" t="str">
        <f t="shared" si="36"/>
        <v>00</v>
      </c>
      <c r="AQ138" t="str">
        <f t="shared" si="31"/>
        <v xml:space="preserve">    (U4)0x00000003U,                                                           /* 02 UNKNOWN                                         */</v>
      </c>
    </row>
    <row r="139" spans="1:43">
      <c r="B139" s="136"/>
      <c r="C139" s="54">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0</v>
      </c>
      <c r="AE139" s="130">
        <f t="shared" si="29"/>
        <v>0</v>
      </c>
      <c r="AF139" s="130">
        <f t="shared" si="29"/>
        <v>0</v>
      </c>
      <c r="AG139" s="130">
        <f t="shared" si="29"/>
        <v>0</v>
      </c>
      <c r="AH139" s="130">
        <f t="shared" si="29"/>
        <v>1</v>
      </c>
      <c r="AI139" s="130">
        <f t="shared" si="29"/>
        <v>1</v>
      </c>
      <c r="AJ139" s="54" t="str">
        <f t="shared" si="30"/>
        <v>UNKNOWN</v>
      </c>
      <c r="AK139" s="67"/>
      <c r="AL139" s="67" t="str">
        <f t="shared" si="33"/>
        <v>03</v>
      </c>
      <c r="AM139" s="67" t="str">
        <f t="shared" si="34"/>
        <v>00</v>
      </c>
      <c r="AN139" s="67" t="str">
        <f t="shared" si="35"/>
        <v>00</v>
      </c>
      <c r="AO139" s="67" t="str">
        <f t="shared" si="36"/>
        <v>00</v>
      </c>
      <c r="AQ139" t="str">
        <f t="shared" si="31"/>
        <v xml:space="preserve">    (U4)0x00000003U                                                            /* 03 UNKNOWN                                         */</v>
      </c>
    </row>
    <row r="140" spans="1:43">
      <c r="B140" s="136"/>
      <c r="C140" s="54">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0</v>
      </c>
      <c r="AE140" s="130">
        <f t="shared" si="29"/>
        <v>0</v>
      </c>
      <c r="AF140" s="130">
        <f t="shared" si="29"/>
        <v>0</v>
      </c>
      <c r="AG140" s="130">
        <f t="shared" si="29"/>
        <v>0</v>
      </c>
      <c r="AH140" s="130">
        <f t="shared" si="29"/>
        <v>0</v>
      </c>
      <c r="AI140" s="130">
        <f t="shared" si="29"/>
        <v>0</v>
      </c>
      <c r="AJ140" s="54" t="str">
        <f t="shared" si="30"/>
        <v/>
      </c>
      <c r="AK140" s="67"/>
      <c r="AL140" s="67" t="str">
        <f t="shared" si="33"/>
        <v>00</v>
      </c>
      <c r="AM140" s="67" t="str">
        <f t="shared" si="34"/>
        <v>00</v>
      </c>
      <c r="AN140" s="67" t="str">
        <f t="shared" si="35"/>
        <v>00</v>
      </c>
      <c r="AO140" s="67" t="str">
        <f t="shared" si="36"/>
        <v>00</v>
      </c>
      <c r="AQ140" t="str">
        <f t="shared" si="31"/>
        <v/>
      </c>
    </row>
    <row r="141" spans="1:43">
      <c r="B141" s="136"/>
      <c r="C141" s="54">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0</v>
      </c>
      <c r="AE141" s="130">
        <f t="shared" si="29"/>
        <v>0</v>
      </c>
      <c r="AF141" s="130">
        <f t="shared" si="29"/>
        <v>0</v>
      </c>
      <c r="AG141" s="130">
        <f t="shared" si="29"/>
        <v>0</v>
      </c>
      <c r="AH141" s="130">
        <f t="shared" si="29"/>
        <v>0</v>
      </c>
      <c r="AI141" s="130">
        <f t="shared" si="29"/>
        <v>0</v>
      </c>
      <c r="AJ141" s="54" t="str">
        <f t="shared" si="30"/>
        <v/>
      </c>
      <c r="AK141" s="67"/>
      <c r="AL141" s="67" t="str">
        <f t="shared" si="33"/>
        <v>00</v>
      </c>
      <c r="AM141" s="67" t="str">
        <f t="shared" si="34"/>
        <v>00</v>
      </c>
      <c r="AN141" s="67" t="str">
        <f t="shared" si="35"/>
        <v>00</v>
      </c>
      <c r="AO141" s="67" t="str">
        <f t="shared" si="36"/>
        <v>00</v>
      </c>
      <c r="AQ141" t="str">
        <f t="shared" si="31"/>
        <v/>
      </c>
    </row>
    <row r="142" spans="1:43">
      <c r="B142" s="136"/>
      <c r="C142" s="54">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0</v>
      </c>
      <c r="AE142" s="130">
        <f t="shared" si="29"/>
        <v>0</v>
      </c>
      <c r="AF142" s="130">
        <f t="shared" si="29"/>
        <v>0</v>
      </c>
      <c r="AG142" s="130">
        <f t="shared" si="29"/>
        <v>0</v>
      </c>
      <c r="AH142" s="130">
        <f t="shared" si="29"/>
        <v>0</v>
      </c>
      <c r="AI142" s="130">
        <f t="shared" si="29"/>
        <v>0</v>
      </c>
      <c r="AJ142" s="54" t="str">
        <f t="shared" si="30"/>
        <v/>
      </c>
      <c r="AK142" s="67"/>
      <c r="AL142" s="67" t="str">
        <f t="shared" si="33"/>
        <v>00</v>
      </c>
      <c r="AM142" s="67" t="str">
        <f t="shared" si="34"/>
        <v>00</v>
      </c>
      <c r="AN142" s="67" t="str">
        <f t="shared" si="35"/>
        <v>00</v>
      </c>
      <c r="AO142" s="67" t="str">
        <f t="shared" si="36"/>
        <v>00</v>
      </c>
      <c r="AQ142" t="str">
        <f t="shared" si="31"/>
        <v/>
      </c>
    </row>
    <row r="143" spans="1:43">
      <c r="B143" s="136"/>
      <c r="C143" s="54">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0</v>
      </c>
      <c r="AE143" s="130">
        <f t="shared" si="29"/>
        <v>0</v>
      </c>
      <c r="AF143" s="130">
        <f t="shared" si="29"/>
        <v>0</v>
      </c>
      <c r="AG143" s="130">
        <f t="shared" si="29"/>
        <v>0</v>
      </c>
      <c r="AH143" s="130">
        <f t="shared" si="29"/>
        <v>0</v>
      </c>
      <c r="AI143" s="130">
        <f t="shared" ref="AI143" si="37">IF(OR(AI13=0,AI13=1),1,0)</f>
        <v>0</v>
      </c>
      <c r="AJ143" s="54" t="str">
        <f t="shared" si="30"/>
        <v/>
      </c>
      <c r="AK143" s="67"/>
      <c r="AL143" s="67" t="str">
        <f t="shared" si="33"/>
        <v>00</v>
      </c>
      <c r="AM143" s="67" t="str">
        <f t="shared" si="34"/>
        <v>00</v>
      </c>
      <c r="AN143" s="67" t="str">
        <f t="shared" si="35"/>
        <v>00</v>
      </c>
      <c r="AO143" s="67" t="str">
        <f t="shared" si="36"/>
        <v>00</v>
      </c>
      <c r="AQ143" t="str">
        <f t="shared" si="31"/>
        <v/>
      </c>
    </row>
    <row r="144" spans="1:43">
      <c r="B144" s="136"/>
      <c r="C144" s="54">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0</v>
      </c>
      <c r="AE144" s="130">
        <f t="shared" si="38"/>
        <v>0</v>
      </c>
      <c r="AF144" s="130">
        <f t="shared" si="38"/>
        <v>0</v>
      </c>
      <c r="AG144" s="130">
        <f t="shared" si="38"/>
        <v>0</v>
      </c>
      <c r="AH144" s="130">
        <f t="shared" si="38"/>
        <v>0</v>
      </c>
      <c r="AI144" s="130">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6"/>
      <c r="C145" s="54">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0</v>
      </c>
      <c r="AE145" s="130">
        <f t="shared" si="38"/>
        <v>0</v>
      </c>
      <c r="AF145" s="130">
        <f t="shared" si="38"/>
        <v>0</v>
      </c>
      <c r="AG145" s="130">
        <f t="shared" si="38"/>
        <v>0</v>
      </c>
      <c r="AH145" s="130">
        <f t="shared" si="38"/>
        <v>0</v>
      </c>
      <c r="AI145" s="130">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6"/>
      <c r="C146" s="54">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0</v>
      </c>
      <c r="AE146" s="130">
        <f t="shared" si="38"/>
        <v>0</v>
      </c>
      <c r="AF146" s="130">
        <f t="shared" si="38"/>
        <v>0</v>
      </c>
      <c r="AG146" s="130">
        <f t="shared" si="38"/>
        <v>0</v>
      </c>
      <c r="AH146" s="130">
        <f t="shared" si="38"/>
        <v>0</v>
      </c>
      <c r="AI146" s="130">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6"/>
      <c r="C147" s="54">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0</v>
      </c>
      <c r="AE147" s="130">
        <f t="shared" si="38"/>
        <v>0</v>
      </c>
      <c r="AF147" s="130">
        <f t="shared" si="38"/>
        <v>0</v>
      </c>
      <c r="AG147" s="130">
        <f t="shared" si="38"/>
        <v>0</v>
      </c>
      <c r="AH147" s="130">
        <f t="shared" si="38"/>
        <v>0</v>
      </c>
      <c r="AI147" s="130">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6"/>
      <c r="C148" s="54">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0</v>
      </c>
      <c r="AE148" s="130">
        <f t="shared" si="38"/>
        <v>0</v>
      </c>
      <c r="AF148" s="130">
        <f t="shared" si="38"/>
        <v>0</v>
      </c>
      <c r="AG148" s="130">
        <f t="shared" si="38"/>
        <v>0</v>
      </c>
      <c r="AH148" s="130">
        <f t="shared" si="38"/>
        <v>0</v>
      </c>
      <c r="AI148" s="130">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6"/>
      <c r="C149" s="54">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0</v>
      </c>
      <c r="AE149" s="130">
        <f t="shared" si="38"/>
        <v>0</v>
      </c>
      <c r="AF149" s="130">
        <f t="shared" si="38"/>
        <v>0</v>
      </c>
      <c r="AG149" s="130">
        <f t="shared" si="38"/>
        <v>0</v>
      </c>
      <c r="AH149" s="130">
        <f t="shared" si="38"/>
        <v>0</v>
      </c>
      <c r="AI149" s="130">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6"/>
      <c r="C150" s="54">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0</v>
      </c>
      <c r="AE150" s="130">
        <f t="shared" si="38"/>
        <v>0</v>
      </c>
      <c r="AF150" s="130">
        <f t="shared" si="38"/>
        <v>0</v>
      </c>
      <c r="AG150" s="130">
        <f t="shared" si="38"/>
        <v>0</v>
      </c>
      <c r="AH150" s="130">
        <f t="shared" si="38"/>
        <v>0</v>
      </c>
      <c r="AI150" s="130">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6"/>
      <c r="C151" s="54">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0</v>
      </c>
      <c r="AE151" s="130">
        <f t="shared" si="38"/>
        <v>0</v>
      </c>
      <c r="AF151" s="130">
        <f t="shared" si="38"/>
        <v>0</v>
      </c>
      <c r="AG151" s="130">
        <f t="shared" si="38"/>
        <v>0</v>
      </c>
      <c r="AH151" s="130">
        <f t="shared" si="38"/>
        <v>0</v>
      </c>
      <c r="AI151" s="130">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6"/>
      <c r="C152" s="54">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0</v>
      </c>
      <c r="AE152" s="130">
        <f t="shared" si="40"/>
        <v>0</v>
      </c>
      <c r="AF152" s="130">
        <f t="shared" si="40"/>
        <v>0</v>
      </c>
      <c r="AG152" s="130">
        <f t="shared" si="40"/>
        <v>0</v>
      </c>
      <c r="AH152" s="130">
        <f t="shared" si="40"/>
        <v>0</v>
      </c>
      <c r="AI152" s="130">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6"/>
      <c r="C153" s="54">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0</v>
      </c>
      <c r="AE153" s="130">
        <f t="shared" si="40"/>
        <v>0</v>
      </c>
      <c r="AF153" s="130">
        <f t="shared" si="40"/>
        <v>0</v>
      </c>
      <c r="AG153" s="130">
        <f t="shared" si="40"/>
        <v>0</v>
      </c>
      <c r="AH153" s="130">
        <f t="shared" si="40"/>
        <v>0</v>
      </c>
      <c r="AI153" s="130">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6"/>
      <c r="C154" s="54">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0</v>
      </c>
      <c r="AE154" s="130">
        <f t="shared" si="40"/>
        <v>0</v>
      </c>
      <c r="AF154" s="130">
        <f t="shared" si="40"/>
        <v>0</v>
      </c>
      <c r="AG154" s="130">
        <f t="shared" si="40"/>
        <v>0</v>
      </c>
      <c r="AH154" s="130">
        <f t="shared" si="40"/>
        <v>0</v>
      </c>
      <c r="AI154" s="130">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6"/>
      <c r="C155" s="54">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0</v>
      </c>
      <c r="AE155" s="130">
        <f t="shared" si="40"/>
        <v>0</v>
      </c>
      <c r="AF155" s="130">
        <f t="shared" si="40"/>
        <v>0</v>
      </c>
      <c r="AG155" s="130">
        <f t="shared" si="40"/>
        <v>0</v>
      </c>
      <c r="AH155" s="130">
        <f t="shared" si="40"/>
        <v>0</v>
      </c>
      <c r="AI155" s="130">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6"/>
      <c r="C156" s="54">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0</v>
      </c>
      <c r="AE156" s="130">
        <f t="shared" si="40"/>
        <v>0</v>
      </c>
      <c r="AF156" s="130">
        <f t="shared" si="40"/>
        <v>0</v>
      </c>
      <c r="AG156" s="130">
        <f t="shared" si="40"/>
        <v>0</v>
      </c>
      <c r="AH156" s="130">
        <f t="shared" si="40"/>
        <v>0</v>
      </c>
      <c r="AI156" s="130">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6"/>
      <c r="C157" s="54">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0</v>
      </c>
      <c r="AE157" s="130">
        <f t="shared" si="40"/>
        <v>0</v>
      </c>
      <c r="AF157" s="130">
        <f t="shared" si="40"/>
        <v>0</v>
      </c>
      <c r="AG157" s="130">
        <f t="shared" si="40"/>
        <v>0</v>
      </c>
      <c r="AH157" s="130">
        <f t="shared" si="40"/>
        <v>0</v>
      </c>
      <c r="AI157" s="130">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6"/>
      <c r="C158" s="54">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0</v>
      </c>
      <c r="AE158" s="130">
        <f t="shared" si="40"/>
        <v>0</v>
      </c>
      <c r="AF158" s="130">
        <f t="shared" si="40"/>
        <v>0</v>
      </c>
      <c r="AG158" s="130">
        <f t="shared" si="40"/>
        <v>0</v>
      </c>
      <c r="AH158" s="130">
        <f t="shared" si="40"/>
        <v>0</v>
      </c>
      <c r="AI158" s="130">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6"/>
      <c r="C159" s="54">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0</v>
      </c>
      <c r="AE159" s="130">
        <f t="shared" si="40"/>
        <v>0</v>
      </c>
      <c r="AF159" s="130">
        <f t="shared" si="40"/>
        <v>0</v>
      </c>
      <c r="AG159" s="130">
        <f t="shared" si="40"/>
        <v>0</v>
      </c>
      <c r="AH159" s="130">
        <f t="shared" si="40"/>
        <v>0</v>
      </c>
      <c r="AI159" s="130">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6"/>
      <c r="C160" s="54">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0</v>
      </c>
      <c r="AE160" s="130">
        <f t="shared" si="42"/>
        <v>0</v>
      </c>
      <c r="AF160" s="130">
        <f t="shared" si="42"/>
        <v>0</v>
      </c>
      <c r="AG160" s="130">
        <f t="shared" si="42"/>
        <v>0</v>
      </c>
      <c r="AH160" s="130">
        <f t="shared" si="42"/>
        <v>0</v>
      </c>
      <c r="AI160" s="130">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6"/>
      <c r="C161" s="54">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0</v>
      </c>
      <c r="AE161" s="130">
        <f t="shared" si="42"/>
        <v>0</v>
      </c>
      <c r="AF161" s="130">
        <f t="shared" si="42"/>
        <v>0</v>
      </c>
      <c r="AG161" s="130">
        <f t="shared" si="42"/>
        <v>0</v>
      </c>
      <c r="AH161" s="130">
        <f t="shared" si="42"/>
        <v>0</v>
      </c>
      <c r="AI161" s="130">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6"/>
      <c r="C162" s="54">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0</v>
      </c>
      <c r="AE162" s="130">
        <f t="shared" si="42"/>
        <v>0</v>
      </c>
      <c r="AF162" s="130">
        <f t="shared" si="42"/>
        <v>0</v>
      </c>
      <c r="AG162" s="130">
        <f t="shared" si="42"/>
        <v>0</v>
      </c>
      <c r="AH162" s="130">
        <f t="shared" si="42"/>
        <v>0</v>
      </c>
      <c r="AI162" s="130">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6"/>
      <c r="C163" s="54">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0</v>
      </c>
      <c r="AE163" s="130">
        <f t="shared" si="42"/>
        <v>0</v>
      </c>
      <c r="AF163" s="130">
        <f t="shared" si="42"/>
        <v>0</v>
      </c>
      <c r="AG163" s="130">
        <f t="shared" si="42"/>
        <v>0</v>
      </c>
      <c r="AH163" s="130">
        <f t="shared" si="42"/>
        <v>0</v>
      </c>
      <c r="AI163" s="130">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6"/>
      <c r="C164" s="54">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0</v>
      </c>
      <c r="AE164" s="130">
        <f t="shared" si="42"/>
        <v>0</v>
      </c>
      <c r="AF164" s="130">
        <f t="shared" si="42"/>
        <v>0</v>
      </c>
      <c r="AG164" s="130">
        <f t="shared" si="42"/>
        <v>0</v>
      </c>
      <c r="AH164" s="130">
        <f t="shared" si="42"/>
        <v>0</v>
      </c>
      <c r="AI164" s="130">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6"/>
      <c r="C165" s="54">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0</v>
      </c>
      <c r="AE165" s="130">
        <f t="shared" si="42"/>
        <v>0</v>
      </c>
      <c r="AF165" s="130">
        <f t="shared" si="42"/>
        <v>0</v>
      </c>
      <c r="AG165" s="130">
        <f t="shared" si="42"/>
        <v>0</v>
      </c>
      <c r="AH165" s="130">
        <f t="shared" si="42"/>
        <v>0</v>
      </c>
      <c r="AI165" s="130">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6"/>
      <c r="C166" s="54">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0</v>
      </c>
      <c r="AE166" s="130">
        <f t="shared" si="42"/>
        <v>0</v>
      </c>
      <c r="AF166" s="130">
        <f t="shared" si="42"/>
        <v>0</v>
      </c>
      <c r="AG166" s="130">
        <f t="shared" si="42"/>
        <v>0</v>
      </c>
      <c r="AH166" s="130">
        <f t="shared" si="42"/>
        <v>0</v>
      </c>
      <c r="AI166" s="130">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6"/>
      <c r="C167" s="54">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0</v>
      </c>
      <c r="AE167" s="130">
        <f t="shared" si="42"/>
        <v>0</v>
      </c>
      <c r="AF167" s="130">
        <f t="shared" si="42"/>
        <v>0</v>
      </c>
      <c r="AG167" s="130">
        <f t="shared" si="42"/>
        <v>0</v>
      </c>
      <c r="AH167" s="130">
        <f t="shared" si="42"/>
        <v>0</v>
      </c>
      <c r="AI167" s="130">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6"/>
      <c r="C168" s="54">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0</v>
      </c>
      <c r="AE168" s="130">
        <f t="shared" si="44"/>
        <v>0</v>
      </c>
      <c r="AF168" s="130">
        <f t="shared" si="44"/>
        <v>0</v>
      </c>
      <c r="AG168" s="130">
        <f t="shared" si="44"/>
        <v>0</v>
      </c>
      <c r="AH168" s="130">
        <f t="shared" si="44"/>
        <v>0</v>
      </c>
      <c r="AI168" s="130">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6"/>
      <c r="C169" s="54">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0</v>
      </c>
      <c r="AE169" s="130">
        <f t="shared" si="44"/>
        <v>0</v>
      </c>
      <c r="AF169" s="130">
        <f t="shared" si="44"/>
        <v>0</v>
      </c>
      <c r="AG169" s="130">
        <f t="shared" si="44"/>
        <v>0</v>
      </c>
      <c r="AH169" s="130">
        <f t="shared" si="44"/>
        <v>0</v>
      </c>
      <c r="AI169" s="130">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6"/>
      <c r="C170" s="54">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0</v>
      </c>
      <c r="AE170" s="130">
        <f t="shared" si="44"/>
        <v>0</v>
      </c>
      <c r="AF170" s="130">
        <f t="shared" si="44"/>
        <v>0</v>
      </c>
      <c r="AG170" s="130">
        <f t="shared" si="44"/>
        <v>0</v>
      </c>
      <c r="AH170" s="130">
        <f t="shared" si="44"/>
        <v>0</v>
      </c>
      <c r="AI170" s="130">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6"/>
      <c r="C171" s="54">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0</v>
      </c>
      <c r="AE171" s="130">
        <f t="shared" si="44"/>
        <v>0</v>
      </c>
      <c r="AF171" s="130">
        <f t="shared" si="44"/>
        <v>0</v>
      </c>
      <c r="AG171" s="130">
        <f t="shared" si="44"/>
        <v>0</v>
      </c>
      <c r="AH171" s="130">
        <f t="shared" si="44"/>
        <v>0</v>
      </c>
      <c r="AI171" s="130">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6"/>
      <c r="C172" s="54">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0</v>
      </c>
      <c r="AE172" s="130">
        <f t="shared" si="44"/>
        <v>0</v>
      </c>
      <c r="AF172" s="130">
        <f t="shared" si="44"/>
        <v>0</v>
      </c>
      <c r="AG172" s="130">
        <f t="shared" si="44"/>
        <v>0</v>
      </c>
      <c r="AH172" s="130">
        <f t="shared" si="44"/>
        <v>0</v>
      </c>
      <c r="AI172" s="130">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6"/>
      <c r="C173" s="54">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0</v>
      </c>
      <c r="AE173" s="130">
        <f t="shared" si="44"/>
        <v>0</v>
      </c>
      <c r="AF173" s="130">
        <f t="shared" si="44"/>
        <v>0</v>
      </c>
      <c r="AG173" s="130">
        <f t="shared" si="44"/>
        <v>0</v>
      </c>
      <c r="AH173" s="130">
        <f t="shared" si="44"/>
        <v>0</v>
      </c>
      <c r="AI173" s="130">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6"/>
      <c r="C174" s="54">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0</v>
      </c>
      <c r="AE174" s="130">
        <f t="shared" si="44"/>
        <v>0</v>
      </c>
      <c r="AF174" s="130">
        <f t="shared" si="44"/>
        <v>0</v>
      </c>
      <c r="AG174" s="130">
        <f t="shared" si="44"/>
        <v>0</v>
      </c>
      <c r="AH174" s="130">
        <f t="shared" si="44"/>
        <v>0</v>
      </c>
      <c r="AI174" s="130">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6"/>
      <c r="C175" s="54">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0</v>
      </c>
      <c r="AE175" s="130">
        <f t="shared" si="44"/>
        <v>0</v>
      </c>
      <c r="AF175" s="130">
        <f t="shared" si="44"/>
        <v>0</v>
      </c>
      <c r="AG175" s="130">
        <f t="shared" si="44"/>
        <v>0</v>
      </c>
      <c r="AH175" s="130">
        <f t="shared" si="44"/>
        <v>0</v>
      </c>
      <c r="AI175" s="130">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6"/>
      <c r="C176" s="54">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0</v>
      </c>
      <c r="AE176" s="130">
        <f t="shared" si="46"/>
        <v>0</v>
      </c>
      <c r="AF176" s="130">
        <f t="shared" si="46"/>
        <v>0</v>
      </c>
      <c r="AG176" s="130">
        <f t="shared" si="46"/>
        <v>0</v>
      </c>
      <c r="AH176" s="130">
        <f t="shared" si="46"/>
        <v>0</v>
      </c>
      <c r="AI176" s="130">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6"/>
      <c r="C177" s="54">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0</v>
      </c>
      <c r="AE177" s="130">
        <f t="shared" si="46"/>
        <v>0</v>
      </c>
      <c r="AF177" s="130">
        <f t="shared" si="46"/>
        <v>0</v>
      </c>
      <c r="AG177" s="130">
        <f t="shared" si="46"/>
        <v>0</v>
      </c>
      <c r="AH177" s="130">
        <f t="shared" si="46"/>
        <v>0</v>
      </c>
      <c r="AI177" s="130">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6"/>
      <c r="C178" s="54">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0</v>
      </c>
      <c r="AE178" s="130">
        <f t="shared" si="46"/>
        <v>0</v>
      </c>
      <c r="AF178" s="130">
        <f t="shared" si="46"/>
        <v>0</v>
      </c>
      <c r="AG178" s="130">
        <f t="shared" si="46"/>
        <v>0</v>
      </c>
      <c r="AH178" s="130">
        <f t="shared" si="46"/>
        <v>0</v>
      </c>
      <c r="AI178" s="130">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6"/>
      <c r="C179" s="54">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0</v>
      </c>
      <c r="AE179" s="130">
        <f t="shared" si="46"/>
        <v>0</v>
      </c>
      <c r="AF179" s="130">
        <f t="shared" si="46"/>
        <v>0</v>
      </c>
      <c r="AG179" s="130">
        <f t="shared" si="46"/>
        <v>0</v>
      </c>
      <c r="AH179" s="130">
        <f t="shared" si="46"/>
        <v>0</v>
      </c>
      <c r="AI179" s="130">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6"/>
      <c r="C180" s="54">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0</v>
      </c>
      <c r="AE180" s="130">
        <f t="shared" si="46"/>
        <v>0</v>
      </c>
      <c r="AF180" s="130">
        <f t="shared" si="46"/>
        <v>0</v>
      </c>
      <c r="AG180" s="130">
        <f t="shared" si="46"/>
        <v>0</v>
      </c>
      <c r="AH180" s="130">
        <f t="shared" si="46"/>
        <v>0</v>
      </c>
      <c r="AI180" s="130">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6"/>
      <c r="C181" s="54">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0</v>
      </c>
      <c r="AE181" s="130">
        <f t="shared" si="46"/>
        <v>0</v>
      </c>
      <c r="AF181" s="130">
        <f t="shared" si="46"/>
        <v>0</v>
      </c>
      <c r="AG181" s="130">
        <f t="shared" si="46"/>
        <v>0</v>
      </c>
      <c r="AH181" s="130">
        <f t="shared" si="46"/>
        <v>0</v>
      </c>
      <c r="AI181" s="130">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6"/>
      <c r="C182" s="54">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0</v>
      </c>
      <c r="AE182" s="130">
        <f t="shared" si="46"/>
        <v>0</v>
      </c>
      <c r="AF182" s="130">
        <f t="shared" si="46"/>
        <v>0</v>
      </c>
      <c r="AG182" s="130">
        <f t="shared" si="46"/>
        <v>0</v>
      </c>
      <c r="AH182" s="130">
        <f t="shared" si="46"/>
        <v>0</v>
      </c>
      <c r="AI182" s="130">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6"/>
      <c r="C183" s="54">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0</v>
      </c>
      <c r="AE183" s="130">
        <f t="shared" si="46"/>
        <v>0</v>
      </c>
      <c r="AF183" s="130">
        <f t="shared" si="46"/>
        <v>0</v>
      </c>
      <c r="AG183" s="130">
        <f t="shared" si="46"/>
        <v>0</v>
      </c>
      <c r="AH183" s="130">
        <f t="shared" si="46"/>
        <v>0</v>
      </c>
      <c r="AI183" s="130">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6"/>
      <c r="C184" s="54">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0</v>
      </c>
      <c r="AE184" s="130">
        <f t="shared" si="48"/>
        <v>0</v>
      </c>
      <c r="AF184" s="130">
        <f t="shared" si="48"/>
        <v>0</v>
      </c>
      <c r="AG184" s="130">
        <f t="shared" si="48"/>
        <v>0</v>
      </c>
      <c r="AH184" s="130">
        <f t="shared" si="48"/>
        <v>0</v>
      </c>
      <c r="AI184" s="130">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6"/>
      <c r="C185" s="54">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0</v>
      </c>
      <c r="AE185" s="130">
        <f t="shared" si="48"/>
        <v>0</v>
      </c>
      <c r="AF185" s="130">
        <f t="shared" si="48"/>
        <v>0</v>
      </c>
      <c r="AG185" s="130">
        <f t="shared" si="48"/>
        <v>0</v>
      </c>
      <c r="AH185" s="130">
        <f t="shared" si="48"/>
        <v>0</v>
      </c>
      <c r="AI185" s="130">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6"/>
      <c r="C186" s="54">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0</v>
      </c>
      <c r="AE186" s="130">
        <f t="shared" si="48"/>
        <v>0</v>
      </c>
      <c r="AF186" s="130">
        <f t="shared" si="48"/>
        <v>0</v>
      </c>
      <c r="AG186" s="130">
        <f t="shared" si="48"/>
        <v>0</v>
      </c>
      <c r="AH186" s="130">
        <f t="shared" si="48"/>
        <v>0</v>
      </c>
      <c r="AI186" s="130">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6"/>
      <c r="C187" s="54">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0</v>
      </c>
      <c r="AE187" s="130">
        <f t="shared" si="48"/>
        <v>0</v>
      </c>
      <c r="AF187" s="130">
        <f t="shared" si="48"/>
        <v>0</v>
      </c>
      <c r="AG187" s="130">
        <f t="shared" si="48"/>
        <v>0</v>
      </c>
      <c r="AH187" s="130">
        <f t="shared" si="48"/>
        <v>0</v>
      </c>
      <c r="AI187" s="130">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6"/>
      <c r="C188" s="54">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0</v>
      </c>
      <c r="AE188" s="130">
        <f t="shared" si="48"/>
        <v>0</v>
      </c>
      <c r="AF188" s="130">
        <f t="shared" si="48"/>
        <v>0</v>
      </c>
      <c r="AG188" s="130">
        <f t="shared" si="48"/>
        <v>0</v>
      </c>
      <c r="AH188" s="130">
        <f t="shared" si="48"/>
        <v>0</v>
      </c>
      <c r="AI188" s="130">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6"/>
      <c r="C189" s="54">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0</v>
      </c>
      <c r="AE189" s="130">
        <f t="shared" si="48"/>
        <v>0</v>
      </c>
      <c r="AF189" s="130">
        <f t="shared" si="48"/>
        <v>0</v>
      </c>
      <c r="AG189" s="130">
        <f t="shared" si="48"/>
        <v>0</v>
      </c>
      <c r="AH189" s="130">
        <f t="shared" si="48"/>
        <v>0</v>
      </c>
      <c r="AI189" s="130">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6"/>
      <c r="C190" s="54">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0</v>
      </c>
      <c r="AE190" s="130">
        <f t="shared" si="48"/>
        <v>0</v>
      </c>
      <c r="AF190" s="130">
        <f t="shared" si="48"/>
        <v>0</v>
      </c>
      <c r="AG190" s="130">
        <f t="shared" si="48"/>
        <v>0</v>
      </c>
      <c r="AH190" s="130">
        <f t="shared" si="48"/>
        <v>0</v>
      </c>
      <c r="AI190" s="130">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6"/>
      <c r="C191" s="54">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0</v>
      </c>
      <c r="AE191" s="130">
        <f t="shared" si="48"/>
        <v>0</v>
      </c>
      <c r="AF191" s="130">
        <f t="shared" si="48"/>
        <v>0</v>
      </c>
      <c r="AG191" s="130">
        <f t="shared" si="48"/>
        <v>0</v>
      </c>
      <c r="AH191" s="130">
        <f t="shared" si="48"/>
        <v>0</v>
      </c>
      <c r="AI191" s="130">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6"/>
      <c r="C192" s="54">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0</v>
      </c>
      <c r="AE192" s="130">
        <f t="shared" si="50"/>
        <v>0</v>
      </c>
      <c r="AF192" s="130">
        <f t="shared" si="50"/>
        <v>0</v>
      </c>
      <c r="AG192" s="130">
        <f t="shared" si="50"/>
        <v>0</v>
      </c>
      <c r="AH192" s="130">
        <f t="shared" si="50"/>
        <v>0</v>
      </c>
      <c r="AI192" s="130">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6"/>
      <c r="C193" s="54">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0</v>
      </c>
      <c r="AE193" s="130">
        <f t="shared" si="50"/>
        <v>0</v>
      </c>
      <c r="AF193" s="130">
        <f t="shared" si="50"/>
        <v>0</v>
      </c>
      <c r="AG193" s="130">
        <f t="shared" si="50"/>
        <v>0</v>
      </c>
      <c r="AH193" s="130">
        <f t="shared" si="50"/>
        <v>0</v>
      </c>
      <c r="AI193" s="130">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6"/>
      <c r="C194" s="54">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0</v>
      </c>
      <c r="AE194" s="130">
        <f t="shared" si="50"/>
        <v>0</v>
      </c>
      <c r="AF194" s="130">
        <f t="shared" si="50"/>
        <v>0</v>
      </c>
      <c r="AG194" s="130">
        <f t="shared" si="50"/>
        <v>0</v>
      </c>
      <c r="AH194" s="130">
        <f t="shared" si="50"/>
        <v>0</v>
      </c>
      <c r="AI194" s="130">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6"/>
      <c r="C195" s="54">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0</v>
      </c>
      <c r="AE195" s="130">
        <f t="shared" si="50"/>
        <v>0</v>
      </c>
      <c r="AF195" s="130">
        <f t="shared" si="50"/>
        <v>0</v>
      </c>
      <c r="AG195" s="130">
        <f t="shared" si="50"/>
        <v>0</v>
      </c>
      <c r="AH195" s="130">
        <f t="shared" si="50"/>
        <v>0</v>
      </c>
      <c r="AI195" s="130">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6"/>
      <c r="C196" s="54">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0</v>
      </c>
      <c r="AE196" s="130">
        <f t="shared" si="50"/>
        <v>0</v>
      </c>
      <c r="AF196" s="130">
        <f t="shared" si="50"/>
        <v>0</v>
      </c>
      <c r="AG196" s="130">
        <f t="shared" si="50"/>
        <v>0</v>
      </c>
      <c r="AH196" s="130">
        <f t="shared" si="50"/>
        <v>0</v>
      </c>
      <c r="AI196" s="130">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6"/>
      <c r="C197" s="54">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0</v>
      </c>
      <c r="AE197" s="130">
        <f t="shared" si="50"/>
        <v>0</v>
      </c>
      <c r="AF197" s="130">
        <f t="shared" si="50"/>
        <v>0</v>
      </c>
      <c r="AG197" s="130">
        <f t="shared" si="50"/>
        <v>0</v>
      </c>
      <c r="AH197" s="130">
        <f t="shared" si="50"/>
        <v>0</v>
      </c>
      <c r="AI197" s="130">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6"/>
      <c r="C198" s="54">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0</v>
      </c>
      <c r="AE198" s="130">
        <f t="shared" si="50"/>
        <v>0</v>
      </c>
      <c r="AF198" s="130">
        <f t="shared" si="50"/>
        <v>0</v>
      </c>
      <c r="AG198" s="130">
        <f t="shared" si="50"/>
        <v>0</v>
      </c>
      <c r="AH198" s="130">
        <f t="shared" si="50"/>
        <v>0</v>
      </c>
      <c r="AI198" s="130">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7"/>
      <c r="C199" s="54">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0</v>
      </c>
      <c r="AE199" s="130">
        <f t="shared" si="50"/>
        <v>0</v>
      </c>
      <c r="AF199" s="130">
        <f t="shared" si="50"/>
        <v>0</v>
      </c>
      <c r="AG199" s="130">
        <f t="shared" si="50"/>
        <v>0</v>
      </c>
      <c r="AH199" s="130">
        <f t="shared" si="50"/>
        <v>0</v>
      </c>
      <c r="AI199" s="130">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D6:AJ69 L3:AI3" name="Table作成編集範囲"/>
    <protectedRange sqref="B3" name="Table作成編集範囲_2"/>
  </protectedRanges>
  <mergeCells count="3">
    <mergeCell ref="C2:C3"/>
    <mergeCell ref="AJ2:AJ3"/>
    <mergeCell ref="A4:B5"/>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CCECFF"/>
  </sheetPr>
  <dimension ref="A1:AW199"/>
  <sheetViews>
    <sheetView topLeftCell="AJ1" zoomScale="85" zoomScaleNormal="85" workbookViewId="0">
      <pane ySplit="3" topLeftCell="A4" activePane="bottomLeft" state="frozen"/>
      <selection pane="bottomLeft" activeCell="AU6" sqref="AU6:AU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9" t="s">
        <v>120</v>
      </c>
      <c r="C2" s="292" t="s">
        <v>81</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94" t="s">
        <v>152</v>
      </c>
    </row>
    <row r="3" spans="1:49" ht="213" customHeight="1" thickBot="1">
      <c r="B3" s="203" t="str">
        <f>IF(OR(IF(COUNTIF(D6:AC69,"0")&lt;&gt;0,TRUE,FALSE),IF(COUNTIF(D6:AC69,"1")&lt;&gt;0,TRUE,FALSE)),"Search Table","Index Table")</f>
        <v>Index Table</v>
      </c>
      <c r="C3" s="293"/>
      <c r="D3" s="131" t="s">
        <v>61</v>
      </c>
      <c r="E3" s="131" t="s">
        <v>66</v>
      </c>
      <c r="F3" s="131" t="s">
        <v>49</v>
      </c>
      <c r="G3" s="131" t="s">
        <v>48</v>
      </c>
      <c r="H3" s="131" t="s">
        <v>118</v>
      </c>
      <c r="I3" s="131" t="s">
        <v>117</v>
      </c>
      <c r="J3" s="131" t="s">
        <v>122</v>
      </c>
      <c r="K3" s="131" t="s">
        <v>121</v>
      </c>
      <c r="L3" s="132" t="s">
        <v>66</v>
      </c>
      <c r="M3" s="132" t="s">
        <v>62</v>
      </c>
      <c r="N3" s="132" t="s">
        <v>62</v>
      </c>
      <c r="O3" s="132" t="s">
        <v>62</v>
      </c>
      <c r="P3" s="132" t="s">
        <v>62</v>
      </c>
      <c r="Q3" s="132" t="s">
        <v>62</v>
      </c>
      <c r="R3" s="132" t="s">
        <v>62</v>
      </c>
      <c r="S3" s="132" t="s">
        <v>62</v>
      </c>
      <c r="T3" s="132" t="s">
        <v>62</v>
      </c>
      <c r="U3" s="132" t="s">
        <v>62</v>
      </c>
      <c r="V3" s="132" t="s">
        <v>62</v>
      </c>
      <c r="W3" s="132" t="s">
        <v>62</v>
      </c>
      <c r="X3" s="132" t="s">
        <v>62</v>
      </c>
      <c r="Y3" s="132" t="s">
        <v>62</v>
      </c>
      <c r="Z3" s="132" t="s">
        <v>62</v>
      </c>
      <c r="AA3" s="132" t="s">
        <v>62</v>
      </c>
      <c r="AB3" s="132" t="s">
        <v>66</v>
      </c>
      <c r="AC3" s="132" t="s">
        <v>62</v>
      </c>
      <c r="AD3" s="132" t="s">
        <v>66</v>
      </c>
      <c r="AE3" s="132" t="s">
        <v>62</v>
      </c>
      <c r="AF3" s="132" t="s">
        <v>66</v>
      </c>
      <c r="AG3" s="132" t="s">
        <v>62</v>
      </c>
      <c r="AH3" s="198" t="s">
        <v>210</v>
      </c>
      <c r="AI3" s="198" t="s">
        <v>302</v>
      </c>
      <c r="AJ3" s="295"/>
      <c r="AR3" s="98" t="s">
        <v>93</v>
      </c>
    </row>
    <row r="4" spans="1:49" ht="14.25" thickBot="1">
      <c r="A4" s="296" t="s">
        <v>63</v>
      </c>
      <c r="B4" s="297"/>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3"/>
      <c r="AR4" s="86" t="s">
        <v>79</v>
      </c>
      <c r="AS4" s="87"/>
      <c r="AT4" s="87"/>
      <c r="AU4" s="87"/>
      <c r="AV4" s="87"/>
      <c r="AW4" s="88"/>
    </row>
    <row r="5" spans="1:49" ht="14.25" thickBot="1">
      <c r="A5" s="298"/>
      <c r="B5" s="299"/>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4"/>
      <c r="AR5" s="89" t="str">
        <f ca="1">"static const U4  "&amp;AW8&amp;"["&amp;AW10&amp;"]"&amp;" = {"</f>
        <v>static const U4  u4_sp_ALERT_S_LCA_BC_CL_CRIT[ALERT_S_LCA_BC_CL_NUM_DST] = {</v>
      </c>
      <c r="AS5" s="89" t="str">
        <f ca="1">"static const U4  "&amp;$AW$9&amp;"["&amp;$AW$10&amp;"] = {"</f>
        <v>static const U4  u4_sp_ALERT_S_LCA_BC_CL_MASK[ALERT_S_LCA_BC_CL_NUM_DST] = {</v>
      </c>
      <c r="AT5" s="89" t="str">
        <f ca="1">"static const U1  "&amp;$AW$11&amp;"["&amp;$AW$10&amp;"] = {"</f>
        <v>static const U1  u1_sp_ALERT_S_LCA_BC_CL_DST[ALERT_S_LCA_BC_CL_NUM_DST] = {</v>
      </c>
      <c r="AU5" s="89" t="str">
        <f ca="1">"const ST_ALERT_MTRX "&amp;$AW$12&amp;" = {"</f>
        <v>const ST_ALERT_MTRX st_gp_ALERT_S_LCA_MTRX[3] = {</v>
      </c>
      <c r="AV5" s="71" t="str">
        <f ca="1">"#define "&amp;AW10&amp;REPT(" ",41-LEN(AW10))&amp;"("&amp;AW13&amp;"U)"</f>
        <v>#define ALERT_S_LCA_BC_CL_NUM_DST                (4U)</v>
      </c>
      <c r="AW5" s="72"/>
    </row>
    <row r="6" spans="1:49">
      <c r="B6" s="136" t="str">
        <f ca="1">"Table "&amp;$AW$6</f>
        <v>Table BC_CL</v>
      </c>
      <c r="C6" s="59">
        <f>ROW()-ROW($C$6)</f>
        <v>0</v>
      </c>
      <c r="D6" s="38" t="s">
        <v>67</v>
      </c>
      <c r="E6" s="38" t="s">
        <v>67</v>
      </c>
      <c r="F6" s="38" t="s">
        <v>67</v>
      </c>
      <c r="G6" s="38" t="s">
        <v>67</v>
      </c>
      <c r="H6" s="38" t="s">
        <v>67</v>
      </c>
      <c r="I6" s="38" t="s">
        <v>67</v>
      </c>
      <c r="J6" s="38" t="s">
        <v>67</v>
      </c>
      <c r="K6" s="38" t="s">
        <v>294</v>
      </c>
      <c r="L6" s="38" t="s">
        <v>67</v>
      </c>
      <c r="M6" s="38" t="s">
        <v>67</v>
      </c>
      <c r="N6" s="38" t="s">
        <v>67</v>
      </c>
      <c r="O6" s="38" t="s">
        <v>67</v>
      </c>
      <c r="P6" s="38" t="s">
        <v>67</v>
      </c>
      <c r="Q6" s="38" t="s">
        <v>67</v>
      </c>
      <c r="R6" s="38" t="s">
        <v>67</v>
      </c>
      <c r="S6" s="38" t="s">
        <v>67</v>
      </c>
      <c r="T6" s="38" t="s">
        <v>67</v>
      </c>
      <c r="U6" s="38" t="s">
        <v>67</v>
      </c>
      <c r="V6" s="38" t="s">
        <v>67</v>
      </c>
      <c r="W6" s="38" t="s">
        <v>67</v>
      </c>
      <c r="X6" s="38" t="s">
        <v>67</v>
      </c>
      <c r="Y6" s="38" t="s">
        <v>67</v>
      </c>
      <c r="Z6" s="38" t="s">
        <v>67</v>
      </c>
      <c r="AA6" s="38" t="s">
        <v>67</v>
      </c>
      <c r="AB6" s="38" t="s">
        <v>67</v>
      </c>
      <c r="AC6" s="38" t="s">
        <v>67</v>
      </c>
      <c r="AD6" s="38" t="s">
        <v>67</v>
      </c>
      <c r="AE6" s="38" t="s">
        <v>67</v>
      </c>
      <c r="AF6" s="68" t="s">
        <v>294</v>
      </c>
      <c r="AG6" s="68" t="s">
        <v>294</v>
      </c>
      <c r="AH6" s="68">
        <v>0</v>
      </c>
      <c r="AI6" s="68">
        <v>0</v>
      </c>
      <c r="AJ6" s="58" t="s">
        <v>31</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(U4)0x00000003U,                                                           /* 00 UNKNOWN                                         */</v>
      </c>
      <c r="AT6" s="69" t="str">
        <f t="shared" ref="AT6:AT69" si="1">IF(AJ6&lt;&gt;"",AL6&amp;IF(AJ7&lt;&gt;"",","," ")&amp;REPT(" ",78-LEN(AL6))&amp;"/* "&amp;IF(C6&lt;10,"0"&amp;C6,C6)&amp;" "&amp;AJ6&amp;REPT(" ",48-LEN(AJ6))&amp;"*/",IF(AJ5&lt;&gt;"","};",""))</f>
        <v xml:space="preserve">    (U1)ALERT_REQ_UNKNOWN,                                                     /* 00 UNKNOWN                                         */</v>
      </c>
      <c r="AU6" s="69" t="s">
        <v>320</v>
      </c>
      <c r="AV6" s="55" t="s">
        <v>68</v>
      </c>
      <c r="AW6" s="73" t="str">
        <f ca="1">UPPER(RIGHT(CELL("filename",A1),LEN(CELL("filename",A1))-FIND("]",CELL("filename",A1))))</f>
        <v>BC_CL</v>
      </c>
    </row>
    <row r="7" spans="1:49">
      <c r="B7" s="136"/>
      <c r="C7" s="54">
        <f t="shared" ref="C7:C69" si="2">ROW()-ROW($C$6)</f>
        <v>1</v>
      </c>
      <c r="D7" s="68" t="s">
        <v>67</v>
      </c>
      <c r="E7" s="68" t="s">
        <v>67</v>
      </c>
      <c r="F7" s="68" t="s">
        <v>67</v>
      </c>
      <c r="G7" s="68" t="s">
        <v>67</v>
      </c>
      <c r="H7" s="68" t="s">
        <v>67</v>
      </c>
      <c r="I7" s="68" t="s">
        <v>67</v>
      </c>
      <c r="J7" s="68" t="s">
        <v>67</v>
      </c>
      <c r="K7" s="68" t="s">
        <v>294</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38" t="s">
        <v>67</v>
      </c>
      <c r="AE7" s="38" t="s">
        <v>67</v>
      </c>
      <c r="AF7" s="68" t="s">
        <v>294</v>
      </c>
      <c r="AG7" s="68" t="s">
        <v>294</v>
      </c>
      <c r="AH7" s="68">
        <v>0</v>
      </c>
      <c r="AI7" s="68">
        <v>1</v>
      </c>
      <c r="AJ7" s="25" t="s">
        <v>242</v>
      </c>
      <c r="AL7" t="str">
        <f t="shared" ca="1" si="0"/>
        <v xml:space="preserve">    (U1)ALERT_REQ_S_LCA_BC_CL_DOUBLE</v>
      </c>
      <c r="AR7" s="69" t="str">
        <f t="shared" ref="AR7:AR70" si="3">IF(AQ72&lt;&gt;"",AQ72,IF(AQ71&lt;&gt;"","};",""))</f>
        <v xml:space="preserve">    (U4)0x00000001U,                                                           /* 01 DOUBLE                                          */</v>
      </c>
      <c r="AS7" s="69" t="str">
        <f t="shared" ref="AS7:AS70" si="4">IF(AQ137&lt;&gt;"",AQ137,IF(AQ136&lt;&gt;"","};",""))</f>
        <v xml:space="preserve">    (U4)0x00000003U,                                                           /* 01 DOUBLE                                          */</v>
      </c>
      <c r="AT7" s="69" t="str">
        <f t="shared" ca="1" si="1"/>
        <v xml:space="preserve">    (U1)ALERT_REQ_S_LCA_BC_CL_DOUBLE,                                          /* 01 DOUBLE                                          */</v>
      </c>
      <c r="AU7" s="69" t="str">
        <f ca="1">"        &amp;"&amp;$AW$14&amp;","&amp;REPT(" ",69-LEN($AW$14))&amp;"/* fp_u4_SRC_CHK                                      */"</f>
        <v xml:space="preserve">        &amp;u4_s_AlertS_lcaBcClSrcchk,                                            /* fp_u4_SRC_CHK                                      */</v>
      </c>
      <c r="AV7" s="56" t="s">
        <v>69</v>
      </c>
      <c r="AW7" s="135">
        <f>IF(B3="Search Table",1,0)</f>
        <v>0</v>
      </c>
    </row>
    <row r="8" spans="1:49">
      <c r="B8" s="136"/>
      <c r="C8" s="54">
        <f t="shared" si="2"/>
        <v>2</v>
      </c>
      <c r="D8" s="68" t="s">
        <v>67</v>
      </c>
      <c r="E8" s="68" t="s">
        <v>67</v>
      </c>
      <c r="F8" s="68" t="s">
        <v>67</v>
      </c>
      <c r="G8" s="68" t="s">
        <v>67</v>
      </c>
      <c r="H8" s="68" t="s">
        <v>67</v>
      </c>
      <c r="I8" s="68" t="s">
        <v>67</v>
      </c>
      <c r="J8" s="68" t="s">
        <v>67</v>
      </c>
      <c r="K8" s="68" t="s">
        <v>294</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68" t="s">
        <v>294</v>
      </c>
      <c r="AG8" s="68" t="s">
        <v>294</v>
      </c>
      <c r="AH8" s="68">
        <v>1</v>
      </c>
      <c r="AI8" s="68">
        <v>0</v>
      </c>
      <c r="AJ8" s="25" t="s">
        <v>31</v>
      </c>
      <c r="AL8" t="str">
        <f t="shared" si="0"/>
        <v xml:space="preserve">    (U1)ALERT_REQ_UNKNOWN</v>
      </c>
      <c r="AR8" s="69" t="str">
        <f t="shared" si="3"/>
        <v xml:space="preserve">    (U4)0x00000002U,                                                           /* 02 UNKNOWN                                         */</v>
      </c>
      <c r="AS8" s="69" t="str">
        <f t="shared" si="4"/>
        <v xml:space="preserve">    (U4)0x00000003U,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70</v>
      </c>
      <c r="AW8" s="74" t="str">
        <f ca="1">"u4_sp_ALERT_"&amp;IF(AW6&lt;&gt;AW17,$AW$17&amp;"_"&amp;$AW$6,AW17)&amp;"_CRIT"</f>
        <v>u4_sp_ALERT_S_LCA_BC_CL_CRIT</v>
      </c>
    </row>
    <row r="9" spans="1:49">
      <c r="B9" s="136"/>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t="s">
        <v>294</v>
      </c>
      <c r="AG9" s="68" t="s">
        <v>294</v>
      </c>
      <c r="AH9" s="68">
        <v>1</v>
      </c>
      <c r="AI9" s="68">
        <v>1</v>
      </c>
      <c r="AJ9" s="25" t="s">
        <v>31</v>
      </c>
      <c r="AL9" t="str">
        <f t="shared" si="0"/>
        <v xml:space="preserve">    (U1)ALERT_REQ_UNKNOWN</v>
      </c>
      <c r="AR9" s="69" t="str">
        <f t="shared" si="3"/>
        <v xml:space="preserve">    (U4)0x00000003U                                                            /* 03 UNKNOWN                                         */</v>
      </c>
      <c r="AS9" s="69" t="str">
        <f t="shared" si="4"/>
        <v xml:space="preserve">    (U4)0x00000003U                                                            /* 03 UNKNOWN                                         */</v>
      </c>
      <c r="AT9" s="69" t="str">
        <f t="shared" si="1"/>
        <v xml:space="preserve">    (U1)ALERT_REQ_UNKNOWN                                                      /* 03 UNKNOWN                                         */</v>
      </c>
      <c r="AU9" s="69"/>
      <c r="AV9" s="56" t="s">
        <v>71</v>
      </c>
      <c r="AW9" s="74" t="str">
        <f ca="1">"u4_sp_ALERT_"&amp;IF(AW6&lt;&gt;AW17,$AW$17&amp;"_"&amp;$AW$6,AW17)&amp;"_MASK"</f>
        <v>u4_sp_ALERT_S_LCA_BC_CL_MASK</v>
      </c>
    </row>
    <row r="10" spans="1:49">
      <c r="B10" s="136"/>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294</v>
      </c>
      <c r="AG10" s="68" t="s">
        <v>294</v>
      </c>
      <c r="AH10" s="68" t="s">
        <v>294</v>
      </c>
      <c r="AI10" s="68" t="s">
        <v>294</v>
      </c>
      <c r="AJ10" s="25"/>
      <c r="AL10" t="str">
        <f t="shared" ca="1" si="0"/>
        <v xml:space="preserve">    (U1)ALERT_REQ_S_LCA_BC_CL_</v>
      </c>
      <c r="AR10" s="69" t="str">
        <f t="shared" si="3"/>
        <v>};</v>
      </c>
      <c r="AS10" s="69" t="str">
        <f t="shared" si="4"/>
        <v>};</v>
      </c>
      <c r="AT10" s="69" t="str">
        <f t="shared" si="1"/>
        <v>};</v>
      </c>
      <c r="AU10" s="69" t="str">
        <f>IF($AW$7=1,"        &amp;"&amp;$AW$9&amp;"[0],"&amp;REPT(" ",66-LEN($AW$9))&amp;"/* u4p_MASK                                           */","        (const U4 *)vdp_PTR_NA,                                                /* u4p_MASK                                           */")</f>
        <v xml:space="preserve">        (const U4 *)vdp_PTR_NA,                                                /* u4p_MASK                                           */</v>
      </c>
      <c r="AV10" s="56" t="s">
        <v>72</v>
      </c>
      <c r="AW10" s="74" t="str">
        <f ca="1">"ALERT_"&amp;IF(AW6&lt;&gt;AW17,$AW$17&amp;"_"&amp;$AW$6,AW17)&amp;"_NUM_DST"</f>
        <v>ALERT_S_LCA_BC_CL_NUM_DST</v>
      </c>
    </row>
    <row r="11" spans="1:49">
      <c r="B11" s="136"/>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294</v>
      </c>
      <c r="AG11" s="68" t="s">
        <v>294</v>
      </c>
      <c r="AH11" s="68" t="s">
        <v>294</v>
      </c>
      <c r="AI11" s="68" t="s">
        <v>294</v>
      </c>
      <c r="AJ11" s="25"/>
      <c r="AL11" t="str">
        <f t="shared" ca="1" si="0"/>
        <v xml:space="preserve">    (U1)ALERT_REQ_S_LCA_BC_CL_</v>
      </c>
      <c r="AR11" s="69" t="str">
        <f t="shared" si="3"/>
        <v/>
      </c>
      <c r="AS11" s="69" t="str">
        <f t="shared" si="4"/>
        <v/>
      </c>
      <c r="AT11" s="69" t="str">
        <f t="shared" si="1"/>
        <v/>
      </c>
      <c r="AU11" s="69" t="str">
        <f>IF($AW$7=1,"        &amp;"&amp;$AW$8&amp;"[0],"&amp;REPT(" ",66-LEN($AW$8))&amp;"/* u4p_CRIT                                           */","        (const U4 *)vdp_PTR_NA,                                                /* u4p_CRIT                                           */")</f>
        <v xml:space="preserve">        (const U4 *)vdp_PTR_NA,                                                /* u4p_CRIT                                           */</v>
      </c>
      <c r="AV11" s="56" t="s">
        <v>73</v>
      </c>
      <c r="AW11" s="74" t="str">
        <f ca="1">"u1_sp_ALERT_"&amp;IF(AW6&lt;&gt;AW17,$AW$17&amp;"_"&amp;$AW$6,AW17)&amp;"_DST"</f>
        <v>u1_sp_ALERT_S_LCA_BC_CL_DST</v>
      </c>
    </row>
    <row r="12" spans="1:49">
      <c r="B12" s="136"/>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38" t="s">
        <v>67</v>
      </c>
      <c r="AF12" s="68" t="s">
        <v>294</v>
      </c>
      <c r="AG12" s="68" t="s">
        <v>294</v>
      </c>
      <c r="AH12" s="68" t="s">
        <v>294</v>
      </c>
      <c r="AI12" s="68" t="s">
        <v>294</v>
      </c>
      <c r="AJ12" s="25"/>
      <c r="AL12" t="str">
        <f t="shared" ca="1" si="0"/>
        <v xml:space="preserve">    (U1)ALERT_REQ_S_LCA_BC_CL_</v>
      </c>
      <c r="AR12" s="69" t="str">
        <f t="shared" si="3"/>
        <v/>
      </c>
      <c r="AS12" s="69" t="str">
        <f t="shared" si="4"/>
        <v/>
      </c>
      <c r="AT12" s="69" t="str">
        <f t="shared" si="1"/>
        <v/>
      </c>
      <c r="AU12" s="69"/>
      <c r="AV12" s="56" t="s">
        <v>85</v>
      </c>
      <c r="AW12" s="74" t="str">
        <f ca="1">Matrix!D8&amp;"["&amp;Matrix!D7&amp;"]"</f>
        <v>st_gp_ALERT_S_LCA_MTRX[3]</v>
      </c>
    </row>
    <row r="13" spans="1:49">
      <c r="B13" s="136"/>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294</v>
      </c>
      <c r="AG13" s="68" t="s">
        <v>294</v>
      </c>
      <c r="AH13" s="68" t="s">
        <v>294</v>
      </c>
      <c r="AI13" s="68" t="s">
        <v>294</v>
      </c>
      <c r="AJ13" s="25"/>
      <c r="AL13" t="str">
        <f t="shared" ca="1" si="0"/>
        <v xml:space="preserve">    (U1)ALERT_REQ_S_LCA_BC_CL_</v>
      </c>
      <c r="AR13" s="69" t="str">
        <f t="shared" si="3"/>
        <v/>
      </c>
      <c r="AS13" s="69" t="str">
        <f t="shared" si="4"/>
        <v/>
      </c>
      <c r="AT13" s="69" t="str">
        <f t="shared" si="1"/>
        <v/>
      </c>
      <c r="AU13" s="69" t="str">
        <f ca="1">"        &amp;"&amp;$AW$11&amp;"[0],"&amp;REPT(" ",66-LEN($AW$11))&amp;"/* u1p_DST                                            */"</f>
        <v xml:space="preserve">        &amp;u1_sp_ALERT_S_LCA_BC_CL_DST[0],                                       /* u1p_DST                                            */</v>
      </c>
      <c r="AV13" s="56" t="s">
        <v>74</v>
      </c>
      <c r="AW13" s="135">
        <f>COUNTA($AJ$6:$AJ$69)</f>
        <v>4</v>
      </c>
    </row>
    <row r="14" spans="1:49">
      <c r="B14" s="136"/>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294</v>
      </c>
      <c r="AG14" s="68" t="s">
        <v>294</v>
      </c>
      <c r="AH14" s="68" t="s">
        <v>294</v>
      </c>
      <c r="AI14" s="68" t="s">
        <v>294</v>
      </c>
      <c r="AJ14" s="25"/>
      <c r="AL14" t="str">
        <f t="shared" ca="1" si="0"/>
        <v xml:space="preserve">    (U1)ALERT_REQ_S_LCA_BC_CL_</v>
      </c>
      <c r="AR14" s="69" t="str">
        <f t="shared" si="3"/>
        <v/>
      </c>
      <c r="AS14" s="69" t="str">
        <f t="shared" si="4"/>
        <v/>
      </c>
      <c r="AT14" s="69" t="str">
        <f t="shared" si="1"/>
        <v/>
      </c>
      <c r="AU14" s="69" t="str">
        <f ca="1">"        (U2)"&amp;$AW$10&amp;","&amp;REPT(" ",66-LEN($AW$10))&amp;"/* u2_num_srch                                        */"</f>
        <v xml:space="preserve">        (U2)ALERT_S_LCA_BC_CL_NUM_DST,                                         /* u2_num_srch                                        */</v>
      </c>
      <c r="AV14" s="56" t="s">
        <v>75</v>
      </c>
      <c r="AW14" s="74" t="str">
        <f ca="1">IF(AW6&lt;&gt;AW17,VLOOKUP(AW6,Matrix!$C$13:$G$37,4,FALSE),Matrix!F13)</f>
        <v>u4_s_AlertS_lcaBcClSrcchk</v>
      </c>
    </row>
    <row r="15" spans="1:49">
      <c r="B15" s="136"/>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294</v>
      </c>
      <c r="AG15" s="68" t="s">
        <v>294</v>
      </c>
      <c r="AH15" s="68" t="s">
        <v>294</v>
      </c>
      <c r="AI15" s="68" t="s">
        <v>294</v>
      </c>
      <c r="AJ15" s="25"/>
      <c r="AL15" t="str">
        <f t="shared" ca="1" si="0"/>
        <v xml:space="preserve">    (U1)ALERT_REQ_S_LCA_BC_CL_</v>
      </c>
      <c r="AR15" s="69" t="str">
        <f t="shared" si="3"/>
        <v/>
      </c>
      <c r="AS15" s="69" t="str">
        <f t="shared" si="4"/>
        <v/>
      </c>
      <c r="AT15" s="69" t="str">
        <f t="shared" si="1"/>
        <v/>
      </c>
      <c r="AU15" s="69" t="str">
        <f ca="1">"        (U1)"&amp;$AW$16&amp;REPT(" ",67-LEN($AW$16))&amp;"/* u1_vom_act                                         */"</f>
        <v xml:space="preserve">        (U1)ALERT_VOM_IGN_ON                                                   /* u1_vom_act                                         */</v>
      </c>
      <c r="AV15" s="56" t="s">
        <v>78</v>
      </c>
      <c r="AW15" s="74" t="str">
        <f ca="1">IF(AW6&lt;&gt;AW17,VLOOKUP(AW6,Matrix!$C$13:$G$37,5,FALSE),Matrix!G13)</f>
        <v>NULL</v>
      </c>
    </row>
    <row r="16" spans="1:49">
      <c r="B16" s="136"/>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295</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294</v>
      </c>
      <c r="AG16" s="68" t="s">
        <v>294</v>
      </c>
      <c r="AH16" s="68" t="s">
        <v>294</v>
      </c>
      <c r="AI16" s="68" t="s">
        <v>294</v>
      </c>
      <c r="AJ16" s="25"/>
      <c r="AL16" t="str">
        <f t="shared" ca="1" si="0"/>
        <v xml:space="preserve">    (U1)ALERT_REQ_S_LCA_BC_CL_</v>
      </c>
      <c r="AR16" s="69" t="str">
        <f t="shared" si="3"/>
        <v/>
      </c>
      <c r="AS16" s="69" t="str">
        <f t="shared" si="4"/>
        <v/>
      </c>
      <c r="AT16" s="69" t="str">
        <f t="shared" si="1"/>
        <v/>
      </c>
      <c r="AU16" s="69" t="s">
        <v>321</v>
      </c>
      <c r="AV16" s="56" t="s">
        <v>76</v>
      </c>
      <c r="AW16" s="74" t="str">
        <f ca="1">IF(AW6&lt;&gt;AW17,VLOOKUP(AW6,Matrix!$C$13:$G$37,2,FALSE),Matrix!D13)</f>
        <v>ALERT_VOM_IGN_ON</v>
      </c>
    </row>
    <row r="17" spans="2:49" ht="14.25" thickBot="1">
      <c r="B17" s="136"/>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294</v>
      </c>
      <c r="AG17" s="68" t="s">
        <v>294</v>
      </c>
      <c r="AH17" s="68" t="s">
        <v>294</v>
      </c>
      <c r="AI17" s="68" t="s">
        <v>294</v>
      </c>
      <c r="AJ17" s="25"/>
      <c r="AL17" t="str">
        <f t="shared" ca="1" si="0"/>
        <v xml:space="preserve">    (U1)ALERT_REQ_S_LCA_BC_CL_</v>
      </c>
      <c r="AR17" s="69" t="str">
        <f t="shared" si="3"/>
        <v/>
      </c>
      <c r="AS17" s="69" t="str">
        <f t="shared" si="4"/>
        <v/>
      </c>
      <c r="AT17" s="69" t="str">
        <f t="shared" si="1"/>
        <v/>
      </c>
      <c r="AU17" s="70" t="s">
        <v>322</v>
      </c>
      <c r="AV17" s="57" t="s">
        <v>77</v>
      </c>
      <c r="AW17" s="75" t="str">
        <f ca="1">UPPER(Matrix!$D$6)</f>
        <v>S_LCA</v>
      </c>
    </row>
    <row r="18" spans="2:49">
      <c r="B18" s="136"/>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294</v>
      </c>
      <c r="AG18" s="68" t="s">
        <v>294</v>
      </c>
      <c r="AH18" s="68" t="s">
        <v>294</v>
      </c>
      <c r="AI18" s="68" t="s">
        <v>294</v>
      </c>
      <c r="AJ18" s="25"/>
      <c r="AL18" t="str">
        <f t="shared" ca="1" si="0"/>
        <v xml:space="preserve">    (U1)ALERT_REQ_S_LCA_BC_CL_</v>
      </c>
      <c r="AR18" s="69" t="str">
        <f t="shared" si="3"/>
        <v/>
      </c>
      <c r="AS18" s="69" t="str">
        <f t="shared" si="4"/>
        <v/>
      </c>
      <c r="AT18" s="69" t="str">
        <f t="shared" si="1"/>
        <v/>
      </c>
    </row>
    <row r="19" spans="2:49">
      <c r="B19" s="136"/>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294</v>
      </c>
      <c r="AG19" s="68" t="s">
        <v>294</v>
      </c>
      <c r="AH19" s="68" t="s">
        <v>294</v>
      </c>
      <c r="AI19" s="68" t="s">
        <v>294</v>
      </c>
      <c r="AJ19" s="25"/>
      <c r="AL19" t="str">
        <f t="shared" ca="1" si="0"/>
        <v xml:space="preserve">    (U1)ALERT_REQ_S_LCA_BC_CL_</v>
      </c>
      <c r="AR19" s="69" t="str">
        <f t="shared" si="3"/>
        <v/>
      </c>
      <c r="AS19" s="69" t="str">
        <f t="shared" si="4"/>
        <v/>
      </c>
      <c r="AT19" s="69" t="str">
        <f t="shared" si="1"/>
        <v/>
      </c>
    </row>
    <row r="20" spans="2:49">
      <c r="B20" s="136"/>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294</v>
      </c>
      <c r="AG20" s="68" t="s">
        <v>294</v>
      </c>
      <c r="AH20" s="68" t="s">
        <v>294</v>
      </c>
      <c r="AI20" s="68" t="s">
        <v>294</v>
      </c>
      <c r="AJ20" s="25"/>
      <c r="AL20" t="str">
        <f t="shared" ca="1" si="0"/>
        <v xml:space="preserve">    (U1)ALERT_REQ_S_LCA_BC_CL_</v>
      </c>
      <c r="AR20" s="69" t="str">
        <f t="shared" si="3"/>
        <v/>
      </c>
      <c r="AS20" s="69" t="str">
        <f t="shared" si="4"/>
        <v/>
      </c>
      <c r="AT20" s="69" t="str">
        <f t="shared" si="1"/>
        <v/>
      </c>
    </row>
    <row r="21" spans="2:49">
      <c r="B21" s="136"/>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294</v>
      </c>
      <c r="AG21" s="68" t="s">
        <v>294</v>
      </c>
      <c r="AH21" s="68" t="s">
        <v>294</v>
      </c>
      <c r="AI21" s="68" t="s">
        <v>294</v>
      </c>
      <c r="AJ21" s="25"/>
      <c r="AL21" t="str">
        <f t="shared" ca="1" si="0"/>
        <v xml:space="preserve">    (U1)ALERT_REQ_S_LCA_BC_CL_</v>
      </c>
      <c r="AR21" s="69" t="str">
        <f t="shared" si="3"/>
        <v/>
      </c>
      <c r="AS21" s="69" t="str">
        <f t="shared" si="4"/>
        <v/>
      </c>
      <c r="AT21" s="69" t="str">
        <f t="shared" si="1"/>
        <v/>
      </c>
    </row>
    <row r="22" spans="2:49">
      <c r="B22" s="136"/>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25"/>
      <c r="AL22" t="str">
        <f t="shared" ca="1" si="0"/>
        <v xml:space="preserve">    (U1)ALERT_REQ_S_LCA_BC_CL_</v>
      </c>
      <c r="AR22" s="69" t="str">
        <f t="shared" si="3"/>
        <v/>
      </c>
      <c r="AS22" s="69" t="str">
        <f t="shared" si="4"/>
        <v/>
      </c>
      <c r="AT22" s="69" t="str">
        <f t="shared" si="1"/>
        <v/>
      </c>
    </row>
    <row r="23" spans="2:49">
      <c r="B23" s="136"/>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25"/>
      <c r="AL23" t="str">
        <f t="shared" ca="1" si="0"/>
        <v xml:space="preserve">    (U1)ALERT_REQ_S_LCA_BC_CL_</v>
      </c>
      <c r="AR23" s="69" t="str">
        <f t="shared" si="3"/>
        <v/>
      </c>
      <c r="AS23" s="69" t="str">
        <f t="shared" si="4"/>
        <v/>
      </c>
      <c r="AT23" s="69" t="str">
        <f t="shared" si="1"/>
        <v/>
      </c>
    </row>
    <row r="24" spans="2:49">
      <c r="B24" s="136"/>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5"/>
      <c r="AL24" t="str">
        <f t="shared" ca="1" si="0"/>
        <v xml:space="preserve">    (U1)ALERT_REQ_S_LCA_BC_CL_</v>
      </c>
      <c r="AR24" s="69" t="str">
        <f t="shared" si="3"/>
        <v/>
      </c>
      <c r="AS24" s="69" t="str">
        <f t="shared" si="4"/>
        <v/>
      </c>
      <c r="AT24" s="69" t="str">
        <f t="shared" si="1"/>
        <v/>
      </c>
    </row>
    <row r="25" spans="2:49">
      <c r="B25" s="136"/>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5"/>
      <c r="AL25" t="str">
        <f t="shared" ca="1" si="0"/>
        <v xml:space="preserve">    (U1)ALERT_REQ_S_LCA_BC_CL_</v>
      </c>
      <c r="AR25" s="69" t="str">
        <f t="shared" si="3"/>
        <v/>
      </c>
      <c r="AS25" s="69" t="str">
        <f t="shared" si="4"/>
        <v/>
      </c>
      <c r="AT25" s="69" t="str">
        <f t="shared" si="1"/>
        <v/>
      </c>
    </row>
    <row r="26" spans="2:49">
      <c r="B26" s="136"/>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5"/>
      <c r="AL26" t="str">
        <f t="shared" ca="1" si="0"/>
        <v xml:space="preserve">    (U1)ALERT_REQ_S_LCA_BC_CL_</v>
      </c>
      <c r="AR26" s="69" t="str">
        <f t="shared" si="3"/>
        <v/>
      </c>
      <c r="AS26" s="69" t="str">
        <f t="shared" si="4"/>
        <v/>
      </c>
      <c r="AT26" s="69" t="str">
        <f t="shared" si="1"/>
        <v/>
      </c>
    </row>
    <row r="27" spans="2:49">
      <c r="B27" s="136"/>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5"/>
      <c r="AL27" t="str">
        <f t="shared" ca="1" si="0"/>
        <v xml:space="preserve">    (U1)ALERT_REQ_S_LCA_BC_CL_</v>
      </c>
      <c r="AR27" s="69" t="str">
        <f t="shared" si="3"/>
        <v/>
      </c>
      <c r="AS27" s="69" t="str">
        <f t="shared" si="4"/>
        <v/>
      </c>
      <c r="AT27" s="69" t="str">
        <f t="shared" si="1"/>
        <v/>
      </c>
    </row>
    <row r="28" spans="2:49">
      <c r="B28" s="136"/>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5"/>
      <c r="AL28" t="str">
        <f t="shared" ca="1" si="0"/>
        <v xml:space="preserve">    (U1)ALERT_REQ_S_LCA_BC_CL_</v>
      </c>
      <c r="AR28" s="69" t="str">
        <f t="shared" si="3"/>
        <v/>
      </c>
      <c r="AS28" s="69" t="str">
        <f t="shared" si="4"/>
        <v/>
      </c>
      <c r="AT28" s="69" t="str">
        <f t="shared" si="1"/>
        <v/>
      </c>
    </row>
    <row r="29" spans="2:49">
      <c r="B29" s="136"/>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5"/>
      <c r="AL29" t="str">
        <f t="shared" ca="1" si="0"/>
        <v xml:space="preserve">    (U1)ALERT_REQ_S_LCA_BC_CL_</v>
      </c>
      <c r="AR29" s="69" t="str">
        <f t="shared" si="3"/>
        <v/>
      </c>
      <c r="AS29" s="69" t="str">
        <f t="shared" si="4"/>
        <v/>
      </c>
      <c r="AT29" s="69" t="str">
        <f t="shared" si="1"/>
        <v/>
      </c>
    </row>
    <row r="30" spans="2:49">
      <c r="B30" s="136"/>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5"/>
      <c r="AL30" t="str">
        <f t="shared" ca="1" si="0"/>
        <v xml:space="preserve">    (U1)ALERT_REQ_S_LCA_BC_CL_</v>
      </c>
      <c r="AR30" s="69" t="str">
        <f t="shared" si="3"/>
        <v/>
      </c>
      <c r="AS30" s="69" t="str">
        <f t="shared" si="4"/>
        <v/>
      </c>
      <c r="AT30" s="69" t="str">
        <f t="shared" si="1"/>
        <v/>
      </c>
    </row>
    <row r="31" spans="2:49">
      <c r="B31" s="136"/>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5"/>
      <c r="AL31" t="str">
        <f t="shared" ca="1" si="0"/>
        <v xml:space="preserve">    (U1)ALERT_REQ_S_LCA_BC_CL_</v>
      </c>
      <c r="AR31" s="69" t="str">
        <f t="shared" si="3"/>
        <v/>
      </c>
      <c r="AS31" s="69" t="str">
        <f t="shared" si="4"/>
        <v/>
      </c>
      <c r="AT31" s="69" t="str">
        <f t="shared" si="1"/>
        <v/>
      </c>
    </row>
    <row r="32" spans="2:49">
      <c r="B32" s="136"/>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5"/>
      <c r="AL32" t="str">
        <f t="shared" ca="1" si="0"/>
        <v xml:space="preserve">    (U1)ALERT_REQ_S_LCA_BC_CL_</v>
      </c>
      <c r="AR32" s="69" t="str">
        <f t="shared" si="3"/>
        <v/>
      </c>
      <c r="AS32" s="69" t="str">
        <f t="shared" si="4"/>
        <v/>
      </c>
      <c r="AT32" s="69" t="str">
        <f t="shared" si="1"/>
        <v/>
      </c>
    </row>
    <row r="33" spans="2:46">
      <c r="B33" s="136"/>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5"/>
      <c r="AL33" t="str">
        <f t="shared" ca="1" si="0"/>
        <v xml:space="preserve">    (U1)ALERT_REQ_S_LCA_BC_CL_</v>
      </c>
      <c r="AR33" s="69" t="str">
        <f t="shared" si="3"/>
        <v/>
      </c>
      <c r="AS33" s="69" t="str">
        <f t="shared" si="4"/>
        <v/>
      </c>
      <c r="AT33" s="69" t="str">
        <f t="shared" si="1"/>
        <v/>
      </c>
    </row>
    <row r="34" spans="2:46">
      <c r="B34" s="136"/>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5"/>
      <c r="AL34" t="str">
        <f t="shared" ca="1" si="0"/>
        <v xml:space="preserve">    (U1)ALERT_REQ_S_LCA_BC_CL_</v>
      </c>
      <c r="AR34" s="69" t="str">
        <f t="shared" si="3"/>
        <v/>
      </c>
      <c r="AS34" s="69" t="str">
        <f t="shared" si="4"/>
        <v/>
      </c>
      <c r="AT34" s="69" t="str">
        <f t="shared" si="1"/>
        <v/>
      </c>
    </row>
    <row r="35" spans="2:46">
      <c r="B35" s="136"/>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5"/>
      <c r="AL35" t="str">
        <f t="shared" ca="1" si="0"/>
        <v xml:space="preserve">    (U1)ALERT_REQ_S_LCA_BC_CL_</v>
      </c>
      <c r="AR35" s="69" t="str">
        <f t="shared" si="3"/>
        <v/>
      </c>
      <c r="AS35" s="69" t="str">
        <f t="shared" si="4"/>
        <v/>
      </c>
      <c r="AT35" s="69" t="str">
        <f t="shared" si="1"/>
        <v/>
      </c>
    </row>
    <row r="36" spans="2:46">
      <c r="B36" s="136"/>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5"/>
      <c r="AL36" t="str">
        <f t="shared" ca="1" si="0"/>
        <v xml:space="preserve">    (U1)ALERT_REQ_S_LCA_BC_CL_</v>
      </c>
      <c r="AR36" s="69" t="str">
        <f t="shared" si="3"/>
        <v/>
      </c>
      <c r="AS36" s="69" t="str">
        <f t="shared" si="4"/>
        <v/>
      </c>
      <c r="AT36" s="69" t="str">
        <f t="shared" si="1"/>
        <v/>
      </c>
    </row>
    <row r="37" spans="2:46">
      <c r="B37" s="136"/>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5"/>
      <c r="AL37" t="str">
        <f t="shared" ca="1" si="0"/>
        <v xml:space="preserve">    (U1)ALERT_REQ_S_LCA_BC_CL_</v>
      </c>
      <c r="AR37" s="69" t="str">
        <f t="shared" si="3"/>
        <v/>
      </c>
      <c r="AS37" s="69" t="str">
        <f t="shared" si="4"/>
        <v/>
      </c>
      <c r="AT37" s="69" t="str">
        <f t="shared" si="1"/>
        <v/>
      </c>
    </row>
    <row r="38" spans="2:46">
      <c r="B38" s="136"/>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(U1)ALERT_REQ_S_LCA_BC_CL_</v>
      </c>
      <c r="AR38" s="69" t="str">
        <f t="shared" si="3"/>
        <v/>
      </c>
      <c r="AS38" s="69" t="str">
        <f t="shared" si="4"/>
        <v/>
      </c>
      <c r="AT38" s="69" t="str">
        <f t="shared" si="1"/>
        <v/>
      </c>
    </row>
    <row r="39" spans="2:46">
      <c r="B39" s="136"/>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(U1)ALERT_REQ_S_LCA_BC_CL_</v>
      </c>
      <c r="AR39" s="69" t="str">
        <f t="shared" si="3"/>
        <v/>
      </c>
      <c r="AS39" s="69" t="str">
        <f t="shared" si="4"/>
        <v/>
      </c>
      <c r="AT39" s="69" t="str">
        <f t="shared" si="1"/>
        <v/>
      </c>
    </row>
    <row r="40" spans="2:46">
      <c r="B40" s="136"/>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(U1)ALERT_REQ_S_LCA_BC_CL_</v>
      </c>
      <c r="AR40" s="69" t="str">
        <f t="shared" si="3"/>
        <v/>
      </c>
      <c r="AS40" s="69" t="str">
        <f t="shared" si="4"/>
        <v/>
      </c>
      <c r="AT40" s="69" t="str">
        <f t="shared" si="1"/>
        <v/>
      </c>
    </row>
    <row r="41" spans="2:46">
      <c r="B41" s="136"/>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(U1)ALERT_REQ_S_LCA_BC_CL_</v>
      </c>
      <c r="AR41" s="69" t="str">
        <f t="shared" si="3"/>
        <v/>
      </c>
      <c r="AS41" s="69" t="str">
        <f t="shared" si="4"/>
        <v/>
      </c>
      <c r="AT41" s="69" t="str">
        <f t="shared" si="1"/>
        <v/>
      </c>
    </row>
    <row r="42" spans="2:46">
      <c r="B42" s="136"/>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(U1)ALERT_REQ_S_LCA_BC_CL_</v>
      </c>
      <c r="AR42" s="69" t="str">
        <f t="shared" si="3"/>
        <v/>
      </c>
      <c r="AS42" s="69" t="str">
        <f t="shared" si="4"/>
        <v/>
      </c>
      <c r="AT42" s="69" t="str">
        <f t="shared" si="1"/>
        <v/>
      </c>
    </row>
    <row r="43" spans="2:46">
      <c r="B43" s="136"/>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(U1)ALERT_REQ_S_LCA_BC_CL_</v>
      </c>
      <c r="AR43" s="69" t="str">
        <f t="shared" si="3"/>
        <v/>
      </c>
      <c r="AS43" s="69" t="str">
        <f t="shared" si="4"/>
        <v/>
      </c>
      <c r="AT43" s="69" t="str">
        <f t="shared" si="1"/>
        <v/>
      </c>
    </row>
    <row r="44" spans="2:46">
      <c r="B44" s="136"/>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(U1)ALERT_REQ_S_LCA_BC_CL_</v>
      </c>
      <c r="AR44" s="69" t="str">
        <f t="shared" si="3"/>
        <v/>
      </c>
      <c r="AS44" s="69" t="str">
        <f t="shared" si="4"/>
        <v/>
      </c>
      <c r="AT44" s="69" t="str">
        <f t="shared" si="1"/>
        <v/>
      </c>
    </row>
    <row r="45" spans="2:46">
      <c r="B45" s="136"/>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(U1)ALERT_REQ_S_LCA_BC_CL_</v>
      </c>
      <c r="AR45" s="69" t="str">
        <f t="shared" si="3"/>
        <v/>
      </c>
      <c r="AS45" s="69" t="str">
        <f t="shared" si="4"/>
        <v/>
      </c>
      <c r="AT45" s="69" t="str">
        <f t="shared" si="1"/>
        <v/>
      </c>
    </row>
    <row r="46" spans="2:46">
      <c r="B46" s="136"/>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(U1)ALERT_REQ_S_LCA_BC_CL_</v>
      </c>
      <c r="AR46" s="69" t="str">
        <f t="shared" si="3"/>
        <v/>
      </c>
      <c r="AS46" s="69" t="str">
        <f t="shared" si="4"/>
        <v/>
      </c>
      <c r="AT46" s="69" t="str">
        <f t="shared" si="1"/>
        <v/>
      </c>
    </row>
    <row r="47" spans="2:46">
      <c r="B47" s="136"/>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(U1)ALERT_REQ_S_LCA_BC_CL_</v>
      </c>
      <c r="AR47" s="69" t="str">
        <f t="shared" si="3"/>
        <v/>
      </c>
      <c r="AS47" s="69" t="str">
        <f t="shared" si="4"/>
        <v/>
      </c>
      <c r="AT47" s="69" t="str">
        <f t="shared" si="1"/>
        <v/>
      </c>
    </row>
    <row r="48" spans="2:46">
      <c r="B48" s="136"/>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(U1)ALERT_REQ_S_LCA_BC_CL_</v>
      </c>
      <c r="AR48" s="69" t="str">
        <f t="shared" si="3"/>
        <v/>
      </c>
      <c r="AS48" s="69" t="str">
        <f t="shared" si="4"/>
        <v/>
      </c>
      <c r="AT48" s="69" t="str">
        <f t="shared" si="1"/>
        <v/>
      </c>
    </row>
    <row r="49" spans="2:46">
      <c r="B49" s="136"/>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(U1)ALERT_REQ_S_LCA_BC_CL_</v>
      </c>
      <c r="AR49" s="69" t="str">
        <f t="shared" si="3"/>
        <v/>
      </c>
      <c r="AS49" s="69" t="str">
        <f t="shared" si="4"/>
        <v/>
      </c>
      <c r="AT49" s="69" t="str">
        <f t="shared" si="1"/>
        <v/>
      </c>
    </row>
    <row r="50" spans="2:46">
      <c r="B50" s="136"/>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(U1)ALERT_REQ_S_LCA_BC_CL_</v>
      </c>
      <c r="AR50" s="69" t="str">
        <f t="shared" si="3"/>
        <v/>
      </c>
      <c r="AS50" s="69" t="str">
        <f t="shared" si="4"/>
        <v/>
      </c>
      <c r="AT50" s="69" t="str">
        <f t="shared" si="1"/>
        <v/>
      </c>
    </row>
    <row r="51" spans="2:46">
      <c r="B51" s="136"/>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(U1)ALERT_REQ_S_LCA_BC_CL_</v>
      </c>
      <c r="AR51" s="69" t="str">
        <f t="shared" si="3"/>
        <v/>
      </c>
      <c r="AS51" s="69" t="str">
        <f t="shared" si="4"/>
        <v/>
      </c>
      <c r="AT51" s="69" t="str">
        <f t="shared" si="1"/>
        <v/>
      </c>
    </row>
    <row r="52" spans="2:46">
      <c r="B52" s="136"/>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(U1)ALERT_REQ_S_LCA_BC_CL_</v>
      </c>
      <c r="AR52" s="69" t="str">
        <f t="shared" si="3"/>
        <v/>
      </c>
      <c r="AS52" s="69" t="str">
        <f t="shared" si="4"/>
        <v/>
      </c>
      <c r="AT52" s="69" t="str">
        <f t="shared" si="1"/>
        <v/>
      </c>
    </row>
    <row r="53" spans="2:46">
      <c r="B53" s="136"/>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(U1)ALERT_REQ_S_LCA_BC_CL_</v>
      </c>
      <c r="AR53" s="69" t="str">
        <f t="shared" si="3"/>
        <v/>
      </c>
      <c r="AS53" s="69" t="str">
        <f t="shared" si="4"/>
        <v/>
      </c>
      <c r="AT53" s="69" t="str">
        <f t="shared" si="1"/>
        <v/>
      </c>
    </row>
    <row r="54" spans="2:46">
      <c r="B54" s="136"/>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(U1)ALERT_REQ_S_LCA_BC_CL_</v>
      </c>
      <c r="AR54" s="69" t="str">
        <f t="shared" si="3"/>
        <v/>
      </c>
      <c r="AS54" s="69" t="str">
        <f t="shared" si="4"/>
        <v/>
      </c>
      <c r="AT54" s="69" t="str">
        <f t="shared" si="1"/>
        <v/>
      </c>
    </row>
    <row r="55" spans="2:46">
      <c r="B55" s="136"/>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(U1)ALERT_REQ_S_LCA_BC_CL_</v>
      </c>
      <c r="AR55" s="69" t="str">
        <f t="shared" si="3"/>
        <v/>
      </c>
      <c r="AS55" s="69" t="str">
        <f t="shared" si="4"/>
        <v/>
      </c>
      <c r="AT55" s="69" t="str">
        <f t="shared" si="1"/>
        <v/>
      </c>
    </row>
    <row r="56" spans="2:46">
      <c r="B56" s="136"/>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(U1)ALERT_REQ_S_LCA_BC_CL_</v>
      </c>
      <c r="AR56" s="69" t="str">
        <f t="shared" si="3"/>
        <v/>
      </c>
      <c r="AS56" s="69" t="str">
        <f t="shared" si="4"/>
        <v/>
      </c>
      <c r="AT56" s="69" t="str">
        <f t="shared" si="1"/>
        <v/>
      </c>
    </row>
    <row r="57" spans="2:46">
      <c r="B57" s="136"/>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(U1)ALERT_REQ_S_LCA_BC_CL_</v>
      </c>
      <c r="AR57" s="69" t="str">
        <f t="shared" si="3"/>
        <v/>
      </c>
      <c r="AS57" s="69" t="str">
        <f t="shared" si="4"/>
        <v/>
      </c>
      <c r="AT57" s="69" t="str">
        <f t="shared" si="1"/>
        <v/>
      </c>
    </row>
    <row r="58" spans="2:46">
      <c r="B58" s="136"/>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(U1)ALERT_REQ_S_LCA_BC_CL_</v>
      </c>
      <c r="AR58" s="69" t="str">
        <f t="shared" si="3"/>
        <v/>
      </c>
      <c r="AS58" s="69" t="str">
        <f t="shared" si="4"/>
        <v/>
      </c>
      <c r="AT58" s="69" t="str">
        <f t="shared" si="1"/>
        <v/>
      </c>
    </row>
    <row r="59" spans="2:46">
      <c r="B59" s="136"/>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(U1)ALERT_REQ_S_LCA_BC_CL_</v>
      </c>
      <c r="AR59" s="69" t="str">
        <f t="shared" si="3"/>
        <v/>
      </c>
      <c r="AS59" s="69" t="str">
        <f t="shared" si="4"/>
        <v/>
      </c>
      <c r="AT59" s="69" t="str">
        <f t="shared" si="1"/>
        <v/>
      </c>
    </row>
    <row r="60" spans="2:46">
      <c r="B60" s="136"/>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(U1)ALERT_REQ_S_LCA_BC_CL_</v>
      </c>
      <c r="AR60" s="69" t="str">
        <f t="shared" si="3"/>
        <v/>
      </c>
      <c r="AS60" s="69" t="str">
        <f t="shared" si="4"/>
        <v/>
      </c>
      <c r="AT60" s="69" t="str">
        <f t="shared" si="1"/>
        <v/>
      </c>
    </row>
    <row r="61" spans="2:46">
      <c r="B61" s="136"/>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(U1)ALERT_REQ_S_LCA_BC_CL_</v>
      </c>
      <c r="AR61" s="69" t="str">
        <f t="shared" si="3"/>
        <v/>
      </c>
      <c r="AS61" s="69" t="str">
        <f t="shared" si="4"/>
        <v/>
      </c>
      <c r="AT61" s="69" t="str">
        <f t="shared" si="1"/>
        <v/>
      </c>
    </row>
    <row r="62" spans="2:46">
      <c r="B62" s="136"/>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(U1)ALERT_REQ_S_LCA_BC_CL_</v>
      </c>
      <c r="AR62" s="69" t="str">
        <f t="shared" si="3"/>
        <v/>
      </c>
      <c r="AS62" s="69" t="str">
        <f t="shared" si="4"/>
        <v/>
      </c>
      <c r="AT62" s="69" t="str">
        <f t="shared" si="1"/>
        <v/>
      </c>
    </row>
    <row r="63" spans="2:46">
      <c r="B63" s="136"/>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(U1)ALERT_REQ_S_LCA_BC_CL_</v>
      </c>
      <c r="AR63" s="69" t="str">
        <f t="shared" si="3"/>
        <v/>
      </c>
      <c r="AS63" s="69" t="str">
        <f t="shared" si="4"/>
        <v/>
      </c>
      <c r="AT63" s="69" t="str">
        <f t="shared" si="1"/>
        <v/>
      </c>
    </row>
    <row r="64" spans="2:46">
      <c r="B64" s="136"/>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(U1)ALERT_REQ_S_LCA_BC_CL_</v>
      </c>
      <c r="AR64" s="69" t="str">
        <f t="shared" si="3"/>
        <v/>
      </c>
      <c r="AS64" s="69" t="str">
        <f t="shared" si="4"/>
        <v/>
      </c>
      <c r="AT64" s="69" t="str">
        <f t="shared" si="1"/>
        <v/>
      </c>
    </row>
    <row r="65" spans="1:46">
      <c r="B65" s="136"/>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(U1)ALERT_REQ_S_LCA_BC_CL_</v>
      </c>
      <c r="AR65" s="69" t="str">
        <f t="shared" si="3"/>
        <v/>
      </c>
      <c r="AS65" s="69" t="str">
        <f t="shared" si="4"/>
        <v/>
      </c>
      <c r="AT65" s="69" t="str">
        <f t="shared" si="1"/>
        <v/>
      </c>
    </row>
    <row r="66" spans="1:46">
      <c r="B66" s="136"/>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(U1)ALERT_REQ_S_LCA_BC_CL_</v>
      </c>
      <c r="AR66" s="69" t="str">
        <f t="shared" si="3"/>
        <v/>
      </c>
      <c r="AS66" s="69" t="str">
        <f t="shared" si="4"/>
        <v/>
      </c>
      <c r="AT66" s="69" t="str">
        <f t="shared" si="1"/>
        <v/>
      </c>
    </row>
    <row r="67" spans="1:46">
      <c r="B67" s="136"/>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(U1)ALERT_REQ_S_LCA_BC_CL_</v>
      </c>
      <c r="AR67" s="69" t="str">
        <f t="shared" si="3"/>
        <v/>
      </c>
      <c r="AS67" s="69" t="str">
        <f t="shared" si="4"/>
        <v/>
      </c>
      <c r="AT67" s="69" t="str">
        <f t="shared" si="1"/>
        <v/>
      </c>
    </row>
    <row r="68" spans="1:46">
      <c r="B68" s="136"/>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(U1)ALERT_REQ_S_LCA_BC_CL_</v>
      </c>
      <c r="AR68" s="69" t="str">
        <f t="shared" si="3"/>
        <v/>
      </c>
      <c r="AS68" s="69" t="str">
        <f t="shared" si="4"/>
        <v/>
      </c>
      <c r="AT68" s="69" t="str">
        <f t="shared" si="1"/>
        <v/>
      </c>
    </row>
    <row r="69" spans="1:46">
      <c r="B69" s="137"/>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(U1)ALERT_REQ_S_LCA_BC_CL_</v>
      </c>
      <c r="AR69" s="69" t="str">
        <f t="shared" si="3"/>
        <v/>
      </c>
      <c r="AS69" s="69" t="str">
        <f t="shared" si="4"/>
        <v/>
      </c>
      <c r="AT69" s="69" t="str">
        <f t="shared" si="1"/>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38" t="str">
        <f ca="1">IF(B6&lt;&gt;"",B6,"")</f>
        <v>Table BC_CL</v>
      </c>
      <c r="C71" s="54">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54">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54" t="str">
        <f t="shared" si="7"/>
        <v>DOUBLE</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DOUBLE                                          */</v>
      </c>
    </row>
    <row r="73" spans="1:46">
      <c r="B73" s="136"/>
      <c r="C73" s="54">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6"/>
      <c r="C74" s="54">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6"/>
      <c r="C75" s="54">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0</v>
      </c>
      <c r="AH75" s="130">
        <f t="shared" si="6"/>
        <v>0</v>
      </c>
      <c r="AI75" s="130">
        <f t="shared" si="6"/>
        <v>0</v>
      </c>
      <c r="AJ75" s="54" t="str">
        <f t="shared" si="7"/>
        <v/>
      </c>
      <c r="AK75" s="67"/>
      <c r="AL75" s="67" t="str">
        <f t="shared" si="10"/>
        <v>00</v>
      </c>
      <c r="AM75" s="67" t="str">
        <f t="shared" si="11"/>
        <v>00</v>
      </c>
      <c r="AN75" s="67" t="str">
        <f t="shared" si="12"/>
        <v>00</v>
      </c>
      <c r="AO75" s="67" t="str">
        <f t="shared" si="13"/>
        <v>00</v>
      </c>
      <c r="AQ75" t="str">
        <f t="shared" si="8"/>
        <v/>
      </c>
    </row>
    <row r="76" spans="1:46">
      <c r="B76" s="136"/>
      <c r="C76" s="54">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0</v>
      </c>
      <c r="AH76" s="130">
        <f t="shared" si="6"/>
        <v>0</v>
      </c>
      <c r="AI76" s="130">
        <f t="shared" si="6"/>
        <v>0</v>
      </c>
      <c r="AJ76" s="54" t="str">
        <f t="shared" si="7"/>
        <v/>
      </c>
      <c r="AK76" s="67"/>
      <c r="AL76" s="67" t="str">
        <f t="shared" si="10"/>
        <v>00</v>
      </c>
      <c r="AM76" s="67" t="str">
        <f t="shared" si="11"/>
        <v>00</v>
      </c>
      <c r="AN76" s="67" t="str">
        <f t="shared" si="12"/>
        <v>00</v>
      </c>
      <c r="AO76" s="67" t="str">
        <f t="shared" si="13"/>
        <v>00</v>
      </c>
      <c r="AQ76" t="str">
        <f t="shared" si="8"/>
        <v/>
      </c>
    </row>
    <row r="77" spans="1:46">
      <c r="B77" s="136"/>
      <c r="C77" s="54">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0</v>
      </c>
      <c r="AH77" s="130">
        <f t="shared" si="6"/>
        <v>0</v>
      </c>
      <c r="AI77" s="130">
        <f t="shared" si="6"/>
        <v>0</v>
      </c>
      <c r="AJ77" s="54" t="str">
        <f t="shared" si="7"/>
        <v/>
      </c>
      <c r="AK77" s="67"/>
      <c r="AL77" s="67" t="str">
        <f t="shared" si="10"/>
        <v>00</v>
      </c>
      <c r="AM77" s="67" t="str">
        <f t="shared" si="11"/>
        <v>00</v>
      </c>
      <c r="AN77" s="67" t="str">
        <f t="shared" si="12"/>
        <v>00</v>
      </c>
      <c r="AO77" s="67" t="str">
        <f t="shared" si="13"/>
        <v>00</v>
      </c>
      <c r="AQ77" t="str">
        <f t="shared" si="8"/>
        <v/>
      </c>
    </row>
    <row r="78" spans="1:46">
      <c r="B78" s="136"/>
      <c r="C78" s="54">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0</v>
      </c>
      <c r="AH78" s="130">
        <f t="shared" si="6"/>
        <v>0</v>
      </c>
      <c r="AI78" s="130">
        <f t="shared" ref="AI78" si="14">IF(AI13=1,1,0)</f>
        <v>0</v>
      </c>
      <c r="AJ78" s="54" t="str">
        <f t="shared" si="7"/>
        <v/>
      </c>
      <c r="AK78" s="67"/>
      <c r="AL78" s="67" t="str">
        <f t="shared" si="10"/>
        <v>00</v>
      </c>
      <c r="AM78" s="67" t="str">
        <f t="shared" si="11"/>
        <v>00</v>
      </c>
      <c r="AN78" s="67" t="str">
        <f t="shared" si="12"/>
        <v>00</v>
      </c>
      <c r="AO78" s="67" t="str">
        <f t="shared" si="13"/>
        <v>00</v>
      </c>
      <c r="AQ78" t="str">
        <f t="shared" si="8"/>
        <v/>
      </c>
    </row>
    <row r="79" spans="1:46">
      <c r="B79" s="136"/>
      <c r="C79" s="54">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0</v>
      </c>
      <c r="AG79" s="130">
        <f t="shared" si="15"/>
        <v>0</v>
      </c>
      <c r="AH79" s="130">
        <f t="shared" si="15"/>
        <v>0</v>
      </c>
      <c r="AI79" s="130">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6"/>
      <c r="C80" s="54">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0</v>
      </c>
      <c r="AG80" s="130">
        <f t="shared" si="15"/>
        <v>0</v>
      </c>
      <c r="AH80" s="130">
        <f t="shared" si="15"/>
        <v>0</v>
      </c>
      <c r="AI80" s="130">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6"/>
      <c r="C81" s="54">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0</v>
      </c>
      <c r="AG81" s="130">
        <f t="shared" si="15"/>
        <v>0</v>
      </c>
      <c r="AH81" s="130">
        <f t="shared" si="15"/>
        <v>0</v>
      </c>
      <c r="AI81" s="130">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6"/>
      <c r="C82" s="54">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0</v>
      </c>
      <c r="AG82" s="130">
        <f t="shared" si="15"/>
        <v>0</v>
      </c>
      <c r="AH82" s="130">
        <f t="shared" si="15"/>
        <v>0</v>
      </c>
      <c r="AI82" s="130">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6"/>
      <c r="C83" s="54">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0</v>
      </c>
      <c r="AG83" s="130">
        <f t="shared" si="15"/>
        <v>0</v>
      </c>
      <c r="AH83" s="130">
        <f t="shared" si="15"/>
        <v>0</v>
      </c>
      <c r="AI83" s="130">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6"/>
      <c r="C84" s="54">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0</v>
      </c>
      <c r="AG84" s="130">
        <f t="shared" si="15"/>
        <v>0</v>
      </c>
      <c r="AH84" s="130">
        <f t="shared" si="15"/>
        <v>0</v>
      </c>
      <c r="AI84" s="130">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6"/>
      <c r="C85" s="54">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0</v>
      </c>
      <c r="AG85" s="130">
        <f t="shared" si="15"/>
        <v>0</v>
      </c>
      <c r="AH85" s="130">
        <f t="shared" si="15"/>
        <v>0</v>
      </c>
      <c r="AI85" s="130">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6"/>
      <c r="C86" s="54">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0</v>
      </c>
      <c r="AG86" s="130">
        <f t="shared" si="15"/>
        <v>0</v>
      </c>
      <c r="AH86" s="130">
        <f t="shared" si="15"/>
        <v>0</v>
      </c>
      <c r="AI86" s="130">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6"/>
      <c r="C87" s="54">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0</v>
      </c>
      <c r="AF87" s="130">
        <f t="shared" si="17"/>
        <v>0</v>
      </c>
      <c r="AG87" s="130">
        <f t="shared" si="17"/>
        <v>0</v>
      </c>
      <c r="AH87" s="130">
        <f t="shared" si="17"/>
        <v>0</v>
      </c>
      <c r="AI87" s="130">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6"/>
      <c r="C88" s="54">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0</v>
      </c>
      <c r="AF88" s="130">
        <f t="shared" si="17"/>
        <v>0</v>
      </c>
      <c r="AG88" s="130">
        <f t="shared" si="17"/>
        <v>0</v>
      </c>
      <c r="AH88" s="130">
        <f t="shared" si="17"/>
        <v>0</v>
      </c>
      <c r="AI88" s="130">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6"/>
      <c r="C89" s="54">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0</v>
      </c>
      <c r="AF89" s="130">
        <f t="shared" si="17"/>
        <v>0</v>
      </c>
      <c r="AG89" s="130">
        <f t="shared" si="17"/>
        <v>0</v>
      </c>
      <c r="AH89" s="130">
        <f t="shared" si="17"/>
        <v>0</v>
      </c>
      <c r="AI89" s="130">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6"/>
      <c r="C90" s="54">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0</v>
      </c>
      <c r="AF90" s="130">
        <f t="shared" si="17"/>
        <v>0</v>
      </c>
      <c r="AG90" s="130">
        <f t="shared" si="17"/>
        <v>0</v>
      </c>
      <c r="AH90" s="130">
        <f t="shared" si="17"/>
        <v>0</v>
      </c>
      <c r="AI90" s="130">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6"/>
      <c r="C91" s="54">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0</v>
      </c>
      <c r="AF91" s="130">
        <f t="shared" si="17"/>
        <v>0</v>
      </c>
      <c r="AG91" s="130">
        <f t="shared" si="17"/>
        <v>0</v>
      </c>
      <c r="AH91" s="130">
        <f t="shared" si="17"/>
        <v>0</v>
      </c>
      <c r="AI91" s="130">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6"/>
      <c r="C92" s="54">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0</v>
      </c>
      <c r="AF92" s="130">
        <f t="shared" si="17"/>
        <v>0</v>
      </c>
      <c r="AG92" s="130">
        <f t="shared" si="17"/>
        <v>0</v>
      </c>
      <c r="AH92" s="130">
        <f t="shared" si="17"/>
        <v>0</v>
      </c>
      <c r="AI92" s="130">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6"/>
      <c r="C93" s="54">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0</v>
      </c>
      <c r="AF93" s="130">
        <f t="shared" si="17"/>
        <v>0</v>
      </c>
      <c r="AG93" s="130">
        <f t="shared" si="17"/>
        <v>0</v>
      </c>
      <c r="AH93" s="130">
        <f t="shared" si="17"/>
        <v>0</v>
      </c>
      <c r="AI93" s="130">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6"/>
      <c r="C94" s="54">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0</v>
      </c>
      <c r="AF94" s="130">
        <f t="shared" si="17"/>
        <v>0</v>
      </c>
      <c r="AG94" s="130">
        <f t="shared" si="17"/>
        <v>0</v>
      </c>
      <c r="AH94" s="130">
        <f t="shared" si="17"/>
        <v>0</v>
      </c>
      <c r="AI94" s="130">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6"/>
      <c r="C95" s="54">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0</v>
      </c>
      <c r="AF95" s="130">
        <f t="shared" si="19"/>
        <v>0</v>
      </c>
      <c r="AG95" s="130">
        <f t="shared" si="19"/>
        <v>0</v>
      </c>
      <c r="AH95" s="130">
        <f t="shared" si="19"/>
        <v>0</v>
      </c>
      <c r="AI95" s="130">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6"/>
      <c r="C96" s="54">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0</v>
      </c>
      <c r="AF96" s="130">
        <f t="shared" si="19"/>
        <v>0</v>
      </c>
      <c r="AG96" s="130">
        <f t="shared" si="19"/>
        <v>0</v>
      </c>
      <c r="AH96" s="130">
        <f t="shared" si="19"/>
        <v>0</v>
      </c>
      <c r="AI96" s="130">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6"/>
      <c r="C97" s="54">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0</v>
      </c>
      <c r="AF97" s="130">
        <f t="shared" si="19"/>
        <v>0</v>
      </c>
      <c r="AG97" s="130">
        <f t="shared" si="19"/>
        <v>0</v>
      </c>
      <c r="AH97" s="130">
        <f t="shared" si="19"/>
        <v>0</v>
      </c>
      <c r="AI97" s="130">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6"/>
      <c r="C98" s="54">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0</v>
      </c>
      <c r="AF98" s="130">
        <f t="shared" si="19"/>
        <v>0</v>
      </c>
      <c r="AG98" s="130">
        <f t="shared" si="19"/>
        <v>0</v>
      </c>
      <c r="AH98" s="130">
        <f t="shared" si="19"/>
        <v>0</v>
      </c>
      <c r="AI98" s="130">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6"/>
      <c r="C99" s="54">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0</v>
      </c>
      <c r="AF99" s="130">
        <f t="shared" si="19"/>
        <v>0</v>
      </c>
      <c r="AG99" s="130">
        <f t="shared" si="19"/>
        <v>0</v>
      </c>
      <c r="AH99" s="130">
        <f t="shared" si="19"/>
        <v>0</v>
      </c>
      <c r="AI99" s="130">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6"/>
      <c r="C100" s="54">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0</v>
      </c>
      <c r="AF100" s="130">
        <f t="shared" si="19"/>
        <v>0</v>
      </c>
      <c r="AG100" s="130">
        <f t="shared" si="19"/>
        <v>0</v>
      </c>
      <c r="AH100" s="130">
        <f t="shared" si="19"/>
        <v>0</v>
      </c>
      <c r="AI100" s="130">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6"/>
      <c r="C101" s="54">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0</v>
      </c>
      <c r="AF101" s="130">
        <f t="shared" si="19"/>
        <v>0</v>
      </c>
      <c r="AG101" s="130">
        <f t="shared" si="19"/>
        <v>0</v>
      </c>
      <c r="AH101" s="130">
        <f t="shared" si="19"/>
        <v>0</v>
      </c>
      <c r="AI101" s="130">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6"/>
      <c r="C102" s="54">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0</v>
      </c>
      <c r="AF102" s="130">
        <f t="shared" si="19"/>
        <v>0</v>
      </c>
      <c r="AG102" s="130">
        <f t="shared" si="19"/>
        <v>0</v>
      </c>
      <c r="AH102" s="130">
        <f t="shared" si="19"/>
        <v>0</v>
      </c>
      <c r="AI102" s="130">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6"/>
      <c r="C103" s="54">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0</v>
      </c>
      <c r="AE103" s="130">
        <f t="shared" si="21"/>
        <v>0</v>
      </c>
      <c r="AF103" s="130">
        <f t="shared" si="21"/>
        <v>0</v>
      </c>
      <c r="AG103" s="130">
        <f t="shared" si="21"/>
        <v>0</v>
      </c>
      <c r="AH103" s="130">
        <f t="shared" si="21"/>
        <v>0</v>
      </c>
      <c r="AI103" s="130">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6"/>
      <c r="C104" s="54">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0</v>
      </c>
      <c r="AE104" s="130">
        <f t="shared" si="21"/>
        <v>0</v>
      </c>
      <c r="AF104" s="130">
        <f t="shared" si="21"/>
        <v>0</v>
      </c>
      <c r="AG104" s="130">
        <f t="shared" si="21"/>
        <v>0</v>
      </c>
      <c r="AH104" s="130">
        <f t="shared" si="21"/>
        <v>0</v>
      </c>
      <c r="AI104" s="130">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6"/>
      <c r="C105" s="54">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0</v>
      </c>
      <c r="AE105" s="130">
        <f t="shared" si="21"/>
        <v>0</v>
      </c>
      <c r="AF105" s="130">
        <f t="shared" si="21"/>
        <v>0</v>
      </c>
      <c r="AG105" s="130">
        <f t="shared" si="21"/>
        <v>0</v>
      </c>
      <c r="AH105" s="130">
        <f t="shared" si="21"/>
        <v>0</v>
      </c>
      <c r="AI105" s="130">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6"/>
      <c r="C106" s="54">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0</v>
      </c>
      <c r="AE106" s="130">
        <f t="shared" si="21"/>
        <v>0</v>
      </c>
      <c r="AF106" s="130">
        <f t="shared" si="21"/>
        <v>0</v>
      </c>
      <c r="AG106" s="130">
        <f t="shared" si="21"/>
        <v>0</v>
      </c>
      <c r="AH106" s="130">
        <f t="shared" si="21"/>
        <v>0</v>
      </c>
      <c r="AI106" s="130">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6"/>
      <c r="C107" s="54">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0</v>
      </c>
      <c r="AE107" s="130">
        <f t="shared" si="21"/>
        <v>0</v>
      </c>
      <c r="AF107" s="130">
        <f t="shared" si="21"/>
        <v>0</v>
      </c>
      <c r="AG107" s="130">
        <f t="shared" si="21"/>
        <v>0</v>
      </c>
      <c r="AH107" s="130">
        <f t="shared" si="21"/>
        <v>0</v>
      </c>
      <c r="AI107" s="130">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6"/>
      <c r="C108" s="54">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0</v>
      </c>
      <c r="AE108" s="130">
        <f t="shared" si="21"/>
        <v>0</v>
      </c>
      <c r="AF108" s="130">
        <f t="shared" si="21"/>
        <v>0</v>
      </c>
      <c r="AG108" s="130">
        <f t="shared" si="21"/>
        <v>0</v>
      </c>
      <c r="AH108" s="130">
        <f t="shared" si="21"/>
        <v>0</v>
      </c>
      <c r="AI108" s="130">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6"/>
      <c r="C109" s="54">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0</v>
      </c>
      <c r="AE109" s="130">
        <f t="shared" si="21"/>
        <v>0</v>
      </c>
      <c r="AF109" s="130">
        <f t="shared" si="21"/>
        <v>0</v>
      </c>
      <c r="AG109" s="130">
        <f t="shared" si="21"/>
        <v>0</v>
      </c>
      <c r="AH109" s="130">
        <f t="shared" si="21"/>
        <v>0</v>
      </c>
      <c r="AI109" s="130">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6"/>
      <c r="C110" s="54">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0</v>
      </c>
      <c r="AE110" s="130">
        <f t="shared" si="21"/>
        <v>0</v>
      </c>
      <c r="AF110" s="130">
        <f t="shared" si="21"/>
        <v>0</v>
      </c>
      <c r="AG110" s="130">
        <f t="shared" si="21"/>
        <v>0</v>
      </c>
      <c r="AH110" s="130">
        <f t="shared" si="21"/>
        <v>0</v>
      </c>
      <c r="AI110" s="130">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6"/>
      <c r="C111" s="54">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0</v>
      </c>
      <c r="AE111" s="130">
        <f t="shared" si="23"/>
        <v>0</v>
      </c>
      <c r="AF111" s="130">
        <f t="shared" si="23"/>
        <v>0</v>
      </c>
      <c r="AG111" s="130">
        <f t="shared" si="23"/>
        <v>0</v>
      </c>
      <c r="AH111" s="130">
        <f t="shared" si="23"/>
        <v>0</v>
      </c>
      <c r="AI111" s="130">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6"/>
      <c r="C112" s="54">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0</v>
      </c>
      <c r="AE112" s="130">
        <f t="shared" si="23"/>
        <v>0</v>
      </c>
      <c r="AF112" s="130">
        <f t="shared" si="23"/>
        <v>0</v>
      </c>
      <c r="AG112" s="130">
        <f t="shared" si="23"/>
        <v>0</v>
      </c>
      <c r="AH112" s="130">
        <f t="shared" si="23"/>
        <v>0</v>
      </c>
      <c r="AI112" s="130">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6"/>
      <c r="C113" s="54">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0</v>
      </c>
      <c r="AE113" s="130">
        <f t="shared" si="23"/>
        <v>0</v>
      </c>
      <c r="AF113" s="130">
        <f t="shared" si="23"/>
        <v>0</v>
      </c>
      <c r="AG113" s="130">
        <f t="shared" si="23"/>
        <v>0</v>
      </c>
      <c r="AH113" s="130">
        <f t="shared" si="23"/>
        <v>0</v>
      </c>
      <c r="AI113" s="130">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6"/>
      <c r="C114" s="54">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0</v>
      </c>
      <c r="AE114" s="130">
        <f t="shared" si="23"/>
        <v>0</v>
      </c>
      <c r="AF114" s="130">
        <f t="shared" si="23"/>
        <v>0</v>
      </c>
      <c r="AG114" s="130">
        <f t="shared" si="23"/>
        <v>0</v>
      </c>
      <c r="AH114" s="130">
        <f t="shared" si="23"/>
        <v>0</v>
      </c>
      <c r="AI114" s="130">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6"/>
      <c r="C115" s="54">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0</v>
      </c>
      <c r="AE115" s="130">
        <f t="shared" si="23"/>
        <v>0</v>
      </c>
      <c r="AF115" s="130">
        <f t="shared" si="23"/>
        <v>0</v>
      </c>
      <c r="AG115" s="130">
        <f t="shared" si="23"/>
        <v>0</v>
      </c>
      <c r="AH115" s="130">
        <f t="shared" si="23"/>
        <v>0</v>
      </c>
      <c r="AI115" s="130">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6"/>
      <c r="C116" s="54">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0</v>
      </c>
      <c r="AE116" s="130">
        <f t="shared" si="23"/>
        <v>0</v>
      </c>
      <c r="AF116" s="130">
        <f t="shared" si="23"/>
        <v>0</v>
      </c>
      <c r="AG116" s="130">
        <f t="shared" si="23"/>
        <v>0</v>
      </c>
      <c r="AH116" s="130">
        <f t="shared" si="23"/>
        <v>0</v>
      </c>
      <c r="AI116" s="130">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6"/>
      <c r="C117" s="54">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0</v>
      </c>
      <c r="AE117" s="130">
        <f t="shared" si="23"/>
        <v>0</v>
      </c>
      <c r="AF117" s="130">
        <f t="shared" si="23"/>
        <v>0</v>
      </c>
      <c r="AG117" s="130">
        <f t="shared" si="23"/>
        <v>0</v>
      </c>
      <c r="AH117" s="130">
        <f t="shared" si="23"/>
        <v>0</v>
      </c>
      <c r="AI117" s="130">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6"/>
      <c r="C118" s="54">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0</v>
      </c>
      <c r="AE118" s="130">
        <f t="shared" si="23"/>
        <v>0</v>
      </c>
      <c r="AF118" s="130">
        <f t="shared" si="23"/>
        <v>0</v>
      </c>
      <c r="AG118" s="130">
        <f t="shared" si="23"/>
        <v>0</v>
      </c>
      <c r="AH118" s="130">
        <f t="shared" si="23"/>
        <v>0</v>
      </c>
      <c r="AI118" s="130">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6"/>
      <c r="C119" s="54">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0</v>
      </c>
      <c r="AE119" s="130">
        <f t="shared" si="25"/>
        <v>0</v>
      </c>
      <c r="AF119" s="130">
        <f t="shared" si="25"/>
        <v>0</v>
      </c>
      <c r="AG119" s="130">
        <f t="shared" si="25"/>
        <v>0</v>
      </c>
      <c r="AH119" s="130">
        <f t="shared" si="25"/>
        <v>0</v>
      </c>
      <c r="AI119" s="130">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6"/>
      <c r="C120" s="54">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0</v>
      </c>
      <c r="AE120" s="130">
        <f t="shared" si="25"/>
        <v>0</v>
      </c>
      <c r="AF120" s="130">
        <f t="shared" si="25"/>
        <v>0</v>
      </c>
      <c r="AG120" s="130">
        <f t="shared" si="25"/>
        <v>0</v>
      </c>
      <c r="AH120" s="130">
        <f t="shared" si="25"/>
        <v>0</v>
      </c>
      <c r="AI120" s="130">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6"/>
      <c r="C121" s="54">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0</v>
      </c>
      <c r="AE121" s="130">
        <f t="shared" si="25"/>
        <v>0</v>
      </c>
      <c r="AF121" s="130">
        <f t="shared" si="25"/>
        <v>0</v>
      </c>
      <c r="AG121" s="130">
        <f t="shared" si="25"/>
        <v>0</v>
      </c>
      <c r="AH121" s="130">
        <f t="shared" si="25"/>
        <v>0</v>
      </c>
      <c r="AI121" s="130">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6"/>
      <c r="C122" s="54">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0</v>
      </c>
      <c r="AE122" s="130">
        <f t="shared" si="25"/>
        <v>0</v>
      </c>
      <c r="AF122" s="130">
        <f t="shared" si="25"/>
        <v>0</v>
      </c>
      <c r="AG122" s="130">
        <f t="shared" si="25"/>
        <v>0</v>
      </c>
      <c r="AH122" s="130">
        <f t="shared" si="25"/>
        <v>0</v>
      </c>
      <c r="AI122" s="130">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6"/>
      <c r="C123" s="54">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0</v>
      </c>
      <c r="AE123" s="130">
        <f t="shared" si="25"/>
        <v>0</v>
      </c>
      <c r="AF123" s="130">
        <f t="shared" si="25"/>
        <v>0</v>
      </c>
      <c r="AG123" s="130">
        <f t="shared" si="25"/>
        <v>0</v>
      </c>
      <c r="AH123" s="130">
        <f t="shared" si="25"/>
        <v>0</v>
      </c>
      <c r="AI123" s="130">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6"/>
      <c r="C124" s="54">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0</v>
      </c>
      <c r="AE124" s="130">
        <f t="shared" si="25"/>
        <v>0</v>
      </c>
      <c r="AF124" s="130">
        <f t="shared" si="25"/>
        <v>0</v>
      </c>
      <c r="AG124" s="130">
        <f t="shared" si="25"/>
        <v>0</v>
      </c>
      <c r="AH124" s="130">
        <f t="shared" si="25"/>
        <v>0</v>
      </c>
      <c r="AI124" s="130">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6"/>
      <c r="C125" s="54">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0</v>
      </c>
      <c r="AE125" s="130">
        <f t="shared" si="25"/>
        <v>0</v>
      </c>
      <c r="AF125" s="130">
        <f t="shared" si="25"/>
        <v>0</v>
      </c>
      <c r="AG125" s="130">
        <f t="shared" si="25"/>
        <v>0</v>
      </c>
      <c r="AH125" s="130">
        <f t="shared" si="25"/>
        <v>0</v>
      </c>
      <c r="AI125" s="130">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6"/>
      <c r="C126" s="54">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0</v>
      </c>
      <c r="AE126" s="130">
        <f t="shared" si="25"/>
        <v>0</v>
      </c>
      <c r="AF126" s="130">
        <f t="shared" si="25"/>
        <v>0</v>
      </c>
      <c r="AG126" s="130">
        <f t="shared" si="25"/>
        <v>0</v>
      </c>
      <c r="AH126" s="130">
        <f t="shared" si="25"/>
        <v>0</v>
      </c>
      <c r="AI126" s="130">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6"/>
      <c r="C127" s="54">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0</v>
      </c>
      <c r="AE127" s="130">
        <f t="shared" si="27"/>
        <v>0</v>
      </c>
      <c r="AF127" s="130">
        <f t="shared" si="27"/>
        <v>0</v>
      </c>
      <c r="AG127" s="130">
        <f t="shared" si="27"/>
        <v>0</v>
      </c>
      <c r="AH127" s="130">
        <f t="shared" si="27"/>
        <v>0</v>
      </c>
      <c r="AI127" s="130">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6"/>
      <c r="C128" s="54">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0</v>
      </c>
      <c r="AE128" s="130">
        <f t="shared" si="27"/>
        <v>0</v>
      </c>
      <c r="AF128" s="130">
        <f t="shared" si="27"/>
        <v>0</v>
      </c>
      <c r="AG128" s="130">
        <f t="shared" si="27"/>
        <v>0</v>
      </c>
      <c r="AH128" s="130">
        <f t="shared" si="27"/>
        <v>0</v>
      </c>
      <c r="AI128" s="130">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6"/>
      <c r="C129" s="54">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0</v>
      </c>
      <c r="AE129" s="130">
        <f t="shared" si="27"/>
        <v>0</v>
      </c>
      <c r="AF129" s="130">
        <f t="shared" si="27"/>
        <v>0</v>
      </c>
      <c r="AG129" s="130">
        <f t="shared" si="27"/>
        <v>0</v>
      </c>
      <c r="AH129" s="130">
        <f t="shared" si="27"/>
        <v>0</v>
      </c>
      <c r="AI129" s="130">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6"/>
      <c r="C130" s="54">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0</v>
      </c>
      <c r="AE130" s="130">
        <f t="shared" si="27"/>
        <v>0</v>
      </c>
      <c r="AF130" s="130">
        <f t="shared" si="27"/>
        <v>0</v>
      </c>
      <c r="AG130" s="130">
        <f t="shared" si="27"/>
        <v>0</v>
      </c>
      <c r="AH130" s="130">
        <f t="shared" si="27"/>
        <v>0</v>
      </c>
      <c r="AI130" s="130">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6"/>
      <c r="C131" s="54">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0</v>
      </c>
      <c r="AE131" s="130">
        <f t="shared" si="27"/>
        <v>0</v>
      </c>
      <c r="AF131" s="130">
        <f t="shared" si="27"/>
        <v>0</v>
      </c>
      <c r="AG131" s="130">
        <f t="shared" si="27"/>
        <v>0</v>
      </c>
      <c r="AH131" s="130">
        <f t="shared" si="27"/>
        <v>0</v>
      </c>
      <c r="AI131" s="130">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6"/>
      <c r="C132" s="54">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0</v>
      </c>
      <c r="AE132" s="130">
        <f t="shared" si="27"/>
        <v>0</v>
      </c>
      <c r="AF132" s="130">
        <f t="shared" si="27"/>
        <v>0</v>
      </c>
      <c r="AG132" s="130">
        <f t="shared" si="27"/>
        <v>0</v>
      </c>
      <c r="AH132" s="130">
        <f t="shared" si="27"/>
        <v>0</v>
      </c>
      <c r="AI132" s="130">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6"/>
      <c r="C133" s="54">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0</v>
      </c>
      <c r="AE133" s="130">
        <f t="shared" si="27"/>
        <v>0</v>
      </c>
      <c r="AF133" s="130">
        <f t="shared" si="27"/>
        <v>0</v>
      </c>
      <c r="AG133" s="130">
        <f t="shared" si="27"/>
        <v>0</v>
      </c>
      <c r="AH133" s="130">
        <f t="shared" si="27"/>
        <v>0</v>
      </c>
      <c r="AI133" s="130">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7"/>
      <c r="C134" s="54">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0</v>
      </c>
      <c r="AE134" s="130">
        <f t="shared" si="27"/>
        <v>0</v>
      </c>
      <c r="AF134" s="130">
        <f t="shared" si="27"/>
        <v>0</v>
      </c>
      <c r="AG134" s="130">
        <f t="shared" si="27"/>
        <v>0</v>
      </c>
      <c r="AH134" s="130">
        <f t="shared" si="27"/>
        <v>0</v>
      </c>
      <c r="AI134" s="130">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38" t="str">
        <f ca="1">IF(B6&lt;&gt;"",B6,"")</f>
        <v>Table BC_CL</v>
      </c>
      <c r="C136" s="54">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0</v>
      </c>
      <c r="AE136" s="130">
        <f t="shared" si="29"/>
        <v>0</v>
      </c>
      <c r="AF136" s="130">
        <f t="shared" si="29"/>
        <v>0</v>
      </c>
      <c r="AG136" s="130">
        <f t="shared" si="29"/>
        <v>0</v>
      </c>
      <c r="AH136" s="130">
        <f t="shared" si="29"/>
        <v>1</v>
      </c>
      <c r="AI136" s="130">
        <f t="shared" si="29"/>
        <v>1</v>
      </c>
      <c r="AJ136" s="54" t="str">
        <f t="shared" ref="AJ136:AJ199" si="30">IF(AJ6&lt;&gt;"",AJ6,"")</f>
        <v>UNKNOWN</v>
      </c>
      <c r="AK136" s="67"/>
      <c r="AL136" s="67" t="str">
        <f>BIN2HEX(AB136&amp;AC136&amp;AD136&amp;AE136&amp;AF136&amp;AG136&amp;AH136&amp;AI136,2)</f>
        <v>03</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6"/>
      <c r="C137" s="54">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0</v>
      </c>
      <c r="AE137" s="130">
        <f t="shared" si="29"/>
        <v>0</v>
      </c>
      <c r="AF137" s="130">
        <f t="shared" si="29"/>
        <v>0</v>
      </c>
      <c r="AG137" s="130">
        <f t="shared" si="29"/>
        <v>0</v>
      </c>
      <c r="AH137" s="130">
        <f t="shared" si="29"/>
        <v>1</v>
      </c>
      <c r="AI137" s="130">
        <f t="shared" si="29"/>
        <v>1</v>
      </c>
      <c r="AJ137" s="54" t="str">
        <f t="shared" si="30"/>
        <v>DOUBLE</v>
      </c>
      <c r="AK137" s="67"/>
      <c r="AL137" s="67" t="str">
        <f t="shared" ref="AL137:AL199" si="33">BIN2HEX(AB137&amp;AC137&amp;AD137&amp;AE137&amp;AF137&amp;AG137&amp;AH137&amp;AI137,2)</f>
        <v>03</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(U4)0x00000003U,                                                           /* 01 DOUBLE                                          */</v>
      </c>
    </row>
    <row r="138" spans="1:43">
      <c r="B138" s="136"/>
      <c r="C138" s="54">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0</v>
      </c>
      <c r="AE138" s="130">
        <f t="shared" si="29"/>
        <v>0</v>
      </c>
      <c r="AF138" s="130">
        <f t="shared" si="29"/>
        <v>0</v>
      </c>
      <c r="AG138" s="130">
        <f t="shared" si="29"/>
        <v>0</v>
      </c>
      <c r="AH138" s="130">
        <f t="shared" si="29"/>
        <v>1</v>
      </c>
      <c r="AI138" s="130">
        <f t="shared" si="29"/>
        <v>1</v>
      </c>
      <c r="AJ138" s="54" t="str">
        <f t="shared" si="30"/>
        <v>UNKNOWN</v>
      </c>
      <c r="AK138" s="67"/>
      <c r="AL138" s="67" t="str">
        <f t="shared" si="33"/>
        <v>03</v>
      </c>
      <c r="AM138" s="67" t="str">
        <f t="shared" si="34"/>
        <v>00</v>
      </c>
      <c r="AN138" s="67" t="str">
        <f t="shared" si="35"/>
        <v>00</v>
      </c>
      <c r="AO138" s="67" t="str">
        <f t="shared" si="36"/>
        <v>00</v>
      </c>
      <c r="AQ138" t="str">
        <f t="shared" si="31"/>
        <v xml:space="preserve">    (U4)0x00000003U,                                                           /* 02 UNKNOWN                                         */</v>
      </c>
    </row>
    <row r="139" spans="1:43">
      <c r="B139" s="136"/>
      <c r="C139" s="54">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0</v>
      </c>
      <c r="AE139" s="130">
        <f t="shared" si="29"/>
        <v>0</v>
      </c>
      <c r="AF139" s="130">
        <f t="shared" si="29"/>
        <v>0</v>
      </c>
      <c r="AG139" s="130">
        <f t="shared" si="29"/>
        <v>0</v>
      </c>
      <c r="AH139" s="130">
        <f t="shared" si="29"/>
        <v>1</v>
      </c>
      <c r="AI139" s="130">
        <f t="shared" si="29"/>
        <v>1</v>
      </c>
      <c r="AJ139" s="54" t="str">
        <f t="shared" si="30"/>
        <v>UNKNOWN</v>
      </c>
      <c r="AK139" s="67"/>
      <c r="AL139" s="67" t="str">
        <f t="shared" si="33"/>
        <v>03</v>
      </c>
      <c r="AM139" s="67" t="str">
        <f t="shared" si="34"/>
        <v>00</v>
      </c>
      <c r="AN139" s="67" t="str">
        <f t="shared" si="35"/>
        <v>00</v>
      </c>
      <c r="AO139" s="67" t="str">
        <f t="shared" si="36"/>
        <v>00</v>
      </c>
      <c r="AQ139" t="str">
        <f t="shared" si="31"/>
        <v xml:space="preserve">    (U4)0x00000003U                                                            /* 03 UNKNOWN                                         */</v>
      </c>
    </row>
    <row r="140" spans="1:43">
      <c r="B140" s="136"/>
      <c r="C140" s="54">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0</v>
      </c>
      <c r="AE140" s="130">
        <f t="shared" si="29"/>
        <v>0</v>
      </c>
      <c r="AF140" s="130">
        <f t="shared" si="29"/>
        <v>0</v>
      </c>
      <c r="AG140" s="130">
        <f t="shared" si="29"/>
        <v>0</v>
      </c>
      <c r="AH140" s="130">
        <f t="shared" si="29"/>
        <v>0</v>
      </c>
      <c r="AI140" s="130">
        <f t="shared" si="29"/>
        <v>0</v>
      </c>
      <c r="AJ140" s="54" t="str">
        <f t="shared" si="30"/>
        <v/>
      </c>
      <c r="AK140" s="67"/>
      <c r="AL140" s="67" t="str">
        <f t="shared" si="33"/>
        <v>00</v>
      </c>
      <c r="AM140" s="67" t="str">
        <f t="shared" si="34"/>
        <v>00</v>
      </c>
      <c r="AN140" s="67" t="str">
        <f t="shared" si="35"/>
        <v>00</v>
      </c>
      <c r="AO140" s="67" t="str">
        <f t="shared" si="36"/>
        <v>00</v>
      </c>
      <c r="AQ140" t="str">
        <f t="shared" si="31"/>
        <v/>
      </c>
    </row>
    <row r="141" spans="1:43">
      <c r="B141" s="136"/>
      <c r="C141" s="54">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0</v>
      </c>
      <c r="AE141" s="130">
        <f t="shared" si="29"/>
        <v>0</v>
      </c>
      <c r="AF141" s="130">
        <f t="shared" si="29"/>
        <v>0</v>
      </c>
      <c r="AG141" s="130">
        <f t="shared" si="29"/>
        <v>0</v>
      </c>
      <c r="AH141" s="130">
        <f t="shared" si="29"/>
        <v>0</v>
      </c>
      <c r="AI141" s="130">
        <f t="shared" si="29"/>
        <v>0</v>
      </c>
      <c r="AJ141" s="54" t="str">
        <f t="shared" si="30"/>
        <v/>
      </c>
      <c r="AK141" s="67"/>
      <c r="AL141" s="67" t="str">
        <f t="shared" si="33"/>
        <v>00</v>
      </c>
      <c r="AM141" s="67" t="str">
        <f t="shared" si="34"/>
        <v>00</v>
      </c>
      <c r="AN141" s="67" t="str">
        <f t="shared" si="35"/>
        <v>00</v>
      </c>
      <c r="AO141" s="67" t="str">
        <f t="shared" si="36"/>
        <v>00</v>
      </c>
      <c r="AQ141" t="str">
        <f t="shared" si="31"/>
        <v/>
      </c>
    </row>
    <row r="142" spans="1:43">
      <c r="B142" s="136"/>
      <c r="C142" s="54">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0</v>
      </c>
      <c r="AE142" s="130">
        <f t="shared" si="29"/>
        <v>0</v>
      </c>
      <c r="AF142" s="130">
        <f t="shared" si="29"/>
        <v>0</v>
      </c>
      <c r="AG142" s="130">
        <f t="shared" si="29"/>
        <v>0</v>
      </c>
      <c r="AH142" s="130">
        <f t="shared" si="29"/>
        <v>0</v>
      </c>
      <c r="AI142" s="130">
        <f t="shared" si="29"/>
        <v>0</v>
      </c>
      <c r="AJ142" s="54" t="str">
        <f t="shared" si="30"/>
        <v/>
      </c>
      <c r="AK142" s="67"/>
      <c r="AL142" s="67" t="str">
        <f t="shared" si="33"/>
        <v>00</v>
      </c>
      <c r="AM142" s="67" t="str">
        <f t="shared" si="34"/>
        <v>00</v>
      </c>
      <c r="AN142" s="67" t="str">
        <f t="shared" si="35"/>
        <v>00</v>
      </c>
      <c r="AO142" s="67" t="str">
        <f t="shared" si="36"/>
        <v>00</v>
      </c>
      <c r="AQ142" t="str">
        <f t="shared" si="31"/>
        <v/>
      </c>
    </row>
    <row r="143" spans="1:43">
      <c r="B143" s="136"/>
      <c r="C143" s="54">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0</v>
      </c>
      <c r="AE143" s="130">
        <f t="shared" si="29"/>
        <v>0</v>
      </c>
      <c r="AF143" s="130">
        <f t="shared" si="29"/>
        <v>0</v>
      </c>
      <c r="AG143" s="130">
        <f t="shared" si="29"/>
        <v>0</v>
      </c>
      <c r="AH143" s="130">
        <f t="shared" si="29"/>
        <v>0</v>
      </c>
      <c r="AI143" s="130">
        <f t="shared" ref="AI143" si="37">IF(OR(AI13=0,AI13=1),1,0)</f>
        <v>0</v>
      </c>
      <c r="AJ143" s="54" t="str">
        <f t="shared" si="30"/>
        <v/>
      </c>
      <c r="AK143" s="67"/>
      <c r="AL143" s="67" t="str">
        <f t="shared" si="33"/>
        <v>00</v>
      </c>
      <c r="AM143" s="67" t="str">
        <f t="shared" si="34"/>
        <v>00</v>
      </c>
      <c r="AN143" s="67" t="str">
        <f t="shared" si="35"/>
        <v>00</v>
      </c>
      <c r="AO143" s="67" t="str">
        <f t="shared" si="36"/>
        <v>00</v>
      </c>
      <c r="AQ143" t="str">
        <f t="shared" si="31"/>
        <v/>
      </c>
    </row>
    <row r="144" spans="1:43">
      <c r="B144" s="136"/>
      <c r="C144" s="54">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0</v>
      </c>
      <c r="AE144" s="130">
        <f t="shared" si="38"/>
        <v>0</v>
      </c>
      <c r="AF144" s="130">
        <f t="shared" si="38"/>
        <v>0</v>
      </c>
      <c r="AG144" s="130">
        <f t="shared" si="38"/>
        <v>0</v>
      </c>
      <c r="AH144" s="130">
        <f t="shared" si="38"/>
        <v>0</v>
      </c>
      <c r="AI144" s="130">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6"/>
      <c r="C145" s="54">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0</v>
      </c>
      <c r="AE145" s="130">
        <f t="shared" si="38"/>
        <v>0</v>
      </c>
      <c r="AF145" s="130">
        <f t="shared" si="38"/>
        <v>0</v>
      </c>
      <c r="AG145" s="130">
        <f t="shared" si="38"/>
        <v>0</v>
      </c>
      <c r="AH145" s="130">
        <f t="shared" si="38"/>
        <v>0</v>
      </c>
      <c r="AI145" s="130">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6"/>
      <c r="C146" s="54">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0</v>
      </c>
      <c r="AE146" s="130">
        <f t="shared" si="38"/>
        <v>0</v>
      </c>
      <c r="AF146" s="130">
        <f t="shared" si="38"/>
        <v>0</v>
      </c>
      <c r="AG146" s="130">
        <f t="shared" si="38"/>
        <v>0</v>
      </c>
      <c r="AH146" s="130">
        <f t="shared" si="38"/>
        <v>0</v>
      </c>
      <c r="AI146" s="130">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6"/>
      <c r="C147" s="54">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0</v>
      </c>
      <c r="AE147" s="130">
        <f t="shared" si="38"/>
        <v>0</v>
      </c>
      <c r="AF147" s="130">
        <f t="shared" si="38"/>
        <v>0</v>
      </c>
      <c r="AG147" s="130">
        <f t="shared" si="38"/>
        <v>0</v>
      </c>
      <c r="AH147" s="130">
        <f t="shared" si="38"/>
        <v>0</v>
      </c>
      <c r="AI147" s="130">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6"/>
      <c r="C148" s="54">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0</v>
      </c>
      <c r="AE148" s="130">
        <f t="shared" si="38"/>
        <v>0</v>
      </c>
      <c r="AF148" s="130">
        <f t="shared" si="38"/>
        <v>0</v>
      </c>
      <c r="AG148" s="130">
        <f t="shared" si="38"/>
        <v>0</v>
      </c>
      <c r="AH148" s="130">
        <f t="shared" si="38"/>
        <v>0</v>
      </c>
      <c r="AI148" s="130">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6"/>
      <c r="C149" s="54">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0</v>
      </c>
      <c r="AE149" s="130">
        <f t="shared" si="38"/>
        <v>0</v>
      </c>
      <c r="AF149" s="130">
        <f t="shared" si="38"/>
        <v>0</v>
      </c>
      <c r="AG149" s="130">
        <f t="shared" si="38"/>
        <v>0</v>
      </c>
      <c r="AH149" s="130">
        <f t="shared" si="38"/>
        <v>0</v>
      </c>
      <c r="AI149" s="130">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6"/>
      <c r="C150" s="54">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0</v>
      </c>
      <c r="AE150" s="130">
        <f t="shared" si="38"/>
        <v>0</v>
      </c>
      <c r="AF150" s="130">
        <f t="shared" si="38"/>
        <v>0</v>
      </c>
      <c r="AG150" s="130">
        <f t="shared" si="38"/>
        <v>0</v>
      </c>
      <c r="AH150" s="130">
        <f t="shared" si="38"/>
        <v>0</v>
      </c>
      <c r="AI150" s="130">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6"/>
      <c r="C151" s="54">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0</v>
      </c>
      <c r="AE151" s="130">
        <f t="shared" si="38"/>
        <v>0</v>
      </c>
      <c r="AF151" s="130">
        <f t="shared" si="38"/>
        <v>0</v>
      </c>
      <c r="AG151" s="130">
        <f t="shared" si="38"/>
        <v>0</v>
      </c>
      <c r="AH151" s="130">
        <f t="shared" si="38"/>
        <v>0</v>
      </c>
      <c r="AI151" s="130">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6"/>
      <c r="C152" s="54">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0</v>
      </c>
      <c r="AE152" s="130">
        <f t="shared" si="40"/>
        <v>0</v>
      </c>
      <c r="AF152" s="130">
        <f t="shared" si="40"/>
        <v>0</v>
      </c>
      <c r="AG152" s="130">
        <f t="shared" si="40"/>
        <v>0</v>
      </c>
      <c r="AH152" s="130">
        <f t="shared" si="40"/>
        <v>0</v>
      </c>
      <c r="AI152" s="130">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6"/>
      <c r="C153" s="54">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0</v>
      </c>
      <c r="AE153" s="130">
        <f t="shared" si="40"/>
        <v>0</v>
      </c>
      <c r="AF153" s="130">
        <f t="shared" si="40"/>
        <v>0</v>
      </c>
      <c r="AG153" s="130">
        <f t="shared" si="40"/>
        <v>0</v>
      </c>
      <c r="AH153" s="130">
        <f t="shared" si="40"/>
        <v>0</v>
      </c>
      <c r="AI153" s="130">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6"/>
      <c r="C154" s="54">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0</v>
      </c>
      <c r="AE154" s="130">
        <f t="shared" si="40"/>
        <v>0</v>
      </c>
      <c r="AF154" s="130">
        <f t="shared" si="40"/>
        <v>0</v>
      </c>
      <c r="AG154" s="130">
        <f t="shared" si="40"/>
        <v>0</v>
      </c>
      <c r="AH154" s="130">
        <f t="shared" si="40"/>
        <v>0</v>
      </c>
      <c r="AI154" s="130">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6"/>
      <c r="C155" s="54">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0</v>
      </c>
      <c r="AE155" s="130">
        <f t="shared" si="40"/>
        <v>0</v>
      </c>
      <c r="AF155" s="130">
        <f t="shared" si="40"/>
        <v>0</v>
      </c>
      <c r="AG155" s="130">
        <f t="shared" si="40"/>
        <v>0</v>
      </c>
      <c r="AH155" s="130">
        <f t="shared" si="40"/>
        <v>0</v>
      </c>
      <c r="AI155" s="130">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6"/>
      <c r="C156" s="54">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0</v>
      </c>
      <c r="AE156" s="130">
        <f t="shared" si="40"/>
        <v>0</v>
      </c>
      <c r="AF156" s="130">
        <f t="shared" si="40"/>
        <v>0</v>
      </c>
      <c r="AG156" s="130">
        <f t="shared" si="40"/>
        <v>0</v>
      </c>
      <c r="AH156" s="130">
        <f t="shared" si="40"/>
        <v>0</v>
      </c>
      <c r="AI156" s="130">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6"/>
      <c r="C157" s="54">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0</v>
      </c>
      <c r="AE157" s="130">
        <f t="shared" si="40"/>
        <v>0</v>
      </c>
      <c r="AF157" s="130">
        <f t="shared" si="40"/>
        <v>0</v>
      </c>
      <c r="AG157" s="130">
        <f t="shared" si="40"/>
        <v>0</v>
      </c>
      <c r="AH157" s="130">
        <f t="shared" si="40"/>
        <v>0</v>
      </c>
      <c r="AI157" s="130">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6"/>
      <c r="C158" s="54">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0</v>
      </c>
      <c r="AE158" s="130">
        <f t="shared" si="40"/>
        <v>0</v>
      </c>
      <c r="AF158" s="130">
        <f t="shared" si="40"/>
        <v>0</v>
      </c>
      <c r="AG158" s="130">
        <f t="shared" si="40"/>
        <v>0</v>
      </c>
      <c r="AH158" s="130">
        <f t="shared" si="40"/>
        <v>0</v>
      </c>
      <c r="AI158" s="130">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6"/>
      <c r="C159" s="54">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0</v>
      </c>
      <c r="AE159" s="130">
        <f t="shared" si="40"/>
        <v>0</v>
      </c>
      <c r="AF159" s="130">
        <f t="shared" si="40"/>
        <v>0</v>
      </c>
      <c r="AG159" s="130">
        <f t="shared" si="40"/>
        <v>0</v>
      </c>
      <c r="AH159" s="130">
        <f t="shared" si="40"/>
        <v>0</v>
      </c>
      <c r="AI159" s="130">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6"/>
      <c r="C160" s="54">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0</v>
      </c>
      <c r="AE160" s="130">
        <f t="shared" si="42"/>
        <v>0</v>
      </c>
      <c r="AF160" s="130">
        <f t="shared" si="42"/>
        <v>0</v>
      </c>
      <c r="AG160" s="130">
        <f t="shared" si="42"/>
        <v>0</v>
      </c>
      <c r="AH160" s="130">
        <f t="shared" si="42"/>
        <v>0</v>
      </c>
      <c r="AI160" s="130">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6"/>
      <c r="C161" s="54">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0</v>
      </c>
      <c r="AE161" s="130">
        <f t="shared" si="42"/>
        <v>0</v>
      </c>
      <c r="AF161" s="130">
        <f t="shared" si="42"/>
        <v>0</v>
      </c>
      <c r="AG161" s="130">
        <f t="shared" si="42"/>
        <v>0</v>
      </c>
      <c r="AH161" s="130">
        <f t="shared" si="42"/>
        <v>0</v>
      </c>
      <c r="AI161" s="130">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6"/>
      <c r="C162" s="54">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0</v>
      </c>
      <c r="AE162" s="130">
        <f t="shared" si="42"/>
        <v>0</v>
      </c>
      <c r="AF162" s="130">
        <f t="shared" si="42"/>
        <v>0</v>
      </c>
      <c r="AG162" s="130">
        <f t="shared" si="42"/>
        <v>0</v>
      </c>
      <c r="AH162" s="130">
        <f t="shared" si="42"/>
        <v>0</v>
      </c>
      <c r="AI162" s="130">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6"/>
      <c r="C163" s="54">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0</v>
      </c>
      <c r="AE163" s="130">
        <f t="shared" si="42"/>
        <v>0</v>
      </c>
      <c r="AF163" s="130">
        <f t="shared" si="42"/>
        <v>0</v>
      </c>
      <c r="AG163" s="130">
        <f t="shared" si="42"/>
        <v>0</v>
      </c>
      <c r="AH163" s="130">
        <f t="shared" si="42"/>
        <v>0</v>
      </c>
      <c r="AI163" s="130">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6"/>
      <c r="C164" s="54">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0</v>
      </c>
      <c r="AE164" s="130">
        <f t="shared" si="42"/>
        <v>0</v>
      </c>
      <c r="AF164" s="130">
        <f t="shared" si="42"/>
        <v>0</v>
      </c>
      <c r="AG164" s="130">
        <f t="shared" si="42"/>
        <v>0</v>
      </c>
      <c r="AH164" s="130">
        <f t="shared" si="42"/>
        <v>0</v>
      </c>
      <c r="AI164" s="130">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6"/>
      <c r="C165" s="54">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0</v>
      </c>
      <c r="AE165" s="130">
        <f t="shared" si="42"/>
        <v>0</v>
      </c>
      <c r="AF165" s="130">
        <f t="shared" si="42"/>
        <v>0</v>
      </c>
      <c r="AG165" s="130">
        <f t="shared" si="42"/>
        <v>0</v>
      </c>
      <c r="AH165" s="130">
        <f t="shared" si="42"/>
        <v>0</v>
      </c>
      <c r="AI165" s="130">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6"/>
      <c r="C166" s="54">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0</v>
      </c>
      <c r="AE166" s="130">
        <f t="shared" si="42"/>
        <v>0</v>
      </c>
      <c r="AF166" s="130">
        <f t="shared" si="42"/>
        <v>0</v>
      </c>
      <c r="AG166" s="130">
        <f t="shared" si="42"/>
        <v>0</v>
      </c>
      <c r="AH166" s="130">
        <f t="shared" si="42"/>
        <v>0</v>
      </c>
      <c r="AI166" s="130">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6"/>
      <c r="C167" s="54">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0</v>
      </c>
      <c r="AE167" s="130">
        <f t="shared" si="42"/>
        <v>0</v>
      </c>
      <c r="AF167" s="130">
        <f t="shared" si="42"/>
        <v>0</v>
      </c>
      <c r="AG167" s="130">
        <f t="shared" si="42"/>
        <v>0</v>
      </c>
      <c r="AH167" s="130">
        <f t="shared" si="42"/>
        <v>0</v>
      </c>
      <c r="AI167" s="130">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6"/>
      <c r="C168" s="54">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0</v>
      </c>
      <c r="AE168" s="130">
        <f t="shared" si="44"/>
        <v>0</v>
      </c>
      <c r="AF168" s="130">
        <f t="shared" si="44"/>
        <v>0</v>
      </c>
      <c r="AG168" s="130">
        <f t="shared" si="44"/>
        <v>0</v>
      </c>
      <c r="AH168" s="130">
        <f t="shared" si="44"/>
        <v>0</v>
      </c>
      <c r="AI168" s="130">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6"/>
      <c r="C169" s="54">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0</v>
      </c>
      <c r="AE169" s="130">
        <f t="shared" si="44"/>
        <v>0</v>
      </c>
      <c r="AF169" s="130">
        <f t="shared" si="44"/>
        <v>0</v>
      </c>
      <c r="AG169" s="130">
        <f t="shared" si="44"/>
        <v>0</v>
      </c>
      <c r="AH169" s="130">
        <f t="shared" si="44"/>
        <v>0</v>
      </c>
      <c r="AI169" s="130">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6"/>
      <c r="C170" s="54">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0</v>
      </c>
      <c r="AE170" s="130">
        <f t="shared" si="44"/>
        <v>0</v>
      </c>
      <c r="AF170" s="130">
        <f t="shared" si="44"/>
        <v>0</v>
      </c>
      <c r="AG170" s="130">
        <f t="shared" si="44"/>
        <v>0</v>
      </c>
      <c r="AH170" s="130">
        <f t="shared" si="44"/>
        <v>0</v>
      </c>
      <c r="AI170" s="130">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6"/>
      <c r="C171" s="54">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0</v>
      </c>
      <c r="AE171" s="130">
        <f t="shared" si="44"/>
        <v>0</v>
      </c>
      <c r="AF171" s="130">
        <f t="shared" si="44"/>
        <v>0</v>
      </c>
      <c r="AG171" s="130">
        <f t="shared" si="44"/>
        <v>0</v>
      </c>
      <c r="AH171" s="130">
        <f t="shared" si="44"/>
        <v>0</v>
      </c>
      <c r="AI171" s="130">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6"/>
      <c r="C172" s="54">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0</v>
      </c>
      <c r="AE172" s="130">
        <f t="shared" si="44"/>
        <v>0</v>
      </c>
      <c r="AF172" s="130">
        <f t="shared" si="44"/>
        <v>0</v>
      </c>
      <c r="AG172" s="130">
        <f t="shared" si="44"/>
        <v>0</v>
      </c>
      <c r="AH172" s="130">
        <f t="shared" si="44"/>
        <v>0</v>
      </c>
      <c r="AI172" s="130">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6"/>
      <c r="C173" s="54">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0</v>
      </c>
      <c r="AE173" s="130">
        <f t="shared" si="44"/>
        <v>0</v>
      </c>
      <c r="AF173" s="130">
        <f t="shared" si="44"/>
        <v>0</v>
      </c>
      <c r="AG173" s="130">
        <f t="shared" si="44"/>
        <v>0</v>
      </c>
      <c r="AH173" s="130">
        <f t="shared" si="44"/>
        <v>0</v>
      </c>
      <c r="AI173" s="130">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6"/>
      <c r="C174" s="54">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0</v>
      </c>
      <c r="AE174" s="130">
        <f t="shared" si="44"/>
        <v>0</v>
      </c>
      <c r="AF174" s="130">
        <f t="shared" si="44"/>
        <v>0</v>
      </c>
      <c r="AG174" s="130">
        <f t="shared" si="44"/>
        <v>0</v>
      </c>
      <c r="AH174" s="130">
        <f t="shared" si="44"/>
        <v>0</v>
      </c>
      <c r="AI174" s="130">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6"/>
      <c r="C175" s="54">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0</v>
      </c>
      <c r="AE175" s="130">
        <f t="shared" si="44"/>
        <v>0</v>
      </c>
      <c r="AF175" s="130">
        <f t="shared" si="44"/>
        <v>0</v>
      </c>
      <c r="AG175" s="130">
        <f t="shared" si="44"/>
        <v>0</v>
      </c>
      <c r="AH175" s="130">
        <f t="shared" si="44"/>
        <v>0</v>
      </c>
      <c r="AI175" s="130">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6"/>
      <c r="C176" s="54">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0</v>
      </c>
      <c r="AE176" s="130">
        <f t="shared" si="46"/>
        <v>0</v>
      </c>
      <c r="AF176" s="130">
        <f t="shared" si="46"/>
        <v>0</v>
      </c>
      <c r="AG176" s="130">
        <f t="shared" si="46"/>
        <v>0</v>
      </c>
      <c r="AH176" s="130">
        <f t="shared" si="46"/>
        <v>0</v>
      </c>
      <c r="AI176" s="130">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6"/>
      <c r="C177" s="54">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0</v>
      </c>
      <c r="AE177" s="130">
        <f t="shared" si="46"/>
        <v>0</v>
      </c>
      <c r="AF177" s="130">
        <f t="shared" si="46"/>
        <v>0</v>
      </c>
      <c r="AG177" s="130">
        <f t="shared" si="46"/>
        <v>0</v>
      </c>
      <c r="AH177" s="130">
        <f t="shared" si="46"/>
        <v>0</v>
      </c>
      <c r="AI177" s="130">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6"/>
      <c r="C178" s="54">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0</v>
      </c>
      <c r="AE178" s="130">
        <f t="shared" si="46"/>
        <v>0</v>
      </c>
      <c r="AF178" s="130">
        <f t="shared" si="46"/>
        <v>0</v>
      </c>
      <c r="AG178" s="130">
        <f t="shared" si="46"/>
        <v>0</v>
      </c>
      <c r="AH178" s="130">
        <f t="shared" si="46"/>
        <v>0</v>
      </c>
      <c r="AI178" s="130">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6"/>
      <c r="C179" s="54">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0</v>
      </c>
      <c r="AE179" s="130">
        <f t="shared" si="46"/>
        <v>0</v>
      </c>
      <c r="AF179" s="130">
        <f t="shared" si="46"/>
        <v>0</v>
      </c>
      <c r="AG179" s="130">
        <f t="shared" si="46"/>
        <v>0</v>
      </c>
      <c r="AH179" s="130">
        <f t="shared" si="46"/>
        <v>0</v>
      </c>
      <c r="AI179" s="130">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6"/>
      <c r="C180" s="54">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0</v>
      </c>
      <c r="AE180" s="130">
        <f t="shared" si="46"/>
        <v>0</v>
      </c>
      <c r="AF180" s="130">
        <f t="shared" si="46"/>
        <v>0</v>
      </c>
      <c r="AG180" s="130">
        <f t="shared" si="46"/>
        <v>0</v>
      </c>
      <c r="AH180" s="130">
        <f t="shared" si="46"/>
        <v>0</v>
      </c>
      <c r="AI180" s="130">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6"/>
      <c r="C181" s="54">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0</v>
      </c>
      <c r="AE181" s="130">
        <f t="shared" si="46"/>
        <v>0</v>
      </c>
      <c r="AF181" s="130">
        <f t="shared" si="46"/>
        <v>0</v>
      </c>
      <c r="AG181" s="130">
        <f t="shared" si="46"/>
        <v>0</v>
      </c>
      <c r="AH181" s="130">
        <f t="shared" si="46"/>
        <v>0</v>
      </c>
      <c r="AI181" s="130">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6"/>
      <c r="C182" s="54">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0</v>
      </c>
      <c r="AE182" s="130">
        <f t="shared" si="46"/>
        <v>0</v>
      </c>
      <c r="AF182" s="130">
        <f t="shared" si="46"/>
        <v>0</v>
      </c>
      <c r="AG182" s="130">
        <f t="shared" si="46"/>
        <v>0</v>
      </c>
      <c r="AH182" s="130">
        <f t="shared" si="46"/>
        <v>0</v>
      </c>
      <c r="AI182" s="130">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6"/>
      <c r="C183" s="54">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0</v>
      </c>
      <c r="AE183" s="130">
        <f t="shared" si="46"/>
        <v>0</v>
      </c>
      <c r="AF183" s="130">
        <f t="shared" si="46"/>
        <v>0</v>
      </c>
      <c r="AG183" s="130">
        <f t="shared" si="46"/>
        <v>0</v>
      </c>
      <c r="AH183" s="130">
        <f t="shared" si="46"/>
        <v>0</v>
      </c>
      <c r="AI183" s="130">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6"/>
      <c r="C184" s="54">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0</v>
      </c>
      <c r="AE184" s="130">
        <f t="shared" si="48"/>
        <v>0</v>
      </c>
      <c r="AF184" s="130">
        <f t="shared" si="48"/>
        <v>0</v>
      </c>
      <c r="AG184" s="130">
        <f t="shared" si="48"/>
        <v>0</v>
      </c>
      <c r="AH184" s="130">
        <f t="shared" si="48"/>
        <v>0</v>
      </c>
      <c r="AI184" s="130">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6"/>
      <c r="C185" s="54">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0</v>
      </c>
      <c r="AE185" s="130">
        <f t="shared" si="48"/>
        <v>0</v>
      </c>
      <c r="AF185" s="130">
        <f t="shared" si="48"/>
        <v>0</v>
      </c>
      <c r="AG185" s="130">
        <f t="shared" si="48"/>
        <v>0</v>
      </c>
      <c r="AH185" s="130">
        <f t="shared" si="48"/>
        <v>0</v>
      </c>
      <c r="AI185" s="130">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6"/>
      <c r="C186" s="54">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0</v>
      </c>
      <c r="AE186" s="130">
        <f t="shared" si="48"/>
        <v>0</v>
      </c>
      <c r="AF186" s="130">
        <f t="shared" si="48"/>
        <v>0</v>
      </c>
      <c r="AG186" s="130">
        <f t="shared" si="48"/>
        <v>0</v>
      </c>
      <c r="AH186" s="130">
        <f t="shared" si="48"/>
        <v>0</v>
      </c>
      <c r="AI186" s="130">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6"/>
      <c r="C187" s="54">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0</v>
      </c>
      <c r="AE187" s="130">
        <f t="shared" si="48"/>
        <v>0</v>
      </c>
      <c r="AF187" s="130">
        <f t="shared" si="48"/>
        <v>0</v>
      </c>
      <c r="AG187" s="130">
        <f t="shared" si="48"/>
        <v>0</v>
      </c>
      <c r="AH187" s="130">
        <f t="shared" si="48"/>
        <v>0</v>
      </c>
      <c r="AI187" s="130">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6"/>
      <c r="C188" s="54">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0</v>
      </c>
      <c r="AE188" s="130">
        <f t="shared" si="48"/>
        <v>0</v>
      </c>
      <c r="AF188" s="130">
        <f t="shared" si="48"/>
        <v>0</v>
      </c>
      <c r="AG188" s="130">
        <f t="shared" si="48"/>
        <v>0</v>
      </c>
      <c r="AH188" s="130">
        <f t="shared" si="48"/>
        <v>0</v>
      </c>
      <c r="AI188" s="130">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6"/>
      <c r="C189" s="54">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0</v>
      </c>
      <c r="AE189" s="130">
        <f t="shared" si="48"/>
        <v>0</v>
      </c>
      <c r="AF189" s="130">
        <f t="shared" si="48"/>
        <v>0</v>
      </c>
      <c r="AG189" s="130">
        <f t="shared" si="48"/>
        <v>0</v>
      </c>
      <c r="AH189" s="130">
        <f t="shared" si="48"/>
        <v>0</v>
      </c>
      <c r="AI189" s="130">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6"/>
      <c r="C190" s="54">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0</v>
      </c>
      <c r="AE190" s="130">
        <f t="shared" si="48"/>
        <v>0</v>
      </c>
      <c r="AF190" s="130">
        <f t="shared" si="48"/>
        <v>0</v>
      </c>
      <c r="AG190" s="130">
        <f t="shared" si="48"/>
        <v>0</v>
      </c>
      <c r="AH190" s="130">
        <f t="shared" si="48"/>
        <v>0</v>
      </c>
      <c r="AI190" s="130">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6"/>
      <c r="C191" s="54">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0</v>
      </c>
      <c r="AE191" s="130">
        <f t="shared" si="48"/>
        <v>0</v>
      </c>
      <c r="AF191" s="130">
        <f t="shared" si="48"/>
        <v>0</v>
      </c>
      <c r="AG191" s="130">
        <f t="shared" si="48"/>
        <v>0</v>
      </c>
      <c r="AH191" s="130">
        <f t="shared" si="48"/>
        <v>0</v>
      </c>
      <c r="AI191" s="130">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6"/>
      <c r="C192" s="54">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0</v>
      </c>
      <c r="AE192" s="130">
        <f t="shared" si="50"/>
        <v>0</v>
      </c>
      <c r="AF192" s="130">
        <f t="shared" si="50"/>
        <v>0</v>
      </c>
      <c r="AG192" s="130">
        <f t="shared" si="50"/>
        <v>0</v>
      </c>
      <c r="AH192" s="130">
        <f t="shared" si="50"/>
        <v>0</v>
      </c>
      <c r="AI192" s="130">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6"/>
      <c r="C193" s="54">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0</v>
      </c>
      <c r="AE193" s="130">
        <f t="shared" si="50"/>
        <v>0</v>
      </c>
      <c r="AF193" s="130">
        <f t="shared" si="50"/>
        <v>0</v>
      </c>
      <c r="AG193" s="130">
        <f t="shared" si="50"/>
        <v>0</v>
      </c>
      <c r="AH193" s="130">
        <f t="shared" si="50"/>
        <v>0</v>
      </c>
      <c r="AI193" s="130">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6"/>
      <c r="C194" s="54">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0</v>
      </c>
      <c r="AE194" s="130">
        <f t="shared" si="50"/>
        <v>0</v>
      </c>
      <c r="AF194" s="130">
        <f t="shared" si="50"/>
        <v>0</v>
      </c>
      <c r="AG194" s="130">
        <f t="shared" si="50"/>
        <v>0</v>
      </c>
      <c r="AH194" s="130">
        <f t="shared" si="50"/>
        <v>0</v>
      </c>
      <c r="AI194" s="130">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6"/>
      <c r="C195" s="54">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0</v>
      </c>
      <c r="AE195" s="130">
        <f t="shared" si="50"/>
        <v>0</v>
      </c>
      <c r="AF195" s="130">
        <f t="shared" si="50"/>
        <v>0</v>
      </c>
      <c r="AG195" s="130">
        <f t="shared" si="50"/>
        <v>0</v>
      </c>
      <c r="AH195" s="130">
        <f t="shared" si="50"/>
        <v>0</v>
      </c>
      <c r="AI195" s="130">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6"/>
      <c r="C196" s="54">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0</v>
      </c>
      <c r="AE196" s="130">
        <f t="shared" si="50"/>
        <v>0</v>
      </c>
      <c r="AF196" s="130">
        <f t="shared" si="50"/>
        <v>0</v>
      </c>
      <c r="AG196" s="130">
        <f t="shared" si="50"/>
        <v>0</v>
      </c>
      <c r="AH196" s="130">
        <f t="shared" si="50"/>
        <v>0</v>
      </c>
      <c r="AI196" s="130">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6"/>
      <c r="C197" s="54">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0</v>
      </c>
      <c r="AE197" s="130">
        <f t="shared" si="50"/>
        <v>0</v>
      </c>
      <c r="AF197" s="130">
        <f t="shared" si="50"/>
        <v>0</v>
      </c>
      <c r="AG197" s="130">
        <f t="shared" si="50"/>
        <v>0</v>
      </c>
      <c r="AH197" s="130">
        <f t="shared" si="50"/>
        <v>0</v>
      </c>
      <c r="AI197" s="130">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6"/>
      <c r="C198" s="54">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0</v>
      </c>
      <c r="AE198" s="130">
        <f t="shared" si="50"/>
        <v>0</v>
      </c>
      <c r="AF198" s="130">
        <f t="shared" si="50"/>
        <v>0</v>
      </c>
      <c r="AG198" s="130">
        <f t="shared" si="50"/>
        <v>0</v>
      </c>
      <c r="AH198" s="130">
        <f t="shared" si="50"/>
        <v>0</v>
      </c>
      <c r="AI198" s="130">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7"/>
      <c r="C199" s="54">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0</v>
      </c>
      <c r="AE199" s="130">
        <f t="shared" si="50"/>
        <v>0</v>
      </c>
      <c r="AF199" s="130">
        <f t="shared" si="50"/>
        <v>0</v>
      </c>
      <c r="AG199" s="130">
        <f t="shared" si="50"/>
        <v>0</v>
      </c>
      <c r="AH199" s="130">
        <f t="shared" si="50"/>
        <v>0</v>
      </c>
      <c r="AI199" s="130">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D6:AJ69 L3:AI3" name="Table作成編集範囲"/>
    <protectedRange sqref="B3" name="Table作成編集範囲_2"/>
  </protectedRanges>
  <mergeCells count="3">
    <mergeCell ref="C2:C3"/>
    <mergeCell ref="AJ2:AJ3"/>
    <mergeCell ref="A4:B5"/>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CCECFF"/>
  </sheetPr>
  <dimension ref="A1:AW199"/>
  <sheetViews>
    <sheetView topLeftCell="AD1" zoomScale="85" zoomScaleNormal="85" workbookViewId="0">
      <pane ySplit="3" topLeftCell="A4" activePane="bottomLeft" state="frozen"/>
      <selection pane="bottomLeft" activeCell="AU6" sqref="AU6:AU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9" t="s">
        <v>120</v>
      </c>
      <c r="C2" s="292" t="s">
        <v>81</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94" t="s">
        <v>152</v>
      </c>
    </row>
    <row r="3" spans="1:49" ht="213" customHeight="1" thickBot="1">
      <c r="B3" s="203" t="str">
        <f>IF(OR(IF(COUNTIF(D6:AC69,"0")&lt;&gt;0,TRUE,FALSE),IF(COUNTIF(D6:AC69,"1")&lt;&gt;0,TRUE,FALSE)),"Search Table","Index Table")</f>
        <v>Index Table</v>
      </c>
      <c r="C3" s="293"/>
      <c r="D3" s="131" t="s">
        <v>61</v>
      </c>
      <c r="E3" s="131" t="s">
        <v>66</v>
      </c>
      <c r="F3" s="131" t="s">
        <v>49</v>
      </c>
      <c r="G3" s="131" t="s">
        <v>48</v>
      </c>
      <c r="H3" s="131" t="s">
        <v>118</v>
      </c>
      <c r="I3" s="131" t="s">
        <v>117</v>
      </c>
      <c r="J3" s="131" t="s">
        <v>122</v>
      </c>
      <c r="K3" s="131" t="s">
        <v>121</v>
      </c>
      <c r="L3" s="132" t="s">
        <v>66</v>
      </c>
      <c r="M3" s="132" t="s">
        <v>62</v>
      </c>
      <c r="N3" s="132" t="s">
        <v>62</v>
      </c>
      <c r="O3" s="132" t="s">
        <v>62</v>
      </c>
      <c r="P3" s="132" t="s">
        <v>62</v>
      </c>
      <c r="Q3" s="132" t="s">
        <v>62</v>
      </c>
      <c r="R3" s="132" t="s">
        <v>62</v>
      </c>
      <c r="S3" s="132" t="s">
        <v>62</v>
      </c>
      <c r="T3" s="132" t="s">
        <v>62</v>
      </c>
      <c r="U3" s="132" t="s">
        <v>62</v>
      </c>
      <c r="V3" s="132" t="s">
        <v>62</v>
      </c>
      <c r="W3" s="132" t="s">
        <v>62</v>
      </c>
      <c r="X3" s="132" t="s">
        <v>62</v>
      </c>
      <c r="Y3" s="132" t="s">
        <v>62</v>
      </c>
      <c r="Z3" s="132" t="s">
        <v>62</v>
      </c>
      <c r="AA3" s="132" t="s">
        <v>62</v>
      </c>
      <c r="AB3" s="132" t="s">
        <v>62</v>
      </c>
      <c r="AC3" s="132" t="s">
        <v>62</v>
      </c>
      <c r="AD3" s="132" t="s">
        <v>62</v>
      </c>
      <c r="AE3" s="132" t="s">
        <v>62</v>
      </c>
      <c r="AF3" s="132" t="s">
        <v>62</v>
      </c>
      <c r="AG3" s="300" t="s">
        <v>297</v>
      </c>
      <c r="AH3" s="301"/>
      <c r="AI3" s="141" t="s">
        <v>303</v>
      </c>
      <c r="AJ3" s="295"/>
      <c r="AR3" s="98" t="s">
        <v>93</v>
      </c>
    </row>
    <row r="4" spans="1:49" ht="14.25" thickBot="1">
      <c r="A4" s="296" t="s">
        <v>63</v>
      </c>
      <c r="B4" s="297"/>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3"/>
      <c r="AR4" s="86" t="s">
        <v>79</v>
      </c>
      <c r="AS4" s="87"/>
      <c r="AT4" s="87"/>
      <c r="AU4" s="87"/>
      <c r="AV4" s="87"/>
      <c r="AW4" s="88"/>
    </row>
    <row r="5" spans="1:49" ht="14.25" thickBot="1">
      <c r="A5" s="298"/>
      <c r="B5" s="299"/>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4"/>
      <c r="AR5" s="89" t="str">
        <f ca="1">"static const U4  "&amp;AW8&amp;"["&amp;AW10&amp;"]"&amp;" = {"</f>
        <v>static const U4  u4_sp_ALERT_S_LCA_BC_VC_CRIT[ALERT_S_LCA_BC_VC_NUM_DST] = {</v>
      </c>
      <c r="AS5" s="89" t="str">
        <f ca="1">"static const U4  "&amp;$AW$9&amp;"["&amp;$AW$10&amp;"] = {"</f>
        <v>static const U4  u4_sp_ALERT_S_LCA_BC_VC_MASK[ALERT_S_LCA_BC_VC_NUM_DST] = {</v>
      </c>
      <c r="AT5" s="89" t="str">
        <f ca="1">"static const U1  "&amp;$AW$11&amp;"["&amp;$AW$10&amp;"] = {"</f>
        <v>static const U1  u1_sp_ALERT_S_LCA_BC_VC_DST[ALERT_S_LCA_BC_VC_NUM_DST] = {</v>
      </c>
      <c r="AU5" s="89" t="str">
        <f ca="1">"const ST_ALERT_MTRX "&amp;$AW$12&amp;" = {"</f>
        <v>const ST_ALERT_MTRX st_gp_ALERT_S_LCA_MTRX[3] = {</v>
      </c>
      <c r="AV5" s="71" t="str">
        <f ca="1">"#define "&amp;AW10&amp;REPT(" ",41-LEN(AW10))&amp;"("&amp;AW13&amp;"U)"</f>
        <v>#define ALERT_S_LCA_BC_VC_NUM_DST                (8U)</v>
      </c>
      <c r="AW5" s="72"/>
    </row>
    <row r="6" spans="1:49">
      <c r="B6" s="136" t="str">
        <f ca="1">"Table "&amp;$AW$6</f>
        <v>Table BC_VC</v>
      </c>
      <c r="C6" s="59">
        <f>ROW()-ROW($C$6)</f>
        <v>0</v>
      </c>
      <c r="D6" s="38" t="s">
        <v>67</v>
      </c>
      <c r="E6" s="38" t="s">
        <v>67</v>
      </c>
      <c r="F6" s="38" t="s">
        <v>67</v>
      </c>
      <c r="G6" s="38" t="s">
        <v>67</v>
      </c>
      <c r="H6" s="38" t="s">
        <v>67</v>
      </c>
      <c r="I6" s="38" t="s">
        <v>67</v>
      </c>
      <c r="J6" s="38" t="s">
        <v>67</v>
      </c>
      <c r="K6" s="38" t="s">
        <v>67</v>
      </c>
      <c r="L6" s="38" t="s">
        <v>67</v>
      </c>
      <c r="M6" s="38" t="s">
        <v>67</v>
      </c>
      <c r="N6" s="38" t="s">
        <v>67</v>
      </c>
      <c r="O6" s="38" t="s">
        <v>67</v>
      </c>
      <c r="P6" s="38" t="s">
        <v>67</v>
      </c>
      <c r="Q6" s="38" t="s">
        <v>67</v>
      </c>
      <c r="R6" s="38" t="s">
        <v>67</v>
      </c>
      <c r="S6" s="38" t="s">
        <v>67</v>
      </c>
      <c r="T6" s="38" t="s">
        <v>67</v>
      </c>
      <c r="U6" s="38" t="s">
        <v>67</v>
      </c>
      <c r="V6" s="38" t="s">
        <v>67</v>
      </c>
      <c r="W6" s="38" t="s">
        <v>67</v>
      </c>
      <c r="X6" s="38" t="s">
        <v>67</v>
      </c>
      <c r="Y6" s="38" t="s">
        <v>67</v>
      </c>
      <c r="Z6" s="38" t="s">
        <v>67</v>
      </c>
      <c r="AA6" s="38" t="s">
        <v>67</v>
      </c>
      <c r="AB6" s="38" t="s">
        <v>67</v>
      </c>
      <c r="AC6" s="38" t="s">
        <v>67</v>
      </c>
      <c r="AD6" s="38" t="s">
        <v>67</v>
      </c>
      <c r="AE6" s="38" t="s">
        <v>67</v>
      </c>
      <c r="AF6" s="68" t="s">
        <v>67</v>
      </c>
      <c r="AG6" s="68">
        <v>0</v>
      </c>
      <c r="AH6" s="68">
        <v>0</v>
      </c>
      <c r="AI6" s="68">
        <v>0</v>
      </c>
      <c r="AJ6" s="58" t="s">
        <v>31</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(U4)0x00000007U,                                                           /* 00 UNKNOWN                                         */</v>
      </c>
      <c r="AT6" s="69" t="str">
        <f t="shared" ref="AT6:AT69" si="1">IF(AJ6&lt;&gt;"",AL6&amp;IF(AJ7&lt;&gt;"",","," ")&amp;REPT(" ",78-LEN(AL6))&amp;"/* "&amp;IF(C6&lt;10,"0"&amp;C6,C6)&amp;" "&amp;AJ6&amp;REPT(" ",48-LEN(AJ6))&amp;"*/",IF(AJ5&lt;&gt;"","};",""))</f>
        <v xml:space="preserve">    (U1)ALERT_REQ_UNKNOWN,                                                     /* 00 UNKNOWN                                         */</v>
      </c>
      <c r="AU6" s="69" t="s">
        <v>320</v>
      </c>
      <c r="AV6" s="55" t="s">
        <v>68</v>
      </c>
      <c r="AW6" s="73" t="str">
        <f ca="1">UPPER(RIGHT(CELL("filename",A1),LEN(CELL("filename",A1))-FIND("]",CELL("filename",A1))))</f>
        <v>BC_VC</v>
      </c>
    </row>
    <row r="7" spans="1:49">
      <c r="B7" s="136"/>
      <c r="C7" s="54">
        <f t="shared" ref="C7:C69" si="2">ROW()-ROW($C$6)</f>
        <v>1</v>
      </c>
      <c r="D7" s="68" t="s">
        <v>67</v>
      </c>
      <c r="E7" s="68" t="s">
        <v>67</v>
      </c>
      <c r="F7" s="68" t="s">
        <v>67</v>
      </c>
      <c r="G7" s="68" t="s">
        <v>67</v>
      </c>
      <c r="H7" s="68" t="s">
        <v>67</v>
      </c>
      <c r="I7" s="68" t="s">
        <v>67</v>
      </c>
      <c r="J7" s="68" t="s">
        <v>67</v>
      </c>
      <c r="K7" s="68" t="s">
        <v>67</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68" t="s">
        <v>67</v>
      </c>
      <c r="AE7" s="68" t="s">
        <v>67</v>
      </c>
      <c r="AF7" s="68" t="s">
        <v>67</v>
      </c>
      <c r="AG7" s="68">
        <v>0</v>
      </c>
      <c r="AH7" s="68">
        <v>0</v>
      </c>
      <c r="AI7" s="68">
        <v>1</v>
      </c>
      <c r="AJ7" s="25" t="s">
        <v>296</v>
      </c>
      <c r="AL7" t="str">
        <f t="shared" ca="1" si="0"/>
        <v xml:space="preserve">    (U1)ALERT_REQ_S_LCA_BC_VC_CYCL</v>
      </c>
      <c r="AR7" s="69" t="str">
        <f t="shared" ref="AR7:AR70" si="3">IF(AQ72&lt;&gt;"",AQ72,IF(AQ71&lt;&gt;"","};",""))</f>
        <v xml:space="preserve">    (U4)0x00000001U,                                                           /* 01 CYCL                                            */</v>
      </c>
      <c r="AS7" s="69" t="str">
        <f t="shared" ref="AS7:AS70" si="4">IF(AQ137&lt;&gt;"",AQ137,IF(AQ136&lt;&gt;"","};",""))</f>
        <v xml:space="preserve">    (U4)0x00000007U,                                                           /* 01 CYCL                                            */</v>
      </c>
      <c r="AT7" s="69" t="str">
        <f t="shared" ca="1" si="1"/>
        <v xml:space="preserve">    (U1)ALERT_REQ_S_LCA_BC_VC_CYCL,                                            /* 01 CYCL                                            */</v>
      </c>
      <c r="AU7" s="69" t="str">
        <f ca="1">"        &amp;"&amp;$AW$14&amp;","&amp;REPT(" ",69-LEN($AW$14))&amp;"/* fp_u4_SRC_CHK                                      */"</f>
        <v xml:space="preserve">        &amp;u4_s_AlertS_lcaBcVcSrcchk,                                            /* fp_u4_SRC_CHK                                      */</v>
      </c>
      <c r="AV7" s="56" t="s">
        <v>69</v>
      </c>
      <c r="AW7" s="135">
        <f>IF(B3="Search Table",1,0)</f>
        <v>0</v>
      </c>
    </row>
    <row r="8" spans="1:49">
      <c r="B8" s="136"/>
      <c r="C8" s="54">
        <f t="shared" si="2"/>
        <v>2</v>
      </c>
      <c r="D8" s="68" t="s">
        <v>67</v>
      </c>
      <c r="E8" s="68" t="s">
        <v>67</v>
      </c>
      <c r="F8" s="68" t="s">
        <v>67</v>
      </c>
      <c r="G8" s="68" t="s">
        <v>67</v>
      </c>
      <c r="H8" s="68" t="s">
        <v>67</v>
      </c>
      <c r="I8" s="68" t="s">
        <v>67</v>
      </c>
      <c r="J8" s="68" t="s">
        <v>67</v>
      </c>
      <c r="K8" s="68" t="s">
        <v>67</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68" t="s">
        <v>67</v>
      </c>
      <c r="AG8" s="68">
        <v>0</v>
      </c>
      <c r="AH8" s="68">
        <v>1</v>
      </c>
      <c r="AI8" s="68">
        <v>0</v>
      </c>
      <c r="AJ8" s="25" t="s">
        <v>31</v>
      </c>
      <c r="AL8" t="str">
        <f t="shared" si="0"/>
        <v xml:space="preserve">    (U1)ALERT_REQ_UNKNOWN</v>
      </c>
      <c r="AR8" s="69" t="str">
        <f t="shared" si="3"/>
        <v xml:space="preserve">    (U4)0x00000002U,                                                           /* 02 UNKNOWN                                         */</v>
      </c>
      <c r="AS8" s="69" t="str">
        <f t="shared" si="4"/>
        <v xml:space="preserve">    (U4)0x00000007U,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70</v>
      </c>
      <c r="AW8" s="74" t="str">
        <f ca="1">"u4_sp_ALERT_"&amp;IF(AW6&lt;&gt;AW17,$AW$17&amp;"_"&amp;$AW$6,AW17)&amp;"_CRIT"</f>
        <v>u4_sp_ALERT_S_LCA_BC_VC_CRIT</v>
      </c>
    </row>
    <row r="9" spans="1:49">
      <c r="B9" s="136"/>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t="s">
        <v>67</v>
      </c>
      <c r="AG9" s="68">
        <v>0</v>
      </c>
      <c r="AH9" s="68">
        <v>1</v>
      </c>
      <c r="AI9" s="68">
        <v>1</v>
      </c>
      <c r="AJ9" s="25" t="s">
        <v>31</v>
      </c>
      <c r="AL9" t="str">
        <f t="shared" si="0"/>
        <v xml:space="preserve">    (U1)ALERT_REQ_UNKNOWN</v>
      </c>
      <c r="AR9" s="69" t="str">
        <f t="shared" si="3"/>
        <v xml:space="preserve">    (U4)0x00000003U,                                                           /* 03 UNKNOWN                                         */</v>
      </c>
      <c r="AS9" s="69" t="str">
        <f t="shared" si="4"/>
        <v xml:space="preserve">    (U4)0x00000007U,                                                           /* 03 UNKNOWN                                         */</v>
      </c>
      <c r="AT9" s="69" t="str">
        <f t="shared" si="1"/>
        <v xml:space="preserve">    (U1)ALERT_REQ_UNKNOWN,                                                     /* 03 UNKNOWN                                         */</v>
      </c>
      <c r="AU9" s="69"/>
      <c r="AV9" s="56" t="s">
        <v>71</v>
      </c>
      <c r="AW9" s="74" t="str">
        <f ca="1">"u4_sp_ALERT_"&amp;IF(AW6&lt;&gt;AW17,$AW$17&amp;"_"&amp;$AW$6,AW17)&amp;"_MASK"</f>
        <v>u4_sp_ALERT_S_LCA_BC_VC_MASK</v>
      </c>
    </row>
    <row r="10" spans="1:49">
      <c r="B10" s="136"/>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67</v>
      </c>
      <c r="AG10" s="68">
        <v>1</v>
      </c>
      <c r="AH10" s="68">
        <v>0</v>
      </c>
      <c r="AI10" s="68">
        <v>0</v>
      </c>
      <c r="AJ10" s="25" t="s">
        <v>31</v>
      </c>
      <c r="AL10" t="str">
        <f t="shared" si="0"/>
        <v xml:space="preserve">    (U1)ALERT_REQ_UNKNOWN</v>
      </c>
      <c r="AR10" s="69" t="str">
        <f t="shared" si="3"/>
        <v xml:space="preserve">    (U4)0x00000004U,                                                           /* 04 UNKNOWN                                         */</v>
      </c>
      <c r="AS10" s="69" t="str">
        <f t="shared" si="4"/>
        <v xml:space="preserve">    (U4)0x00000007U,                                                           /* 04 UNKNOWN                                         */</v>
      </c>
      <c r="AT10" s="69" t="str">
        <f t="shared" si="1"/>
        <v xml:space="preserve">    (U1)ALERT_REQ_UNKNOWN,                                                     /* 04 UNKNOWN                                         */</v>
      </c>
      <c r="AU10" s="69" t="str">
        <f>IF($AW$7=1,"        &amp;"&amp;$AW$9&amp;"[0],"&amp;REPT(" ",66-LEN($AW$9))&amp;"/* u4p_MASK                                           */","        (const U4 *)vdp_PTR_NA,                                                /* u4p_MASK                                           */")</f>
        <v xml:space="preserve">        (const U4 *)vdp_PTR_NA,                                                /* u4p_MASK                                           */</v>
      </c>
      <c r="AV10" s="56" t="s">
        <v>72</v>
      </c>
      <c r="AW10" s="74" t="str">
        <f ca="1">"ALERT_"&amp;IF(AW6&lt;&gt;AW17,$AW$17&amp;"_"&amp;$AW$6,AW17)&amp;"_NUM_DST"</f>
        <v>ALERT_S_LCA_BC_VC_NUM_DST</v>
      </c>
    </row>
    <row r="11" spans="1:49">
      <c r="B11" s="136"/>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67</v>
      </c>
      <c r="AG11" s="68">
        <v>1</v>
      </c>
      <c r="AH11" s="68">
        <v>0</v>
      </c>
      <c r="AI11" s="68">
        <v>1</v>
      </c>
      <c r="AJ11" s="25" t="s">
        <v>31</v>
      </c>
      <c r="AL11" t="str">
        <f t="shared" si="0"/>
        <v xml:space="preserve">    (U1)ALERT_REQ_UNKNOWN</v>
      </c>
      <c r="AR11" s="69" t="str">
        <f t="shared" si="3"/>
        <v xml:space="preserve">    (U4)0x00000005U,                                                           /* 05 UNKNOWN                                         */</v>
      </c>
      <c r="AS11" s="69" t="str">
        <f t="shared" si="4"/>
        <v xml:space="preserve">    (U4)0x00000007U,                                                           /* 05 UNKNOWN                                         */</v>
      </c>
      <c r="AT11" s="69" t="str">
        <f t="shared" si="1"/>
        <v xml:space="preserve">    (U1)ALERT_REQ_UNKNOWN,                                                     /* 05 UNKNOWN                                         */</v>
      </c>
      <c r="AU11" s="69" t="str">
        <f>IF($AW$7=1,"        &amp;"&amp;$AW$8&amp;"[0],"&amp;REPT(" ",66-LEN($AW$8))&amp;"/* u4p_CRIT                                           */","        (const U4 *)vdp_PTR_NA,                                                /* u4p_CRIT                                           */")</f>
        <v xml:space="preserve">        (const U4 *)vdp_PTR_NA,                                                /* u4p_CRIT                                           */</v>
      </c>
      <c r="AV11" s="56" t="s">
        <v>73</v>
      </c>
      <c r="AW11" s="74" t="str">
        <f ca="1">"u1_sp_ALERT_"&amp;IF(AW6&lt;&gt;AW17,$AW$17&amp;"_"&amp;$AW$6,AW17)&amp;"_DST"</f>
        <v>u1_sp_ALERT_S_LCA_BC_VC_DST</v>
      </c>
    </row>
    <row r="12" spans="1:49">
      <c r="B12" s="136"/>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68" t="s">
        <v>67</v>
      </c>
      <c r="AF12" s="68" t="s">
        <v>67</v>
      </c>
      <c r="AG12" s="68">
        <v>1</v>
      </c>
      <c r="AH12" s="68">
        <v>1</v>
      </c>
      <c r="AI12" s="68">
        <v>0</v>
      </c>
      <c r="AJ12" s="25" t="s">
        <v>31</v>
      </c>
      <c r="AL12" t="str">
        <f t="shared" si="0"/>
        <v xml:space="preserve">    (U1)ALERT_REQ_UNKNOWN</v>
      </c>
      <c r="AR12" s="69" t="str">
        <f t="shared" si="3"/>
        <v xml:space="preserve">    (U4)0x00000006U,                                                           /* 06 UNKNOWN                                         */</v>
      </c>
      <c r="AS12" s="69" t="str">
        <f t="shared" si="4"/>
        <v xml:space="preserve">    (U4)0x00000007U,                                                           /* 06 UNKNOWN                                         */</v>
      </c>
      <c r="AT12" s="69" t="str">
        <f t="shared" si="1"/>
        <v xml:space="preserve">    (U1)ALERT_REQ_UNKNOWN,                                                     /* 06 UNKNOWN                                         */</v>
      </c>
      <c r="AU12" s="69"/>
      <c r="AV12" s="56" t="s">
        <v>85</v>
      </c>
      <c r="AW12" s="74" t="str">
        <f ca="1">Matrix!D8&amp;"["&amp;Matrix!D7&amp;"]"</f>
        <v>st_gp_ALERT_S_LCA_MTRX[3]</v>
      </c>
    </row>
    <row r="13" spans="1:49">
      <c r="B13" s="136"/>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67</v>
      </c>
      <c r="AG13" s="68">
        <v>1</v>
      </c>
      <c r="AH13" s="68">
        <v>1</v>
      </c>
      <c r="AI13" s="68">
        <v>1</v>
      </c>
      <c r="AJ13" s="25" t="s">
        <v>31</v>
      </c>
      <c r="AL13" t="str">
        <f t="shared" si="0"/>
        <v xml:space="preserve">    (U1)ALERT_REQ_UNKNOWN</v>
      </c>
      <c r="AR13" s="69" t="str">
        <f t="shared" si="3"/>
        <v xml:space="preserve">    (U4)0x00000007U                                                            /* 07 UNKNOWN                                         */</v>
      </c>
      <c r="AS13" s="69" t="str">
        <f t="shared" si="4"/>
        <v xml:space="preserve">    (U4)0x00000007U                                                            /* 07 UNKNOWN                                         */</v>
      </c>
      <c r="AT13" s="69" t="str">
        <f t="shared" si="1"/>
        <v xml:space="preserve">    (U1)ALERT_REQ_UNKNOWN                                                      /* 07 UNKNOWN                                         */</v>
      </c>
      <c r="AU13" s="69" t="str">
        <f ca="1">"        &amp;"&amp;$AW$11&amp;"[0],"&amp;REPT(" ",66-LEN($AW$11))&amp;"/* u1p_DST                                            */"</f>
        <v xml:space="preserve">        &amp;u1_sp_ALERT_S_LCA_BC_VC_DST[0],                                       /* u1p_DST                                            */</v>
      </c>
      <c r="AV13" s="56" t="s">
        <v>74</v>
      </c>
      <c r="AW13" s="135">
        <f>COUNTA($AJ$6:$AJ$69)</f>
        <v>8</v>
      </c>
    </row>
    <row r="14" spans="1:49">
      <c r="B14" s="136"/>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67</v>
      </c>
      <c r="AG14" s="68" t="s">
        <v>67</v>
      </c>
      <c r="AH14" s="68" t="s">
        <v>67</v>
      </c>
      <c r="AI14" s="68" t="s">
        <v>67</v>
      </c>
      <c r="AJ14" s="25"/>
      <c r="AL14" t="str">
        <f t="shared" ca="1" si="0"/>
        <v xml:space="preserve">    (U1)ALERT_REQ_S_LCA_BC_VC_</v>
      </c>
      <c r="AR14" s="69" t="str">
        <f t="shared" si="3"/>
        <v>};</v>
      </c>
      <c r="AS14" s="69" t="str">
        <f t="shared" si="4"/>
        <v>};</v>
      </c>
      <c r="AT14" s="69" t="str">
        <f t="shared" si="1"/>
        <v>};</v>
      </c>
      <c r="AU14" s="69" t="str">
        <f ca="1">"        (U2)"&amp;$AW$10&amp;","&amp;REPT(" ",66-LEN($AW$10))&amp;"/* u2_num_srch                                        */"</f>
        <v xml:space="preserve">        (U2)ALERT_S_LCA_BC_VC_NUM_DST,                                         /* u2_num_srch                                        */</v>
      </c>
      <c r="AV14" s="56" t="s">
        <v>75</v>
      </c>
      <c r="AW14" s="74" t="str">
        <f ca="1">IF(AW6&lt;&gt;AW17,VLOOKUP(AW6,Matrix!$C$13:$G$37,4,FALSE),Matrix!F13)</f>
        <v>u4_s_AlertS_lcaBcVcSrcchk</v>
      </c>
    </row>
    <row r="15" spans="1:49">
      <c r="B15" s="136"/>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67</v>
      </c>
      <c r="AG15" s="68" t="s">
        <v>67</v>
      </c>
      <c r="AH15" s="68" t="s">
        <v>67</v>
      </c>
      <c r="AI15" s="68" t="s">
        <v>67</v>
      </c>
      <c r="AJ15" s="25"/>
      <c r="AL15" t="str">
        <f t="shared" ca="1" si="0"/>
        <v xml:space="preserve">    (U1)ALERT_REQ_S_LCA_BC_VC_</v>
      </c>
      <c r="AR15" s="69" t="str">
        <f t="shared" si="3"/>
        <v/>
      </c>
      <c r="AS15" s="69" t="str">
        <f t="shared" si="4"/>
        <v/>
      </c>
      <c r="AT15" s="69" t="str">
        <f t="shared" si="1"/>
        <v/>
      </c>
      <c r="AU15" s="69" t="str">
        <f ca="1">"        (U1)"&amp;$AW$16&amp;REPT(" ",67-LEN($AW$16))&amp;"/* u1_vom_act                                         */"</f>
        <v xml:space="preserve">        (U1)ALERT_VOM_IGN_ON                                                   /* u1_vom_act                                         */</v>
      </c>
      <c r="AV15" s="56" t="s">
        <v>78</v>
      </c>
      <c r="AW15" s="74" t="str">
        <f ca="1">IF(AW6&lt;&gt;AW17,VLOOKUP(AW6,Matrix!$C$13:$G$37,5,FALSE),Matrix!G13)</f>
        <v>NULL</v>
      </c>
    </row>
    <row r="16" spans="1:49">
      <c r="B16" s="136"/>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67</v>
      </c>
      <c r="AG16" s="68" t="s">
        <v>67</v>
      </c>
      <c r="AH16" s="68" t="s">
        <v>67</v>
      </c>
      <c r="AI16" s="68" t="s">
        <v>67</v>
      </c>
      <c r="AJ16" s="25"/>
      <c r="AL16" t="str">
        <f t="shared" ca="1" si="0"/>
        <v xml:space="preserve">    (U1)ALERT_REQ_S_LCA_BC_VC_</v>
      </c>
      <c r="AR16" s="69" t="str">
        <f t="shared" si="3"/>
        <v/>
      </c>
      <c r="AS16" s="69" t="str">
        <f t="shared" si="4"/>
        <v/>
      </c>
      <c r="AT16" s="69" t="str">
        <f t="shared" si="1"/>
        <v/>
      </c>
      <c r="AU16" s="69" t="s">
        <v>321</v>
      </c>
      <c r="AV16" s="56" t="s">
        <v>76</v>
      </c>
      <c r="AW16" s="74" t="str">
        <f ca="1">IF(AW6&lt;&gt;AW17,VLOOKUP(AW6,Matrix!$C$13:$G$37,2,FALSE),Matrix!D13)</f>
        <v>ALERT_VOM_IGN_ON</v>
      </c>
    </row>
    <row r="17" spans="2:49" ht="14.25" thickBot="1">
      <c r="B17" s="136"/>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67</v>
      </c>
      <c r="AG17" s="68" t="s">
        <v>67</v>
      </c>
      <c r="AH17" s="68" t="s">
        <v>67</v>
      </c>
      <c r="AI17" s="68" t="s">
        <v>67</v>
      </c>
      <c r="AJ17" s="25"/>
      <c r="AL17" t="str">
        <f t="shared" ca="1" si="0"/>
        <v xml:space="preserve">    (U1)ALERT_REQ_S_LCA_BC_VC_</v>
      </c>
      <c r="AR17" s="69" t="str">
        <f t="shared" si="3"/>
        <v/>
      </c>
      <c r="AS17" s="69" t="str">
        <f t="shared" si="4"/>
        <v/>
      </c>
      <c r="AT17" s="69" t="str">
        <f t="shared" si="1"/>
        <v/>
      </c>
      <c r="AU17" s="70" t="s">
        <v>322</v>
      </c>
      <c r="AV17" s="57" t="s">
        <v>77</v>
      </c>
      <c r="AW17" s="75" t="str">
        <f ca="1">UPPER(Matrix!$D$6)</f>
        <v>S_LCA</v>
      </c>
    </row>
    <row r="18" spans="2:49">
      <c r="B18" s="136"/>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67</v>
      </c>
      <c r="AG18" s="68" t="s">
        <v>67</v>
      </c>
      <c r="AH18" s="68" t="s">
        <v>67</v>
      </c>
      <c r="AI18" s="68" t="s">
        <v>67</v>
      </c>
      <c r="AJ18" s="25"/>
      <c r="AL18" t="str">
        <f t="shared" ca="1" si="0"/>
        <v xml:space="preserve">    (U1)ALERT_REQ_S_LCA_BC_VC_</v>
      </c>
      <c r="AR18" s="69" t="str">
        <f t="shared" si="3"/>
        <v/>
      </c>
      <c r="AS18" s="69" t="str">
        <f t="shared" si="4"/>
        <v/>
      </c>
      <c r="AT18" s="69" t="str">
        <f t="shared" si="1"/>
        <v/>
      </c>
    </row>
    <row r="19" spans="2:49">
      <c r="B19" s="136"/>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67</v>
      </c>
      <c r="AG19" s="68" t="s">
        <v>67</v>
      </c>
      <c r="AH19" s="68" t="s">
        <v>67</v>
      </c>
      <c r="AI19" s="68" t="s">
        <v>67</v>
      </c>
      <c r="AJ19" s="25"/>
      <c r="AL19" t="str">
        <f t="shared" ca="1" si="0"/>
        <v xml:space="preserve">    (U1)ALERT_REQ_S_LCA_BC_VC_</v>
      </c>
      <c r="AR19" s="69" t="str">
        <f t="shared" si="3"/>
        <v/>
      </c>
      <c r="AS19" s="69" t="str">
        <f t="shared" si="4"/>
        <v/>
      </c>
      <c r="AT19" s="69" t="str">
        <f t="shared" si="1"/>
        <v/>
      </c>
    </row>
    <row r="20" spans="2:49">
      <c r="B20" s="136"/>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67</v>
      </c>
      <c r="AG20" s="68" t="s">
        <v>67</v>
      </c>
      <c r="AH20" s="68" t="s">
        <v>67</v>
      </c>
      <c r="AI20" s="68" t="s">
        <v>67</v>
      </c>
      <c r="AJ20" s="25"/>
      <c r="AL20" t="str">
        <f t="shared" ca="1" si="0"/>
        <v xml:space="preserve">    (U1)ALERT_REQ_S_LCA_BC_VC_</v>
      </c>
      <c r="AR20" s="69" t="str">
        <f t="shared" si="3"/>
        <v/>
      </c>
      <c r="AS20" s="69" t="str">
        <f t="shared" si="4"/>
        <v/>
      </c>
      <c r="AT20" s="69" t="str">
        <f t="shared" si="1"/>
        <v/>
      </c>
    </row>
    <row r="21" spans="2:49">
      <c r="B21" s="136"/>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67</v>
      </c>
      <c r="AG21" s="68" t="s">
        <v>67</v>
      </c>
      <c r="AH21" s="68" t="s">
        <v>67</v>
      </c>
      <c r="AI21" s="68" t="s">
        <v>67</v>
      </c>
      <c r="AJ21" s="25"/>
      <c r="AL21" t="str">
        <f t="shared" ca="1" si="0"/>
        <v xml:space="preserve">    (U1)ALERT_REQ_S_LCA_BC_VC_</v>
      </c>
      <c r="AR21" s="69" t="str">
        <f t="shared" si="3"/>
        <v/>
      </c>
      <c r="AS21" s="69" t="str">
        <f t="shared" si="4"/>
        <v/>
      </c>
      <c r="AT21" s="69" t="str">
        <f t="shared" si="1"/>
        <v/>
      </c>
    </row>
    <row r="22" spans="2:49">
      <c r="B22" s="136"/>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25"/>
      <c r="AL22" t="str">
        <f t="shared" ca="1" si="0"/>
        <v xml:space="preserve">    (U1)ALERT_REQ_S_LCA_BC_VC_</v>
      </c>
      <c r="AR22" s="69" t="str">
        <f t="shared" si="3"/>
        <v/>
      </c>
      <c r="AS22" s="69" t="str">
        <f t="shared" si="4"/>
        <v/>
      </c>
      <c r="AT22" s="69" t="str">
        <f t="shared" si="1"/>
        <v/>
      </c>
    </row>
    <row r="23" spans="2:49">
      <c r="B23" s="136"/>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25"/>
      <c r="AL23" t="str">
        <f t="shared" ca="1" si="0"/>
        <v xml:space="preserve">    (U1)ALERT_REQ_S_LCA_BC_VC_</v>
      </c>
      <c r="AR23" s="69" t="str">
        <f t="shared" si="3"/>
        <v/>
      </c>
      <c r="AS23" s="69" t="str">
        <f t="shared" si="4"/>
        <v/>
      </c>
      <c r="AT23" s="69" t="str">
        <f t="shared" si="1"/>
        <v/>
      </c>
    </row>
    <row r="24" spans="2:49">
      <c r="B24" s="136"/>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5"/>
      <c r="AL24" t="str">
        <f t="shared" ca="1" si="0"/>
        <v xml:space="preserve">    (U1)ALERT_REQ_S_LCA_BC_VC_</v>
      </c>
      <c r="AR24" s="69" t="str">
        <f t="shared" si="3"/>
        <v/>
      </c>
      <c r="AS24" s="69" t="str">
        <f t="shared" si="4"/>
        <v/>
      </c>
      <c r="AT24" s="69" t="str">
        <f t="shared" si="1"/>
        <v/>
      </c>
    </row>
    <row r="25" spans="2:49">
      <c r="B25" s="136"/>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5"/>
      <c r="AL25" t="str">
        <f t="shared" ca="1" si="0"/>
        <v xml:space="preserve">    (U1)ALERT_REQ_S_LCA_BC_VC_</v>
      </c>
      <c r="AR25" s="69" t="str">
        <f t="shared" si="3"/>
        <v/>
      </c>
      <c r="AS25" s="69" t="str">
        <f t="shared" si="4"/>
        <v/>
      </c>
      <c r="AT25" s="69" t="str">
        <f t="shared" si="1"/>
        <v/>
      </c>
    </row>
    <row r="26" spans="2:49">
      <c r="B26" s="136"/>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5"/>
      <c r="AL26" t="str">
        <f t="shared" ca="1" si="0"/>
        <v xml:space="preserve">    (U1)ALERT_REQ_S_LCA_BC_VC_</v>
      </c>
      <c r="AR26" s="69" t="str">
        <f t="shared" si="3"/>
        <v/>
      </c>
      <c r="AS26" s="69" t="str">
        <f t="shared" si="4"/>
        <v/>
      </c>
      <c r="AT26" s="69" t="str">
        <f t="shared" si="1"/>
        <v/>
      </c>
    </row>
    <row r="27" spans="2:49">
      <c r="B27" s="136"/>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5"/>
      <c r="AL27" t="str">
        <f t="shared" ca="1" si="0"/>
        <v xml:space="preserve">    (U1)ALERT_REQ_S_LCA_BC_VC_</v>
      </c>
      <c r="AR27" s="69" t="str">
        <f t="shared" si="3"/>
        <v/>
      </c>
      <c r="AS27" s="69" t="str">
        <f t="shared" si="4"/>
        <v/>
      </c>
      <c r="AT27" s="69" t="str">
        <f t="shared" si="1"/>
        <v/>
      </c>
    </row>
    <row r="28" spans="2:49">
      <c r="B28" s="136"/>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5"/>
      <c r="AL28" t="str">
        <f t="shared" ca="1" si="0"/>
        <v xml:space="preserve">    (U1)ALERT_REQ_S_LCA_BC_VC_</v>
      </c>
      <c r="AR28" s="69" t="str">
        <f t="shared" si="3"/>
        <v/>
      </c>
      <c r="AS28" s="69" t="str">
        <f t="shared" si="4"/>
        <v/>
      </c>
      <c r="AT28" s="69" t="str">
        <f t="shared" si="1"/>
        <v/>
      </c>
    </row>
    <row r="29" spans="2:49">
      <c r="B29" s="136"/>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5"/>
      <c r="AL29" t="str">
        <f t="shared" ca="1" si="0"/>
        <v xml:space="preserve">    (U1)ALERT_REQ_S_LCA_BC_VC_</v>
      </c>
      <c r="AR29" s="69" t="str">
        <f t="shared" si="3"/>
        <v/>
      </c>
      <c r="AS29" s="69" t="str">
        <f t="shared" si="4"/>
        <v/>
      </c>
      <c r="AT29" s="69" t="str">
        <f t="shared" si="1"/>
        <v/>
      </c>
    </row>
    <row r="30" spans="2:49">
      <c r="B30" s="136"/>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5"/>
      <c r="AL30" t="str">
        <f t="shared" ca="1" si="0"/>
        <v xml:space="preserve">    (U1)ALERT_REQ_S_LCA_BC_VC_</v>
      </c>
      <c r="AR30" s="69" t="str">
        <f t="shared" si="3"/>
        <v/>
      </c>
      <c r="AS30" s="69" t="str">
        <f t="shared" si="4"/>
        <v/>
      </c>
      <c r="AT30" s="69" t="str">
        <f t="shared" si="1"/>
        <v/>
      </c>
    </row>
    <row r="31" spans="2:49">
      <c r="B31" s="136"/>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5"/>
      <c r="AL31" t="str">
        <f t="shared" ca="1" si="0"/>
        <v xml:space="preserve">    (U1)ALERT_REQ_S_LCA_BC_VC_</v>
      </c>
      <c r="AR31" s="69" t="str">
        <f t="shared" si="3"/>
        <v/>
      </c>
      <c r="AS31" s="69" t="str">
        <f t="shared" si="4"/>
        <v/>
      </c>
      <c r="AT31" s="69" t="str">
        <f t="shared" si="1"/>
        <v/>
      </c>
    </row>
    <row r="32" spans="2:49">
      <c r="B32" s="136"/>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5"/>
      <c r="AL32" t="str">
        <f t="shared" ca="1" si="0"/>
        <v xml:space="preserve">    (U1)ALERT_REQ_S_LCA_BC_VC_</v>
      </c>
      <c r="AR32" s="69" t="str">
        <f t="shared" si="3"/>
        <v/>
      </c>
      <c r="AS32" s="69" t="str">
        <f t="shared" si="4"/>
        <v/>
      </c>
      <c r="AT32" s="69" t="str">
        <f t="shared" si="1"/>
        <v/>
      </c>
    </row>
    <row r="33" spans="2:46">
      <c r="B33" s="136"/>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5"/>
      <c r="AL33" t="str">
        <f t="shared" ca="1" si="0"/>
        <v xml:space="preserve">    (U1)ALERT_REQ_S_LCA_BC_VC_</v>
      </c>
      <c r="AR33" s="69" t="str">
        <f t="shared" si="3"/>
        <v/>
      </c>
      <c r="AS33" s="69" t="str">
        <f t="shared" si="4"/>
        <v/>
      </c>
      <c r="AT33" s="69" t="str">
        <f t="shared" si="1"/>
        <v/>
      </c>
    </row>
    <row r="34" spans="2:46">
      <c r="B34" s="136"/>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5"/>
      <c r="AL34" t="str">
        <f t="shared" ca="1" si="0"/>
        <v xml:space="preserve">    (U1)ALERT_REQ_S_LCA_BC_VC_</v>
      </c>
      <c r="AR34" s="69" t="str">
        <f t="shared" si="3"/>
        <v/>
      </c>
      <c r="AS34" s="69" t="str">
        <f t="shared" si="4"/>
        <v/>
      </c>
      <c r="AT34" s="69" t="str">
        <f t="shared" si="1"/>
        <v/>
      </c>
    </row>
    <row r="35" spans="2:46">
      <c r="B35" s="136"/>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5"/>
      <c r="AL35" t="str">
        <f t="shared" ca="1" si="0"/>
        <v xml:space="preserve">    (U1)ALERT_REQ_S_LCA_BC_VC_</v>
      </c>
      <c r="AR35" s="69" t="str">
        <f t="shared" si="3"/>
        <v/>
      </c>
      <c r="AS35" s="69" t="str">
        <f t="shared" si="4"/>
        <v/>
      </c>
      <c r="AT35" s="69" t="str">
        <f t="shared" si="1"/>
        <v/>
      </c>
    </row>
    <row r="36" spans="2:46">
      <c r="B36" s="136"/>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5"/>
      <c r="AL36" t="str">
        <f t="shared" ca="1" si="0"/>
        <v xml:space="preserve">    (U1)ALERT_REQ_S_LCA_BC_VC_</v>
      </c>
      <c r="AR36" s="69" t="str">
        <f t="shared" si="3"/>
        <v/>
      </c>
      <c r="AS36" s="69" t="str">
        <f t="shared" si="4"/>
        <v/>
      </c>
      <c r="AT36" s="69" t="str">
        <f t="shared" si="1"/>
        <v/>
      </c>
    </row>
    <row r="37" spans="2:46">
      <c r="B37" s="136"/>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5"/>
      <c r="AL37" t="str">
        <f t="shared" ca="1" si="0"/>
        <v xml:space="preserve">    (U1)ALERT_REQ_S_LCA_BC_VC_</v>
      </c>
      <c r="AR37" s="69" t="str">
        <f t="shared" si="3"/>
        <v/>
      </c>
      <c r="AS37" s="69" t="str">
        <f t="shared" si="4"/>
        <v/>
      </c>
      <c r="AT37" s="69" t="str">
        <f t="shared" si="1"/>
        <v/>
      </c>
    </row>
    <row r="38" spans="2:46">
      <c r="B38" s="136"/>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(U1)ALERT_REQ_S_LCA_BC_VC_</v>
      </c>
      <c r="AR38" s="69" t="str">
        <f t="shared" si="3"/>
        <v/>
      </c>
      <c r="AS38" s="69" t="str">
        <f t="shared" si="4"/>
        <v/>
      </c>
      <c r="AT38" s="69" t="str">
        <f t="shared" si="1"/>
        <v/>
      </c>
    </row>
    <row r="39" spans="2:46">
      <c r="B39" s="136"/>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(U1)ALERT_REQ_S_LCA_BC_VC_</v>
      </c>
      <c r="AR39" s="69" t="str">
        <f t="shared" si="3"/>
        <v/>
      </c>
      <c r="AS39" s="69" t="str">
        <f t="shared" si="4"/>
        <v/>
      </c>
      <c r="AT39" s="69" t="str">
        <f t="shared" si="1"/>
        <v/>
      </c>
    </row>
    <row r="40" spans="2:46">
      <c r="B40" s="136"/>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(U1)ALERT_REQ_S_LCA_BC_VC_</v>
      </c>
      <c r="AR40" s="69" t="str">
        <f t="shared" si="3"/>
        <v/>
      </c>
      <c r="AS40" s="69" t="str">
        <f t="shared" si="4"/>
        <v/>
      </c>
      <c r="AT40" s="69" t="str">
        <f t="shared" si="1"/>
        <v/>
      </c>
    </row>
    <row r="41" spans="2:46">
      <c r="B41" s="136"/>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(U1)ALERT_REQ_S_LCA_BC_VC_</v>
      </c>
      <c r="AR41" s="69" t="str">
        <f t="shared" si="3"/>
        <v/>
      </c>
      <c r="AS41" s="69" t="str">
        <f t="shared" si="4"/>
        <v/>
      </c>
      <c r="AT41" s="69" t="str">
        <f t="shared" si="1"/>
        <v/>
      </c>
    </row>
    <row r="42" spans="2:46">
      <c r="B42" s="136"/>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(U1)ALERT_REQ_S_LCA_BC_VC_</v>
      </c>
      <c r="AR42" s="69" t="str">
        <f t="shared" si="3"/>
        <v/>
      </c>
      <c r="AS42" s="69" t="str">
        <f t="shared" si="4"/>
        <v/>
      </c>
      <c r="AT42" s="69" t="str">
        <f t="shared" si="1"/>
        <v/>
      </c>
    </row>
    <row r="43" spans="2:46">
      <c r="B43" s="136"/>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(U1)ALERT_REQ_S_LCA_BC_VC_</v>
      </c>
      <c r="AR43" s="69" t="str">
        <f t="shared" si="3"/>
        <v/>
      </c>
      <c r="AS43" s="69" t="str">
        <f t="shared" si="4"/>
        <v/>
      </c>
      <c r="AT43" s="69" t="str">
        <f t="shared" si="1"/>
        <v/>
      </c>
    </row>
    <row r="44" spans="2:46">
      <c r="B44" s="136"/>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(U1)ALERT_REQ_S_LCA_BC_VC_</v>
      </c>
      <c r="AR44" s="69" t="str">
        <f t="shared" si="3"/>
        <v/>
      </c>
      <c r="AS44" s="69" t="str">
        <f t="shared" si="4"/>
        <v/>
      </c>
      <c r="AT44" s="69" t="str">
        <f t="shared" si="1"/>
        <v/>
      </c>
    </row>
    <row r="45" spans="2:46">
      <c r="B45" s="136"/>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(U1)ALERT_REQ_S_LCA_BC_VC_</v>
      </c>
      <c r="AR45" s="69" t="str">
        <f t="shared" si="3"/>
        <v/>
      </c>
      <c r="AS45" s="69" t="str">
        <f t="shared" si="4"/>
        <v/>
      </c>
      <c r="AT45" s="69" t="str">
        <f t="shared" si="1"/>
        <v/>
      </c>
    </row>
    <row r="46" spans="2:46">
      <c r="B46" s="136"/>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(U1)ALERT_REQ_S_LCA_BC_VC_</v>
      </c>
      <c r="AR46" s="69" t="str">
        <f t="shared" si="3"/>
        <v/>
      </c>
      <c r="AS46" s="69" t="str">
        <f t="shared" si="4"/>
        <v/>
      </c>
      <c r="AT46" s="69" t="str">
        <f t="shared" si="1"/>
        <v/>
      </c>
    </row>
    <row r="47" spans="2:46">
      <c r="B47" s="136"/>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(U1)ALERT_REQ_S_LCA_BC_VC_</v>
      </c>
      <c r="AR47" s="69" t="str">
        <f t="shared" si="3"/>
        <v/>
      </c>
      <c r="AS47" s="69" t="str">
        <f t="shared" si="4"/>
        <v/>
      </c>
      <c r="AT47" s="69" t="str">
        <f t="shared" si="1"/>
        <v/>
      </c>
    </row>
    <row r="48" spans="2:46">
      <c r="B48" s="136"/>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(U1)ALERT_REQ_S_LCA_BC_VC_</v>
      </c>
      <c r="AR48" s="69" t="str">
        <f t="shared" si="3"/>
        <v/>
      </c>
      <c r="AS48" s="69" t="str">
        <f t="shared" si="4"/>
        <v/>
      </c>
      <c r="AT48" s="69" t="str">
        <f t="shared" si="1"/>
        <v/>
      </c>
    </row>
    <row r="49" spans="2:46">
      <c r="B49" s="136"/>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(U1)ALERT_REQ_S_LCA_BC_VC_</v>
      </c>
      <c r="AR49" s="69" t="str">
        <f t="shared" si="3"/>
        <v/>
      </c>
      <c r="AS49" s="69" t="str">
        <f t="shared" si="4"/>
        <v/>
      </c>
      <c r="AT49" s="69" t="str">
        <f t="shared" si="1"/>
        <v/>
      </c>
    </row>
    <row r="50" spans="2:46">
      <c r="B50" s="136"/>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(U1)ALERT_REQ_S_LCA_BC_VC_</v>
      </c>
      <c r="AR50" s="69" t="str">
        <f t="shared" si="3"/>
        <v/>
      </c>
      <c r="AS50" s="69" t="str">
        <f t="shared" si="4"/>
        <v/>
      </c>
      <c r="AT50" s="69" t="str">
        <f t="shared" si="1"/>
        <v/>
      </c>
    </row>
    <row r="51" spans="2:46">
      <c r="B51" s="136"/>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(U1)ALERT_REQ_S_LCA_BC_VC_</v>
      </c>
      <c r="AR51" s="69" t="str">
        <f t="shared" si="3"/>
        <v/>
      </c>
      <c r="AS51" s="69" t="str">
        <f t="shared" si="4"/>
        <v/>
      </c>
      <c r="AT51" s="69" t="str">
        <f t="shared" si="1"/>
        <v/>
      </c>
    </row>
    <row r="52" spans="2:46">
      <c r="B52" s="136"/>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(U1)ALERT_REQ_S_LCA_BC_VC_</v>
      </c>
      <c r="AR52" s="69" t="str">
        <f t="shared" si="3"/>
        <v/>
      </c>
      <c r="AS52" s="69" t="str">
        <f t="shared" si="4"/>
        <v/>
      </c>
      <c r="AT52" s="69" t="str">
        <f t="shared" si="1"/>
        <v/>
      </c>
    </row>
    <row r="53" spans="2:46">
      <c r="B53" s="136"/>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(U1)ALERT_REQ_S_LCA_BC_VC_</v>
      </c>
      <c r="AR53" s="69" t="str">
        <f t="shared" si="3"/>
        <v/>
      </c>
      <c r="AS53" s="69" t="str">
        <f t="shared" si="4"/>
        <v/>
      </c>
      <c r="AT53" s="69" t="str">
        <f t="shared" si="1"/>
        <v/>
      </c>
    </row>
    <row r="54" spans="2:46">
      <c r="B54" s="136"/>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(U1)ALERT_REQ_S_LCA_BC_VC_</v>
      </c>
      <c r="AR54" s="69" t="str">
        <f t="shared" si="3"/>
        <v/>
      </c>
      <c r="AS54" s="69" t="str">
        <f t="shared" si="4"/>
        <v/>
      </c>
      <c r="AT54" s="69" t="str">
        <f t="shared" si="1"/>
        <v/>
      </c>
    </row>
    <row r="55" spans="2:46">
      <c r="B55" s="136"/>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(U1)ALERT_REQ_S_LCA_BC_VC_</v>
      </c>
      <c r="AR55" s="69" t="str">
        <f t="shared" si="3"/>
        <v/>
      </c>
      <c r="AS55" s="69" t="str">
        <f t="shared" si="4"/>
        <v/>
      </c>
      <c r="AT55" s="69" t="str">
        <f t="shared" si="1"/>
        <v/>
      </c>
    </row>
    <row r="56" spans="2:46">
      <c r="B56" s="136"/>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(U1)ALERT_REQ_S_LCA_BC_VC_</v>
      </c>
      <c r="AR56" s="69" t="str">
        <f t="shared" si="3"/>
        <v/>
      </c>
      <c r="AS56" s="69" t="str">
        <f t="shared" si="4"/>
        <v/>
      </c>
      <c r="AT56" s="69" t="str">
        <f t="shared" si="1"/>
        <v/>
      </c>
    </row>
    <row r="57" spans="2:46">
      <c r="B57" s="136"/>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(U1)ALERT_REQ_S_LCA_BC_VC_</v>
      </c>
      <c r="AR57" s="69" t="str">
        <f t="shared" si="3"/>
        <v/>
      </c>
      <c r="AS57" s="69" t="str">
        <f t="shared" si="4"/>
        <v/>
      </c>
      <c r="AT57" s="69" t="str">
        <f t="shared" si="1"/>
        <v/>
      </c>
    </row>
    <row r="58" spans="2:46">
      <c r="B58" s="136"/>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(U1)ALERT_REQ_S_LCA_BC_VC_</v>
      </c>
      <c r="AR58" s="69" t="str">
        <f t="shared" si="3"/>
        <v/>
      </c>
      <c r="AS58" s="69" t="str">
        <f t="shared" si="4"/>
        <v/>
      </c>
      <c r="AT58" s="69" t="str">
        <f t="shared" si="1"/>
        <v/>
      </c>
    </row>
    <row r="59" spans="2:46">
      <c r="B59" s="136"/>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(U1)ALERT_REQ_S_LCA_BC_VC_</v>
      </c>
      <c r="AR59" s="69" t="str">
        <f t="shared" si="3"/>
        <v/>
      </c>
      <c r="AS59" s="69" t="str">
        <f t="shared" si="4"/>
        <v/>
      </c>
      <c r="AT59" s="69" t="str">
        <f t="shared" si="1"/>
        <v/>
      </c>
    </row>
    <row r="60" spans="2:46">
      <c r="B60" s="136"/>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(U1)ALERT_REQ_S_LCA_BC_VC_</v>
      </c>
      <c r="AR60" s="69" t="str">
        <f t="shared" si="3"/>
        <v/>
      </c>
      <c r="AS60" s="69" t="str">
        <f t="shared" si="4"/>
        <v/>
      </c>
      <c r="AT60" s="69" t="str">
        <f t="shared" si="1"/>
        <v/>
      </c>
    </row>
    <row r="61" spans="2:46">
      <c r="B61" s="136"/>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(U1)ALERT_REQ_S_LCA_BC_VC_</v>
      </c>
      <c r="AR61" s="69" t="str">
        <f t="shared" si="3"/>
        <v/>
      </c>
      <c r="AS61" s="69" t="str">
        <f t="shared" si="4"/>
        <v/>
      </c>
      <c r="AT61" s="69" t="str">
        <f t="shared" si="1"/>
        <v/>
      </c>
    </row>
    <row r="62" spans="2:46">
      <c r="B62" s="136"/>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(U1)ALERT_REQ_S_LCA_BC_VC_</v>
      </c>
      <c r="AR62" s="69" t="str">
        <f t="shared" si="3"/>
        <v/>
      </c>
      <c r="AS62" s="69" t="str">
        <f t="shared" si="4"/>
        <v/>
      </c>
      <c r="AT62" s="69" t="str">
        <f t="shared" si="1"/>
        <v/>
      </c>
    </row>
    <row r="63" spans="2:46">
      <c r="B63" s="136"/>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(U1)ALERT_REQ_S_LCA_BC_VC_</v>
      </c>
      <c r="AR63" s="69" t="str">
        <f t="shared" si="3"/>
        <v/>
      </c>
      <c r="AS63" s="69" t="str">
        <f t="shared" si="4"/>
        <v/>
      </c>
      <c r="AT63" s="69" t="str">
        <f t="shared" si="1"/>
        <v/>
      </c>
    </row>
    <row r="64" spans="2:46">
      <c r="B64" s="136"/>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(U1)ALERT_REQ_S_LCA_BC_VC_</v>
      </c>
      <c r="AR64" s="69" t="str">
        <f t="shared" si="3"/>
        <v/>
      </c>
      <c r="AS64" s="69" t="str">
        <f t="shared" si="4"/>
        <v/>
      </c>
      <c r="AT64" s="69" t="str">
        <f t="shared" si="1"/>
        <v/>
      </c>
    </row>
    <row r="65" spans="1:46">
      <c r="B65" s="136"/>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(U1)ALERT_REQ_S_LCA_BC_VC_</v>
      </c>
      <c r="AR65" s="69" t="str">
        <f t="shared" si="3"/>
        <v/>
      </c>
      <c r="AS65" s="69" t="str">
        <f t="shared" si="4"/>
        <v/>
      </c>
      <c r="AT65" s="69" t="str">
        <f t="shared" si="1"/>
        <v/>
      </c>
    </row>
    <row r="66" spans="1:46">
      <c r="B66" s="136"/>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(U1)ALERT_REQ_S_LCA_BC_VC_</v>
      </c>
      <c r="AR66" s="69" t="str">
        <f t="shared" si="3"/>
        <v/>
      </c>
      <c r="AS66" s="69" t="str">
        <f t="shared" si="4"/>
        <v/>
      </c>
      <c r="AT66" s="69" t="str">
        <f t="shared" si="1"/>
        <v/>
      </c>
    </row>
    <row r="67" spans="1:46">
      <c r="B67" s="136"/>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(U1)ALERT_REQ_S_LCA_BC_VC_</v>
      </c>
      <c r="AR67" s="69" t="str">
        <f t="shared" si="3"/>
        <v/>
      </c>
      <c r="AS67" s="69" t="str">
        <f t="shared" si="4"/>
        <v/>
      </c>
      <c r="AT67" s="69" t="str">
        <f t="shared" si="1"/>
        <v/>
      </c>
    </row>
    <row r="68" spans="1:46">
      <c r="B68" s="136"/>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(U1)ALERT_REQ_S_LCA_BC_VC_</v>
      </c>
      <c r="AR68" s="69" t="str">
        <f t="shared" si="3"/>
        <v/>
      </c>
      <c r="AS68" s="69" t="str">
        <f t="shared" si="4"/>
        <v/>
      </c>
      <c r="AT68" s="69" t="str">
        <f t="shared" si="1"/>
        <v/>
      </c>
    </row>
    <row r="69" spans="1:46">
      <c r="B69" s="137"/>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(U1)ALERT_REQ_S_LCA_BC_VC_</v>
      </c>
      <c r="AR69" s="69" t="str">
        <f t="shared" si="3"/>
        <v/>
      </c>
      <c r="AS69" s="69" t="str">
        <f t="shared" si="4"/>
        <v/>
      </c>
      <c r="AT69" s="69" t="str">
        <f t="shared" si="1"/>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38" t="str">
        <f ca="1">IF(B6&lt;&gt;"",B6,"")</f>
        <v>Table BC_VC</v>
      </c>
      <c r="C71" s="54">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54">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54" t="str">
        <f t="shared" si="7"/>
        <v>CYCL</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CYCL                                            */</v>
      </c>
    </row>
    <row r="73" spans="1:46">
      <c r="B73" s="136"/>
      <c r="C73" s="54">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6"/>
      <c r="C74" s="54">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6"/>
      <c r="C75" s="54">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1</v>
      </c>
      <c r="AH75" s="130">
        <f t="shared" si="6"/>
        <v>0</v>
      </c>
      <c r="AI75" s="130">
        <f t="shared" si="6"/>
        <v>0</v>
      </c>
      <c r="AJ75" s="54" t="str">
        <f t="shared" si="7"/>
        <v>UNKNOWN</v>
      </c>
      <c r="AK75" s="67"/>
      <c r="AL75" s="67" t="str">
        <f t="shared" si="10"/>
        <v>04</v>
      </c>
      <c r="AM75" s="67" t="str">
        <f t="shared" si="11"/>
        <v>00</v>
      </c>
      <c r="AN75" s="67" t="str">
        <f t="shared" si="12"/>
        <v>00</v>
      </c>
      <c r="AO75" s="67" t="str">
        <f t="shared" si="13"/>
        <v>00</v>
      </c>
      <c r="AQ75" t="str">
        <f t="shared" si="8"/>
        <v xml:space="preserve">    (U4)0x00000004U,                                                           /* 04 UNKNOWN                                         */</v>
      </c>
    </row>
    <row r="76" spans="1:46">
      <c r="B76" s="136"/>
      <c r="C76" s="54">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1</v>
      </c>
      <c r="AH76" s="130">
        <f t="shared" si="6"/>
        <v>0</v>
      </c>
      <c r="AI76" s="130">
        <f t="shared" si="6"/>
        <v>1</v>
      </c>
      <c r="AJ76" s="54" t="str">
        <f t="shared" si="7"/>
        <v>UNKNOWN</v>
      </c>
      <c r="AK76" s="67"/>
      <c r="AL76" s="67" t="str">
        <f t="shared" si="10"/>
        <v>05</v>
      </c>
      <c r="AM76" s="67" t="str">
        <f t="shared" si="11"/>
        <v>00</v>
      </c>
      <c r="AN76" s="67" t="str">
        <f t="shared" si="12"/>
        <v>00</v>
      </c>
      <c r="AO76" s="67" t="str">
        <f t="shared" si="13"/>
        <v>00</v>
      </c>
      <c r="AQ76" t="str">
        <f t="shared" si="8"/>
        <v xml:space="preserve">    (U4)0x00000005U,                                                           /* 05 UNKNOWN                                         */</v>
      </c>
    </row>
    <row r="77" spans="1:46">
      <c r="B77" s="136"/>
      <c r="C77" s="54">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1</v>
      </c>
      <c r="AH77" s="130">
        <f t="shared" si="6"/>
        <v>1</v>
      </c>
      <c r="AI77" s="130">
        <f t="shared" si="6"/>
        <v>0</v>
      </c>
      <c r="AJ77" s="54" t="str">
        <f t="shared" si="7"/>
        <v>UNKNOWN</v>
      </c>
      <c r="AK77" s="67"/>
      <c r="AL77" s="67" t="str">
        <f t="shared" si="10"/>
        <v>06</v>
      </c>
      <c r="AM77" s="67" t="str">
        <f t="shared" si="11"/>
        <v>00</v>
      </c>
      <c r="AN77" s="67" t="str">
        <f t="shared" si="12"/>
        <v>00</v>
      </c>
      <c r="AO77" s="67" t="str">
        <f t="shared" si="13"/>
        <v>00</v>
      </c>
      <c r="AQ77" t="str">
        <f t="shared" si="8"/>
        <v xml:space="preserve">    (U4)0x00000006U,                                                           /* 06 UNKNOWN                                         */</v>
      </c>
    </row>
    <row r="78" spans="1:46">
      <c r="B78" s="136"/>
      <c r="C78" s="54">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1</v>
      </c>
      <c r="AH78" s="130">
        <f t="shared" si="6"/>
        <v>1</v>
      </c>
      <c r="AI78" s="130">
        <f t="shared" ref="AI78" si="14">IF(AI13=1,1,0)</f>
        <v>1</v>
      </c>
      <c r="AJ78" s="54" t="str">
        <f t="shared" si="7"/>
        <v>UNKNOWN</v>
      </c>
      <c r="AK78" s="67"/>
      <c r="AL78" s="67" t="str">
        <f t="shared" si="10"/>
        <v>07</v>
      </c>
      <c r="AM78" s="67" t="str">
        <f t="shared" si="11"/>
        <v>00</v>
      </c>
      <c r="AN78" s="67" t="str">
        <f t="shared" si="12"/>
        <v>00</v>
      </c>
      <c r="AO78" s="67" t="str">
        <f t="shared" si="13"/>
        <v>00</v>
      </c>
      <c r="AQ78" t="str">
        <f t="shared" si="8"/>
        <v xml:space="preserve">    (U4)0x00000007U                                                            /* 07 UNKNOWN                                         */</v>
      </c>
    </row>
    <row r="79" spans="1:46">
      <c r="B79" s="136"/>
      <c r="C79" s="54">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0</v>
      </c>
      <c r="AG79" s="130">
        <f t="shared" si="15"/>
        <v>0</v>
      </c>
      <c r="AH79" s="130">
        <f t="shared" si="15"/>
        <v>0</v>
      </c>
      <c r="AI79" s="130">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6"/>
      <c r="C80" s="54">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0</v>
      </c>
      <c r="AG80" s="130">
        <f t="shared" si="15"/>
        <v>0</v>
      </c>
      <c r="AH80" s="130">
        <f t="shared" si="15"/>
        <v>0</v>
      </c>
      <c r="AI80" s="130">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6"/>
      <c r="C81" s="54">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0</v>
      </c>
      <c r="AG81" s="130">
        <f t="shared" si="15"/>
        <v>0</v>
      </c>
      <c r="AH81" s="130">
        <f t="shared" si="15"/>
        <v>0</v>
      </c>
      <c r="AI81" s="130">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6"/>
      <c r="C82" s="54">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0</v>
      </c>
      <c r="AG82" s="130">
        <f t="shared" si="15"/>
        <v>0</v>
      </c>
      <c r="AH82" s="130">
        <f t="shared" si="15"/>
        <v>0</v>
      </c>
      <c r="AI82" s="130">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6"/>
      <c r="C83" s="54">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0</v>
      </c>
      <c r="AG83" s="130">
        <f t="shared" si="15"/>
        <v>0</v>
      </c>
      <c r="AH83" s="130">
        <f t="shared" si="15"/>
        <v>0</v>
      </c>
      <c r="AI83" s="130">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6"/>
      <c r="C84" s="54">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0</v>
      </c>
      <c r="AG84" s="130">
        <f t="shared" si="15"/>
        <v>0</v>
      </c>
      <c r="AH84" s="130">
        <f t="shared" si="15"/>
        <v>0</v>
      </c>
      <c r="AI84" s="130">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6"/>
      <c r="C85" s="54">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0</v>
      </c>
      <c r="AG85" s="130">
        <f t="shared" si="15"/>
        <v>0</v>
      </c>
      <c r="AH85" s="130">
        <f t="shared" si="15"/>
        <v>0</v>
      </c>
      <c r="AI85" s="130">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6"/>
      <c r="C86" s="54">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0</v>
      </c>
      <c r="AG86" s="130">
        <f t="shared" si="15"/>
        <v>0</v>
      </c>
      <c r="AH86" s="130">
        <f t="shared" si="15"/>
        <v>0</v>
      </c>
      <c r="AI86" s="130">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6"/>
      <c r="C87" s="54">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0</v>
      </c>
      <c r="AF87" s="130">
        <f t="shared" si="17"/>
        <v>0</v>
      </c>
      <c r="AG87" s="130">
        <f t="shared" si="17"/>
        <v>0</v>
      </c>
      <c r="AH87" s="130">
        <f t="shared" si="17"/>
        <v>0</v>
      </c>
      <c r="AI87" s="130">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6"/>
      <c r="C88" s="54">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0</v>
      </c>
      <c r="AF88" s="130">
        <f t="shared" si="17"/>
        <v>0</v>
      </c>
      <c r="AG88" s="130">
        <f t="shared" si="17"/>
        <v>0</v>
      </c>
      <c r="AH88" s="130">
        <f t="shared" si="17"/>
        <v>0</v>
      </c>
      <c r="AI88" s="130">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6"/>
      <c r="C89" s="54">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0</v>
      </c>
      <c r="AF89" s="130">
        <f t="shared" si="17"/>
        <v>0</v>
      </c>
      <c r="AG89" s="130">
        <f t="shared" si="17"/>
        <v>0</v>
      </c>
      <c r="AH89" s="130">
        <f t="shared" si="17"/>
        <v>0</v>
      </c>
      <c r="AI89" s="130">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6"/>
      <c r="C90" s="54">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0</v>
      </c>
      <c r="AF90" s="130">
        <f t="shared" si="17"/>
        <v>0</v>
      </c>
      <c r="AG90" s="130">
        <f t="shared" si="17"/>
        <v>0</v>
      </c>
      <c r="AH90" s="130">
        <f t="shared" si="17"/>
        <v>0</v>
      </c>
      <c r="AI90" s="130">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6"/>
      <c r="C91" s="54">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0</v>
      </c>
      <c r="AF91" s="130">
        <f t="shared" si="17"/>
        <v>0</v>
      </c>
      <c r="AG91" s="130">
        <f t="shared" si="17"/>
        <v>0</v>
      </c>
      <c r="AH91" s="130">
        <f t="shared" si="17"/>
        <v>0</v>
      </c>
      <c r="AI91" s="130">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6"/>
      <c r="C92" s="54">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0</v>
      </c>
      <c r="AF92" s="130">
        <f t="shared" si="17"/>
        <v>0</v>
      </c>
      <c r="AG92" s="130">
        <f t="shared" si="17"/>
        <v>0</v>
      </c>
      <c r="AH92" s="130">
        <f t="shared" si="17"/>
        <v>0</v>
      </c>
      <c r="AI92" s="130">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6"/>
      <c r="C93" s="54">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0</v>
      </c>
      <c r="AF93" s="130">
        <f t="shared" si="17"/>
        <v>0</v>
      </c>
      <c r="AG93" s="130">
        <f t="shared" si="17"/>
        <v>0</v>
      </c>
      <c r="AH93" s="130">
        <f t="shared" si="17"/>
        <v>0</v>
      </c>
      <c r="AI93" s="130">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6"/>
      <c r="C94" s="54">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0</v>
      </c>
      <c r="AF94" s="130">
        <f t="shared" si="17"/>
        <v>0</v>
      </c>
      <c r="AG94" s="130">
        <f t="shared" si="17"/>
        <v>0</v>
      </c>
      <c r="AH94" s="130">
        <f t="shared" si="17"/>
        <v>0</v>
      </c>
      <c r="AI94" s="130">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6"/>
      <c r="C95" s="54">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0</v>
      </c>
      <c r="AF95" s="130">
        <f t="shared" si="19"/>
        <v>0</v>
      </c>
      <c r="AG95" s="130">
        <f t="shared" si="19"/>
        <v>0</v>
      </c>
      <c r="AH95" s="130">
        <f t="shared" si="19"/>
        <v>0</v>
      </c>
      <c r="AI95" s="130">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6"/>
      <c r="C96" s="54">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0</v>
      </c>
      <c r="AF96" s="130">
        <f t="shared" si="19"/>
        <v>0</v>
      </c>
      <c r="AG96" s="130">
        <f t="shared" si="19"/>
        <v>0</v>
      </c>
      <c r="AH96" s="130">
        <f t="shared" si="19"/>
        <v>0</v>
      </c>
      <c r="AI96" s="130">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6"/>
      <c r="C97" s="54">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0</v>
      </c>
      <c r="AF97" s="130">
        <f t="shared" si="19"/>
        <v>0</v>
      </c>
      <c r="AG97" s="130">
        <f t="shared" si="19"/>
        <v>0</v>
      </c>
      <c r="AH97" s="130">
        <f t="shared" si="19"/>
        <v>0</v>
      </c>
      <c r="AI97" s="130">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6"/>
      <c r="C98" s="54">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0</v>
      </c>
      <c r="AF98" s="130">
        <f t="shared" si="19"/>
        <v>0</v>
      </c>
      <c r="AG98" s="130">
        <f t="shared" si="19"/>
        <v>0</v>
      </c>
      <c r="AH98" s="130">
        <f t="shared" si="19"/>
        <v>0</v>
      </c>
      <c r="AI98" s="130">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6"/>
      <c r="C99" s="54">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0</v>
      </c>
      <c r="AF99" s="130">
        <f t="shared" si="19"/>
        <v>0</v>
      </c>
      <c r="AG99" s="130">
        <f t="shared" si="19"/>
        <v>0</v>
      </c>
      <c r="AH99" s="130">
        <f t="shared" si="19"/>
        <v>0</v>
      </c>
      <c r="AI99" s="130">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6"/>
      <c r="C100" s="54">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0</v>
      </c>
      <c r="AF100" s="130">
        <f t="shared" si="19"/>
        <v>0</v>
      </c>
      <c r="AG100" s="130">
        <f t="shared" si="19"/>
        <v>0</v>
      </c>
      <c r="AH100" s="130">
        <f t="shared" si="19"/>
        <v>0</v>
      </c>
      <c r="AI100" s="130">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6"/>
      <c r="C101" s="54">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0</v>
      </c>
      <c r="AF101" s="130">
        <f t="shared" si="19"/>
        <v>0</v>
      </c>
      <c r="AG101" s="130">
        <f t="shared" si="19"/>
        <v>0</v>
      </c>
      <c r="AH101" s="130">
        <f t="shared" si="19"/>
        <v>0</v>
      </c>
      <c r="AI101" s="130">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6"/>
      <c r="C102" s="54">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0</v>
      </c>
      <c r="AF102" s="130">
        <f t="shared" si="19"/>
        <v>0</v>
      </c>
      <c r="AG102" s="130">
        <f t="shared" si="19"/>
        <v>0</v>
      </c>
      <c r="AH102" s="130">
        <f t="shared" si="19"/>
        <v>0</v>
      </c>
      <c r="AI102" s="130">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6"/>
      <c r="C103" s="54">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0</v>
      </c>
      <c r="AE103" s="130">
        <f t="shared" si="21"/>
        <v>0</v>
      </c>
      <c r="AF103" s="130">
        <f t="shared" si="21"/>
        <v>0</v>
      </c>
      <c r="AG103" s="130">
        <f t="shared" si="21"/>
        <v>0</v>
      </c>
      <c r="AH103" s="130">
        <f t="shared" si="21"/>
        <v>0</v>
      </c>
      <c r="AI103" s="130">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6"/>
      <c r="C104" s="54">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0</v>
      </c>
      <c r="AE104" s="130">
        <f t="shared" si="21"/>
        <v>0</v>
      </c>
      <c r="AF104" s="130">
        <f t="shared" si="21"/>
        <v>0</v>
      </c>
      <c r="AG104" s="130">
        <f t="shared" si="21"/>
        <v>0</v>
      </c>
      <c r="AH104" s="130">
        <f t="shared" si="21"/>
        <v>0</v>
      </c>
      <c r="AI104" s="130">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6"/>
      <c r="C105" s="54">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0</v>
      </c>
      <c r="AE105" s="130">
        <f t="shared" si="21"/>
        <v>0</v>
      </c>
      <c r="AF105" s="130">
        <f t="shared" si="21"/>
        <v>0</v>
      </c>
      <c r="AG105" s="130">
        <f t="shared" si="21"/>
        <v>0</v>
      </c>
      <c r="AH105" s="130">
        <f t="shared" si="21"/>
        <v>0</v>
      </c>
      <c r="AI105" s="130">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6"/>
      <c r="C106" s="54">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0</v>
      </c>
      <c r="AE106" s="130">
        <f t="shared" si="21"/>
        <v>0</v>
      </c>
      <c r="AF106" s="130">
        <f t="shared" si="21"/>
        <v>0</v>
      </c>
      <c r="AG106" s="130">
        <f t="shared" si="21"/>
        <v>0</v>
      </c>
      <c r="AH106" s="130">
        <f t="shared" si="21"/>
        <v>0</v>
      </c>
      <c r="AI106" s="130">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6"/>
      <c r="C107" s="54">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0</v>
      </c>
      <c r="AE107" s="130">
        <f t="shared" si="21"/>
        <v>0</v>
      </c>
      <c r="AF107" s="130">
        <f t="shared" si="21"/>
        <v>0</v>
      </c>
      <c r="AG107" s="130">
        <f t="shared" si="21"/>
        <v>0</v>
      </c>
      <c r="AH107" s="130">
        <f t="shared" si="21"/>
        <v>0</v>
      </c>
      <c r="AI107" s="130">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6"/>
      <c r="C108" s="54">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0</v>
      </c>
      <c r="AE108" s="130">
        <f t="shared" si="21"/>
        <v>0</v>
      </c>
      <c r="AF108" s="130">
        <f t="shared" si="21"/>
        <v>0</v>
      </c>
      <c r="AG108" s="130">
        <f t="shared" si="21"/>
        <v>0</v>
      </c>
      <c r="AH108" s="130">
        <f t="shared" si="21"/>
        <v>0</v>
      </c>
      <c r="AI108" s="130">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6"/>
      <c r="C109" s="54">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0</v>
      </c>
      <c r="AE109" s="130">
        <f t="shared" si="21"/>
        <v>0</v>
      </c>
      <c r="AF109" s="130">
        <f t="shared" si="21"/>
        <v>0</v>
      </c>
      <c r="AG109" s="130">
        <f t="shared" si="21"/>
        <v>0</v>
      </c>
      <c r="AH109" s="130">
        <f t="shared" si="21"/>
        <v>0</v>
      </c>
      <c r="AI109" s="130">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6"/>
      <c r="C110" s="54">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0</v>
      </c>
      <c r="AE110" s="130">
        <f t="shared" si="21"/>
        <v>0</v>
      </c>
      <c r="AF110" s="130">
        <f t="shared" si="21"/>
        <v>0</v>
      </c>
      <c r="AG110" s="130">
        <f t="shared" si="21"/>
        <v>0</v>
      </c>
      <c r="AH110" s="130">
        <f t="shared" si="21"/>
        <v>0</v>
      </c>
      <c r="AI110" s="130">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6"/>
      <c r="C111" s="54">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0</v>
      </c>
      <c r="AE111" s="130">
        <f t="shared" si="23"/>
        <v>0</v>
      </c>
      <c r="AF111" s="130">
        <f t="shared" si="23"/>
        <v>0</v>
      </c>
      <c r="AG111" s="130">
        <f t="shared" si="23"/>
        <v>0</v>
      </c>
      <c r="AH111" s="130">
        <f t="shared" si="23"/>
        <v>0</v>
      </c>
      <c r="AI111" s="130">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6"/>
      <c r="C112" s="54">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0</v>
      </c>
      <c r="AE112" s="130">
        <f t="shared" si="23"/>
        <v>0</v>
      </c>
      <c r="AF112" s="130">
        <f t="shared" si="23"/>
        <v>0</v>
      </c>
      <c r="AG112" s="130">
        <f t="shared" si="23"/>
        <v>0</v>
      </c>
      <c r="AH112" s="130">
        <f t="shared" si="23"/>
        <v>0</v>
      </c>
      <c r="AI112" s="130">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6"/>
      <c r="C113" s="54">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0</v>
      </c>
      <c r="AE113" s="130">
        <f t="shared" si="23"/>
        <v>0</v>
      </c>
      <c r="AF113" s="130">
        <f t="shared" si="23"/>
        <v>0</v>
      </c>
      <c r="AG113" s="130">
        <f t="shared" si="23"/>
        <v>0</v>
      </c>
      <c r="AH113" s="130">
        <f t="shared" si="23"/>
        <v>0</v>
      </c>
      <c r="AI113" s="130">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6"/>
      <c r="C114" s="54">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0</v>
      </c>
      <c r="AE114" s="130">
        <f t="shared" si="23"/>
        <v>0</v>
      </c>
      <c r="AF114" s="130">
        <f t="shared" si="23"/>
        <v>0</v>
      </c>
      <c r="AG114" s="130">
        <f t="shared" si="23"/>
        <v>0</v>
      </c>
      <c r="AH114" s="130">
        <f t="shared" si="23"/>
        <v>0</v>
      </c>
      <c r="AI114" s="130">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6"/>
      <c r="C115" s="54">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0</v>
      </c>
      <c r="AE115" s="130">
        <f t="shared" si="23"/>
        <v>0</v>
      </c>
      <c r="AF115" s="130">
        <f t="shared" si="23"/>
        <v>0</v>
      </c>
      <c r="AG115" s="130">
        <f t="shared" si="23"/>
        <v>0</v>
      </c>
      <c r="AH115" s="130">
        <f t="shared" si="23"/>
        <v>0</v>
      </c>
      <c r="AI115" s="130">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6"/>
      <c r="C116" s="54">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0</v>
      </c>
      <c r="AE116" s="130">
        <f t="shared" si="23"/>
        <v>0</v>
      </c>
      <c r="AF116" s="130">
        <f t="shared" si="23"/>
        <v>0</v>
      </c>
      <c r="AG116" s="130">
        <f t="shared" si="23"/>
        <v>0</v>
      </c>
      <c r="AH116" s="130">
        <f t="shared" si="23"/>
        <v>0</v>
      </c>
      <c r="AI116" s="130">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6"/>
      <c r="C117" s="54">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0</v>
      </c>
      <c r="AE117" s="130">
        <f t="shared" si="23"/>
        <v>0</v>
      </c>
      <c r="AF117" s="130">
        <f t="shared" si="23"/>
        <v>0</v>
      </c>
      <c r="AG117" s="130">
        <f t="shared" si="23"/>
        <v>0</v>
      </c>
      <c r="AH117" s="130">
        <f t="shared" si="23"/>
        <v>0</v>
      </c>
      <c r="AI117" s="130">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6"/>
      <c r="C118" s="54">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0</v>
      </c>
      <c r="AE118" s="130">
        <f t="shared" si="23"/>
        <v>0</v>
      </c>
      <c r="AF118" s="130">
        <f t="shared" si="23"/>
        <v>0</v>
      </c>
      <c r="AG118" s="130">
        <f t="shared" si="23"/>
        <v>0</v>
      </c>
      <c r="AH118" s="130">
        <f t="shared" si="23"/>
        <v>0</v>
      </c>
      <c r="AI118" s="130">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6"/>
      <c r="C119" s="54">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0</v>
      </c>
      <c r="AE119" s="130">
        <f t="shared" si="25"/>
        <v>0</v>
      </c>
      <c r="AF119" s="130">
        <f t="shared" si="25"/>
        <v>0</v>
      </c>
      <c r="AG119" s="130">
        <f t="shared" si="25"/>
        <v>0</v>
      </c>
      <c r="AH119" s="130">
        <f t="shared" si="25"/>
        <v>0</v>
      </c>
      <c r="AI119" s="130">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6"/>
      <c r="C120" s="54">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0</v>
      </c>
      <c r="AE120" s="130">
        <f t="shared" si="25"/>
        <v>0</v>
      </c>
      <c r="AF120" s="130">
        <f t="shared" si="25"/>
        <v>0</v>
      </c>
      <c r="AG120" s="130">
        <f t="shared" si="25"/>
        <v>0</v>
      </c>
      <c r="AH120" s="130">
        <f t="shared" si="25"/>
        <v>0</v>
      </c>
      <c r="AI120" s="130">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6"/>
      <c r="C121" s="54">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0</v>
      </c>
      <c r="AE121" s="130">
        <f t="shared" si="25"/>
        <v>0</v>
      </c>
      <c r="AF121" s="130">
        <f t="shared" si="25"/>
        <v>0</v>
      </c>
      <c r="AG121" s="130">
        <f t="shared" si="25"/>
        <v>0</v>
      </c>
      <c r="AH121" s="130">
        <f t="shared" si="25"/>
        <v>0</v>
      </c>
      <c r="AI121" s="130">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6"/>
      <c r="C122" s="54">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0</v>
      </c>
      <c r="AE122" s="130">
        <f t="shared" si="25"/>
        <v>0</v>
      </c>
      <c r="AF122" s="130">
        <f t="shared" si="25"/>
        <v>0</v>
      </c>
      <c r="AG122" s="130">
        <f t="shared" si="25"/>
        <v>0</v>
      </c>
      <c r="AH122" s="130">
        <f t="shared" si="25"/>
        <v>0</v>
      </c>
      <c r="AI122" s="130">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6"/>
      <c r="C123" s="54">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0</v>
      </c>
      <c r="AE123" s="130">
        <f t="shared" si="25"/>
        <v>0</v>
      </c>
      <c r="AF123" s="130">
        <f t="shared" si="25"/>
        <v>0</v>
      </c>
      <c r="AG123" s="130">
        <f t="shared" si="25"/>
        <v>0</v>
      </c>
      <c r="AH123" s="130">
        <f t="shared" si="25"/>
        <v>0</v>
      </c>
      <c r="AI123" s="130">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6"/>
      <c r="C124" s="54">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0</v>
      </c>
      <c r="AE124" s="130">
        <f t="shared" si="25"/>
        <v>0</v>
      </c>
      <c r="AF124" s="130">
        <f t="shared" si="25"/>
        <v>0</v>
      </c>
      <c r="AG124" s="130">
        <f t="shared" si="25"/>
        <v>0</v>
      </c>
      <c r="AH124" s="130">
        <f t="shared" si="25"/>
        <v>0</v>
      </c>
      <c r="AI124" s="130">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6"/>
      <c r="C125" s="54">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0</v>
      </c>
      <c r="AE125" s="130">
        <f t="shared" si="25"/>
        <v>0</v>
      </c>
      <c r="AF125" s="130">
        <f t="shared" si="25"/>
        <v>0</v>
      </c>
      <c r="AG125" s="130">
        <f t="shared" si="25"/>
        <v>0</v>
      </c>
      <c r="AH125" s="130">
        <f t="shared" si="25"/>
        <v>0</v>
      </c>
      <c r="AI125" s="130">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6"/>
      <c r="C126" s="54">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0</v>
      </c>
      <c r="AE126" s="130">
        <f t="shared" si="25"/>
        <v>0</v>
      </c>
      <c r="AF126" s="130">
        <f t="shared" si="25"/>
        <v>0</v>
      </c>
      <c r="AG126" s="130">
        <f t="shared" si="25"/>
        <v>0</v>
      </c>
      <c r="AH126" s="130">
        <f t="shared" si="25"/>
        <v>0</v>
      </c>
      <c r="AI126" s="130">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6"/>
      <c r="C127" s="54">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0</v>
      </c>
      <c r="AE127" s="130">
        <f t="shared" si="27"/>
        <v>0</v>
      </c>
      <c r="AF127" s="130">
        <f t="shared" si="27"/>
        <v>0</v>
      </c>
      <c r="AG127" s="130">
        <f t="shared" si="27"/>
        <v>0</v>
      </c>
      <c r="AH127" s="130">
        <f t="shared" si="27"/>
        <v>0</v>
      </c>
      <c r="AI127" s="130">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6"/>
      <c r="C128" s="54">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0</v>
      </c>
      <c r="AE128" s="130">
        <f t="shared" si="27"/>
        <v>0</v>
      </c>
      <c r="AF128" s="130">
        <f t="shared" si="27"/>
        <v>0</v>
      </c>
      <c r="AG128" s="130">
        <f t="shared" si="27"/>
        <v>0</v>
      </c>
      <c r="AH128" s="130">
        <f t="shared" si="27"/>
        <v>0</v>
      </c>
      <c r="AI128" s="130">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6"/>
      <c r="C129" s="54">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0</v>
      </c>
      <c r="AE129" s="130">
        <f t="shared" si="27"/>
        <v>0</v>
      </c>
      <c r="AF129" s="130">
        <f t="shared" si="27"/>
        <v>0</v>
      </c>
      <c r="AG129" s="130">
        <f t="shared" si="27"/>
        <v>0</v>
      </c>
      <c r="AH129" s="130">
        <f t="shared" si="27"/>
        <v>0</v>
      </c>
      <c r="AI129" s="130">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6"/>
      <c r="C130" s="54">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0</v>
      </c>
      <c r="AE130" s="130">
        <f t="shared" si="27"/>
        <v>0</v>
      </c>
      <c r="AF130" s="130">
        <f t="shared" si="27"/>
        <v>0</v>
      </c>
      <c r="AG130" s="130">
        <f t="shared" si="27"/>
        <v>0</v>
      </c>
      <c r="AH130" s="130">
        <f t="shared" si="27"/>
        <v>0</v>
      </c>
      <c r="AI130" s="130">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6"/>
      <c r="C131" s="54">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0</v>
      </c>
      <c r="AE131" s="130">
        <f t="shared" si="27"/>
        <v>0</v>
      </c>
      <c r="AF131" s="130">
        <f t="shared" si="27"/>
        <v>0</v>
      </c>
      <c r="AG131" s="130">
        <f t="shared" si="27"/>
        <v>0</v>
      </c>
      <c r="AH131" s="130">
        <f t="shared" si="27"/>
        <v>0</v>
      </c>
      <c r="AI131" s="130">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6"/>
      <c r="C132" s="54">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0</v>
      </c>
      <c r="AE132" s="130">
        <f t="shared" si="27"/>
        <v>0</v>
      </c>
      <c r="AF132" s="130">
        <f t="shared" si="27"/>
        <v>0</v>
      </c>
      <c r="AG132" s="130">
        <f t="shared" si="27"/>
        <v>0</v>
      </c>
      <c r="AH132" s="130">
        <f t="shared" si="27"/>
        <v>0</v>
      </c>
      <c r="AI132" s="130">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6"/>
      <c r="C133" s="54">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0</v>
      </c>
      <c r="AE133" s="130">
        <f t="shared" si="27"/>
        <v>0</v>
      </c>
      <c r="AF133" s="130">
        <f t="shared" si="27"/>
        <v>0</v>
      </c>
      <c r="AG133" s="130">
        <f t="shared" si="27"/>
        <v>0</v>
      </c>
      <c r="AH133" s="130">
        <f t="shared" si="27"/>
        <v>0</v>
      </c>
      <c r="AI133" s="130">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7"/>
      <c r="C134" s="54">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0</v>
      </c>
      <c r="AE134" s="130">
        <f t="shared" si="27"/>
        <v>0</v>
      </c>
      <c r="AF134" s="130">
        <f t="shared" si="27"/>
        <v>0</v>
      </c>
      <c r="AG134" s="130">
        <f t="shared" si="27"/>
        <v>0</v>
      </c>
      <c r="AH134" s="130">
        <f t="shared" si="27"/>
        <v>0</v>
      </c>
      <c r="AI134" s="130">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38" t="str">
        <f ca="1">IF(B6&lt;&gt;"",B6,"")</f>
        <v>Table BC_VC</v>
      </c>
      <c r="C136" s="54">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0</v>
      </c>
      <c r="AE136" s="130">
        <f t="shared" si="29"/>
        <v>0</v>
      </c>
      <c r="AF136" s="130">
        <f t="shared" si="29"/>
        <v>0</v>
      </c>
      <c r="AG136" s="130">
        <f t="shared" si="29"/>
        <v>1</v>
      </c>
      <c r="AH136" s="130">
        <f t="shared" si="29"/>
        <v>1</v>
      </c>
      <c r="AI136" s="130">
        <f t="shared" si="29"/>
        <v>1</v>
      </c>
      <c r="AJ136" s="54" t="str">
        <f t="shared" ref="AJ136:AJ199" si="30">IF(AJ6&lt;&gt;"",AJ6,"")</f>
        <v>UNKNOWN</v>
      </c>
      <c r="AK136" s="67"/>
      <c r="AL136" s="67" t="str">
        <f>BIN2HEX(AB136&amp;AC136&amp;AD136&amp;AE136&amp;AF136&amp;AG136&amp;AH136&amp;AI136,2)</f>
        <v>07</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6"/>
      <c r="C137" s="54">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0</v>
      </c>
      <c r="AE137" s="130">
        <f t="shared" si="29"/>
        <v>0</v>
      </c>
      <c r="AF137" s="130">
        <f t="shared" si="29"/>
        <v>0</v>
      </c>
      <c r="AG137" s="130">
        <f t="shared" si="29"/>
        <v>1</v>
      </c>
      <c r="AH137" s="130">
        <f t="shared" si="29"/>
        <v>1</v>
      </c>
      <c r="AI137" s="130">
        <f t="shared" si="29"/>
        <v>1</v>
      </c>
      <c r="AJ137" s="54" t="str">
        <f t="shared" si="30"/>
        <v>CYCL</v>
      </c>
      <c r="AK137" s="67"/>
      <c r="AL137" s="67" t="str">
        <f t="shared" ref="AL137:AL199" si="33">BIN2HEX(AB137&amp;AC137&amp;AD137&amp;AE137&amp;AF137&amp;AG137&amp;AH137&amp;AI137,2)</f>
        <v>07</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(U4)0x00000007U,                                                           /* 01 CYCL                                            */</v>
      </c>
    </row>
    <row r="138" spans="1:43">
      <c r="B138" s="136"/>
      <c r="C138" s="54">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0</v>
      </c>
      <c r="AE138" s="130">
        <f t="shared" si="29"/>
        <v>0</v>
      </c>
      <c r="AF138" s="130">
        <f t="shared" si="29"/>
        <v>0</v>
      </c>
      <c r="AG138" s="130">
        <f t="shared" si="29"/>
        <v>1</v>
      </c>
      <c r="AH138" s="130">
        <f t="shared" si="29"/>
        <v>1</v>
      </c>
      <c r="AI138" s="130">
        <f t="shared" si="29"/>
        <v>1</v>
      </c>
      <c r="AJ138" s="54" t="str">
        <f t="shared" si="30"/>
        <v>UNKNOWN</v>
      </c>
      <c r="AK138" s="67"/>
      <c r="AL138" s="67" t="str">
        <f t="shared" si="33"/>
        <v>07</v>
      </c>
      <c r="AM138" s="67" t="str">
        <f t="shared" si="34"/>
        <v>00</v>
      </c>
      <c r="AN138" s="67" t="str">
        <f t="shared" si="35"/>
        <v>00</v>
      </c>
      <c r="AO138" s="67" t="str">
        <f t="shared" si="36"/>
        <v>00</v>
      </c>
      <c r="AQ138" t="str">
        <f t="shared" si="31"/>
        <v xml:space="preserve">    (U4)0x00000007U,                                                           /* 02 UNKNOWN                                         */</v>
      </c>
    </row>
    <row r="139" spans="1:43">
      <c r="B139" s="136"/>
      <c r="C139" s="54">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0</v>
      </c>
      <c r="AE139" s="130">
        <f t="shared" si="29"/>
        <v>0</v>
      </c>
      <c r="AF139" s="130">
        <f t="shared" si="29"/>
        <v>0</v>
      </c>
      <c r="AG139" s="130">
        <f t="shared" si="29"/>
        <v>1</v>
      </c>
      <c r="AH139" s="130">
        <f t="shared" si="29"/>
        <v>1</v>
      </c>
      <c r="AI139" s="130">
        <f t="shared" si="29"/>
        <v>1</v>
      </c>
      <c r="AJ139" s="54" t="str">
        <f t="shared" si="30"/>
        <v>UNKNOWN</v>
      </c>
      <c r="AK139" s="67"/>
      <c r="AL139" s="67" t="str">
        <f t="shared" si="33"/>
        <v>07</v>
      </c>
      <c r="AM139" s="67" t="str">
        <f t="shared" si="34"/>
        <v>00</v>
      </c>
      <c r="AN139" s="67" t="str">
        <f t="shared" si="35"/>
        <v>00</v>
      </c>
      <c r="AO139" s="67" t="str">
        <f t="shared" si="36"/>
        <v>00</v>
      </c>
      <c r="AQ139" t="str">
        <f t="shared" si="31"/>
        <v xml:space="preserve">    (U4)0x00000007U,                                                           /* 03 UNKNOWN                                         */</v>
      </c>
    </row>
    <row r="140" spans="1:43">
      <c r="B140" s="136"/>
      <c r="C140" s="54">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0</v>
      </c>
      <c r="AE140" s="130">
        <f t="shared" si="29"/>
        <v>0</v>
      </c>
      <c r="AF140" s="130">
        <f t="shared" si="29"/>
        <v>0</v>
      </c>
      <c r="AG140" s="130">
        <f t="shared" si="29"/>
        <v>1</v>
      </c>
      <c r="AH140" s="130">
        <f t="shared" si="29"/>
        <v>1</v>
      </c>
      <c r="AI140" s="130">
        <f t="shared" si="29"/>
        <v>1</v>
      </c>
      <c r="AJ140" s="54" t="str">
        <f t="shared" si="30"/>
        <v>UNKNOWN</v>
      </c>
      <c r="AK140" s="67"/>
      <c r="AL140" s="67" t="str">
        <f t="shared" si="33"/>
        <v>07</v>
      </c>
      <c r="AM140" s="67" t="str">
        <f t="shared" si="34"/>
        <v>00</v>
      </c>
      <c r="AN140" s="67" t="str">
        <f t="shared" si="35"/>
        <v>00</v>
      </c>
      <c r="AO140" s="67" t="str">
        <f t="shared" si="36"/>
        <v>00</v>
      </c>
      <c r="AQ140" t="str">
        <f t="shared" si="31"/>
        <v xml:space="preserve">    (U4)0x00000007U,                                                           /* 04 UNKNOWN                                         */</v>
      </c>
    </row>
    <row r="141" spans="1:43">
      <c r="B141" s="136"/>
      <c r="C141" s="54">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0</v>
      </c>
      <c r="AE141" s="130">
        <f t="shared" si="29"/>
        <v>0</v>
      </c>
      <c r="AF141" s="130">
        <f t="shared" si="29"/>
        <v>0</v>
      </c>
      <c r="AG141" s="130">
        <f t="shared" si="29"/>
        <v>1</v>
      </c>
      <c r="AH141" s="130">
        <f t="shared" si="29"/>
        <v>1</v>
      </c>
      <c r="AI141" s="130">
        <f t="shared" si="29"/>
        <v>1</v>
      </c>
      <c r="AJ141" s="54" t="str">
        <f t="shared" si="30"/>
        <v>UNKNOWN</v>
      </c>
      <c r="AK141" s="67"/>
      <c r="AL141" s="67" t="str">
        <f t="shared" si="33"/>
        <v>07</v>
      </c>
      <c r="AM141" s="67" t="str">
        <f t="shared" si="34"/>
        <v>00</v>
      </c>
      <c r="AN141" s="67" t="str">
        <f t="shared" si="35"/>
        <v>00</v>
      </c>
      <c r="AO141" s="67" t="str">
        <f t="shared" si="36"/>
        <v>00</v>
      </c>
      <c r="AQ141" t="str">
        <f t="shared" si="31"/>
        <v xml:space="preserve">    (U4)0x00000007U,                                                           /* 05 UNKNOWN                                         */</v>
      </c>
    </row>
    <row r="142" spans="1:43">
      <c r="B142" s="136"/>
      <c r="C142" s="54">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0</v>
      </c>
      <c r="AE142" s="130">
        <f t="shared" si="29"/>
        <v>0</v>
      </c>
      <c r="AF142" s="130">
        <f t="shared" si="29"/>
        <v>0</v>
      </c>
      <c r="AG142" s="130">
        <f t="shared" si="29"/>
        <v>1</v>
      </c>
      <c r="AH142" s="130">
        <f t="shared" si="29"/>
        <v>1</v>
      </c>
      <c r="AI142" s="130">
        <f t="shared" si="29"/>
        <v>1</v>
      </c>
      <c r="AJ142" s="54" t="str">
        <f t="shared" si="30"/>
        <v>UNKNOWN</v>
      </c>
      <c r="AK142" s="67"/>
      <c r="AL142" s="67" t="str">
        <f t="shared" si="33"/>
        <v>07</v>
      </c>
      <c r="AM142" s="67" t="str">
        <f t="shared" si="34"/>
        <v>00</v>
      </c>
      <c r="AN142" s="67" t="str">
        <f t="shared" si="35"/>
        <v>00</v>
      </c>
      <c r="AO142" s="67" t="str">
        <f t="shared" si="36"/>
        <v>00</v>
      </c>
      <c r="AQ142" t="str">
        <f t="shared" si="31"/>
        <v xml:space="preserve">    (U4)0x00000007U,                                                           /* 06 UNKNOWN                                         */</v>
      </c>
    </row>
    <row r="143" spans="1:43">
      <c r="B143" s="136"/>
      <c r="C143" s="54">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0</v>
      </c>
      <c r="AE143" s="130">
        <f t="shared" si="29"/>
        <v>0</v>
      </c>
      <c r="AF143" s="130">
        <f t="shared" si="29"/>
        <v>0</v>
      </c>
      <c r="AG143" s="130">
        <f t="shared" si="29"/>
        <v>1</v>
      </c>
      <c r="AH143" s="130">
        <f t="shared" si="29"/>
        <v>1</v>
      </c>
      <c r="AI143" s="130">
        <f t="shared" ref="AI143" si="37">IF(OR(AI13=0,AI13=1),1,0)</f>
        <v>1</v>
      </c>
      <c r="AJ143" s="54" t="str">
        <f t="shared" si="30"/>
        <v>UNKNOWN</v>
      </c>
      <c r="AK143" s="67"/>
      <c r="AL143" s="67" t="str">
        <f t="shared" si="33"/>
        <v>07</v>
      </c>
      <c r="AM143" s="67" t="str">
        <f t="shared" si="34"/>
        <v>00</v>
      </c>
      <c r="AN143" s="67" t="str">
        <f t="shared" si="35"/>
        <v>00</v>
      </c>
      <c r="AO143" s="67" t="str">
        <f t="shared" si="36"/>
        <v>00</v>
      </c>
      <c r="AQ143" t="str">
        <f t="shared" si="31"/>
        <v xml:space="preserve">    (U4)0x00000007U                                                            /* 07 UNKNOWN                                         */</v>
      </c>
    </row>
    <row r="144" spans="1:43">
      <c r="B144" s="136"/>
      <c r="C144" s="54">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0</v>
      </c>
      <c r="AE144" s="130">
        <f t="shared" si="38"/>
        <v>0</v>
      </c>
      <c r="AF144" s="130">
        <f t="shared" si="38"/>
        <v>0</v>
      </c>
      <c r="AG144" s="130">
        <f t="shared" si="38"/>
        <v>0</v>
      </c>
      <c r="AH144" s="130">
        <f t="shared" si="38"/>
        <v>0</v>
      </c>
      <c r="AI144" s="130">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6"/>
      <c r="C145" s="54">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0</v>
      </c>
      <c r="AE145" s="130">
        <f t="shared" si="38"/>
        <v>0</v>
      </c>
      <c r="AF145" s="130">
        <f t="shared" si="38"/>
        <v>0</v>
      </c>
      <c r="AG145" s="130">
        <f t="shared" si="38"/>
        <v>0</v>
      </c>
      <c r="AH145" s="130">
        <f t="shared" si="38"/>
        <v>0</v>
      </c>
      <c r="AI145" s="130">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6"/>
      <c r="C146" s="54">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0</v>
      </c>
      <c r="AE146" s="130">
        <f t="shared" si="38"/>
        <v>0</v>
      </c>
      <c r="AF146" s="130">
        <f t="shared" si="38"/>
        <v>0</v>
      </c>
      <c r="AG146" s="130">
        <f t="shared" si="38"/>
        <v>0</v>
      </c>
      <c r="AH146" s="130">
        <f t="shared" si="38"/>
        <v>0</v>
      </c>
      <c r="AI146" s="130">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6"/>
      <c r="C147" s="54">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0</v>
      </c>
      <c r="AE147" s="130">
        <f t="shared" si="38"/>
        <v>0</v>
      </c>
      <c r="AF147" s="130">
        <f t="shared" si="38"/>
        <v>0</v>
      </c>
      <c r="AG147" s="130">
        <f t="shared" si="38"/>
        <v>0</v>
      </c>
      <c r="AH147" s="130">
        <f t="shared" si="38"/>
        <v>0</v>
      </c>
      <c r="AI147" s="130">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6"/>
      <c r="C148" s="54">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0</v>
      </c>
      <c r="AE148" s="130">
        <f t="shared" si="38"/>
        <v>0</v>
      </c>
      <c r="AF148" s="130">
        <f t="shared" si="38"/>
        <v>0</v>
      </c>
      <c r="AG148" s="130">
        <f t="shared" si="38"/>
        <v>0</v>
      </c>
      <c r="AH148" s="130">
        <f t="shared" si="38"/>
        <v>0</v>
      </c>
      <c r="AI148" s="130">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6"/>
      <c r="C149" s="54">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0</v>
      </c>
      <c r="AE149" s="130">
        <f t="shared" si="38"/>
        <v>0</v>
      </c>
      <c r="AF149" s="130">
        <f t="shared" si="38"/>
        <v>0</v>
      </c>
      <c r="AG149" s="130">
        <f t="shared" si="38"/>
        <v>0</v>
      </c>
      <c r="AH149" s="130">
        <f t="shared" si="38"/>
        <v>0</v>
      </c>
      <c r="AI149" s="130">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6"/>
      <c r="C150" s="54">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0</v>
      </c>
      <c r="AE150" s="130">
        <f t="shared" si="38"/>
        <v>0</v>
      </c>
      <c r="AF150" s="130">
        <f t="shared" si="38"/>
        <v>0</v>
      </c>
      <c r="AG150" s="130">
        <f t="shared" si="38"/>
        <v>0</v>
      </c>
      <c r="AH150" s="130">
        <f t="shared" si="38"/>
        <v>0</v>
      </c>
      <c r="AI150" s="130">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6"/>
      <c r="C151" s="54">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0</v>
      </c>
      <c r="AE151" s="130">
        <f t="shared" si="38"/>
        <v>0</v>
      </c>
      <c r="AF151" s="130">
        <f t="shared" si="38"/>
        <v>0</v>
      </c>
      <c r="AG151" s="130">
        <f t="shared" si="38"/>
        <v>0</v>
      </c>
      <c r="AH151" s="130">
        <f t="shared" si="38"/>
        <v>0</v>
      </c>
      <c r="AI151" s="130">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6"/>
      <c r="C152" s="54">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0</v>
      </c>
      <c r="AE152" s="130">
        <f t="shared" si="40"/>
        <v>0</v>
      </c>
      <c r="AF152" s="130">
        <f t="shared" si="40"/>
        <v>0</v>
      </c>
      <c r="AG152" s="130">
        <f t="shared" si="40"/>
        <v>0</v>
      </c>
      <c r="AH152" s="130">
        <f t="shared" si="40"/>
        <v>0</v>
      </c>
      <c r="AI152" s="130">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6"/>
      <c r="C153" s="54">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0</v>
      </c>
      <c r="AE153" s="130">
        <f t="shared" si="40"/>
        <v>0</v>
      </c>
      <c r="AF153" s="130">
        <f t="shared" si="40"/>
        <v>0</v>
      </c>
      <c r="AG153" s="130">
        <f t="shared" si="40"/>
        <v>0</v>
      </c>
      <c r="AH153" s="130">
        <f t="shared" si="40"/>
        <v>0</v>
      </c>
      <c r="AI153" s="130">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6"/>
      <c r="C154" s="54">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0</v>
      </c>
      <c r="AE154" s="130">
        <f t="shared" si="40"/>
        <v>0</v>
      </c>
      <c r="AF154" s="130">
        <f t="shared" si="40"/>
        <v>0</v>
      </c>
      <c r="AG154" s="130">
        <f t="shared" si="40"/>
        <v>0</v>
      </c>
      <c r="AH154" s="130">
        <f t="shared" si="40"/>
        <v>0</v>
      </c>
      <c r="AI154" s="130">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6"/>
      <c r="C155" s="54">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0</v>
      </c>
      <c r="AE155" s="130">
        <f t="shared" si="40"/>
        <v>0</v>
      </c>
      <c r="AF155" s="130">
        <f t="shared" si="40"/>
        <v>0</v>
      </c>
      <c r="AG155" s="130">
        <f t="shared" si="40"/>
        <v>0</v>
      </c>
      <c r="AH155" s="130">
        <f t="shared" si="40"/>
        <v>0</v>
      </c>
      <c r="AI155" s="130">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6"/>
      <c r="C156" s="54">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0</v>
      </c>
      <c r="AE156" s="130">
        <f t="shared" si="40"/>
        <v>0</v>
      </c>
      <c r="AF156" s="130">
        <f t="shared" si="40"/>
        <v>0</v>
      </c>
      <c r="AG156" s="130">
        <f t="shared" si="40"/>
        <v>0</v>
      </c>
      <c r="AH156" s="130">
        <f t="shared" si="40"/>
        <v>0</v>
      </c>
      <c r="AI156" s="130">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6"/>
      <c r="C157" s="54">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0</v>
      </c>
      <c r="AE157" s="130">
        <f t="shared" si="40"/>
        <v>0</v>
      </c>
      <c r="AF157" s="130">
        <f t="shared" si="40"/>
        <v>0</v>
      </c>
      <c r="AG157" s="130">
        <f t="shared" si="40"/>
        <v>0</v>
      </c>
      <c r="AH157" s="130">
        <f t="shared" si="40"/>
        <v>0</v>
      </c>
      <c r="AI157" s="130">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6"/>
      <c r="C158" s="54">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0</v>
      </c>
      <c r="AE158" s="130">
        <f t="shared" si="40"/>
        <v>0</v>
      </c>
      <c r="AF158" s="130">
        <f t="shared" si="40"/>
        <v>0</v>
      </c>
      <c r="AG158" s="130">
        <f t="shared" si="40"/>
        <v>0</v>
      </c>
      <c r="AH158" s="130">
        <f t="shared" si="40"/>
        <v>0</v>
      </c>
      <c r="AI158" s="130">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6"/>
      <c r="C159" s="54">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0</v>
      </c>
      <c r="AE159" s="130">
        <f t="shared" si="40"/>
        <v>0</v>
      </c>
      <c r="AF159" s="130">
        <f t="shared" si="40"/>
        <v>0</v>
      </c>
      <c r="AG159" s="130">
        <f t="shared" si="40"/>
        <v>0</v>
      </c>
      <c r="AH159" s="130">
        <f t="shared" si="40"/>
        <v>0</v>
      </c>
      <c r="AI159" s="130">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6"/>
      <c r="C160" s="54">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0</v>
      </c>
      <c r="AE160" s="130">
        <f t="shared" si="42"/>
        <v>0</v>
      </c>
      <c r="AF160" s="130">
        <f t="shared" si="42"/>
        <v>0</v>
      </c>
      <c r="AG160" s="130">
        <f t="shared" si="42"/>
        <v>0</v>
      </c>
      <c r="AH160" s="130">
        <f t="shared" si="42"/>
        <v>0</v>
      </c>
      <c r="AI160" s="130">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6"/>
      <c r="C161" s="54">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0</v>
      </c>
      <c r="AE161" s="130">
        <f t="shared" si="42"/>
        <v>0</v>
      </c>
      <c r="AF161" s="130">
        <f t="shared" si="42"/>
        <v>0</v>
      </c>
      <c r="AG161" s="130">
        <f t="shared" si="42"/>
        <v>0</v>
      </c>
      <c r="AH161" s="130">
        <f t="shared" si="42"/>
        <v>0</v>
      </c>
      <c r="AI161" s="130">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6"/>
      <c r="C162" s="54">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0</v>
      </c>
      <c r="AE162" s="130">
        <f t="shared" si="42"/>
        <v>0</v>
      </c>
      <c r="AF162" s="130">
        <f t="shared" si="42"/>
        <v>0</v>
      </c>
      <c r="AG162" s="130">
        <f t="shared" si="42"/>
        <v>0</v>
      </c>
      <c r="AH162" s="130">
        <f t="shared" si="42"/>
        <v>0</v>
      </c>
      <c r="AI162" s="130">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6"/>
      <c r="C163" s="54">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0</v>
      </c>
      <c r="AE163" s="130">
        <f t="shared" si="42"/>
        <v>0</v>
      </c>
      <c r="AF163" s="130">
        <f t="shared" si="42"/>
        <v>0</v>
      </c>
      <c r="AG163" s="130">
        <f t="shared" si="42"/>
        <v>0</v>
      </c>
      <c r="AH163" s="130">
        <f t="shared" si="42"/>
        <v>0</v>
      </c>
      <c r="AI163" s="130">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6"/>
      <c r="C164" s="54">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0</v>
      </c>
      <c r="AE164" s="130">
        <f t="shared" si="42"/>
        <v>0</v>
      </c>
      <c r="AF164" s="130">
        <f t="shared" si="42"/>
        <v>0</v>
      </c>
      <c r="AG164" s="130">
        <f t="shared" si="42"/>
        <v>0</v>
      </c>
      <c r="AH164" s="130">
        <f t="shared" si="42"/>
        <v>0</v>
      </c>
      <c r="AI164" s="130">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6"/>
      <c r="C165" s="54">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0</v>
      </c>
      <c r="AE165" s="130">
        <f t="shared" si="42"/>
        <v>0</v>
      </c>
      <c r="AF165" s="130">
        <f t="shared" si="42"/>
        <v>0</v>
      </c>
      <c r="AG165" s="130">
        <f t="shared" si="42"/>
        <v>0</v>
      </c>
      <c r="AH165" s="130">
        <f t="shared" si="42"/>
        <v>0</v>
      </c>
      <c r="AI165" s="130">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6"/>
      <c r="C166" s="54">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0</v>
      </c>
      <c r="AE166" s="130">
        <f t="shared" si="42"/>
        <v>0</v>
      </c>
      <c r="AF166" s="130">
        <f t="shared" si="42"/>
        <v>0</v>
      </c>
      <c r="AG166" s="130">
        <f t="shared" si="42"/>
        <v>0</v>
      </c>
      <c r="AH166" s="130">
        <f t="shared" si="42"/>
        <v>0</v>
      </c>
      <c r="AI166" s="130">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6"/>
      <c r="C167" s="54">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0</v>
      </c>
      <c r="AE167" s="130">
        <f t="shared" si="42"/>
        <v>0</v>
      </c>
      <c r="AF167" s="130">
        <f t="shared" si="42"/>
        <v>0</v>
      </c>
      <c r="AG167" s="130">
        <f t="shared" si="42"/>
        <v>0</v>
      </c>
      <c r="AH167" s="130">
        <f t="shared" si="42"/>
        <v>0</v>
      </c>
      <c r="AI167" s="130">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6"/>
      <c r="C168" s="54">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0</v>
      </c>
      <c r="AE168" s="130">
        <f t="shared" si="44"/>
        <v>0</v>
      </c>
      <c r="AF168" s="130">
        <f t="shared" si="44"/>
        <v>0</v>
      </c>
      <c r="AG168" s="130">
        <f t="shared" si="44"/>
        <v>0</v>
      </c>
      <c r="AH168" s="130">
        <f t="shared" si="44"/>
        <v>0</v>
      </c>
      <c r="AI168" s="130">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6"/>
      <c r="C169" s="54">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0</v>
      </c>
      <c r="AE169" s="130">
        <f t="shared" si="44"/>
        <v>0</v>
      </c>
      <c r="AF169" s="130">
        <f t="shared" si="44"/>
        <v>0</v>
      </c>
      <c r="AG169" s="130">
        <f t="shared" si="44"/>
        <v>0</v>
      </c>
      <c r="AH169" s="130">
        <f t="shared" si="44"/>
        <v>0</v>
      </c>
      <c r="AI169" s="130">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6"/>
      <c r="C170" s="54">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0</v>
      </c>
      <c r="AE170" s="130">
        <f t="shared" si="44"/>
        <v>0</v>
      </c>
      <c r="AF170" s="130">
        <f t="shared" si="44"/>
        <v>0</v>
      </c>
      <c r="AG170" s="130">
        <f t="shared" si="44"/>
        <v>0</v>
      </c>
      <c r="AH170" s="130">
        <f t="shared" si="44"/>
        <v>0</v>
      </c>
      <c r="AI170" s="130">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6"/>
      <c r="C171" s="54">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0</v>
      </c>
      <c r="AE171" s="130">
        <f t="shared" si="44"/>
        <v>0</v>
      </c>
      <c r="AF171" s="130">
        <f t="shared" si="44"/>
        <v>0</v>
      </c>
      <c r="AG171" s="130">
        <f t="shared" si="44"/>
        <v>0</v>
      </c>
      <c r="AH171" s="130">
        <f t="shared" si="44"/>
        <v>0</v>
      </c>
      <c r="AI171" s="130">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6"/>
      <c r="C172" s="54">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0</v>
      </c>
      <c r="AE172" s="130">
        <f t="shared" si="44"/>
        <v>0</v>
      </c>
      <c r="AF172" s="130">
        <f t="shared" si="44"/>
        <v>0</v>
      </c>
      <c r="AG172" s="130">
        <f t="shared" si="44"/>
        <v>0</v>
      </c>
      <c r="AH172" s="130">
        <f t="shared" si="44"/>
        <v>0</v>
      </c>
      <c r="AI172" s="130">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6"/>
      <c r="C173" s="54">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0</v>
      </c>
      <c r="AE173" s="130">
        <f t="shared" si="44"/>
        <v>0</v>
      </c>
      <c r="AF173" s="130">
        <f t="shared" si="44"/>
        <v>0</v>
      </c>
      <c r="AG173" s="130">
        <f t="shared" si="44"/>
        <v>0</v>
      </c>
      <c r="AH173" s="130">
        <f t="shared" si="44"/>
        <v>0</v>
      </c>
      <c r="AI173" s="130">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6"/>
      <c r="C174" s="54">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0</v>
      </c>
      <c r="AE174" s="130">
        <f t="shared" si="44"/>
        <v>0</v>
      </c>
      <c r="AF174" s="130">
        <f t="shared" si="44"/>
        <v>0</v>
      </c>
      <c r="AG174" s="130">
        <f t="shared" si="44"/>
        <v>0</v>
      </c>
      <c r="AH174" s="130">
        <f t="shared" si="44"/>
        <v>0</v>
      </c>
      <c r="AI174" s="130">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6"/>
      <c r="C175" s="54">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0</v>
      </c>
      <c r="AE175" s="130">
        <f t="shared" si="44"/>
        <v>0</v>
      </c>
      <c r="AF175" s="130">
        <f t="shared" si="44"/>
        <v>0</v>
      </c>
      <c r="AG175" s="130">
        <f t="shared" si="44"/>
        <v>0</v>
      </c>
      <c r="AH175" s="130">
        <f t="shared" si="44"/>
        <v>0</v>
      </c>
      <c r="AI175" s="130">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6"/>
      <c r="C176" s="54">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0</v>
      </c>
      <c r="AE176" s="130">
        <f t="shared" si="46"/>
        <v>0</v>
      </c>
      <c r="AF176" s="130">
        <f t="shared" si="46"/>
        <v>0</v>
      </c>
      <c r="AG176" s="130">
        <f t="shared" si="46"/>
        <v>0</v>
      </c>
      <c r="AH176" s="130">
        <f t="shared" si="46"/>
        <v>0</v>
      </c>
      <c r="AI176" s="130">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6"/>
      <c r="C177" s="54">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0</v>
      </c>
      <c r="AE177" s="130">
        <f t="shared" si="46"/>
        <v>0</v>
      </c>
      <c r="AF177" s="130">
        <f t="shared" si="46"/>
        <v>0</v>
      </c>
      <c r="AG177" s="130">
        <f t="shared" si="46"/>
        <v>0</v>
      </c>
      <c r="AH177" s="130">
        <f t="shared" si="46"/>
        <v>0</v>
      </c>
      <c r="AI177" s="130">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6"/>
      <c r="C178" s="54">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0</v>
      </c>
      <c r="AE178" s="130">
        <f t="shared" si="46"/>
        <v>0</v>
      </c>
      <c r="AF178" s="130">
        <f t="shared" si="46"/>
        <v>0</v>
      </c>
      <c r="AG178" s="130">
        <f t="shared" si="46"/>
        <v>0</v>
      </c>
      <c r="AH178" s="130">
        <f t="shared" si="46"/>
        <v>0</v>
      </c>
      <c r="AI178" s="130">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6"/>
      <c r="C179" s="54">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0</v>
      </c>
      <c r="AE179" s="130">
        <f t="shared" si="46"/>
        <v>0</v>
      </c>
      <c r="AF179" s="130">
        <f t="shared" si="46"/>
        <v>0</v>
      </c>
      <c r="AG179" s="130">
        <f t="shared" si="46"/>
        <v>0</v>
      </c>
      <c r="AH179" s="130">
        <f t="shared" si="46"/>
        <v>0</v>
      </c>
      <c r="AI179" s="130">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6"/>
      <c r="C180" s="54">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0</v>
      </c>
      <c r="AE180" s="130">
        <f t="shared" si="46"/>
        <v>0</v>
      </c>
      <c r="AF180" s="130">
        <f t="shared" si="46"/>
        <v>0</v>
      </c>
      <c r="AG180" s="130">
        <f t="shared" si="46"/>
        <v>0</v>
      </c>
      <c r="AH180" s="130">
        <f t="shared" si="46"/>
        <v>0</v>
      </c>
      <c r="AI180" s="130">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6"/>
      <c r="C181" s="54">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0</v>
      </c>
      <c r="AE181" s="130">
        <f t="shared" si="46"/>
        <v>0</v>
      </c>
      <c r="AF181" s="130">
        <f t="shared" si="46"/>
        <v>0</v>
      </c>
      <c r="AG181" s="130">
        <f t="shared" si="46"/>
        <v>0</v>
      </c>
      <c r="AH181" s="130">
        <f t="shared" si="46"/>
        <v>0</v>
      </c>
      <c r="AI181" s="130">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6"/>
      <c r="C182" s="54">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0</v>
      </c>
      <c r="AE182" s="130">
        <f t="shared" si="46"/>
        <v>0</v>
      </c>
      <c r="AF182" s="130">
        <f t="shared" si="46"/>
        <v>0</v>
      </c>
      <c r="AG182" s="130">
        <f t="shared" si="46"/>
        <v>0</v>
      </c>
      <c r="AH182" s="130">
        <f t="shared" si="46"/>
        <v>0</v>
      </c>
      <c r="AI182" s="130">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6"/>
      <c r="C183" s="54">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0</v>
      </c>
      <c r="AE183" s="130">
        <f t="shared" si="46"/>
        <v>0</v>
      </c>
      <c r="AF183" s="130">
        <f t="shared" si="46"/>
        <v>0</v>
      </c>
      <c r="AG183" s="130">
        <f t="shared" si="46"/>
        <v>0</v>
      </c>
      <c r="AH183" s="130">
        <f t="shared" si="46"/>
        <v>0</v>
      </c>
      <c r="AI183" s="130">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6"/>
      <c r="C184" s="54">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0</v>
      </c>
      <c r="AE184" s="130">
        <f t="shared" si="48"/>
        <v>0</v>
      </c>
      <c r="AF184" s="130">
        <f t="shared" si="48"/>
        <v>0</v>
      </c>
      <c r="AG184" s="130">
        <f t="shared" si="48"/>
        <v>0</v>
      </c>
      <c r="AH184" s="130">
        <f t="shared" si="48"/>
        <v>0</v>
      </c>
      <c r="AI184" s="130">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6"/>
      <c r="C185" s="54">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0</v>
      </c>
      <c r="AE185" s="130">
        <f t="shared" si="48"/>
        <v>0</v>
      </c>
      <c r="AF185" s="130">
        <f t="shared" si="48"/>
        <v>0</v>
      </c>
      <c r="AG185" s="130">
        <f t="shared" si="48"/>
        <v>0</v>
      </c>
      <c r="AH185" s="130">
        <f t="shared" si="48"/>
        <v>0</v>
      </c>
      <c r="AI185" s="130">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6"/>
      <c r="C186" s="54">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0</v>
      </c>
      <c r="AE186" s="130">
        <f t="shared" si="48"/>
        <v>0</v>
      </c>
      <c r="AF186" s="130">
        <f t="shared" si="48"/>
        <v>0</v>
      </c>
      <c r="AG186" s="130">
        <f t="shared" si="48"/>
        <v>0</v>
      </c>
      <c r="AH186" s="130">
        <f t="shared" si="48"/>
        <v>0</v>
      </c>
      <c r="AI186" s="130">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6"/>
      <c r="C187" s="54">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0</v>
      </c>
      <c r="AE187" s="130">
        <f t="shared" si="48"/>
        <v>0</v>
      </c>
      <c r="AF187" s="130">
        <f t="shared" si="48"/>
        <v>0</v>
      </c>
      <c r="AG187" s="130">
        <f t="shared" si="48"/>
        <v>0</v>
      </c>
      <c r="AH187" s="130">
        <f t="shared" si="48"/>
        <v>0</v>
      </c>
      <c r="AI187" s="130">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6"/>
      <c r="C188" s="54">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0</v>
      </c>
      <c r="AE188" s="130">
        <f t="shared" si="48"/>
        <v>0</v>
      </c>
      <c r="AF188" s="130">
        <f t="shared" si="48"/>
        <v>0</v>
      </c>
      <c r="AG188" s="130">
        <f t="shared" si="48"/>
        <v>0</v>
      </c>
      <c r="AH188" s="130">
        <f t="shared" si="48"/>
        <v>0</v>
      </c>
      <c r="AI188" s="130">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6"/>
      <c r="C189" s="54">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0</v>
      </c>
      <c r="AE189" s="130">
        <f t="shared" si="48"/>
        <v>0</v>
      </c>
      <c r="AF189" s="130">
        <f t="shared" si="48"/>
        <v>0</v>
      </c>
      <c r="AG189" s="130">
        <f t="shared" si="48"/>
        <v>0</v>
      </c>
      <c r="AH189" s="130">
        <f t="shared" si="48"/>
        <v>0</v>
      </c>
      <c r="AI189" s="130">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6"/>
      <c r="C190" s="54">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0</v>
      </c>
      <c r="AE190" s="130">
        <f t="shared" si="48"/>
        <v>0</v>
      </c>
      <c r="AF190" s="130">
        <f t="shared" si="48"/>
        <v>0</v>
      </c>
      <c r="AG190" s="130">
        <f t="shared" si="48"/>
        <v>0</v>
      </c>
      <c r="AH190" s="130">
        <f t="shared" si="48"/>
        <v>0</v>
      </c>
      <c r="AI190" s="130">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6"/>
      <c r="C191" s="54">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0</v>
      </c>
      <c r="AE191" s="130">
        <f t="shared" si="48"/>
        <v>0</v>
      </c>
      <c r="AF191" s="130">
        <f t="shared" si="48"/>
        <v>0</v>
      </c>
      <c r="AG191" s="130">
        <f t="shared" si="48"/>
        <v>0</v>
      </c>
      <c r="AH191" s="130">
        <f t="shared" si="48"/>
        <v>0</v>
      </c>
      <c r="AI191" s="130">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6"/>
      <c r="C192" s="54">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0</v>
      </c>
      <c r="AE192" s="130">
        <f t="shared" si="50"/>
        <v>0</v>
      </c>
      <c r="AF192" s="130">
        <f t="shared" si="50"/>
        <v>0</v>
      </c>
      <c r="AG192" s="130">
        <f t="shared" si="50"/>
        <v>0</v>
      </c>
      <c r="AH192" s="130">
        <f t="shared" si="50"/>
        <v>0</v>
      </c>
      <c r="AI192" s="130">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6"/>
      <c r="C193" s="54">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0</v>
      </c>
      <c r="AE193" s="130">
        <f t="shared" si="50"/>
        <v>0</v>
      </c>
      <c r="AF193" s="130">
        <f t="shared" si="50"/>
        <v>0</v>
      </c>
      <c r="AG193" s="130">
        <f t="shared" si="50"/>
        <v>0</v>
      </c>
      <c r="AH193" s="130">
        <f t="shared" si="50"/>
        <v>0</v>
      </c>
      <c r="AI193" s="130">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6"/>
      <c r="C194" s="54">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0</v>
      </c>
      <c r="AE194" s="130">
        <f t="shared" si="50"/>
        <v>0</v>
      </c>
      <c r="AF194" s="130">
        <f t="shared" si="50"/>
        <v>0</v>
      </c>
      <c r="AG194" s="130">
        <f t="shared" si="50"/>
        <v>0</v>
      </c>
      <c r="AH194" s="130">
        <f t="shared" si="50"/>
        <v>0</v>
      </c>
      <c r="AI194" s="130">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6"/>
      <c r="C195" s="54">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0</v>
      </c>
      <c r="AE195" s="130">
        <f t="shared" si="50"/>
        <v>0</v>
      </c>
      <c r="AF195" s="130">
        <f t="shared" si="50"/>
        <v>0</v>
      </c>
      <c r="AG195" s="130">
        <f t="shared" si="50"/>
        <v>0</v>
      </c>
      <c r="AH195" s="130">
        <f t="shared" si="50"/>
        <v>0</v>
      </c>
      <c r="AI195" s="130">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6"/>
      <c r="C196" s="54">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0</v>
      </c>
      <c r="AE196" s="130">
        <f t="shared" si="50"/>
        <v>0</v>
      </c>
      <c r="AF196" s="130">
        <f t="shared" si="50"/>
        <v>0</v>
      </c>
      <c r="AG196" s="130">
        <f t="shared" si="50"/>
        <v>0</v>
      </c>
      <c r="AH196" s="130">
        <f t="shared" si="50"/>
        <v>0</v>
      </c>
      <c r="AI196" s="130">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6"/>
      <c r="C197" s="54">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0</v>
      </c>
      <c r="AE197" s="130">
        <f t="shared" si="50"/>
        <v>0</v>
      </c>
      <c r="AF197" s="130">
        <f t="shared" si="50"/>
        <v>0</v>
      </c>
      <c r="AG197" s="130">
        <f t="shared" si="50"/>
        <v>0</v>
      </c>
      <c r="AH197" s="130">
        <f t="shared" si="50"/>
        <v>0</v>
      </c>
      <c r="AI197" s="130">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6"/>
      <c r="C198" s="54">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0</v>
      </c>
      <c r="AE198" s="130">
        <f t="shared" si="50"/>
        <v>0</v>
      </c>
      <c r="AF198" s="130">
        <f t="shared" si="50"/>
        <v>0</v>
      </c>
      <c r="AG198" s="130">
        <f t="shared" si="50"/>
        <v>0</v>
      </c>
      <c r="AH198" s="130">
        <f t="shared" si="50"/>
        <v>0</v>
      </c>
      <c r="AI198" s="130">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7"/>
      <c r="C199" s="54">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0</v>
      </c>
      <c r="AE199" s="130">
        <f t="shared" si="50"/>
        <v>0</v>
      </c>
      <c r="AF199" s="130">
        <f t="shared" si="50"/>
        <v>0</v>
      </c>
      <c r="AG199" s="130">
        <f t="shared" si="50"/>
        <v>0</v>
      </c>
      <c r="AH199" s="130">
        <f t="shared" si="50"/>
        <v>0</v>
      </c>
      <c r="AI199" s="130">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L3:AI3 D6:AJ69" name="Table作成編集範囲"/>
    <protectedRange sqref="B3" name="Table作成編集範囲_2"/>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B13:W73"/>
  <sheetViews>
    <sheetView showGridLines="0" zoomScale="70" zoomScaleNormal="70" workbookViewId="0">
      <selection activeCell="R22" sqref="R22"/>
    </sheetView>
  </sheetViews>
  <sheetFormatPr defaultRowHeight="13.5"/>
  <cols>
    <col min="2" max="2" width="55.625" bestFit="1" customWidth="1"/>
    <col min="3" max="10" width="3.375" customWidth="1"/>
    <col min="11" max="11" width="19.75" bestFit="1" customWidth="1"/>
    <col min="12" max="12" width="28.625" bestFit="1" customWidth="1"/>
    <col min="13" max="13" width="23.25" bestFit="1" customWidth="1"/>
    <col min="14" max="14" width="10.875" customWidth="1"/>
    <col min="15" max="15" width="13.75" customWidth="1"/>
    <col min="16" max="17" width="10.875" customWidth="1"/>
    <col min="18" max="18" width="12.875" bestFit="1" customWidth="1"/>
  </cols>
  <sheetData>
    <row r="13" spans="2:17" ht="15" thickBot="1">
      <c r="B13" s="27" t="s">
        <v>305</v>
      </c>
    </row>
    <row r="14" spans="2:17" ht="15" thickBot="1">
      <c r="B14" s="102" t="s">
        <v>192</v>
      </c>
      <c r="C14" s="302" t="s">
        <v>193</v>
      </c>
      <c r="D14" s="303"/>
      <c r="E14" s="303"/>
      <c r="F14" s="303"/>
      <c r="G14" s="303"/>
      <c r="H14" s="303"/>
      <c r="I14" s="303"/>
      <c r="J14" s="304"/>
      <c r="K14" s="175"/>
      <c r="L14" s="175"/>
      <c r="M14" s="178"/>
      <c r="N14" s="176"/>
      <c r="O14" s="176"/>
      <c r="P14" s="176"/>
      <c r="Q14" s="177"/>
    </row>
    <row r="15" spans="2:17">
      <c r="B15" s="76"/>
      <c r="C15" s="36" t="s">
        <v>194</v>
      </c>
      <c r="D15" s="36"/>
      <c r="E15" s="36"/>
      <c r="F15" s="36"/>
      <c r="G15" s="36"/>
      <c r="H15" s="36"/>
      <c r="I15" s="36"/>
      <c r="J15" s="36"/>
      <c r="K15" s="36"/>
      <c r="L15" s="36"/>
      <c r="M15" s="32" t="s">
        <v>195</v>
      </c>
      <c r="N15" s="51" t="s">
        <v>20</v>
      </c>
      <c r="O15" s="52"/>
      <c r="P15" s="52"/>
      <c r="Q15" s="53"/>
    </row>
    <row r="16" spans="2:17">
      <c r="B16" s="77" t="s">
        <v>21</v>
      </c>
      <c r="C16" s="308" t="s">
        <v>196</v>
      </c>
      <c r="D16" s="306"/>
      <c r="E16" s="306"/>
      <c r="F16" s="306"/>
      <c r="G16" s="306"/>
      <c r="H16" s="306"/>
      <c r="I16" s="306"/>
      <c r="J16" s="307"/>
      <c r="K16" s="29" t="s">
        <v>22</v>
      </c>
      <c r="L16" s="94"/>
      <c r="M16" s="33" t="s">
        <v>253</v>
      </c>
      <c r="N16" s="82" t="s">
        <v>234</v>
      </c>
      <c r="O16" s="82" t="s">
        <v>24</v>
      </c>
      <c r="P16" s="31" t="s">
        <v>235</v>
      </c>
      <c r="Q16" s="144" t="s">
        <v>26</v>
      </c>
    </row>
    <row r="17" spans="2:18">
      <c r="B17" s="77" t="s">
        <v>33</v>
      </c>
      <c r="C17" s="170" t="s">
        <v>197</v>
      </c>
      <c r="D17" s="170" t="s">
        <v>198</v>
      </c>
      <c r="E17" s="170" t="s">
        <v>197</v>
      </c>
      <c r="F17" s="170" t="s">
        <v>199</v>
      </c>
      <c r="G17" s="170" t="s">
        <v>197</v>
      </c>
      <c r="H17" s="170" t="s">
        <v>198</v>
      </c>
      <c r="I17" s="170" t="s">
        <v>198</v>
      </c>
      <c r="J17" s="170" t="s">
        <v>198</v>
      </c>
      <c r="K17" s="142" t="s">
        <v>97</v>
      </c>
      <c r="L17" s="143" t="s">
        <v>97</v>
      </c>
      <c r="M17" s="33" t="s">
        <v>200</v>
      </c>
      <c r="N17" s="83"/>
      <c r="O17" s="83"/>
      <c r="P17" s="47"/>
      <c r="Q17" s="144"/>
    </row>
    <row r="18" spans="2:18" ht="27">
      <c r="B18" s="78" t="s">
        <v>27</v>
      </c>
      <c r="C18" s="308" t="s">
        <v>201</v>
      </c>
      <c r="D18" s="306"/>
      <c r="E18" s="306"/>
      <c r="F18" s="306"/>
      <c r="G18" s="306"/>
      <c r="H18" s="306"/>
      <c r="I18" s="306"/>
      <c r="J18" s="307"/>
      <c r="K18" s="1" t="s">
        <v>202</v>
      </c>
      <c r="L18" s="1" t="s">
        <v>220</v>
      </c>
      <c r="M18" s="34"/>
      <c r="N18" s="83"/>
      <c r="O18" s="83"/>
      <c r="P18" s="47"/>
      <c r="Q18" s="144"/>
    </row>
    <row r="19" spans="2:18" ht="64.5">
      <c r="B19" s="77" t="s">
        <v>226</v>
      </c>
      <c r="C19" s="196" t="s">
        <v>203</v>
      </c>
      <c r="D19" s="196" t="s">
        <v>62</v>
      </c>
      <c r="E19" s="196" t="s">
        <v>204</v>
      </c>
      <c r="F19" s="196" t="s">
        <v>205</v>
      </c>
      <c r="G19" s="196" t="s">
        <v>206</v>
      </c>
      <c r="H19" s="196" t="s">
        <v>207</v>
      </c>
      <c r="I19" s="196" t="s">
        <v>208</v>
      </c>
      <c r="J19" s="196" t="s">
        <v>209</v>
      </c>
      <c r="K19" s="1" t="s">
        <v>304</v>
      </c>
      <c r="L19" s="29" t="s">
        <v>301</v>
      </c>
      <c r="M19" s="33" t="s">
        <v>28</v>
      </c>
      <c r="N19" s="83"/>
      <c r="O19" s="83"/>
      <c r="P19" s="47"/>
      <c r="Q19" s="144"/>
    </row>
    <row r="20" spans="2:18" ht="41.25" thickBot="1">
      <c r="B20" s="79" t="s">
        <v>29</v>
      </c>
      <c r="C20" s="171" t="s">
        <v>211</v>
      </c>
      <c r="D20" s="171" t="s">
        <v>199</v>
      </c>
      <c r="E20" s="171" t="s">
        <v>211</v>
      </c>
      <c r="F20" s="171" t="s">
        <v>211</v>
      </c>
      <c r="G20" s="171" t="s">
        <v>211</v>
      </c>
      <c r="H20" s="171" t="s">
        <v>211</v>
      </c>
      <c r="I20" s="171" t="s">
        <v>211</v>
      </c>
      <c r="J20" s="171" t="s">
        <v>211</v>
      </c>
      <c r="K20" s="28" t="s">
        <v>225</v>
      </c>
      <c r="L20" s="30" t="s">
        <v>227</v>
      </c>
      <c r="M20" s="35" t="s">
        <v>239</v>
      </c>
      <c r="N20" s="145"/>
      <c r="O20" s="145"/>
      <c r="P20" s="194" t="s">
        <v>236</v>
      </c>
      <c r="Q20" s="146"/>
      <c r="R20" s="200"/>
    </row>
    <row r="21" spans="2:18" ht="14.25" thickTop="1">
      <c r="B21" s="80" t="s">
        <v>228</v>
      </c>
      <c r="C21" s="172" t="s">
        <v>155</v>
      </c>
      <c r="D21" s="172" t="s">
        <v>155</v>
      </c>
      <c r="E21" s="172" t="s">
        <v>155</v>
      </c>
      <c r="F21" s="172" t="s">
        <v>155</v>
      </c>
      <c r="G21" s="172" t="s">
        <v>155</v>
      </c>
      <c r="H21" s="172" t="s">
        <v>155</v>
      </c>
      <c r="I21" s="172" t="s">
        <v>155</v>
      </c>
      <c r="J21" s="172" t="s">
        <v>155</v>
      </c>
      <c r="K21" s="38" t="s">
        <v>222</v>
      </c>
      <c r="L21" s="39" t="s">
        <v>230</v>
      </c>
      <c r="M21" s="40" t="s">
        <v>213</v>
      </c>
      <c r="N21" s="48"/>
      <c r="O21" s="48"/>
      <c r="P21" s="41" t="s">
        <v>30</v>
      </c>
      <c r="Q21" s="147"/>
      <c r="R21" s="67"/>
    </row>
    <row r="22" spans="2:18">
      <c r="B22" s="80" t="s">
        <v>229</v>
      </c>
      <c r="C22" s="172" t="s">
        <v>155</v>
      </c>
      <c r="D22" s="172" t="s">
        <v>155</v>
      </c>
      <c r="E22" s="172" t="s">
        <v>155</v>
      </c>
      <c r="F22" s="172" t="s">
        <v>155</v>
      </c>
      <c r="G22" s="172" t="s">
        <v>155</v>
      </c>
      <c r="H22" s="172" t="s">
        <v>155</v>
      </c>
      <c r="I22" s="172" t="s">
        <v>155</v>
      </c>
      <c r="J22" s="172" t="s">
        <v>155</v>
      </c>
      <c r="K22" s="38" t="s">
        <v>221</v>
      </c>
      <c r="L22" s="39" t="s">
        <v>231</v>
      </c>
      <c r="M22" s="40" t="s">
        <v>238</v>
      </c>
      <c r="N22" s="48"/>
      <c r="O22" s="48"/>
      <c r="P22" s="41" t="s">
        <v>237</v>
      </c>
      <c r="Q22" s="147"/>
      <c r="R22" s="67"/>
    </row>
    <row r="23" spans="2:18">
      <c r="B23" s="22" t="s">
        <v>215</v>
      </c>
      <c r="C23" s="173" t="s">
        <v>155</v>
      </c>
      <c r="D23" s="173" t="s">
        <v>155</v>
      </c>
      <c r="E23" s="173" t="s">
        <v>155</v>
      </c>
      <c r="F23" s="173" t="s">
        <v>155</v>
      </c>
      <c r="G23" s="173" t="s">
        <v>155</v>
      </c>
      <c r="H23" s="173" t="s">
        <v>155</v>
      </c>
      <c r="I23" s="173" t="s">
        <v>155</v>
      </c>
      <c r="J23" s="173" t="s">
        <v>155</v>
      </c>
      <c r="K23" s="68" t="s">
        <v>223</v>
      </c>
      <c r="L23" s="37" t="s">
        <v>232</v>
      </c>
      <c r="M23" s="42" t="s">
        <v>214</v>
      </c>
      <c r="N23" s="49"/>
      <c r="O23" s="49"/>
      <c r="P23" s="41" t="s">
        <v>30</v>
      </c>
      <c r="Q23" s="148"/>
      <c r="R23" s="67"/>
    </row>
    <row r="24" spans="2:18" ht="14.25" thickBot="1">
      <c r="B24" s="23" t="s">
        <v>217</v>
      </c>
      <c r="C24" s="174" t="s">
        <v>155</v>
      </c>
      <c r="D24" s="174" t="s">
        <v>155</v>
      </c>
      <c r="E24" s="174" t="s">
        <v>155</v>
      </c>
      <c r="F24" s="174" t="s">
        <v>155</v>
      </c>
      <c r="G24" s="174" t="s">
        <v>155</v>
      </c>
      <c r="H24" s="174" t="s">
        <v>155</v>
      </c>
      <c r="I24" s="174" t="s">
        <v>155</v>
      </c>
      <c r="J24" s="174" t="s">
        <v>155</v>
      </c>
      <c r="K24" s="43" t="s">
        <v>224</v>
      </c>
      <c r="L24" s="44" t="s">
        <v>233</v>
      </c>
      <c r="M24" s="45" t="s">
        <v>31</v>
      </c>
      <c r="N24" s="50"/>
      <c r="O24" s="50"/>
      <c r="P24" s="46" t="s">
        <v>30</v>
      </c>
      <c r="Q24" s="149"/>
      <c r="R24" s="67"/>
    </row>
    <row r="26" spans="2:18" ht="15" thickBot="1">
      <c r="B26" s="27" t="s">
        <v>306</v>
      </c>
    </row>
    <row r="27" spans="2:18" ht="15" thickBot="1">
      <c r="B27" s="102" t="s">
        <v>192</v>
      </c>
      <c r="C27" s="302" t="s">
        <v>193</v>
      </c>
      <c r="D27" s="303"/>
      <c r="E27" s="303"/>
      <c r="F27" s="303"/>
      <c r="G27" s="303"/>
      <c r="H27" s="303"/>
      <c r="I27" s="303"/>
      <c r="J27" s="304"/>
      <c r="K27" s="175"/>
      <c r="L27" s="175"/>
      <c r="M27" s="178"/>
      <c r="N27" s="176"/>
      <c r="O27" s="176"/>
      <c r="P27" s="176"/>
      <c r="Q27" s="177"/>
    </row>
    <row r="28" spans="2:18">
      <c r="B28" s="76"/>
      <c r="C28" s="36" t="s">
        <v>194</v>
      </c>
      <c r="D28" s="36"/>
      <c r="E28" s="36"/>
      <c r="F28" s="36"/>
      <c r="G28" s="36"/>
      <c r="H28" s="36"/>
      <c r="I28" s="36"/>
      <c r="J28" s="36"/>
      <c r="K28" s="36"/>
      <c r="L28" s="36"/>
      <c r="M28" s="32" t="s">
        <v>195</v>
      </c>
      <c r="N28" s="51" t="s">
        <v>20</v>
      </c>
      <c r="O28" s="52"/>
      <c r="P28" s="52"/>
      <c r="Q28" s="53"/>
    </row>
    <row r="29" spans="2:18">
      <c r="B29" s="77" t="s">
        <v>21</v>
      </c>
      <c r="C29" s="305" t="s">
        <v>196</v>
      </c>
      <c r="D29" s="306"/>
      <c r="E29" s="306"/>
      <c r="F29" s="306"/>
      <c r="G29" s="306"/>
      <c r="H29" s="306"/>
      <c r="I29" s="306"/>
      <c r="J29" s="307"/>
      <c r="K29" s="29" t="s">
        <v>22</v>
      </c>
      <c r="L29" s="94"/>
      <c r="M29" s="33" t="s">
        <v>245</v>
      </c>
      <c r="N29" s="82" t="s">
        <v>234</v>
      </c>
      <c r="O29" s="82" t="s">
        <v>24</v>
      </c>
      <c r="P29" s="31" t="s">
        <v>235</v>
      </c>
      <c r="Q29" s="144" t="s">
        <v>26</v>
      </c>
    </row>
    <row r="30" spans="2:18">
      <c r="B30" s="77" t="s">
        <v>33</v>
      </c>
      <c r="C30" s="170" t="s">
        <v>197</v>
      </c>
      <c r="D30" s="170" t="s">
        <v>198</v>
      </c>
      <c r="E30" s="170" t="s">
        <v>197</v>
      </c>
      <c r="F30" s="170" t="s">
        <v>199</v>
      </c>
      <c r="G30" s="170" t="s">
        <v>197</v>
      </c>
      <c r="H30" s="170" t="s">
        <v>198</v>
      </c>
      <c r="I30" s="170" t="s">
        <v>198</v>
      </c>
      <c r="J30" s="170" t="s">
        <v>198</v>
      </c>
      <c r="K30" s="142" t="s">
        <v>97</v>
      </c>
      <c r="L30" s="143" t="s">
        <v>97</v>
      </c>
      <c r="M30" s="33" t="s">
        <v>200</v>
      </c>
      <c r="N30" s="83"/>
      <c r="O30" s="83"/>
      <c r="P30" s="47"/>
      <c r="Q30" s="144"/>
    </row>
    <row r="31" spans="2:18" ht="27">
      <c r="B31" s="78" t="s">
        <v>27</v>
      </c>
      <c r="C31" s="308" t="s">
        <v>201</v>
      </c>
      <c r="D31" s="306"/>
      <c r="E31" s="306"/>
      <c r="F31" s="306"/>
      <c r="G31" s="306"/>
      <c r="H31" s="306"/>
      <c r="I31" s="306"/>
      <c r="J31" s="307"/>
      <c r="K31" s="1" t="s">
        <v>202</v>
      </c>
      <c r="L31" s="1" t="s">
        <v>220</v>
      </c>
      <c r="M31" s="34"/>
      <c r="N31" s="83"/>
      <c r="O31" s="83"/>
      <c r="P31" s="47"/>
      <c r="Q31" s="144"/>
    </row>
    <row r="32" spans="2:18" ht="64.5">
      <c r="B32" s="77" t="s">
        <v>226</v>
      </c>
      <c r="C32" s="196" t="s">
        <v>203</v>
      </c>
      <c r="D32" s="196" t="s">
        <v>62</v>
      </c>
      <c r="E32" s="196" t="s">
        <v>204</v>
      </c>
      <c r="F32" s="196" t="s">
        <v>205</v>
      </c>
      <c r="G32" s="196" t="s">
        <v>206</v>
      </c>
      <c r="H32" s="196" t="s">
        <v>207</v>
      </c>
      <c r="I32" s="196" t="s">
        <v>208</v>
      </c>
      <c r="J32" s="196" t="s">
        <v>209</v>
      </c>
      <c r="K32" s="1" t="s">
        <v>304</v>
      </c>
      <c r="L32" s="29" t="s">
        <v>302</v>
      </c>
      <c r="M32" s="33" t="s">
        <v>28</v>
      </c>
      <c r="N32" s="83"/>
      <c r="O32" s="83"/>
      <c r="P32" s="47"/>
      <c r="Q32" s="144"/>
    </row>
    <row r="33" spans="2:18" ht="41.25" thickBot="1">
      <c r="B33" s="79" t="s">
        <v>29</v>
      </c>
      <c r="C33" s="171" t="s">
        <v>211</v>
      </c>
      <c r="D33" s="171" t="s">
        <v>199</v>
      </c>
      <c r="E33" s="171" t="s">
        <v>211</v>
      </c>
      <c r="F33" s="171" t="s">
        <v>211</v>
      </c>
      <c r="G33" s="171" t="s">
        <v>211</v>
      </c>
      <c r="H33" s="171" t="s">
        <v>211</v>
      </c>
      <c r="I33" s="171" t="s">
        <v>211</v>
      </c>
      <c r="J33" s="171" t="s">
        <v>211</v>
      </c>
      <c r="K33" s="28" t="s">
        <v>225</v>
      </c>
      <c r="L33" s="30" t="s">
        <v>246</v>
      </c>
      <c r="M33" s="35" t="s">
        <v>244</v>
      </c>
      <c r="N33" s="145"/>
      <c r="O33" s="145"/>
      <c r="P33" s="194" t="s">
        <v>240</v>
      </c>
      <c r="Q33" s="146"/>
      <c r="R33" s="200"/>
    </row>
    <row r="34" spans="2:18" ht="14.25" thickTop="1">
      <c r="B34" s="80" t="s">
        <v>228</v>
      </c>
      <c r="C34" s="172" t="s">
        <v>155</v>
      </c>
      <c r="D34" s="172" t="s">
        <v>155</v>
      </c>
      <c r="E34" s="172" t="s">
        <v>155</v>
      </c>
      <c r="F34" s="172" t="s">
        <v>155</v>
      </c>
      <c r="G34" s="172" t="s">
        <v>155</v>
      </c>
      <c r="H34" s="172" t="s">
        <v>155</v>
      </c>
      <c r="I34" s="172" t="s">
        <v>155</v>
      </c>
      <c r="J34" s="172" t="s">
        <v>155</v>
      </c>
      <c r="K34" s="38" t="s">
        <v>222</v>
      </c>
      <c r="L34" s="39" t="s">
        <v>230</v>
      </c>
      <c r="M34" s="40" t="s">
        <v>213</v>
      </c>
      <c r="N34" s="48"/>
      <c r="O34" s="48"/>
      <c r="P34" s="41" t="s">
        <v>30</v>
      </c>
      <c r="Q34" s="147"/>
      <c r="R34" s="67"/>
    </row>
    <row r="35" spans="2:18">
      <c r="B35" s="80" t="s">
        <v>247</v>
      </c>
      <c r="C35" s="172" t="s">
        <v>155</v>
      </c>
      <c r="D35" s="172" t="s">
        <v>155</v>
      </c>
      <c r="E35" s="172" t="s">
        <v>155</v>
      </c>
      <c r="F35" s="172" t="s">
        <v>155</v>
      </c>
      <c r="G35" s="172" t="s">
        <v>155</v>
      </c>
      <c r="H35" s="172" t="s">
        <v>155</v>
      </c>
      <c r="I35" s="172" t="s">
        <v>155</v>
      </c>
      <c r="J35" s="172" t="s">
        <v>155</v>
      </c>
      <c r="K35" s="38" t="s">
        <v>221</v>
      </c>
      <c r="L35" s="39" t="s">
        <v>231</v>
      </c>
      <c r="M35" s="40" t="s">
        <v>243</v>
      </c>
      <c r="N35" s="48"/>
      <c r="O35" s="48"/>
      <c r="P35" s="41" t="s">
        <v>241</v>
      </c>
      <c r="Q35" s="147"/>
      <c r="R35" s="67"/>
    </row>
    <row r="36" spans="2:18">
      <c r="B36" s="22" t="s">
        <v>215</v>
      </c>
      <c r="C36" s="173" t="s">
        <v>155</v>
      </c>
      <c r="D36" s="173" t="s">
        <v>155</v>
      </c>
      <c r="E36" s="173" t="s">
        <v>155</v>
      </c>
      <c r="F36" s="173" t="s">
        <v>155</v>
      </c>
      <c r="G36" s="173" t="s">
        <v>155</v>
      </c>
      <c r="H36" s="173" t="s">
        <v>155</v>
      </c>
      <c r="I36" s="173" t="s">
        <v>155</v>
      </c>
      <c r="J36" s="173" t="s">
        <v>155</v>
      </c>
      <c r="K36" s="68" t="s">
        <v>223</v>
      </c>
      <c r="L36" s="37" t="s">
        <v>232</v>
      </c>
      <c r="M36" s="42" t="s">
        <v>214</v>
      </c>
      <c r="N36" s="49"/>
      <c r="O36" s="49"/>
      <c r="P36" s="41" t="s">
        <v>30</v>
      </c>
      <c r="Q36" s="148"/>
      <c r="R36" s="67"/>
    </row>
    <row r="37" spans="2:18" ht="14.25" thickBot="1">
      <c r="B37" s="23" t="s">
        <v>217</v>
      </c>
      <c r="C37" s="174" t="s">
        <v>155</v>
      </c>
      <c r="D37" s="174" t="s">
        <v>155</v>
      </c>
      <c r="E37" s="174" t="s">
        <v>155</v>
      </c>
      <c r="F37" s="174" t="s">
        <v>155</v>
      </c>
      <c r="G37" s="174" t="s">
        <v>155</v>
      </c>
      <c r="H37" s="174" t="s">
        <v>155</v>
      </c>
      <c r="I37" s="174" t="s">
        <v>155</v>
      </c>
      <c r="J37" s="174" t="s">
        <v>155</v>
      </c>
      <c r="K37" s="43" t="s">
        <v>224</v>
      </c>
      <c r="L37" s="44" t="s">
        <v>233</v>
      </c>
      <c r="M37" s="45" t="s">
        <v>31</v>
      </c>
      <c r="N37" s="50"/>
      <c r="O37" s="50"/>
      <c r="P37" s="46" t="s">
        <v>30</v>
      </c>
      <c r="Q37" s="149"/>
      <c r="R37" s="67"/>
    </row>
    <row r="39" spans="2:18" ht="15" thickBot="1">
      <c r="B39" s="27" t="s">
        <v>307</v>
      </c>
    </row>
    <row r="40" spans="2:18" ht="15" thickBot="1">
      <c r="B40" s="102" t="s">
        <v>192</v>
      </c>
      <c r="C40" s="302" t="s">
        <v>193</v>
      </c>
      <c r="D40" s="303"/>
      <c r="E40" s="303"/>
      <c r="F40" s="303"/>
      <c r="G40" s="303"/>
      <c r="H40" s="303"/>
      <c r="I40" s="303"/>
      <c r="J40" s="304"/>
      <c r="K40" s="175"/>
      <c r="L40" s="175"/>
      <c r="M40" s="178"/>
      <c r="N40" s="176"/>
      <c r="O40" s="176"/>
      <c r="P40" s="176"/>
      <c r="Q40" s="177"/>
    </row>
    <row r="41" spans="2:18">
      <c r="B41" s="76"/>
      <c r="C41" s="36" t="s">
        <v>194</v>
      </c>
      <c r="D41" s="36"/>
      <c r="E41" s="36"/>
      <c r="F41" s="36"/>
      <c r="G41" s="36"/>
      <c r="H41" s="36"/>
      <c r="I41" s="36"/>
      <c r="J41" s="36"/>
      <c r="K41" s="36"/>
      <c r="L41" s="36"/>
      <c r="M41" s="32" t="s">
        <v>195</v>
      </c>
      <c r="N41" s="51" t="s">
        <v>20</v>
      </c>
      <c r="O41" s="52"/>
      <c r="P41" s="52"/>
      <c r="Q41" s="53"/>
    </row>
    <row r="42" spans="2:18">
      <c r="B42" s="77" t="s">
        <v>21</v>
      </c>
      <c r="C42" s="305" t="s">
        <v>196</v>
      </c>
      <c r="D42" s="306"/>
      <c r="E42" s="306"/>
      <c r="F42" s="306"/>
      <c r="G42" s="306"/>
      <c r="H42" s="306"/>
      <c r="I42" s="306"/>
      <c r="J42" s="307"/>
      <c r="K42" s="29" t="s">
        <v>22</v>
      </c>
      <c r="L42" s="94"/>
      <c r="M42" s="33" t="s">
        <v>248</v>
      </c>
      <c r="N42" s="82" t="s">
        <v>234</v>
      </c>
      <c r="O42" s="82" t="s">
        <v>24</v>
      </c>
      <c r="P42" s="31" t="s">
        <v>235</v>
      </c>
      <c r="Q42" s="144" t="s">
        <v>26</v>
      </c>
    </row>
    <row r="43" spans="2:18">
      <c r="B43" s="77" t="s">
        <v>33</v>
      </c>
      <c r="C43" s="170" t="s">
        <v>197</v>
      </c>
      <c r="D43" s="170" t="s">
        <v>198</v>
      </c>
      <c r="E43" s="170" t="s">
        <v>197</v>
      </c>
      <c r="F43" s="170" t="s">
        <v>199</v>
      </c>
      <c r="G43" s="170" t="s">
        <v>197</v>
      </c>
      <c r="H43" s="170" t="s">
        <v>198</v>
      </c>
      <c r="I43" s="170" t="s">
        <v>198</v>
      </c>
      <c r="J43" s="170" t="s">
        <v>198</v>
      </c>
      <c r="K43" s="142" t="s">
        <v>97</v>
      </c>
      <c r="L43" s="143" t="s">
        <v>97</v>
      </c>
      <c r="M43" s="33" t="s">
        <v>200</v>
      </c>
      <c r="N43" s="83"/>
      <c r="O43" s="83"/>
      <c r="P43" s="47"/>
      <c r="Q43" s="144"/>
    </row>
    <row r="44" spans="2:18" ht="27">
      <c r="B44" s="78" t="s">
        <v>27</v>
      </c>
      <c r="C44" s="308" t="s">
        <v>201</v>
      </c>
      <c r="D44" s="306"/>
      <c r="E44" s="306"/>
      <c r="F44" s="306"/>
      <c r="G44" s="306"/>
      <c r="H44" s="306"/>
      <c r="I44" s="306"/>
      <c r="J44" s="307"/>
      <c r="K44" s="1" t="s">
        <v>202</v>
      </c>
      <c r="L44" s="1" t="s">
        <v>220</v>
      </c>
      <c r="M44" s="34"/>
      <c r="N44" s="83"/>
      <c r="O44" s="83"/>
      <c r="P44" s="47"/>
      <c r="Q44" s="144"/>
    </row>
    <row r="45" spans="2:18" ht="64.5">
      <c r="B45" s="77" t="s">
        <v>226</v>
      </c>
      <c r="C45" s="196" t="s">
        <v>203</v>
      </c>
      <c r="D45" s="196" t="s">
        <v>62</v>
      </c>
      <c r="E45" s="196" t="s">
        <v>204</v>
      </c>
      <c r="F45" s="196" t="s">
        <v>205</v>
      </c>
      <c r="G45" s="196" t="s">
        <v>206</v>
      </c>
      <c r="H45" s="196" t="s">
        <v>207</v>
      </c>
      <c r="I45" s="196" t="s">
        <v>208</v>
      </c>
      <c r="J45" s="196" t="s">
        <v>209</v>
      </c>
      <c r="K45" s="1" t="s">
        <v>304</v>
      </c>
      <c r="L45" s="29" t="s">
        <v>303</v>
      </c>
      <c r="M45" s="33" t="s">
        <v>28</v>
      </c>
      <c r="N45" s="83"/>
      <c r="O45" s="83"/>
      <c r="P45" s="47"/>
      <c r="Q45" s="144"/>
    </row>
    <row r="46" spans="2:18" ht="54.75" thickBot="1">
      <c r="B46" s="79" t="s">
        <v>29</v>
      </c>
      <c r="C46" s="171" t="s">
        <v>211</v>
      </c>
      <c r="D46" s="171" t="s">
        <v>199</v>
      </c>
      <c r="E46" s="171" t="s">
        <v>211</v>
      </c>
      <c r="F46" s="171" t="s">
        <v>211</v>
      </c>
      <c r="G46" s="171" t="s">
        <v>211</v>
      </c>
      <c r="H46" s="171" t="s">
        <v>211</v>
      </c>
      <c r="I46" s="171" t="s">
        <v>211</v>
      </c>
      <c r="J46" s="171" t="s">
        <v>211</v>
      </c>
      <c r="K46" s="28" t="s">
        <v>212</v>
      </c>
      <c r="L46" s="30" t="s">
        <v>249</v>
      </c>
      <c r="M46" s="35" t="s">
        <v>292</v>
      </c>
      <c r="N46" s="145"/>
      <c r="O46" s="145"/>
      <c r="P46" s="194" t="s">
        <v>251</v>
      </c>
      <c r="Q46" s="146"/>
      <c r="R46" s="200"/>
    </row>
    <row r="47" spans="2:18" ht="14.25" thickTop="1">
      <c r="B47" s="80" t="s">
        <v>228</v>
      </c>
      <c r="C47" s="172" t="s">
        <v>155</v>
      </c>
      <c r="D47" s="172" t="s">
        <v>155</v>
      </c>
      <c r="E47" s="172" t="s">
        <v>155</v>
      </c>
      <c r="F47" s="172" t="s">
        <v>155</v>
      </c>
      <c r="G47" s="172" t="s">
        <v>155</v>
      </c>
      <c r="H47" s="172" t="s">
        <v>155</v>
      </c>
      <c r="I47" s="172" t="s">
        <v>155</v>
      </c>
      <c r="J47" s="172" t="s">
        <v>155</v>
      </c>
      <c r="K47" s="38" t="s">
        <v>254</v>
      </c>
      <c r="L47" s="39" t="s">
        <v>230</v>
      </c>
      <c r="M47" s="40" t="s">
        <v>213</v>
      </c>
      <c r="N47" s="48"/>
      <c r="O47" s="48"/>
      <c r="P47" s="41" t="s">
        <v>30</v>
      </c>
      <c r="Q47" s="147"/>
      <c r="R47" s="67"/>
    </row>
    <row r="48" spans="2:18">
      <c r="B48" s="80" t="s">
        <v>250</v>
      </c>
      <c r="C48" s="172" t="s">
        <v>155</v>
      </c>
      <c r="D48" s="172" t="s">
        <v>155</v>
      </c>
      <c r="E48" s="172" t="s">
        <v>155</v>
      </c>
      <c r="F48" s="172" t="s">
        <v>155</v>
      </c>
      <c r="G48" s="172" t="s">
        <v>155</v>
      </c>
      <c r="H48" s="172" t="s">
        <v>155</v>
      </c>
      <c r="I48" s="172" t="s">
        <v>155</v>
      </c>
      <c r="J48" s="172" t="s">
        <v>155</v>
      </c>
      <c r="K48" s="38" t="s">
        <v>254</v>
      </c>
      <c r="L48" s="39" t="s">
        <v>231</v>
      </c>
      <c r="M48" s="40" t="s">
        <v>291</v>
      </c>
      <c r="N48" s="48"/>
      <c r="O48" s="48"/>
      <c r="P48" s="41" t="s">
        <v>252</v>
      </c>
      <c r="Q48" s="147"/>
      <c r="R48" s="67"/>
    </row>
    <row r="49" spans="2:18">
      <c r="B49" s="22" t="s">
        <v>215</v>
      </c>
      <c r="C49" s="173" t="s">
        <v>155</v>
      </c>
      <c r="D49" s="173" t="s">
        <v>155</v>
      </c>
      <c r="E49" s="173" t="s">
        <v>155</v>
      </c>
      <c r="F49" s="173" t="s">
        <v>155</v>
      </c>
      <c r="G49" s="173" t="s">
        <v>155</v>
      </c>
      <c r="H49" s="173" t="s">
        <v>155</v>
      </c>
      <c r="I49" s="173" t="s">
        <v>155</v>
      </c>
      <c r="J49" s="173" t="s">
        <v>155</v>
      </c>
      <c r="K49" s="68" t="s">
        <v>255</v>
      </c>
      <c r="L49" s="37" t="s">
        <v>232</v>
      </c>
      <c r="M49" s="42" t="s">
        <v>214</v>
      </c>
      <c r="N49" s="49"/>
      <c r="O49" s="49"/>
      <c r="P49" s="41" t="s">
        <v>30</v>
      </c>
      <c r="Q49" s="148"/>
      <c r="R49" s="67"/>
    </row>
    <row r="50" spans="2:18">
      <c r="B50" s="22" t="s">
        <v>216</v>
      </c>
      <c r="C50" s="173" t="s">
        <v>155</v>
      </c>
      <c r="D50" s="173" t="s">
        <v>155</v>
      </c>
      <c r="E50" s="173" t="s">
        <v>155</v>
      </c>
      <c r="F50" s="173" t="s">
        <v>155</v>
      </c>
      <c r="G50" s="173" t="s">
        <v>155</v>
      </c>
      <c r="H50" s="173" t="s">
        <v>155</v>
      </c>
      <c r="I50" s="173" t="s">
        <v>155</v>
      </c>
      <c r="J50" s="173" t="s">
        <v>155</v>
      </c>
      <c r="K50" s="68" t="s">
        <v>32</v>
      </c>
      <c r="L50" s="37" t="s">
        <v>232</v>
      </c>
      <c r="M50" s="42" t="s">
        <v>214</v>
      </c>
      <c r="N50" s="195"/>
      <c r="O50" s="49"/>
      <c r="P50" s="41" t="s">
        <v>30</v>
      </c>
      <c r="Q50" s="148"/>
      <c r="R50" s="67"/>
    </row>
    <row r="51" spans="2:18">
      <c r="B51" s="22" t="s">
        <v>218</v>
      </c>
      <c r="C51" s="173" t="s">
        <v>155</v>
      </c>
      <c r="D51" s="173" t="s">
        <v>155</v>
      </c>
      <c r="E51" s="173" t="s">
        <v>155</v>
      </c>
      <c r="F51" s="173" t="s">
        <v>155</v>
      </c>
      <c r="G51" s="173" t="s">
        <v>155</v>
      </c>
      <c r="H51" s="173" t="s">
        <v>155</v>
      </c>
      <c r="I51" s="173" t="s">
        <v>155</v>
      </c>
      <c r="J51" s="173" t="s">
        <v>155</v>
      </c>
      <c r="K51" s="68" t="s">
        <v>219</v>
      </c>
      <c r="L51" s="37" t="s">
        <v>232</v>
      </c>
      <c r="M51" s="42" t="s">
        <v>214</v>
      </c>
      <c r="N51" s="195"/>
      <c r="O51" s="49"/>
      <c r="P51" s="41" t="s">
        <v>30</v>
      </c>
      <c r="Q51" s="148"/>
      <c r="R51" s="67"/>
    </row>
    <row r="52" spans="2:18" ht="14.25" thickBot="1">
      <c r="B52" s="23" t="s">
        <v>217</v>
      </c>
      <c r="C52" s="174" t="s">
        <v>155</v>
      </c>
      <c r="D52" s="174" t="s">
        <v>155</v>
      </c>
      <c r="E52" s="174" t="s">
        <v>155</v>
      </c>
      <c r="F52" s="174" t="s">
        <v>155</v>
      </c>
      <c r="G52" s="174" t="s">
        <v>155</v>
      </c>
      <c r="H52" s="174" t="s">
        <v>155</v>
      </c>
      <c r="I52" s="174" t="s">
        <v>155</v>
      </c>
      <c r="J52" s="174" t="s">
        <v>155</v>
      </c>
      <c r="K52" s="43" t="s">
        <v>256</v>
      </c>
      <c r="L52" s="44" t="s">
        <v>233</v>
      </c>
      <c r="M52" s="45" t="s">
        <v>31</v>
      </c>
      <c r="N52" s="50"/>
      <c r="O52" s="50"/>
      <c r="P52" s="46" t="s">
        <v>30</v>
      </c>
      <c r="Q52" s="149"/>
      <c r="R52" s="67"/>
    </row>
    <row r="73" spans="23:23">
      <c r="W73" s="210" t="s">
        <v>329</v>
      </c>
    </row>
  </sheetData>
  <mergeCells count="9">
    <mergeCell ref="C14:J14"/>
    <mergeCell ref="C16:J16"/>
    <mergeCell ref="C18:J18"/>
    <mergeCell ref="C27:J27"/>
    <mergeCell ref="C40:J40"/>
    <mergeCell ref="C42:J42"/>
    <mergeCell ref="C44:J44"/>
    <mergeCell ref="C29:J29"/>
    <mergeCell ref="C31:J31"/>
  </mergeCells>
  <phoneticPr fontId="24"/>
  <dataValidations disablePrompts="1" count="1">
    <dataValidation type="list" allowBlank="1" showInputMessage="1" showErrorMessage="1" sqref="C40 C14 C27" xr:uid="{00000000-0002-0000-0B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K5"/>
  <sheetViews>
    <sheetView showGridLines="0" zoomScale="85" zoomScaleNormal="85" workbookViewId="0">
      <selection activeCell="C14" sqref="C14"/>
    </sheetView>
  </sheetViews>
  <sheetFormatPr defaultColWidth="9" defaultRowHeight="15.75"/>
  <cols>
    <col min="1" max="1" width="6.875" style="197" bestFit="1" customWidth="1"/>
    <col min="2" max="2" width="11.375" style="197" bestFit="1" customWidth="1"/>
    <col min="3" max="3" width="21.25" style="197" bestFit="1" customWidth="1"/>
    <col min="4" max="4" width="10.125" style="197" bestFit="1" customWidth="1"/>
    <col min="5" max="5" width="32.125" style="197" customWidth="1"/>
    <col min="6" max="6" width="13.125" style="197" bestFit="1" customWidth="1"/>
    <col min="7" max="7" width="6.875" style="197" bestFit="1" customWidth="1"/>
    <col min="8" max="8" width="11.375" style="197" bestFit="1" customWidth="1"/>
    <col min="9" max="9" width="8.25" style="197" bestFit="1" customWidth="1"/>
    <col min="10" max="10" width="60" style="197" bestFit="1" customWidth="1"/>
    <col min="11" max="11" width="29.125" style="197" bestFit="1" customWidth="1"/>
    <col min="12" max="16384" width="9" style="197"/>
  </cols>
  <sheetData>
    <row r="1" spans="1:11">
      <c r="A1" s="206" t="s">
        <v>260</v>
      </c>
      <c r="B1" s="206"/>
      <c r="C1" s="206"/>
      <c r="D1" s="206"/>
      <c r="E1" s="206"/>
      <c r="F1" s="206"/>
      <c r="G1" s="206"/>
      <c r="H1" s="206"/>
      <c r="I1" s="206"/>
      <c r="J1" s="206"/>
      <c r="K1" s="206"/>
    </row>
    <row r="2" spans="1:11">
      <c r="A2" s="201" t="s">
        <v>261</v>
      </c>
      <c r="B2" s="201" t="s">
        <v>262</v>
      </c>
      <c r="C2" s="201" t="s">
        <v>263</v>
      </c>
      <c r="D2" s="201" t="s">
        <v>264</v>
      </c>
      <c r="E2" s="201" t="s">
        <v>265</v>
      </c>
      <c r="F2" s="201" t="s">
        <v>266</v>
      </c>
      <c r="G2" s="201" t="s">
        <v>267</v>
      </c>
      <c r="H2" s="201" t="s">
        <v>268</v>
      </c>
      <c r="I2" s="201" t="s">
        <v>269</v>
      </c>
      <c r="J2" s="201" t="s">
        <v>289</v>
      </c>
      <c r="K2" s="201" t="s">
        <v>290</v>
      </c>
    </row>
    <row r="3" spans="1:11">
      <c r="A3" s="208" t="s">
        <v>272</v>
      </c>
      <c r="B3" s="208" t="s">
        <v>273</v>
      </c>
      <c r="C3" s="201" t="s">
        <v>274</v>
      </c>
      <c r="D3" s="208" t="s">
        <v>270</v>
      </c>
      <c r="E3" s="208" t="s">
        <v>275</v>
      </c>
      <c r="F3" s="208" t="s">
        <v>271</v>
      </c>
      <c r="G3" s="208"/>
      <c r="H3" s="208" t="s">
        <v>276</v>
      </c>
      <c r="I3" s="208" t="s">
        <v>277</v>
      </c>
      <c r="J3" s="201" t="s">
        <v>323</v>
      </c>
      <c r="K3" s="201" t="s">
        <v>288</v>
      </c>
    </row>
    <row r="4" spans="1:11">
      <c r="A4" s="207"/>
      <c r="B4" s="201" t="s">
        <v>278</v>
      </c>
      <c r="C4" s="201" t="s">
        <v>274</v>
      </c>
      <c r="D4" s="201" t="s">
        <v>279</v>
      </c>
      <c r="E4" s="201" t="s">
        <v>280</v>
      </c>
      <c r="F4" s="201" t="s">
        <v>271</v>
      </c>
      <c r="G4" s="201"/>
      <c r="H4" s="201" t="s">
        <v>281</v>
      </c>
      <c r="I4" s="201" t="s">
        <v>282</v>
      </c>
      <c r="J4" s="201" t="s">
        <v>324</v>
      </c>
      <c r="K4" s="201" t="s">
        <v>288</v>
      </c>
    </row>
    <row r="5" spans="1:11">
      <c r="A5" s="209"/>
      <c r="B5" s="209" t="s">
        <v>283</v>
      </c>
      <c r="C5" s="209" t="s">
        <v>284</v>
      </c>
      <c r="D5" s="209" t="s">
        <v>285</v>
      </c>
      <c r="E5" s="209" t="s">
        <v>286</v>
      </c>
      <c r="F5" s="209" t="s">
        <v>221</v>
      </c>
      <c r="G5" s="209"/>
      <c r="H5" s="209" t="s">
        <v>293</v>
      </c>
      <c r="I5" s="209" t="s">
        <v>287</v>
      </c>
      <c r="J5" s="209" t="s">
        <v>325</v>
      </c>
      <c r="K5" s="201"/>
    </row>
  </sheetData>
  <phoneticPr fontId="2"/>
  <pageMargins left="0.7" right="0.7" top="0.75" bottom="0.75" header="0.3" footer="0.3"/>
  <headerFooter>
    <oddHeader>&amp;C&amp;"Calibri"&amp;10&amp;KFF0000 CONFIDENTIAL&amp;1#_x000D_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0" t="s">
        <v>82</v>
      </c>
      <c r="C2" s="91">
        <f>MAX(B4:B28)</f>
        <v>20</v>
      </c>
      <c r="D2" s="91"/>
    </row>
    <row r="3" spans="2:4" ht="14.25" thickBot="1">
      <c r="B3" s="84" t="s">
        <v>82</v>
      </c>
      <c r="C3" s="92" t="s">
        <v>86</v>
      </c>
      <c r="D3" s="85" t="s">
        <v>83</v>
      </c>
    </row>
    <row r="4" spans="2:4" ht="14.25" thickTop="1">
      <c r="B4" s="12">
        <v>0</v>
      </c>
      <c r="C4" s="93" t="s">
        <v>87</v>
      </c>
      <c r="D4" s="14" t="s">
        <v>19</v>
      </c>
    </row>
    <row r="5" spans="2:4" ht="40.5">
      <c r="B5" s="2">
        <v>1</v>
      </c>
      <c r="C5" s="94" t="s">
        <v>87</v>
      </c>
      <c r="D5" s="96" t="s">
        <v>88</v>
      </c>
    </row>
    <row r="6" spans="2:4" ht="27">
      <c r="B6" s="2">
        <v>2</v>
      </c>
      <c r="C6" s="94" t="s">
        <v>90</v>
      </c>
      <c r="D6" s="96" t="s">
        <v>91</v>
      </c>
    </row>
    <row r="7" spans="2:4" ht="54">
      <c r="B7" s="2">
        <v>3</v>
      </c>
      <c r="C7" s="94" t="s">
        <v>87</v>
      </c>
      <c r="D7" s="96" t="s">
        <v>94</v>
      </c>
    </row>
    <row r="8" spans="2:4" ht="81">
      <c r="B8" s="2">
        <v>4</v>
      </c>
      <c r="C8" s="94" t="s">
        <v>102</v>
      </c>
      <c r="D8" s="96" t="s">
        <v>108</v>
      </c>
    </row>
    <row r="9" spans="2:4" ht="41.25" customHeight="1">
      <c r="B9" s="2">
        <v>5</v>
      </c>
      <c r="C9" s="94" t="s">
        <v>103</v>
      </c>
      <c r="D9" s="96" t="s">
        <v>104</v>
      </c>
    </row>
    <row r="10" spans="2:4" ht="27">
      <c r="B10" s="2">
        <v>6</v>
      </c>
      <c r="C10" s="94" t="s">
        <v>87</v>
      </c>
      <c r="D10" s="96" t="s">
        <v>107</v>
      </c>
    </row>
    <row r="11" spans="2:4" ht="27">
      <c r="B11" s="2">
        <v>7</v>
      </c>
      <c r="C11" s="94" t="s">
        <v>102</v>
      </c>
      <c r="D11" s="96" t="s">
        <v>106</v>
      </c>
    </row>
    <row r="12" spans="2:4" ht="27">
      <c r="B12" s="2">
        <v>8</v>
      </c>
      <c r="C12" s="94" t="s">
        <v>87</v>
      </c>
      <c r="D12" s="96" t="s">
        <v>109</v>
      </c>
    </row>
    <row r="13" spans="2:4" ht="27">
      <c r="B13" s="2">
        <v>9</v>
      </c>
      <c r="C13" s="94" t="s">
        <v>87</v>
      </c>
      <c r="D13" s="96" t="s">
        <v>110</v>
      </c>
    </row>
    <row r="14" spans="2:4" ht="27">
      <c r="B14" s="2">
        <v>10</v>
      </c>
      <c r="C14" s="94" t="s">
        <v>111</v>
      </c>
      <c r="D14" s="96" t="s">
        <v>112</v>
      </c>
    </row>
    <row r="15" spans="2:4" ht="135">
      <c r="B15" s="2">
        <v>11</v>
      </c>
      <c r="C15" s="94" t="s">
        <v>87</v>
      </c>
      <c r="D15" s="96" t="s">
        <v>125</v>
      </c>
    </row>
    <row r="16" spans="2:4" ht="191.25" customHeight="1">
      <c r="B16" s="2">
        <v>12</v>
      </c>
      <c r="C16" s="94" t="s">
        <v>153</v>
      </c>
      <c r="D16" s="96" t="s">
        <v>160</v>
      </c>
    </row>
    <row r="17" spans="2:4" ht="27">
      <c r="B17" s="2">
        <v>13</v>
      </c>
      <c r="C17" s="94" t="s">
        <v>90</v>
      </c>
      <c r="D17" s="96" t="s">
        <v>163</v>
      </c>
    </row>
    <row r="18" spans="2:4" ht="67.5">
      <c r="B18" s="2">
        <v>14</v>
      </c>
      <c r="C18" s="94" t="s">
        <v>90</v>
      </c>
      <c r="D18" s="96" t="s">
        <v>165</v>
      </c>
    </row>
    <row r="19" spans="2:4" ht="40.5">
      <c r="B19" s="2">
        <v>15</v>
      </c>
      <c r="C19" s="94" t="s">
        <v>103</v>
      </c>
      <c r="D19" s="96" t="s">
        <v>168</v>
      </c>
    </row>
    <row r="20" spans="2:4" ht="64.5" customHeight="1">
      <c r="B20" s="2">
        <v>16</v>
      </c>
      <c r="C20" s="94" t="s">
        <v>103</v>
      </c>
      <c r="D20" s="96" t="s">
        <v>172</v>
      </c>
    </row>
    <row r="21" spans="2:4" ht="66.75" customHeight="1">
      <c r="B21" s="2">
        <v>17</v>
      </c>
      <c r="C21" s="94" t="s">
        <v>102</v>
      </c>
      <c r="D21" s="96" t="s">
        <v>187</v>
      </c>
    </row>
    <row r="22" spans="2:4" ht="27">
      <c r="B22" s="2">
        <v>18</v>
      </c>
      <c r="C22" s="94" t="s">
        <v>298</v>
      </c>
      <c r="D22" s="96" t="s">
        <v>299</v>
      </c>
    </row>
    <row r="23" spans="2:4" ht="27">
      <c r="B23" s="2">
        <v>19</v>
      </c>
      <c r="C23" s="94" t="s">
        <v>298</v>
      </c>
      <c r="D23" s="96" t="s">
        <v>300</v>
      </c>
    </row>
    <row r="24" spans="2:4" ht="94.5">
      <c r="B24" s="2">
        <v>20</v>
      </c>
      <c r="C24" s="94" t="s">
        <v>317</v>
      </c>
      <c r="D24" s="96" t="s">
        <v>318</v>
      </c>
    </row>
    <row r="25" spans="2:4">
      <c r="B25" s="2"/>
      <c r="C25" s="94"/>
      <c r="D25" s="81"/>
    </row>
    <row r="26" spans="2:4">
      <c r="B26" s="2"/>
      <c r="C26" s="94"/>
      <c r="D26" s="81"/>
    </row>
    <row r="27" spans="2:4" ht="14.25" thickBot="1">
      <c r="B27" s="3"/>
      <c r="C27" s="9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_表紙</vt:lpstr>
      <vt:lpstr>はじめに</vt:lpstr>
      <vt:lpstr>Matrix</vt:lpstr>
      <vt:lpstr>Config_IF</vt:lpstr>
      <vt:lpstr>CH_Design</vt:lpstr>
      <vt:lpstr>BC_RQ</vt:lpstr>
      <vt:lpstr>BC_CL</vt:lpstr>
      <vt:lpstr>BC_VC</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2025-07-01T09:20:00Z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2025-07-01T07:13:01Z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6efc3b48-af30-44eb-b21e-eb6bba319ce5</vt:lpwstr>
  </property>
  <property fmtid="{D5CDD505-2E9C-101B-9397-08002B2CF9AE}" pid="8" name="MSIP_Label_7ed1414a-99f2-46f9-bbe5-740af8d1b502_ContentBits">
    <vt:lpwstr>1</vt:lpwstr>
  </property>
</Properties>
</file>