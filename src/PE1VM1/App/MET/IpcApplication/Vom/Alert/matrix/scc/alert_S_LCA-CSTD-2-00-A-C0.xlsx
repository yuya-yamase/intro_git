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D:\Project\19PFv3\02_WORK\S_LCA\V002\PCSim_19PFv3_D1L1_v002_LocalSample02_LCA変更のみ\mainline\ren_d1x\src\IpcApplication\Vom\Alert\matrix-CSTD-1-03-A-C0\scc\"/>
    </mc:Choice>
  </mc:AlternateContent>
  <xr:revisionPtr revIDLastSave="0" documentId="13_ncr:1_{A2D9BC5B-4956-4C7D-B849-15B8AA2DD515}" xr6:coauthVersionLast="47" xr6:coauthVersionMax="47" xr10:uidLastSave="{00000000-0000-0000-0000-000000000000}"/>
  <bookViews>
    <workbookView xWindow="-28920" yWindow="3390" windowWidth="29040" windowHeight="15840" tabRatio="630" xr2:uid="{00000000-000D-0000-FFFF-FFFF00000000}"/>
  </bookViews>
  <sheets>
    <sheet name="表紙" sheetId="23" r:id="rId1"/>
    <sheet name="_表紙" sheetId="1" r:id="rId2"/>
    <sheet name="はじめに" sheetId="10" r:id="rId3"/>
    <sheet name="Matrix" sheetId="4" r:id="rId4"/>
    <sheet name="Config_IF" sheetId="11" r:id="rId5"/>
    <sheet name="CH_Design" sheetId="5" r:id="rId6"/>
    <sheet name="TT_L" sheetId="8" r:id="rId7"/>
    <sheet name="TT_R" sheetId="22" r:id="rId8"/>
    <sheet name="BC_RQ" sheetId="15" r:id="rId9"/>
    <sheet name="BC_CL" sheetId="16" r:id="rId10"/>
    <sheet name="BC_VC" sheetId="9" r:id="rId11"/>
    <sheet name="PD_MG" sheetId="17" r:id="rId12"/>
    <sheet name="PD_SG" sheetId="18" r:id="rId13"/>
    <sheet name="Reference" sheetId="12" r:id="rId14"/>
    <sheet name="Reference2" sheetId="13" r:id="rId15"/>
    <sheet name="History" sheetId="20" r:id="rId16"/>
  </sheets>
  <externalReferences>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1">#N/A</definedName>
    <definedName name="_10">'[1]#REF'!$GJ$2:$GJ$7971</definedName>
    <definedName name="_11">'[1]#REF'!$GJ$2:$GJ$7971</definedName>
    <definedName name="_12">'[1]#REF'!$GJ$2:$GJ$7971</definedName>
    <definedName name="_13">'[1]#REF'!$GJ$2:$GJ$7971</definedName>
    <definedName name="_2">#N/A</definedName>
    <definedName name="_3">#N/A</definedName>
    <definedName name="_3.1.1">#N/A</definedName>
    <definedName name="_3.1.2">#N/A</definedName>
    <definedName name="_3.1.3">#N/A</definedName>
    <definedName name="_3.1.4">#N/A</definedName>
    <definedName name="_3.1.5">#N/A</definedName>
    <definedName name="_3.1.6">#N/A</definedName>
    <definedName name="_3.1.7">#N/A</definedName>
    <definedName name="_3.1.8">#N/A</definedName>
    <definedName name="_3.3">#N/A</definedName>
    <definedName name="_3.3.1">#N/A</definedName>
    <definedName name="_3.3.2">#N/A</definedName>
    <definedName name="_3.4.1">#N/A</definedName>
    <definedName name="_3.4.2">#N/A</definedName>
    <definedName name="_3.4.3">#N/A</definedName>
    <definedName name="_3.4.4">#N/A</definedName>
    <definedName name="_3.4.5">#N/A</definedName>
    <definedName name="_3.4.6">#N/A</definedName>
    <definedName name="_3.4.7">#N/A</definedName>
    <definedName name="_3.4.8">#N/A</definedName>
    <definedName name="_3.4.9">#N/A</definedName>
    <definedName name="_4">#N/A</definedName>
    <definedName name="_5">#N/A</definedName>
    <definedName name="_6">#N/A</definedName>
    <definedName name="_7">#N/A</definedName>
    <definedName name="_8">#N/A</definedName>
    <definedName name="_9">'[1]#REF'!$GJ$2:$GJ$7971</definedName>
    <definedName name="_Fill" localSheetId="0" hidden="1">#REF!</definedName>
    <definedName name="_Fill" hidden="1">#REF!</definedName>
    <definedName name="_Key1" localSheetId="0" hidden="1">#REF!</definedName>
    <definedName name="_Key1" hidden="1">#REF!</definedName>
    <definedName name="_Order1" hidden="1">255</definedName>
    <definedName name="_Order2" hidden="1">1</definedName>
    <definedName name="_Sort" localSheetId="0" hidden="1">#REF!</definedName>
    <definedName name="_Sort" hidden="1">#REF!</definedName>
    <definedName name="\w">'[1]#REF'!#REF!</definedName>
    <definedName name="■_目次_■">#REF!</definedName>
    <definedName name="■プロジェクト体制図">#REF!</definedName>
    <definedName name="■ロール">#REF!</definedName>
    <definedName name="■教育計画">#REF!</definedName>
    <definedName name="■計画チーム">#REF!</definedName>
    <definedName name="■見積もりチーム">#REF!</definedName>
    <definedName name="■削除項目">#REF!</definedName>
    <definedName name="■必要な技術">#REF!</definedName>
    <definedName name="■要件受け入れチーム">#REF!</definedName>
    <definedName name="★JOB名称">#REF!</definedName>
    <definedName name="★依頼者名">#REF!</definedName>
    <definedName name="★作業種別">#REF!</definedName>
    <definedName name="★発生種別">#REF!</definedName>
    <definedName name="a" localSheetId="0" hidden="1">{"'2001 4 12'!$A$7:$K$90"}</definedName>
    <definedName name="a" hidden="1">{"'2001 4 12'!$A$7:$K$90"}</definedName>
    <definedName name="aa">'[1]#REF'!$DU$3</definedName>
    <definedName name="ADLSB">#REF!</definedName>
    <definedName name="ANTI_ALIAS">#REF!</definedName>
    <definedName name="ApiConfirmSearchListExistenceByString">#REF!</definedName>
    <definedName name="ApiConfirmSearchListExistenceByTagKind">#REF!</definedName>
    <definedName name="ApiGetSearchListIndexWord">#REF!</definedName>
    <definedName name="ApiScrollSearchJumpAsync">#REF!</definedName>
    <definedName name="ApiScrollSearchJumpByWord">#REF!</definedName>
    <definedName name="Attribute">#REF!</definedName>
    <definedName name="B">#REF!</definedName>
    <definedName name="B_WRNBAR_000">#REF!</definedName>
    <definedName name="BASELINE_SHIFT">#REF!</definedName>
    <definedName name="baseName">#REF!</definedName>
    <definedName name="BD_CV_ecozone">#REF!</definedName>
    <definedName name="BD_CV_hybsys">#REF!</definedName>
    <definedName name="BD_FS_ecozone">#REF!</definedName>
    <definedName name="BD_FS_hybsys">#REF!</definedName>
    <definedName name="BEANall">#REF!</definedName>
    <definedName name="BLEND_MODE">#REF!</definedName>
    <definedName name="CAN１_A">#REF!</definedName>
    <definedName name="CAN1閉じ分">#REF!</definedName>
    <definedName name="CANall">#REF!</definedName>
    <definedName name="CANtoBEANｹﾞｰﾄｳｪｲ">#REF!</definedName>
    <definedName name="CANtoBEAN元">#REF!</definedName>
    <definedName name="CANtoECTｹﾞｰﾄｳｪｲ">#REF!</definedName>
    <definedName name="CANtoECT元">#REF!</definedName>
    <definedName name="CAN内車間toXtoX">#REF!</definedName>
    <definedName name="CAPITALIZATION">#REF!</definedName>
    <definedName name="Category_List">#REF!</definedName>
    <definedName name="Const_SelectionLable">'[2]#定義'!#REF!</definedName>
    <definedName name="CreateDsMax">#REF!</definedName>
    <definedName name="CSVファイル出力">[3]ツール!#REF!</definedName>
    <definedName name="d">#REF!</definedName>
    <definedName name="_xlnm.Database">'[1]#REF'!$A$2:$X$1000</definedName>
    <definedName name="Database_MI">'[1]#REF'!$A$2:$X$1000</definedName>
    <definedName name="DatabaseList作成の生産性">[4]生産性定義!#REF!</definedName>
    <definedName name="DATE">MAXA('[5]#改訂履歴_'!$G$6:$G$44)</definedName>
    <definedName name="DefaultFontType" localSheetId="0">#REF!</definedName>
    <definedName name="DefaultFontType">#REF!</definedName>
    <definedName name="DefaultLanguage">[6]Parameter!$AX$8</definedName>
    <definedName name="DFD_CV_ecozone_routine">#REF!</definedName>
    <definedName name="DFD_CV_hybsys_routine">#REF!</definedName>
    <definedName name="DFD_CV_initialize">#REF!</definedName>
    <definedName name="DFD_FS_ecozone_routine">#REF!</definedName>
    <definedName name="DFD_FS_hybsys_routine">#REF!</definedName>
    <definedName name="DFD_FS_initialize">#REF!</definedName>
    <definedName name="DISP_MAP_SELECT">#REF!</definedName>
    <definedName name="DISP_MAP_SELECT_CAT">#REF!</definedName>
    <definedName name="DISP_MAP_SELECT_ITEM">#REF!</definedName>
    <definedName name="DISP_MAP_START">'[7]rom map'!#REF!</definedName>
    <definedName name="DotPitch" localSheetId="0">#REF!</definedName>
    <definedName name="DotPitch">#REF!</definedName>
    <definedName name="DS_MAP_SELECT">#REF!</definedName>
    <definedName name="DS_MAP_SELECT_1ST">#REF!</definedName>
    <definedName name="DS_MAP_SELECT_CAT">#REF!</definedName>
    <definedName name="DS_MAP_SELECT_ITEM">#REF!</definedName>
    <definedName name="DS_MAP_START">'[7]rom map'!#REF!</definedName>
    <definedName name="DsDbArea">#REF!</definedName>
    <definedName name="DsDbCreate">#REF!</definedName>
    <definedName name="EFCT_BASIC">#REF!</definedName>
    <definedName name="EFCT_BEVEL_EMBOSS">#REF!</definedName>
    <definedName name="EFCT_CHROME">#REF!</definedName>
    <definedName name="EFCT_CONTOUR">#REF!</definedName>
    <definedName name="EFCT_DROP_SHADOW">#REF!</definedName>
    <definedName name="EFCT_FRAME">#REF!</definedName>
    <definedName name="EFCT_GRAD_FILL">#REF!</definedName>
    <definedName name="EFCT_IN_GLOW">#REF!</definedName>
    <definedName name="EFCT_INNER_SHADOW">#REF!</definedName>
    <definedName name="EFCT_OUT_GLOW">#REF!</definedName>
    <definedName name="EFCT_PAT_FILL">#REF!</definedName>
    <definedName name="EFCT_SOLID_FILL">#REF!</definedName>
    <definedName name="EFCT_TEXTURE">#REF!</definedName>
    <definedName name="ENG_MAP_START">'[7]rom map'!#REF!</definedName>
    <definedName name="FAUX_BOLD">#REF!</definedName>
    <definedName name="FAUX_ITALIC">#REF!</definedName>
    <definedName name="FILEPATH">#REF!</definedName>
    <definedName name="FILL_OPACITY">#REF!</definedName>
    <definedName name="FONT_FAMILY">#REF!</definedName>
    <definedName name="FONT_SIZE">#REF!</definedName>
    <definedName name="GOGO">#REF!</definedName>
    <definedName name="HMI_001">#REF!</definedName>
    <definedName name="HMI_TUN_P017">#REF!</definedName>
    <definedName name="HMI_TUN_P018">#REF!</definedName>
    <definedName name="HMI_TUN_P019">#REF!</definedName>
    <definedName name="HMI_TUN_S012">#REF!</definedName>
    <definedName name="HMI_TUN_S014">#REF!</definedName>
    <definedName name="HMI_TUN_S015">#REF!</definedName>
    <definedName name="HMI_TUN_S016">#REF!</definedName>
    <definedName name="HORIZONTAL_SCALE">#REF!</definedName>
    <definedName name="hosei">#REF!</definedName>
    <definedName name="HTML_CodePage" hidden="1">932</definedName>
    <definedName name="HTML_Control" localSheetId="0" hidden="1">{"'2001 4 12'!$A$7:$K$90"}</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D">'[1]#REF'!#REF!</definedName>
    <definedName name="IG">#REF!</definedName>
    <definedName name="INDIRECT">#REF!</definedName>
    <definedName name="JUSTIFICATION">#REF!</definedName>
    <definedName name="K">#REF!</definedName>
    <definedName name="KERNING">#REF!</definedName>
    <definedName name="Lakewood_Outline_001e78ed2a57450a923b422bad8cf12c">[2]タブ部品!#REF!</definedName>
    <definedName name="Lakewood_Outline_0a83857ba5134e9f82d0f0a7441478d1">#REF!</definedName>
    <definedName name="Lakewood_Outline_0c9fb4bfb8b34cab9d79f189afeed62c">#REF!</definedName>
    <definedName name="Lakewood_Outline_112cc1ecd90c4d45889da5e0244df40b">#REF!</definedName>
    <definedName name="Lakewood_Outline_159cce0a52cd43c591a200bea5d6c536">#REF!</definedName>
    <definedName name="Lakewood_Outline_1b96dc283cf14f3587bc7344b03dfda2">#REF!</definedName>
    <definedName name="Lakewood_Outline_2195b4d19a6f403ea1f175015c0eb991">#REF!</definedName>
    <definedName name="Lakewood_Outline_245f11b2f8304c989c9b46015c8ed36c">[2]排他部品!#REF!</definedName>
    <definedName name="Lakewood_Outline_2495c720af96485191b392c1b906b125">#REF!</definedName>
    <definedName name="Lakewood_Outline_265169d599fc43e6a5169f4fffb4f172">[2]縮尺度表示部品!#REF!</definedName>
    <definedName name="Lakewood_Outline_297cf0c39ddf498a9bb03aa0b88b1473">#REF!</definedName>
    <definedName name="Lakewood_Outline_2a163da155134244a465508bf234bddb">#REF!</definedName>
    <definedName name="Lakewood_Outline_2b37c36f611a462eb068a32852efc8e4">#REF!</definedName>
    <definedName name="Lakewood_Outline_2ce4074aec4d4610afb7664093fcf54c">[2]可変行数表示部品!#REF!</definedName>
    <definedName name="Lakewood_Outline_2d54159050764476ac74a3c45a067b88">#REF!</definedName>
    <definedName name="Lakewood_Outline_2e97399bc18e41bd8fce8711a64a2cb1">#REF!</definedName>
    <definedName name="Lakewood_Outline_4a0311f9a36d472fa88e9e2c2e292385">#REF!</definedName>
    <definedName name="Lakewood_Outline_4d56ebec33ab4b448c7ff4ffa8319d91">#REF!</definedName>
    <definedName name="Lakewood_Outline_513785ab68de414999b7b932c1598d63">#REF!</definedName>
    <definedName name="Lakewood_Outline_54a07b845c18418a8470058b9d66332d">#REF!</definedName>
    <definedName name="Lakewood_Outline_5f85cf28db454ea195881679351476d2">[8]ラベル!#REF!</definedName>
    <definedName name="Lakewood_Outline_65c9a15367f349829ab009673d4c9590">#REF!</definedName>
    <definedName name="Lakewood_Outline_692cf635238b4bf9b7debdd5b4fd5096">#REF!</definedName>
    <definedName name="Lakewood_Outline_70016487180f42e7b901cee8151bd15c">#REF!</definedName>
    <definedName name="Lakewood_Outline_71d9c21d943948e0bd98f8c85ee2f604">#REF!</definedName>
    <definedName name="Lakewood_Outline_78f99f43613947dcb99e783e7b9912d5">#REF!</definedName>
    <definedName name="Lakewood_Outline_7c9b03f26f824e8bb39fe9b43faa2f02">[2]排他部品!#REF!</definedName>
    <definedName name="Lakewood_Outline_7d75d8edfade4d4c91744eb9366f5147">#REF!</definedName>
    <definedName name="Lakewood_Outline_85d3f407e2344b83ba419909f0275cee">#REF!</definedName>
    <definedName name="Lakewood_Outline_888e2633e26f4b90b365eec6d5159215">#REF!</definedName>
    <definedName name="Lakewood_Outline_89d59c9594374c41bd8d00d4f155c006">#REF!</definedName>
    <definedName name="Lakewood_Outline_8acd3e92635f4bb39bc99db111b28a33">#REF!</definedName>
    <definedName name="Lakewood_Outline_8f5cfb31a7304f1cabd9e25df4c2e56b">#REF!</definedName>
    <definedName name="Lakewood_Outline_8f8830b437f34241adfa2ba502ce0ae2">#REF!</definedName>
    <definedName name="Lakewood_Outline_9128dda95e10462a8b62952925fb5c3b">#REF!</definedName>
    <definedName name="Lakewood_Outline_950a1ed0c6b444149962e155805b22e9">#REF!</definedName>
    <definedName name="Lakewood_Outline_9546eb1b2f924302ab6cea290da77f4c">#REF!</definedName>
    <definedName name="Lakewood_Outline_99ba3c2223984f219b033543784ab2bb">#REF!</definedName>
    <definedName name="Lakewood_Outline_9af3ec73981446d4a8a64d94b615b96b">#REF!</definedName>
    <definedName name="Lakewood_Outline_9cebb7d3c5d64289a0bd03b5514809b2">#REF!</definedName>
    <definedName name="Lakewood_Outline_a4fc2ea21c6f475995a1e403675fb2e3">#REF!</definedName>
    <definedName name="Lakewood_Outline_aa6a8d65f89442abbef360f76531fab4">#REF!</definedName>
    <definedName name="Lakewood_Outline_ad54ac92956240b584f1799c29b1e688">#REF!</definedName>
    <definedName name="Lakewood_Outline_af35bea24ade441f9192a8933bdc8818">#REF!</definedName>
    <definedName name="Lakewood_Outline_b9f0db30f70d4d9d91ee252f739e66d9">#REF!</definedName>
    <definedName name="Lakewood_Outline_bb59ccfffce740459509afdbc3d85f23">#REF!</definedName>
    <definedName name="Lakewood_Outline_bc38e5ececf2443c891d6a50d3b761b3">#REF!</definedName>
    <definedName name="Lakewood_Outline_c0f44f593f944ca5bdac0de6069ce6af">#REF!</definedName>
    <definedName name="Lakewood_Outline_c2184b0962a543638a858cd79e17106b">#REF!</definedName>
    <definedName name="Lakewood_Outline_c223cbcf7dd5484a838c30b8d3018953">#REF!</definedName>
    <definedName name="Lakewood_Outline_c22a5a160c1b4f288299b99a55f4fc39">#REF!</definedName>
    <definedName name="Lakewood_Outline_c841fd973730475d8a73fd911a510706">#REF!</definedName>
    <definedName name="Lakewood_Outline_c87011c933c944e892d127323f51ba3b">#REF!</definedName>
    <definedName name="Lakewood_Outline_cb8339d7aba14876bce4a33888a36352">#REF!</definedName>
    <definedName name="Lakewood_Outline_cce258def0474ff3acba4d8548224de6">#REF!</definedName>
    <definedName name="Lakewood_Outline_cf2e8fb0cef04dceb49f29c097db4355">#REF!</definedName>
    <definedName name="Lakewood_Outline_d8300938653c4095a73eac8a3c3810f1">#REF!</definedName>
    <definedName name="Lakewood_Outline_d96d54878d7e4d26b711825c4b82dbc7">#REF!</definedName>
    <definedName name="Lakewood_Outline_dbd065344ce643659171764cc8b35fcb">#REF!</definedName>
    <definedName name="Lakewood_Outline_dd4155913ad24235943435bec7c780cc">#REF!</definedName>
    <definedName name="Lakewood_Outline_dea96e650e33472596f4d513839a73a7">#REF!</definedName>
    <definedName name="Lakewood_Outline_e4ea223029eb4cd880b1b781df7d756a">[9]タブ部品!#REF!</definedName>
    <definedName name="Lakewood_Outline_e87bcf6cc4594fe58d9ad038448f6f5b">#REF!</definedName>
    <definedName name="Lakewood_Outline_e94df924fc2b44b291a3f9e72f5ef6ff">#REF!</definedName>
    <definedName name="Lakewood_Outline_ecb4dd16c734467792d704cfa835007b">#REF!</definedName>
    <definedName name="Lakewood_Outline_ee68e56a34eb47c29a52d655159fa223">#REF!</definedName>
    <definedName name="Lakewood_Outline_f2e97dd17c844ed69347ac29692cb939">#REF!</definedName>
    <definedName name="Lakewood_Outline_f2f4c1bee8e54a48a69bae3b54e9f7aa">#REF!</definedName>
    <definedName name="Lakewood_Outline_f37494e9fb924ffdaad316befa6dc16e">#REF!</definedName>
    <definedName name="Lakewood_Outline_f393279c1cf14d80ad201abc2921df33">#REF!</definedName>
    <definedName name="Lakewood_Outline_f9a502dde6004481bd8a8ff49d01cdaf">'[2]#ツール上でのロール割り当て'!#REF!</definedName>
    <definedName name="Lakewood_Outline_ff92017c4899448c806a66c2cd2c0c85">#REF!</definedName>
    <definedName name="LANGUAGE">#REF!</definedName>
    <definedName name="LASTPAGE">8</definedName>
    <definedName name="LAYER_EFFECT">#REF!</definedName>
    <definedName name="LAYER_NAME">#REF!</definedName>
    <definedName name="LAYER_SET">#REF!</definedName>
    <definedName name="LEADING">#REF!</definedName>
    <definedName name="LED">#REF!</definedName>
    <definedName name="MASK">#REF!</definedName>
    <definedName name="menber2_out">'[10]要求仕様Ｑ＆Ａ'!#REF!</definedName>
    <definedName name="MeterVariationDs">#REF!</definedName>
    <definedName name="Miles.IDCell.1.1875.6013209">[11]計画!#REF!</definedName>
    <definedName name="Miles.IDCol.1">#REF!</definedName>
    <definedName name="Miles.IDCol.2">#REF!</definedName>
    <definedName name="Miles.IDCol.3">#REF!</definedName>
    <definedName name="MOJIZUME">#REF!</definedName>
    <definedName name="NoUsedFlag">#REF!</definedName>
    <definedName name="OPACITY">#REF!</definedName>
    <definedName name="OTHER_EFFECT">#REF!</definedName>
    <definedName name="PICTURE">(#REF!,#REF!)</definedName>
    <definedName name="PICTURE2">(#REF!,#REF!)</definedName>
    <definedName name="_xlnm.Print_Area">[12]Sheet1!$A$1:$I$233</definedName>
    <definedName name="PRINT_AREA_MI">'[1]#REF'!$A$3:$Q$1000</definedName>
    <definedName name="_xlnm.Print_Titles">[13]車両仕様!$A$1:$C$65536,[13]車両仕様!$A$3:$IV$4</definedName>
    <definedName name="PRINT_TITLES_MI">'[1]#REF'!$1:$2</definedName>
    <definedName name="PSD_FILE_NAME">#REF!</definedName>
    <definedName name="PSD_PATH">#REF!</definedName>
    <definedName name="QAC_Message_Text">#REF!</definedName>
    <definedName name="risuto">#REF!</definedName>
    <definedName name="RommapDevItemList_DS">#REF!</definedName>
    <definedName name="RommapDevItemSelect_DS">#REF!</definedName>
    <definedName name="RommapDSItemList">#REF!</definedName>
    <definedName name="RommapDSItemSelect">#REF!</definedName>
    <definedName name="ｓ">#REF!</definedName>
    <definedName name="Sheet_５．体制">#REF!</definedName>
    <definedName name="Sheet_Config_dspmainctl_Mainscrlサブドメイン外情報">#REF!</definedName>
    <definedName name="Sheet_Config_dspmainctl_Top">#REF!</definedName>
    <definedName name="Sheet_Config_dspmgr_Displayドメイン外情報">#REF!</definedName>
    <definedName name="Sheet_Config_dspmgr_Top">#REF!</definedName>
    <definedName name="Sheet_Config_swdtctr_Displayドメイン外情報">#REF!</definedName>
    <definedName name="Sheet_Config_swdtctr_Top">#REF!</definedName>
    <definedName name="Sheet_Diagdsp_Top">#REF!</definedName>
    <definedName name="Sheet_dspmaincfg_Top">#REF!</definedName>
    <definedName name="Sheet_Mainscrl_Top">#REF!</definedName>
    <definedName name="Sheet_OdoTrip_1SW_Top">#REF!</definedName>
    <definedName name="Sheet_OdoTrip_2SW_Top">#REF!</definedName>
    <definedName name="Sheet_STM_Top">#REF!</definedName>
    <definedName name="Sheet_Welcome_Top">#REF!</definedName>
    <definedName name="Sheet_お願い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OLID_COLOR">#REF!</definedName>
    <definedName name="START_ROW">#REF!</definedName>
    <definedName name="STMコンテンツ_0">#REF!</definedName>
    <definedName name="STMコンテンツ_1">#REF!</definedName>
    <definedName name="STMコンテンツ_2">#REF!</definedName>
    <definedName name="STMコンテンツ_3">#REF!</definedName>
    <definedName name="STMコンテンツ_4">#REF!</definedName>
    <definedName name="STRIKE_THROUGH">#REF!</definedName>
    <definedName name="STRING">#REF!</definedName>
    <definedName name="SUPERSCRIPT">#REF!</definedName>
    <definedName name="syoti3">'[10]要求仕様Ｑ＆Ａ'!#REF!</definedName>
    <definedName name="test2">'[10]要求仕様Ｑ＆Ａ'!#REF!</definedName>
    <definedName name="text">#REF!</definedName>
    <definedName name="TEXT_STYLE_LENGTH">#REF!</definedName>
    <definedName name="TEXT_STYLE_NO">#REF!</definedName>
    <definedName name="TOTAL">#N/A</definedName>
    <definedName name="TRACKING">#REF!</definedName>
    <definedName name="UNDERLINE">#REF!</definedName>
    <definedName name="VarSel_START_DS">#REF!</definedName>
    <definedName name="Version">[14]改訂履歴!$B$4:$B$67</definedName>
    <definedName name="VERTICAL_SCALE">#REF!</definedName>
    <definedName name="WRN中国">#REF!</definedName>
    <definedName name="WRN中国改行済み">#REF!</definedName>
    <definedName name="WRN中国改行済み120411">#REF!</definedName>
    <definedName name="xlo1">#REF!</definedName>
    <definedName name="xlo2">#REF!</definedName>
    <definedName name="xlo3">#REF!</definedName>
    <definedName name="xlo4">#REF!</definedName>
    <definedName name="xmlText">#REF!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yup5">#REF!</definedName>
    <definedName name="Z_1C5CC427_F21E_4E9E_AA2A_70C4FAFCEA7E_.wvu.FilterData" localSheetId="0" hidden="1">#REF!</definedName>
    <definedName name="Z_1C5CC427_F21E_4E9E_AA2A_70C4FAFCEA7E_.wvu.FilterData" hidden="1">#REF!</definedName>
    <definedName name="Z_20F46882_CF8B_4C76_A848_D8B5AA35F51C_.wvu.FilterData" localSheetId="0" hidden="1">#REF!</definedName>
    <definedName name="Z_20F46882_CF8B_4C76_A848_D8B5AA35F51C_.wvu.FilterData" hidden="1">#REF!</definedName>
    <definedName name="Z_229AA605_3522_4215_99D1_12508BA7412C_.wvu.FilterData" localSheetId="0" hidden="1">#REF!</definedName>
    <definedName name="Z_229AA605_3522_4215_99D1_12508BA7412C_.wvu.FilterData" hidden="1">#REF!</definedName>
    <definedName name="Z_23E93EC3_6276_4192_A4D2_6D99E25284BB_.wvu.FilterData" hidden="1">#REF!</definedName>
    <definedName name="Z_2747093B_3A77_4EE5_BB5F_56D528A620AE_.wvu.FilterData" localSheetId="0" hidden="1">#REF!</definedName>
    <definedName name="Z_2747093B_3A77_4EE5_BB5F_56D528A620AE_.wvu.FilterData" hidden="1">#REF!</definedName>
    <definedName name="Z_2EBF1EC8_F0EB_472B_8DFE_569F9BA53BFB_.wvu.FilterData" localSheetId="0" hidden="1">#REF!</definedName>
    <definedName name="Z_2EBF1EC8_F0EB_472B_8DFE_569F9BA53BFB_.wvu.FilterData" hidden="1">#REF!</definedName>
    <definedName name="Z_3451C728_AE51_4C5C_8314_C812EF071658_.wvu.FilterData" localSheetId="0" hidden="1">#REF!</definedName>
    <definedName name="Z_3451C728_AE51_4C5C_8314_C812EF071658_.wvu.FilterData" hidden="1">#REF!</definedName>
    <definedName name="Z_348ADFB6_EE1A_414F_8E5D_FE9844DD7414_.wvu.FilterData" localSheetId="0" hidden="1">#REF!</definedName>
    <definedName name="Z_348ADFB6_EE1A_414F_8E5D_FE9844DD7414_.wvu.FilterData" hidden="1">#REF!</definedName>
    <definedName name="Z_3FB1D58B_81CC_44CD_A97C_50C659F7C994_.wvu.FilterData" localSheetId="0" hidden="1">#REF!</definedName>
    <definedName name="Z_3FB1D58B_81CC_44CD_A97C_50C659F7C994_.wvu.FilterData" hidden="1">#REF!</definedName>
    <definedName name="Z_524601A4_BDA9_430D_8321_FC1EB976CAC7_.wvu.FilterData" localSheetId="0" hidden="1">#REF!</definedName>
    <definedName name="Z_524601A4_BDA9_430D_8321_FC1EB976CAC7_.wvu.FilterData" hidden="1">#REF!</definedName>
    <definedName name="Z_549346FF_2959_4613_8783_DAA5CB3C3FA4_.wvu.FilterData" hidden="1">#REF!</definedName>
    <definedName name="Z_675E72C0_30BB_4A11_A5AD_1A4F5C473816_.wvu.FilterData" localSheetId="0" hidden="1">#REF!</definedName>
    <definedName name="Z_675E72C0_30BB_4A11_A5AD_1A4F5C473816_.wvu.FilterData" hidden="1">#REF!</definedName>
    <definedName name="Z_8BE38E37_24BE_4185_90D6_7DA5187371D1_.wvu.FilterData" localSheetId="0" hidden="1">#REF!</definedName>
    <definedName name="Z_8BE38E37_24BE_4185_90D6_7DA5187371D1_.wvu.FilterData" hidden="1">#REF!</definedName>
    <definedName name="Z_9EE5E24B_8977_415D_A48B_0826FF3522FB_.wvu.FilterData" localSheetId="0" hidden="1">#REF!</definedName>
    <definedName name="Z_9EE5E24B_8977_415D_A48B_0826FF3522FB_.wvu.FilterData" hidden="1">#REF!</definedName>
    <definedName name="Z_AD56BB8D_44D5_493C_A851_E022A8DAB93F_.wvu.FilterData" localSheetId="0" hidden="1">#REF!</definedName>
    <definedName name="Z_AD56BB8D_44D5_493C_A851_E022A8DAB93F_.wvu.FilterData" hidden="1">#REF!</definedName>
    <definedName name="Z_C7ACEFCF_EBF5_4657_826B_71375E8E4E14_.wvu.FilterData" localSheetId="0" hidden="1">#REF!</definedName>
    <definedName name="Z_C7ACEFCF_EBF5_4657_826B_71375E8E4E14_.wvu.FilterData" hidden="1">#REF!</definedName>
    <definedName name="Z_CE85EACA_675D_4231_85CC_B813572E9AFA_.wvu.FilterData" localSheetId="0" hidden="1">#REF!</definedName>
    <definedName name="Z_CE85EACA_675D_4231_85CC_B813572E9AFA_.wvu.FilterData" hidden="1">#REF!</definedName>
    <definedName name="Z_D088C5D1_20A3_40E6_955D_85E2E243D41E_.wvu.FilterData" localSheetId="0" hidden="1">#REF!</definedName>
    <definedName name="Z_D088C5D1_20A3_40E6_955D_85E2E243D41E_.wvu.FilterData" hidden="1">#REF!</definedName>
    <definedName name="Z_D11BE9DC_1F04_4335_B3CB_74219F85E405_.wvu.FilterData" localSheetId="0" hidden="1">#REF!</definedName>
    <definedName name="Z_D11BE9DC_1F04_4335_B3CB_74219F85E405_.wvu.FilterData" hidden="1">#REF!</definedName>
    <definedName name="Z_D90D0A22_4AF7_49BB_9F00_32C64F083292_.wvu.FilterData" localSheetId="0" hidden="1">#REF!</definedName>
    <definedName name="Z_D90D0A22_4AF7_49BB_9F00_32C64F083292_.wvu.FilterData" hidden="1">#REF!</definedName>
    <definedName name="Z_ECB78682_BE71_4707_836F_5BFA577E4566_.wvu.FilterData" localSheetId="0" hidden="1">#REF!</definedName>
    <definedName name="Z_ECB78682_BE71_4707_836F_5BFA577E4566_.wvu.FilterData" hidden="1">#REF!</definedName>
    <definedName name="Z_F90082A1_C4F1_4A9B_BBA7_3A362D412A9C_.wvu.FilterData" localSheetId="0" hidden="1">#REF!</definedName>
    <definedName name="Z_F90082A1_C4F1_4A9B_BBA7_3A362D412A9C_.wvu.FilterData" hidden="1">#REF!</definedName>
    <definedName name="あ" localSheetId="0" hidden="1">#REF!</definedName>
    <definedName name="あ" hidden="1">#REF!</definedName>
    <definedName name="ああ" localSheetId="0" hidden="1">{"'2001 4 12'!$A$7:$K$90"}</definedName>
    <definedName name="ああ" hidden="1">{"'2001 4 12'!$A$7:$K$90"}</definedName>
    <definedName name="あああ">[1]選択肢!$C$2:$C$6</definedName>
    <definedName name="あああああああああああ" localSheetId="0" hidden="1">{"'2001 4 12'!$A$7:$K$90"}</definedName>
    <definedName name="あああああああああああ" hidden="1">{"'2001 4 12'!$A$7:$K$90"}</definedName>
    <definedName name="アイテム">[15]ユーザー選択肢定義!$E$4:$E$6</definedName>
    <definedName name="い" localSheetId="0" hidden="1">#REF!</definedName>
    <definedName name="い" hidden="1">#REF!</definedName>
    <definedName name="オーディオ７中SW">#REF!</definedName>
    <definedName name="オーディオ７中意匠">#REF!</definedName>
    <definedName name="オーディオ７中画面">#REF!</definedName>
    <definedName name="オーディオ７中実施">#REF!</definedName>
    <definedName name="オーディオ７中実施時間">#REF!</definedName>
    <definedName name="オーディオ７中実施者">#REF!</definedName>
    <definedName name="オーディオ７中設計">#REF!</definedName>
    <definedName name="オーディオ７中設計時間">#REF!</definedName>
    <definedName name="オーディオ７中設計者">#REF!</definedName>
    <definedName name="オーディオ７末SW">#REF!</definedName>
    <definedName name="オーディオ７末意匠">#REF!</definedName>
    <definedName name="オーディオ７末画面">#REF!</definedName>
    <definedName name="オーディオ７末実施">#REF!</definedName>
    <definedName name="オーディオ７末実施時間">[16]計画AUDIO!#REF!</definedName>
    <definedName name="オーディオ７末実施者">[16]計画AUDIO!#REF!</definedName>
    <definedName name="オーディオ７末設計">#REF!</definedName>
    <definedName name="オーディオ７末設計時間">[16]計画AUDIO!#REF!</definedName>
    <definedName name="オーディオ７末設計者">[16]計画AUDIO!#REF!</definedName>
    <definedName name="クエリ1">'[1]#REF'!$A$1:$H$398</definedName>
    <definedName name="クラス">#REF!</definedName>
    <definedName name="コンテンツ名">#REF!</definedName>
    <definedName name="シートMAX数">#REF!</definedName>
    <definedName name="シンボル定義CDF">[3]ツール!#REF!</definedName>
    <definedName name="シンボル定義PDF">#REF!</definedName>
    <definedName name="タイプ">[17]設定!$B$3:$B$5</definedName>
    <definedName name="チェック者">#REF!</definedName>
    <definedName name="チェック対象">#REF!</definedName>
    <definedName name="チェック対象仕様書Ver">#REF!</definedName>
    <definedName name="で3.3">#N/A</definedName>
    <definedName name="で3.3.1">#N/A</definedName>
    <definedName name="で3.3.2">#N/A</definedName>
    <definedName name="で3.4.1">#N/A</definedName>
    <definedName name="で3.4.2">#N/A</definedName>
    <definedName name="で3.4.3">#N/A</definedName>
    <definedName name="で3.4.4">#N/A</definedName>
    <definedName name="で3.4.5">#N/A</definedName>
    <definedName name="で3.4.6">#N/A</definedName>
    <definedName name="で3.4.7">#N/A</definedName>
    <definedName name="で3.4.8">#N/A</definedName>
    <definedName name="で3.4.9">#N/A</definedName>
    <definedName name="で311">#N/A</definedName>
    <definedName name="で312">#N/A</definedName>
    <definedName name="で313">#N/A</definedName>
    <definedName name="で314">#N/A</definedName>
    <definedName name="で315">#N/A</definedName>
    <definedName name="で316">#N/A</definedName>
    <definedName name="で317">#N/A</definedName>
    <definedName name="で318">#N/A</definedName>
    <definedName name="データ参照元ファイル">#REF!</definedName>
    <definedName name="データ参照元ファイル_変更">#REF!</definedName>
    <definedName name="テスト">#REF!</definedName>
    <definedName name="テスト用_入力フォルダ">#REF!</definedName>
    <definedName name="テスト用データ出力">#REF!</definedName>
    <definedName name="ドメインリスト">#REF!</definedName>
    <definedName name="トヨタ提出_地図表示">'[1]#REF'!$A$1:$I$396</definedName>
    <definedName name="ナビ7中SW">#REF!</definedName>
    <definedName name="ナビ7中意匠">#REF!</definedName>
    <definedName name="ナビ7中画面">#REF!</definedName>
    <definedName name="ナビ７中実施">#REF!</definedName>
    <definedName name="ナビ７中設計">#REF!</definedName>
    <definedName name="ナビ7末SW">#REF!</definedName>
    <definedName name="ナビ7末意匠">#REF!</definedName>
    <definedName name="ナビ7末画面">#REF!</definedName>
    <definedName name="ナビ７末実施">#REF!</definedName>
    <definedName name="ナビ７末設計">#REF!</definedName>
    <definedName name="なんの事？">#REF!</definedName>
    <definedName name="パス">#REF!</definedName>
    <definedName name="ﾋﾞｯﾄｱｻｲﾝ">#REF!</definedName>
    <definedName name="ポート機能設定PFR">[18]設定値定義!#REF!</definedName>
    <definedName name="ポート出力データ設定PDR_PODR">[18]設定値定義!#REF!</definedName>
    <definedName name="ポート入出力設定DDR">[18]設定値定義!#REF!</definedName>
    <definedName name="マイコン品番">'[19]XSSマイコン依存部 (基本設定)'!$K$7</definedName>
    <definedName name="メータ多言語翻訳リスト">#REF!</definedName>
    <definedName name="リスク_観察結果">'[20]３．課題・問題・リスク'!#REF!</definedName>
    <definedName name="リスク_対応ステータス">'[20]３．課題・問題・リスク'!#REF!</definedName>
    <definedName name="リスト">#REF!</definedName>
    <definedName name="レイヤーインフォ">#REF!</definedName>
    <definedName name="案件生産性">#REF!</definedName>
    <definedName name="一回目">[21]多言語翻訳リスト!$M$1:$N$65536</definedName>
    <definedName name="英語2回目">#REF!</definedName>
    <definedName name="画面SSDファイル">[3]ツール!#REF!</definedName>
    <definedName name="画面設計の内訳">#REF!</definedName>
    <definedName name="画面設計の内訳1">[2]排他部品!#REF!</definedName>
    <definedName name="改_中国語翻訳リスト">#REF!</definedName>
    <definedName name="開始位置_1">#REF!</definedName>
    <definedName name="開始位置_2">#REF!</definedName>
    <definedName name="開始位置_3">#REF!</definedName>
    <definedName name="開始位置_4">#REF!</definedName>
    <definedName name="開始行">#REF!</definedName>
    <definedName name="開発メンバー">#REF!</definedName>
    <definedName name="開発ランク">[1]選択肢!$E$2:$E$4</definedName>
    <definedName name="拡張ポート機能設定EPFR">[18]設定値定義!#REF!</definedName>
    <definedName name="確認状況">[1]入力規則!$D$2:$D$13</definedName>
    <definedName name="関数順_手動_BON">#REF!</definedName>
    <definedName name="関数順_手動_IGOFF">#REF!</definedName>
    <definedName name="関数順_手動_IGON">#REF!</definedName>
    <definedName name="関数順_手動_WKUP">#REF!</definedName>
    <definedName name="関数順_手動_プレタスク">#REF!</definedName>
    <definedName name="関数順_手動_ポストタスク_0">#REF!</definedName>
    <definedName name="関数順_手動_ポストタスク_1">#REF!</definedName>
    <definedName name="関数順_手動_ポストタスク_2">#REF!</definedName>
    <definedName name="関数順_手動_ポストタスク_3">#REF!</definedName>
    <definedName name="関数順_手動_ポストタスク_4">#REF!</definedName>
    <definedName name="関数順_手動_状態遷移_0">#REF!</definedName>
    <definedName name="関数順_手動_状態遷移_1">#REF!</definedName>
    <definedName name="関数順_手動_状態遷移_2">#REF!</definedName>
    <definedName name="関数順_手動_状態遷移_3">#REF!</definedName>
    <definedName name="関数順_手動_状態遷移_4">#REF!</definedName>
    <definedName name="関数順_手動_定期">#REF!</definedName>
    <definedName name="関数名_確定_BON">#REF!</definedName>
    <definedName name="関数名_確定_IGOFF">#REF!</definedName>
    <definedName name="関数名_確定_IGON">#REF!</definedName>
    <definedName name="関数名_確定_WKUP">#REF!</definedName>
    <definedName name="関数名_確定_状態遷移_0">#REF!</definedName>
    <definedName name="関数名_確定_状態遷移_1">#REF!</definedName>
    <definedName name="関数名_確定_状態遷移_2">#REF!</definedName>
    <definedName name="関数名_確定_状態遷移_3">#REF!</definedName>
    <definedName name="関数名_確定_状態遷移_4">#REF!</definedName>
    <definedName name="関数名_確定_定期">#REF!</definedName>
    <definedName name="関数名_自動_BON">#REF!</definedName>
    <definedName name="関数名_自動_IGOFF">#REF!</definedName>
    <definedName name="関数名_自動_IGON">#REF!</definedName>
    <definedName name="関数名_自動_WKUP">#REF!</definedName>
    <definedName name="関数名_自動_状態遷移_0">#REF!</definedName>
    <definedName name="関数名_自動_状態遷移_1">#REF!</definedName>
    <definedName name="関数名_自動_状態遷移_2">#REF!</definedName>
    <definedName name="関数名_自動_状態遷移_3">#REF!</definedName>
    <definedName name="関数名_自動_状態遷移_4">#REF!</definedName>
    <definedName name="関数名_自動_定期">#REF!</definedName>
    <definedName name="関数名_入力_BON">#REF!</definedName>
    <definedName name="関数名_入力_IGOFF">#REF!</definedName>
    <definedName name="関数名_入力_IGON">#REF!</definedName>
    <definedName name="関数名_入力_WKUP">#REF!</definedName>
    <definedName name="関数名_入力_状態遷移">#REF!</definedName>
    <definedName name="関数名_入力_定期">#REF!</definedName>
    <definedName name="関数名_入力_要求">#REF!</definedName>
    <definedName name="基準_選択肢定義">#REF!</definedName>
    <definedName name="基本部品一覧">#REF!</definedName>
    <definedName name="機能ﾘｰﾀﾞｰ">[1]選択肢!$F$2:$F$27</definedName>
    <definedName name="駆動回路">#REF!</definedName>
    <definedName name="係数">#REF!</definedName>
    <definedName name="経路案内_基本">'[1]#REF'!$L$2:$R$3</definedName>
    <definedName name="計画検討者">#REF!</definedName>
    <definedName name="計画検討日">#REF!</definedName>
    <definedName name="計画作成者">#REF!</definedName>
    <definedName name="計画作成日">#REF!</definedName>
    <definedName name="計画時期">[17]設定!$C$3:$C$4</definedName>
    <definedName name="計画承認者">#REF!</definedName>
    <definedName name="計画承認日">#REF!</definedName>
    <definedName name="結合検査項目">'[22]パラメータ一覧(AXSS.AXCS)'!#REF!</definedName>
    <definedName name="検査業務の生産性">[4]生産性定義!#REF!</definedName>
    <definedName name="検査最大数">#REF!</definedName>
    <definedName name="原因">'[1]#REF'!$AN$3:$AN$23</definedName>
    <definedName name="言語">[23]データ取得!$B$50:$B$97</definedName>
    <definedName name="工程定義">#REF!</definedName>
    <definedName name="行数指定">[24]ListWork!$H$2:$H$10</definedName>
    <definedName name="今日">#REF!</definedName>
    <definedName name="最後">'[1]#REF'!$GJ$2:$GJ$7971</definedName>
    <definedName name="済">#N/A</definedName>
    <definedName name="作業情報">#REF!</definedName>
    <definedName name="作業状況">#REF!</definedName>
    <definedName name="残量">[25]エンジン型式!$E$1:$E$5</definedName>
    <definedName name="時間11">#N/A</definedName>
    <definedName name="時間12">#N/A</definedName>
    <definedName name="時間13">#N/A</definedName>
    <definedName name="時間14">#N/A</definedName>
    <definedName name="時間15">#N/A</definedName>
    <definedName name="時間16">#N/A</definedName>
    <definedName name="時間17">#N/A</definedName>
    <definedName name="時間18">#N/A</definedName>
    <definedName name="時間19">#N/A</definedName>
    <definedName name="時間20">#N/A</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 name="実施有無">#REF!</definedName>
    <definedName name="車両通信仕様書">#REF!</definedName>
    <definedName name="車両通信設定値仕様書">#REF!</definedName>
    <definedName name="種別">#REF!</definedName>
    <definedName name="集計">'[1]#REF'!$Q$2:$Q$620</definedName>
    <definedName name="重要度">'[1]#REF'!$A$2:$A$9</definedName>
    <definedName name="出力範囲の最後のセル">#REF!</definedName>
    <definedName name="出力範囲最初のセル">#REF!</definedName>
    <definedName name="処置区分">#REF!</definedName>
    <definedName name="線表表示形式">#REF!</definedName>
    <definedName name="選択肢定義_開発種別">#REF!</definedName>
    <definedName name="選択肢定義_状況">#REF!</definedName>
    <definedName name="選択肢定義_担当チーム">#REF!</definedName>
    <definedName name="遷移設計の内訳1">#REF!</definedName>
    <definedName name="遷移部品一覧">#REF!</definedName>
    <definedName name="対策状況">[1]選択肢!$J$2:$J$10</definedName>
    <definedName name="対象成果種別">[15]ユーザー選択肢定義!$G$4:$G$17</definedName>
    <definedName name="第5">#N/A</definedName>
    <definedName name="第6">#N/A</definedName>
    <definedName name="単位">[25]エンジン型式!$C$1:$C$2</definedName>
    <definedName name="担当者">[15]ユーザー選択肢定義!$D$4:$D$4</definedName>
    <definedName name="中国2回目">#REF!</definedName>
    <definedName name="中心工程全体工数">#REF!</definedName>
    <definedName name="特殊部品のCFP値">#REF!</definedName>
    <definedName name="特殊部品の特殊属性">#REF!</definedName>
    <definedName name="特殊部品の特殊属性一覧">#REF!</definedName>
    <definedName name="特殊部品一覧">#REF!</definedName>
    <definedName name="日本語翻訳120413">#REF!</definedName>
    <definedName name="入力レベル設定">[18]設定値定義!#REF!</definedName>
    <definedName name="発見工程">#REF!</definedName>
    <definedName name="発生頻度">[1]選択肢!$C$2:$C$6</definedName>
    <definedName name="判定">#REF!</definedName>
    <definedName name="必須条件付省略可能">#REF!</definedName>
    <definedName name="評価結果">#REF!</definedName>
    <definedName name="品質検証">#REF!</definedName>
    <definedName name="品番">#REF!</definedName>
    <definedName name="不具合リスト">#REF!</definedName>
    <definedName name="不具合管理表種別">[15]表紙!$D$9</definedName>
    <definedName name="部品ID">[3]ツール!#REF!</definedName>
    <definedName name="部品略称">#REF!</definedName>
    <definedName name="部品略称一覧">#REF!</definedName>
    <definedName name="文字数指定">[24]ListWork!$G$2:$G$17</definedName>
    <definedName name="編集種別">#REF!</definedName>
    <definedName name="未">多言語翻訳リスト0321</definedName>
    <definedName name="未回答2">'[10]要求仕様Ｑ＆Ａ'!#REF!</definedName>
    <definedName name="名簿">'[1]#REF'!#REF!</definedName>
    <definedName name="優先度">'[1]#REF'!$B$2:$B$5</definedName>
    <definedName name="用語集">[26]用語集!#REF!</definedName>
    <definedName name="流出工程定義">[15]選択肢定義!$I$3:$I$20</definedName>
    <definedName name="流入工程定義">[15]ユーザー選択肢定義!$H$4:$H$35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9" i="23" l="1"/>
  <c r="B14" i="1"/>
  <c r="AQ199" i="22"/>
  <c r="AJ199" i="22"/>
  <c r="AI199" i="22"/>
  <c r="AH199" i="22"/>
  <c r="AG199" i="22"/>
  <c r="AF199" i="22"/>
  <c r="AE199" i="22"/>
  <c r="AD199" i="22"/>
  <c r="AC199" i="22"/>
  <c r="AB199" i="22"/>
  <c r="AL199" i="22" s="1"/>
  <c r="AA199" i="22"/>
  <c r="Z199" i="22"/>
  <c r="Y199" i="22"/>
  <c r="X199" i="22"/>
  <c r="W199" i="22"/>
  <c r="V199" i="22"/>
  <c r="U199" i="22"/>
  <c r="T199" i="22"/>
  <c r="AM199" i="22" s="1"/>
  <c r="S199" i="22"/>
  <c r="R199" i="22"/>
  <c r="Q199" i="22"/>
  <c r="P199" i="22"/>
  <c r="O199" i="22"/>
  <c r="N199" i="22"/>
  <c r="M199" i="22"/>
  <c r="AN199" i="22" s="1"/>
  <c r="L199" i="22"/>
  <c r="K199" i="22"/>
  <c r="J199" i="22"/>
  <c r="I199" i="22"/>
  <c r="H199" i="22"/>
  <c r="G199" i="22"/>
  <c r="F199" i="22"/>
  <c r="E199" i="22"/>
  <c r="D199" i="22"/>
  <c r="AO199" i="22" s="1"/>
  <c r="AQ198" i="22"/>
  <c r="AJ198" i="22"/>
  <c r="AI198" i="22"/>
  <c r="AH198" i="22"/>
  <c r="AG198" i="22"/>
  <c r="AF198" i="22"/>
  <c r="AE198" i="22"/>
  <c r="AD198" i="22"/>
  <c r="AC198" i="22"/>
  <c r="AB198" i="22"/>
  <c r="AL198" i="22" s="1"/>
  <c r="AA198" i="22"/>
  <c r="Z198" i="22"/>
  <c r="Y198" i="22"/>
  <c r="X198" i="22"/>
  <c r="W198" i="22"/>
  <c r="V198" i="22"/>
  <c r="U198" i="22"/>
  <c r="T198" i="22"/>
  <c r="S198" i="22"/>
  <c r="R198" i="22"/>
  <c r="Q198" i="22"/>
  <c r="P198" i="22"/>
  <c r="O198" i="22"/>
  <c r="N198" i="22"/>
  <c r="M198" i="22"/>
  <c r="L198" i="22"/>
  <c r="AN198" i="22" s="1"/>
  <c r="K198" i="22"/>
  <c r="J198" i="22"/>
  <c r="I198" i="22"/>
  <c r="H198" i="22"/>
  <c r="G198" i="22"/>
  <c r="F198" i="22"/>
  <c r="E198" i="22"/>
  <c r="D198" i="22"/>
  <c r="AO198" i="22" s="1"/>
  <c r="AQ197" i="22"/>
  <c r="AO197" i="22"/>
  <c r="AJ197" i="22"/>
  <c r="AI197" i="22"/>
  <c r="AH197" i="22"/>
  <c r="AG197" i="22"/>
  <c r="AF197" i="22"/>
  <c r="AE197" i="22"/>
  <c r="AD197" i="22"/>
  <c r="AC197" i="22"/>
  <c r="AB197" i="22"/>
  <c r="AL197" i="22" s="1"/>
  <c r="AA197" i="22"/>
  <c r="Z197" i="22"/>
  <c r="Y197" i="22"/>
  <c r="X197" i="22"/>
  <c r="W197" i="22"/>
  <c r="V197" i="22"/>
  <c r="U197" i="22"/>
  <c r="T197" i="22"/>
  <c r="AM197" i="22" s="1"/>
  <c r="S197" i="22"/>
  <c r="R197" i="22"/>
  <c r="Q197" i="22"/>
  <c r="P197" i="22"/>
  <c r="O197" i="22"/>
  <c r="N197" i="22"/>
  <c r="M197" i="22"/>
  <c r="L197" i="22"/>
  <c r="K197" i="22"/>
  <c r="J197" i="22"/>
  <c r="I197" i="22"/>
  <c r="H197" i="22"/>
  <c r="G197" i="22"/>
  <c r="F197" i="22"/>
  <c r="E197" i="22"/>
  <c r="D197" i="22"/>
  <c r="AJ196" i="22"/>
  <c r="AQ196" i="22" s="1"/>
  <c r="AI196" i="22"/>
  <c r="AH196" i="22"/>
  <c r="AG196" i="22"/>
  <c r="AF196" i="22"/>
  <c r="AE196" i="22"/>
  <c r="AD196" i="22"/>
  <c r="AC196" i="22"/>
  <c r="AL196" i="22" s="1"/>
  <c r="AB196" i="22"/>
  <c r="AA196" i="22"/>
  <c r="Z196" i="22"/>
  <c r="Y196" i="22"/>
  <c r="X196" i="22"/>
  <c r="W196" i="22"/>
  <c r="V196" i="22"/>
  <c r="U196" i="22"/>
  <c r="T196" i="22"/>
  <c r="AM196" i="22" s="1"/>
  <c r="S196" i="22"/>
  <c r="R196" i="22"/>
  <c r="Q196" i="22"/>
  <c r="P196" i="22"/>
  <c r="O196" i="22"/>
  <c r="N196" i="22"/>
  <c r="M196" i="22"/>
  <c r="L196" i="22"/>
  <c r="AN196" i="22" s="1"/>
  <c r="K196" i="22"/>
  <c r="J196" i="22"/>
  <c r="I196" i="22"/>
  <c r="H196" i="22"/>
  <c r="G196" i="22"/>
  <c r="F196" i="22"/>
  <c r="E196" i="22"/>
  <c r="D196" i="22"/>
  <c r="AJ195" i="22"/>
  <c r="AQ195" i="22" s="1"/>
  <c r="AI195" i="22"/>
  <c r="AH195" i="22"/>
  <c r="AG195" i="22"/>
  <c r="AF195" i="22"/>
  <c r="AE195" i="22"/>
  <c r="AD195" i="22"/>
  <c r="AC195" i="22"/>
  <c r="AL195" i="22" s="1"/>
  <c r="AB195" i="22"/>
  <c r="AA195" i="22"/>
  <c r="Z195" i="22"/>
  <c r="Y195" i="22"/>
  <c r="X195" i="22"/>
  <c r="W195" i="22"/>
  <c r="V195" i="22"/>
  <c r="U195" i="22"/>
  <c r="AM195" i="22" s="1"/>
  <c r="T195" i="22"/>
  <c r="S195" i="22"/>
  <c r="R195" i="22"/>
  <c r="Q195" i="22"/>
  <c r="P195" i="22"/>
  <c r="O195" i="22"/>
  <c r="N195" i="22"/>
  <c r="M195" i="22"/>
  <c r="L195" i="22"/>
  <c r="AN195" i="22" s="1"/>
  <c r="K195" i="22"/>
  <c r="J195" i="22"/>
  <c r="I195" i="22"/>
  <c r="H195" i="22"/>
  <c r="G195" i="22"/>
  <c r="F195" i="22"/>
  <c r="E195" i="22"/>
  <c r="D195" i="22"/>
  <c r="AL194" i="22"/>
  <c r="AJ194" i="22"/>
  <c r="AQ194" i="22" s="1"/>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AN194" i="22" s="1"/>
  <c r="K194" i="22"/>
  <c r="J194" i="22"/>
  <c r="I194" i="22"/>
  <c r="H194" i="22"/>
  <c r="G194" i="22"/>
  <c r="F194" i="22"/>
  <c r="E194" i="22"/>
  <c r="D194" i="22"/>
  <c r="AO194" i="22" s="1"/>
  <c r="AO193" i="22"/>
  <c r="AJ193" i="22"/>
  <c r="AQ193" i="22" s="1"/>
  <c r="AI193" i="22"/>
  <c r="AH193" i="22"/>
  <c r="AG193" i="22"/>
  <c r="AF193" i="22"/>
  <c r="AE193" i="22"/>
  <c r="AD193" i="22"/>
  <c r="AC193" i="22"/>
  <c r="AB193" i="22"/>
  <c r="AL193" i="22" s="1"/>
  <c r="AA193" i="22"/>
  <c r="Z193" i="22"/>
  <c r="Y193" i="22"/>
  <c r="X193" i="22"/>
  <c r="W193" i="22"/>
  <c r="V193" i="22"/>
  <c r="U193" i="22"/>
  <c r="T193" i="22"/>
  <c r="AM193" i="22" s="1"/>
  <c r="S193" i="22"/>
  <c r="R193" i="22"/>
  <c r="Q193" i="22"/>
  <c r="P193" i="22"/>
  <c r="O193" i="22"/>
  <c r="N193" i="22"/>
  <c r="M193" i="22"/>
  <c r="L193" i="22"/>
  <c r="AN193" i="22" s="1"/>
  <c r="K193" i="22"/>
  <c r="J193" i="22"/>
  <c r="I193" i="22"/>
  <c r="H193" i="22"/>
  <c r="G193" i="22"/>
  <c r="F193" i="22"/>
  <c r="E193" i="22"/>
  <c r="D193" i="22"/>
  <c r="AJ192" i="22"/>
  <c r="AQ192" i="22" s="1"/>
  <c r="AS62" i="22" s="1"/>
  <c r="AI192" i="22"/>
  <c r="AH192" i="22"/>
  <c r="AG192" i="22"/>
  <c r="AF192" i="22"/>
  <c r="AE192" i="22"/>
  <c r="AD192" i="22"/>
  <c r="AC192" i="22"/>
  <c r="AB192" i="22"/>
  <c r="AA192" i="22"/>
  <c r="Z192" i="22"/>
  <c r="Y192" i="22"/>
  <c r="X192" i="22"/>
  <c r="W192" i="22"/>
  <c r="V192" i="22"/>
  <c r="U192" i="22"/>
  <c r="T192" i="22"/>
  <c r="AM192" i="22" s="1"/>
  <c r="S192" i="22"/>
  <c r="R192" i="22"/>
  <c r="Q192" i="22"/>
  <c r="P192" i="22"/>
  <c r="O192" i="22"/>
  <c r="N192" i="22"/>
  <c r="M192" i="22"/>
  <c r="L192" i="22"/>
  <c r="K192" i="22"/>
  <c r="J192" i="22"/>
  <c r="I192" i="22"/>
  <c r="H192" i="22"/>
  <c r="G192" i="22"/>
  <c r="F192" i="22"/>
  <c r="E192" i="22"/>
  <c r="D192" i="22"/>
  <c r="AJ191" i="22"/>
  <c r="AQ191" i="22" s="1"/>
  <c r="AS61" i="22" s="1"/>
  <c r="AI191" i="22"/>
  <c r="AH191" i="22"/>
  <c r="AG191" i="22"/>
  <c r="AF191" i="22"/>
  <c r="AE191" i="22"/>
  <c r="AD191" i="22"/>
  <c r="AC191" i="22"/>
  <c r="AL191" i="22" s="1"/>
  <c r="AB191" i="22"/>
  <c r="AA191" i="22"/>
  <c r="Z191" i="22"/>
  <c r="Y191" i="22"/>
  <c r="X191" i="22"/>
  <c r="W191" i="22"/>
  <c r="V191" i="22"/>
  <c r="U191" i="22"/>
  <c r="AM191" i="22" s="1"/>
  <c r="T191" i="22"/>
  <c r="S191" i="22"/>
  <c r="R191" i="22"/>
  <c r="Q191" i="22"/>
  <c r="P191" i="22"/>
  <c r="O191" i="22"/>
  <c r="N191" i="22"/>
  <c r="M191" i="22"/>
  <c r="L191" i="22"/>
  <c r="AN191" i="22" s="1"/>
  <c r="K191" i="22"/>
  <c r="J191" i="22"/>
  <c r="I191" i="22"/>
  <c r="H191" i="22"/>
  <c r="G191" i="22"/>
  <c r="F191" i="22"/>
  <c r="E191" i="22"/>
  <c r="D191" i="22"/>
  <c r="AO191" i="22" s="1"/>
  <c r="AL190" i="22"/>
  <c r="AJ190" i="22"/>
  <c r="AQ190" i="22" s="1"/>
  <c r="AI190" i="22"/>
  <c r="AH190" i="22"/>
  <c r="AG190" i="22"/>
  <c r="AF190" i="22"/>
  <c r="AE190" i="22"/>
  <c r="AD190" i="22"/>
  <c r="AC190" i="22"/>
  <c r="AB190" i="22"/>
  <c r="AA190" i="22"/>
  <c r="Z190" i="22"/>
  <c r="Y190" i="22"/>
  <c r="X190" i="22"/>
  <c r="W190" i="22"/>
  <c r="V190" i="22"/>
  <c r="U190" i="22"/>
  <c r="AM190" i="22" s="1"/>
  <c r="T190" i="22"/>
  <c r="S190" i="22"/>
  <c r="R190" i="22"/>
  <c r="Q190" i="22"/>
  <c r="P190" i="22"/>
  <c r="O190" i="22"/>
  <c r="N190" i="22"/>
  <c r="M190" i="22"/>
  <c r="L190" i="22"/>
  <c r="AN190" i="22" s="1"/>
  <c r="K190" i="22"/>
  <c r="J190" i="22"/>
  <c r="I190" i="22"/>
  <c r="H190" i="22"/>
  <c r="G190" i="22"/>
  <c r="F190" i="22"/>
  <c r="E190" i="22"/>
  <c r="D190" i="22"/>
  <c r="AO190" i="22" s="1"/>
  <c r="AO189" i="22"/>
  <c r="AJ189" i="22"/>
  <c r="AQ189" i="22" s="1"/>
  <c r="AI189" i="22"/>
  <c r="AH189" i="22"/>
  <c r="AG189" i="22"/>
  <c r="AF189" i="22"/>
  <c r="AE189" i="22"/>
  <c r="AD189" i="22"/>
  <c r="AC189" i="22"/>
  <c r="AB189" i="22"/>
  <c r="AL189" i="22" s="1"/>
  <c r="AA189" i="22"/>
  <c r="Z189" i="22"/>
  <c r="Y189" i="22"/>
  <c r="X189" i="22"/>
  <c r="W189" i="22"/>
  <c r="V189" i="22"/>
  <c r="U189" i="22"/>
  <c r="T189" i="22"/>
  <c r="AM189" i="22" s="1"/>
  <c r="S189" i="22"/>
  <c r="R189" i="22"/>
  <c r="Q189" i="22"/>
  <c r="P189" i="22"/>
  <c r="O189" i="22"/>
  <c r="N189" i="22"/>
  <c r="M189" i="22"/>
  <c r="L189" i="22"/>
  <c r="AN189" i="22" s="1"/>
  <c r="K189" i="22"/>
  <c r="J189" i="22"/>
  <c r="I189" i="22"/>
  <c r="H189" i="22"/>
  <c r="G189" i="22"/>
  <c r="F189" i="22"/>
  <c r="E189" i="22"/>
  <c r="D189" i="22"/>
  <c r="AJ188" i="22"/>
  <c r="AQ188" i="22" s="1"/>
  <c r="AS58" i="22" s="1"/>
  <c r="AI188" i="22"/>
  <c r="AH188" i="22"/>
  <c r="AG188" i="22"/>
  <c r="AF188" i="22"/>
  <c r="AE188" i="22"/>
  <c r="AD188" i="22"/>
  <c r="AC188" i="22"/>
  <c r="AL188" i="22" s="1"/>
  <c r="AB188" i="22"/>
  <c r="AA188" i="22"/>
  <c r="Z188" i="22"/>
  <c r="Y188" i="22"/>
  <c r="X188" i="22"/>
  <c r="W188" i="22"/>
  <c r="V188" i="22"/>
  <c r="U188" i="22"/>
  <c r="T188" i="22"/>
  <c r="AM188" i="22" s="1"/>
  <c r="S188" i="22"/>
  <c r="R188" i="22"/>
  <c r="Q188" i="22"/>
  <c r="P188" i="22"/>
  <c r="O188" i="22"/>
  <c r="N188" i="22"/>
  <c r="M188" i="22"/>
  <c r="L188" i="22"/>
  <c r="K188" i="22"/>
  <c r="J188" i="22"/>
  <c r="I188" i="22"/>
  <c r="H188" i="22"/>
  <c r="G188" i="22"/>
  <c r="F188" i="22"/>
  <c r="E188" i="22"/>
  <c r="D188" i="22"/>
  <c r="AO188" i="22" s="1"/>
  <c r="AQ187" i="22"/>
  <c r="AJ187" i="22"/>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AN187" i="22" s="1"/>
  <c r="K187" i="22"/>
  <c r="J187" i="22"/>
  <c r="I187" i="22"/>
  <c r="H187" i="22"/>
  <c r="G187" i="22"/>
  <c r="F187" i="22"/>
  <c r="E187" i="22"/>
  <c r="D187" i="22"/>
  <c r="AL186" i="22"/>
  <c r="AJ186" i="22"/>
  <c r="AQ186" i="22" s="1"/>
  <c r="AS56" i="22" s="1"/>
  <c r="AI186" i="22"/>
  <c r="AH186" i="22"/>
  <c r="AG186" i="22"/>
  <c r="AF186" i="22"/>
  <c r="AE186" i="22"/>
  <c r="AD186" i="22"/>
  <c r="AC186" i="22"/>
  <c r="AB186" i="22"/>
  <c r="AA186" i="22"/>
  <c r="Z186" i="22"/>
  <c r="Y186" i="22"/>
  <c r="AM186" i="22" s="1"/>
  <c r="X186" i="22"/>
  <c r="W186" i="22"/>
  <c r="V186" i="22"/>
  <c r="U186" i="22"/>
  <c r="T186" i="22"/>
  <c r="S186" i="22"/>
  <c r="R186" i="22"/>
  <c r="Q186" i="22"/>
  <c r="P186" i="22"/>
  <c r="O186" i="22"/>
  <c r="N186" i="22"/>
  <c r="M186" i="22"/>
  <c r="L186" i="22"/>
  <c r="K186" i="22"/>
  <c r="J186" i="22"/>
  <c r="I186" i="22"/>
  <c r="H186" i="22"/>
  <c r="G186" i="22"/>
  <c r="F186" i="22"/>
  <c r="E186" i="22"/>
  <c r="D186" i="22"/>
  <c r="AO186" i="22" s="1"/>
  <c r="AQ185" i="22"/>
  <c r="AJ185" i="22"/>
  <c r="AI185" i="22"/>
  <c r="AH185" i="22"/>
  <c r="AG185" i="22"/>
  <c r="AF185" i="22"/>
  <c r="AE185" i="22"/>
  <c r="AD185" i="22"/>
  <c r="AC185" i="22"/>
  <c r="AB185" i="22"/>
  <c r="AL185" i="22" s="1"/>
  <c r="AA185" i="22"/>
  <c r="Z185" i="22"/>
  <c r="Y185" i="22"/>
  <c r="X185" i="22"/>
  <c r="W185" i="22"/>
  <c r="V185" i="22"/>
  <c r="U185" i="22"/>
  <c r="T185" i="22"/>
  <c r="AM185" i="22" s="1"/>
  <c r="S185" i="22"/>
  <c r="R185" i="22"/>
  <c r="Q185" i="22"/>
  <c r="P185" i="22"/>
  <c r="O185" i="22"/>
  <c r="N185" i="22"/>
  <c r="M185" i="22"/>
  <c r="L185" i="22"/>
  <c r="K185" i="22"/>
  <c r="J185" i="22"/>
  <c r="I185" i="22"/>
  <c r="H185" i="22"/>
  <c r="G185" i="22"/>
  <c r="F185" i="22"/>
  <c r="E185" i="22"/>
  <c r="D185" i="22"/>
  <c r="AO185" i="22" s="1"/>
  <c r="AJ184" i="22"/>
  <c r="AQ184" i="22" s="1"/>
  <c r="AI184" i="22"/>
  <c r="AH184" i="22"/>
  <c r="AG184" i="22"/>
  <c r="AF184" i="22"/>
  <c r="AE184" i="22"/>
  <c r="AD184" i="22"/>
  <c r="AC184" i="22"/>
  <c r="AL184" i="22" s="1"/>
  <c r="AB184" i="22"/>
  <c r="AA184" i="22"/>
  <c r="Z184" i="22"/>
  <c r="Y184" i="22"/>
  <c r="X184" i="22"/>
  <c r="W184" i="22"/>
  <c r="V184" i="22"/>
  <c r="U184" i="22"/>
  <c r="T184" i="22"/>
  <c r="AM184" i="22" s="1"/>
  <c r="S184" i="22"/>
  <c r="R184" i="22"/>
  <c r="Q184" i="22"/>
  <c r="P184" i="22"/>
  <c r="O184" i="22"/>
  <c r="AN184" i="22" s="1"/>
  <c r="N184" i="22"/>
  <c r="M184" i="22"/>
  <c r="L184" i="22"/>
  <c r="K184" i="22"/>
  <c r="J184" i="22"/>
  <c r="I184" i="22"/>
  <c r="H184" i="22"/>
  <c r="G184" i="22"/>
  <c r="F184" i="22"/>
  <c r="E184" i="22"/>
  <c r="D184" i="22"/>
  <c r="AO184" i="22" s="1"/>
  <c r="AQ183" i="22"/>
  <c r="AJ183" i="22"/>
  <c r="AI183" i="22"/>
  <c r="AH183" i="22"/>
  <c r="AG183" i="22"/>
  <c r="AF183" i="22"/>
  <c r="AE183" i="22"/>
  <c r="AD183" i="22"/>
  <c r="AC183" i="22"/>
  <c r="AL183" i="22" s="1"/>
  <c r="AB183" i="22"/>
  <c r="AA183" i="22"/>
  <c r="Z183" i="22"/>
  <c r="Y183" i="22"/>
  <c r="X183" i="22"/>
  <c r="W183" i="22"/>
  <c r="V183" i="22"/>
  <c r="U183" i="22"/>
  <c r="AM183" i="22" s="1"/>
  <c r="T183" i="22"/>
  <c r="S183" i="22"/>
  <c r="R183" i="22"/>
  <c r="Q183" i="22"/>
  <c r="P183" i="22"/>
  <c r="O183" i="22"/>
  <c r="N183" i="22"/>
  <c r="M183" i="22"/>
  <c r="L183" i="22"/>
  <c r="AN183" i="22" s="1"/>
  <c r="K183" i="22"/>
  <c r="J183" i="22"/>
  <c r="I183" i="22"/>
  <c r="H183" i="22"/>
  <c r="G183" i="22"/>
  <c r="F183" i="22"/>
  <c r="E183" i="22"/>
  <c r="D183" i="22"/>
  <c r="AO183" i="22" s="1"/>
  <c r="AL182" i="22"/>
  <c r="AJ182" i="22"/>
  <c r="AQ182" i="22" s="1"/>
  <c r="AS53" i="22" s="1"/>
  <c r="AI182" i="22"/>
  <c r="AH182" i="22"/>
  <c r="AG182" i="22"/>
  <c r="AF182" i="22"/>
  <c r="AE182" i="22"/>
  <c r="AD182" i="22"/>
  <c r="AC182" i="22"/>
  <c r="AB182" i="22"/>
  <c r="AA182" i="22"/>
  <c r="Z182" i="22"/>
  <c r="Y182" i="22"/>
  <c r="AM182" i="22" s="1"/>
  <c r="X182" i="22"/>
  <c r="W182" i="22"/>
  <c r="V182" i="22"/>
  <c r="U182" i="22"/>
  <c r="T182" i="22"/>
  <c r="S182" i="22"/>
  <c r="R182" i="22"/>
  <c r="Q182" i="22"/>
  <c r="P182" i="22"/>
  <c r="O182" i="22"/>
  <c r="N182" i="22"/>
  <c r="M182" i="22"/>
  <c r="L182" i="22"/>
  <c r="AN182" i="22" s="1"/>
  <c r="K182" i="22"/>
  <c r="J182" i="22"/>
  <c r="I182" i="22"/>
  <c r="H182" i="22"/>
  <c r="G182" i="22"/>
  <c r="F182" i="22"/>
  <c r="E182" i="22"/>
  <c r="D182" i="22"/>
  <c r="AO182" i="22" s="1"/>
  <c r="AQ181" i="22"/>
  <c r="AO181" i="22"/>
  <c r="AJ181" i="22"/>
  <c r="AI181" i="22"/>
  <c r="AH181" i="22"/>
  <c r="AG181" i="22"/>
  <c r="AF181" i="22"/>
  <c r="AE181" i="22"/>
  <c r="AD181" i="22"/>
  <c r="AC181" i="22"/>
  <c r="AB181" i="22"/>
  <c r="AL181" i="22" s="1"/>
  <c r="AA181" i="22"/>
  <c r="Z181" i="22"/>
  <c r="Y181" i="22"/>
  <c r="X181" i="22"/>
  <c r="W181" i="22"/>
  <c r="V181" i="22"/>
  <c r="U181" i="22"/>
  <c r="T181" i="22"/>
  <c r="AM181" i="22" s="1"/>
  <c r="S181" i="22"/>
  <c r="R181" i="22"/>
  <c r="Q181" i="22"/>
  <c r="P181" i="22"/>
  <c r="O181" i="22"/>
  <c r="N181" i="22"/>
  <c r="M181" i="22"/>
  <c r="L181" i="22"/>
  <c r="K181" i="22"/>
  <c r="J181" i="22"/>
  <c r="I181" i="22"/>
  <c r="H181" i="22"/>
  <c r="G181" i="22"/>
  <c r="F181" i="22"/>
  <c r="E181" i="22"/>
  <c r="D181" i="22"/>
  <c r="AJ180" i="22"/>
  <c r="AQ180" i="22" s="1"/>
  <c r="AI180" i="22"/>
  <c r="AH180" i="22"/>
  <c r="AG180" i="22"/>
  <c r="AF180" i="22"/>
  <c r="AE180" i="22"/>
  <c r="AD180" i="22"/>
  <c r="AC180" i="22"/>
  <c r="AL180" i="22" s="1"/>
  <c r="AB180" i="22"/>
  <c r="AA180" i="22"/>
  <c r="Z180" i="22"/>
  <c r="Y180" i="22"/>
  <c r="X180" i="22"/>
  <c r="W180" i="22"/>
  <c r="V180" i="22"/>
  <c r="U180" i="22"/>
  <c r="T180" i="22"/>
  <c r="AM180" i="22" s="1"/>
  <c r="S180" i="22"/>
  <c r="R180" i="22"/>
  <c r="Q180" i="22"/>
  <c r="P180" i="22"/>
  <c r="O180" i="22"/>
  <c r="N180" i="22"/>
  <c r="M180" i="22"/>
  <c r="L180" i="22"/>
  <c r="K180" i="22"/>
  <c r="J180" i="22"/>
  <c r="I180" i="22"/>
  <c r="H180" i="22"/>
  <c r="G180" i="22"/>
  <c r="F180" i="22"/>
  <c r="E180" i="22"/>
  <c r="D180" i="22"/>
  <c r="AQ179" i="22"/>
  <c r="AJ179" i="22"/>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AN179" i="22" s="1"/>
  <c r="K179" i="22"/>
  <c r="J179" i="22"/>
  <c r="I179" i="22"/>
  <c r="H179" i="22"/>
  <c r="G179" i="22"/>
  <c r="F179" i="22"/>
  <c r="E179" i="22"/>
  <c r="D179" i="22"/>
  <c r="AO179" i="22" s="1"/>
  <c r="AL178" i="22"/>
  <c r="AJ178" i="22"/>
  <c r="AQ178" i="22" s="1"/>
  <c r="AI178" i="22"/>
  <c r="AH178" i="22"/>
  <c r="AG178" i="22"/>
  <c r="AF178" i="22"/>
  <c r="AE178" i="22"/>
  <c r="AD178" i="22"/>
  <c r="AC178" i="22"/>
  <c r="AB178" i="22"/>
  <c r="AA178" i="22"/>
  <c r="Z178" i="22"/>
  <c r="Y178" i="22"/>
  <c r="AM178" i="22" s="1"/>
  <c r="X178" i="22"/>
  <c r="W178" i="22"/>
  <c r="V178" i="22"/>
  <c r="U178" i="22"/>
  <c r="T178" i="22"/>
  <c r="S178" i="22"/>
  <c r="R178" i="22"/>
  <c r="Q178" i="22"/>
  <c r="P178" i="22"/>
  <c r="O178" i="22"/>
  <c r="N178" i="22"/>
  <c r="M178" i="22"/>
  <c r="L178" i="22"/>
  <c r="K178" i="22"/>
  <c r="J178" i="22"/>
  <c r="I178" i="22"/>
  <c r="H178" i="22"/>
  <c r="G178" i="22"/>
  <c r="F178" i="22"/>
  <c r="E178" i="22"/>
  <c r="D178" i="22"/>
  <c r="AO178" i="22" s="1"/>
  <c r="AQ177" i="22"/>
  <c r="AO177" i="22"/>
  <c r="AJ177" i="22"/>
  <c r="AI177" i="22"/>
  <c r="AH177" i="22"/>
  <c r="AG177" i="22"/>
  <c r="AF177" i="22"/>
  <c r="AE177" i="22"/>
  <c r="AD177" i="22"/>
  <c r="AC177" i="22"/>
  <c r="AB177" i="22"/>
  <c r="AL177" i="22" s="1"/>
  <c r="AA177" i="22"/>
  <c r="Z177" i="22"/>
  <c r="Y177" i="22"/>
  <c r="X177" i="22"/>
  <c r="W177" i="22"/>
  <c r="V177" i="22"/>
  <c r="U177" i="22"/>
  <c r="T177" i="22"/>
  <c r="AM177" i="22" s="1"/>
  <c r="S177" i="22"/>
  <c r="R177" i="22"/>
  <c r="Q177" i="22"/>
  <c r="P177" i="22"/>
  <c r="O177" i="22"/>
  <c r="N177" i="22"/>
  <c r="M177" i="22"/>
  <c r="L177" i="22"/>
  <c r="AN177" i="22" s="1"/>
  <c r="K177" i="22"/>
  <c r="J177" i="22"/>
  <c r="I177" i="22"/>
  <c r="H177" i="22"/>
  <c r="G177" i="22"/>
  <c r="F177" i="22"/>
  <c r="E177" i="22"/>
  <c r="D177" i="22"/>
  <c r="AJ176" i="22"/>
  <c r="AQ176" i="22" s="1"/>
  <c r="AS46" i="22" s="1"/>
  <c r="AI176" i="22"/>
  <c r="AH176" i="22"/>
  <c r="AG176" i="22"/>
  <c r="AF176" i="22"/>
  <c r="AE176" i="22"/>
  <c r="AD176" i="22"/>
  <c r="AC176" i="22"/>
  <c r="AL176" i="22" s="1"/>
  <c r="AB176" i="22"/>
  <c r="AA176" i="22"/>
  <c r="Z176" i="22"/>
  <c r="Y176" i="22"/>
  <c r="X176" i="22"/>
  <c r="W176" i="22"/>
  <c r="V176" i="22"/>
  <c r="U176" i="22"/>
  <c r="T176" i="22"/>
  <c r="AM176" i="22" s="1"/>
  <c r="S176" i="22"/>
  <c r="R176" i="22"/>
  <c r="Q176" i="22"/>
  <c r="P176" i="22"/>
  <c r="O176" i="22"/>
  <c r="N176" i="22"/>
  <c r="AN176" i="22" s="1"/>
  <c r="M176" i="22"/>
  <c r="L176" i="22"/>
  <c r="K176" i="22"/>
  <c r="J176" i="22"/>
  <c r="I176" i="22"/>
  <c r="H176" i="22"/>
  <c r="G176" i="22"/>
  <c r="F176" i="22"/>
  <c r="E176" i="22"/>
  <c r="D176" i="22"/>
  <c r="AO176" i="22" s="1"/>
  <c r="AQ175" i="22"/>
  <c r="AJ175" i="22"/>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AN175" i="22" s="1"/>
  <c r="K175" i="22"/>
  <c r="J175" i="22"/>
  <c r="I175" i="22"/>
  <c r="H175" i="22"/>
  <c r="G175" i="22"/>
  <c r="F175" i="22"/>
  <c r="E175" i="22"/>
  <c r="D175" i="22"/>
  <c r="AL174" i="22"/>
  <c r="AJ174" i="22"/>
  <c r="AQ174" i="22" s="1"/>
  <c r="AS44" i="22" s="1"/>
  <c r="AI174" i="22"/>
  <c r="AH174" i="22"/>
  <c r="AG174" i="22"/>
  <c r="AF174" i="22"/>
  <c r="AE174" i="22"/>
  <c r="AD174" i="22"/>
  <c r="AC174" i="22"/>
  <c r="AB174" i="22"/>
  <c r="AA174" i="22"/>
  <c r="Z174" i="22"/>
  <c r="Y174" i="22"/>
  <c r="AM174" i="22" s="1"/>
  <c r="X174" i="22"/>
  <c r="W174" i="22"/>
  <c r="V174" i="22"/>
  <c r="U174" i="22"/>
  <c r="T174" i="22"/>
  <c r="S174" i="22"/>
  <c r="R174" i="22"/>
  <c r="Q174" i="22"/>
  <c r="P174" i="22"/>
  <c r="O174" i="22"/>
  <c r="N174" i="22"/>
  <c r="M174" i="22"/>
  <c r="L174" i="22"/>
  <c r="K174" i="22"/>
  <c r="J174" i="22"/>
  <c r="I174" i="22"/>
  <c r="H174" i="22"/>
  <c r="G174" i="22"/>
  <c r="F174" i="22"/>
  <c r="E174" i="22"/>
  <c r="D174" i="22"/>
  <c r="AO174" i="22" s="1"/>
  <c r="AQ173" i="22"/>
  <c r="AJ173" i="22"/>
  <c r="AI173" i="22"/>
  <c r="AH173" i="22"/>
  <c r="AG173" i="22"/>
  <c r="AF173" i="22"/>
  <c r="AE173" i="22"/>
  <c r="AD173" i="22"/>
  <c r="AC173" i="22"/>
  <c r="AB173" i="22"/>
  <c r="AL173" i="22" s="1"/>
  <c r="AA173" i="22"/>
  <c r="Z173" i="22"/>
  <c r="Y173" i="22"/>
  <c r="X173" i="22"/>
  <c r="W173" i="22"/>
  <c r="V173" i="22"/>
  <c r="U173" i="22"/>
  <c r="T173" i="22"/>
  <c r="AM173" i="22" s="1"/>
  <c r="S173" i="22"/>
  <c r="R173" i="22"/>
  <c r="Q173" i="22"/>
  <c r="P173" i="22"/>
  <c r="O173" i="22"/>
  <c r="N173" i="22"/>
  <c r="M173" i="22"/>
  <c r="L173" i="22"/>
  <c r="K173" i="22"/>
  <c r="J173" i="22"/>
  <c r="I173" i="22"/>
  <c r="H173" i="22"/>
  <c r="G173" i="22"/>
  <c r="F173" i="22"/>
  <c r="E173" i="22"/>
  <c r="D173" i="22"/>
  <c r="AO173" i="22" s="1"/>
  <c r="AJ172" i="22"/>
  <c r="AQ172" i="22" s="1"/>
  <c r="AI172" i="22"/>
  <c r="AH172" i="22"/>
  <c r="AG172" i="22"/>
  <c r="AF172" i="22"/>
  <c r="AE172" i="22"/>
  <c r="AD172" i="22"/>
  <c r="AC172" i="22"/>
  <c r="AL172" i="22" s="1"/>
  <c r="AB172" i="22"/>
  <c r="AA172" i="22"/>
  <c r="Z172" i="22"/>
  <c r="Y172" i="22"/>
  <c r="X172" i="22"/>
  <c r="W172" i="22"/>
  <c r="V172" i="22"/>
  <c r="U172" i="22"/>
  <c r="T172" i="22"/>
  <c r="AM172" i="22" s="1"/>
  <c r="S172" i="22"/>
  <c r="R172" i="22"/>
  <c r="Q172" i="22"/>
  <c r="P172" i="22"/>
  <c r="O172" i="22"/>
  <c r="N172" i="22"/>
  <c r="AN172" i="22" s="1"/>
  <c r="M172" i="22"/>
  <c r="L172" i="22"/>
  <c r="K172" i="22"/>
  <c r="J172" i="22"/>
  <c r="I172" i="22"/>
  <c r="H172" i="22"/>
  <c r="G172" i="22"/>
  <c r="F172" i="22"/>
  <c r="E172" i="22"/>
  <c r="D172" i="22"/>
  <c r="AO172" i="22" s="1"/>
  <c r="AQ171" i="22"/>
  <c r="AJ171" i="22"/>
  <c r="AI171" i="22"/>
  <c r="AH171" i="22"/>
  <c r="AG171" i="22"/>
  <c r="AF171" i="22"/>
  <c r="AE171" i="22"/>
  <c r="AD171" i="22"/>
  <c r="AC171" i="22"/>
  <c r="AB171" i="22"/>
  <c r="AA171" i="22"/>
  <c r="Z171" i="22"/>
  <c r="Y171" i="22"/>
  <c r="X171" i="22"/>
  <c r="W171" i="22"/>
  <c r="V171" i="22"/>
  <c r="U171" i="22"/>
  <c r="T171" i="22"/>
  <c r="AM171" i="22" s="1"/>
  <c r="S171" i="22"/>
  <c r="R171" i="22"/>
  <c r="Q171" i="22"/>
  <c r="P171" i="22"/>
  <c r="O171" i="22"/>
  <c r="N171" i="22"/>
  <c r="M171" i="22"/>
  <c r="L171" i="22"/>
  <c r="AN171" i="22" s="1"/>
  <c r="K171" i="22"/>
  <c r="J171" i="22"/>
  <c r="I171" i="22"/>
  <c r="H171" i="22"/>
  <c r="G171" i="22"/>
  <c r="F171" i="22"/>
  <c r="E171" i="22"/>
  <c r="D171" i="22"/>
  <c r="AO171" i="22" s="1"/>
  <c r="AL170" i="22"/>
  <c r="AJ170" i="22"/>
  <c r="AQ170" i="22" s="1"/>
  <c r="AS41" i="22" s="1"/>
  <c r="AI170" i="22"/>
  <c r="AH170" i="22"/>
  <c r="AG170" i="22"/>
  <c r="AF170" i="22"/>
  <c r="AE170" i="22"/>
  <c r="AD170" i="22"/>
  <c r="AC170" i="22"/>
  <c r="AB170" i="22"/>
  <c r="AA170" i="22"/>
  <c r="Z170" i="22"/>
  <c r="Y170" i="22"/>
  <c r="AM170" i="22" s="1"/>
  <c r="X170" i="22"/>
  <c r="W170" i="22"/>
  <c r="V170" i="22"/>
  <c r="U170" i="22"/>
  <c r="T170" i="22"/>
  <c r="S170" i="22"/>
  <c r="R170" i="22"/>
  <c r="Q170" i="22"/>
  <c r="P170" i="22"/>
  <c r="O170" i="22"/>
  <c r="N170" i="22"/>
  <c r="M170" i="22"/>
  <c r="L170" i="22"/>
  <c r="AN170" i="22" s="1"/>
  <c r="K170" i="22"/>
  <c r="J170" i="22"/>
  <c r="I170" i="22"/>
  <c r="H170" i="22"/>
  <c r="G170" i="22"/>
  <c r="F170" i="22"/>
  <c r="E170" i="22"/>
  <c r="D170" i="22"/>
  <c r="AO170" i="22" s="1"/>
  <c r="AQ169" i="22"/>
  <c r="AO169" i="22"/>
  <c r="AJ169" i="22"/>
  <c r="AI169" i="22"/>
  <c r="AH169" i="22"/>
  <c r="AG169" i="22"/>
  <c r="AF169" i="22"/>
  <c r="AE169" i="22"/>
  <c r="AD169" i="22"/>
  <c r="AC169" i="22"/>
  <c r="AB169" i="22"/>
  <c r="AL169" i="22" s="1"/>
  <c r="AA169" i="22"/>
  <c r="Z169" i="22"/>
  <c r="Y169" i="22"/>
  <c r="X169" i="22"/>
  <c r="W169" i="22"/>
  <c r="AM169" i="22" s="1"/>
  <c r="V169" i="22"/>
  <c r="U169" i="22"/>
  <c r="T169" i="22"/>
  <c r="S169" i="22"/>
  <c r="R169" i="22"/>
  <c r="Q169" i="22"/>
  <c r="P169" i="22"/>
  <c r="O169" i="22"/>
  <c r="N169" i="22"/>
  <c r="M169" i="22"/>
  <c r="L169" i="22"/>
  <c r="K169" i="22"/>
  <c r="J169" i="22"/>
  <c r="I169" i="22"/>
  <c r="H169" i="22"/>
  <c r="G169" i="22"/>
  <c r="F169" i="22"/>
  <c r="E169" i="22"/>
  <c r="D169" i="22"/>
  <c r="AQ168" i="22"/>
  <c r="AJ168" i="22"/>
  <c r="AI168" i="22"/>
  <c r="AH168" i="22"/>
  <c r="AG168" i="22"/>
  <c r="AF168" i="22"/>
  <c r="AE168" i="22"/>
  <c r="AD168" i="22"/>
  <c r="AC168" i="22"/>
  <c r="AB168" i="22"/>
  <c r="AA168" i="22"/>
  <c r="Z168" i="22"/>
  <c r="Y168" i="22"/>
  <c r="X168" i="22"/>
  <c r="W168" i="22"/>
  <c r="V168" i="22"/>
  <c r="U168" i="22"/>
  <c r="T168" i="22"/>
  <c r="AM168" i="22" s="1"/>
  <c r="S168" i="22"/>
  <c r="R168" i="22"/>
  <c r="Q168" i="22"/>
  <c r="P168" i="22"/>
  <c r="O168" i="22"/>
  <c r="N168" i="22"/>
  <c r="AN168" i="22" s="1"/>
  <c r="M168" i="22"/>
  <c r="L168" i="22"/>
  <c r="K168" i="22"/>
  <c r="J168" i="22"/>
  <c r="I168" i="22"/>
  <c r="H168" i="22"/>
  <c r="G168" i="22"/>
  <c r="F168" i="22"/>
  <c r="E168" i="22"/>
  <c r="D168" i="22"/>
  <c r="AJ167" i="22"/>
  <c r="AQ167" i="22" s="1"/>
  <c r="AS38" i="22" s="1"/>
  <c r="AI167" i="22"/>
  <c r="AH167" i="22"/>
  <c r="AG167" i="22"/>
  <c r="AF167" i="22"/>
  <c r="AE167" i="22"/>
  <c r="AD167" i="22"/>
  <c r="AC167" i="22"/>
  <c r="AB167" i="22"/>
  <c r="AA167" i="22"/>
  <c r="Z167" i="22"/>
  <c r="Y167" i="22"/>
  <c r="X167" i="22"/>
  <c r="W167" i="22"/>
  <c r="V167" i="22"/>
  <c r="U167" i="22"/>
  <c r="T167" i="22"/>
  <c r="AM167" i="22" s="1"/>
  <c r="S167" i="22"/>
  <c r="R167" i="22"/>
  <c r="Q167" i="22"/>
  <c r="P167" i="22"/>
  <c r="O167" i="22"/>
  <c r="N167" i="22"/>
  <c r="M167" i="22"/>
  <c r="L167" i="22"/>
  <c r="AN167" i="22" s="1"/>
  <c r="K167" i="22"/>
  <c r="J167" i="22"/>
  <c r="I167" i="22"/>
  <c r="H167" i="22"/>
  <c r="G167" i="22"/>
  <c r="F167" i="22"/>
  <c r="E167" i="22"/>
  <c r="D167" i="22"/>
  <c r="AO167" i="22" s="1"/>
  <c r="AJ166" i="22"/>
  <c r="AQ166" i="22" s="1"/>
  <c r="AI166" i="22"/>
  <c r="AH166" i="22"/>
  <c r="AG166" i="22"/>
  <c r="AF166" i="22"/>
  <c r="AE166" i="22"/>
  <c r="AD166" i="22"/>
  <c r="AC166" i="22"/>
  <c r="AB166" i="22"/>
  <c r="AA166" i="22"/>
  <c r="Z166" i="22"/>
  <c r="Y166" i="22"/>
  <c r="AM166" i="22" s="1"/>
  <c r="X166" i="22"/>
  <c r="W166" i="22"/>
  <c r="V166" i="22"/>
  <c r="U166" i="22"/>
  <c r="T166" i="22"/>
  <c r="S166" i="22"/>
  <c r="R166" i="22"/>
  <c r="Q166" i="22"/>
  <c r="P166" i="22"/>
  <c r="O166" i="22"/>
  <c r="N166" i="22"/>
  <c r="M166" i="22"/>
  <c r="L166" i="22"/>
  <c r="K166" i="22"/>
  <c r="J166" i="22"/>
  <c r="I166" i="22"/>
  <c r="H166" i="22"/>
  <c r="G166" i="22"/>
  <c r="F166" i="22"/>
  <c r="E166" i="22"/>
  <c r="D166" i="22"/>
  <c r="AO166" i="22" s="1"/>
  <c r="AJ165" i="22"/>
  <c r="AQ165" i="22" s="1"/>
  <c r="AI165" i="22"/>
  <c r="AH165" i="22"/>
  <c r="AG165" i="22"/>
  <c r="AF165" i="22"/>
  <c r="AE165" i="22"/>
  <c r="AD165" i="22"/>
  <c r="AC165" i="22"/>
  <c r="AB165" i="22"/>
  <c r="AA165" i="22"/>
  <c r="Z165" i="22"/>
  <c r="Y165" i="22"/>
  <c r="X165" i="22"/>
  <c r="W165" i="22"/>
  <c r="AM165" i="22" s="1"/>
  <c r="V165" i="22"/>
  <c r="U165" i="22"/>
  <c r="T165" i="22"/>
  <c r="S165" i="22"/>
  <c r="R165" i="22"/>
  <c r="Q165" i="22"/>
  <c r="P165" i="22"/>
  <c r="O165" i="22"/>
  <c r="N165" i="22"/>
  <c r="M165" i="22"/>
  <c r="L165" i="22"/>
  <c r="K165" i="22"/>
  <c r="J165" i="22"/>
  <c r="I165" i="22"/>
  <c r="H165" i="22"/>
  <c r="G165" i="22"/>
  <c r="F165" i="22"/>
  <c r="E165" i="22"/>
  <c r="D165" i="22"/>
  <c r="AO165" i="22" s="1"/>
  <c r="AJ164" i="22"/>
  <c r="AQ164" i="22" s="1"/>
  <c r="AI164" i="22"/>
  <c r="AH164" i="22"/>
  <c r="AG164" i="22"/>
  <c r="AF164" i="22"/>
  <c r="AE164" i="22"/>
  <c r="AD164" i="22"/>
  <c r="AC164" i="22"/>
  <c r="AB164" i="22"/>
  <c r="AA164" i="22"/>
  <c r="Z164" i="22"/>
  <c r="Y164" i="22"/>
  <c r="X164" i="22"/>
  <c r="W164" i="22"/>
  <c r="V164" i="22"/>
  <c r="U164" i="22"/>
  <c r="T164" i="22"/>
  <c r="AM164" i="22" s="1"/>
  <c r="S164" i="22"/>
  <c r="R164" i="22"/>
  <c r="Q164" i="22"/>
  <c r="P164" i="22"/>
  <c r="O164" i="22"/>
  <c r="N164" i="22"/>
  <c r="AN164" i="22" s="1"/>
  <c r="M164" i="22"/>
  <c r="L164" i="22"/>
  <c r="K164" i="22"/>
  <c r="J164" i="22"/>
  <c r="I164" i="22"/>
  <c r="H164" i="22"/>
  <c r="G164" i="22"/>
  <c r="F164" i="22"/>
  <c r="E164" i="22"/>
  <c r="D164" i="22"/>
  <c r="AJ163" i="22"/>
  <c r="AQ163" i="22" s="1"/>
  <c r="AS33" i="22" s="1"/>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AN163" i="22" s="1"/>
  <c r="K163" i="22"/>
  <c r="J163" i="22"/>
  <c r="I163" i="22"/>
  <c r="H163" i="22"/>
  <c r="G163" i="22"/>
  <c r="F163" i="22"/>
  <c r="E163" i="22"/>
  <c r="D163" i="22"/>
  <c r="AJ162" i="22"/>
  <c r="AI162" i="22"/>
  <c r="AH162" i="22"/>
  <c r="AG162" i="22"/>
  <c r="AF162" i="22"/>
  <c r="AE162" i="22"/>
  <c r="AD162" i="22"/>
  <c r="AC162" i="22"/>
  <c r="AB162" i="22"/>
  <c r="AA162" i="22"/>
  <c r="Z162" i="22"/>
  <c r="Y162" i="22"/>
  <c r="X162" i="22"/>
  <c r="AM162" i="22" s="1"/>
  <c r="W162" i="22"/>
  <c r="V162" i="22"/>
  <c r="U162" i="22"/>
  <c r="T162" i="22"/>
  <c r="S162" i="22"/>
  <c r="R162" i="22"/>
  <c r="Q162" i="22"/>
  <c r="P162" i="22"/>
  <c r="O162" i="22"/>
  <c r="N162" i="22"/>
  <c r="M162" i="22"/>
  <c r="L162" i="22"/>
  <c r="AN162" i="22" s="1"/>
  <c r="K162" i="22"/>
  <c r="J162" i="22"/>
  <c r="I162" i="22"/>
  <c r="H162" i="22"/>
  <c r="G162" i="22"/>
  <c r="F162" i="22"/>
  <c r="E162" i="22"/>
  <c r="D162" i="22"/>
  <c r="AO162" i="22" s="1"/>
  <c r="AQ161" i="22"/>
  <c r="AO161" i="22"/>
  <c r="AJ161" i="22"/>
  <c r="AI161" i="22"/>
  <c r="AH161" i="22"/>
  <c r="AG161" i="22"/>
  <c r="AF161" i="22"/>
  <c r="AE161" i="22"/>
  <c r="AD161" i="22"/>
  <c r="AC161" i="22"/>
  <c r="AB161" i="22"/>
  <c r="AA161" i="22"/>
  <c r="Z161" i="22"/>
  <c r="Y161" i="22"/>
  <c r="X161" i="22"/>
  <c r="W161" i="22"/>
  <c r="AM161" i="22" s="1"/>
  <c r="V161" i="22"/>
  <c r="U161" i="22"/>
  <c r="T161" i="22"/>
  <c r="S161" i="22"/>
  <c r="R161" i="22"/>
  <c r="Q161" i="22"/>
  <c r="P161" i="22"/>
  <c r="O161" i="22"/>
  <c r="AN161" i="22" s="1"/>
  <c r="N161" i="22"/>
  <c r="M161" i="22"/>
  <c r="L161" i="22"/>
  <c r="K161" i="22"/>
  <c r="J161" i="22"/>
  <c r="I161" i="22"/>
  <c r="H161" i="22"/>
  <c r="G161" i="22"/>
  <c r="F161" i="22"/>
  <c r="E161" i="22"/>
  <c r="D161" i="22"/>
  <c r="AJ160" i="22"/>
  <c r="AQ160" i="22" s="1"/>
  <c r="AI160" i="22"/>
  <c r="AH160" i="22"/>
  <c r="AG160" i="22"/>
  <c r="AF160" i="22"/>
  <c r="AE160" i="22"/>
  <c r="AD160" i="22"/>
  <c r="AC160" i="22"/>
  <c r="AB160" i="22"/>
  <c r="AA160" i="22"/>
  <c r="Z160" i="22"/>
  <c r="Y160" i="22"/>
  <c r="X160" i="22"/>
  <c r="W160" i="22"/>
  <c r="V160" i="22"/>
  <c r="U160" i="22"/>
  <c r="T160" i="22"/>
  <c r="AM160" i="22" s="1"/>
  <c r="S160" i="22"/>
  <c r="R160" i="22"/>
  <c r="Q160" i="22"/>
  <c r="P160" i="22"/>
  <c r="O160" i="22"/>
  <c r="N160" i="22"/>
  <c r="M160" i="22"/>
  <c r="L160" i="22"/>
  <c r="K160" i="22"/>
  <c r="J160" i="22"/>
  <c r="I160" i="22"/>
  <c r="H160" i="22"/>
  <c r="G160" i="22"/>
  <c r="F160" i="22"/>
  <c r="E160" i="22"/>
  <c r="D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AN159" i="22" s="1"/>
  <c r="K159" i="22"/>
  <c r="J159" i="22"/>
  <c r="I159" i="22"/>
  <c r="H159" i="22"/>
  <c r="G159" i="22"/>
  <c r="F159" i="22"/>
  <c r="E159" i="22"/>
  <c r="D159" i="22"/>
  <c r="AJ158" i="22"/>
  <c r="AQ158" i="22" s="1"/>
  <c r="AI158" i="22"/>
  <c r="AH158" i="22"/>
  <c r="AG158" i="22"/>
  <c r="AF158" i="22"/>
  <c r="AE158" i="22"/>
  <c r="AL158" i="22" s="1"/>
  <c r="AD158" i="22"/>
  <c r="AC158" i="22"/>
  <c r="AB158" i="22"/>
  <c r="AA158" i="22"/>
  <c r="Z158" i="22"/>
  <c r="Y158" i="22"/>
  <c r="X158" i="22"/>
  <c r="AM158" i="22" s="1"/>
  <c r="W158" i="22"/>
  <c r="V158" i="22"/>
  <c r="U158" i="22"/>
  <c r="T158" i="22"/>
  <c r="S158" i="22"/>
  <c r="R158" i="22"/>
  <c r="Q158" i="22"/>
  <c r="P158" i="22"/>
  <c r="O158" i="22"/>
  <c r="N158" i="22"/>
  <c r="M158" i="22"/>
  <c r="L158" i="22"/>
  <c r="AN158" i="22" s="1"/>
  <c r="K158" i="22"/>
  <c r="J158" i="22"/>
  <c r="I158" i="22"/>
  <c r="H158" i="22"/>
  <c r="G158" i="22"/>
  <c r="F158" i="22"/>
  <c r="E158" i="22"/>
  <c r="D158" i="22"/>
  <c r="AO158" i="22" s="1"/>
  <c r="AJ157" i="22"/>
  <c r="AQ157" i="22" s="1"/>
  <c r="AS27" i="22" s="1"/>
  <c r="AI157" i="22"/>
  <c r="AH157" i="22"/>
  <c r="AG157" i="22"/>
  <c r="AF157" i="22"/>
  <c r="AE157" i="22"/>
  <c r="AD157" i="22"/>
  <c r="AC157" i="22"/>
  <c r="AB157" i="22"/>
  <c r="AA157" i="22"/>
  <c r="Z157" i="22"/>
  <c r="Y157" i="22"/>
  <c r="X157" i="22"/>
  <c r="W157" i="22"/>
  <c r="AM157" i="22" s="1"/>
  <c r="V157" i="22"/>
  <c r="U157" i="22"/>
  <c r="T157" i="22"/>
  <c r="S157" i="22"/>
  <c r="R157" i="22"/>
  <c r="Q157" i="22"/>
  <c r="P157" i="22"/>
  <c r="O157" i="22"/>
  <c r="N157" i="22"/>
  <c r="M157" i="22"/>
  <c r="L157" i="22"/>
  <c r="K157" i="22"/>
  <c r="J157" i="22"/>
  <c r="I157" i="22"/>
  <c r="H157" i="22"/>
  <c r="G157" i="22"/>
  <c r="F157" i="22"/>
  <c r="E157" i="22"/>
  <c r="D157" i="22"/>
  <c r="AO157" i="22" s="1"/>
  <c r="C157" i="22"/>
  <c r="AQ156" i="22"/>
  <c r="AJ156" i="22"/>
  <c r="AI156" i="22"/>
  <c r="AH156" i="22"/>
  <c r="AG156" i="22"/>
  <c r="AF156" i="22"/>
  <c r="AE156" i="22"/>
  <c r="AD156" i="22"/>
  <c r="AC156" i="22"/>
  <c r="AB156" i="22"/>
  <c r="AA156" i="22"/>
  <c r="Z156" i="22"/>
  <c r="Y156" i="22"/>
  <c r="X156" i="22"/>
  <c r="W156" i="22"/>
  <c r="V156" i="22"/>
  <c r="U156" i="22"/>
  <c r="T156" i="22"/>
  <c r="AM156" i="22" s="1"/>
  <c r="S156" i="22"/>
  <c r="R156" i="22"/>
  <c r="Q156" i="22"/>
  <c r="P156" i="22"/>
  <c r="O156" i="22"/>
  <c r="N156" i="22"/>
  <c r="M156" i="22"/>
  <c r="L156" i="22"/>
  <c r="K156" i="22"/>
  <c r="J156" i="22"/>
  <c r="I156" i="22"/>
  <c r="H156" i="22"/>
  <c r="G156" i="22"/>
  <c r="F156" i="22"/>
  <c r="E156" i="22"/>
  <c r="D156" i="22"/>
  <c r="AJ155" i="22"/>
  <c r="AQ155" i="22" s="1"/>
  <c r="AI155" i="22"/>
  <c r="AH155" i="22"/>
  <c r="AG155" i="22"/>
  <c r="AF155" i="22"/>
  <c r="AE155" i="22"/>
  <c r="AD155" i="22"/>
  <c r="AC155" i="22"/>
  <c r="AB155" i="22"/>
  <c r="AA155" i="22"/>
  <c r="Z155" i="22"/>
  <c r="Y155" i="22"/>
  <c r="X155" i="22"/>
  <c r="W155" i="22"/>
  <c r="V155" i="22"/>
  <c r="U155" i="22"/>
  <c r="T155" i="22"/>
  <c r="AM155" i="22" s="1"/>
  <c r="S155" i="22"/>
  <c r="R155" i="22"/>
  <c r="Q155" i="22"/>
  <c r="P155" i="22"/>
  <c r="O155" i="22"/>
  <c r="N155" i="22"/>
  <c r="M155" i="22"/>
  <c r="L155" i="22"/>
  <c r="AN155" i="22" s="1"/>
  <c r="K155" i="22"/>
  <c r="J155" i="22"/>
  <c r="I155" i="22"/>
  <c r="H155" i="22"/>
  <c r="G155" i="22"/>
  <c r="F155" i="22"/>
  <c r="E155" i="22"/>
  <c r="D155" i="22"/>
  <c r="AO155" i="22" s="1"/>
  <c r="AJ154" i="22"/>
  <c r="AQ154" i="22" s="1"/>
  <c r="AI154" i="22"/>
  <c r="AH154" i="22"/>
  <c r="AG154" i="22"/>
  <c r="AL154" i="22" s="1"/>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O154" i="22" s="1"/>
  <c r="AQ153" i="22"/>
  <c r="AS23" i="22" s="1"/>
  <c r="AO153" i="22"/>
  <c r="AJ153" i="22"/>
  <c r="AI153" i="22"/>
  <c r="AH153" i="22"/>
  <c r="AG153" i="22"/>
  <c r="AF153" i="22"/>
  <c r="AE153" i="22"/>
  <c r="AD153" i="22"/>
  <c r="AC153" i="22"/>
  <c r="AB153" i="22"/>
  <c r="AA153" i="22"/>
  <c r="Z153" i="22"/>
  <c r="Y153" i="22"/>
  <c r="X153" i="22"/>
  <c r="W153" i="22"/>
  <c r="AM153" i="22" s="1"/>
  <c r="V153" i="22"/>
  <c r="U153" i="22"/>
  <c r="T153" i="22"/>
  <c r="S153" i="22"/>
  <c r="R153" i="22"/>
  <c r="Q153" i="22"/>
  <c r="P153" i="22"/>
  <c r="O153" i="22"/>
  <c r="AN153" i="22" s="1"/>
  <c r="N153" i="22"/>
  <c r="M153" i="22"/>
  <c r="L153" i="22"/>
  <c r="K153" i="22"/>
  <c r="J153" i="22"/>
  <c r="I153" i="22"/>
  <c r="H153" i="22"/>
  <c r="G153" i="22"/>
  <c r="F153" i="22"/>
  <c r="E153" i="22"/>
  <c r="D153" i="22"/>
  <c r="C153" i="22"/>
  <c r="AQ152" i="22"/>
  <c r="AJ152" i="22"/>
  <c r="AI152" i="22"/>
  <c r="AH152" i="22"/>
  <c r="AG152" i="22"/>
  <c r="AF152" i="22"/>
  <c r="AE152" i="22"/>
  <c r="AD152" i="22"/>
  <c r="AC152" i="22"/>
  <c r="AB152" i="22"/>
  <c r="AA152" i="22"/>
  <c r="Z152" i="22"/>
  <c r="Y152" i="22"/>
  <c r="X152" i="22"/>
  <c r="W152" i="22"/>
  <c r="V152" i="22"/>
  <c r="U152" i="22"/>
  <c r="T152" i="22"/>
  <c r="AM152" i="22" s="1"/>
  <c r="S152" i="22"/>
  <c r="R152" i="22"/>
  <c r="Q152" i="22"/>
  <c r="P152" i="22"/>
  <c r="O152" i="22"/>
  <c r="N152" i="22"/>
  <c r="M152" i="22"/>
  <c r="L152" i="22"/>
  <c r="K152" i="22"/>
  <c r="J152" i="22"/>
  <c r="I152" i="22"/>
  <c r="H152" i="22"/>
  <c r="G152" i="22"/>
  <c r="F152" i="22"/>
  <c r="E152" i="22"/>
  <c r="D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AN151" i="22" s="1"/>
  <c r="K151" i="22"/>
  <c r="J151" i="22"/>
  <c r="I151" i="22"/>
  <c r="H151" i="22"/>
  <c r="G151" i="22"/>
  <c r="F151" i="22"/>
  <c r="E151" i="22"/>
  <c r="D151" i="22"/>
  <c r="AO151" i="22" s="1"/>
  <c r="AJ150" i="22"/>
  <c r="AI150" i="22"/>
  <c r="AH150" i="22"/>
  <c r="AG150" i="22"/>
  <c r="AF150" i="22"/>
  <c r="AE150" i="22"/>
  <c r="AL150" i="22" s="1"/>
  <c r="AD150" i="22"/>
  <c r="AC150" i="22"/>
  <c r="AB150" i="22"/>
  <c r="AA150" i="22"/>
  <c r="Z150" i="22"/>
  <c r="Y150" i="22"/>
  <c r="X150" i="22"/>
  <c r="AM150" i="22" s="1"/>
  <c r="W150" i="22"/>
  <c r="V150" i="22"/>
  <c r="U150" i="22"/>
  <c r="T150" i="22"/>
  <c r="S150" i="22"/>
  <c r="R150" i="22"/>
  <c r="Q150" i="22"/>
  <c r="P150" i="22"/>
  <c r="O150" i="22"/>
  <c r="N150" i="22"/>
  <c r="M150" i="22"/>
  <c r="L150" i="22"/>
  <c r="AN150" i="22" s="1"/>
  <c r="K150" i="22"/>
  <c r="J150" i="22"/>
  <c r="I150" i="22"/>
  <c r="H150" i="22"/>
  <c r="G150" i="22"/>
  <c r="F150" i="22"/>
  <c r="E150" i="22"/>
  <c r="D150" i="22"/>
  <c r="AO150" i="22" s="1"/>
  <c r="AJ149" i="22"/>
  <c r="AI149" i="22"/>
  <c r="AH149" i="22"/>
  <c r="AG149" i="22"/>
  <c r="AF149" i="22"/>
  <c r="AE149" i="22"/>
  <c r="AD149" i="22"/>
  <c r="AC149" i="22"/>
  <c r="AB149" i="22"/>
  <c r="AL149" i="22" s="1"/>
  <c r="AA149" i="22"/>
  <c r="Z149" i="22"/>
  <c r="Y149" i="22"/>
  <c r="X149" i="22"/>
  <c r="W149" i="22"/>
  <c r="AM149" i="22" s="1"/>
  <c r="V149" i="22"/>
  <c r="U149" i="22"/>
  <c r="T149" i="22"/>
  <c r="S149" i="22"/>
  <c r="R149" i="22"/>
  <c r="Q149" i="22"/>
  <c r="P149" i="22"/>
  <c r="O149" i="22"/>
  <c r="N149" i="22"/>
  <c r="M149" i="22"/>
  <c r="L149" i="22"/>
  <c r="K149" i="22"/>
  <c r="J149" i="22"/>
  <c r="I149" i="22"/>
  <c r="H149" i="22"/>
  <c r="G149" i="22"/>
  <c r="F149" i="22"/>
  <c r="E149" i="22"/>
  <c r="D149" i="22"/>
  <c r="AO149" i="22" s="1"/>
  <c r="AJ148" i="22"/>
  <c r="AI148" i="22"/>
  <c r="AH148" i="22"/>
  <c r="AG148" i="22"/>
  <c r="AF148" i="22"/>
  <c r="AE148" i="22"/>
  <c r="AD148" i="22"/>
  <c r="AC148" i="22"/>
  <c r="AB148" i="22"/>
  <c r="AA148" i="22"/>
  <c r="Z148" i="22"/>
  <c r="Y148" i="22"/>
  <c r="X148" i="22"/>
  <c r="W148" i="22"/>
  <c r="V148" i="22"/>
  <c r="U148" i="22"/>
  <c r="T148" i="22"/>
  <c r="AM148" i="22" s="1"/>
  <c r="S148" i="22"/>
  <c r="R148" i="22"/>
  <c r="Q148" i="22"/>
  <c r="P148" i="22"/>
  <c r="O148" i="22"/>
  <c r="N148" i="22"/>
  <c r="M148" i="22"/>
  <c r="L148" i="22"/>
  <c r="K148" i="22"/>
  <c r="J148" i="22"/>
  <c r="I148" i="22"/>
  <c r="H148" i="22"/>
  <c r="G148" i="22"/>
  <c r="F148" i="22"/>
  <c r="E148" i="22"/>
  <c r="D148" i="22"/>
  <c r="AJ147" i="22"/>
  <c r="AI147" i="22"/>
  <c r="AH147" i="22"/>
  <c r="AG147" i="22"/>
  <c r="AF147" i="22"/>
  <c r="AE147" i="22"/>
  <c r="AD147" i="22"/>
  <c r="AC147" i="22"/>
  <c r="AB147" i="22"/>
  <c r="AL147" i="22" s="1"/>
  <c r="AA147" i="22"/>
  <c r="Z147" i="22"/>
  <c r="Y147" i="22"/>
  <c r="X147" i="22"/>
  <c r="W147" i="22"/>
  <c r="V147" i="22"/>
  <c r="U147" i="22"/>
  <c r="T147" i="22"/>
  <c r="S147" i="22"/>
  <c r="R147" i="22"/>
  <c r="Q147" i="22"/>
  <c r="P147" i="22"/>
  <c r="O147" i="22"/>
  <c r="N147" i="22"/>
  <c r="M147" i="22"/>
  <c r="L147" i="22"/>
  <c r="AN147" i="22" s="1"/>
  <c r="K147" i="22"/>
  <c r="J147" i="22"/>
  <c r="I147" i="22"/>
  <c r="H147" i="22"/>
  <c r="G147" i="22"/>
  <c r="F147" i="22"/>
  <c r="E147" i="22"/>
  <c r="D147" i="22"/>
  <c r="AO147" i="22" s="1"/>
  <c r="AJ146" i="22"/>
  <c r="AI146" i="22"/>
  <c r="AH146" i="22"/>
  <c r="AG146" i="22"/>
  <c r="AF146" i="22"/>
  <c r="AE146" i="22"/>
  <c r="AL146" i="22" s="1"/>
  <c r="AD146" i="22"/>
  <c r="AC146" i="22"/>
  <c r="AB146" i="22"/>
  <c r="AA146" i="22"/>
  <c r="Z146" i="22"/>
  <c r="Y146" i="22"/>
  <c r="X146" i="22"/>
  <c r="AM146" i="22" s="1"/>
  <c r="W146" i="22"/>
  <c r="V146" i="22"/>
  <c r="U146" i="22"/>
  <c r="T146" i="22"/>
  <c r="S146" i="22"/>
  <c r="R146" i="22"/>
  <c r="Q146" i="22"/>
  <c r="P146" i="22"/>
  <c r="O146" i="22"/>
  <c r="N146" i="22"/>
  <c r="M146" i="22"/>
  <c r="L146" i="22"/>
  <c r="AN146" i="22" s="1"/>
  <c r="K146" i="22"/>
  <c r="J146" i="22"/>
  <c r="I146" i="22"/>
  <c r="H146" i="22"/>
  <c r="G146" i="22"/>
  <c r="F146" i="22"/>
  <c r="E146" i="22"/>
  <c r="D146" i="22"/>
  <c r="AO146" i="22" s="1"/>
  <c r="AJ145" i="22"/>
  <c r="AI145" i="22"/>
  <c r="AH145" i="22"/>
  <c r="AG145" i="22"/>
  <c r="AF145" i="22"/>
  <c r="AE145" i="22"/>
  <c r="AD145" i="22"/>
  <c r="AC145" i="22"/>
  <c r="AB145" i="22"/>
  <c r="AL145" i="22" s="1"/>
  <c r="AA145" i="22"/>
  <c r="Z145" i="22"/>
  <c r="Y145" i="22"/>
  <c r="X145" i="22"/>
  <c r="W145" i="22"/>
  <c r="AM145" i="22" s="1"/>
  <c r="V145" i="22"/>
  <c r="U145" i="22"/>
  <c r="T145" i="22"/>
  <c r="S145" i="22"/>
  <c r="R145" i="22"/>
  <c r="Q145" i="22"/>
  <c r="P145" i="22"/>
  <c r="AN145" i="22" s="1"/>
  <c r="O145" i="22"/>
  <c r="N145" i="22"/>
  <c r="M145" i="22"/>
  <c r="L145" i="22"/>
  <c r="K145" i="22"/>
  <c r="J145" i="22"/>
  <c r="I145" i="22"/>
  <c r="H145" i="22"/>
  <c r="G145" i="22"/>
  <c r="F145" i="22"/>
  <c r="E145" i="22"/>
  <c r="D145" i="22"/>
  <c r="AO145" i="22" s="1"/>
  <c r="AJ144" i="22"/>
  <c r="AI144" i="22"/>
  <c r="AH144" i="22"/>
  <c r="AG144" i="22"/>
  <c r="AF144" i="22"/>
  <c r="AE144" i="22"/>
  <c r="AD144" i="22"/>
  <c r="AC144" i="22"/>
  <c r="AB144" i="22"/>
  <c r="AA144" i="22"/>
  <c r="Z144" i="22"/>
  <c r="Y144" i="22"/>
  <c r="X144" i="22"/>
  <c r="W144" i="22"/>
  <c r="V144" i="22"/>
  <c r="U144" i="22"/>
  <c r="T144" i="22"/>
  <c r="AM144" i="22" s="1"/>
  <c r="S144" i="22"/>
  <c r="R144" i="22"/>
  <c r="Q144" i="22"/>
  <c r="P144" i="22"/>
  <c r="O144" i="22"/>
  <c r="N144" i="22"/>
  <c r="AN144" i="22" s="1"/>
  <c r="M144" i="22"/>
  <c r="L144" i="22"/>
  <c r="K144" i="22"/>
  <c r="J144" i="22"/>
  <c r="I144" i="22"/>
  <c r="H144" i="22"/>
  <c r="G144" i="22"/>
  <c r="F144" i="22"/>
  <c r="E144" i="22"/>
  <c r="D144" i="22"/>
  <c r="AJ143" i="22"/>
  <c r="AI143" i="22"/>
  <c r="AH143" i="22"/>
  <c r="AG143" i="22"/>
  <c r="AF143" i="22"/>
  <c r="AE143" i="22"/>
  <c r="AD143" i="22"/>
  <c r="AC143" i="22"/>
  <c r="AB143" i="22"/>
  <c r="AA143" i="22"/>
  <c r="Z143" i="22"/>
  <c r="Y143" i="22"/>
  <c r="X143" i="22"/>
  <c r="W143" i="22"/>
  <c r="V143" i="22"/>
  <c r="U143" i="22"/>
  <c r="T143" i="22"/>
  <c r="AM143" i="22" s="1"/>
  <c r="S143" i="22"/>
  <c r="R143" i="22"/>
  <c r="Q143" i="22"/>
  <c r="P143" i="22"/>
  <c r="O143" i="22"/>
  <c r="AN143" i="22" s="1"/>
  <c r="N143" i="22"/>
  <c r="M143" i="22"/>
  <c r="L143" i="22"/>
  <c r="K143" i="22"/>
  <c r="J143" i="22"/>
  <c r="I143" i="22"/>
  <c r="H143" i="22"/>
  <c r="G143" i="22"/>
  <c r="F143" i="22"/>
  <c r="E143" i="22"/>
  <c r="D143" i="22"/>
  <c r="AO143" i="22" s="1"/>
  <c r="AJ142" i="22"/>
  <c r="AI142" i="22"/>
  <c r="AH142" i="22"/>
  <c r="AG142" i="22"/>
  <c r="AF142" i="22"/>
  <c r="AE142" i="22"/>
  <c r="AL142" i="22" s="1"/>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O142" i="22" s="1"/>
  <c r="AO141" i="22"/>
  <c r="AN141" i="22"/>
  <c r="AJ141" i="22"/>
  <c r="AI141" i="22"/>
  <c r="AH141" i="22"/>
  <c r="AG141" i="22"/>
  <c r="AF141" i="22"/>
  <c r="AE141" i="22"/>
  <c r="AD141" i="22"/>
  <c r="AC141" i="22"/>
  <c r="AB141" i="22"/>
  <c r="AL141" i="22" s="1"/>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C141" i="22"/>
  <c r="AJ140" i="22"/>
  <c r="AI140" i="22"/>
  <c r="AH140" i="22"/>
  <c r="AG140" i="22"/>
  <c r="AF140" i="22"/>
  <c r="AE140" i="22"/>
  <c r="AD140" i="22"/>
  <c r="AC140" i="22"/>
  <c r="AB140" i="22"/>
  <c r="AA140" i="22"/>
  <c r="Z140" i="22"/>
  <c r="Y140" i="22"/>
  <c r="X140" i="22"/>
  <c r="W140" i="22"/>
  <c r="V140" i="22"/>
  <c r="U140" i="22"/>
  <c r="T140" i="22"/>
  <c r="AM140" i="22" s="1"/>
  <c r="S140" i="22"/>
  <c r="R140" i="22"/>
  <c r="Q140" i="22"/>
  <c r="P140" i="22"/>
  <c r="O140" i="22"/>
  <c r="N140" i="22"/>
  <c r="M140" i="22"/>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AM139" i="22" s="1"/>
  <c r="S139" i="22"/>
  <c r="R139" i="22"/>
  <c r="Q139" i="22"/>
  <c r="P139" i="22"/>
  <c r="O139" i="22"/>
  <c r="AN139" i="22" s="1"/>
  <c r="N139" i="22"/>
  <c r="M139" i="22"/>
  <c r="L139" i="22"/>
  <c r="K139" i="22"/>
  <c r="J139" i="22"/>
  <c r="I139" i="22"/>
  <c r="H139" i="22"/>
  <c r="G139" i="22"/>
  <c r="F139" i="22"/>
  <c r="E139" i="22"/>
  <c r="D139" i="22"/>
  <c r="AJ138" i="22"/>
  <c r="AI138" i="22"/>
  <c r="AH138" i="22"/>
  <c r="AG138" i="22"/>
  <c r="AF138" i="22"/>
  <c r="AE138" i="22"/>
  <c r="AL138" i="22" s="1"/>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O138" i="22" s="1"/>
  <c r="AO137" i="22"/>
  <c r="AJ137" i="22"/>
  <c r="AI137" i="22"/>
  <c r="AH137" i="22"/>
  <c r="AG137" i="22"/>
  <c r="AF137" i="22"/>
  <c r="AE137" i="22"/>
  <c r="AD137" i="22"/>
  <c r="AC137" i="22"/>
  <c r="AB137" i="22"/>
  <c r="AA137" i="22"/>
  <c r="Z137" i="22"/>
  <c r="Y137" i="22"/>
  <c r="X137" i="22"/>
  <c r="W137" i="22"/>
  <c r="AM137" i="22" s="1"/>
  <c r="V137" i="22"/>
  <c r="U137" i="22"/>
  <c r="T137" i="22"/>
  <c r="S137" i="22"/>
  <c r="R137" i="22"/>
  <c r="Q137" i="22"/>
  <c r="P137" i="22"/>
  <c r="AN137" i="22" s="1"/>
  <c r="O137" i="22"/>
  <c r="N137" i="22"/>
  <c r="M137" i="22"/>
  <c r="L137" i="22"/>
  <c r="K137" i="22"/>
  <c r="J137" i="22"/>
  <c r="I137" i="22"/>
  <c r="H137" i="22"/>
  <c r="G137" i="22"/>
  <c r="F137" i="22"/>
  <c r="E137" i="22"/>
  <c r="D137" i="22"/>
  <c r="C137" i="22"/>
  <c r="AJ136" i="22"/>
  <c r="AI136" i="22"/>
  <c r="AH136" i="22"/>
  <c r="AG136" i="22"/>
  <c r="AF136" i="22"/>
  <c r="AE136" i="22"/>
  <c r="AD136" i="22"/>
  <c r="AC136" i="22"/>
  <c r="AB136" i="22"/>
  <c r="AA136" i="22"/>
  <c r="Z136" i="22"/>
  <c r="Y136" i="22"/>
  <c r="X136" i="22"/>
  <c r="W136" i="22"/>
  <c r="V136" i="22"/>
  <c r="U136" i="22"/>
  <c r="T136" i="22"/>
  <c r="AM136" i="22" s="1"/>
  <c r="S136" i="22"/>
  <c r="R136" i="22"/>
  <c r="Q136" i="22"/>
  <c r="P136" i="22"/>
  <c r="O136" i="22"/>
  <c r="N136" i="22"/>
  <c r="M136" i="22"/>
  <c r="L136" i="22"/>
  <c r="K136" i="22"/>
  <c r="J136" i="22"/>
  <c r="I136" i="22"/>
  <c r="H136" i="22"/>
  <c r="G136" i="22"/>
  <c r="F136" i="22"/>
  <c r="E136" i="22"/>
  <c r="D136" i="22"/>
  <c r="AJ134" i="22"/>
  <c r="AQ134" i="22" s="1"/>
  <c r="AR70" i="22" s="1"/>
  <c r="AI134" i="22"/>
  <c r="AH134" i="22"/>
  <c r="AG134" i="22"/>
  <c r="AF134" i="22"/>
  <c r="AE134" i="22"/>
  <c r="AD134" i="22"/>
  <c r="AC134" i="22"/>
  <c r="AB134" i="22"/>
  <c r="AL134" i="22" s="1"/>
  <c r="AA134" i="22"/>
  <c r="Z134" i="22"/>
  <c r="Y134" i="22"/>
  <c r="X134" i="22"/>
  <c r="W134" i="22"/>
  <c r="V134" i="22"/>
  <c r="U134" i="22"/>
  <c r="AM134" i="22" s="1"/>
  <c r="T134" i="22"/>
  <c r="S134" i="22"/>
  <c r="R134" i="22"/>
  <c r="Q134" i="22"/>
  <c r="P134" i="22"/>
  <c r="O134" i="22"/>
  <c r="N134" i="22"/>
  <c r="M134" i="22"/>
  <c r="L134" i="22"/>
  <c r="AN134" i="22" s="1"/>
  <c r="K134" i="22"/>
  <c r="J134" i="22"/>
  <c r="I134" i="22"/>
  <c r="H134" i="22"/>
  <c r="G134" i="22"/>
  <c r="F134" i="22"/>
  <c r="E134" i="22"/>
  <c r="D134" i="22"/>
  <c r="AO134" i="22" s="1"/>
  <c r="AL133" i="22"/>
  <c r="AJ133" i="22"/>
  <c r="AQ133" i="22" s="1"/>
  <c r="AR68" i="22" s="1"/>
  <c r="AI133" i="22"/>
  <c r="AH133" i="22"/>
  <c r="AG133" i="22"/>
  <c r="AF133" i="22"/>
  <c r="AE133" i="22"/>
  <c r="AD133" i="22"/>
  <c r="AC133" i="22"/>
  <c r="AB133" i="22"/>
  <c r="AA133" i="22"/>
  <c r="Z133" i="22"/>
  <c r="Y133" i="22"/>
  <c r="AM133" i="22" s="1"/>
  <c r="X133" i="22"/>
  <c r="W133" i="22"/>
  <c r="V133" i="22"/>
  <c r="U133" i="22"/>
  <c r="T133" i="22"/>
  <c r="S133" i="22"/>
  <c r="R133" i="22"/>
  <c r="Q133" i="22"/>
  <c r="P133" i="22"/>
  <c r="O133" i="22"/>
  <c r="N133" i="22"/>
  <c r="M133" i="22"/>
  <c r="AN133" i="22" s="1"/>
  <c r="L133" i="22"/>
  <c r="K133" i="22"/>
  <c r="J133" i="22"/>
  <c r="I133" i="22"/>
  <c r="H133" i="22"/>
  <c r="G133" i="22"/>
  <c r="F133" i="22"/>
  <c r="E133" i="22"/>
  <c r="D133" i="22"/>
  <c r="AO133" i="22" s="1"/>
  <c r="C133" i="22"/>
  <c r="AQ132" i="22"/>
  <c r="AJ132" i="22"/>
  <c r="AI132" i="22"/>
  <c r="AH132" i="22"/>
  <c r="AG132" i="22"/>
  <c r="AF132" i="22"/>
  <c r="AE132" i="22"/>
  <c r="AD132" i="22"/>
  <c r="AC132" i="22"/>
  <c r="AB132" i="22"/>
  <c r="AL132" i="22" s="1"/>
  <c r="AA132" i="22"/>
  <c r="Z132" i="22"/>
  <c r="Y132" i="22"/>
  <c r="X132" i="22"/>
  <c r="W132" i="22"/>
  <c r="V132" i="22"/>
  <c r="U132" i="22"/>
  <c r="T132" i="22"/>
  <c r="AM132" i="22" s="1"/>
  <c r="S132" i="22"/>
  <c r="R132" i="22"/>
  <c r="Q132" i="22"/>
  <c r="P132" i="22"/>
  <c r="O132" i="22"/>
  <c r="N132" i="22"/>
  <c r="M132" i="22"/>
  <c r="L132" i="22"/>
  <c r="K132" i="22"/>
  <c r="J132" i="22"/>
  <c r="I132" i="22"/>
  <c r="H132" i="22"/>
  <c r="G132" i="22"/>
  <c r="F132" i="22"/>
  <c r="E132" i="22"/>
  <c r="D132" i="22"/>
  <c r="AO132" i="22" s="1"/>
  <c r="AJ131" i="22"/>
  <c r="AQ131" i="22" s="1"/>
  <c r="AI131" i="22"/>
  <c r="AH131" i="22"/>
  <c r="AG131" i="22"/>
  <c r="AF131" i="22"/>
  <c r="AE131" i="22"/>
  <c r="AD131" i="22"/>
  <c r="AC131" i="22"/>
  <c r="AB131" i="22"/>
  <c r="AA131" i="22"/>
  <c r="Z131" i="22"/>
  <c r="Y131" i="22"/>
  <c r="X131" i="22"/>
  <c r="W131" i="22"/>
  <c r="V131" i="22"/>
  <c r="U131" i="22"/>
  <c r="T131" i="22"/>
  <c r="AM131" i="22" s="1"/>
  <c r="S131" i="22"/>
  <c r="R131" i="22"/>
  <c r="Q131" i="22"/>
  <c r="P131" i="22"/>
  <c r="O131" i="22"/>
  <c r="AN131" i="22" s="1"/>
  <c r="N131" i="22"/>
  <c r="M131" i="22"/>
  <c r="L131" i="22"/>
  <c r="K131" i="22"/>
  <c r="J131" i="22"/>
  <c r="I131" i="22"/>
  <c r="H131" i="22"/>
  <c r="G131" i="22"/>
  <c r="F131" i="22"/>
  <c r="E131" i="22"/>
  <c r="D131" i="22"/>
  <c r="AJ130" i="22"/>
  <c r="AQ130" i="22" s="1"/>
  <c r="AR65" i="22" s="1"/>
  <c r="AI130" i="22"/>
  <c r="AH130" i="22"/>
  <c r="AG130" i="22"/>
  <c r="AF130" i="22"/>
  <c r="AE130" i="22"/>
  <c r="AD130" i="22"/>
  <c r="AC130" i="22"/>
  <c r="AB130" i="22"/>
  <c r="AA130" i="22"/>
  <c r="Z130" i="22"/>
  <c r="Y130" i="22"/>
  <c r="X130" i="22"/>
  <c r="W130" i="22"/>
  <c r="V130" i="22"/>
  <c r="U130" i="22"/>
  <c r="AM130" i="22" s="1"/>
  <c r="T130" i="22"/>
  <c r="S130" i="22"/>
  <c r="R130" i="22"/>
  <c r="Q130" i="22"/>
  <c r="P130" i="22"/>
  <c r="O130" i="22"/>
  <c r="N130" i="22"/>
  <c r="M130" i="22"/>
  <c r="L130" i="22"/>
  <c r="AN130" i="22" s="1"/>
  <c r="K130" i="22"/>
  <c r="J130" i="22"/>
  <c r="I130" i="22"/>
  <c r="H130" i="22"/>
  <c r="G130" i="22"/>
  <c r="F130" i="22"/>
  <c r="E130" i="22"/>
  <c r="D130" i="22"/>
  <c r="AL129" i="22"/>
  <c r="AJ129" i="22"/>
  <c r="AQ129" i="22" s="1"/>
  <c r="AI129" i="22"/>
  <c r="AH129" i="22"/>
  <c r="AG129" i="22"/>
  <c r="AF129" i="22"/>
  <c r="AE129" i="22"/>
  <c r="AD129" i="22"/>
  <c r="AC129" i="22"/>
  <c r="AB129" i="22"/>
  <c r="AA129" i="22"/>
  <c r="Z129" i="22"/>
  <c r="Y129" i="22"/>
  <c r="AM129" i="22" s="1"/>
  <c r="X129" i="22"/>
  <c r="W129" i="22"/>
  <c r="V129" i="22"/>
  <c r="U129" i="22"/>
  <c r="T129" i="22"/>
  <c r="S129" i="22"/>
  <c r="R129" i="22"/>
  <c r="Q129" i="22"/>
  <c r="P129" i="22"/>
  <c r="O129" i="22"/>
  <c r="N129" i="22"/>
  <c r="M129" i="22"/>
  <c r="AN129" i="22" s="1"/>
  <c r="L129" i="22"/>
  <c r="K129" i="22"/>
  <c r="J129" i="22"/>
  <c r="I129" i="22"/>
  <c r="H129" i="22"/>
  <c r="G129" i="22"/>
  <c r="F129" i="22"/>
  <c r="E129" i="22"/>
  <c r="D129" i="22"/>
  <c r="AO129" i="22" s="1"/>
  <c r="C129" i="22"/>
  <c r="AQ128" i="22"/>
  <c r="AJ128" i="22"/>
  <c r="AI128" i="22"/>
  <c r="AH128" i="22"/>
  <c r="AG128" i="22"/>
  <c r="AF128" i="22"/>
  <c r="AE128" i="22"/>
  <c r="AD128" i="22"/>
  <c r="AC128" i="22"/>
  <c r="AB128" i="22"/>
  <c r="AL128" i="22" s="1"/>
  <c r="AA128" i="22"/>
  <c r="Z128" i="22"/>
  <c r="Y128" i="22"/>
  <c r="X128" i="22"/>
  <c r="W128" i="22"/>
  <c r="V128" i="22"/>
  <c r="U128" i="22"/>
  <c r="T128" i="22"/>
  <c r="AM128" i="22" s="1"/>
  <c r="S128" i="22"/>
  <c r="R128" i="22"/>
  <c r="Q128" i="22"/>
  <c r="P128" i="22"/>
  <c r="O128" i="22"/>
  <c r="N128" i="22"/>
  <c r="M128" i="22"/>
  <c r="L128" i="22"/>
  <c r="K128" i="22"/>
  <c r="J128" i="22"/>
  <c r="I128" i="22"/>
  <c r="H128" i="22"/>
  <c r="G128" i="22"/>
  <c r="F128" i="22"/>
  <c r="E128" i="22"/>
  <c r="D128" i="22"/>
  <c r="AO128" i="22" s="1"/>
  <c r="AJ127" i="22"/>
  <c r="AQ127" i="22" s="1"/>
  <c r="AI127" i="22"/>
  <c r="AH127" i="22"/>
  <c r="AG127" i="22"/>
  <c r="AF127" i="22"/>
  <c r="AE127" i="22"/>
  <c r="AD127" i="22"/>
  <c r="AC127" i="22"/>
  <c r="AB127" i="22"/>
  <c r="AA127" i="22"/>
  <c r="Z127" i="22"/>
  <c r="Y127" i="22"/>
  <c r="X127" i="22"/>
  <c r="W127" i="22"/>
  <c r="V127" i="22"/>
  <c r="U127" i="22"/>
  <c r="T127" i="22"/>
  <c r="AM127" i="22" s="1"/>
  <c r="S127" i="22"/>
  <c r="R127" i="22"/>
  <c r="Q127" i="22"/>
  <c r="P127" i="22"/>
  <c r="O127" i="22"/>
  <c r="AN127" i="22" s="1"/>
  <c r="N127" i="22"/>
  <c r="M127" i="22"/>
  <c r="L127" i="22"/>
  <c r="K127" i="22"/>
  <c r="J127" i="22"/>
  <c r="I127" i="22"/>
  <c r="H127" i="22"/>
  <c r="G127" i="22"/>
  <c r="F127" i="22"/>
  <c r="E127" i="22"/>
  <c r="D127" i="22"/>
  <c r="AJ126" i="22"/>
  <c r="AQ126" i="22" s="1"/>
  <c r="AR61" i="22" s="1"/>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AN126" i="22" s="1"/>
  <c r="K126" i="22"/>
  <c r="J126" i="22"/>
  <c r="I126" i="22"/>
  <c r="H126" i="22"/>
  <c r="G126" i="22"/>
  <c r="F126" i="22"/>
  <c r="E126" i="22"/>
  <c r="D126" i="22"/>
  <c r="AL125" i="22"/>
  <c r="AJ125" i="22"/>
  <c r="AQ125" i="22" s="1"/>
  <c r="AI125" i="22"/>
  <c r="AH125" i="22"/>
  <c r="AG125" i="22"/>
  <c r="AF125" i="22"/>
  <c r="AE125" i="22"/>
  <c r="AD125" i="22"/>
  <c r="AC125" i="22"/>
  <c r="AB125" i="22"/>
  <c r="AA125" i="22"/>
  <c r="Z125" i="22"/>
  <c r="Y125" i="22"/>
  <c r="AM125" i="22" s="1"/>
  <c r="X125" i="22"/>
  <c r="W125" i="22"/>
  <c r="V125" i="22"/>
  <c r="U125" i="22"/>
  <c r="T125" i="22"/>
  <c r="S125" i="22"/>
  <c r="R125" i="22"/>
  <c r="Q125" i="22"/>
  <c r="P125" i="22"/>
  <c r="O125" i="22"/>
  <c r="N125" i="22"/>
  <c r="M125" i="22"/>
  <c r="AN125" i="22" s="1"/>
  <c r="L125" i="22"/>
  <c r="K125" i="22"/>
  <c r="J125" i="22"/>
  <c r="I125" i="22"/>
  <c r="H125" i="22"/>
  <c r="G125" i="22"/>
  <c r="F125" i="22"/>
  <c r="E125" i="22"/>
  <c r="D125" i="22"/>
  <c r="AO125" i="22" s="1"/>
  <c r="AQ124" i="22"/>
  <c r="AJ124" i="22"/>
  <c r="AI124" i="22"/>
  <c r="AH124" i="22"/>
  <c r="AG124" i="22"/>
  <c r="AF124" i="22"/>
  <c r="AE124" i="22"/>
  <c r="AD124" i="22"/>
  <c r="AC124" i="22"/>
  <c r="AB124" i="22"/>
  <c r="AA124" i="22"/>
  <c r="Z124" i="22"/>
  <c r="Y124" i="22"/>
  <c r="X124" i="22"/>
  <c r="W124" i="22"/>
  <c r="V124" i="22"/>
  <c r="U124" i="22"/>
  <c r="T124" i="22"/>
  <c r="AM124" i="22" s="1"/>
  <c r="S124" i="22"/>
  <c r="R124" i="22"/>
  <c r="Q124" i="22"/>
  <c r="P124" i="22"/>
  <c r="O124" i="22"/>
  <c r="N124" i="22"/>
  <c r="M124" i="22"/>
  <c r="L124" i="22"/>
  <c r="AN124" i="22" s="1"/>
  <c r="K124" i="22"/>
  <c r="J124" i="22"/>
  <c r="I124" i="22"/>
  <c r="H124" i="22"/>
  <c r="G124" i="22"/>
  <c r="F124" i="22"/>
  <c r="E124" i="22"/>
  <c r="AO124" i="22" s="1"/>
  <c r="D124" i="22"/>
  <c r="AJ123" i="22"/>
  <c r="AQ123" i="22" s="1"/>
  <c r="AR58" i="22" s="1"/>
  <c r="AI123" i="22"/>
  <c r="AH123" i="22"/>
  <c r="AG123" i="22"/>
  <c r="AF123" i="22"/>
  <c r="AE123" i="22"/>
  <c r="AD123" i="22"/>
  <c r="AC123" i="22"/>
  <c r="AB123" i="22"/>
  <c r="AA123" i="22"/>
  <c r="Z123" i="22"/>
  <c r="Y123" i="22"/>
  <c r="X123" i="22"/>
  <c r="W123" i="22"/>
  <c r="V123" i="22"/>
  <c r="U123" i="22"/>
  <c r="T123" i="22"/>
  <c r="AM123" i="22" s="1"/>
  <c r="S123" i="22"/>
  <c r="R123" i="22"/>
  <c r="Q123" i="22"/>
  <c r="P123" i="22"/>
  <c r="O123" i="22"/>
  <c r="N123" i="22"/>
  <c r="M123" i="22"/>
  <c r="L123" i="22"/>
  <c r="K123" i="22"/>
  <c r="J123" i="22"/>
  <c r="I123" i="22"/>
  <c r="H123" i="22"/>
  <c r="G123" i="22"/>
  <c r="F123" i="22"/>
  <c r="E123" i="22"/>
  <c r="D123" i="22"/>
  <c r="AJ122" i="22"/>
  <c r="AQ122" i="22" s="1"/>
  <c r="AI122" i="22"/>
  <c r="AH122" i="22"/>
  <c r="AG122" i="22"/>
  <c r="AF122" i="22"/>
  <c r="AE122" i="22"/>
  <c r="AD122" i="22"/>
  <c r="AC122" i="22"/>
  <c r="AB122" i="22"/>
  <c r="AA122" i="22"/>
  <c r="Z122" i="22"/>
  <c r="Y122" i="22"/>
  <c r="X122" i="22"/>
  <c r="W122" i="22"/>
  <c r="V122" i="22"/>
  <c r="U122" i="22"/>
  <c r="AM122" i="22" s="1"/>
  <c r="T122" i="22"/>
  <c r="S122" i="22"/>
  <c r="R122" i="22"/>
  <c r="Q122" i="22"/>
  <c r="P122" i="22"/>
  <c r="O122" i="22"/>
  <c r="N122" i="22"/>
  <c r="M122" i="22"/>
  <c r="L122" i="22"/>
  <c r="AN122" i="22" s="1"/>
  <c r="K122" i="22"/>
  <c r="J122" i="22"/>
  <c r="I122" i="22"/>
  <c r="H122" i="22"/>
  <c r="G122" i="22"/>
  <c r="F122" i="22"/>
  <c r="E122" i="22"/>
  <c r="D122" i="22"/>
  <c r="AL121" i="22"/>
  <c r="AJ121" i="22"/>
  <c r="AQ121" i="22" s="1"/>
  <c r="AI121" i="22"/>
  <c r="AH121" i="22"/>
  <c r="AG121" i="22"/>
  <c r="AF121" i="22"/>
  <c r="AE121" i="22"/>
  <c r="AD121" i="22"/>
  <c r="AC121" i="22"/>
  <c r="AB121" i="22"/>
  <c r="AA121" i="22"/>
  <c r="Z121" i="22"/>
  <c r="Y121" i="22"/>
  <c r="AM121" i="22" s="1"/>
  <c r="X121" i="22"/>
  <c r="W121" i="22"/>
  <c r="V121" i="22"/>
  <c r="U121" i="22"/>
  <c r="T121" i="22"/>
  <c r="S121" i="22"/>
  <c r="R121" i="22"/>
  <c r="Q121" i="22"/>
  <c r="P121" i="22"/>
  <c r="O121" i="22"/>
  <c r="N121" i="22"/>
  <c r="M121" i="22"/>
  <c r="AN121" i="22" s="1"/>
  <c r="L121" i="22"/>
  <c r="K121" i="22"/>
  <c r="J121" i="22"/>
  <c r="I121" i="22"/>
  <c r="H121" i="22"/>
  <c r="G121" i="22"/>
  <c r="F121" i="22"/>
  <c r="E121" i="22"/>
  <c r="D121" i="22"/>
  <c r="AO121" i="22" s="1"/>
  <c r="C121" i="22"/>
  <c r="AQ120" i="22"/>
  <c r="AR55" i="22" s="1"/>
  <c r="AO120" i="22"/>
  <c r="AJ120" i="22"/>
  <c r="AI120" i="22"/>
  <c r="AH120" i="22"/>
  <c r="AG120" i="22"/>
  <c r="AF120" i="22"/>
  <c r="AE120" i="22"/>
  <c r="AD120" i="22"/>
  <c r="AC120" i="22"/>
  <c r="AB120" i="22"/>
  <c r="AA120" i="22"/>
  <c r="Z120" i="22"/>
  <c r="Y120" i="22"/>
  <c r="X120" i="22"/>
  <c r="W120" i="22"/>
  <c r="V120" i="22"/>
  <c r="U120" i="22"/>
  <c r="T120" i="22"/>
  <c r="AM120" i="22" s="1"/>
  <c r="S120" i="22"/>
  <c r="R120" i="22"/>
  <c r="Q120" i="22"/>
  <c r="P120" i="22"/>
  <c r="O120" i="22"/>
  <c r="N120" i="22"/>
  <c r="M120" i="22"/>
  <c r="L120" i="22"/>
  <c r="K120" i="22"/>
  <c r="J120" i="22"/>
  <c r="I120" i="22"/>
  <c r="H120" i="22"/>
  <c r="G120" i="22"/>
  <c r="F120" i="22"/>
  <c r="E120" i="22"/>
  <c r="D120" i="22"/>
  <c r="AJ119" i="22"/>
  <c r="AQ119" i="22" s="1"/>
  <c r="AI119" i="22"/>
  <c r="AH119" i="22"/>
  <c r="AG119" i="22"/>
  <c r="AF119" i="22"/>
  <c r="AE119" i="22"/>
  <c r="AD119" i="22"/>
  <c r="AC119" i="22"/>
  <c r="AB119" i="22"/>
  <c r="AA119" i="22"/>
  <c r="Z119" i="22"/>
  <c r="Y119" i="22"/>
  <c r="X119" i="22"/>
  <c r="W119" i="22"/>
  <c r="V119" i="22"/>
  <c r="U119" i="22"/>
  <c r="T119" i="22"/>
  <c r="AM119" i="22" s="1"/>
  <c r="S119" i="22"/>
  <c r="R119" i="22"/>
  <c r="Q119" i="22"/>
  <c r="P119" i="22"/>
  <c r="O119" i="22"/>
  <c r="N119" i="22"/>
  <c r="M119" i="22"/>
  <c r="L119" i="22"/>
  <c r="K119" i="22"/>
  <c r="J119" i="22"/>
  <c r="I119" i="22"/>
  <c r="H119" i="22"/>
  <c r="G119" i="22"/>
  <c r="F119" i="22"/>
  <c r="E119" i="22"/>
  <c r="D119" i="22"/>
  <c r="AJ118" i="22"/>
  <c r="AQ118" i="22" s="1"/>
  <c r="AR53" i="22" s="1"/>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AN118" i="22" s="1"/>
  <c r="K118" i="22"/>
  <c r="J118" i="22"/>
  <c r="I118" i="22"/>
  <c r="H118" i="22"/>
  <c r="G118" i="22"/>
  <c r="F118" i="22"/>
  <c r="E118" i="22"/>
  <c r="D118" i="22"/>
  <c r="AL117" i="22"/>
  <c r="AJ117" i="22"/>
  <c r="AQ117" i="22" s="1"/>
  <c r="AI117" i="22"/>
  <c r="AH117" i="22"/>
  <c r="AG117" i="22"/>
  <c r="AF117" i="22"/>
  <c r="AE117" i="22"/>
  <c r="AD117" i="22"/>
  <c r="AC117" i="22"/>
  <c r="AB117" i="22"/>
  <c r="AA117" i="22"/>
  <c r="Z117" i="22"/>
  <c r="Y117" i="22"/>
  <c r="AM117" i="22" s="1"/>
  <c r="X117" i="22"/>
  <c r="W117" i="22"/>
  <c r="V117" i="22"/>
  <c r="U117" i="22"/>
  <c r="T117" i="22"/>
  <c r="S117" i="22"/>
  <c r="R117" i="22"/>
  <c r="Q117" i="22"/>
  <c r="P117" i="22"/>
  <c r="O117" i="22"/>
  <c r="N117" i="22"/>
  <c r="M117" i="22"/>
  <c r="AN117" i="22" s="1"/>
  <c r="L117" i="22"/>
  <c r="K117" i="22"/>
  <c r="J117" i="22"/>
  <c r="I117" i="22"/>
  <c r="H117" i="22"/>
  <c r="G117" i="22"/>
  <c r="F117" i="22"/>
  <c r="E117" i="22"/>
  <c r="D117" i="22"/>
  <c r="AO117" i="22" s="1"/>
  <c r="C117" i="22"/>
  <c r="AQ116" i="22"/>
  <c r="AO116" i="22"/>
  <c r="AJ116" i="22"/>
  <c r="AI116" i="22"/>
  <c r="AH116" i="22"/>
  <c r="AG116" i="22"/>
  <c r="AF116" i="22"/>
  <c r="AE116" i="22"/>
  <c r="AD116" i="22"/>
  <c r="AC116" i="22"/>
  <c r="AB116" i="22"/>
  <c r="AL116" i="22" s="1"/>
  <c r="AA116" i="22"/>
  <c r="Z116" i="22"/>
  <c r="Y116" i="22"/>
  <c r="X116" i="22"/>
  <c r="W116" i="22"/>
  <c r="V116" i="22"/>
  <c r="U116" i="22"/>
  <c r="T116" i="22"/>
  <c r="AM116" i="22" s="1"/>
  <c r="S116" i="22"/>
  <c r="R116" i="22"/>
  <c r="Q116" i="22"/>
  <c r="P116" i="22"/>
  <c r="O116" i="22"/>
  <c r="N116" i="22"/>
  <c r="M116" i="22"/>
  <c r="L116" i="22"/>
  <c r="K116" i="22"/>
  <c r="J116" i="22"/>
  <c r="I116" i="22"/>
  <c r="H116" i="22"/>
  <c r="G116" i="22"/>
  <c r="F116" i="22"/>
  <c r="E116" i="22"/>
  <c r="D116" i="22"/>
  <c r="AJ115" i="22"/>
  <c r="AQ115" i="22" s="1"/>
  <c r="AI115" i="22"/>
  <c r="AH115" i="22"/>
  <c r="AG115" i="22"/>
  <c r="AF115" i="22"/>
  <c r="AE115" i="22"/>
  <c r="AD115" i="22"/>
  <c r="AC115" i="22"/>
  <c r="AB115" i="22"/>
  <c r="AA115" i="22"/>
  <c r="Z115" i="22"/>
  <c r="Y115" i="22"/>
  <c r="X115" i="22"/>
  <c r="W115" i="22"/>
  <c r="V115" i="22"/>
  <c r="U115" i="22"/>
  <c r="T115" i="22"/>
  <c r="AM115" i="22" s="1"/>
  <c r="S115" i="22"/>
  <c r="R115" i="22"/>
  <c r="Q115" i="22"/>
  <c r="P115" i="22"/>
  <c r="O115" i="22"/>
  <c r="AN115" i="22" s="1"/>
  <c r="N115" i="22"/>
  <c r="M115" i="22"/>
  <c r="L115" i="22"/>
  <c r="K115" i="22"/>
  <c r="J115" i="22"/>
  <c r="I115" i="22"/>
  <c r="H115" i="22"/>
  <c r="G115" i="22"/>
  <c r="F115" i="22"/>
  <c r="E115" i="22"/>
  <c r="D115" i="22"/>
  <c r="AJ114" i="22"/>
  <c r="AQ114" i="22" s="1"/>
  <c r="AR49" i="22" s="1"/>
  <c r="AI114" i="22"/>
  <c r="AH114" i="22"/>
  <c r="AG114" i="22"/>
  <c r="AF114" i="22"/>
  <c r="AE114" i="22"/>
  <c r="AD114" i="22"/>
  <c r="AC114" i="22"/>
  <c r="AB114" i="22"/>
  <c r="AL114" i="22" s="1"/>
  <c r="AA114" i="22"/>
  <c r="Z114" i="22"/>
  <c r="Y114" i="22"/>
  <c r="X114" i="22"/>
  <c r="W114" i="22"/>
  <c r="V114" i="22"/>
  <c r="U114" i="22"/>
  <c r="AM114" i="22" s="1"/>
  <c r="T114" i="22"/>
  <c r="S114" i="22"/>
  <c r="R114" i="22"/>
  <c r="Q114" i="22"/>
  <c r="P114" i="22"/>
  <c r="O114" i="22"/>
  <c r="N114" i="22"/>
  <c r="M114" i="22"/>
  <c r="L114" i="22"/>
  <c r="AN114" i="22" s="1"/>
  <c r="K114" i="22"/>
  <c r="J114" i="22"/>
  <c r="I114" i="22"/>
  <c r="H114" i="22"/>
  <c r="G114" i="22"/>
  <c r="F114" i="22"/>
  <c r="E114" i="22"/>
  <c r="D114" i="22"/>
  <c r="AO114" i="22" s="1"/>
  <c r="AL113" i="22"/>
  <c r="AJ113" i="22"/>
  <c r="AQ113" i="22" s="1"/>
  <c r="AI113" i="22"/>
  <c r="AH113" i="22"/>
  <c r="AG113" i="22"/>
  <c r="AF113" i="22"/>
  <c r="AE113" i="22"/>
  <c r="AD113" i="22"/>
  <c r="AC113" i="22"/>
  <c r="AB113" i="22"/>
  <c r="AA113" i="22"/>
  <c r="Z113" i="22"/>
  <c r="Y113" i="22"/>
  <c r="AM113" i="22" s="1"/>
  <c r="X113" i="22"/>
  <c r="W113" i="22"/>
  <c r="V113" i="22"/>
  <c r="U113" i="22"/>
  <c r="T113" i="22"/>
  <c r="S113" i="22"/>
  <c r="R113" i="22"/>
  <c r="Q113" i="22"/>
  <c r="P113" i="22"/>
  <c r="O113" i="22"/>
  <c r="N113" i="22"/>
  <c r="M113" i="22"/>
  <c r="AN113" i="22" s="1"/>
  <c r="L113" i="22"/>
  <c r="K113" i="22"/>
  <c r="J113" i="22"/>
  <c r="I113" i="22"/>
  <c r="H113" i="22"/>
  <c r="G113" i="22"/>
  <c r="F113" i="22"/>
  <c r="E113" i="22"/>
  <c r="D113" i="22"/>
  <c r="AO113" i="22" s="1"/>
  <c r="AQ112" i="22"/>
  <c r="AR47" i="22" s="1"/>
  <c r="AJ112" i="22"/>
  <c r="AI112" i="22"/>
  <c r="AH112" i="22"/>
  <c r="AG112" i="22"/>
  <c r="AF112" i="22"/>
  <c r="AE112" i="22"/>
  <c r="AD112" i="22"/>
  <c r="AC112" i="22"/>
  <c r="AB112" i="22"/>
  <c r="AA112" i="22"/>
  <c r="Z112" i="22"/>
  <c r="Y112" i="22"/>
  <c r="X112" i="22"/>
  <c r="W112" i="22"/>
  <c r="V112" i="22"/>
  <c r="U112" i="22"/>
  <c r="T112" i="22"/>
  <c r="AM112" i="22" s="1"/>
  <c r="S112" i="22"/>
  <c r="R112" i="22"/>
  <c r="Q112" i="22"/>
  <c r="P112" i="22"/>
  <c r="O112" i="22"/>
  <c r="N112" i="22"/>
  <c r="M112" i="22"/>
  <c r="L112" i="22"/>
  <c r="K112" i="22"/>
  <c r="J112" i="22"/>
  <c r="I112" i="22"/>
  <c r="H112" i="22"/>
  <c r="G112" i="22"/>
  <c r="F112" i="22"/>
  <c r="E112" i="22"/>
  <c r="D112" i="22"/>
  <c r="AO112" i="22" s="1"/>
  <c r="AJ111" i="22"/>
  <c r="AQ111" i="22" s="1"/>
  <c r="AR46" i="22" s="1"/>
  <c r="AI111" i="22"/>
  <c r="AH111" i="22"/>
  <c r="AG111" i="22"/>
  <c r="AF111" i="22"/>
  <c r="AE111" i="22"/>
  <c r="AD111" i="22"/>
  <c r="AC111" i="22"/>
  <c r="AB111" i="22"/>
  <c r="AA111" i="22"/>
  <c r="Z111" i="22"/>
  <c r="Y111" i="22"/>
  <c r="X111" i="22"/>
  <c r="W111" i="22"/>
  <c r="V111" i="22"/>
  <c r="U111" i="22"/>
  <c r="T111" i="22"/>
  <c r="AM111" i="22" s="1"/>
  <c r="S111" i="22"/>
  <c r="R111" i="22"/>
  <c r="Q111" i="22"/>
  <c r="P111" i="22"/>
  <c r="O111" i="22"/>
  <c r="N111" i="22"/>
  <c r="M111" i="22"/>
  <c r="L111" i="22"/>
  <c r="K111" i="22"/>
  <c r="J111" i="22"/>
  <c r="I111" i="22"/>
  <c r="H111" i="22"/>
  <c r="G111" i="22"/>
  <c r="F111" i="22"/>
  <c r="E111" i="22"/>
  <c r="D111" i="22"/>
  <c r="AJ110" i="22"/>
  <c r="AQ110" i="22" s="1"/>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L110" i="22"/>
  <c r="AN110" i="22" s="1"/>
  <c r="K110" i="22"/>
  <c r="J110" i="22"/>
  <c r="I110" i="22"/>
  <c r="H110" i="22"/>
  <c r="G110" i="22"/>
  <c r="F110" i="22"/>
  <c r="E110" i="22"/>
  <c r="D110" i="22"/>
  <c r="AL109" i="22"/>
  <c r="AJ109" i="22"/>
  <c r="AQ109" i="22" s="1"/>
  <c r="AR44" i="22" s="1"/>
  <c r="AI109" i="22"/>
  <c r="AH109" i="22"/>
  <c r="AG109" i="22"/>
  <c r="AF109" i="22"/>
  <c r="AE109" i="22"/>
  <c r="AD109" i="22"/>
  <c r="AC109" i="22"/>
  <c r="AB109" i="22"/>
  <c r="AA109" i="22"/>
  <c r="Z109" i="22"/>
  <c r="Y109" i="22"/>
  <c r="AM109" i="22" s="1"/>
  <c r="X109" i="22"/>
  <c r="W109" i="22"/>
  <c r="V109" i="22"/>
  <c r="U109" i="22"/>
  <c r="T109" i="22"/>
  <c r="S109" i="22"/>
  <c r="R109" i="22"/>
  <c r="Q109" i="22"/>
  <c r="P109" i="22"/>
  <c r="O109" i="22"/>
  <c r="N109" i="22"/>
  <c r="M109" i="22"/>
  <c r="AN109" i="22" s="1"/>
  <c r="L109" i="22"/>
  <c r="K109" i="22"/>
  <c r="J109" i="22"/>
  <c r="I109" i="22"/>
  <c r="H109" i="22"/>
  <c r="G109" i="22"/>
  <c r="F109" i="22"/>
  <c r="E109" i="22"/>
  <c r="D109" i="22"/>
  <c r="AO109" i="22" s="1"/>
  <c r="C109" i="22"/>
  <c r="AQ108" i="22"/>
  <c r="AJ108" i="22"/>
  <c r="AI108" i="22"/>
  <c r="AH108" i="22"/>
  <c r="AG108" i="22"/>
  <c r="AF108" i="22"/>
  <c r="AE108" i="22"/>
  <c r="AD108" i="22"/>
  <c r="AC108" i="22"/>
  <c r="AB108" i="22"/>
  <c r="AL108" i="22" s="1"/>
  <c r="AA108" i="22"/>
  <c r="Z108" i="22"/>
  <c r="Y108" i="22"/>
  <c r="X108" i="22"/>
  <c r="W108" i="22"/>
  <c r="V108" i="22"/>
  <c r="U108" i="22"/>
  <c r="T108" i="22"/>
  <c r="AM108" i="22" s="1"/>
  <c r="S108" i="22"/>
  <c r="R108" i="22"/>
  <c r="Q108" i="22"/>
  <c r="P108" i="22"/>
  <c r="O108" i="22"/>
  <c r="N108" i="22"/>
  <c r="M108" i="22"/>
  <c r="L108" i="22"/>
  <c r="AN108" i="22" s="1"/>
  <c r="K108" i="22"/>
  <c r="J108" i="22"/>
  <c r="I108" i="22"/>
  <c r="H108" i="22"/>
  <c r="G108" i="22"/>
  <c r="F108" i="22"/>
  <c r="E108" i="22"/>
  <c r="D108" i="22"/>
  <c r="AO108" i="22" s="1"/>
  <c r="AJ107" i="22"/>
  <c r="AQ107" i="22" s="1"/>
  <c r="AR42" i="22" s="1"/>
  <c r="AI107" i="22"/>
  <c r="AH107" i="22"/>
  <c r="AG107" i="22"/>
  <c r="AF107" i="22"/>
  <c r="AE107" i="22"/>
  <c r="AD107" i="22"/>
  <c r="AC107" i="22"/>
  <c r="AB107" i="22"/>
  <c r="AA107" i="22"/>
  <c r="Z107" i="22"/>
  <c r="Y107" i="22"/>
  <c r="X107" i="22"/>
  <c r="W107" i="22"/>
  <c r="V107" i="22"/>
  <c r="U107" i="22"/>
  <c r="T107" i="22"/>
  <c r="AM107" i="22" s="1"/>
  <c r="S107" i="22"/>
  <c r="R107" i="22"/>
  <c r="Q107" i="22"/>
  <c r="P107" i="22"/>
  <c r="O107" i="22"/>
  <c r="N107" i="22"/>
  <c r="M107" i="22"/>
  <c r="L107" i="22"/>
  <c r="K107" i="22"/>
  <c r="J107" i="22"/>
  <c r="I107" i="22"/>
  <c r="H107" i="22"/>
  <c r="G107" i="22"/>
  <c r="F107" i="22"/>
  <c r="E107" i="22"/>
  <c r="D107" i="22"/>
  <c r="AJ106" i="22"/>
  <c r="AQ106" i="22" s="1"/>
  <c r="AI106" i="22"/>
  <c r="AH106" i="22"/>
  <c r="AG106" i="22"/>
  <c r="AF106" i="22"/>
  <c r="AE106" i="22"/>
  <c r="AD106" i="22"/>
  <c r="AC106" i="22"/>
  <c r="AB106" i="22"/>
  <c r="AL106" i="22" s="1"/>
  <c r="AA106" i="22"/>
  <c r="Z106" i="22"/>
  <c r="Y106" i="22"/>
  <c r="X106" i="22"/>
  <c r="W106" i="22"/>
  <c r="V106" i="22"/>
  <c r="U106" i="22"/>
  <c r="AM106" i="22" s="1"/>
  <c r="T106" i="22"/>
  <c r="S106" i="22"/>
  <c r="R106" i="22"/>
  <c r="Q106" i="22"/>
  <c r="P106" i="22"/>
  <c r="O106" i="22"/>
  <c r="N106" i="22"/>
  <c r="M106" i="22"/>
  <c r="L106" i="22"/>
  <c r="AN106" i="22" s="1"/>
  <c r="K106" i="22"/>
  <c r="J106" i="22"/>
  <c r="I106" i="22"/>
  <c r="H106" i="22"/>
  <c r="G106" i="22"/>
  <c r="F106" i="22"/>
  <c r="E106" i="22"/>
  <c r="D106" i="22"/>
  <c r="AO106" i="22" s="1"/>
  <c r="AL105" i="22"/>
  <c r="AJ105" i="22"/>
  <c r="AQ105" i="22" s="1"/>
  <c r="AR40" i="22" s="1"/>
  <c r="AI105" i="22"/>
  <c r="AH105" i="22"/>
  <c r="AG105" i="22"/>
  <c r="AF105" i="22"/>
  <c r="AE105" i="22"/>
  <c r="AD105" i="22"/>
  <c r="AC105" i="22"/>
  <c r="AB105" i="22"/>
  <c r="AA105" i="22"/>
  <c r="Z105" i="22"/>
  <c r="Y105" i="22"/>
  <c r="AM105" i="22" s="1"/>
  <c r="X105" i="22"/>
  <c r="W105" i="22"/>
  <c r="V105" i="22"/>
  <c r="U105" i="22"/>
  <c r="T105" i="22"/>
  <c r="S105" i="22"/>
  <c r="R105" i="22"/>
  <c r="Q105" i="22"/>
  <c r="P105" i="22"/>
  <c r="O105" i="22"/>
  <c r="N105" i="22"/>
  <c r="M105" i="22"/>
  <c r="AN105" i="22" s="1"/>
  <c r="L105" i="22"/>
  <c r="K105" i="22"/>
  <c r="J105" i="22"/>
  <c r="I105" i="22"/>
  <c r="H105" i="22"/>
  <c r="G105" i="22"/>
  <c r="F105" i="22"/>
  <c r="E105" i="22"/>
  <c r="D105" i="22"/>
  <c r="AO105" i="22" s="1"/>
  <c r="C105" i="22"/>
  <c r="AQ104" i="22"/>
  <c r="AO104" i="22"/>
  <c r="AJ104" i="22"/>
  <c r="AI104" i="22"/>
  <c r="AH104" i="22"/>
  <c r="AG104" i="22"/>
  <c r="AF104" i="22"/>
  <c r="AE104" i="22"/>
  <c r="AD104" i="22"/>
  <c r="AC104" i="22"/>
  <c r="AB104" i="22"/>
  <c r="AA104" i="22"/>
  <c r="Z104" i="22"/>
  <c r="Y104" i="22"/>
  <c r="X104" i="22"/>
  <c r="W104" i="22"/>
  <c r="V104" i="22"/>
  <c r="U104" i="22"/>
  <c r="T104" i="22"/>
  <c r="AM104" i="22" s="1"/>
  <c r="S104" i="22"/>
  <c r="R104" i="22"/>
  <c r="Q104" i="22"/>
  <c r="P104" i="22"/>
  <c r="O104" i="22"/>
  <c r="N104" i="22"/>
  <c r="M104" i="22"/>
  <c r="L104" i="22"/>
  <c r="AN104" i="22" s="1"/>
  <c r="K104" i="22"/>
  <c r="J104" i="22"/>
  <c r="I104" i="22"/>
  <c r="H104" i="22"/>
  <c r="G104" i="22"/>
  <c r="F104" i="22"/>
  <c r="E104" i="22"/>
  <c r="D104" i="22"/>
  <c r="AJ103" i="22"/>
  <c r="AQ103" i="22" s="1"/>
  <c r="AI103" i="22"/>
  <c r="AH103" i="22"/>
  <c r="AG103" i="22"/>
  <c r="AF103" i="22"/>
  <c r="AE103" i="22"/>
  <c r="AD103" i="22"/>
  <c r="AL103" i="22" s="1"/>
  <c r="AC103" i="22"/>
  <c r="AB103" i="22"/>
  <c r="AA103" i="22"/>
  <c r="Z103" i="22"/>
  <c r="Y103" i="22"/>
  <c r="X103" i="22"/>
  <c r="W103" i="22"/>
  <c r="V103" i="22"/>
  <c r="U103" i="22"/>
  <c r="T103" i="22"/>
  <c r="AM103" i="22" s="1"/>
  <c r="S103" i="22"/>
  <c r="R103" i="22"/>
  <c r="Q103" i="22"/>
  <c r="P103" i="22"/>
  <c r="O103" i="22"/>
  <c r="AN103" i="22" s="1"/>
  <c r="N103" i="22"/>
  <c r="M103" i="22"/>
  <c r="L103" i="22"/>
  <c r="K103" i="22"/>
  <c r="J103" i="22"/>
  <c r="I103" i="22"/>
  <c r="H103" i="22"/>
  <c r="G103" i="22"/>
  <c r="F103" i="22"/>
  <c r="E103" i="22"/>
  <c r="D103" i="22"/>
  <c r="AJ102" i="22"/>
  <c r="AQ102" i="22" s="1"/>
  <c r="AI102" i="22"/>
  <c r="AH102" i="22"/>
  <c r="AG102" i="22"/>
  <c r="AF102" i="22"/>
  <c r="AE102" i="22"/>
  <c r="AD102" i="22"/>
  <c r="AC102" i="22"/>
  <c r="AB102" i="22"/>
  <c r="AA102" i="22"/>
  <c r="Z102" i="22"/>
  <c r="Y102" i="22"/>
  <c r="X102" i="22"/>
  <c r="W102" i="22"/>
  <c r="V102" i="22"/>
  <c r="U102" i="22"/>
  <c r="AM102" i="22" s="1"/>
  <c r="T102" i="22"/>
  <c r="S102" i="22"/>
  <c r="R102" i="22"/>
  <c r="Q102" i="22"/>
  <c r="P102" i="22"/>
  <c r="O102" i="22"/>
  <c r="N102" i="22"/>
  <c r="M102" i="22"/>
  <c r="L102" i="22"/>
  <c r="AN102" i="22" s="1"/>
  <c r="K102" i="22"/>
  <c r="J102" i="22"/>
  <c r="I102" i="22"/>
  <c r="H102" i="22"/>
  <c r="G102" i="22"/>
  <c r="F102" i="22"/>
  <c r="E102" i="22"/>
  <c r="D102" i="22"/>
  <c r="AJ101" i="22"/>
  <c r="AQ101" i="22" s="1"/>
  <c r="AI101" i="22"/>
  <c r="AH101" i="22"/>
  <c r="AL101" i="22" s="1"/>
  <c r="AG101" i="22"/>
  <c r="AF101" i="22"/>
  <c r="AE101" i="22"/>
  <c r="AD101" i="22"/>
  <c r="AC101" i="22"/>
  <c r="AB101" i="22"/>
  <c r="AA101" i="22"/>
  <c r="Z101" i="22"/>
  <c r="Y101" i="22"/>
  <c r="AM101" i="22" s="1"/>
  <c r="X101" i="22"/>
  <c r="W101" i="22"/>
  <c r="V101" i="22"/>
  <c r="U101" i="22"/>
  <c r="T101" i="22"/>
  <c r="S101" i="22"/>
  <c r="R101" i="22"/>
  <c r="Q101" i="22"/>
  <c r="P101" i="22"/>
  <c r="O101" i="22"/>
  <c r="N101" i="22"/>
  <c r="M101" i="22"/>
  <c r="AN101" i="22" s="1"/>
  <c r="L101" i="22"/>
  <c r="K101" i="22"/>
  <c r="J101" i="22"/>
  <c r="I101" i="22"/>
  <c r="H101" i="22"/>
  <c r="G101" i="22"/>
  <c r="F101" i="22"/>
  <c r="E101" i="22"/>
  <c r="D101" i="22"/>
  <c r="AO101" i="22" s="1"/>
  <c r="AJ100" i="22"/>
  <c r="AQ100" i="22" s="1"/>
  <c r="AI100" i="22"/>
  <c r="AH100" i="22"/>
  <c r="AG100" i="22"/>
  <c r="AF100" i="22"/>
  <c r="AE100" i="22"/>
  <c r="AD100" i="22"/>
  <c r="AC100" i="22"/>
  <c r="AB100" i="22"/>
  <c r="AA100" i="22"/>
  <c r="Z100" i="22"/>
  <c r="Y100" i="22"/>
  <c r="X100" i="22"/>
  <c r="W100" i="22"/>
  <c r="V100" i="22"/>
  <c r="U100" i="22"/>
  <c r="T100" i="22"/>
  <c r="AM100" i="22" s="1"/>
  <c r="S100" i="22"/>
  <c r="R100" i="22"/>
  <c r="Q100" i="22"/>
  <c r="P100" i="22"/>
  <c r="O100" i="22"/>
  <c r="N100" i="22"/>
  <c r="M100" i="22"/>
  <c r="L100" i="22"/>
  <c r="AN100" i="22" s="1"/>
  <c r="K100" i="22"/>
  <c r="J100" i="22"/>
  <c r="I100" i="22"/>
  <c r="H100" i="22"/>
  <c r="G100" i="22"/>
  <c r="F100" i="22"/>
  <c r="E100" i="22"/>
  <c r="D100" i="22"/>
  <c r="AO100" i="22" s="1"/>
  <c r="AJ99" i="22"/>
  <c r="AQ99" i="22" s="1"/>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O99" i="22" s="1"/>
  <c r="AJ98" i="22"/>
  <c r="AQ98" i="22" s="1"/>
  <c r="AR33" i="22" s="1"/>
  <c r="AI98" i="22"/>
  <c r="AH98" i="22"/>
  <c r="AG98" i="22"/>
  <c r="AF98" i="22"/>
  <c r="AE98" i="22"/>
  <c r="AD98" i="22"/>
  <c r="AC98" i="22"/>
  <c r="AB98" i="22"/>
  <c r="AA98" i="22"/>
  <c r="Z98" i="22"/>
  <c r="Y98" i="22"/>
  <c r="X98" i="22"/>
  <c r="W98" i="22"/>
  <c r="V98" i="22"/>
  <c r="U98" i="22"/>
  <c r="T98" i="22"/>
  <c r="S98" i="22"/>
  <c r="R98" i="22"/>
  <c r="Q98" i="22"/>
  <c r="P98" i="22"/>
  <c r="O98" i="22"/>
  <c r="N98" i="22"/>
  <c r="M98" i="22"/>
  <c r="L98" i="22"/>
  <c r="AN98" i="22" s="1"/>
  <c r="K98" i="22"/>
  <c r="J98" i="22"/>
  <c r="I98" i="22"/>
  <c r="H98" i="22"/>
  <c r="G98" i="22"/>
  <c r="F98" i="22"/>
  <c r="E98" i="22"/>
  <c r="D98" i="22"/>
  <c r="AL97" i="22"/>
  <c r="AJ97" i="22"/>
  <c r="AI97" i="22"/>
  <c r="AH97" i="22"/>
  <c r="AG97" i="22"/>
  <c r="AF97" i="22"/>
  <c r="AE97" i="22"/>
  <c r="AD97" i="22"/>
  <c r="AC97" i="22"/>
  <c r="AB97" i="22"/>
  <c r="AA97" i="22"/>
  <c r="Z97" i="22"/>
  <c r="Y97" i="22"/>
  <c r="AM97" i="22" s="1"/>
  <c r="X97" i="22"/>
  <c r="W97" i="22"/>
  <c r="V97" i="22"/>
  <c r="U97" i="22"/>
  <c r="T97" i="22"/>
  <c r="S97" i="22"/>
  <c r="R97" i="22"/>
  <c r="Q97" i="22"/>
  <c r="P97" i="22"/>
  <c r="O97" i="22"/>
  <c r="N97" i="22"/>
  <c r="M97" i="22"/>
  <c r="AN97" i="22" s="1"/>
  <c r="L97" i="22"/>
  <c r="K97" i="22"/>
  <c r="J97" i="22"/>
  <c r="I97" i="22"/>
  <c r="H97" i="22"/>
  <c r="G97" i="22"/>
  <c r="F97" i="22"/>
  <c r="E97" i="22"/>
  <c r="D97" i="22"/>
  <c r="AO97" i="22" s="1"/>
  <c r="C97" i="22"/>
  <c r="AO96" i="22"/>
  <c r="AJ96" i="22"/>
  <c r="AQ96" i="22" s="1"/>
  <c r="AI96" i="22"/>
  <c r="AH96" i="22"/>
  <c r="AG96" i="22"/>
  <c r="AF96" i="22"/>
  <c r="AE96" i="22"/>
  <c r="AD96" i="22"/>
  <c r="AC96" i="22"/>
  <c r="AB96" i="22"/>
  <c r="AA96" i="22"/>
  <c r="Z96" i="22"/>
  <c r="Y96" i="22"/>
  <c r="X96" i="22"/>
  <c r="W96" i="22"/>
  <c r="V96" i="22"/>
  <c r="U96" i="22"/>
  <c r="T96" i="22"/>
  <c r="AM96" i="22" s="1"/>
  <c r="S96" i="22"/>
  <c r="R96" i="22"/>
  <c r="Q96" i="22"/>
  <c r="P96" i="22"/>
  <c r="O96" i="22"/>
  <c r="N96" i="22"/>
  <c r="M96" i="22"/>
  <c r="L96" i="22"/>
  <c r="K96" i="22"/>
  <c r="J96" i="22"/>
  <c r="I96" i="22"/>
  <c r="H96" i="22"/>
  <c r="G96" i="22"/>
  <c r="F96" i="22"/>
  <c r="E96" i="22"/>
  <c r="D96" i="22"/>
  <c r="AJ95" i="22"/>
  <c r="AI95" i="22"/>
  <c r="AH95" i="22"/>
  <c r="AG95" i="22"/>
  <c r="AF95" i="22"/>
  <c r="AE95" i="22"/>
  <c r="AD95" i="22"/>
  <c r="AC95" i="22"/>
  <c r="AB95" i="22"/>
  <c r="AA95" i="22"/>
  <c r="Z95" i="22"/>
  <c r="Y95" i="22"/>
  <c r="X95" i="22"/>
  <c r="W95" i="22"/>
  <c r="V95" i="22"/>
  <c r="U95" i="22"/>
  <c r="T95" i="22"/>
  <c r="AM95" i="22" s="1"/>
  <c r="S95" i="22"/>
  <c r="R95" i="22"/>
  <c r="Q95" i="22"/>
  <c r="P95" i="22"/>
  <c r="O95" i="22"/>
  <c r="AN95" i="22" s="1"/>
  <c r="N95" i="22"/>
  <c r="M95" i="22"/>
  <c r="L95" i="22"/>
  <c r="K95" i="22"/>
  <c r="J95" i="22"/>
  <c r="I95" i="22"/>
  <c r="H95" i="22"/>
  <c r="G95" i="22"/>
  <c r="F95" i="22"/>
  <c r="E95" i="22"/>
  <c r="D95" i="22"/>
  <c r="AJ94" i="22"/>
  <c r="AI94" i="22"/>
  <c r="AH94" i="22"/>
  <c r="AG94" i="22"/>
  <c r="AF94" i="22"/>
  <c r="AE94" i="22"/>
  <c r="AD94" i="22"/>
  <c r="AC94" i="22"/>
  <c r="AB94" i="22"/>
  <c r="AL94" i="22" s="1"/>
  <c r="AA94" i="22"/>
  <c r="Z94" i="22"/>
  <c r="Y94" i="22"/>
  <c r="X94" i="22"/>
  <c r="W94" i="22"/>
  <c r="V94" i="22"/>
  <c r="U94" i="22"/>
  <c r="T94" i="22"/>
  <c r="S94" i="22"/>
  <c r="R94" i="22"/>
  <c r="Q94" i="22"/>
  <c r="P94" i="22"/>
  <c r="O94" i="22"/>
  <c r="N94" i="22"/>
  <c r="M94" i="22"/>
  <c r="L94" i="22"/>
  <c r="AN94" i="22" s="1"/>
  <c r="K94" i="22"/>
  <c r="J94" i="22"/>
  <c r="I94" i="22"/>
  <c r="H94" i="22"/>
  <c r="G94" i="22"/>
  <c r="F94" i="22"/>
  <c r="E94" i="22"/>
  <c r="D94" i="22"/>
  <c r="AO94" i="22" s="1"/>
  <c r="AJ93" i="22"/>
  <c r="AQ93" i="22" s="1"/>
  <c r="AI93" i="22"/>
  <c r="AH93" i="22"/>
  <c r="AG93" i="22"/>
  <c r="AL93" i="22" s="1"/>
  <c r="AF93" i="22"/>
  <c r="AE93" i="22"/>
  <c r="AD93" i="22"/>
  <c r="AC93" i="22"/>
  <c r="AB93" i="22"/>
  <c r="AA93" i="22"/>
  <c r="Z93" i="22"/>
  <c r="Y93" i="22"/>
  <c r="AM93" i="22" s="1"/>
  <c r="X93" i="22"/>
  <c r="W93" i="22"/>
  <c r="V93" i="22"/>
  <c r="U93" i="22"/>
  <c r="T93" i="22"/>
  <c r="S93" i="22"/>
  <c r="R93" i="22"/>
  <c r="Q93" i="22"/>
  <c r="P93" i="22"/>
  <c r="O93" i="22"/>
  <c r="N93" i="22"/>
  <c r="M93" i="22"/>
  <c r="AN93" i="22" s="1"/>
  <c r="L93" i="22"/>
  <c r="K93" i="22"/>
  <c r="J93" i="22"/>
  <c r="I93" i="22"/>
  <c r="H93" i="22"/>
  <c r="G93" i="22"/>
  <c r="F93" i="22"/>
  <c r="E93" i="22"/>
  <c r="D93" i="22"/>
  <c r="AO93" i="22" s="1"/>
  <c r="C93" i="22"/>
  <c r="AJ92" i="22"/>
  <c r="AQ92" i="22" s="1"/>
  <c r="AI92" i="22"/>
  <c r="AH92" i="22"/>
  <c r="AG92" i="22"/>
  <c r="AF92" i="22"/>
  <c r="AE92" i="22"/>
  <c r="AD92" i="22"/>
  <c r="AC92" i="22"/>
  <c r="AB92" i="22"/>
  <c r="AA92" i="22"/>
  <c r="Z92" i="22"/>
  <c r="Y92" i="22"/>
  <c r="X92" i="22"/>
  <c r="W92" i="22"/>
  <c r="V92" i="22"/>
  <c r="U92" i="22"/>
  <c r="T92" i="22"/>
  <c r="AM92" i="22" s="1"/>
  <c r="S92" i="22"/>
  <c r="R92" i="22"/>
  <c r="Q92" i="22"/>
  <c r="P92" i="22"/>
  <c r="O92" i="22"/>
  <c r="N92" i="22"/>
  <c r="M92" i="22"/>
  <c r="L92" i="22"/>
  <c r="AN92" i="22" s="1"/>
  <c r="K92" i="22"/>
  <c r="J92" i="22"/>
  <c r="I92" i="22"/>
  <c r="H92" i="22"/>
  <c r="G92" i="22"/>
  <c r="F92" i="22"/>
  <c r="E92" i="22"/>
  <c r="D92" i="22"/>
  <c r="AO92" i="22" s="1"/>
  <c r="C92" i="22"/>
  <c r="AJ91" i="22"/>
  <c r="AI91" i="22"/>
  <c r="AH91" i="22"/>
  <c r="AG91" i="22"/>
  <c r="AF91" i="22"/>
  <c r="AE91" i="22"/>
  <c r="AD91" i="22"/>
  <c r="AC91" i="22"/>
  <c r="AB91" i="22"/>
  <c r="AA91" i="22"/>
  <c r="Z91" i="22"/>
  <c r="Y91" i="22"/>
  <c r="X91" i="22"/>
  <c r="W91" i="22"/>
  <c r="V91" i="22"/>
  <c r="U91" i="22"/>
  <c r="T91" i="22"/>
  <c r="AM91" i="22" s="1"/>
  <c r="S91" i="22"/>
  <c r="R91" i="22"/>
  <c r="Q91" i="22"/>
  <c r="P91" i="22"/>
  <c r="O91" i="22"/>
  <c r="AN91" i="22" s="1"/>
  <c r="N91" i="22"/>
  <c r="M91" i="22"/>
  <c r="L91" i="22"/>
  <c r="K91" i="22"/>
  <c r="J91" i="22"/>
  <c r="I91" i="22"/>
  <c r="H91" i="22"/>
  <c r="G91" i="22"/>
  <c r="F91" i="22"/>
  <c r="E91" i="22"/>
  <c r="D91" i="22"/>
  <c r="AJ90" i="22"/>
  <c r="AQ90" i="22" s="1"/>
  <c r="AI90" i="22"/>
  <c r="AH90" i="22"/>
  <c r="AG90" i="22"/>
  <c r="AF90" i="22"/>
  <c r="AE90" i="22"/>
  <c r="AD90" i="22"/>
  <c r="AC90" i="22"/>
  <c r="AB90" i="22"/>
  <c r="AA90" i="22"/>
  <c r="Z90" i="22"/>
  <c r="Y90" i="22"/>
  <c r="X90" i="22"/>
  <c r="W90" i="22"/>
  <c r="V90" i="22"/>
  <c r="U90" i="22"/>
  <c r="T90" i="22"/>
  <c r="S90" i="22"/>
  <c r="R90" i="22"/>
  <c r="Q90" i="22"/>
  <c r="P90" i="22"/>
  <c r="O90" i="22"/>
  <c r="N90" i="22"/>
  <c r="M90" i="22"/>
  <c r="L90" i="22"/>
  <c r="AN90" i="22" s="1"/>
  <c r="K90" i="22"/>
  <c r="J90" i="22"/>
  <c r="I90" i="22"/>
  <c r="H90" i="22"/>
  <c r="G90" i="22"/>
  <c r="F90" i="22"/>
  <c r="E90" i="22"/>
  <c r="D90" i="22"/>
  <c r="AJ89" i="22"/>
  <c r="AQ89" i="22" s="1"/>
  <c r="AI89" i="22"/>
  <c r="AH89" i="22"/>
  <c r="AG89" i="22"/>
  <c r="AL89" i="22" s="1"/>
  <c r="AF89" i="22"/>
  <c r="AE89" i="22"/>
  <c r="AD89" i="22"/>
  <c r="AC89" i="22"/>
  <c r="AB89" i="22"/>
  <c r="AA89" i="22"/>
  <c r="Z89" i="22"/>
  <c r="AM89" i="22" s="1"/>
  <c r="Y89" i="22"/>
  <c r="X89" i="22"/>
  <c r="W89" i="22"/>
  <c r="V89" i="22"/>
  <c r="U89" i="22"/>
  <c r="T89" i="22"/>
  <c r="S89" i="22"/>
  <c r="R89" i="22"/>
  <c r="Q89" i="22"/>
  <c r="P89" i="22"/>
  <c r="O89" i="22"/>
  <c r="N89" i="22"/>
  <c r="M89" i="22"/>
  <c r="AN89" i="22" s="1"/>
  <c r="L89" i="22"/>
  <c r="K89" i="22"/>
  <c r="J89" i="22"/>
  <c r="I89" i="22"/>
  <c r="H89" i="22"/>
  <c r="G89" i="22"/>
  <c r="F89" i="22"/>
  <c r="E89" i="22"/>
  <c r="D89" i="22"/>
  <c r="AO89" i="22" s="1"/>
  <c r="AJ88" i="22"/>
  <c r="AQ88" i="22" s="1"/>
  <c r="AI88" i="22"/>
  <c r="AH88" i="22"/>
  <c r="AG88" i="22"/>
  <c r="AF88" i="22"/>
  <c r="AE88" i="22"/>
  <c r="AD88" i="22"/>
  <c r="AC88" i="22"/>
  <c r="AB88" i="22"/>
  <c r="AA88" i="22"/>
  <c r="Z88" i="22"/>
  <c r="Y88" i="22"/>
  <c r="X88" i="22"/>
  <c r="W88" i="22"/>
  <c r="V88" i="22"/>
  <c r="U88" i="22"/>
  <c r="T88" i="22"/>
  <c r="AM88" i="22" s="1"/>
  <c r="S88" i="22"/>
  <c r="R88" i="22"/>
  <c r="Q88" i="22"/>
  <c r="P88" i="22"/>
  <c r="O88" i="22"/>
  <c r="N88" i="22"/>
  <c r="M88" i="22"/>
  <c r="L88" i="22"/>
  <c r="AN88" i="22" s="1"/>
  <c r="K88" i="22"/>
  <c r="J88" i="22"/>
  <c r="I88" i="22"/>
  <c r="H88" i="22"/>
  <c r="G88" i="22"/>
  <c r="F88" i="22"/>
  <c r="E88" i="22"/>
  <c r="D88" i="22"/>
  <c r="AO88" i="22" s="1"/>
  <c r="AJ87" i="22"/>
  <c r="AI87" i="22"/>
  <c r="AH87" i="22"/>
  <c r="AG87" i="22"/>
  <c r="AF87" i="22"/>
  <c r="AE87" i="22"/>
  <c r="AD87" i="22"/>
  <c r="AC87" i="22"/>
  <c r="AB87" i="22"/>
  <c r="AA87" i="22"/>
  <c r="Z87" i="22"/>
  <c r="Y87" i="22"/>
  <c r="X87" i="22"/>
  <c r="W87" i="22"/>
  <c r="V87" i="22"/>
  <c r="U87" i="22"/>
  <c r="T87" i="22"/>
  <c r="AM87" i="22" s="1"/>
  <c r="S87" i="22"/>
  <c r="R87" i="22"/>
  <c r="Q87" i="22"/>
  <c r="P87" i="22"/>
  <c r="O87" i="22"/>
  <c r="AN87" i="22" s="1"/>
  <c r="N87" i="22"/>
  <c r="M87" i="22"/>
  <c r="L87" i="22"/>
  <c r="K87" i="22"/>
  <c r="J87" i="22"/>
  <c r="I87" i="22"/>
  <c r="H87" i="22"/>
  <c r="G87" i="22"/>
  <c r="F87" i="22"/>
  <c r="E87" i="22"/>
  <c r="D87" i="22"/>
  <c r="AO87" i="22" s="1"/>
  <c r="C87" i="22"/>
  <c r="AJ86" i="22"/>
  <c r="AI86" i="22"/>
  <c r="AH86" i="22"/>
  <c r="AG86" i="22"/>
  <c r="AF86" i="22"/>
  <c r="AE86" i="22"/>
  <c r="AD86" i="22"/>
  <c r="AC86" i="22"/>
  <c r="AB86" i="22"/>
  <c r="AA86" i="22"/>
  <c r="Z86" i="22"/>
  <c r="Y86" i="22"/>
  <c r="X86" i="22"/>
  <c r="W86" i="22"/>
  <c r="V86" i="22"/>
  <c r="U86" i="22"/>
  <c r="AM86" i="22" s="1"/>
  <c r="T86" i="22"/>
  <c r="S86" i="22"/>
  <c r="R86" i="22"/>
  <c r="Q86" i="22"/>
  <c r="P86" i="22"/>
  <c r="O86" i="22"/>
  <c r="N86" i="22"/>
  <c r="M86" i="22"/>
  <c r="L86" i="22"/>
  <c r="AN86" i="22" s="1"/>
  <c r="K86" i="22"/>
  <c r="J86" i="22"/>
  <c r="I86" i="22"/>
  <c r="H86" i="22"/>
  <c r="G86" i="22"/>
  <c r="F86" i="22"/>
  <c r="E86" i="22"/>
  <c r="D86" i="22"/>
  <c r="AJ85" i="22"/>
  <c r="AI85" i="22"/>
  <c r="AH85" i="22"/>
  <c r="AG85" i="22"/>
  <c r="AF85" i="22"/>
  <c r="AE85" i="22"/>
  <c r="AL85" i="22" s="1"/>
  <c r="AD85" i="22"/>
  <c r="AC85" i="22"/>
  <c r="AB85" i="22"/>
  <c r="AA85" i="22"/>
  <c r="Z85" i="22"/>
  <c r="AM85" i="22" s="1"/>
  <c r="Y85" i="22"/>
  <c r="X85" i="22"/>
  <c r="W85" i="22"/>
  <c r="V85" i="22"/>
  <c r="U85" i="22"/>
  <c r="T85" i="22"/>
  <c r="S85" i="22"/>
  <c r="R85" i="22"/>
  <c r="Q85" i="22"/>
  <c r="P85" i="22"/>
  <c r="O85" i="22"/>
  <c r="N85" i="22"/>
  <c r="AN85" i="22" s="1"/>
  <c r="M85" i="22"/>
  <c r="L85" i="22"/>
  <c r="K85" i="22"/>
  <c r="J85" i="22"/>
  <c r="I85" i="22"/>
  <c r="H85" i="22"/>
  <c r="G85" i="22"/>
  <c r="F85" i="22"/>
  <c r="E85" i="22"/>
  <c r="D85" i="22"/>
  <c r="AO85" i="22" s="1"/>
  <c r="C85" i="22"/>
  <c r="AJ84" i="22"/>
  <c r="AI84" i="22"/>
  <c r="AH84" i="22"/>
  <c r="AG84" i="22"/>
  <c r="AF84" i="22"/>
  <c r="AE84" i="22"/>
  <c r="AD84" i="22"/>
  <c r="AC84" i="22"/>
  <c r="AB84" i="22"/>
  <c r="AA84" i="22"/>
  <c r="Z84" i="22"/>
  <c r="Y84" i="22"/>
  <c r="X84" i="22"/>
  <c r="W84" i="22"/>
  <c r="V84" i="22"/>
  <c r="U84" i="22"/>
  <c r="T84" i="22"/>
  <c r="AM84" i="22" s="1"/>
  <c r="S84" i="22"/>
  <c r="R84" i="22"/>
  <c r="Q84" i="22"/>
  <c r="P84" i="22"/>
  <c r="O84" i="22"/>
  <c r="N84" i="22"/>
  <c r="M84" i="22"/>
  <c r="L84" i="22"/>
  <c r="K84" i="22"/>
  <c r="J84" i="22"/>
  <c r="I84" i="22"/>
  <c r="H84" i="22"/>
  <c r="G84" i="22"/>
  <c r="F84" i="22"/>
  <c r="E84" i="22"/>
  <c r="D84" i="22"/>
  <c r="AO84" i="22" s="1"/>
  <c r="AJ83" i="22"/>
  <c r="AI83" i="22"/>
  <c r="AH83" i="22"/>
  <c r="AG83" i="22"/>
  <c r="AF83" i="22"/>
  <c r="AE83" i="22"/>
  <c r="AD83" i="22"/>
  <c r="AC83" i="22"/>
  <c r="AB83" i="22"/>
  <c r="AA83" i="22"/>
  <c r="Z83" i="22"/>
  <c r="Y83" i="22"/>
  <c r="X83" i="22"/>
  <c r="W83" i="22"/>
  <c r="V83" i="22"/>
  <c r="U83" i="22"/>
  <c r="T83" i="22"/>
  <c r="AM83" i="22" s="1"/>
  <c r="S83" i="22"/>
  <c r="R83" i="22"/>
  <c r="Q83" i="22"/>
  <c r="P83" i="22"/>
  <c r="O83" i="22"/>
  <c r="AN83" i="22" s="1"/>
  <c r="N83" i="22"/>
  <c r="M83" i="22"/>
  <c r="L83" i="22"/>
  <c r="K83" i="22"/>
  <c r="J83" i="22"/>
  <c r="I83" i="22"/>
  <c r="H83" i="22"/>
  <c r="G83" i="22"/>
  <c r="F83" i="22"/>
  <c r="E83" i="22"/>
  <c r="D83" i="22"/>
  <c r="AO83" i="22" s="1"/>
  <c r="AJ82" i="22"/>
  <c r="AI82" i="22"/>
  <c r="AH82" i="22"/>
  <c r="AG82" i="22"/>
  <c r="AF82" i="22"/>
  <c r="AE82" i="22"/>
  <c r="AD82" i="22"/>
  <c r="AC82" i="22"/>
  <c r="AB82" i="22"/>
  <c r="AA82" i="22"/>
  <c r="Z82" i="22"/>
  <c r="Y82" i="22"/>
  <c r="X82" i="22"/>
  <c r="W82" i="22"/>
  <c r="V82" i="22"/>
  <c r="U82" i="22"/>
  <c r="T82" i="22"/>
  <c r="S82" i="22"/>
  <c r="R82" i="22"/>
  <c r="Q82" i="22"/>
  <c r="P82" i="22"/>
  <c r="O82" i="22"/>
  <c r="N82" i="22"/>
  <c r="M82" i="22"/>
  <c r="L82" i="22"/>
  <c r="AN82" i="22" s="1"/>
  <c r="K82" i="22"/>
  <c r="J82" i="22"/>
  <c r="I82" i="22"/>
  <c r="H82" i="22"/>
  <c r="G82" i="22"/>
  <c r="F82" i="22"/>
  <c r="E82" i="22"/>
  <c r="D82" i="22"/>
  <c r="AL81" i="22"/>
  <c r="AJ81" i="22"/>
  <c r="AI81" i="22"/>
  <c r="AH81" i="22"/>
  <c r="AG81" i="22"/>
  <c r="AF81" i="22"/>
  <c r="AE81" i="22"/>
  <c r="AD81" i="22"/>
  <c r="AC81" i="22"/>
  <c r="AB81" i="22"/>
  <c r="AA81" i="22"/>
  <c r="Z81" i="22"/>
  <c r="Y81" i="22"/>
  <c r="AM81" i="22" s="1"/>
  <c r="X81" i="22"/>
  <c r="W81" i="22"/>
  <c r="V81" i="22"/>
  <c r="U81" i="22"/>
  <c r="T81" i="22"/>
  <c r="S81" i="22"/>
  <c r="R81" i="22"/>
  <c r="Q81" i="22"/>
  <c r="P81" i="22"/>
  <c r="O81" i="22"/>
  <c r="AN81" i="22" s="1"/>
  <c r="N81" i="22"/>
  <c r="M81" i="22"/>
  <c r="L81" i="22"/>
  <c r="K81" i="22"/>
  <c r="J81" i="22"/>
  <c r="I81" i="22"/>
  <c r="H81" i="22"/>
  <c r="G81" i="22"/>
  <c r="F81" i="22"/>
  <c r="E81" i="22"/>
  <c r="D81" i="22"/>
  <c r="AO81" i="22" s="1"/>
  <c r="C81" i="22"/>
  <c r="AO80" i="22"/>
  <c r="AJ80" i="22"/>
  <c r="AI80" i="22"/>
  <c r="AH80" i="22"/>
  <c r="AG80" i="22"/>
  <c r="AF80" i="22"/>
  <c r="AE80" i="22"/>
  <c r="AD80" i="22"/>
  <c r="AC80" i="22"/>
  <c r="AB80" i="22"/>
  <c r="AA80" i="22"/>
  <c r="Z80" i="22"/>
  <c r="Y80" i="22"/>
  <c r="X80" i="22"/>
  <c r="W80" i="22"/>
  <c r="V80" i="22"/>
  <c r="U80" i="22"/>
  <c r="T80" i="22"/>
  <c r="AM80" i="22" s="1"/>
  <c r="S80" i="22"/>
  <c r="R80" i="22"/>
  <c r="Q80" i="22"/>
  <c r="P80" i="22"/>
  <c r="O80" i="22"/>
  <c r="N80" i="22"/>
  <c r="M80" i="22"/>
  <c r="L80" i="22"/>
  <c r="AN80" i="22" s="1"/>
  <c r="K80" i="22"/>
  <c r="J80" i="22"/>
  <c r="I80" i="22"/>
  <c r="H80" i="22"/>
  <c r="G80" i="22"/>
  <c r="F80" i="22"/>
  <c r="E80" i="22"/>
  <c r="D80" i="22"/>
  <c r="AJ79" i="22"/>
  <c r="AI79" i="22"/>
  <c r="AH79" i="22"/>
  <c r="AG79" i="22"/>
  <c r="AF79" i="22"/>
  <c r="AE79" i="22"/>
  <c r="AD79" i="22"/>
  <c r="AC79" i="22"/>
  <c r="AB79" i="22"/>
  <c r="AA79" i="22"/>
  <c r="Z79" i="22"/>
  <c r="Y79" i="22"/>
  <c r="X79" i="22"/>
  <c r="W79" i="22"/>
  <c r="V79" i="22"/>
  <c r="U79" i="22"/>
  <c r="T79" i="22"/>
  <c r="S79" i="22"/>
  <c r="R79" i="22"/>
  <c r="Q79" i="22"/>
  <c r="P79" i="22"/>
  <c r="O79" i="22"/>
  <c r="AN79" i="22" s="1"/>
  <c r="N79" i="22"/>
  <c r="M79" i="22"/>
  <c r="L79" i="22"/>
  <c r="K79" i="22"/>
  <c r="J79" i="22"/>
  <c r="I79" i="22"/>
  <c r="H79" i="22"/>
  <c r="G79" i="22"/>
  <c r="F79" i="22"/>
  <c r="E79" i="22"/>
  <c r="D79" i="22"/>
  <c r="C79" i="22"/>
  <c r="AJ78" i="22"/>
  <c r="AI78" i="22"/>
  <c r="AH78" i="22"/>
  <c r="AG78" i="22"/>
  <c r="AF78" i="22"/>
  <c r="AE78" i="22"/>
  <c r="AD78" i="22"/>
  <c r="AC78" i="22"/>
  <c r="AB78" i="22"/>
  <c r="AA78" i="22"/>
  <c r="Z78" i="22"/>
  <c r="Y78" i="22"/>
  <c r="X78" i="22"/>
  <c r="W78" i="22"/>
  <c r="V78" i="22"/>
  <c r="U78" i="22"/>
  <c r="T78" i="22"/>
  <c r="S78" i="22"/>
  <c r="R78" i="22"/>
  <c r="Q78" i="22"/>
  <c r="P78" i="22"/>
  <c r="O78" i="22"/>
  <c r="N78" i="22"/>
  <c r="M78" i="22"/>
  <c r="L78" i="22"/>
  <c r="AN78" i="22" s="1"/>
  <c r="K78" i="22"/>
  <c r="J78" i="22"/>
  <c r="I78" i="22"/>
  <c r="H78" i="22"/>
  <c r="G78" i="22"/>
  <c r="F78" i="22"/>
  <c r="E78" i="22"/>
  <c r="D78" i="22"/>
  <c r="AL77" i="22"/>
  <c r="AJ77" i="22"/>
  <c r="AI77" i="22"/>
  <c r="AH77" i="22"/>
  <c r="AG77" i="22"/>
  <c r="AF77" i="22"/>
  <c r="AE77" i="22"/>
  <c r="AD77" i="22"/>
  <c r="AC77" i="22"/>
  <c r="AB77" i="22"/>
  <c r="AA77" i="22"/>
  <c r="Z77" i="22"/>
  <c r="Y77" i="22"/>
  <c r="AM77" i="22" s="1"/>
  <c r="X77" i="22"/>
  <c r="W77" i="22"/>
  <c r="V77" i="22"/>
  <c r="U77" i="22"/>
  <c r="T77" i="22"/>
  <c r="S77" i="22"/>
  <c r="R77" i="22"/>
  <c r="Q77" i="22"/>
  <c r="P77" i="22"/>
  <c r="O77" i="22"/>
  <c r="AN77" i="22" s="1"/>
  <c r="N77" i="22"/>
  <c r="M77" i="22"/>
  <c r="L77" i="22"/>
  <c r="K77" i="22"/>
  <c r="J77" i="22"/>
  <c r="I77" i="22"/>
  <c r="H77" i="22"/>
  <c r="G77" i="22"/>
  <c r="F77" i="22"/>
  <c r="E77" i="22"/>
  <c r="D77" i="22"/>
  <c r="AO77" i="22" s="1"/>
  <c r="C77" i="22"/>
  <c r="AO76" i="22"/>
  <c r="AJ76" i="22"/>
  <c r="AI76" i="22"/>
  <c r="AH76" i="22"/>
  <c r="AG76" i="22"/>
  <c r="AF76" i="22"/>
  <c r="AE76" i="22"/>
  <c r="AD76" i="22"/>
  <c r="AC76" i="22"/>
  <c r="AB76" i="22"/>
  <c r="AA76" i="22"/>
  <c r="Z76" i="22"/>
  <c r="Y76" i="22"/>
  <c r="X76" i="22"/>
  <c r="W76" i="22"/>
  <c r="V76" i="22"/>
  <c r="U76" i="22"/>
  <c r="T76" i="22"/>
  <c r="AM76" i="22" s="1"/>
  <c r="S76" i="22"/>
  <c r="R76" i="22"/>
  <c r="Q76" i="22"/>
  <c r="P76" i="22"/>
  <c r="O76" i="22"/>
  <c r="N76" i="22"/>
  <c r="M76" i="22"/>
  <c r="L76" i="22"/>
  <c r="AN76" i="22" s="1"/>
  <c r="K76" i="22"/>
  <c r="J76" i="22"/>
  <c r="I76" i="22"/>
  <c r="H76" i="22"/>
  <c r="G76" i="22"/>
  <c r="F76" i="22"/>
  <c r="E76" i="22"/>
  <c r="D76" i="22"/>
  <c r="C76" i="22"/>
  <c r="AJ75" i="22"/>
  <c r="AI75" i="22"/>
  <c r="AH75" i="22"/>
  <c r="AG75" i="22"/>
  <c r="AF75" i="22"/>
  <c r="AE75" i="22"/>
  <c r="AD75" i="22"/>
  <c r="AC75" i="22"/>
  <c r="AB75" i="22"/>
  <c r="AA75" i="22"/>
  <c r="Z75" i="22"/>
  <c r="Y75" i="22"/>
  <c r="X75" i="22"/>
  <c r="W75" i="22"/>
  <c r="V75" i="22"/>
  <c r="U75" i="22"/>
  <c r="T75" i="22"/>
  <c r="AM75" i="22" s="1"/>
  <c r="S75" i="22"/>
  <c r="R75" i="22"/>
  <c r="Q75" i="22"/>
  <c r="P75" i="22"/>
  <c r="O75" i="22"/>
  <c r="AN75" i="22" s="1"/>
  <c r="N75" i="22"/>
  <c r="M75" i="22"/>
  <c r="L75" i="22"/>
  <c r="K75" i="22"/>
  <c r="J75" i="22"/>
  <c r="I75" i="22"/>
  <c r="H75" i="22"/>
  <c r="G75" i="22"/>
  <c r="F75" i="22"/>
  <c r="E75" i="22"/>
  <c r="D75" i="22"/>
  <c r="C75" i="22"/>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AN74" i="22" s="1"/>
  <c r="K74" i="22"/>
  <c r="J74" i="22"/>
  <c r="I74" i="22"/>
  <c r="H74" i="22"/>
  <c r="G74" i="22"/>
  <c r="F74" i="22"/>
  <c r="E74" i="22"/>
  <c r="D74" i="22"/>
  <c r="AL73" i="22"/>
  <c r="AJ73" i="22"/>
  <c r="AI73" i="22"/>
  <c r="AH73" i="22"/>
  <c r="AG73" i="22"/>
  <c r="AF73" i="22"/>
  <c r="AE73" i="22"/>
  <c r="AD73" i="22"/>
  <c r="AC73" i="22"/>
  <c r="AB73" i="22"/>
  <c r="AA73" i="22"/>
  <c r="Z73" i="22"/>
  <c r="Y73" i="22"/>
  <c r="AM73" i="22" s="1"/>
  <c r="X73" i="22"/>
  <c r="W73" i="22"/>
  <c r="V73" i="22"/>
  <c r="U73" i="22"/>
  <c r="T73" i="22"/>
  <c r="S73" i="22"/>
  <c r="R73" i="22"/>
  <c r="Q73" i="22"/>
  <c r="P73" i="22"/>
  <c r="O73" i="22"/>
  <c r="AN73" i="22" s="1"/>
  <c r="N73" i="22"/>
  <c r="M73" i="22"/>
  <c r="L73" i="22"/>
  <c r="K73" i="22"/>
  <c r="J73" i="22"/>
  <c r="I73" i="22"/>
  <c r="H73" i="22"/>
  <c r="G73" i="22"/>
  <c r="F73" i="22"/>
  <c r="E73" i="22"/>
  <c r="D73" i="22"/>
  <c r="AO73" i="22" s="1"/>
  <c r="AJ72" i="22"/>
  <c r="AI72" i="22"/>
  <c r="AH72" i="22"/>
  <c r="AG72" i="22"/>
  <c r="AF72" i="22"/>
  <c r="AE72" i="22"/>
  <c r="AD72" i="22"/>
  <c r="AC72" i="22"/>
  <c r="AB72" i="22"/>
  <c r="AA72" i="22"/>
  <c r="Z72" i="22"/>
  <c r="Y72" i="22"/>
  <c r="X72" i="22"/>
  <c r="W72" i="22"/>
  <c r="V72" i="22"/>
  <c r="U72" i="22"/>
  <c r="T72" i="22"/>
  <c r="AM72" i="22" s="1"/>
  <c r="S72" i="22"/>
  <c r="R72" i="22"/>
  <c r="Q72" i="22"/>
  <c r="P72" i="22"/>
  <c r="O72" i="22"/>
  <c r="N72" i="22"/>
  <c r="M72" i="22"/>
  <c r="L72" i="22"/>
  <c r="K72" i="22"/>
  <c r="J72" i="22"/>
  <c r="I72" i="22"/>
  <c r="H72" i="22"/>
  <c r="G72" i="22"/>
  <c r="F72" i="22"/>
  <c r="E72" i="22"/>
  <c r="D72" i="22"/>
  <c r="AO72" i="22" s="1"/>
  <c r="AJ71" i="22"/>
  <c r="AI71" i="22"/>
  <c r="AH71" i="22"/>
  <c r="AG71" i="22"/>
  <c r="AF71" i="22"/>
  <c r="AE71" i="22"/>
  <c r="AD71" i="22"/>
  <c r="AC71" i="22"/>
  <c r="AB71" i="22"/>
  <c r="AA71" i="22"/>
  <c r="Z71" i="22"/>
  <c r="Y71" i="22"/>
  <c r="X71" i="22"/>
  <c r="W71" i="22"/>
  <c r="V71" i="22"/>
  <c r="U71" i="22"/>
  <c r="T71" i="22"/>
  <c r="AM71" i="22" s="1"/>
  <c r="S71" i="22"/>
  <c r="R71" i="22"/>
  <c r="Q71" i="22"/>
  <c r="P71" i="22"/>
  <c r="O71" i="22"/>
  <c r="AN71" i="22" s="1"/>
  <c r="N71" i="22"/>
  <c r="M71" i="22"/>
  <c r="L71" i="22"/>
  <c r="K71" i="22"/>
  <c r="J71" i="22"/>
  <c r="I71" i="22"/>
  <c r="H71" i="22"/>
  <c r="G71" i="22"/>
  <c r="F71" i="22"/>
  <c r="E71" i="22"/>
  <c r="D71" i="22"/>
  <c r="AT70" i="22"/>
  <c r="AS70" i="22"/>
  <c r="AT69" i="22"/>
  <c r="AS69" i="22"/>
  <c r="C69" i="22"/>
  <c r="C199" i="22" s="1"/>
  <c r="AT68" i="22"/>
  <c r="AS68" i="22"/>
  <c r="C68" i="22"/>
  <c r="C198" i="22" s="1"/>
  <c r="AT67" i="22"/>
  <c r="C67" i="22"/>
  <c r="AT66" i="22"/>
  <c r="C66" i="22"/>
  <c r="C131" i="22" s="1"/>
  <c r="AT65" i="22"/>
  <c r="C65" i="22"/>
  <c r="C195" i="22" s="1"/>
  <c r="AT64" i="22"/>
  <c r="AS64" i="22"/>
  <c r="AR64" i="22"/>
  <c r="C64" i="22"/>
  <c r="C194" i="22" s="1"/>
  <c r="AT63" i="22"/>
  <c r="C63" i="22"/>
  <c r="C193" i="22" s="1"/>
  <c r="AT62" i="22"/>
  <c r="AR62" i="22"/>
  <c r="C62" i="22"/>
  <c r="AT61" i="22"/>
  <c r="C61" i="22"/>
  <c r="C191" i="22" s="1"/>
  <c r="AT60" i="22"/>
  <c r="C60" i="22"/>
  <c r="AT59" i="22"/>
  <c r="C59" i="22"/>
  <c r="C189" i="22" s="1"/>
  <c r="AT58" i="22"/>
  <c r="C58" i="22"/>
  <c r="C123" i="22" s="1"/>
  <c r="AT57" i="22"/>
  <c r="AS57" i="22"/>
  <c r="AR57" i="22"/>
  <c r="C57" i="22"/>
  <c r="C187" i="22" s="1"/>
  <c r="AT56" i="22"/>
  <c r="C56" i="22"/>
  <c r="C186" i="22" s="1"/>
  <c r="AT55" i="22"/>
  <c r="C55" i="22"/>
  <c r="AT54" i="22"/>
  <c r="C54" i="22"/>
  <c r="C119" i="22" s="1"/>
  <c r="AT53" i="22"/>
  <c r="C53" i="22"/>
  <c r="C183" i="22" s="1"/>
  <c r="AT52" i="22"/>
  <c r="AS52" i="22"/>
  <c r="AR52" i="22"/>
  <c r="C52" i="22"/>
  <c r="C182" i="22" s="1"/>
  <c r="AT51" i="22"/>
  <c r="C51" i="22"/>
  <c r="C181" i="22" s="1"/>
  <c r="AT50" i="22"/>
  <c r="C50" i="22"/>
  <c r="AT49" i="22"/>
  <c r="C49" i="22"/>
  <c r="C179" i="22" s="1"/>
  <c r="AT48" i="22"/>
  <c r="C48" i="22"/>
  <c r="AT47" i="22"/>
  <c r="C47" i="22"/>
  <c r="C177" i="22" s="1"/>
  <c r="AT46" i="22"/>
  <c r="C46" i="22"/>
  <c r="C111" i="22" s="1"/>
  <c r="AT45" i="22"/>
  <c r="AS45" i="22"/>
  <c r="C45" i="22"/>
  <c r="C175" i="22" s="1"/>
  <c r="AT44" i="22"/>
  <c r="C44" i="22"/>
  <c r="C174" i="22" s="1"/>
  <c r="AT43" i="22"/>
  <c r="C43" i="22"/>
  <c r="AT42" i="22"/>
  <c r="C42" i="22"/>
  <c r="C107" i="22" s="1"/>
  <c r="AT41" i="22"/>
  <c r="C41" i="22"/>
  <c r="C171" i="22" s="1"/>
  <c r="AT40" i="22"/>
  <c r="AS40" i="22"/>
  <c r="C40" i="22"/>
  <c r="C170" i="22" s="1"/>
  <c r="AT39" i="22"/>
  <c r="AS39" i="22"/>
  <c r="C39" i="22"/>
  <c r="C169" i="22" s="1"/>
  <c r="AT38" i="22"/>
  <c r="C38" i="22"/>
  <c r="C37" i="22"/>
  <c r="C167" i="22" s="1"/>
  <c r="C36" i="22"/>
  <c r="C35" i="22"/>
  <c r="C165" i="22" s="1"/>
  <c r="C34" i="22"/>
  <c r="C99" i="22" s="1"/>
  <c r="C33" i="22"/>
  <c r="C163" i="22" s="1"/>
  <c r="C32" i="22"/>
  <c r="C162" i="22" s="1"/>
  <c r="AS31" i="22"/>
  <c r="C31" i="22"/>
  <c r="C30" i="22"/>
  <c r="C95" i="22" s="1"/>
  <c r="C29" i="22"/>
  <c r="C159" i="22" s="1"/>
  <c r="C28" i="22"/>
  <c r="C158" i="22" s="1"/>
  <c r="C27" i="22"/>
  <c r="AS26" i="22"/>
  <c r="C26" i="22"/>
  <c r="C25" i="22"/>
  <c r="C155" i="22" s="1"/>
  <c r="C24" i="22"/>
  <c r="C154" i="22" s="1"/>
  <c r="C23" i="22"/>
  <c r="C88" i="22" s="1"/>
  <c r="C22" i="22"/>
  <c r="C152" i="22" s="1"/>
  <c r="AL21" i="22"/>
  <c r="AT21" i="22" s="1"/>
  <c r="C21" i="22"/>
  <c r="C151" i="22" s="1"/>
  <c r="AL20" i="22"/>
  <c r="AT20" i="22" s="1"/>
  <c r="C20" i="22"/>
  <c r="C150" i="22" s="1"/>
  <c r="AL19" i="22"/>
  <c r="C19" i="22"/>
  <c r="C84" i="22" s="1"/>
  <c r="AT18" i="22"/>
  <c r="AL18" i="22"/>
  <c r="C18" i="22"/>
  <c r="C83" i="22" s="1"/>
  <c r="AL17" i="22"/>
  <c r="C17" i="22"/>
  <c r="AT16" i="22"/>
  <c r="AL16" i="22"/>
  <c r="C16" i="22"/>
  <c r="C146" i="22" s="1"/>
  <c r="AL15" i="22"/>
  <c r="AT15" i="22" s="1"/>
  <c r="C15" i="22"/>
  <c r="C80" i="22" s="1"/>
  <c r="AL14" i="22"/>
  <c r="AT14" i="22" s="1"/>
  <c r="C14" i="22"/>
  <c r="C144" i="22" s="1"/>
  <c r="AW13" i="22"/>
  <c r="C13" i="22"/>
  <c r="C143" i="22" s="1"/>
  <c r="AL12" i="22"/>
  <c r="AT12" i="22" s="1"/>
  <c r="C12" i="22"/>
  <c r="C142" i="22" s="1"/>
  <c r="C11" i="22"/>
  <c r="AT10" i="22"/>
  <c r="AL10" i="22"/>
  <c r="C10" i="22"/>
  <c r="C140" i="22" s="1"/>
  <c r="C9" i="22"/>
  <c r="C139" i="22" s="1"/>
  <c r="C8" i="22"/>
  <c r="C138" i="22" s="1"/>
  <c r="AW7" i="22"/>
  <c r="C7" i="22"/>
  <c r="C72" i="22" s="1"/>
  <c r="AW6" i="22"/>
  <c r="B6" i="22" s="1"/>
  <c r="AL6" i="22"/>
  <c r="C6" i="22"/>
  <c r="B3" i="22"/>
  <c r="AQ159" i="22" l="1"/>
  <c r="AQ97" i="22"/>
  <c r="AQ95" i="22"/>
  <c r="AQ162" i="22"/>
  <c r="AS32" i="22" s="1"/>
  <c r="AQ94" i="22"/>
  <c r="AR29" i="22" s="1"/>
  <c r="AL76" i="22"/>
  <c r="AL83" i="22"/>
  <c r="AL137" i="22"/>
  <c r="AL143" i="22"/>
  <c r="AL151" i="22"/>
  <c r="AS35" i="22"/>
  <c r="AL162" i="22"/>
  <c r="AL165" i="22"/>
  <c r="AR34" i="22"/>
  <c r="AL100" i="22"/>
  <c r="AL166" i="22"/>
  <c r="AR37" i="22"/>
  <c r="AR35" i="22"/>
  <c r="AL167" i="22"/>
  <c r="AR38" i="22"/>
  <c r="AS34" i="22"/>
  <c r="AR32" i="22"/>
  <c r="AL163" i="22"/>
  <c r="AL161" i="22"/>
  <c r="AS30" i="22"/>
  <c r="AS29" i="22"/>
  <c r="AQ87" i="22"/>
  <c r="AQ91" i="22"/>
  <c r="AR26" i="22" s="1"/>
  <c r="AL153" i="22"/>
  <c r="AL88" i="22"/>
  <c r="AL92" i="22"/>
  <c r="AS28" i="22"/>
  <c r="AL157" i="22"/>
  <c r="AR23" i="22"/>
  <c r="AL155" i="22"/>
  <c r="AR28" i="22"/>
  <c r="AQ76" i="22"/>
  <c r="AR11" i="22" s="1"/>
  <c r="C91" i="22"/>
  <c r="C156" i="22"/>
  <c r="AQ151" i="22"/>
  <c r="AR45" i="22"/>
  <c r="C115" i="22"/>
  <c r="C180" i="22"/>
  <c r="AO71" i="22"/>
  <c r="AL80" i="22"/>
  <c r="AQ80" i="22" s="1"/>
  <c r="AR15" i="22" s="1"/>
  <c r="AO82" i="22"/>
  <c r="AL82" i="22"/>
  <c r="C89" i="22"/>
  <c r="AL91" i="22"/>
  <c r="AR31" i="22"/>
  <c r="AL104" i="22"/>
  <c r="AN111" i="22"/>
  <c r="AR51" i="22"/>
  <c r="AL124" i="22"/>
  <c r="AN128" i="22"/>
  <c r="AO131" i="22"/>
  <c r="AL131" i="22"/>
  <c r="AO139" i="22"/>
  <c r="AL139" i="22"/>
  <c r="AM147" i="22"/>
  <c r="AQ147" i="22" s="1"/>
  <c r="AS17" i="22" s="1"/>
  <c r="AN156" i="22"/>
  <c r="AN157" i="22"/>
  <c r="AN169" i="22"/>
  <c r="AN181" i="22"/>
  <c r="AN197" i="22"/>
  <c r="B136" i="22"/>
  <c r="B71" i="22"/>
  <c r="C147" i="22"/>
  <c r="AT17" i="22"/>
  <c r="C82" i="22"/>
  <c r="C103" i="22"/>
  <c r="C168" i="22"/>
  <c r="AQ77" i="22"/>
  <c r="AR12" i="22" s="1"/>
  <c r="AO90" i="22"/>
  <c r="AL90" i="22"/>
  <c r="AM94" i="22"/>
  <c r="AR30" i="22"/>
  <c r="AL99" i="22"/>
  <c r="AO111" i="22"/>
  <c r="AL111" i="22"/>
  <c r="AO118" i="22"/>
  <c r="AL118" i="22"/>
  <c r="AQ137" i="22"/>
  <c r="AS7" i="22" s="1"/>
  <c r="AO144" i="22"/>
  <c r="AO164" i="22"/>
  <c r="C71" i="22"/>
  <c r="C136" i="22"/>
  <c r="C185" i="22"/>
  <c r="C120" i="22"/>
  <c r="AL71" i="22"/>
  <c r="AM74" i="22"/>
  <c r="AN84" i="22"/>
  <c r="AQ84" i="22" s="1"/>
  <c r="AR19" i="22" s="1"/>
  <c r="AQ85" i="22"/>
  <c r="AR20" i="22" s="1"/>
  <c r="AL96" i="22"/>
  <c r="AO98" i="22"/>
  <c r="AL98" i="22"/>
  <c r="AN123" i="22"/>
  <c r="AR63" i="22"/>
  <c r="AM141" i="22"/>
  <c r="AN142" i="22"/>
  <c r="AM142" i="22"/>
  <c r="AQ142" i="22"/>
  <c r="AS12" i="22" s="1"/>
  <c r="AL144" i="22"/>
  <c r="C149" i="22"/>
  <c r="AN149" i="22"/>
  <c r="AQ149" i="22" s="1"/>
  <c r="AS19" i="22" s="1"/>
  <c r="AN154" i="22"/>
  <c r="AM154" i="22"/>
  <c r="AS24" i="22"/>
  <c r="AS25" i="22"/>
  <c r="AO156" i="22"/>
  <c r="AM159" i="22"/>
  <c r="AL164" i="22"/>
  <c r="AL171" i="22"/>
  <c r="AM179" i="22"/>
  <c r="AN188" i="22"/>
  <c r="AR50" i="22"/>
  <c r="AT6" i="22"/>
  <c r="AS59" i="22"/>
  <c r="AO79" i="22"/>
  <c r="AM99" i="22"/>
  <c r="AR36" i="22"/>
  <c r="AO103" i="22"/>
  <c r="AR43" i="22"/>
  <c r="AN120" i="22"/>
  <c r="AR56" i="22"/>
  <c r="AO123" i="22"/>
  <c r="AL123" i="22"/>
  <c r="AM126" i="22"/>
  <c r="AO130" i="22"/>
  <c r="AL130" i="22"/>
  <c r="AN136" i="22"/>
  <c r="AN148" i="22"/>
  <c r="AM151" i="22"/>
  <c r="AL156" i="22"/>
  <c r="AO163" i="22"/>
  <c r="AN174" i="22"/>
  <c r="AS51" i="22"/>
  <c r="AS50" i="22"/>
  <c r="AN186" i="22"/>
  <c r="AS67" i="22"/>
  <c r="AS66" i="22"/>
  <c r="AO110" i="22"/>
  <c r="AL110" i="22"/>
  <c r="AQ143" i="22"/>
  <c r="AS13" i="22" s="1"/>
  <c r="AN173" i="22"/>
  <c r="AN185" i="22"/>
  <c r="AN192" i="22"/>
  <c r="C161" i="22"/>
  <c r="C96" i="22"/>
  <c r="C173" i="22"/>
  <c r="C108" i="22"/>
  <c r="AN72" i="22"/>
  <c r="AO78" i="22"/>
  <c r="AL78" i="22"/>
  <c r="AL79" i="22"/>
  <c r="AM82" i="22"/>
  <c r="AQ83" i="22"/>
  <c r="AR18" i="22" s="1"/>
  <c r="AO95" i="22"/>
  <c r="AR48" i="22"/>
  <c r="AO115" i="22"/>
  <c r="AL115" i="22"/>
  <c r="AN132" i="22"/>
  <c r="AO136" i="22"/>
  <c r="AQ141" i="22"/>
  <c r="AS11" i="22" s="1"/>
  <c r="AO148" i="22"/>
  <c r="AO175" i="22"/>
  <c r="AO187" i="22"/>
  <c r="AO192" i="22"/>
  <c r="AM194" i="22"/>
  <c r="AS47" i="22"/>
  <c r="AL84" i="22"/>
  <c r="AO86" i="22"/>
  <c r="AL86" i="22"/>
  <c r="AL87" i="22"/>
  <c r="AM90" i="22"/>
  <c r="AR27" i="22"/>
  <c r="AO102" i="22"/>
  <c r="AL102" i="22"/>
  <c r="AN112" i="22"/>
  <c r="AM118" i="22"/>
  <c r="AR54" i="22"/>
  <c r="AO122" i="22"/>
  <c r="AL122" i="22"/>
  <c r="AL136" i="22"/>
  <c r="AQ146" i="22"/>
  <c r="AS16" i="22" s="1"/>
  <c r="AL148" i="22"/>
  <c r="AN152" i="22"/>
  <c r="AN160" i="22"/>
  <c r="AN166" i="22"/>
  <c r="AS36" i="22"/>
  <c r="AS37" i="22"/>
  <c r="AO168" i="22"/>
  <c r="AL175" i="22"/>
  <c r="AN180" i="22"/>
  <c r="AL187" i="22"/>
  <c r="AS60" i="22"/>
  <c r="AL192" i="22"/>
  <c r="AS65" i="22"/>
  <c r="C190" i="22"/>
  <c r="C125" i="22"/>
  <c r="AU10" i="22"/>
  <c r="AU11" i="22"/>
  <c r="AT19" i="22"/>
  <c r="AR69" i="22"/>
  <c r="AO75" i="22"/>
  <c r="AM79" i="22"/>
  <c r="AL95" i="22"/>
  <c r="AM98" i="22"/>
  <c r="AR41" i="22"/>
  <c r="AN107" i="22"/>
  <c r="AL120" i="22"/>
  <c r="AR60" i="22"/>
  <c r="AO127" i="22"/>
  <c r="AL127" i="22"/>
  <c r="AR67" i="22"/>
  <c r="AN140" i="22"/>
  <c r="AM163" i="22"/>
  <c r="AN165" i="22"/>
  <c r="AL168" i="22"/>
  <c r="AS43" i="22"/>
  <c r="AS42" i="22"/>
  <c r="AN178" i="22"/>
  <c r="AS48" i="22"/>
  <c r="AS49" i="22"/>
  <c r="AO180" i="22"/>
  <c r="AS55" i="22"/>
  <c r="AS54" i="22"/>
  <c r="AO196" i="22"/>
  <c r="AM198" i="22"/>
  <c r="C197" i="22"/>
  <c r="C132" i="22"/>
  <c r="AQ71" i="22"/>
  <c r="AR6" i="22" s="1"/>
  <c r="C73" i="22"/>
  <c r="AQ73" i="22" s="1"/>
  <c r="AR8" i="22" s="1"/>
  <c r="AQ81" i="22"/>
  <c r="AR16" i="22" s="1"/>
  <c r="AO107" i="22"/>
  <c r="AR66" i="22"/>
  <c r="AO152" i="22"/>
  <c r="AO160" i="22"/>
  <c r="C178" i="22"/>
  <c r="C113" i="22"/>
  <c r="AR24" i="22"/>
  <c r="AR25" i="22"/>
  <c r="AM110" i="22"/>
  <c r="AN119" i="22"/>
  <c r="AO140" i="22"/>
  <c r="AQ150" i="22"/>
  <c r="AS20" i="22" s="1"/>
  <c r="AL152" i="22"/>
  <c r="AL160" i="22"/>
  <c r="AQ82" i="22"/>
  <c r="AR17" i="22" s="1"/>
  <c r="C101" i="22"/>
  <c r="C166" i="22"/>
  <c r="C127" i="22"/>
  <c r="C192" i="22"/>
  <c r="AL72" i="22"/>
  <c r="AQ72" i="22" s="1"/>
  <c r="AR7" i="22" s="1"/>
  <c r="AO74" i="22"/>
  <c r="AL74" i="22"/>
  <c r="AL75" i="22"/>
  <c r="AM78" i="22"/>
  <c r="AO91" i="22"/>
  <c r="AN96" i="22"/>
  <c r="AN99" i="22"/>
  <c r="AR39" i="22"/>
  <c r="AL107" i="22"/>
  <c r="AL112" i="22"/>
  <c r="AN116" i="22"/>
  <c r="AO119" i="22"/>
  <c r="AL119" i="22"/>
  <c r="AR59" i="22"/>
  <c r="AO126" i="22"/>
  <c r="AL126" i="22"/>
  <c r="AN138" i="22"/>
  <c r="AM138" i="22"/>
  <c r="AQ138" i="22"/>
  <c r="AS8" i="22" s="1"/>
  <c r="AL140" i="22"/>
  <c r="C145" i="22"/>
  <c r="AQ145" i="22" s="1"/>
  <c r="AS15" i="22" s="1"/>
  <c r="AO159" i="22"/>
  <c r="AL159" i="22"/>
  <c r="AM175" i="22"/>
  <c r="AL179" i="22"/>
  <c r="AM187" i="22"/>
  <c r="AS63" i="22"/>
  <c r="AO195" i="22"/>
  <c r="C148" i="22"/>
  <c r="C160" i="22"/>
  <c r="C164" i="22"/>
  <c r="C172" i="22"/>
  <c r="C176" i="22"/>
  <c r="C184" i="22"/>
  <c r="C188" i="22"/>
  <c r="C196" i="22"/>
  <c r="C100" i="22"/>
  <c r="C104" i="22"/>
  <c r="C112" i="22"/>
  <c r="C116" i="22"/>
  <c r="C124" i="22"/>
  <c r="C128" i="22"/>
  <c r="C74" i="22"/>
  <c r="C78" i="22"/>
  <c r="C86" i="22"/>
  <c r="C90" i="22"/>
  <c r="C94" i="22"/>
  <c r="C98" i="22"/>
  <c r="C102" i="22"/>
  <c r="C106" i="22"/>
  <c r="C110" i="22"/>
  <c r="C114" i="22"/>
  <c r="C118" i="22"/>
  <c r="C122" i="22"/>
  <c r="C126" i="22"/>
  <c r="C130" i="22"/>
  <c r="C134" i="22"/>
  <c r="AQ86" i="22" l="1"/>
  <c r="AQ74" i="22"/>
  <c r="AR9" i="22" s="1"/>
  <c r="AQ75" i="22"/>
  <c r="AR10" i="22" s="1"/>
  <c r="AQ79" i="22"/>
  <c r="AR14" i="22" s="1"/>
  <c r="AQ78" i="22"/>
  <c r="AR13" i="22" s="1"/>
  <c r="AQ139" i="22"/>
  <c r="AS9" i="22" s="1"/>
  <c r="AR21" i="22"/>
  <c r="AR22" i="22"/>
  <c r="AQ148" i="22"/>
  <c r="AS18" i="22" s="1"/>
  <c r="AQ136" i="22"/>
  <c r="AS6" i="22" s="1"/>
  <c r="AS22" i="22"/>
  <c r="AS21" i="22"/>
  <c r="AQ140" i="22"/>
  <c r="AS10" i="22" s="1"/>
  <c r="AQ144" i="22"/>
  <c r="AS14" i="22" s="1"/>
  <c r="B13" i="1" l="1"/>
  <c r="AU11" i="18"/>
  <c r="AU10" i="18"/>
  <c r="AU11" i="17"/>
  <c r="AU10" i="17"/>
  <c r="AU11" i="9"/>
  <c r="AU10" i="9"/>
  <c r="AU11" i="16"/>
  <c r="AU10" i="16"/>
  <c r="AU11" i="15"/>
  <c r="AU10" i="15"/>
  <c r="B3" i="18" l="1"/>
  <c r="B3" i="17"/>
  <c r="B3" i="9"/>
  <c r="B3" i="16"/>
  <c r="B3" i="15"/>
  <c r="B3" i="8"/>
  <c r="C2" i="20" l="1"/>
  <c r="AJ199" i="18" l="1"/>
  <c r="AI199" i="18"/>
  <c r="AH199" i="18"/>
  <c r="AG199" i="18"/>
  <c r="AF199" i="18"/>
  <c r="AE199" i="18"/>
  <c r="AD199" i="18"/>
  <c r="AC199" i="18"/>
  <c r="AB199" i="18"/>
  <c r="AL199" i="18" s="1"/>
  <c r="AA199" i="18"/>
  <c r="Z199" i="18"/>
  <c r="Y199" i="18"/>
  <c r="X199" i="18"/>
  <c r="W199" i="18"/>
  <c r="V199" i="18"/>
  <c r="U199" i="18"/>
  <c r="T199" i="18"/>
  <c r="S199" i="18"/>
  <c r="R199" i="18"/>
  <c r="Q199" i="18"/>
  <c r="P199" i="18"/>
  <c r="O199" i="18"/>
  <c r="N199" i="18"/>
  <c r="M199" i="18"/>
  <c r="L199" i="18"/>
  <c r="K199" i="18"/>
  <c r="J199" i="18"/>
  <c r="I199" i="18"/>
  <c r="H199" i="18"/>
  <c r="G199" i="18"/>
  <c r="F199" i="18"/>
  <c r="E199" i="18"/>
  <c r="D199" i="18"/>
  <c r="AO199" i="18" s="1"/>
  <c r="AJ198" i="18"/>
  <c r="AI198" i="18"/>
  <c r="AH198" i="18"/>
  <c r="AG198" i="18"/>
  <c r="AF198" i="18"/>
  <c r="AE198" i="18"/>
  <c r="AD198" i="18"/>
  <c r="AC198" i="18"/>
  <c r="AB198" i="18"/>
  <c r="AA198" i="18"/>
  <c r="Z198" i="18"/>
  <c r="Y198" i="18"/>
  <c r="X198" i="18"/>
  <c r="W198" i="18"/>
  <c r="V198" i="18"/>
  <c r="U198" i="18"/>
  <c r="T198" i="18"/>
  <c r="S198" i="18"/>
  <c r="R198" i="18"/>
  <c r="Q198" i="18"/>
  <c r="P198" i="18"/>
  <c r="O198" i="18"/>
  <c r="N198" i="18"/>
  <c r="M198" i="18"/>
  <c r="L198" i="18"/>
  <c r="K198" i="18"/>
  <c r="J198" i="18"/>
  <c r="I198" i="18"/>
  <c r="H198" i="18"/>
  <c r="G198" i="18"/>
  <c r="F198" i="18"/>
  <c r="E198" i="18"/>
  <c r="D198" i="18"/>
  <c r="AJ197" i="18"/>
  <c r="AI197" i="18"/>
  <c r="AH197" i="18"/>
  <c r="AG197" i="18"/>
  <c r="AF197" i="18"/>
  <c r="AE197" i="18"/>
  <c r="AD197" i="18"/>
  <c r="AC197" i="18"/>
  <c r="AB197" i="18"/>
  <c r="AA197" i="18"/>
  <c r="Z197" i="18"/>
  <c r="Y197" i="18"/>
  <c r="X197" i="18"/>
  <c r="W197" i="18"/>
  <c r="V197" i="18"/>
  <c r="U197" i="18"/>
  <c r="T197" i="18"/>
  <c r="S197" i="18"/>
  <c r="R197" i="18"/>
  <c r="Q197" i="18"/>
  <c r="P197" i="18"/>
  <c r="O197" i="18"/>
  <c r="N197" i="18"/>
  <c r="M197" i="18"/>
  <c r="L197" i="18"/>
  <c r="K197" i="18"/>
  <c r="J197" i="18"/>
  <c r="I197" i="18"/>
  <c r="H197" i="18"/>
  <c r="G197" i="18"/>
  <c r="F197" i="18"/>
  <c r="E197" i="18"/>
  <c r="D197" i="18"/>
  <c r="AJ196" i="18"/>
  <c r="AI196" i="18"/>
  <c r="AH196" i="18"/>
  <c r="AG196" i="18"/>
  <c r="AF196" i="18"/>
  <c r="AE196" i="18"/>
  <c r="AD196" i="18"/>
  <c r="AC196" i="18"/>
  <c r="AB196" i="18"/>
  <c r="AA196" i="18"/>
  <c r="Z196" i="18"/>
  <c r="Y196" i="18"/>
  <c r="X196" i="18"/>
  <c r="W196" i="18"/>
  <c r="V196" i="18"/>
  <c r="U196" i="18"/>
  <c r="T196" i="18"/>
  <c r="S196" i="18"/>
  <c r="R196" i="18"/>
  <c r="Q196" i="18"/>
  <c r="P196" i="18"/>
  <c r="O196" i="18"/>
  <c r="N196" i="18"/>
  <c r="M196" i="18"/>
  <c r="L196" i="18"/>
  <c r="K196" i="18"/>
  <c r="J196" i="18"/>
  <c r="I196" i="18"/>
  <c r="H196" i="18"/>
  <c r="G196" i="18"/>
  <c r="F196" i="18"/>
  <c r="E196" i="18"/>
  <c r="D196" i="18"/>
  <c r="AJ195" i="18"/>
  <c r="AI195" i="18"/>
  <c r="AH195" i="18"/>
  <c r="AG195" i="18"/>
  <c r="AF195" i="18"/>
  <c r="AE195" i="18"/>
  <c r="AD195" i="18"/>
  <c r="AC195" i="18"/>
  <c r="AB195" i="18"/>
  <c r="AA195" i="18"/>
  <c r="Z195" i="18"/>
  <c r="Y195" i="18"/>
  <c r="X195" i="18"/>
  <c r="W195" i="18"/>
  <c r="V195" i="18"/>
  <c r="U195" i="18"/>
  <c r="T195" i="18"/>
  <c r="S195" i="18"/>
  <c r="R195" i="18"/>
  <c r="Q195" i="18"/>
  <c r="P195" i="18"/>
  <c r="O195" i="18"/>
  <c r="N195" i="18"/>
  <c r="M195" i="18"/>
  <c r="L195" i="18"/>
  <c r="K195" i="18"/>
  <c r="J195" i="18"/>
  <c r="I195" i="18"/>
  <c r="H195" i="18"/>
  <c r="G195" i="18"/>
  <c r="F195" i="18"/>
  <c r="E195" i="18"/>
  <c r="D195" i="18"/>
  <c r="AJ194" i="18"/>
  <c r="AI194" i="18"/>
  <c r="AH194" i="18"/>
  <c r="AG194" i="18"/>
  <c r="AF194" i="18"/>
  <c r="AE194" i="18"/>
  <c r="AD194" i="18"/>
  <c r="AC194" i="18"/>
  <c r="AB194" i="18"/>
  <c r="AA194" i="18"/>
  <c r="Z194" i="18"/>
  <c r="Y194" i="18"/>
  <c r="X194" i="18"/>
  <c r="W194" i="18"/>
  <c r="V194" i="18"/>
  <c r="U194" i="18"/>
  <c r="T194" i="18"/>
  <c r="S194" i="18"/>
  <c r="R194" i="18"/>
  <c r="Q194" i="18"/>
  <c r="P194" i="18"/>
  <c r="O194" i="18"/>
  <c r="N194" i="18"/>
  <c r="M194" i="18"/>
  <c r="L194" i="18"/>
  <c r="K194" i="18"/>
  <c r="J194" i="18"/>
  <c r="I194" i="18"/>
  <c r="H194" i="18"/>
  <c r="G194" i="18"/>
  <c r="F194" i="18"/>
  <c r="E194" i="18"/>
  <c r="D194" i="18"/>
  <c r="AJ193" i="18"/>
  <c r="AI193" i="18"/>
  <c r="AH193" i="18"/>
  <c r="AG193" i="18"/>
  <c r="AF193" i="18"/>
  <c r="AE193" i="18"/>
  <c r="AD193" i="18"/>
  <c r="AC193" i="18"/>
  <c r="AB193" i="18"/>
  <c r="AA193" i="18"/>
  <c r="Z193" i="18"/>
  <c r="Y193" i="18"/>
  <c r="X193" i="18"/>
  <c r="W193" i="18"/>
  <c r="V193" i="18"/>
  <c r="U193" i="18"/>
  <c r="T193" i="18"/>
  <c r="AM193" i="18" s="1"/>
  <c r="S193" i="18"/>
  <c r="R193" i="18"/>
  <c r="Q193" i="18"/>
  <c r="P193" i="18"/>
  <c r="O193" i="18"/>
  <c r="N193" i="18"/>
  <c r="M193" i="18"/>
  <c r="L193" i="18"/>
  <c r="AN193" i="18" s="1"/>
  <c r="K193" i="18"/>
  <c r="J193" i="18"/>
  <c r="I193" i="18"/>
  <c r="H193" i="18"/>
  <c r="G193" i="18"/>
  <c r="F193" i="18"/>
  <c r="E193" i="18"/>
  <c r="D193" i="18"/>
  <c r="AJ192" i="18"/>
  <c r="AI192" i="18"/>
  <c r="AH192" i="18"/>
  <c r="AG192" i="18"/>
  <c r="AF192" i="18"/>
  <c r="AE192" i="18"/>
  <c r="AD192" i="18"/>
  <c r="AC192" i="18"/>
  <c r="AB192" i="18"/>
  <c r="AA192" i="18"/>
  <c r="Z192" i="18"/>
  <c r="Y192" i="18"/>
  <c r="X192" i="18"/>
  <c r="W192" i="18"/>
  <c r="V192" i="18"/>
  <c r="U192" i="18"/>
  <c r="T192" i="18"/>
  <c r="AM192" i="18" s="1"/>
  <c r="S192" i="18"/>
  <c r="R192" i="18"/>
  <c r="Q192" i="18"/>
  <c r="P192" i="18"/>
  <c r="O192" i="18"/>
  <c r="N192" i="18"/>
  <c r="M192" i="18"/>
  <c r="L192" i="18"/>
  <c r="K192" i="18"/>
  <c r="J192" i="18"/>
  <c r="I192" i="18"/>
  <c r="H192" i="18"/>
  <c r="G192" i="18"/>
  <c r="F192" i="18"/>
  <c r="E192" i="18"/>
  <c r="D192" i="18"/>
  <c r="AJ191" i="18"/>
  <c r="AI191" i="18"/>
  <c r="AH191"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AJ190" i="18"/>
  <c r="AI190" i="18"/>
  <c r="AH190" i="18"/>
  <c r="AG190" i="18"/>
  <c r="AF190" i="18"/>
  <c r="AE190" i="18"/>
  <c r="AD190" i="18"/>
  <c r="AC190" i="18"/>
  <c r="AB190" i="18"/>
  <c r="AL190" i="18" s="1"/>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AO190" i="18" s="1"/>
  <c r="AJ189" i="18"/>
  <c r="AI189" i="18"/>
  <c r="AH189"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AJ188" i="18"/>
  <c r="AI188" i="18"/>
  <c r="AH188" i="18"/>
  <c r="AG188" i="18"/>
  <c r="AF188" i="18"/>
  <c r="AE188" i="18"/>
  <c r="AD188" i="18"/>
  <c r="AC188" i="18"/>
  <c r="AB188" i="18"/>
  <c r="AA188" i="18"/>
  <c r="Z188" i="18"/>
  <c r="Y188" i="18"/>
  <c r="X188" i="18"/>
  <c r="W188" i="18"/>
  <c r="V188" i="18"/>
  <c r="U188" i="18"/>
  <c r="T188" i="18"/>
  <c r="S188" i="18"/>
  <c r="R188" i="18"/>
  <c r="Q188" i="18"/>
  <c r="P188" i="18"/>
  <c r="O188" i="18"/>
  <c r="N188" i="18"/>
  <c r="M188" i="18"/>
  <c r="L188" i="18"/>
  <c r="K188" i="18"/>
  <c r="J188" i="18"/>
  <c r="I188" i="18"/>
  <c r="H188" i="18"/>
  <c r="G188" i="18"/>
  <c r="F188" i="18"/>
  <c r="E188" i="18"/>
  <c r="D188" i="18"/>
  <c r="AJ187" i="18"/>
  <c r="AI187" i="18"/>
  <c r="AH187" i="18"/>
  <c r="AG187" i="18"/>
  <c r="AF187" i="18"/>
  <c r="AE187" i="18"/>
  <c r="AD187" i="18"/>
  <c r="AC187" i="18"/>
  <c r="AB187" i="18"/>
  <c r="AL187" i="18" s="1"/>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AO187" i="18" s="1"/>
  <c r="AJ186" i="18"/>
  <c r="AI186" i="18"/>
  <c r="AH186" i="18"/>
  <c r="AG186" i="18"/>
  <c r="AF186" i="18"/>
  <c r="AE186" i="18"/>
  <c r="AD186" i="18"/>
  <c r="AC186" i="18"/>
  <c r="AB186" i="18"/>
  <c r="AL186" i="18" s="1"/>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AO186" i="18" s="1"/>
  <c r="AJ185" i="18"/>
  <c r="AI185" i="18"/>
  <c r="AH185" i="18"/>
  <c r="AG185" i="18"/>
  <c r="AF185" i="18"/>
  <c r="AE185" i="18"/>
  <c r="AD185" i="18"/>
  <c r="AC185" i="18"/>
  <c r="AB185" i="18"/>
  <c r="AA185" i="18"/>
  <c r="Z185" i="18"/>
  <c r="Y185" i="18"/>
  <c r="X185" i="18"/>
  <c r="W185" i="18"/>
  <c r="V185" i="18"/>
  <c r="U185" i="18"/>
  <c r="T185" i="18"/>
  <c r="S185" i="18"/>
  <c r="R185" i="18"/>
  <c r="Q185" i="18"/>
  <c r="P185" i="18"/>
  <c r="O185" i="18"/>
  <c r="N185" i="18"/>
  <c r="M185" i="18"/>
  <c r="L185" i="18"/>
  <c r="K185" i="18"/>
  <c r="J185" i="18"/>
  <c r="I185" i="18"/>
  <c r="H185" i="18"/>
  <c r="G185" i="18"/>
  <c r="F185" i="18"/>
  <c r="E185" i="18"/>
  <c r="D185" i="18"/>
  <c r="AJ184" i="18"/>
  <c r="AI184" i="18"/>
  <c r="AH184"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AJ183" i="18"/>
  <c r="AI183" i="18"/>
  <c r="AH183" i="18"/>
  <c r="AG183" i="18"/>
  <c r="AF183" i="18"/>
  <c r="AE183" i="18"/>
  <c r="AD183" i="18"/>
  <c r="AC183" i="18"/>
  <c r="AB183" i="18"/>
  <c r="AA183" i="18"/>
  <c r="Z183" i="18"/>
  <c r="Y183" i="18"/>
  <c r="X183" i="18"/>
  <c r="W183" i="18"/>
  <c r="V183" i="18"/>
  <c r="U183" i="18"/>
  <c r="AM183" i="18" s="1"/>
  <c r="T183" i="18"/>
  <c r="S183" i="18"/>
  <c r="R183" i="18"/>
  <c r="Q183" i="18"/>
  <c r="P183" i="18"/>
  <c r="O183" i="18"/>
  <c r="N183" i="18"/>
  <c r="M183" i="18"/>
  <c r="L183" i="18"/>
  <c r="K183" i="18"/>
  <c r="J183" i="18"/>
  <c r="I183" i="18"/>
  <c r="H183" i="18"/>
  <c r="G183" i="18"/>
  <c r="F183" i="18"/>
  <c r="E183" i="18"/>
  <c r="D183" i="18"/>
  <c r="AJ182" i="18"/>
  <c r="AI182" i="18"/>
  <c r="AH182"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AJ181" i="18"/>
  <c r="AI181" i="18"/>
  <c r="AH181"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AJ180" i="18"/>
  <c r="AI180" i="18"/>
  <c r="AH180"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H180" i="18"/>
  <c r="G180" i="18"/>
  <c r="F180" i="18"/>
  <c r="E180" i="18"/>
  <c r="D180" i="18"/>
  <c r="AJ179" i="18"/>
  <c r="AI179" i="18"/>
  <c r="AH179" i="18"/>
  <c r="AG179" i="18"/>
  <c r="AF179" i="18"/>
  <c r="AE179" i="18"/>
  <c r="AD179" i="18"/>
  <c r="AC179" i="18"/>
  <c r="AB179" i="18"/>
  <c r="AA179" i="18"/>
  <c r="Z179" i="18"/>
  <c r="Y179" i="18"/>
  <c r="X179" i="18"/>
  <c r="W179" i="18"/>
  <c r="V179" i="18"/>
  <c r="U179" i="18"/>
  <c r="AM179" i="18" s="1"/>
  <c r="T179" i="18"/>
  <c r="S179" i="18"/>
  <c r="R179" i="18"/>
  <c r="Q179" i="18"/>
  <c r="P179" i="18"/>
  <c r="O179" i="18"/>
  <c r="N179" i="18"/>
  <c r="M179" i="18"/>
  <c r="L179" i="18"/>
  <c r="K179" i="18"/>
  <c r="J179" i="18"/>
  <c r="I179" i="18"/>
  <c r="H179" i="18"/>
  <c r="G179" i="18"/>
  <c r="F179" i="18"/>
  <c r="E179" i="18"/>
  <c r="D179" i="18"/>
  <c r="AJ178" i="18"/>
  <c r="AI178" i="18"/>
  <c r="AH178"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AJ177" i="18"/>
  <c r="AI177" i="18"/>
  <c r="AH177" i="18"/>
  <c r="AG177" i="18"/>
  <c r="AF177" i="18"/>
  <c r="AE177" i="18"/>
  <c r="AD177" i="18"/>
  <c r="AC177" i="18"/>
  <c r="AB177" i="18"/>
  <c r="AL177" i="18" s="1"/>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AO177" i="18" s="1"/>
  <c r="AJ176" i="18"/>
  <c r="AI176" i="18"/>
  <c r="AH176" i="18"/>
  <c r="AG176" i="18"/>
  <c r="AF176" i="18"/>
  <c r="AE176" i="18"/>
  <c r="AD176" i="18"/>
  <c r="AC176" i="18"/>
  <c r="AB176" i="18"/>
  <c r="AA176" i="18"/>
  <c r="Z176" i="18"/>
  <c r="Y176" i="18"/>
  <c r="X176" i="18"/>
  <c r="W176" i="18"/>
  <c r="V176" i="18"/>
  <c r="U176" i="18"/>
  <c r="T176" i="18"/>
  <c r="S176" i="18"/>
  <c r="R176" i="18"/>
  <c r="Q176" i="18"/>
  <c r="P176" i="18"/>
  <c r="O176" i="18"/>
  <c r="N176" i="18"/>
  <c r="M176" i="18"/>
  <c r="L176" i="18"/>
  <c r="K176" i="18"/>
  <c r="J176" i="18"/>
  <c r="I176" i="18"/>
  <c r="H176" i="18"/>
  <c r="G176" i="18"/>
  <c r="F176" i="18"/>
  <c r="E176" i="18"/>
  <c r="D176" i="18"/>
  <c r="AJ175" i="18"/>
  <c r="AI175" i="18"/>
  <c r="AH175" i="18"/>
  <c r="AG175" i="18"/>
  <c r="AF175" i="18"/>
  <c r="AE175" i="18"/>
  <c r="AD175" i="18"/>
  <c r="AC175" i="18"/>
  <c r="AB175" i="18"/>
  <c r="AA175" i="18"/>
  <c r="Z175" i="18"/>
  <c r="Y175" i="18"/>
  <c r="X175" i="18"/>
  <c r="W175" i="18"/>
  <c r="V175" i="18"/>
  <c r="U175" i="18"/>
  <c r="T175" i="18"/>
  <c r="S175" i="18"/>
  <c r="R175" i="18"/>
  <c r="Q175" i="18"/>
  <c r="P175" i="18"/>
  <c r="O175" i="18"/>
  <c r="N175" i="18"/>
  <c r="M175" i="18"/>
  <c r="L175" i="18"/>
  <c r="K175" i="18"/>
  <c r="J175" i="18"/>
  <c r="I175" i="18"/>
  <c r="H175" i="18"/>
  <c r="G175" i="18"/>
  <c r="F175" i="18"/>
  <c r="E175" i="18"/>
  <c r="D175" i="18"/>
  <c r="AJ174" i="18"/>
  <c r="AI174" i="18"/>
  <c r="AH174" i="18"/>
  <c r="AG174" i="18"/>
  <c r="AF174" i="18"/>
  <c r="AE174" i="18"/>
  <c r="AD174" i="18"/>
  <c r="AC174" i="18"/>
  <c r="AB174" i="18"/>
  <c r="AL174" i="18" s="1"/>
  <c r="AA174" i="18"/>
  <c r="Z174" i="18"/>
  <c r="Y174" i="18"/>
  <c r="X174" i="18"/>
  <c r="W174" i="18"/>
  <c r="V174" i="18"/>
  <c r="U174" i="18"/>
  <c r="T174" i="18"/>
  <c r="AM174" i="18" s="1"/>
  <c r="S174" i="18"/>
  <c r="R174" i="18"/>
  <c r="Q174" i="18"/>
  <c r="P174" i="18"/>
  <c r="O174" i="18"/>
  <c r="N174" i="18"/>
  <c r="M174" i="18"/>
  <c r="L174" i="18"/>
  <c r="K174" i="18"/>
  <c r="J174" i="18"/>
  <c r="I174" i="18"/>
  <c r="H174" i="18"/>
  <c r="G174" i="18"/>
  <c r="F174" i="18"/>
  <c r="E174" i="18"/>
  <c r="D174" i="18"/>
  <c r="AO174" i="18" s="1"/>
  <c r="AJ173" i="18"/>
  <c r="AI173" i="18"/>
  <c r="AH173" i="18"/>
  <c r="AG173" i="18"/>
  <c r="AF173" i="18"/>
  <c r="AE173" i="18"/>
  <c r="AD173" i="18"/>
  <c r="AC173" i="18"/>
  <c r="AB173" i="18"/>
  <c r="AL173" i="18" s="1"/>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AO173" i="18" s="1"/>
  <c r="AJ172" i="18"/>
  <c r="AI172" i="18"/>
  <c r="AH172"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AJ171" i="18"/>
  <c r="AI171" i="18"/>
  <c r="AH171" i="18"/>
  <c r="AG171" i="18"/>
  <c r="AF171" i="18"/>
  <c r="AE171" i="18"/>
  <c r="AD171" i="18"/>
  <c r="AC171" i="18"/>
  <c r="AB171" i="18"/>
  <c r="AA171" i="18"/>
  <c r="Z171" i="18"/>
  <c r="Y171" i="18"/>
  <c r="X171" i="18"/>
  <c r="W171" i="18"/>
  <c r="V171" i="18"/>
  <c r="U171" i="18"/>
  <c r="T171" i="18"/>
  <c r="S171" i="18"/>
  <c r="R171" i="18"/>
  <c r="Q171" i="18"/>
  <c r="P171" i="18"/>
  <c r="O171" i="18"/>
  <c r="N171" i="18"/>
  <c r="M171" i="18"/>
  <c r="L171" i="18"/>
  <c r="AN171" i="18" s="1"/>
  <c r="K171" i="18"/>
  <c r="J171" i="18"/>
  <c r="I171" i="18"/>
  <c r="H171" i="18"/>
  <c r="G171" i="18"/>
  <c r="F171" i="18"/>
  <c r="E171" i="18"/>
  <c r="D171" i="18"/>
  <c r="AJ170" i="18"/>
  <c r="AI170" i="18"/>
  <c r="AH170"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AJ169" i="18"/>
  <c r="AI169" i="18"/>
  <c r="AH169" i="18"/>
  <c r="AG169" i="18"/>
  <c r="AF169" i="18"/>
  <c r="AE169" i="18"/>
  <c r="AD169" i="18"/>
  <c r="AC169" i="18"/>
  <c r="AB169" i="18"/>
  <c r="AA169" i="18"/>
  <c r="Z169" i="18"/>
  <c r="Y169" i="18"/>
  <c r="X169" i="18"/>
  <c r="W169" i="18"/>
  <c r="V169" i="18"/>
  <c r="U169" i="18"/>
  <c r="T169" i="18"/>
  <c r="S169" i="18"/>
  <c r="R169" i="18"/>
  <c r="Q169" i="18"/>
  <c r="P169" i="18"/>
  <c r="O169" i="18"/>
  <c r="N169" i="18"/>
  <c r="M169" i="18"/>
  <c r="L169" i="18"/>
  <c r="K169" i="18"/>
  <c r="J169" i="18"/>
  <c r="I169" i="18"/>
  <c r="H169" i="18"/>
  <c r="G169" i="18"/>
  <c r="F169" i="18"/>
  <c r="E169" i="18"/>
  <c r="D169" i="18"/>
  <c r="AJ168" i="18"/>
  <c r="AI168" i="18"/>
  <c r="AH168" i="18"/>
  <c r="AG168" i="18"/>
  <c r="AF168" i="18"/>
  <c r="AE168" i="18"/>
  <c r="AD168" i="18"/>
  <c r="AC168" i="18"/>
  <c r="AB168" i="18"/>
  <c r="AA168" i="18"/>
  <c r="Z168" i="18"/>
  <c r="Y168" i="18"/>
  <c r="X168" i="18"/>
  <c r="W168" i="18"/>
  <c r="V168" i="18"/>
  <c r="U168" i="18"/>
  <c r="T168" i="18"/>
  <c r="S168" i="18"/>
  <c r="R168" i="18"/>
  <c r="Q168" i="18"/>
  <c r="P168" i="18"/>
  <c r="O168" i="18"/>
  <c r="AN168" i="18" s="1"/>
  <c r="N168" i="18"/>
  <c r="M168" i="18"/>
  <c r="L168" i="18"/>
  <c r="K168" i="18"/>
  <c r="J168" i="18"/>
  <c r="I168" i="18"/>
  <c r="H168" i="18"/>
  <c r="G168" i="18"/>
  <c r="F168" i="18"/>
  <c r="E168" i="18"/>
  <c r="D168" i="18"/>
  <c r="C168" i="18"/>
  <c r="AJ167" i="18"/>
  <c r="AI167" i="18"/>
  <c r="AH167"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AJ166" i="18"/>
  <c r="AI166" i="18"/>
  <c r="AH166"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AJ165" i="18"/>
  <c r="AI165" i="18"/>
  <c r="AH165" i="18"/>
  <c r="AG165" i="18"/>
  <c r="AF165" i="18"/>
  <c r="AE165" i="18"/>
  <c r="AD165" i="18"/>
  <c r="AC165" i="18"/>
  <c r="AB165" i="18"/>
  <c r="AA165" i="18"/>
  <c r="Z165" i="18"/>
  <c r="Y165" i="18"/>
  <c r="X165" i="18"/>
  <c r="W165" i="18"/>
  <c r="V165" i="18"/>
  <c r="U165" i="18"/>
  <c r="T165" i="18"/>
  <c r="S165" i="18"/>
  <c r="R165" i="18"/>
  <c r="Q165" i="18"/>
  <c r="P165" i="18"/>
  <c r="O165" i="18"/>
  <c r="N165" i="18"/>
  <c r="M165" i="18"/>
  <c r="L165" i="18"/>
  <c r="K165" i="18"/>
  <c r="J165" i="18"/>
  <c r="I165" i="18"/>
  <c r="H165" i="18"/>
  <c r="G165" i="18"/>
  <c r="F165" i="18"/>
  <c r="E165" i="18"/>
  <c r="D165" i="18"/>
  <c r="AJ164" i="18"/>
  <c r="AI164" i="18"/>
  <c r="AH164" i="18"/>
  <c r="AG164" i="18"/>
  <c r="AF164" i="18"/>
  <c r="AE164" i="18"/>
  <c r="AD164" i="18"/>
  <c r="AC164" i="18"/>
  <c r="AB164" i="18"/>
  <c r="AA164" i="18"/>
  <c r="Z164" i="18"/>
  <c r="Y164" i="18"/>
  <c r="X164" i="18"/>
  <c r="W164" i="18"/>
  <c r="V164" i="18"/>
  <c r="U164" i="18"/>
  <c r="T164" i="18"/>
  <c r="S164" i="18"/>
  <c r="R164" i="18"/>
  <c r="Q164" i="18"/>
  <c r="P164" i="18"/>
  <c r="O164" i="18"/>
  <c r="N164" i="18"/>
  <c r="M164" i="18"/>
  <c r="AN164" i="18" s="1"/>
  <c r="L164" i="18"/>
  <c r="K164" i="18"/>
  <c r="J164" i="18"/>
  <c r="I164" i="18"/>
  <c r="H164" i="18"/>
  <c r="G164" i="18"/>
  <c r="F164" i="18"/>
  <c r="E164" i="18"/>
  <c r="D164" i="18"/>
  <c r="AJ163" i="18"/>
  <c r="AI163" i="18"/>
  <c r="AH163" i="18"/>
  <c r="AG163" i="18"/>
  <c r="AF163" i="18"/>
  <c r="AE163" i="18"/>
  <c r="AD163" i="18"/>
  <c r="AC163" i="18"/>
  <c r="AB163" i="18"/>
  <c r="AA163" i="18"/>
  <c r="Z163" i="18"/>
  <c r="Y163" i="18"/>
  <c r="X163" i="18"/>
  <c r="W163" i="18"/>
  <c r="V163" i="18"/>
  <c r="U163" i="18"/>
  <c r="T163" i="18"/>
  <c r="S163" i="18"/>
  <c r="R163" i="18"/>
  <c r="Q163" i="18"/>
  <c r="P163" i="18"/>
  <c r="O163" i="18"/>
  <c r="N163" i="18"/>
  <c r="M163" i="18"/>
  <c r="L163" i="18"/>
  <c r="K163" i="18"/>
  <c r="J163" i="18"/>
  <c r="I163" i="18"/>
  <c r="H163" i="18"/>
  <c r="G163" i="18"/>
  <c r="F163" i="18"/>
  <c r="E163" i="18"/>
  <c r="D163" i="18"/>
  <c r="AJ162" i="18"/>
  <c r="AI162" i="18"/>
  <c r="AH162" i="18"/>
  <c r="AG162" i="18"/>
  <c r="AF162" i="18"/>
  <c r="AE162" i="18"/>
  <c r="AD162" i="18"/>
  <c r="AC162" i="18"/>
  <c r="AB162" i="18"/>
  <c r="AA162" i="18"/>
  <c r="Z162" i="18"/>
  <c r="Y162" i="18"/>
  <c r="X162" i="18"/>
  <c r="W162" i="18"/>
  <c r="V162" i="18"/>
  <c r="U162" i="18"/>
  <c r="T162" i="18"/>
  <c r="S162" i="18"/>
  <c r="R162" i="18"/>
  <c r="Q162" i="18"/>
  <c r="P162" i="18"/>
  <c r="O162" i="18"/>
  <c r="N162" i="18"/>
  <c r="M162" i="18"/>
  <c r="L162" i="18"/>
  <c r="K162" i="18"/>
  <c r="J162" i="18"/>
  <c r="I162" i="18"/>
  <c r="H162" i="18"/>
  <c r="G162" i="18"/>
  <c r="F162" i="18"/>
  <c r="E162" i="18"/>
  <c r="D162" i="18"/>
  <c r="AJ161" i="18"/>
  <c r="AI161" i="18"/>
  <c r="AH161" i="18"/>
  <c r="AG161" i="18"/>
  <c r="AF161" i="18"/>
  <c r="AE161" i="18"/>
  <c r="AD161" i="18"/>
  <c r="AC161" i="18"/>
  <c r="AB161" i="18"/>
  <c r="AA161" i="18"/>
  <c r="Z161" i="18"/>
  <c r="Y161" i="18"/>
  <c r="X161" i="18"/>
  <c r="W161" i="18"/>
  <c r="V161" i="18"/>
  <c r="U161" i="18"/>
  <c r="T161" i="18"/>
  <c r="S161" i="18"/>
  <c r="R161" i="18"/>
  <c r="Q161" i="18"/>
  <c r="P161" i="18"/>
  <c r="O161" i="18"/>
  <c r="N161" i="18"/>
  <c r="M161" i="18"/>
  <c r="L161" i="18"/>
  <c r="K161" i="18"/>
  <c r="J161" i="18"/>
  <c r="I161" i="18"/>
  <c r="H161" i="18"/>
  <c r="G161" i="18"/>
  <c r="F161" i="18"/>
  <c r="E161" i="18"/>
  <c r="D161" i="18"/>
  <c r="AJ160" i="18"/>
  <c r="AI160" i="18"/>
  <c r="AH160" i="18"/>
  <c r="AG160" i="18"/>
  <c r="AF160" i="18"/>
  <c r="AE160" i="18"/>
  <c r="AD160" i="18"/>
  <c r="AL160" i="18" s="1"/>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AJ159" i="18"/>
  <c r="AI159" i="18"/>
  <c r="AH159" i="18"/>
  <c r="AG159" i="18"/>
  <c r="AF159" i="18"/>
  <c r="AE159" i="18"/>
  <c r="AD159" i="18"/>
  <c r="AC159" i="18"/>
  <c r="AB159" i="18"/>
  <c r="AL159" i="18" s="1"/>
  <c r="AA159" i="18"/>
  <c r="Z159" i="18"/>
  <c r="Y159" i="18"/>
  <c r="X159" i="18"/>
  <c r="W159" i="18"/>
  <c r="V159" i="18"/>
  <c r="U159" i="18"/>
  <c r="T159" i="18"/>
  <c r="S159" i="18"/>
  <c r="R159" i="18"/>
  <c r="Q159" i="18"/>
  <c r="P159" i="18"/>
  <c r="O159" i="18"/>
  <c r="N159" i="18"/>
  <c r="M159" i="18"/>
  <c r="L159" i="18"/>
  <c r="K159" i="18"/>
  <c r="J159" i="18"/>
  <c r="I159" i="18"/>
  <c r="H159" i="18"/>
  <c r="G159" i="18"/>
  <c r="F159" i="18"/>
  <c r="E159" i="18"/>
  <c r="D159" i="18"/>
  <c r="AO159" i="18" s="1"/>
  <c r="AJ158" i="18"/>
  <c r="AI158" i="18"/>
  <c r="AH158"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AJ157" i="18"/>
  <c r="AI157" i="18"/>
  <c r="AH157"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AJ156" i="18"/>
  <c r="AI156" i="18"/>
  <c r="AH156" i="18"/>
  <c r="AG156" i="18"/>
  <c r="AF156" i="18"/>
  <c r="AE156" i="18"/>
  <c r="AD156" i="18"/>
  <c r="AL156" i="18" s="1"/>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AJ155" i="18"/>
  <c r="AI155" i="18"/>
  <c r="AH155" i="18"/>
  <c r="AG155" i="18"/>
  <c r="AF155" i="18"/>
  <c r="AE155" i="18"/>
  <c r="AD155" i="18"/>
  <c r="AC155" i="18"/>
  <c r="AB155" i="18"/>
  <c r="AL155" i="18" s="1"/>
  <c r="AA155" i="18"/>
  <c r="Z155" i="18"/>
  <c r="Y155" i="18"/>
  <c r="X155" i="18"/>
  <c r="W155" i="18"/>
  <c r="V155" i="18"/>
  <c r="U155" i="18"/>
  <c r="T155" i="18"/>
  <c r="S155" i="18"/>
  <c r="R155" i="18"/>
  <c r="Q155" i="18"/>
  <c r="P155" i="18"/>
  <c r="O155" i="18"/>
  <c r="N155" i="18"/>
  <c r="M155" i="18"/>
  <c r="L155" i="18"/>
  <c r="K155" i="18"/>
  <c r="J155" i="18"/>
  <c r="I155" i="18"/>
  <c r="H155" i="18"/>
  <c r="G155" i="18"/>
  <c r="F155" i="18"/>
  <c r="E155" i="18"/>
  <c r="D155" i="18"/>
  <c r="AO155" i="18" s="1"/>
  <c r="AJ154" i="18"/>
  <c r="AI154" i="18"/>
  <c r="AH154"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AJ153" i="18"/>
  <c r="AI153" i="18"/>
  <c r="AH153"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AJ152" i="18"/>
  <c r="AI152" i="18"/>
  <c r="AH152" i="18"/>
  <c r="AG152" i="18"/>
  <c r="AF152" i="18"/>
  <c r="AE152" i="18"/>
  <c r="AD152" i="18"/>
  <c r="AC152" i="18"/>
  <c r="AB152" i="18"/>
  <c r="AA152" i="18"/>
  <c r="Z152" i="18"/>
  <c r="Y152" i="18"/>
  <c r="X152" i="18"/>
  <c r="W152" i="18"/>
  <c r="V152" i="18"/>
  <c r="U152" i="18"/>
  <c r="T152" i="18"/>
  <c r="AM152" i="18" s="1"/>
  <c r="S152" i="18"/>
  <c r="R152" i="18"/>
  <c r="Q152" i="18"/>
  <c r="P152" i="18"/>
  <c r="O152" i="18"/>
  <c r="N152" i="18"/>
  <c r="M152" i="18"/>
  <c r="L152" i="18"/>
  <c r="K152" i="18"/>
  <c r="J152" i="18"/>
  <c r="I152" i="18"/>
  <c r="H152" i="18"/>
  <c r="G152" i="18"/>
  <c r="F152" i="18"/>
  <c r="E152" i="18"/>
  <c r="D152" i="18"/>
  <c r="AJ151" i="18"/>
  <c r="AI151" i="18"/>
  <c r="AH151"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AJ150" i="18"/>
  <c r="AI150" i="18"/>
  <c r="AH150"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AJ149" i="18"/>
  <c r="AI149" i="18"/>
  <c r="AH149" i="18"/>
  <c r="AG149" i="18"/>
  <c r="AF149" i="18"/>
  <c r="AE149" i="18"/>
  <c r="AD149" i="18"/>
  <c r="AC149" i="18"/>
  <c r="AB149" i="18"/>
  <c r="AA149" i="18"/>
  <c r="Z149" i="18"/>
  <c r="Y149" i="18"/>
  <c r="X149" i="18"/>
  <c r="W149" i="18"/>
  <c r="V149" i="18"/>
  <c r="U149" i="18"/>
  <c r="T149" i="18"/>
  <c r="S149" i="18"/>
  <c r="R149" i="18"/>
  <c r="Q149" i="18"/>
  <c r="P149" i="18"/>
  <c r="O149" i="18"/>
  <c r="N149" i="18"/>
  <c r="M149" i="18"/>
  <c r="L149" i="18"/>
  <c r="AN149" i="18" s="1"/>
  <c r="K149" i="18"/>
  <c r="J149" i="18"/>
  <c r="I149" i="18"/>
  <c r="H149" i="18"/>
  <c r="G149" i="18"/>
  <c r="F149" i="18"/>
  <c r="E149" i="18"/>
  <c r="D149" i="18"/>
  <c r="AJ148" i="18"/>
  <c r="AI148" i="18"/>
  <c r="AH148"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AJ147" i="18"/>
  <c r="AI147" i="18"/>
  <c r="AH147" i="18"/>
  <c r="AG147" i="18"/>
  <c r="AF147" i="18"/>
  <c r="AE147" i="18"/>
  <c r="AD147" i="18"/>
  <c r="AC147" i="18"/>
  <c r="AB147" i="18"/>
  <c r="AA147" i="18"/>
  <c r="Z147" i="18"/>
  <c r="Y147" i="18"/>
  <c r="X147" i="18"/>
  <c r="W147" i="18"/>
  <c r="V147" i="18"/>
  <c r="U147" i="18"/>
  <c r="T147" i="18"/>
  <c r="S147" i="18"/>
  <c r="R147" i="18"/>
  <c r="Q147" i="18"/>
  <c r="P147" i="18"/>
  <c r="O147" i="18"/>
  <c r="N147" i="18"/>
  <c r="M147" i="18"/>
  <c r="L147" i="18"/>
  <c r="K147" i="18"/>
  <c r="J147" i="18"/>
  <c r="I147" i="18"/>
  <c r="H147" i="18"/>
  <c r="G147" i="18"/>
  <c r="F147" i="18"/>
  <c r="E147" i="18"/>
  <c r="D147" i="18"/>
  <c r="AJ146" i="18"/>
  <c r="AI146" i="18"/>
  <c r="AH146"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AJ145" i="18"/>
  <c r="AI145" i="18"/>
  <c r="AH145" i="18"/>
  <c r="AG145" i="18"/>
  <c r="AF145" i="18"/>
  <c r="AE145" i="18"/>
  <c r="AD145" i="18"/>
  <c r="AC145" i="18"/>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D145" i="18"/>
  <c r="AJ144" i="18"/>
  <c r="AI144" i="18"/>
  <c r="AH144"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AJ143" i="18"/>
  <c r="AI143" i="18"/>
  <c r="AH143"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AJ142" i="18"/>
  <c r="AI142" i="18"/>
  <c r="AH142"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AJ141" i="18"/>
  <c r="AI141" i="18"/>
  <c r="AH141"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AJ140" i="18"/>
  <c r="AI140" i="18"/>
  <c r="AH140" i="18"/>
  <c r="AG140" i="18"/>
  <c r="AF140" i="18"/>
  <c r="AE140" i="18"/>
  <c r="AD140" i="18"/>
  <c r="AC140" i="18"/>
  <c r="AB140" i="18"/>
  <c r="AA140" i="18"/>
  <c r="Z140" i="18"/>
  <c r="Y140" i="18"/>
  <c r="X140" i="18"/>
  <c r="W140" i="18"/>
  <c r="V140" i="18"/>
  <c r="U140" i="18"/>
  <c r="T140" i="18"/>
  <c r="AM140" i="18" s="1"/>
  <c r="S140" i="18"/>
  <c r="R140" i="18"/>
  <c r="Q140" i="18"/>
  <c r="P140" i="18"/>
  <c r="O140" i="18"/>
  <c r="N140" i="18"/>
  <c r="M140" i="18"/>
  <c r="L140" i="18"/>
  <c r="AN140" i="18" s="1"/>
  <c r="K140" i="18"/>
  <c r="J140" i="18"/>
  <c r="I140" i="18"/>
  <c r="H140" i="18"/>
  <c r="G140" i="18"/>
  <c r="F140" i="18"/>
  <c r="E140" i="18"/>
  <c r="D140" i="18"/>
  <c r="AJ139" i="18"/>
  <c r="AI139" i="18"/>
  <c r="AH139" i="18"/>
  <c r="AG139" i="18"/>
  <c r="AF139" i="18"/>
  <c r="AE139" i="18"/>
  <c r="AD139" i="18"/>
  <c r="AC139" i="18"/>
  <c r="AB139" i="18"/>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AJ138" i="18"/>
  <c r="AI138" i="18"/>
  <c r="AH138"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AJ137" i="18"/>
  <c r="AI137" i="18"/>
  <c r="AH137" i="18"/>
  <c r="AG137" i="18"/>
  <c r="AF137" i="18"/>
  <c r="AE137" i="18"/>
  <c r="AD137" i="18"/>
  <c r="AC137" i="18"/>
  <c r="AB137" i="18"/>
  <c r="AL137" i="18" s="1"/>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AO137" i="18" s="1"/>
  <c r="AJ136" i="18"/>
  <c r="AI136" i="18"/>
  <c r="AH136"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AJ134" i="18"/>
  <c r="AI134" i="18"/>
  <c r="AH134" i="18"/>
  <c r="AG134" i="18"/>
  <c r="AF134" i="18"/>
  <c r="AE134" i="18"/>
  <c r="AD134" i="18"/>
  <c r="AC134" i="18"/>
  <c r="AB134" i="18"/>
  <c r="AA134" i="18"/>
  <c r="Z134" i="18"/>
  <c r="Y134" i="18"/>
  <c r="X134" i="18"/>
  <c r="W134" i="18"/>
  <c r="V134" i="18"/>
  <c r="AM134" i="18" s="1"/>
  <c r="U134" i="18"/>
  <c r="T134" i="18"/>
  <c r="S134" i="18"/>
  <c r="R134" i="18"/>
  <c r="Q134" i="18"/>
  <c r="P134" i="18"/>
  <c r="O134" i="18"/>
  <c r="N134" i="18"/>
  <c r="M134" i="18"/>
  <c r="L134" i="18"/>
  <c r="K134" i="18"/>
  <c r="J134" i="18"/>
  <c r="I134" i="18"/>
  <c r="H134" i="18"/>
  <c r="G134" i="18"/>
  <c r="F134" i="18"/>
  <c r="E134" i="18"/>
  <c r="D134" i="18"/>
  <c r="AJ133" i="18"/>
  <c r="AI133" i="18"/>
  <c r="AH133"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AJ132" i="18"/>
  <c r="AI132" i="18"/>
  <c r="AH132" i="18"/>
  <c r="AG132" i="18"/>
  <c r="AF132" i="18"/>
  <c r="AE132" i="18"/>
  <c r="AD132" i="18"/>
  <c r="AC132" i="18"/>
  <c r="AB132" i="18"/>
  <c r="AL132" i="18" s="1"/>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AJ131" i="18"/>
  <c r="AI131" i="18"/>
  <c r="AH131" i="18"/>
  <c r="AG131" i="18"/>
  <c r="AF131" i="18"/>
  <c r="AE131" i="18"/>
  <c r="AD131" i="18"/>
  <c r="AC131" i="18"/>
  <c r="AB131" i="18"/>
  <c r="AL131" i="18" s="1"/>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AO131" i="18" s="1"/>
  <c r="AJ130" i="18"/>
  <c r="AI130" i="18"/>
  <c r="AH130"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AJ129" i="18"/>
  <c r="AI129" i="18"/>
  <c r="AH129"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AJ128" i="18"/>
  <c r="AI128" i="18"/>
  <c r="AH128" i="18"/>
  <c r="AG128" i="18"/>
  <c r="AF128" i="18"/>
  <c r="AE128" i="18"/>
  <c r="AD128" i="18"/>
  <c r="AC128" i="18"/>
  <c r="AB128" i="18"/>
  <c r="AL128" i="18" s="1"/>
  <c r="AA128" i="18"/>
  <c r="Z128" i="18"/>
  <c r="Y128" i="18"/>
  <c r="X128" i="18"/>
  <c r="W128" i="18"/>
  <c r="V128" i="18"/>
  <c r="U128" i="18"/>
  <c r="T128" i="18"/>
  <c r="S128" i="18"/>
  <c r="R128" i="18"/>
  <c r="Q128" i="18"/>
  <c r="P128" i="18"/>
  <c r="O128" i="18"/>
  <c r="N128" i="18"/>
  <c r="M128" i="18"/>
  <c r="L128" i="18"/>
  <c r="K128" i="18"/>
  <c r="J128" i="18"/>
  <c r="I128" i="18"/>
  <c r="H128" i="18"/>
  <c r="G128" i="18"/>
  <c r="F128" i="18"/>
  <c r="E128" i="18"/>
  <c r="D128" i="18"/>
  <c r="AO128" i="18" s="1"/>
  <c r="AJ127" i="18"/>
  <c r="AI127" i="18"/>
  <c r="AH127" i="18"/>
  <c r="AG127" i="18"/>
  <c r="AF127" i="18"/>
  <c r="AE127" i="18"/>
  <c r="AD127" i="18"/>
  <c r="AC127" i="18"/>
  <c r="AB127" i="18"/>
  <c r="AA127" i="18"/>
  <c r="Z127" i="18"/>
  <c r="Y127" i="18"/>
  <c r="X127" i="18"/>
  <c r="W127" i="18"/>
  <c r="V127" i="18"/>
  <c r="U127" i="18"/>
  <c r="T127" i="18"/>
  <c r="S127" i="18"/>
  <c r="R127" i="18"/>
  <c r="Q127" i="18"/>
  <c r="P127" i="18"/>
  <c r="O127" i="18"/>
  <c r="N127" i="18"/>
  <c r="M127" i="18"/>
  <c r="L127" i="18"/>
  <c r="K127" i="18"/>
  <c r="J127" i="18"/>
  <c r="I127" i="18"/>
  <c r="H127" i="18"/>
  <c r="G127" i="18"/>
  <c r="F127" i="18"/>
  <c r="E127" i="18"/>
  <c r="D127" i="18"/>
  <c r="AJ126" i="18"/>
  <c r="AI126" i="18"/>
  <c r="AH126" i="18"/>
  <c r="AG126" i="18"/>
  <c r="AF126" i="18"/>
  <c r="AE126" i="18"/>
  <c r="AD126" i="18"/>
  <c r="AC126" i="18"/>
  <c r="AB126" i="18"/>
  <c r="AA126" i="18"/>
  <c r="Z126" i="18"/>
  <c r="Y126" i="18"/>
  <c r="X126" i="18"/>
  <c r="W126" i="18"/>
  <c r="V126" i="18"/>
  <c r="U126" i="18"/>
  <c r="T126" i="18"/>
  <c r="S126" i="18"/>
  <c r="R126" i="18"/>
  <c r="Q126" i="18"/>
  <c r="P126" i="18"/>
  <c r="O126" i="18"/>
  <c r="N126" i="18"/>
  <c r="M126" i="18"/>
  <c r="L126" i="18"/>
  <c r="K126" i="18"/>
  <c r="J126" i="18"/>
  <c r="I126" i="18"/>
  <c r="H126" i="18"/>
  <c r="G126" i="18"/>
  <c r="F126" i="18"/>
  <c r="E126" i="18"/>
  <c r="D126" i="18"/>
  <c r="AJ125" i="18"/>
  <c r="AI125" i="18"/>
  <c r="AH125"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AJ124" i="18"/>
  <c r="AI124" i="18"/>
  <c r="AH124" i="18"/>
  <c r="AG124" i="18"/>
  <c r="AF124" i="18"/>
  <c r="AE124" i="18"/>
  <c r="AD124" i="18"/>
  <c r="AC124" i="18"/>
  <c r="AB124" i="18"/>
  <c r="AL124" i="18" s="1"/>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AJ123" i="18"/>
  <c r="AI123" i="18"/>
  <c r="AH123"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AJ122" i="18"/>
  <c r="AI122" i="18"/>
  <c r="AH122" i="18"/>
  <c r="AG122" i="18"/>
  <c r="AF122" i="18"/>
  <c r="AE122" i="18"/>
  <c r="AD122" i="18"/>
  <c r="AC122" i="18"/>
  <c r="AB122" i="18"/>
  <c r="AA122" i="18"/>
  <c r="Z122" i="18"/>
  <c r="Y122" i="18"/>
  <c r="AM122" i="18" s="1"/>
  <c r="X122" i="18"/>
  <c r="W122" i="18"/>
  <c r="V122" i="18"/>
  <c r="U122" i="18"/>
  <c r="T122" i="18"/>
  <c r="S122" i="18"/>
  <c r="R122" i="18"/>
  <c r="Q122" i="18"/>
  <c r="P122" i="18"/>
  <c r="O122" i="18"/>
  <c r="N122" i="18"/>
  <c r="M122" i="18"/>
  <c r="L122" i="18"/>
  <c r="K122" i="18"/>
  <c r="J122" i="18"/>
  <c r="I122" i="18"/>
  <c r="H122" i="18"/>
  <c r="G122" i="18"/>
  <c r="F122" i="18"/>
  <c r="E122" i="18"/>
  <c r="D122" i="18"/>
  <c r="AO122" i="18" s="1"/>
  <c r="AJ121" i="18"/>
  <c r="AI121" i="18"/>
  <c r="AH121" i="18"/>
  <c r="AG121" i="18"/>
  <c r="AF121" i="18"/>
  <c r="AE121" i="18"/>
  <c r="AD121" i="18"/>
  <c r="AC121" i="18"/>
  <c r="AB121" i="18"/>
  <c r="AA121" i="18"/>
  <c r="Z121" i="18"/>
  <c r="Y121" i="18"/>
  <c r="X121" i="18"/>
  <c r="W121" i="18"/>
  <c r="V121" i="18"/>
  <c r="U121" i="18"/>
  <c r="T121" i="18"/>
  <c r="S121" i="18"/>
  <c r="R121" i="18"/>
  <c r="Q121" i="18"/>
  <c r="P121" i="18"/>
  <c r="O121" i="18"/>
  <c r="N121" i="18"/>
  <c r="M121" i="18"/>
  <c r="AN121" i="18" s="1"/>
  <c r="L121" i="18"/>
  <c r="K121" i="18"/>
  <c r="J121" i="18"/>
  <c r="I121" i="18"/>
  <c r="H121" i="18"/>
  <c r="G121" i="18"/>
  <c r="F121" i="18"/>
  <c r="E121" i="18"/>
  <c r="D121" i="18"/>
  <c r="AJ120" i="18"/>
  <c r="AI120" i="18"/>
  <c r="AH120" i="18"/>
  <c r="AG120" i="18"/>
  <c r="AF120" i="18"/>
  <c r="AE120" i="18"/>
  <c r="AD120" i="18"/>
  <c r="AC120" i="18"/>
  <c r="AB120" i="18"/>
  <c r="AA120" i="18"/>
  <c r="Z120" i="18"/>
  <c r="Y120" i="18"/>
  <c r="X120" i="18"/>
  <c r="W120" i="18"/>
  <c r="V120" i="18"/>
  <c r="U120" i="18"/>
  <c r="T120" i="18"/>
  <c r="S120" i="18"/>
  <c r="R120" i="18"/>
  <c r="Q120" i="18"/>
  <c r="P120" i="18"/>
  <c r="O120" i="18"/>
  <c r="N120" i="18"/>
  <c r="M120" i="18"/>
  <c r="L120" i="18"/>
  <c r="AN120" i="18" s="1"/>
  <c r="K120" i="18"/>
  <c r="J120" i="18"/>
  <c r="I120" i="18"/>
  <c r="H120" i="18"/>
  <c r="G120" i="18"/>
  <c r="F120" i="18"/>
  <c r="E120" i="18"/>
  <c r="D120" i="18"/>
  <c r="AJ119" i="18"/>
  <c r="AI119" i="18"/>
  <c r="AH119"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AJ118" i="18"/>
  <c r="AI118" i="18"/>
  <c r="AH118"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AJ117" i="18"/>
  <c r="AI117" i="18"/>
  <c r="AH117"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AJ116" i="18"/>
  <c r="AI116" i="18"/>
  <c r="AH116" i="18"/>
  <c r="AG116" i="18"/>
  <c r="AL116" i="18" s="1"/>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AJ115" i="18"/>
  <c r="AI115" i="18"/>
  <c r="AH115"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AJ114" i="18"/>
  <c r="AI114" i="18"/>
  <c r="AH114"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AJ113" i="18"/>
  <c r="AI113" i="18"/>
  <c r="AH113"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AJ112" i="18"/>
  <c r="AI112" i="18"/>
  <c r="AH112"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AJ111" i="18"/>
  <c r="AI111" i="18"/>
  <c r="AH111"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AO111" i="18" s="1"/>
  <c r="H111" i="18"/>
  <c r="G111" i="18"/>
  <c r="F111" i="18"/>
  <c r="E111" i="18"/>
  <c r="D111" i="18"/>
  <c r="AJ110" i="18"/>
  <c r="AI110" i="18"/>
  <c r="AH110" i="18"/>
  <c r="AG110" i="18"/>
  <c r="AF110" i="18"/>
  <c r="AE110" i="18"/>
  <c r="AD110" i="18"/>
  <c r="AC110" i="18"/>
  <c r="AB110" i="18"/>
  <c r="AA110" i="18"/>
  <c r="Z110" i="18"/>
  <c r="Y110" i="18"/>
  <c r="X110" i="18"/>
  <c r="W110" i="18"/>
  <c r="V110" i="18"/>
  <c r="U110" i="18"/>
  <c r="T110" i="18"/>
  <c r="S110" i="18"/>
  <c r="R110" i="18"/>
  <c r="Q110" i="18"/>
  <c r="P110" i="18"/>
  <c r="O110" i="18"/>
  <c r="N110" i="18"/>
  <c r="M110" i="18"/>
  <c r="L110" i="18"/>
  <c r="K110" i="18"/>
  <c r="J110" i="18"/>
  <c r="I110" i="18"/>
  <c r="H110" i="18"/>
  <c r="G110" i="18"/>
  <c r="F110" i="18"/>
  <c r="E110" i="18"/>
  <c r="D110" i="18"/>
  <c r="AJ109" i="18"/>
  <c r="AI109" i="18"/>
  <c r="AH109" i="18"/>
  <c r="AG109" i="18"/>
  <c r="AF109" i="18"/>
  <c r="AE109" i="18"/>
  <c r="AD109" i="18"/>
  <c r="AC109" i="18"/>
  <c r="AB109" i="18"/>
  <c r="AL109" i="18" s="1"/>
  <c r="AA109" i="18"/>
  <c r="Z109" i="18"/>
  <c r="Y109" i="18"/>
  <c r="X109" i="18"/>
  <c r="W109" i="18"/>
  <c r="V109" i="18"/>
  <c r="U109" i="18"/>
  <c r="T109" i="18"/>
  <c r="AM109" i="18" s="1"/>
  <c r="S109" i="18"/>
  <c r="R109" i="18"/>
  <c r="Q109" i="18"/>
  <c r="P109" i="18"/>
  <c r="O109" i="18"/>
  <c r="N109" i="18"/>
  <c r="M109" i="18"/>
  <c r="L109" i="18"/>
  <c r="K109" i="18"/>
  <c r="J109" i="18"/>
  <c r="I109" i="18"/>
  <c r="H109" i="18"/>
  <c r="G109" i="18"/>
  <c r="F109" i="18"/>
  <c r="E109" i="18"/>
  <c r="D109" i="18"/>
  <c r="AO109" i="18" s="1"/>
  <c r="AJ108" i="18"/>
  <c r="AI108" i="18"/>
  <c r="AH108" i="18"/>
  <c r="AG108" i="18"/>
  <c r="AF108" i="18"/>
  <c r="AE108" i="18"/>
  <c r="AD108" i="18"/>
  <c r="AC108" i="18"/>
  <c r="AB108" i="18"/>
  <c r="AA108" i="18"/>
  <c r="Z108" i="18"/>
  <c r="Y108" i="18"/>
  <c r="X108" i="18"/>
  <c r="W108" i="18"/>
  <c r="V108" i="18"/>
  <c r="U108" i="18"/>
  <c r="T108" i="18"/>
  <c r="S108" i="18"/>
  <c r="R108" i="18"/>
  <c r="Q108" i="18"/>
  <c r="P108" i="18"/>
  <c r="O108" i="18"/>
  <c r="N108" i="18"/>
  <c r="M108" i="18"/>
  <c r="L108" i="18"/>
  <c r="K108" i="18"/>
  <c r="J108" i="18"/>
  <c r="I108" i="18"/>
  <c r="H108" i="18"/>
  <c r="G108" i="18"/>
  <c r="F108" i="18"/>
  <c r="E108" i="18"/>
  <c r="D108" i="18"/>
  <c r="AJ107" i="18"/>
  <c r="AI107" i="18"/>
  <c r="AH107" i="18"/>
  <c r="AG107" i="18"/>
  <c r="AF107" i="18"/>
  <c r="AE107" i="18"/>
  <c r="AD107" i="18"/>
  <c r="AC107" i="18"/>
  <c r="AB107" i="18"/>
  <c r="AA107" i="18"/>
  <c r="Z107" i="18"/>
  <c r="Y107" i="18"/>
  <c r="X107" i="18"/>
  <c r="W107" i="18"/>
  <c r="V107" i="18"/>
  <c r="U107" i="18"/>
  <c r="T107" i="18"/>
  <c r="S107" i="18"/>
  <c r="R107" i="18"/>
  <c r="Q107" i="18"/>
  <c r="P107" i="18"/>
  <c r="O107" i="18"/>
  <c r="N107" i="18"/>
  <c r="M107" i="18"/>
  <c r="L107" i="18"/>
  <c r="K107" i="18"/>
  <c r="J107" i="18"/>
  <c r="I107" i="18"/>
  <c r="H107" i="18"/>
  <c r="G107" i="18"/>
  <c r="F107" i="18"/>
  <c r="E107" i="18"/>
  <c r="D107" i="18"/>
  <c r="AJ106" i="18"/>
  <c r="AI106" i="18"/>
  <c r="AH106"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AJ105" i="18"/>
  <c r="AI105" i="18"/>
  <c r="AH105"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AJ104" i="18"/>
  <c r="AI104" i="18"/>
  <c r="AH104" i="18"/>
  <c r="AG104" i="18"/>
  <c r="AF104" i="18"/>
  <c r="AE104" i="18"/>
  <c r="AD104" i="18"/>
  <c r="AC104" i="18"/>
  <c r="AB104" i="18"/>
  <c r="AL104" i="18" s="1"/>
  <c r="AA104" i="18"/>
  <c r="Z104" i="18"/>
  <c r="Y104" i="18"/>
  <c r="X104" i="18"/>
  <c r="W104" i="18"/>
  <c r="V104" i="18"/>
  <c r="U104" i="18"/>
  <c r="T104" i="18"/>
  <c r="AM104" i="18" s="1"/>
  <c r="S104" i="18"/>
  <c r="R104" i="18"/>
  <c r="Q104" i="18"/>
  <c r="P104" i="18"/>
  <c r="O104" i="18"/>
  <c r="N104" i="18"/>
  <c r="M104" i="18"/>
  <c r="L104" i="18"/>
  <c r="K104" i="18"/>
  <c r="J104" i="18"/>
  <c r="I104" i="18"/>
  <c r="H104" i="18"/>
  <c r="G104" i="18"/>
  <c r="F104" i="18"/>
  <c r="E104" i="18"/>
  <c r="D104" i="18"/>
  <c r="AO104" i="18" s="1"/>
  <c r="AJ103" i="18"/>
  <c r="AI103" i="18"/>
  <c r="AH103"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AJ102" i="18"/>
  <c r="AI102" i="18"/>
  <c r="AH102"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AJ101" i="18"/>
  <c r="AI101" i="18"/>
  <c r="AH101"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AJ100" i="18"/>
  <c r="AI100" i="18"/>
  <c r="AH100"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AJ99" i="18"/>
  <c r="AI99" i="18"/>
  <c r="AH99" i="18"/>
  <c r="AG99" i="18"/>
  <c r="AF99" i="18"/>
  <c r="AE99" i="18"/>
  <c r="AD99" i="18"/>
  <c r="AC99" i="18"/>
  <c r="AB99" i="18"/>
  <c r="AA99" i="18"/>
  <c r="Z99" i="18"/>
  <c r="AM99" i="18" s="1"/>
  <c r="Y99" i="18"/>
  <c r="X99" i="18"/>
  <c r="W99" i="18"/>
  <c r="V99" i="18"/>
  <c r="U99" i="18"/>
  <c r="T99" i="18"/>
  <c r="S99" i="18"/>
  <c r="R99" i="18"/>
  <c r="Q99" i="18"/>
  <c r="P99" i="18"/>
  <c r="O99" i="18"/>
  <c r="N99" i="18"/>
  <c r="M99" i="18"/>
  <c r="L99" i="18"/>
  <c r="K99" i="18"/>
  <c r="J99" i="18"/>
  <c r="I99" i="18"/>
  <c r="H99" i="18"/>
  <c r="G99" i="18"/>
  <c r="F99" i="18"/>
  <c r="E99" i="18"/>
  <c r="D99" i="18"/>
  <c r="AJ98" i="18"/>
  <c r="AI98" i="18"/>
  <c r="AH98"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C98" i="18"/>
  <c r="AJ97" i="18"/>
  <c r="AI97" i="18"/>
  <c r="AH97" i="18"/>
  <c r="AG97" i="18"/>
  <c r="AF97" i="18"/>
  <c r="AE97" i="18"/>
  <c r="AD97" i="18"/>
  <c r="AC97" i="18"/>
  <c r="AB97" i="18"/>
  <c r="AA97" i="18"/>
  <c r="Z97" i="18"/>
  <c r="Y97" i="18"/>
  <c r="X97" i="18"/>
  <c r="W97" i="18"/>
  <c r="V97" i="18"/>
  <c r="U97" i="18"/>
  <c r="T97" i="18"/>
  <c r="S97" i="18"/>
  <c r="R97" i="18"/>
  <c r="Q97" i="18"/>
  <c r="P97" i="18"/>
  <c r="O97" i="18"/>
  <c r="N97" i="18"/>
  <c r="M97" i="18"/>
  <c r="AN97" i="18" s="1"/>
  <c r="L97" i="18"/>
  <c r="K97" i="18"/>
  <c r="J97" i="18"/>
  <c r="I97" i="18"/>
  <c r="H97" i="18"/>
  <c r="G97" i="18"/>
  <c r="F97" i="18"/>
  <c r="E97" i="18"/>
  <c r="D97" i="18"/>
  <c r="AJ96" i="18"/>
  <c r="AI96" i="18"/>
  <c r="AH96" i="18"/>
  <c r="AG96" i="18"/>
  <c r="AF96" i="18"/>
  <c r="AE96" i="18"/>
  <c r="AL96" i="18" s="1"/>
  <c r="AD96" i="18"/>
  <c r="AC96" i="18"/>
  <c r="AB96" i="18"/>
  <c r="AA96" i="18"/>
  <c r="Z96" i="18"/>
  <c r="Y96" i="18"/>
  <c r="X96" i="18"/>
  <c r="W96" i="18"/>
  <c r="V96" i="18"/>
  <c r="U96" i="18"/>
  <c r="T96" i="18"/>
  <c r="S96" i="18"/>
  <c r="R96" i="18"/>
  <c r="Q96" i="18"/>
  <c r="P96" i="18"/>
  <c r="O96" i="18"/>
  <c r="N96" i="18"/>
  <c r="M96" i="18"/>
  <c r="L96" i="18"/>
  <c r="K96" i="18"/>
  <c r="J96" i="18"/>
  <c r="I96" i="18"/>
  <c r="H96" i="18"/>
  <c r="G96" i="18"/>
  <c r="F96" i="18"/>
  <c r="E96" i="18"/>
  <c r="D96" i="18"/>
  <c r="AJ95" i="18"/>
  <c r="AI95" i="18"/>
  <c r="AH95"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AJ94" i="18"/>
  <c r="AI94" i="18"/>
  <c r="AH94"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AJ93" i="18"/>
  <c r="AI93" i="18"/>
  <c r="AH93"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C93" i="18"/>
  <c r="AL92" i="18"/>
  <c r="AJ92" i="18"/>
  <c r="AI92" i="18"/>
  <c r="AH92"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AJ91" i="18"/>
  <c r="AI91" i="18"/>
  <c r="AH91" i="18"/>
  <c r="AG91" i="18"/>
  <c r="AF91" i="18"/>
  <c r="AE91" i="18"/>
  <c r="AD91" i="18"/>
  <c r="AC91" i="18"/>
  <c r="AB91" i="18"/>
  <c r="AA91" i="18"/>
  <c r="Z91" i="18"/>
  <c r="Y91" i="18"/>
  <c r="X91" i="18"/>
  <c r="W91" i="18"/>
  <c r="V91" i="18"/>
  <c r="U91" i="18"/>
  <c r="T91" i="18"/>
  <c r="S91" i="18"/>
  <c r="R91" i="18"/>
  <c r="Q91" i="18"/>
  <c r="P91" i="18"/>
  <c r="O91" i="18"/>
  <c r="N91" i="18"/>
  <c r="M91" i="18"/>
  <c r="L91" i="18"/>
  <c r="AN91" i="18" s="1"/>
  <c r="K91" i="18"/>
  <c r="J91" i="18"/>
  <c r="I91" i="18"/>
  <c r="H91" i="18"/>
  <c r="AO91" i="18" s="1"/>
  <c r="G91" i="18"/>
  <c r="F91" i="18"/>
  <c r="E91" i="18"/>
  <c r="D91" i="18"/>
  <c r="AJ90" i="18"/>
  <c r="AI90" i="18"/>
  <c r="AH90"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AJ89" i="18"/>
  <c r="AI89" i="18"/>
  <c r="AH89" i="18"/>
  <c r="AG89" i="18"/>
  <c r="AF89" i="18"/>
  <c r="AE89" i="18"/>
  <c r="AD89" i="18"/>
  <c r="AC89" i="18"/>
  <c r="AB89" i="18"/>
  <c r="AA89" i="18"/>
  <c r="Z89" i="18"/>
  <c r="Y89" i="18"/>
  <c r="X89" i="18"/>
  <c r="W89" i="18"/>
  <c r="V89" i="18"/>
  <c r="U89" i="18"/>
  <c r="T89" i="18"/>
  <c r="S89" i="18"/>
  <c r="R89" i="18"/>
  <c r="Q89" i="18"/>
  <c r="P89" i="18"/>
  <c r="O89" i="18"/>
  <c r="N89" i="18"/>
  <c r="M89" i="18"/>
  <c r="L89" i="18"/>
  <c r="K89" i="18"/>
  <c r="J89" i="18"/>
  <c r="I89" i="18"/>
  <c r="H89" i="18"/>
  <c r="G89" i="18"/>
  <c r="F89" i="18"/>
  <c r="E89" i="18"/>
  <c r="D89" i="18"/>
  <c r="AJ88" i="18"/>
  <c r="AI88" i="18"/>
  <c r="AH88" i="18"/>
  <c r="AG88" i="18"/>
  <c r="AF88" i="18"/>
  <c r="AE88" i="18"/>
  <c r="AD88" i="18"/>
  <c r="AC88" i="18"/>
  <c r="AB88" i="18"/>
  <c r="AL88" i="18" s="1"/>
  <c r="AA88" i="18"/>
  <c r="Z88" i="18"/>
  <c r="Y88" i="18"/>
  <c r="X88" i="18"/>
  <c r="W88" i="18"/>
  <c r="V88" i="18"/>
  <c r="U88" i="18"/>
  <c r="T88" i="18"/>
  <c r="S88" i="18"/>
  <c r="R88" i="18"/>
  <c r="Q88" i="18"/>
  <c r="P88" i="18"/>
  <c r="O88" i="18"/>
  <c r="N88" i="18"/>
  <c r="M88" i="18"/>
  <c r="L88" i="18"/>
  <c r="K88" i="18"/>
  <c r="J88" i="18"/>
  <c r="I88" i="18"/>
  <c r="H88" i="18"/>
  <c r="G88" i="18"/>
  <c r="F88" i="18"/>
  <c r="E88" i="18"/>
  <c r="D88" i="18"/>
  <c r="AO88" i="18" s="1"/>
  <c r="AJ87" i="18"/>
  <c r="AI87" i="18"/>
  <c r="AH87"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AJ86" i="18"/>
  <c r="AI86" i="18"/>
  <c r="AH86"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H86" i="18"/>
  <c r="G86" i="18"/>
  <c r="F86" i="18"/>
  <c r="E86" i="18"/>
  <c r="D86" i="18"/>
  <c r="AJ85" i="18"/>
  <c r="AI85" i="18"/>
  <c r="AH85"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AJ84" i="18"/>
  <c r="AI84" i="18"/>
  <c r="AH84" i="18"/>
  <c r="AG84" i="18"/>
  <c r="AF84" i="18"/>
  <c r="AE84" i="18"/>
  <c r="AD84" i="18"/>
  <c r="AC84" i="18"/>
  <c r="AB84" i="18"/>
  <c r="AA84" i="18"/>
  <c r="Z84" i="18"/>
  <c r="Y84" i="18"/>
  <c r="X84" i="18"/>
  <c r="W84" i="18"/>
  <c r="V84" i="18"/>
  <c r="U84" i="18"/>
  <c r="T84" i="18"/>
  <c r="S84" i="18"/>
  <c r="R84" i="18"/>
  <c r="Q84" i="18"/>
  <c r="P84" i="18"/>
  <c r="O84" i="18"/>
  <c r="N84" i="18"/>
  <c r="M84" i="18"/>
  <c r="L84" i="18"/>
  <c r="K84" i="18"/>
  <c r="J84" i="18"/>
  <c r="I84" i="18"/>
  <c r="H84" i="18"/>
  <c r="G84" i="18"/>
  <c r="F84" i="18"/>
  <c r="E84" i="18"/>
  <c r="D84" i="18"/>
  <c r="AJ83" i="18"/>
  <c r="AI83" i="18"/>
  <c r="AH83"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AJ82" i="18"/>
  <c r="AI82" i="18"/>
  <c r="AH82"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AJ81" i="18"/>
  <c r="AI81" i="18"/>
  <c r="AH81"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AJ80" i="18"/>
  <c r="AI80" i="18"/>
  <c r="AH80"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AJ79" i="18"/>
  <c r="AI79" i="18"/>
  <c r="AH79" i="18"/>
  <c r="AG79" i="18"/>
  <c r="AF79" i="18"/>
  <c r="AE79" i="18"/>
  <c r="AD79" i="18"/>
  <c r="AC79" i="18"/>
  <c r="AB79" i="18"/>
  <c r="AL79" i="18" s="1"/>
  <c r="AA79" i="18"/>
  <c r="Z79" i="18"/>
  <c r="Y79" i="18"/>
  <c r="X79" i="18"/>
  <c r="W79" i="18"/>
  <c r="V79" i="18"/>
  <c r="U79" i="18"/>
  <c r="T79" i="18"/>
  <c r="S79" i="18"/>
  <c r="R79" i="18"/>
  <c r="Q79" i="18"/>
  <c r="P79" i="18"/>
  <c r="O79" i="18"/>
  <c r="N79" i="18"/>
  <c r="M79" i="18"/>
  <c r="L79" i="18"/>
  <c r="K79" i="18"/>
  <c r="J79" i="18"/>
  <c r="I79" i="18"/>
  <c r="H79" i="18"/>
  <c r="G79" i="18"/>
  <c r="F79" i="18"/>
  <c r="E79" i="18"/>
  <c r="D79" i="18"/>
  <c r="AO79" i="18" s="1"/>
  <c r="AJ78" i="18"/>
  <c r="AI78" i="18"/>
  <c r="AH78" i="18"/>
  <c r="AG78" i="18"/>
  <c r="AF78" i="18"/>
  <c r="AE78" i="18"/>
  <c r="AD78" i="18"/>
  <c r="AC78" i="18"/>
  <c r="AB78" i="18"/>
  <c r="AA78" i="18"/>
  <c r="Z78" i="18"/>
  <c r="Y78" i="18"/>
  <c r="AM78" i="18" s="1"/>
  <c r="X78" i="18"/>
  <c r="W78" i="18"/>
  <c r="V78" i="18"/>
  <c r="U78" i="18"/>
  <c r="T78" i="18"/>
  <c r="S78" i="18"/>
  <c r="R78" i="18"/>
  <c r="Q78" i="18"/>
  <c r="P78" i="18"/>
  <c r="O78" i="18"/>
  <c r="N78" i="18"/>
  <c r="M78" i="18"/>
  <c r="L78" i="18"/>
  <c r="K78" i="18"/>
  <c r="J78" i="18"/>
  <c r="I78" i="18"/>
  <c r="H78" i="18"/>
  <c r="G78" i="18"/>
  <c r="F78" i="18"/>
  <c r="E78" i="18"/>
  <c r="D78" i="18"/>
  <c r="C78" i="18"/>
  <c r="AJ77" i="18"/>
  <c r="AI77" i="18"/>
  <c r="AH77"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AJ76" i="18"/>
  <c r="AI76" i="18"/>
  <c r="AH76" i="18"/>
  <c r="AG76" i="18"/>
  <c r="AF76" i="18"/>
  <c r="AE76" i="18"/>
  <c r="AD76" i="18"/>
  <c r="AC76" i="18"/>
  <c r="AB76" i="18"/>
  <c r="AA76" i="18"/>
  <c r="Z76" i="18"/>
  <c r="Y76" i="18"/>
  <c r="X76" i="18"/>
  <c r="W76" i="18"/>
  <c r="V76" i="18"/>
  <c r="U76" i="18"/>
  <c r="T76" i="18"/>
  <c r="S76" i="18"/>
  <c r="R76" i="18"/>
  <c r="Q76" i="18"/>
  <c r="P76" i="18"/>
  <c r="O76" i="18"/>
  <c r="N76" i="18"/>
  <c r="M76" i="18"/>
  <c r="L76" i="18"/>
  <c r="K76" i="18"/>
  <c r="J76" i="18"/>
  <c r="I76" i="18"/>
  <c r="H76" i="18"/>
  <c r="G76" i="18"/>
  <c r="F76" i="18"/>
  <c r="E76" i="18"/>
  <c r="D76" i="18"/>
  <c r="AJ75" i="18"/>
  <c r="AI75" i="18"/>
  <c r="AH75"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AJ74" i="18"/>
  <c r="AI74" i="18"/>
  <c r="AH74" i="18"/>
  <c r="AG74" i="18"/>
  <c r="AF74" i="18"/>
  <c r="AE74" i="18"/>
  <c r="AD74" i="18"/>
  <c r="AC74" i="18"/>
  <c r="AB74" i="18"/>
  <c r="AA74" i="18"/>
  <c r="Z74" i="18"/>
  <c r="Y74" i="18"/>
  <c r="AM74" i="18" s="1"/>
  <c r="X74" i="18"/>
  <c r="W74" i="18"/>
  <c r="V74" i="18"/>
  <c r="U74" i="18"/>
  <c r="T74" i="18"/>
  <c r="S74" i="18"/>
  <c r="R74" i="18"/>
  <c r="Q74" i="18"/>
  <c r="P74" i="18"/>
  <c r="O74" i="18"/>
  <c r="N74" i="18"/>
  <c r="M74" i="18"/>
  <c r="L74" i="18"/>
  <c r="K74" i="18"/>
  <c r="J74" i="18"/>
  <c r="I74" i="18"/>
  <c r="H74" i="18"/>
  <c r="G74" i="18"/>
  <c r="F74" i="18"/>
  <c r="E74" i="18"/>
  <c r="D74" i="18"/>
  <c r="AJ73" i="18"/>
  <c r="AI73" i="18"/>
  <c r="AH73" i="18"/>
  <c r="AG73" i="18"/>
  <c r="AF73" i="18"/>
  <c r="AE73" i="18"/>
  <c r="AD73" i="18"/>
  <c r="AC73" i="18"/>
  <c r="AB73" i="18"/>
  <c r="AA73" i="18"/>
  <c r="Z73" i="18"/>
  <c r="Y73" i="18"/>
  <c r="X73" i="18"/>
  <c r="W73" i="18"/>
  <c r="V73" i="18"/>
  <c r="U73" i="18"/>
  <c r="T73" i="18"/>
  <c r="S73" i="18"/>
  <c r="R73" i="18"/>
  <c r="Q73" i="18"/>
  <c r="P73" i="18"/>
  <c r="O73" i="18"/>
  <c r="N73" i="18"/>
  <c r="M73" i="18"/>
  <c r="L73" i="18"/>
  <c r="K73" i="18"/>
  <c r="J73" i="18"/>
  <c r="I73" i="18"/>
  <c r="H73" i="18"/>
  <c r="G73" i="18"/>
  <c r="F73" i="18"/>
  <c r="E73" i="18"/>
  <c r="D73" i="18"/>
  <c r="AJ72" i="18"/>
  <c r="AI72" i="18"/>
  <c r="AH72" i="18"/>
  <c r="AG72" i="18"/>
  <c r="AF72" i="18"/>
  <c r="AL72" i="18" s="1"/>
  <c r="AE72" i="18"/>
  <c r="AD72" i="18"/>
  <c r="AC72" i="18"/>
  <c r="AB72" i="18"/>
  <c r="AA72" i="18"/>
  <c r="Z72" i="18"/>
  <c r="Y72" i="18"/>
  <c r="X72" i="18"/>
  <c r="W72" i="18"/>
  <c r="V72" i="18"/>
  <c r="U72" i="18"/>
  <c r="T72" i="18"/>
  <c r="AM72" i="18" s="1"/>
  <c r="S72" i="18"/>
  <c r="R72" i="18"/>
  <c r="Q72" i="18"/>
  <c r="P72" i="18"/>
  <c r="O72" i="18"/>
  <c r="N72" i="18"/>
  <c r="M72" i="18"/>
  <c r="L72" i="18"/>
  <c r="K72" i="18"/>
  <c r="J72" i="18"/>
  <c r="I72" i="18"/>
  <c r="H72" i="18"/>
  <c r="G72" i="18"/>
  <c r="F72" i="18"/>
  <c r="E72" i="18"/>
  <c r="D72" i="18"/>
  <c r="AJ71" i="18"/>
  <c r="AI71" i="18"/>
  <c r="AH71" i="18"/>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AT70" i="18"/>
  <c r="AL69" i="18"/>
  <c r="AT69" i="18" s="1"/>
  <c r="C69" i="18"/>
  <c r="C199" i="18" s="1"/>
  <c r="AL68" i="18"/>
  <c r="C68" i="18"/>
  <c r="C198" i="18" s="1"/>
  <c r="AL67" i="18"/>
  <c r="AT67" i="18" s="1"/>
  <c r="C67" i="18"/>
  <c r="C197" i="18" s="1"/>
  <c r="AL66" i="18"/>
  <c r="AT66" i="18" s="1"/>
  <c r="C66" i="18"/>
  <c r="C131" i="18" s="1"/>
  <c r="AL65" i="18"/>
  <c r="AT65" i="18" s="1"/>
  <c r="C65" i="18"/>
  <c r="C195" i="18" s="1"/>
  <c r="AL64" i="18"/>
  <c r="C64" i="18"/>
  <c r="C194" i="18" s="1"/>
  <c r="AT63" i="18"/>
  <c r="AL63" i="18"/>
  <c r="C63" i="18"/>
  <c r="C193" i="18" s="1"/>
  <c r="AT62" i="18"/>
  <c r="AL62" i="18"/>
  <c r="C62" i="18"/>
  <c r="C127" i="18" s="1"/>
  <c r="AL61" i="18"/>
  <c r="C61" i="18"/>
  <c r="C191" i="18" s="1"/>
  <c r="AL60" i="18"/>
  <c r="C60" i="18"/>
  <c r="C190" i="18" s="1"/>
  <c r="AL59" i="18"/>
  <c r="C59" i="18"/>
  <c r="AL58" i="18"/>
  <c r="AT58" i="18" s="1"/>
  <c r="C58" i="18"/>
  <c r="C123" i="18" s="1"/>
  <c r="AL57" i="18"/>
  <c r="AT57" i="18" s="1"/>
  <c r="C57" i="18"/>
  <c r="C187" i="18" s="1"/>
  <c r="AL56" i="18"/>
  <c r="AT56" i="18" s="1"/>
  <c r="C56" i="18"/>
  <c r="C186" i="18" s="1"/>
  <c r="AL55" i="18"/>
  <c r="C55" i="18"/>
  <c r="C185" i="18" s="1"/>
  <c r="AL54" i="18"/>
  <c r="C54" i="18"/>
  <c r="AT53" i="18"/>
  <c r="AL53" i="18"/>
  <c r="C53" i="18"/>
  <c r="C183" i="18" s="1"/>
  <c r="AT52" i="18"/>
  <c r="AL52" i="18"/>
  <c r="C52" i="18"/>
  <c r="C182" i="18" s="1"/>
  <c r="AL51" i="18"/>
  <c r="AT51" i="18" s="1"/>
  <c r="C51" i="18"/>
  <c r="C181" i="18" s="1"/>
  <c r="AL50" i="18"/>
  <c r="AT50" i="18" s="1"/>
  <c r="C50" i="18"/>
  <c r="AL49" i="18"/>
  <c r="AT49" i="18" s="1"/>
  <c r="C49" i="18"/>
  <c r="C179" i="18" s="1"/>
  <c r="AL48" i="18"/>
  <c r="C48" i="18"/>
  <c r="C178" i="18" s="1"/>
  <c r="AL47" i="18"/>
  <c r="C47" i="18"/>
  <c r="AL46" i="18"/>
  <c r="C46" i="18"/>
  <c r="C111" i="18" s="1"/>
  <c r="AL45" i="18"/>
  <c r="AT45" i="18" s="1"/>
  <c r="C45" i="18"/>
  <c r="C175" i="18" s="1"/>
  <c r="AL44" i="18"/>
  <c r="AT44" i="18" s="1"/>
  <c r="C44" i="18"/>
  <c r="C174" i="18" s="1"/>
  <c r="AL43" i="18"/>
  <c r="C43" i="18"/>
  <c r="C173" i="18" s="1"/>
  <c r="AL42" i="18"/>
  <c r="C42" i="18"/>
  <c r="C107" i="18" s="1"/>
  <c r="AL41" i="18"/>
  <c r="AT41" i="18" s="1"/>
  <c r="C41" i="18"/>
  <c r="C171" i="18" s="1"/>
  <c r="AL40" i="18"/>
  <c r="C40" i="18"/>
  <c r="AT39" i="18"/>
  <c r="AL39" i="18"/>
  <c r="C39" i="18"/>
  <c r="C169" i="18" s="1"/>
  <c r="AT38" i="18"/>
  <c r="AL38" i="18"/>
  <c r="C38" i="18"/>
  <c r="C103" i="18" s="1"/>
  <c r="AL37" i="18"/>
  <c r="C37" i="18"/>
  <c r="C167" i="18" s="1"/>
  <c r="AL36" i="18"/>
  <c r="C36" i="18"/>
  <c r="C166" i="18" s="1"/>
  <c r="AL35" i="18"/>
  <c r="C35" i="18"/>
  <c r="AL34" i="18"/>
  <c r="AT34" i="18" s="1"/>
  <c r="C34" i="18"/>
  <c r="C99" i="18" s="1"/>
  <c r="AL33" i="18"/>
  <c r="AT33" i="18" s="1"/>
  <c r="C33" i="18"/>
  <c r="C163" i="18" s="1"/>
  <c r="AL32" i="18"/>
  <c r="AT32" i="18" s="1"/>
  <c r="C32" i="18"/>
  <c r="C162" i="18" s="1"/>
  <c r="AT31" i="18"/>
  <c r="AL31" i="18"/>
  <c r="C31" i="18"/>
  <c r="C161" i="18" s="1"/>
  <c r="AL30" i="18"/>
  <c r="C30" i="18"/>
  <c r="AT29" i="18"/>
  <c r="AL29" i="18"/>
  <c r="C29" i="18"/>
  <c r="C159" i="18" s="1"/>
  <c r="AT28" i="18"/>
  <c r="AL28" i="18"/>
  <c r="C28" i="18"/>
  <c r="C158" i="18" s="1"/>
  <c r="AL27" i="18"/>
  <c r="AT27" i="18" s="1"/>
  <c r="C27" i="18"/>
  <c r="C157" i="18" s="1"/>
  <c r="AL26" i="18"/>
  <c r="C26" i="18"/>
  <c r="C91" i="18" s="1"/>
  <c r="AL25" i="18"/>
  <c r="AT25" i="18" s="1"/>
  <c r="C25" i="18"/>
  <c r="C155" i="18" s="1"/>
  <c r="AL24" i="18"/>
  <c r="C24" i="18"/>
  <c r="C154" i="18" s="1"/>
  <c r="AL23" i="18"/>
  <c r="C23" i="18"/>
  <c r="AL22" i="18"/>
  <c r="C22" i="18"/>
  <c r="C87" i="18" s="1"/>
  <c r="AL21" i="18"/>
  <c r="AT21" i="18" s="1"/>
  <c r="C21" i="18"/>
  <c r="C151" i="18" s="1"/>
  <c r="AL20" i="18"/>
  <c r="C20" i="18"/>
  <c r="C150" i="18" s="1"/>
  <c r="AL19" i="18"/>
  <c r="C19" i="18"/>
  <c r="C149" i="18" s="1"/>
  <c r="AL18" i="18"/>
  <c r="AT18" i="18" s="1"/>
  <c r="C18" i="18"/>
  <c r="C83" i="18" s="1"/>
  <c r="AL17" i="18"/>
  <c r="AT17" i="18" s="1"/>
  <c r="C17" i="18"/>
  <c r="C147" i="18" s="1"/>
  <c r="AL16" i="18"/>
  <c r="AT16" i="18" s="1"/>
  <c r="C16" i="18"/>
  <c r="C146" i="18" s="1"/>
  <c r="AL15" i="18"/>
  <c r="C15" i="18"/>
  <c r="C145" i="18" s="1"/>
  <c r="C14" i="18"/>
  <c r="AW13" i="18"/>
  <c r="C13" i="18"/>
  <c r="C143" i="18" s="1"/>
  <c r="C12" i="18"/>
  <c r="C142" i="18" s="1"/>
  <c r="C11" i="18"/>
  <c r="C141" i="18" s="1"/>
  <c r="C10" i="18"/>
  <c r="C75" i="18" s="1"/>
  <c r="AL9" i="18"/>
  <c r="C9" i="18"/>
  <c r="C8" i="18"/>
  <c r="C138" i="18" s="1"/>
  <c r="AW7" i="18"/>
  <c r="C7" i="18"/>
  <c r="C137" i="18" s="1"/>
  <c r="AW6" i="18"/>
  <c r="AL6" i="18"/>
  <c r="C6" i="18"/>
  <c r="AJ199" i="17"/>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L199" i="17"/>
  <c r="K199" i="17"/>
  <c r="J199" i="17"/>
  <c r="I199" i="17"/>
  <c r="H199" i="17"/>
  <c r="G199" i="17"/>
  <c r="F199" i="17"/>
  <c r="E199" i="17"/>
  <c r="D199" i="17"/>
  <c r="AJ198" i="17"/>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D198" i="17"/>
  <c r="AJ197" i="17"/>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I195" i="17"/>
  <c r="AH195" i="17"/>
  <c r="AG195" i="17"/>
  <c r="AF195" i="17"/>
  <c r="AE195" i="17"/>
  <c r="AD195" i="17"/>
  <c r="AC195" i="17"/>
  <c r="AB195" i="17"/>
  <c r="AA195" i="17"/>
  <c r="Z195" i="17"/>
  <c r="Y195" i="17"/>
  <c r="X195" i="17"/>
  <c r="W195" i="17"/>
  <c r="V195" i="17"/>
  <c r="U195" i="17"/>
  <c r="T195" i="17"/>
  <c r="S195" i="17"/>
  <c r="R195" i="17"/>
  <c r="Q195" i="17"/>
  <c r="P195" i="17"/>
  <c r="O195" i="17"/>
  <c r="N195" i="17"/>
  <c r="AN195" i="17" s="1"/>
  <c r="M195" i="17"/>
  <c r="L195" i="17"/>
  <c r="K195" i="17"/>
  <c r="J195" i="17"/>
  <c r="I195" i="17"/>
  <c r="H195" i="17"/>
  <c r="G195" i="17"/>
  <c r="F195" i="17"/>
  <c r="E195" i="17"/>
  <c r="D195" i="17"/>
  <c r="AJ194" i="17"/>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AN194" i="17" s="1"/>
  <c r="K194" i="17"/>
  <c r="J194" i="17"/>
  <c r="I194" i="17"/>
  <c r="H194" i="17"/>
  <c r="G194" i="17"/>
  <c r="F194" i="17"/>
  <c r="E194" i="17"/>
  <c r="D194" i="17"/>
  <c r="AJ193" i="17"/>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K193" i="17"/>
  <c r="J193" i="17"/>
  <c r="I193" i="17"/>
  <c r="H193" i="17"/>
  <c r="G193" i="17"/>
  <c r="F193" i="17"/>
  <c r="E193" i="17"/>
  <c r="D193" i="17"/>
  <c r="AJ192" i="17"/>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J190" i="17"/>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J189" i="17"/>
  <c r="AI189" i="17"/>
  <c r="AH189" i="17"/>
  <c r="AG189" i="17"/>
  <c r="AF189" i="17"/>
  <c r="AE189" i="17"/>
  <c r="AD189" i="17"/>
  <c r="AC189" i="17"/>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I188" i="17"/>
  <c r="AH188" i="17"/>
  <c r="AG188" i="17"/>
  <c r="AF188" i="17"/>
  <c r="AE188" i="17"/>
  <c r="AD188" i="17"/>
  <c r="AC188" i="17"/>
  <c r="AB188" i="17"/>
  <c r="AA188" i="17"/>
  <c r="Z188" i="17"/>
  <c r="Y188" i="17"/>
  <c r="X188" i="17"/>
  <c r="W188" i="17"/>
  <c r="V188" i="17"/>
  <c r="U188" i="17"/>
  <c r="T188" i="17"/>
  <c r="AM188" i="17" s="1"/>
  <c r="S188" i="17"/>
  <c r="R188" i="17"/>
  <c r="Q188" i="17"/>
  <c r="P188" i="17"/>
  <c r="O188" i="17"/>
  <c r="N188" i="17"/>
  <c r="M188" i="17"/>
  <c r="L188" i="17"/>
  <c r="K188" i="17"/>
  <c r="J188" i="17"/>
  <c r="I188" i="17"/>
  <c r="H188" i="17"/>
  <c r="G188" i="17"/>
  <c r="F188" i="17"/>
  <c r="E188" i="17"/>
  <c r="D188" i="17"/>
  <c r="AJ187" i="17"/>
  <c r="AI187" i="17"/>
  <c r="AH187" i="17"/>
  <c r="AG187" i="17"/>
  <c r="AF187" i="17"/>
  <c r="AE187" i="17"/>
  <c r="AD187" i="17"/>
  <c r="AC187" i="17"/>
  <c r="AB187" i="17"/>
  <c r="AA187" i="17"/>
  <c r="Z187" i="17"/>
  <c r="Y187" i="17"/>
  <c r="X187" i="17"/>
  <c r="W187" i="17"/>
  <c r="V187" i="17"/>
  <c r="U187" i="17"/>
  <c r="T187" i="17"/>
  <c r="S187" i="17"/>
  <c r="R187" i="17"/>
  <c r="Q187" i="17"/>
  <c r="P187" i="17"/>
  <c r="O187" i="17"/>
  <c r="N187" i="17"/>
  <c r="M187" i="17"/>
  <c r="L187" i="17"/>
  <c r="K187" i="17"/>
  <c r="J187" i="17"/>
  <c r="I187" i="17"/>
  <c r="H187" i="17"/>
  <c r="G187" i="17"/>
  <c r="F187" i="17"/>
  <c r="E187" i="17"/>
  <c r="D187" i="17"/>
  <c r="AJ186" i="17"/>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D186" i="17"/>
  <c r="AJ185" i="17"/>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AN185" i="17" s="1"/>
  <c r="K185" i="17"/>
  <c r="J185" i="17"/>
  <c r="I185" i="17"/>
  <c r="H185" i="17"/>
  <c r="G185" i="17"/>
  <c r="F185" i="17"/>
  <c r="E185" i="17"/>
  <c r="D185" i="17"/>
  <c r="AJ184" i="17"/>
  <c r="AI184" i="17"/>
  <c r="AH184" i="17"/>
  <c r="AG184" i="17"/>
  <c r="AF184" i="17"/>
  <c r="AE184" i="17"/>
  <c r="AD184" i="17"/>
  <c r="AC184" i="17"/>
  <c r="AB184" i="17"/>
  <c r="AA184" i="17"/>
  <c r="Z184" i="17"/>
  <c r="Y184" i="17"/>
  <c r="X184" i="17"/>
  <c r="W184" i="17"/>
  <c r="V184" i="17"/>
  <c r="U184" i="17"/>
  <c r="T184" i="17"/>
  <c r="AM184" i="17" s="1"/>
  <c r="S184" i="17"/>
  <c r="R184" i="17"/>
  <c r="Q184" i="17"/>
  <c r="P184" i="17"/>
  <c r="O184" i="17"/>
  <c r="N184" i="17"/>
  <c r="M184" i="17"/>
  <c r="L184" i="17"/>
  <c r="K184" i="17"/>
  <c r="J184" i="17"/>
  <c r="I184" i="17"/>
  <c r="H184" i="17"/>
  <c r="G184" i="17"/>
  <c r="F184" i="17"/>
  <c r="E184" i="17"/>
  <c r="D184" i="17"/>
  <c r="AJ183" i="17"/>
  <c r="AI183" i="17"/>
  <c r="AH183" i="17"/>
  <c r="AG183" i="17"/>
  <c r="AF183" i="17"/>
  <c r="AE183" i="17"/>
  <c r="AD183" i="17"/>
  <c r="AC183" i="17"/>
  <c r="AB183" i="17"/>
  <c r="AA183" i="17"/>
  <c r="Z183" i="17"/>
  <c r="Y183" i="17"/>
  <c r="X183" i="17"/>
  <c r="W183" i="17"/>
  <c r="V183" i="17"/>
  <c r="U183" i="17"/>
  <c r="T183" i="17"/>
  <c r="S183" i="17"/>
  <c r="R183" i="17"/>
  <c r="Q183" i="17"/>
  <c r="P183" i="17"/>
  <c r="O183" i="17"/>
  <c r="N183" i="17"/>
  <c r="M183" i="17"/>
  <c r="L183" i="17"/>
  <c r="K183" i="17"/>
  <c r="J183" i="17"/>
  <c r="I183" i="17"/>
  <c r="H183" i="17"/>
  <c r="G183" i="17"/>
  <c r="F183" i="17"/>
  <c r="E183" i="17"/>
  <c r="D183" i="17"/>
  <c r="AJ182" i="17"/>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J181" i="17"/>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AN181" i="17" s="1"/>
  <c r="K181" i="17"/>
  <c r="J181" i="17"/>
  <c r="I181" i="17"/>
  <c r="H181" i="17"/>
  <c r="G181" i="17"/>
  <c r="F181" i="17"/>
  <c r="E181" i="17"/>
  <c r="D181" i="17"/>
  <c r="AJ180" i="17"/>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D180" i="17"/>
  <c r="AJ179" i="17"/>
  <c r="AI179" i="17"/>
  <c r="AH179" i="17"/>
  <c r="AG179" i="17"/>
  <c r="AF179" i="17"/>
  <c r="AE179" i="17"/>
  <c r="AD179" i="17"/>
  <c r="AC179" i="17"/>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O178" i="17" s="1"/>
  <c r="AJ177" i="17"/>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J174" i="17"/>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D174" i="17"/>
  <c r="AJ173" i="17"/>
  <c r="AI173" i="17"/>
  <c r="AH173" i="17"/>
  <c r="AG173" i="17"/>
  <c r="AF173" i="17"/>
  <c r="AE173" i="17"/>
  <c r="AD173" i="17"/>
  <c r="AC173" i="17"/>
  <c r="AB173" i="17"/>
  <c r="AA173" i="17"/>
  <c r="Z173" i="17"/>
  <c r="Y173" i="17"/>
  <c r="AM173" i="17" s="1"/>
  <c r="X173" i="17"/>
  <c r="W173" i="17"/>
  <c r="V173" i="17"/>
  <c r="U173" i="17"/>
  <c r="T173" i="17"/>
  <c r="S173" i="17"/>
  <c r="R173" i="17"/>
  <c r="Q173" i="17"/>
  <c r="P173" i="17"/>
  <c r="O173" i="17"/>
  <c r="N173" i="17"/>
  <c r="M173" i="17"/>
  <c r="L173" i="17"/>
  <c r="K173" i="17"/>
  <c r="J173" i="17"/>
  <c r="I173" i="17"/>
  <c r="H173" i="17"/>
  <c r="G173" i="17"/>
  <c r="F173" i="17"/>
  <c r="E173" i="17"/>
  <c r="D173" i="17"/>
  <c r="AJ172" i="17"/>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L171" i="17"/>
  <c r="K171" i="17"/>
  <c r="J171" i="17"/>
  <c r="I171" i="17"/>
  <c r="H171" i="17"/>
  <c r="G171" i="17"/>
  <c r="F171" i="17"/>
  <c r="E171" i="17"/>
  <c r="D171" i="17"/>
  <c r="AJ170" i="17"/>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O168" i="17" s="1"/>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AM164" i="17" s="1"/>
  <c r="S164" i="17"/>
  <c r="R164" i="17"/>
  <c r="Q164" i="17"/>
  <c r="P164" i="17"/>
  <c r="O164" i="17"/>
  <c r="N164" i="17"/>
  <c r="M164" i="17"/>
  <c r="L164" i="17"/>
  <c r="K164" i="17"/>
  <c r="J164" i="17"/>
  <c r="I164" i="17"/>
  <c r="H164" i="17"/>
  <c r="G164" i="17"/>
  <c r="F164" i="17"/>
  <c r="E164" i="17"/>
  <c r="D164"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L162" i="17"/>
  <c r="K162" i="17"/>
  <c r="J162" i="17"/>
  <c r="I162" i="17"/>
  <c r="H162" i="17"/>
  <c r="G162" i="17"/>
  <c r="F162" i="17"/>
  <c r="E162" i="17"/>
  <c r="D162" i="17"/>
  <c r="AJ161" i="17"/>
  <c r="AI161" i="17"/>
  <c r="AH161" i="17"/>
  <c r="AG161" i="17"/>
  <c r="AF161" i="17"/>
  <c r="AE161" i="17"/>
  <c r="AD161" i="17"/>
  <c r="AC161" i="17"/>
  <c r="AB161" i="17"/>
  <c r="AA161" i="17"/>
  <c r="Z161" i="17"/>
  <c r="Y161" i="17"/>
  <c r="AM161" i="17" s="1"/>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Y159" i="17"/>
  <c r="X159" i="17"/>
  <c r="W159" i="17"/>
  <c r="V159" i="17"/>
  <c r="U159" i="17"/>
  <c r="T159" i="17"/>
  <c r="AM159" i="17" s="1"/>
  <c r="S159" i="17"/>
  <c r="R159" i="17"/>
  <c r="Q159" i="17"/>
  <c r="P159" i="17"/>
  <c r="O159" i="17"/>
  <c r="N159" i="17"/>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D158" i="17"/>
  <c r="AO158" i="17" s="1"/>
  <c r="AJ157" i="17"/>
  <c r="AI157" i="17"/>
  <c r="AH157" i="17"/>
  <c r="AG157" i="17"/>
  <c r="AF157" i="17"/>
  <c r="AE157" i="17"/>
  <c r="AD157" i="17"/>
  <c r="AC157" i="17"/>
  <c r="AB157" i="17"/>
  <c r="AA157" i="17"/>
  <c r="Z157" i="17"/>
  <c r="Y157" i="17"/>
  <c r="X157" i="17"/>
  <c r="W157" i="17"/>
  <c r="V157" i="17"/>
  <c r="U157" i="17"/>
  <c r="T157" i="17"/>
  <c r="S157" i="17"/>
  <c r="R157" i="17"/>
  <c r="Q157" i="17"/>
  <c r="P157" i="17"/>
  <c r="O157" i="17"/>
  <c r="N157" i="17"/>
  <c r="M157" i="17"/>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J155" i="17"/>
  <c r="AI155" i="17"/>
  <c r="AH155" i="17"/>
  <c r="AG155" i="17"/>
  <c r="AF155" i="17"/>
  <c r="AE155" i="17"/>
  <c r="AD155" i="17"/>
  <c r="AC155" i="17"/>
  <c r="AB155" i="17"/>
  <c r="AA155" i="17"/>
  <c r="Z155" i="17"/>
  <c r="Y155" i="17"/>
  <c r="X155" i="17"/>
  <c r="W155" i="17"/>
  <c r="V155" i="17"/>
  <c r="U155" i="17"/>
  <c r="T155" i="17"/>
  <c r="AM155" i="17" s="1"/>
  <c r="S155" i="17"/>
  <c r="R155" i="17"/>
  <c r="Q155" i="17"/>
  <c r="P155" i="17"/>
  <c r="O155" i="17"/>
  <c r="N155" i="17"/>
  <c r="M155" i="17"/>
  <c r="L155" i="17"/>
  <c r="K155" i="17"/>
  <c r="J155" i="17"/>
  <c r="I155" i="17"/>
  <c r="H155" i="17"/>
  <c r="G155" i="17"/>
  <c r="F155" i="17"/>
  <c r="E155" i="17"/>
  <c r="D155" i="17"/>
  <c r="AO155" i="17" s="1"/>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O154" i="17" s="1"/>
  <c r="AJ153" i="17"/>
  <c r="AI153" i="17"/>
  <c r="AH153" i="17"/>
  <c r="AG153" i="17"/>
  <c r="AF153" i="17"/>
  <c r="AE153" i="17"/>
  <c r="AD153" i="17"/>
  <c r="AC153" i="17"/>
  <c r="AB153" i="17"/>
  <c r="AA153" i="17"/>
  <c r="Z153" i="17"/>
  <c r="AM153" i="17" s="1"/>
  <c r="Y153" i="17"/>
  <c r="X153" i="17"/>
  <c r="W153" i="17"/>
  <c r="V153" i="17"/>
  <c r="U153" i="17"/>
  <c r="T153" i="17"/>
  <c r="S153" i="17"/>
  <c r="R153" i="17"/>
  <c r="Q153" i="17"/>
  <c r="P153" i="17"/>
  <c r="O153" i="17"/>
  <c r="N153" i="17"/>
  <c r="M153" i="17"/>
  <c r="L153" i="17"/>
  <c r="K153" i="17"/>
  <c r="J153" i="17"/>
  <c r="I153" i="17"/>
  <c r="H153" i="17"/>
  <c r="G153" i="17"/>
  <c r="F153" i="17"/>
  <c r="E153" i="17"/>
  <c r="D153" i="17"/>
  <c r="AO153" i="17" s="1"/>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O143" i="17" s="1"/>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AN142" i="17" s="1"/>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J133" i="17"/>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C133" i="17"/>
  <c r="AJ132" i="17"/>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E132" i="17"/>
  <c r="D132" i="17"/>
  <c r="AJ131" i="17"/>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J130" i="17"/>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I129" i="17"/>
  <c r="AH129" i="17"/>
  <c r="AG129" i="17"/>
  <c r="AF129" i="17"/>
  <c r="AE129" i="17"/>
  <c r="AD129" i="17"/>
  <c r="AC129" i="17"/>
  <c r="AB129" i="17"/>
  <c r="AA129" i="17"/>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I128" i="17"/>
  <c r="AH128" i="17"/>
  <c r="AG128" i="17"/>
  <c r="AF128" i="17"/>
  <c r="AE128" i="17"/>
  <c r="AD128" i="17"/>
  <c r="AC128" i="17"/>
  <c r="AB128" i="17"/>
  <c r="AA128" i="17"/>
  <c r="Z128" i="17"/>
  <c r="Y128" i="17"/>
  <c r="X128" i="17"/>
  <c r="W128" i="17"/>
  <c r="V128" i="17"/>
  <c r="U128" i="17"/>
  <c r="T128" i="17"/>
  <c r="S128" i="17"/>
  <c r="R128" i="17"/>
  <c r="Q128" i="17"/>
  <c r="P128" i="17"/>
  <c r="O128" i="17"/>
  <c r="AN128" i="17" s="1"/>
  <c r="N128" i="17"/>
  <c r="M128" i="17"/>
  <c r="L128" i="17"/>
  <c r="K128" i="17"/>
  <c r="J128" i="17"/>
  <c r="I128" i="17"/>
  <c r="H128" i="17"/>
  <c r="G128" i="17"/>
  <c r="F128" i="17"/>
  <c r="E128" i="17"/>
  <c r="D128" i="17"/>
  <c r="C128" i="17"/>
  <c r="AJ127" i="17"/>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L127" i="17"/>
  <c r="K127" i="17"/>
  <c r="J127" i="17"/>
  <c r="I127" i="17"/>
  <c r="H127" i="17"/>
  <c r="G127" i="17"/>
  <c r="F127" i="17"/>
  <c r="E127" i="17"/>
  <c r="D127" i="17"/>
  <c r="AJ126" i="17"/>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J124" i="17"/>
  <c r="AI124" i="17"/>
  <c r="AH124" i="17"/>
  <c r="AG124" i="17"/>
  <c r="AF124" i="17"/>
  <c r="AE124" i="17"/>
  <c r="AD124" i="17"/>
  <c r="AC124" i="17"/>
  <c r="AB124" i="17"/>
  <c r="AA124" i="17"/>
  <c r="Z124" i="17"/>
  <c r="Y124" i="17"/>
  <c r="X124" i="17"/>
  <c r="W124" i="17"/>
  <c r="V124" i="17"/>
  <c r="U124" i="17"/>
  <c r="T124" i="17"/>
  <c r="S124" i="17"/>
  <c r="R124" i="17"/>
  <c r="Q124" i="17"/>
  <c r="P124" i="17"/>
  <c r="O124" i="17"/>
  <c r="N124" i="17"/>
  <c r="M124" i="17"/>
  <c r="L124" i="17"/>
  <c r="K124" i="17"/>
  <c r="J124" i="17"/>
  <c r="I124" i="17"/>
  <c r="H124" i="17"/>
  <c r="G124" i="17"/>
  <c r="F124" i="17"/>
  <c r="E124" i="17"/>
  <c r="D124" i="17"/>
  <c r="AJ123" i="17"/>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AN123" i="17" s="1"/>
  <c r="K123" i="17"/>
  <c r="J123" i="17"/>
  <c r="I123" i="17"/>
  <c r="H123" i="17"/>
  <c r="G123" i="17"/>
  <c r="F123" i="17"/>
  <c r="E123" i="17"/>
  <c r="D123" i="17"/>
  <c r="AJ122" i="17"/>
  <c r="AI122" i="17"/>
  <c r="AH122" i="17"/>
  <c r="AG122" i="17"/>
  <c r="AF122" i="17"/>
  <c r="AE122" i="17"/>
  <c r="AD122" i="17"/>
  <c r="AC122" i="17"/>
  <c r="AB122" i="17"/>
  <c r="AA122" i="17"/>
  <c r="Z122" i="17"/>
  <c r="Y122" i="17"/>
  <c r="X122" i="17"/>
  <c r="W122" i="17"/>
  <c r="V122" i="17"/>
  <c r="U122" i="17"/>
  <c r="T122" i="17"/>
  <c r="S122" i="17"/>
  <c r="R122" i="17"/>
  <c r="Q122" i="17"/>
  <c r="P122" i="17"/>
  <c r="O122" i="17"/>
  <c r="N122" i="17"/>
  <c r="M122" i="17"/>
  <c r="L122" i="17"/>
  <c r="K122" i="17"/>
  <c r="J122" i="17"/>
  <c r="I122" i="17"/>
  <c r="H122" i="17"/>
  <c r="G122" i="17"/>
  <c r="F122" i="17"/>
  <c r="E122" i="17"/>
  <c r="D122" i="17"/>
  <c r="AJ121" i="17"/>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AJ120" i="17"/>
  <c r="AI120" i="17"/>
  <c r="AH120" i="17"/>
  <c r="AG120" i="17"/>
  <c r="AF120" i="17"/>
  <c r="AE120" i="17"/>
  <c r="AD120" i="17"/>
  <c r="AC120" i="17"/>
  <c r="AB120" i="17"/>
  <c r="AA120" i="17"/>
  <c r="Z120" i="17"/>
  <c r="Y120" i="17"/>
  <c r="X120" i="17"/>
  <c r="W120" i="17"/>
  <c r="V120" i="17"/>
  <c r="U120" i="17"/>
  <c r="T120" i="17"/>
  <c r="AM120" i="17" s="1"/>
  <c r="S120" i="17"/>
  <c r="R120" i="17"/>
  <c r="Q120" i="17"/>
  <c r="P120" i="17"/>
  <c r="O120" i="17"/>
  <c r="N120" i="17"/>
  <c r="M120" i="17"/>
  <c r="L120" i="17"/>
  <c r="K120" i="17"/>
  <c r="J120" i="17"/>
  <c r="I120" i="17"/>
  <c r="H120" i="17"/>
  <c r="G120" i="17"/>
  <c r="F120" i="17"/>
  <c r="E120" i="17"/>
  <c r="D120" i="17"/>
  <c r="AJ119" i="17"/>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J117" i="17"/>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D117" i="17"/>
  <c r="AJ116" i="17"/>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J115" i="17"/>
  <c r="AI115" i="17"/>
  <c r="AH115" i="17"/>
  <c r="AG115" i="17"/>
  <c r="AF115" i="17"/>
  <c r="AE115" i="17"/>
  <c r="AD115" i="17"/>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J113" i="17"/>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J112" i="17"/>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AN112" i="17" s="1"/>
  <c r="K112" i="17"/>
  <c r="J112" i="17"/>
  <c r="I112" i="17"/>
  <c r="H112" i="17"/>
  <c r="G112" i="17"/>
  <c r="F112" i="17"/>
  <c r="E112" i="17"/>
  <c r="D112" i="17"/>
  <c r="AO112" i="17" s="1"/>
  <c r="AJ111" i="17"/>
  <c r="AI111" i="17"/>
  <c r="AH111" i="17"/>
  <c r="AG111" i="17"/>
  <c r="AF111" i="17"/>
  <c r="AE111" i="17"/>
  <c r="AD111" i="17"/>
  <c r="AC111" i="17"/>
  <c r="AB111" i="17"/>
  <c r="AA111" i="17"/>
  <c r="Z111" i="17"/>
  <c r="Y111" i="17"/>
  <c r="X111" i="17"/>
  <c r="W111" i="17"/>
  <c r="V111" i="17"/>
  <c r="U111" i="17"/>
  <c r="AM111" i="17" s="1"/>
  <c r="T111" i="17"/>
  <c r="S111" i="17"/>
  <c r="R111" i="17"/>
  <c r="Q111" i="17"/>
  <c r="P111" i="17"/>
  <c r="O111" i="17"/>
  <c r="N111" i="17"/>
  <c r="M111" i="17"/>
  <c r="L111" i="17"/>
  <c r="K111" i="17"/>
  <c r="J111" i="17"/>
  <c r="I111" i="17"/>
  <c r="H111" i="17"/>
  <c r="G111" i="17"/>
  <c r="F111" i="17"/>
  <c r="E111" i="17"/>
  <c r="D111" i="17"/>
  <c r="AJ110" i="17"/>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J109" i="17"/>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C109" i="17"/>
  <c r="AJ108" i="17"/>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J104" i="17"/>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C104"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O103" i="17" s="1"/>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O100" i="17" s="1"/>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J97" i="17"/>
  <c r="AI97" i="17"/>
  <c r="AH97" i="17"/>
  <c r="AG97" i="17"/>
  <c r="AF97" i="17"/>
  <c r="AE97" i="17"/>
  <c r="AD97" i="17"/>
  <c r="AC97" i="17"/>
  <c r="AB97" i="17"/>
  <c r="AA97" i="17"/>
  <c r="Z97" i="17"/>
  <c r="Y97" i="17"/>
  <c r="X97" i="17"/>
  <c r="W97" i="17"/>
  <c r="V97" i="17"/>
  <c r="U97" i="17"/>
  <c r="T97" i="17"/>
  <c r="S97" i="17"/>
  <c r="R97" i="17"/>
  <c r="Q97" i="17"/>
  <c r="P97" i="17"/>
  <c r="O97" i="17"/>
  <c r="N97" i="17"/>
  <c r="M97" i="17"/>
  <c r="L97" i="17"/>
  <c r="AN97" i="17" s="1"/>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AM95" i="17" s="1"/>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C94" i="17"/>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O93" i="17" s="1"/>
  <c r="AJ92" i="17"/>
  <c r="AI92" i="17"/>
  <c r="AH92" i="17"/>
  <c r="AG92" i="17"/>
  <c r="AF92" i="17"/>
  <c r="AE92" i="17"/>
  <c r="AD92" i="17"/>
  <c r="AC92" i="17"/>
  <c r="AB92" i="17"/>
  <c r="AA92" i="17"/>
  <c r="Z92" i="17"/>
  <c r="Y92" i="17"/>
  <c r="X92" i="17"/>
  <c r="W92" i="17"/>
  <c r="V92" i="17"/>
  <c r="U92" i="17"/>
  <c r="T92" i="17"/>
  <c r="S92" i="17"/>
  <c r="R92" i="17"/>
  <c r="Q92" i="17"/>
  <c r="P92" i="17"/>
  <c r="O92" i="17"/>
  <c r="N92" i="17"/>
  <c r="M92" i="17"/>
  <c r="L92" i="17"/>
  <c r="AN92" i="17" s="1"/>
  <c r="K92" i="17"/>
  <c r="J92" i="17"/>
  <c r="I92" i="17"/>
  <c r="H92" i="17"/>
  <c r="G92" i="17"/>
  <c r="F92" i="17"/>
  <c r="E92" i="17"/>
  <c r="D92" i="17"/>
  <c r="C92"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M90" i="17"/>
  <c r="L90" i="17"/>
  <c r="K90" i="17"/>
  <c r="J90" i="17"/>
  <c r="I90" i="17"/>
  <c r="H90" i="17"/>
  <c r="G90" i="17"/>
  <c r="F90" i="17"/>
  <c r="E90" i="17"/>
  <c r="D90" i="17"/>
  <c r="AO90" i="17" s="1"/>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O89" i="17" s="1"/>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K85" i="17"/>
  <c r="J85" i="17"/>
  <c r="I85" i="17"/>
  <c r="H85" i="17"/>
  <c r="G85" i="17"/>
  <c r="F85" i="17"/>
  <c r="E85" i="17"/>
  <c r="D85" i="17"/>
  <c r="C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AN84" i="17" s="1"/>
  <c r="L84" i="17"/>
  <c r="K84" i="17"/>
  <c r="J84" i="17"/>
  <c r="I84" i="17"/>
  <c r="H84" i="17"/>
  <c r="G84" i="17"/>
  <c r="F84" i="17"/>
  <c r="E84" i="17"/>
  <c r="D84"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E83" i="17"/>
  <c r="D83" i="17"/>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J80" i="17"/>
  <c r="AI80" i="17"/>
  <c r="AH80" i="17"/>
  <c r="AG80" i="17"/>
  <c r="AF80" i="17"/>
  <c r="AE80" i="17"/>
  <c r="AD80" i="17"/>
  <c r="AC80" i="17"/>
  <c r="AB80" i="17"/>
  <c r="AA80" i="17"/>
  <c r="Z80" i="17"/>
  <c r="Y80" i="17"/>
  <c r="X80" i="17"/>
  <c r="W80" i="17"/>
  <c r="V80" i="17"/>
  <c r="U80" i="17"/>
  <c r="T80" i="17"/>
  <c r="S80" i="17"/>
  <c r="R80" i="17"/>
  <c r="Q80" i="17"/>
  <c r="P80" i="17"/>
  <c r="O80" i="17"/>
  <c r="N80" i="17"/>
  <c r="M80" i="17"/>
  <c r="AN80" i="17" s="1"/>
  <c r="L80" i="17"/>
  <c r="K80" i="17"/>
  <c r="J80" i="17"/>
  <c r="I80" i="17"/>
  <c r="H80" i="17"/>
  <c r="G80" i="17"/>
  <c r="F80" i="17"/>
  <c r="E80" i="17"/>
  <c r="D80" i="17"/>
  <c r="AO80" i="17" s="1"/>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C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AN77" i="17" s="1"/>
  <c r="K77" i="17"/>
  <c r="J77" i="17"/>
  <c r="I77" i="17"/>
  <c r="H77" i="17"/>
  <c r="G77" i="17"/>
  <c r="F77" i="17"/>
  <c r="E77" i="17"/>
  <c r="D77" i="17"/>
  <c r="C77" i="17"/>
  <c r="AJ76" i="17"/>
  <c r="AI76" i="17"/>
  <c r="AH76" i="17"/>
  <c r="AG76" i="17"/>
  <c r="AF76" i="17"/>
  <c r="AE76" i="17"/>
  <c r="AD76" i="17"/>
  <c r="AC76" i="17"/>
  <c r="AB76" i="17"/>
  <c r="AA76" i="17"/>
  <c r="Z76" i="17"/>
  <c r="Y76" i="17"/>
  <c r="X76" i="17"/>
  <c r="W76" i="17"/>
  <c r="V76" i="17"/>
  <c r="U76" i="17"/>
  <c r="T76" i="17"/>
  <c r="S76" i="17"/>
  <c r="R76" i="17"/>
  <c r="Q76" i="17"/>
  <c r="P76" i="17"/>
  <c r="O76" i="17"/>
  <c r="N76" i="17"/>
  <c r="M76" i="17"/>
  <c r="L76" i="17"/>
  <c r="K76" i="17"/>
  <c r="J76" i="17"/>
  <c r="I76" i="17"/>
  <c r="H76" i="17"/>
  <c r="G76" i="17"/>
  <c r="F76" i="17"/>
  <c r="E76" i="17"/>
  <c r="D76" i="17"/>
  <c r="AJ75" i="17"/>
  <c r="AI75" i="17"/>
  <c r="AH75" i="17"/>
  <c r="AG75" i="17"/>
  <c r="AF75" i="17"/>
  <c r="AE75" i="17"/>
  <c r="AD75" i="17"/>
  <c r="AC75" i="17"/>
  <c r="AB75" i="17"/>
  <c r="AA75" i="17"/>
  <c r="Z75" i="17"/>
  <c r="Y75" i="17"/>
  <c r="X75" i="17"/>
  <c r="W75" i="17"/>
  <c r="V75" i="17"/>
  <c r="U75" i="17"/>
  <c r="T75" i="17"/>
  <c r="S75" i="17"/>
  <c r="R75" i="17"/>
  <c r="Q75" i="17"/>
  <c r="P75" i="17"/>
  <c r="O75" i="17"/>
  <c r="N75" i="17"/>
  <c r="M75" i="17"/>
  <c r="L75" i="17"/>
  <c r="K75" i="17"/>
  <c r="J75" i="17"/>
  <c r="I75" i="17"/>
  <c r="H75" i="17"/>
  <c r="G75" i="17"/>
  <c r="F75" i="17"/>
  <c r="E75" i="17"/>
  <c r="D75" i="17"/>
  <c r="C75" i="17"/>
  <c r="AJ74" i="17"/>
  <c r="AI74" i="17"/>
  <c r="AH74" i="17"/>
  <c r="AG74" i="17"/>
  <c r="AF74" i="17"/>
  <c r="AE74" i="17"/>
  <c r="AD74" i="17"/>
  <c r="AC74" i="17"/>
  <c r="AB74" i="17"/>
  <c r="AA74" i="17"/>
  <c r="Z74" i="17"/>
  <c r="Y74" i="17"/>
  <c r="X74" i="17"/>
  <c r="W74" i="17"/>
  <c r="V74" i="17"/>
  <c r="U74" i="17"/>
  <c r="T74" i="17"/>
  <c r="S74" i="17"/>
  <c r="R74" i="17"/>
  <c r="Q74" i="17"/>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S72" i="17"/>
  <c r="R72" i="17"/>
  <c r="Q72" i="17"/>
  <c r="P72" i="17"/>
  <c r="O72" i="17"/>
  <c r="AN72" i="17" s="1"/>
  <c r="N72" i="17"/>
  <c r="M72" i="17"/>
  <c r="L72" i="17"/>
  <c r="K72" i="17"/>
  <c r="J72" i="17"/>
  <c r="I72" i="17"/>
  <c r="H72" i="17"/>
  <c r="G72" i="17"/>
  <c r="F72" i="17"/>
  <c r="E72" i="17"/>
  <c r="D72" i="17"/>
  <c r="C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AT70" i="17"/>
  <c r="C69" i="17"/>
  <c r="C68" i="17"/>
  <c r="C198" i="17" s="1"/>
  <c r="C67" i="17"/>
  <c r="C197" i="17" s="1"/>
  <c r="C66" i="17"/>
  <c r="C131" i="17" s="1"/>
  <c r="C65" i="17"/>
  <c r="C195" i="17" s="1"/>
  <c r="C64" i="17"/>
  <c r="C194" i="17" s="1"/>
  <c r="C63" i="17"/>
  <c r="C193" i="17" s="1"/>
  <c r="C62" i="17"/>
  <c r="C127" i="17" s="1"/>
  <c r="C61" i="17"/>
  <c r="C191" i="17" s="1"/>
  <c r="C60" i="17"/>
  <c r="C190" i="17" s="1"/>
  <c r="C59" i="17"/>
  <c r="C189" i="17" s="1"/>
  <c r="C58" i="17"/>
  <c r="C57" i="17"/>
  <c r="C56" i="17"/>
  <c r="C55" i="17"/>
  <c r="C54" i="17"/>
  <c r="C119" i="17" s="1"/>
  <c r="C53" i="17"/>
  <c r="C183" i="17" s="1"/>
  <c r="C52" i="17"/>
  <c r="C51" i="17"/>
  <c r="C50" i="17"/>
  <c r="C115" i="17" s="1"/>
  <c r="C49" i="17"/>
  <c r="C179" i="17" s="1"/>
  <c r="C48" i="17"/>
  <c r="C47" i="17"/>
  <c r="C46" i="17"/>
  <c r="C45" i="17"/>
  <c r="C44" i="17"/>
  <c r="C174" i="17" s="1"/>
  <c r="C43" i="17"/>
  <c r="C173" i="17" s="1"/>
  <c r="C42" i="17"/>
  <c r="C41" i="17"/>
  <c r="C171" i="17" s="1"/>
  <c r="C40" i="17"/>
  <c r="C170" i="17" s="1"/>
  <c r="C39" i="17"/>
  <c r="C169" i="17" s="1"/>
  <c r="C38" i="17"/>
  <c r="C103" i="17" s="1"/>
  <c r="C37" i="17"/>
  <c r="C167" i="17" s="1"/>
  <c r="C36" i="17"/>
  <c r="C35" i="17"/>
  <c r="C165" i="17" s="1"/>
  <c r="C34" i="17"/>
  <c r="C99" i="17" s="1"/>
  <c r="C33" i="17"/>
  <c r="C32" i="17"/>
  <c r="C162" i="17" s="1"/>
  <c r="C31" i="17"/>
  <c r="C30" i="17"/>
  <c r="C29" i="17"/>
  <c r="C159" i="17" s="1"/>
  <c r="C28" i="17"/>
  <c r="C158" i="17" s="1"/>
  <c r="C27" i="17"/>
  <c r="C157" i="17" s="1"/>
  <c r="C26" i="17"/>
  <c r="C91" i="17" s="1"/>
  <c r="C25" i="17"/>
  <c r="C155" i="17" s="1"/>
  <c r="C24" i="17"/>
  <c r="C23" i="17"/>
  <c r="C153" i="17" s="1"/>
  <c r="C22" i="17"/>
  <c r="C21" i="17"/>
  <c r="C20" i="17"/>
  <c r="C150" i="17" s="1"/>
  <c r="C19" i="17"/>
  <c r="C149" i="17" s="1"/>
  <c r="C18" i="17"/>
  <c r="C17" i="17"/>
  <c r="C16" i="17"/>
  <c r="C146" i="17" s="1"/>
  <c r="C15" i="17"/>
  <c r="C14" i="17"/>
  <c r="C144" i="17" s="1"/>
  <c r="AW13" i="17"/>
  <c r="AL13" i="17"/>
  <c r="AT13" i="17" s="1"/>
  <c r="C13" i="17"/>
  <c r="C12" i="17"/>
  <c r="C142" i="17" s="1"/>
  <c r="C11" i="17"/>
  <c r="C10" i="17"/>
  <c r="C140" i="17" s="1"/>
  <c r="AL9" i="17"/>
  <c r="C9" i="17"/>
  <c r="C139" i="17" s="1"/>
  <c r="C8" i="17"/>
  <c r="AW7" i="17"/>
  <c r="C7" i="17"/>
  <c r="C137" i="17" s="1"/>
  <c r="AW6" i="17"/>
  <c r="B6" i="17" s="1"/>
  <c r="B136" i="17" s="1"/>
  <c r="AL6" i="17"/>
  <c r="C6" i="17"/>
  <c r="C136" i="17" s="1"/>
  <c r="AJ199" i="16"/>
  <c r="AQ199" i="16" s="1"/>
  <c r="AI199" i="16"/>
  <c r="AH199" i="16"/>
  <c r="AG199" i="16"/>
  <c r="AF199" i="16"/>
  <c r="AE199" i="16"/>
  <c r="AD199" i="16"/>
  <c r="AC199" i="16"/>
  <c r="AB199" i="16"/>
  <c r="AA199" i="16"/>
  <c r="Z199" i="16"/>
  <c r="Y199" i="16"/>
  <c r="X199" i="16"/>
  <c r="W199" i="16"/>
  <c r="V199" i="16"/>
  <c r="U199" i="16"/>
  <c r="T199" i="16"/>
  <c r="S199" i="16"/>
  <c r="R199" i="16"/>
  <c r="Q199" i="16"/>
  <c r="P199" i="16"/>
  <c r="O199" i="16"/>
  <c r="N199" i="16"/>
  <c r="M199" i="16"/>
  <c r="L199" i="16"/>
  <c r="K199" i="16"/>
  <c r="J199" i="16"/>
  <c r="I199" i="16"/>
  <c r="H199" i="16"/>
  <c r="G199" i="16"/>
  <c r="F199" i="16"/>
  <c r="E199" i="16"/>
  <c r="D199" i="16"/>
  <c r="AJ198" i="16"/>
  <c r="AQ198" i="16" s="1"/>
  <c r="AI198" i="16"/>
  <c r="AH198" i="16"/>
  <c r="AG198" i="16"/>
  <c r="AF198" i="16"/>
  <c r="AE198" i="16"/>
  <c r="AD198" i="16"/>
  <c r="AC198" i="16"/>
  <c r="AB198" i="16"/>
  <c r="AA198" i="16"/>
  <c r="Z198" i="16"/>
  <c r="Y198" i="16"/>
  <c r="X198" i="16"/>
  <c r="W198" i="16"/>
  <c r="V198" i="16"/>
  <c r="U198" i="16"/>
  <c r="T198" i="16"/>
  <c r="S198" i="16"/>
  <c r="R198" i="16"/>
  <c r="Q198" i="16"/>
  <c r="P198" i="16"/>
  <c r="O198" i="16"/>
  <c r="N198" i="16"/>
  <c r="M198" i="16"/>
  <c r="L198" i="16"/>
  <c r="K198" i="16"/>
  <c r="J198" i="16"/>
  <c r="I198" i="16"/>
  <c r="H198" i="16"/>
  <c r="G198" i="16"/>
  <c r="F198" i="16"/>
  <c r="E198" i="16"/>
  <c r="D198" i="16"/>
  <c r="AJ197" i="16"/>
  <c r="AQ197" i="16" s="1"/>
  <c r="AI197" i="16"/>
  <c r="AH197" i="16"/>
  <c r="AG197" i="16"/>
  <c r="AF197" i="16"/>
  <c r="AE197" i="16"/>
  <c r="AD197" i="16"/>
  <c r="AC197" i="16"/>
  <c r="AB197" i="16"/>
  <c r="AL197" i="16" s="1"/>
  <c r="AA197" i="16"/>
  <c r="Z197" i="16"/>
  <c r="Y197" i="16"/>
  <c r="X197" i="16"/>
  <c r="W197" i="16"/>
  <c r="V197" i="16"/>
  <c r="U197" i="16"/>
  <c r="T197" i="16"/>
  <c r="S197" i="16"/>
  <c r="R197" i="16"/>
  <c r="Q197" i="16"/>
  <c r="P197" i="16"/>
  <c r="O197" i="16"/>
  <c r="N197" i="16"/>
  <c r="M197" i="16"/>
  <c r="L197" i="16"/>
  <c r="K197" i="16"/>
  <c r="J197" i="16"/>
  <c r="I197" i="16"/>
  <c r="H197" i="16"/>
  <c r="G197" i="16"/>
  <c r="F197" i="16"/>
  <c r="E197" i="16"/>
  <c r="D197" i="16"/>
  <c r="AO197" i="16" s="1"/>
  <c r="AJ196" i="16"/>
  <c r="AQ196" i="16" s="1"/>
  <c r="AS67" i="16" s="1"/>
  <c r="AI196" i="16"/>
  <c r="AH196" i="16"/>
  <c r="AG196" i="16"/>
  <c r="AF196" i="16"/>
  <c r="AE196" i="16"/>
  <c r="AD196" i="16"/>
  <c r="AC196" i="16"/>
  <c r="AB196" i="16"/>
  <c r="AA196" i="16"/>
  <c r="Z196" i="16"/>
  <c r="Y196" i="16"/>
  <c r="X196" i="16"/>
  <c r="W196" i="16"/>
  <c r="V196" i="16"/>
  <c r="U196" i="16"/>
  <c r="T196" i="16"/>
  <c r="AM196" i="16" s="1"/>
  <c r="S196" i="16"/>
  <c r="R196" i="16"/>
  <c r="Q196" i="16"/>
  <c r="P196" i="16"/>
  <c r="O196" i="16"/>
  <c r="N196" i="16"/>
  <c r="M196" i="16"/>
  <c r="L196" i="16"/>
  <c r="K196" i="16"/>
  <c r="J196" i="16"/>
  <c r="I196" i="16"/>
  <c r="H196" i="16"/>
  <c r="G196" i="16"/>
  <c r="F196" i="16"/>
  <c r="E196" i="16"/>
  <c r="D196" i="16"/>
  <c r="AJ195" i="16"/>
  <c r="AQ195" i="16" s="1"/>
  <c r="AI195" i="16"/>
  <c r="AH195" i="16"/>
  <c r="AG195" i="16"/>
  <c r="AF195" i="16"/>
  <c r="AE195" i="16"/>
  <c r="AD195" i="16"/>
  <c r="AC195" i="16"/>
  <c r="AB195" i="16"/>
  <c r="AA195" i="16"/>
  <c r="Z195" i="16"/>
  <c r="Y195" i="16"/>
  <c r="X195" i="16"/>
  <c r="W195" i="16"/>
  <c r="V195" i="16"/>
  <c r="U195" i="16"/>
  <c r="T195" i="16"/>
  <c r="S195" i="16"/>
  <c r="R195" i="16"/>
  <c r="Q195" i="16"/>
  <c r="P195" i="16"/>
  <c r="O195" i="16"/>
  <c r="N195" i="16"/>
  <c r="M195" i="16"/>
  <c r="L195" i="16"/>
  <c r="K195" i="16"/>
  <c r="J195" i="16"/>
  <c r="I195" i="16"/>
  <c r="H195" i="16"/>
  <c r="G195" i="16"/>
  <c r="F195" i="16"/>
  <c r="E195" i="16"/>
  <c r="D195" i="16"/>
  <c r="AJ194" i="16"/>
  <c r="AQ194" i="16" s="1"/>
  <c r="AI194" i="16"/>
  <c r="AH194" i="16"/>
  <c r="AG194" i="16"/>
  <c r="AF194" i="16"/>
  <c r="AE194" i="16"/>
  <c r="AD194" i="16"/>
  <c r="AL194" i="16" s="1"/>
  <c r="AC194" i="16"/>
  <c r="AB194" i="16"/>
  <c r="AA194" i="16"/>
  <c r="Z194" i="16"/>
  <c r="Y194" i="16"/>
  <c r="X194" i="16"/>
  <c r="W194" i="16"/>
  <c r="V194" i="16"/>
  <c r="U194" i="16"/>
  <c r="T194" i="16"/>
  <c r="S194" i="16"/>
  <c r="R194" i="16"/>
  <c r="Q194" i="16"/>
  <c r="P194" i="16"/>
  <c r="O194" i="16"/>
  <c r="N194" i="16"/>
  <c r="M194" i="16"/>
  <c r="L194" i="16"/>
  <c r="K194" i="16"/>
  <c r="J194" i="16"/>
  <c r="I194" i="16"/>
  <c r="H194" i="16"/>
  <c r="G194" i="16"/>
  <c r="F194" i="16"/>
  <c r="E194" i="16"/>
  <c r="D194" i="16"/>
  <c r="AJ193" i="16"/>
  <c r="AQ193" i="16" s="1"/>
  <c r="AI193" i="16"/>
  <c r="AH193" i="16"/>
  <c r="AG193" i="16"/>
  <c r="AF193" i="16"/>
  <c r="AE193" i="16"/>
  <c r="AD193" i="16"/>
  <c r="AC193" i="16"/>
  <c r="AB193" i="16"/>
  <c r="AA193" i="16"/>
  <c r="Z193" i="16"/>
  <c r="Y193" i="16"/>
  <c r="X193" i="16"/>
  <c r="W193" i="16"/>
  <c r="V193" i="16"/>
  <c r="U193" i="16"/>
  <c r="T193" i="16"/>
  <c r="S193" i="16"/>
  <c r="R193" i="16"/>
  <c r="Q193" i="16"/>
  <c r="P193" i="16"/>
  <c r="O193" i="16"/>
  <c r="N193" i="16"/>
  <c r="M193" i="16"/>
  <c r="L193" i="16"/>
  <c r="K193" i="16"/>
  <c r="J193" i="16"/>
  <c r="I193" i="16"/>
  <c r="H193" i="16"/>
  <c r="G193" i="16"/>
  <c r="F193" i="16"/>
  <c r="E193" i="16"/>
  <c r="D193" i="16"/>
  <c r="AQ192" i="16"/>
  <c r="AJ192" i="16"/>
  <c r="AI192" i="16"/>
  <c r="AH192" i="16"/>
  <c r="AG192" i="16"/>
  <c r="AF192" i="16"/>
  <c r="AE192" i="16"/>
  <c r="AD192" i="16"/>
  <c r="AC192" i="16"/>
  <c r="AB192" i="16"/>
  <c r="AA192" i="16"/>
  <c r="Z192" i="16"/>
  <c r="Y192" i="16"/>
  <c r="X192" i="16"/>
  <c r="W192" i="16"/>
  <c r="V192" i="16"/>
  <c r="U192" i="16"/>
  <c r="T192" i="16"/>
  <c r="S192" i="16"/>
  <c r="R192" i="16"/>
  <c r="Q192" i="16"/>
  <c r="P192" i="16"/>
  <c r="O192" i="16"/>
  <c r="N192" i="16"/>
  <c r="M192" i="16"/>
  <c r="L192" i="16"/>
  <c r="K192" i="16"/>
  <c r="J192" i="16"/>
  <c r="I192" i="16"/>
  <c r="H192" i="16"/>
  <c r="G192" i="16"/>
  <c r="F192" i="16"/>
  <c r="E192" i="16"/>
  <c r="D192" i="16"/>
  <c r="AO192" i="16" s="1"/>
  <c r="AJ191" i="16"/>
  <c r="AQ191" i="16" s="1"/>
  <c r="AI191" i="16"/>
  <c r="AH191" i="16"/>
  <c r="AG191" i="16"/>
  <c r="AF191" i="16"/>
  <c r="AE191" i="16"/>
  <c r="AD191" i="16"/>
  <c r="AC191" i="16"/>
  <c r="AB191" i="16"/>
  <c r="AA191" i="16"/>
  <c r="Z191" i="16"/>
  <c r="Y191" i="16"/>
  <c r="X191" i="16"/>
  <c r="W191" i="16"/>
  <c r="V191" i="16"/>
  <c r="U191" i="16"/>
  <c r="T191" i="16"/>
  <c r="S191" i="16"/>
  <c r="R191" i="16"/>
  <c r="Q191" i="16"/>
  <c r="P191" i="16"/>
  <c r="O191" i="16"/>
  <c r="N191" i="16"/>
  <c r="M191" i="16"/>
  <c r="L191" i="16"/>
  <c r="K191" i="16"/>
  <c r="J191" i="16"/>
  <c r="I191" i="16"/>
  <c r="H191" i="16"/>
  <c r="G191" i="16"/>
  <c r="F191" i="16"/>
  <c r="E191" i="16"/>
  <c r="D191" i="16"/>
  <c r="AJ190" i="16"/>
  <c r="AQ190" i="16" s="1"/>
  <c r="AI190" i="16"/>
  <c r="AH190" i="16"/>
  <c r="AG190" i="16"/>
  <c r="AF190" i="16"/>
  <c r="AE190" i="16"/>
  <c r="AD190" i="16"/>
  <c r="AC190" i="16"/>
  <c r="AB190" i="16"/>
  <c r="AA190" i="16"/>
  <c r="Z190" i="16"/>
  <c r="Y190" i="16"/>
  <c r="X190" i="16"/>
  <c r="W190" i="16"/>
  <c r="V190" i="16"/>
  <c r="U190" i="16"/>
  <c r="T190" i="16"/>
  <c r="AM190" i="16" s="1"/>
  <c r="S190" i="16"/>
  <c r="R190" i="16"/>
  <c r="Q190" i="16"/>
  <c r="P190" i="16"/>
  <c r="O190" i="16"/>
  <c r="N190" i="16"/>
  <c r="M190" i="16"/>
  <c r="L190" i="16"/>
  <c r="K190" i="16"/>
  <c r="J190" i="16"/>
  <c r="I190" i="16"/>
  <c r="H190" i="16"/>
  <c r="G190" i="16"/>
  <c r="F190" i="16"/>
  <c r="E190" i="16"/>
  <c r="D190" i="16"/>
  <c r="AJ189" i="16"/>
  <c r="AQ189" i="16" s="1"/>
  <c r="AI189" i="16"/>
  <c r="AH189" i="16"/>
  <c r="AG189" i="16"/>
  <c r="AF189" i="16"/>
  <c r="AE189" i="16"/>
  <c r="AD189" i="16"/>
  <c r="AC189" i="16"/>
  <c r="AB189" i="16"/>
  <c r="AA189" i="16"/>
  <c r="Z189" i="16"/>
  <c r="Y189" i="16"/>
  <c r="X189" i="16"/>
  <c r="W189" i="16"/>
  <c r="V189" i="16"/>
  <c r="U189" i="16"/>
  <c r="T189" i="16"/>
  <c r="S189" i="16"/>
  <c r="R189" i="16"/>
  <c r="Q189" i="16"/>
  <c r="P189" i="16"/>
  <c r="O189" i="16"/>
  <c r="N189" i="16"/>
  <c r="M189" i="16"/>
  <c r="L189" i="16"/>
  <c r="K189" i="16"/>
  <c r="J189" i="16"/>
  <c r="I189" i="16"/>
  <c r="H189" i="16"/>
  <c r="G189" i="16"/>
  <c r="F189" i="16"/>
  <c r="E189" i="16"/>
  <c r="D189" i="16"/>
  <c r="AJ188" i="16"/>
  <c r="AQ188" i="16" s="1"/>
  <c r="AI188" i="16"/>
  <c r="AH188" i="16"/>
  <c r="AG188" i="16"/>
  <c r="AF188" i="16"/>
  <c r="AE188" i="16"/>
  <c r="AD188" i="16"/>
  <c r="AC188" i="16"/>
  <c r="AB188" i="16"/>
  <c r="AA188" i="16"/>
  <c r="Z188" i="16"/>
  <c r="Y188" i="16"/>
  <c r="X188" i="16"/>
  <c r="W188" i="16"/>
  <c r="V188" i="16"/>
  <c r="U188" i="16"/>
  <c r="T188" i="16"/>
  <c r="S188" i="16"/>
  <c r="R188" i="16"/>
  <c r="Q188" i="16"/>
  <c r="P188" i="16"/>
  <c r="O188" i="16"/>
  <c r="N188" i="16"/>
  <c r="M188" i="16"/>
  <c r="AN188" i="16" s="1"/>
  <c r="L188" i="16"/>
  <c r="K188" i="16"/>
  <c r="J188" i="16"/>
  <c r="I188" i="16"/>
  <c r="H188" i="16"/>
  <c r="G188" i="16"/>
  <c r="F188" i="16"/>
  <c r="E188" i="16"/>
  <c r="D188" i="16"/>
  <c r="AJ187" i="16"/>
  <c r="AQ187" i="16" s="1"/>
  <c r="AI187" i="16"/>
  <c r="AH187" i="16"/>
  <c r="AG187" i="16"/>
  <c r="AF187" i="16"/>
  <c r="AE187" i="16"/>
  <c r="AD187" i="16"/>
  <c r="AC187" i="16"/>
  <c r="AB187" i="16"/>
  <c r="AA187" i="16"/>
  <c r="Z187" i="16"/>
  <c r="Y187" i="16"/>
  <c r="X187" i="16"/>
  <c r="W187" i="16"/>
  <c r="V187" i="16"/>
  <c r="U187" i="16"/>
  <c r="T187" i="16"/>
  <c r="S187" i="16"/>
  <c r="R187" i="16"/>
  <c r="Q187" i="16"/>
  <c r="P187" i="16"/>
  <c r="O187" i="16"/>
  <c r="N187" i="16"/>
  <c r="M187" i="16"/>
  <c r="L187" i="16"/>
  <c r="K187" i="16"/>
  <c r="J187" i="16"/>
  <c r="I187" i="16"/>
  <c r="H187" i="16"/>
  <c r="G187" i="16"/>
  <c r="F187" i="16"/>
  <c r="E187" i="16"/>
  <c r="D187" i="16"/>
  <c r="AJ186" i="16"/>
  <c r="AQ186" i="16" s="1"/>
  <c r="AI186" i="16"/>
  <c r="AH186" i="16"/>
  <c r="AG186" i="16"/>
  <c r="AF186" i="16"/>
  <c r="AE186" i="16"/>
  <c r="AD186" i="16"/>
  <c r="AC186" i="16"/>
  <c r="AB186" i="16"/>
  <c r="AA186" i="16"/>
  <c r="Z186" i="16"/>
  <c r="Y186" i="16"/>
  <c r="X186" i="16"/>
  <c r="W186" i="16"/>
  <c r="V186" i="16"/>
  <c r="U186" i="16"/>
  <c r="T186" i="16"/>
  <c r="S186" i="16"/>
  <c r="R186" i="16"/>
  <c r="Q186" i="16"/>
  <c r="P186" i="16"/>
  <c r="O186" i="16"/>
  <c r="N186" i="16"/>
  <c r="M186" i="16"/>
  <c r="L186" i="16"/>
  <c r="K186" i="16"/>
  <c r="J186" i="16"/>
  <c r="I186" i="16"/>
  <c r="H186" i="16"/>
  <c r="G186" i="16"/>
  <c r="F186" i="16"/>
  <c r="E186" i="16"/>
  <c r="D186" i="16"/>
  <c r="AJ185" i="16"/>
  <c r="AQ185" i="16" s="1"/>
  <c r="AI185" i="16"/>
  <c r="AH185" i="16"/>
  <c r="AG185" i="16"/>
  <c r="AF185" i="16"/>
  <c r="AE185" i="16"/>
  <c r="AD185" i="16"/>
  <c r="AC185" i="16"/>
  <c r="AB185" i="16"/>
  <c r="AA185" i="16"/>
  <c r="Z185" i="16"/>
  <c r="Y185" i="16"/>
  <c r="X185" i="16"/>
  <c r="W185" i="16"/>
  <c r="V185" i="16"/>
  <c r="U185" i="16"/>
  <c r="T185" i="16"/>
  <c r="S185" i="16"/>
  <c r="R185" i="16"/>
  <c r="Q185" i="16"/>
  <c r="P185" i="16"/>
  <c r="O185" i="16"/>
  <c r="N185" i="16"/>
  <c r="M185" i="16"/>
  <c r="L185" i="16"/>
  <c r="K185" i="16"/>
  <c r="J185" i="16"/>
  <c r="I185" i="16"/>
  <c r="H185" i="16"/>
  <c r="G185" i="16"/>
  <c r="F185" i="16"/>
  <c r="E185" i="16"/>
  <c r="D185" i="16"/>
  <c r="AQ184" i="16"/>
  <c r="AJ184" i="16"/>
  <c r="AI184" i="16"/>
  <c r="AH184" i="16"/>
  <c r="AG184" i="16"/>
  <c r="AF184" i="16"/>
  <c r="AE184" i="16"/>
  <c r="AD184" i="16"/>
  <c r="AC184" i="16"/>
  <c r="AB184" i="16"/>
  <c r="AA184" i="16"/>
  <c r="Z184" i="16"/>
  <c r="Y184" i="16"/>
  <c r="X184" i="16"/>
  <c r="W184" i="16"/>
  <c r="V184" i="16"/>
  <c r="U184" i="16"/>
  <c r="T184" i="16"/>
  <c r="S184" i="16"/>
  <c r="R184" i="16"/>
  <c r="Q184" i="16"/>
  <c r="P184" i="16"/>
  <c r="O184" i="16"/>
  <c r="N184" i="16"/>
  <c r="M184" i="16"/>
  <c r="L184" i="16"/>
  <c r="K184" i="16"/>
  <c r="J184" i="16"/>
  <c r="I184" i="16"/>
  <c r="H184" i="16"/>
  <c r="G184" i="16"/>
  <c r="F184" i="16"/>
  <c r="E184" i="16"/>
  <c r="D184" i="16"/>
  <c r="C184" i="16"/>
  <c r="AJ183" i="16"/>
  <c r="AQ183" i="16" s="1"/>
  <c r="AI183" i="16"/>
  <c r="AH183" i="16"/>
  <c r="AG183" i="16"/>
  <c r="AF183" i="16"/>
  <c r="AE183" i="16"/>
  <c r="AD183" i="16"/>
  <c r="AC183" i="16"/>
  <c r="AB183" i="16"/>
  <c r="AA183" i="16"/>
  <c r="Z183" i="16"/>
  <c r="Y183" i="16"/>
  <c r="X183" i="16"/>
  <c r="W183" i="16"/>
  <c r="V183" i="16"/>
  <c r="U183" i="16"/>
  <c r="T183" i="16"/>
  <c r="S183" i="16"/>
  <c r="R183" i="16"/>
  <c r="Q183" i="16"/>
  <c r="P183" i="16"/>
  <c r="O183" i="16"/>
  <c r="N183" i="16"/>
  <c r="M183" i="16"/>
  <c r="L183" i="16"/>
  <c r="K183" i="16"/>
  <c r="J183" i="16"/>
  <c r="I183" i="16"/>
  <c r="H183" i="16"/>
  <c r="G183" i="16"/>
  <c r="F183" i="16"/>
  <c r="E183" i="16"/>
  <c r="D183" i="16"/>
  <c r="AJ182" i="16"/>
  <c r="AQ182" i="16" s="1"/>
  <c r="AI182" i="16"/>
  <c r="AH182" i="16"/>
  <c r="AG182" i="16"/>
  <c r="AF182" i="16"/>
  <c r="AE182" i="16"/>
  <c r="AD182" i="16"/>
  <c r="AC182" i="16"/>
  <c r="AB182" i="16"/>
  <c r="AA182" i="16"/>
  <c r="Z182" i="16"/>
  <c r="Y182" i="16"/>
  <c r="X182" i="16"/>
  <c r="W182" i="16"/>
  <c r="V182" i="16"/>
  <c r="U182" i="16"/>
  <c r="T182" i="16"/>
  <c r="S182" i="16"/>
  <c r="R182" i="16"/>
  <c r="Q182" i="16"/>
  <c r="P182" i="16"/>
  <c r="O182" i="16"/>
  <c r="N182" i="16"/>
  <c r="M182" i="16"/>
  <c r="L182" i="16"/>
  <c r="K182" i="16"/>
  <c r="J182" i="16"/>
  <c r="I182" i="16"/>
  <c r="H182" i="16"/>
  <c r="G182" i="16"/>
  <c r="F182" i="16"/>
  <c r="E182" i="16"/>
  <c r="D182" i="16"/>
  <c r="AJ181" i="16"/>
  <c r="AQ181" i="16" s="1"/>
  <c r="AI181" i="16"/>
  <c r="AH181" i="16"/>
  <c r="AG181" i="16"/>
  <c r="AF181" i="16"/>
  <c r="AE181" i="16"/>
  <c r="AD181" i="16"/>
  <c r="AC181" i="16"/>
  <c r="AB181" i="16"/>
  <c r="AA181" i="16"/>
  <c r="Z181" i="16"/>
  <c r="Y181" i="16"/>
  <c r="X181" i="16"/>
  <c r="W181" i="16"/>
  <c r="V181" i="16"/>
  <c r="U181" i="16"/>
  <c r="T181" i="16"/>
  <c r="S181" i="16"/>
  <c r="R181" i="16"/>
  <c r="Q181" i="16"/>
  <c r="P181" i="16"/>
  <c r="O181" i="16"/>
  <c r="N181" i="16"/>
  <c r="M181" i="16"/>
  <c r="L181" i="16"/>
  <c r="K181" i="16"/>
  <c r="J181" i="16"/>
  <c r="I181" i="16"/>
  <c r="H181" i="16"/>
  <c r="G181" i="16"/>
  <c r="F181" i="16"/>
  <c r="E181" i="16"/>
  <c r="D181" i="16"/>
  <c r="AQ180" i="16"/>
  <c r="AJ180" i="16"/>
  <c r="AI180" i="16"/>
  <c r="AH180" i="16"/>
  <c r="AG180" i="16"/>
  <c r="AF180" i="16"/>
  <c r="AE180" i="16"/>
  <c r="AD180" i="16"/>
  <c r="AC180" i="16"/>
  <c r="AL180" i="16" s="1"/>
  <c r="AB180" i="16"/>
  <c r="AA180" i="16"/>
  <c r="Z180" i="16"/>
  <c r="Y180" i="16"/>
  <c r="X180" i="16"/>
  <c r="W180" i="16"/>
  <c r="V180" i="16"/>
  <c r="U180" i="16"/>
  <c r="T180" i="16"/>
  <c r="S180" i="16"/>
  <c r="R180" i="16"/>
  <c r="Q180" i="16"/>
  <c r="P180" i="16"/>
  <c r="O180" i="16"/>
  <c r="N180" i="16"/>
  <c r="M180" i="16"/>
  <c r="L180" i="16"/>
  <c r="K180" i="16"/>
  <c r="J180" i="16"/>
  <c r="I180" i="16"/>
  <c r="H180" i="16"/>
  <c r="G180" i="16"/>
  <c r="F180" i="16"/>
  <c r="E180" i="16"/>
  <c r="D180" i="16"/>
  <c r="AJ179" i="16"/>
  <c r="AQ179" i="16" s="1"/>
  <c r="AI179" i="16"/>
  <c r="AH179" i="16"/>
  <c r="AG179" i="16"/>
  <c r="AF179" i="16"/>
  <c r="AE179" i="16"/>
  <c r="AD179" i="16"/>
  <c r="AC179" i="16"/>
  <c r="AB179" i="16"/>
  <c r="AA179" i="16"/>
  <c r="Z179" i="16"/>
  <c r="Y179" i="16"/>
  <c r="X179" i="16"/>
  <c r="W179" i="16"/>
  <c r="V179" i="16"/>
  <c r="U179" i="16"/>
  <c r="T179" i="16"/>
  <c r="S179" i="16"/>
  <c r="R179" i="16"/>
  <c r="Q179" i="16"/>
  <c r="P179" i="16"/>
  <c r="O179" i="16"/>
  <c r="N179" i="16"/>
  <c r="M179" i="16"/>
  <c r="L179" i="16"/>
  <c r="K179" i="16"/>
  <c r="J179" i="16"/>
  <c r="I179" i="16"/>
  <c r="H179" i="16"/>
  <c r="G179" i="16"/>
  <c r="F179" i="16"/>
  <c r="E179" i="16"/>
  <c r="D179" i="16"/>
  <c r="AJ178" i="16"/>
  <c r="AQ178" i="16" s="1"/>
  <c r="AI178" i="16"/>
  <c r="AH178" i="16"/>
  <c r="AG178" i="16"/>
  <c r="AF178" i="16"/>
  <c r="AE178" i="16"/>
  <c r="AD178" i="16"/>
  <c r="AL178" i="16" s="1"/>
  <c r="AC178" i="16"/>
  <c r="AB178" i="16"/>
  <c r="AA178" i="16"/>
  <c r="Z178" i="16"/>
  <c r="Y178" i="16"/>
  <c r="X178" i="16"/>
  <c r="W178" i="16"/>
  <c r="V178" i="16"/>
  <c r="U178" i="16"/>
  <c r="T178" i="16"/>
  <c r="S178" i="16"/>
  <c r="R178" i="16"/>
  <c r="Q178" i="16"/>
  <c r="P178" i="16"/>
  <c r="O178" i="16"/>
  <c r="N178" i="16"/>
  <c r="M178" i="16"/>
  <c r="L178" i="16"/>
  <c r="AN178" i="16" s="1"/>
  <c r="K178" i="16"/>
  <c r="J178" i="16"/>
  <c r="I178" i="16"/>
  <c r="H178" i="16"/>
  <c r="G178" i="16"/>
  <c r="F178" i="16"/>
  <c r="E178" i="16"/>
  <c r="D178" i="16"/>
  <c r="AJ177" i="16"/>
  <c r="AQ177" i="16" s="1"/>
  <c r="AS47" i="16" s="1"/>
  <c r="AI177" i="16"/>
  <c r="AH177" i="16"/>
  <c r="AG177" i="16"/>
  <c r="AF177" i="16"/>
  <c r="AE177" i="16"/>
  <c r="AD177" i="16"/>
  <c r="AC177" i="16"/>
  <c r="AB177" i="16"/>
  <c r="AA177" i="16"/>
  <c r="Z177" i="16"/>
  <c r="Y177" i="16"/>
  <c r="X177" i="16"/>
  <c r="W177" i="16"/>
  <c r="V177" i="16"/>
  <c r="U177" i="16"/>
  <c r="T177" i="16"/>
  <c r="S177" i="16"/>
  <c r="R177" i="16"/>
  <c r="Q177" i="16"/>
  <c r="P177" i="16"/>
  <c r="O177" i="16"/>
  <c r="N177" i="16"/>
  <c r="M177" i="16"/>
  <c r="L177" i="16"/>
  <c r="AN177" i="16" s="1"/>
  <c r="K177" i="16"/>
  <c r="J177" i="16"/>
  <c r="I177" i="16"/>
  <c r="H177" i="16"/>
  <c r="G177" i="16"/>
  <c r="F177" i="16"/>
  <c r="E177" i="16"/>
  <c r="D177" i="16"/>
  <c r="AQ176" i="16"/>
  <c r="AJ176" i="16"/>
  <c r="AI176" i="16"/>
  <c r="AH176" i="16"/>
  <c r="AG176" i="16"/>
  <c r="AF176" i="16"/>
  <c r="AE176" i="16"/>
  <c r="AD176" i="16"/>
  <c r="AC176" i="16"/>
  <c r="AB176" i="16"/>
  <c r="AA176" i="16"/>
  <c r="Z176" i="16"/>
  <c r="Y176" i="16"/>
  <c r="X176" i="16"/>
  <c r="W176" i="16"/>
  <c r="V176" i="16"/>
  <c r="U176" i="16"/>
  <c r="T176" i="16"/>
  <c r="S176" i="16"/>
  <c r="R176" i="16"/>
  <c r="Q176" i="16"/>
  <c r="P176" i="16"/>
  <c r="O176" i="16"/>
  <c r="N176" i="16"/>
  <c r="M176" i="16"/>
  <c r="L176" i="16"/>
  <c r="K176" i="16"/>
  <c r="J176" i="16"/>
  <c r="I176" i="16"/>
  <c r="H176" i="16"/>
  <c r="G176" i="16"/>
  <c r="F176" i="16"/>
  <c r="E176" i="16"/>
  <c r="D176" i="16"/>
  <c r="AJ175" i="16"/>
  <c r="AQ175" i="16" s="1"/>
  <c r="AI175" i="16"/>
  <c r="AH175" i="16"/>
  <c r="AG175" i="16"/>
  <c r="AF175" i="16"/>
  <c r="AE175" i="16"/>
  <c r="AD175" i="16"/>
  <c r="AC175" i="16"/>
  <c r="AB175" i="16"/>
  <c r="AL175" i="16" s="1"/>
  <c r="AA175" i="16"/>
  <c r="Z175" i="16"/>
  <c r="Y175" i="16"/>
  <c r="X175" i="16"/>
  <c r="W175" i="16"/>
  <c r="V175" i="16"/>
  <c r="U175" i="16"/>
  <c r="T175" i="16"/>
  <c r="S175" i="16"/>
  <c r="R175" i="16"/>
  <c r="Q175" i="16"/>
  <c r="P175" i="16"/>
  <c r="O175" i="16"/>
  <c r="N175" i="16"/>
  <c r="M175" i="16"/>
  <c r="L175" i="16"/>
  <c r="K175" i="16"/>
  <c r="J175" i="16"/>
  <c r="I175" i="16"/>
  <c r="H175" i="16"/>
  <c r="G175" i="16"/>
  <c r="F175" i="16"/>
  <c r="E175" i="16"/>
  <c r="D175" i="16"/>
  <c r="AO175" i="16" s="1"/>
  <c r="AJ174" i="16"/>
  <c r="AQ174" i="16" s="1"/>
  <c r="AI174" i="16"/>
  <c r="AH174" i="16"/>
  <c r="AG174" i="16"/>
  <c r="AF174" i="16"/>
  <c r="AE174" i="16"/>
  <c r="AD174" i="16"/>
  <c r="AC174" i="16"/>
  <c r="AB174" i="16"/>
  <c r="AA174" i="16"/>
  <c r="Z174" i="16"/>
  <c r="Y174" i="16"/>
  <c r="X174" i="16"/>
  <c r="W174" i="16"/>
  <c r="V174" i="16"/>
  <c r="U174" i="16"/>
  <c r="T174" i="16"/>
  <c r="S174" i="16"/>
  <c r="R174" i="16"/>
  <c r="Q174" i="16"/>
  <c r="P174" i="16"/>
  <c r="O174" i="16"/>
  <c r="N174" i="16"/>
  <c r="M174" i="16"/>
  <c r="L174" i="16"/>
  <c r="K174" i="16"/>
  <c r="J174" i="16"/>
  <c r="I174" i="16"/>
  <c r="H174" i="16"/>
  <c r="G174" i="16"/>
  <c r="F174" i="16"/>
  <c r="E174" i="16"/>
  <c r="D174" i="16"/>
  <c r="AJ173" i="16"/>
  <c r="AQ173" i="16" s="1"/>
  <c r="AI173" i="16"/>
  <c r="AH173" i="16"/>
  <c r="AG173" i="16"/>
  <c r="AF173" i="16"/>
  <c r="AE173" i="16"/>
  <c r="AD173" i="16"/>
  <c r="AC173" i="16"/>
  <c r="AB173" i="16"/>
  <c r="AA173" i="16"/>
  <c r="Z173" i="16"/>
  <c r="Y173" i="16"/>
  <c r="X173" i="16"/>
  <c r="W173" i="16"/>
  <c r="V173" i="16"/>
  <c r="U173" i="16"/>
  <c r="T173" i="16"/>
  <c r="S173" i="16"/>
  <c r="R173" i="16"/>
  <c r="Q173" i="16"/>
  <c r="P173" i="16"/>
  <c r="O173" i="16"/>
  <c r="N173" i="16"/>
  <c r="M173" i="16"/>
  <c r="L173" i="16"/>
  <c r="K173" i="16"/>
  <c r="J173" i="16"/>
  <c r="I173" i="16"/>
  <c r="H173" i="16"/>
  <c r="G173" i="16"/>
  <c r="F173" i="16"/>
  <c r="E173" i="16"/>
  <c r="D173" i="16"/>
  <c r="AJ172" i="16"/>
  <c r="AQ172" i="16" s="1"/>
  <c r="AS43" i="16" s="1"/>
  <c r="AI172" i="16"/>
  <c r="AH172" i="16"/>
  <c r="AG172" i="16"/>
  <c r="AF172" i="16"/>
  <c r="AE172" i="16"/>
  <c r="AD172" i="16"/>
  <c r="AC172" i="16"/>
  <c r="AB172" i="16"/>
  <c r="AA172" i="16"/>
  <c r="Z172" i="16"/>
  <c r="Y172" i="16"/>
  <c r="X172" i="16"/>
  <c r="W172" i="16"/>
  <c r="V172" i="16"/>
  <c r="U172" i="16"/>
  <c r="T172" i="16"/>
  <c r="S172" i="16"/>
  <c r="R172" i="16"/>
  <c r="Q172" i="16"/>
  <c r="P172" i="16"/>
  <c r="O172" i="16"/>
  <c r="N172" i="16"/>
  <c r="M172" i="16"/>
  <c r="L172" i="16"/>
  <c r="AN172" i="16" s="1"/>
  <c r="K172" i="16"/>
  <c r="J172" i="16"/>
  <c r="I172" i="16"/>
  <c r="H172" i="16"/>
  <c r="G172" i="16"/>
  <c r="F172" i="16"/>
  <c r="E172" i="16"/>
  <c r="D172" i="16"/>
  <c r="AJ171" i="16"/>
  <c r="AQ171" i="16" s="1"/>
  <c r="AI171" i="16"/>
  <c r="AH171" i="16"/>
  <c r="AG171" i="16"/>
  <c r="AF171" i="16"/>
  <c r="AE171" i="16"/>
  <c r="AD171" i="16"/>
  <c r="AC171" i="16"/>
  <c r="AB171" i="16"/>
  <c r="AA171" i="16"/>
  <c r="Z171" i="16"/>
  <c r="Y171" i="16"/>
  <c r="X171" i="16"/>
  <c r="W171" i="16"/>
  <c r="V171" i="16"/>
  <c r="U171" i="16"/>
  <c r="T171" i="16"/>
  <c r="S171" i="16"/>
  <c r="R171" i="16"/>
  <c r="Q171" i="16"/>
  <c r="P171" i="16"/>
  <c r="O171" i="16"/>
  <c r="N171" i="16"/>
  <c r="M171" i="16"/>
  <c r="L171" i="16"/>
  <c r="K171" i="16"/>
  <c r="J171" i="16"/>
  <c r="I171" i="16"/>
  <c r="H171" i="16"/>
  <c r="G171" i="16"/>
  <c r="F171" i="16"/>
  <c r="E171" i="16"/>
  <c r="D171" i="16"/>
  <c r="AJ170" i="16"/>
  <c r="AQ170" i="16" s="1"/>
  <c r="AI170" i="16"/>
  <c r="AH170" i="16"/>
  <c r="AG170" i="16"/>
  <c r="AF170" i="16"/>
  <c r="AE170" i="16"/>
  <c r="AD170" i="16"/>
  <c r="AC170" i="16"/>
  <c r="AB170" i="16"/>
  <c r="AA170" i="16"/>
  <c r="Z170" i="16"/>
  <c r="Y170" i="16"/>
  <c r="X170" i="16"/>
  <c r="W170" i="16"/>
  <c r="V170" i="16"/>
  <c r="U170" i="16"/>
  <c r="T170" i="16"/>
  <c r="S170" i="16"/>
  <c r="R170" i="16"/>
  <c r="Q170" i="16"/>
  <c r="P170" i="16"/>
  <c r="O170" i="16"/>
  <c r="N170" i="16"/>
  <c r="M170" i="16"/>
  <c r="L170" i="16"/>
  <c r="K170" i="16"/>
  <c r="J170" i="16"/>
  <c r="I170" i="16"/>
  <c r="H170" i="16"/>
  <c r="G170" i="16"/>
  <c r="F170" i="16"/>
  <c r="E170" i="16"/>
  <c r="D170" i="16"/>
  <c r="AO170" i="16" s="1"/>
  <c r="AJ169" i="16"/>
  <c r="AQ169" i="16" s="1"/>
  <c r="AI169" i="16"/>
  <c r="AH169" i="16"/>
  <c r="AG169" i="16"/>
  <c r="AF169" i="16"/>
  <c r="AE169" i="16"/>
  <c r="AD169" i="16"/>
  <c r="AC169" i="16"/>
  <c r="AB169" i="16"/>
  <c r="AL169" i="16" s="1"/>
  <c r="AA169" i="16"/>
  <c r="Z169" i="16"/>
  <c r="Y169" i="16"/>
  <c r="X169" i="16"/>
  <c r="W169" i="16"/>
  <c r="V169" i="16"/>
  <c r="U169" i="16"/>
  <c r="T169" i="16"/>
  <c r="S169" i="16"/>
  <c r="R169" i="16"/>
  <c r="Q169" i="16"/>
  <c r="P169" i="16"/>
  <c r="O169" i="16"/>
  <c r="N169" i="16"/>
  <c r="M169" i="16"/>
  <c r="L169" i="16"/>
  <c r="K169" i="16"/>
  <c r="J169" i="16"/>
  <c r="I169" i="16"/>
  <c r="H169" i="16"/>
  <c r="G169" i="16"/>
  <c r="F169" i="16"/>
  <c r="E169" i="16"/>
  <c r="D169" i="16"/>
  <c r="AO169" i="16" s="1"/>
  <c r="AJ168" i="16"/>
  <c r="AQ168" i="16" s="1"/>
  <c r="AI168" i="16"/>
  <c r="AH168" i="16"/>
  <c r="AG168" i="16"/>
  <c r="AF168" i="16"/>
  <c r="AE168" i="16"/>
  <c r="AD168" i="16"/>
  <c r="AC168" i="16"/>
  <c r="AB168" i="16"/>
  <c r="AA168" i="16"/>
  <c r="Z168" i="16"/>
  <c r="Y168" i="16"/>
  <c r="X168" i="16"/>
  <c r="W168" i="16"/>
  <c r="V168" i="16"/>
  <c r="U168" i="16"/>
  <c r="T168" i="16"/>
  <c r="S168" i="16"/>
  <c r="R168" i="16"/>
  <c r="Q168" i="16"/>
  <c r="P168" i="16"/>
  <c r="O168" i="16"/>
  <c r="N168" i="16"/>
  <c r="M168" i="16"/>
  <c r="L168" i="16"/>
  <c r="K168" i="16"/>
  <c r="J168" i="16"/>
  <c r="I168" i="16"/>
  <c r="H168" i="16"/>
  <c r="G168" i="16"/>
  <c r="F168" i="16"/>
  <c r="E168" i="16"/>
  <c r="D168" i="16"/>
  <c r="AJ167" i="16"/>
  <c r="AQ167" i="16" s="1"/>
  <c r="AI167" i="16"/>
  <c r="AH167" i="16"/>
  <c r="AG167" i="16"/>
  <c r="AF167" i="16"/>
  <c r="AE167" i="16"/>
  <c r="AD167" i="16"/>
  <c r="AC167" i="16"/>
  <c r="AB167" i="16"/>
  <c r="AA167" i="16"/>
  <c r="Z167" i="16"/>
  <c r="Y167" i="16"/>
  <c r="X167" i="16"/>
  <c r="W167" i="16"/>
  <c r="V167" i="16"/>
  <c r="U167" i="16"/>
  <c r="T167" i="16"/>
  <c r="S167" i="16"/>
  <c r="R167" i="16"/>
  <c r="Q167" i="16"/>
  <c r="P167" i="16"/>
  <c r="O167" i="16"/>
  <c r="N167" i="16"/>
  <c r="M167" i="16"/>
  <c r="L167" i="16"/>
  <c r="K167" i="16"/>
  <c r="J167" i="16"/>
  <c r="I167" i="16"/>
  <c r="H167" i="16"/>
  <c r="G167" i="16"/>
  <c r="F167" i="16"/>
  <c r="E167" i="16"/>
  <c r="D167" i="16"/>
  <c r="AJ166" i="16"/>
  <c r="AQ166" i="16" s="1"/>
  <c r="AI166" i="16"/>
  <c r="AH166" i="16"/>
  <c r="AG166" i="16"/>
  <c r="AF166" i="16"/>
  <c r="AE166" i="16"/>
  <c r="AD166" i="16"/>
  <c r="AC166" i="16"/>
  <c r="AB166" i="16"/>
  <c r="AA166" i="16"/>
  <c r="Z166" i="16"/>
  <c r="Y166" i="16"/>
  <c r="X166" i="16"/>
  <c r="W166" i="16"/>
  <c r="V166" i="16"/>
  <c r="U166" i="16"/>
  <c r="T166" i="16"/>
  <c r="S166" i="16"/>
  <c r="R166" i="16"/>
  <c r="Q166" i="16"/>
  <c r="P166" i="16"/>
  <c r="O166" i="16"/>
  <c r="N166" i="16"/>
  <c r="M166" i="16"/>
  <c r="L166" i="16"/>
  <c r="K166" i="16"/>
  <c r="J166" i="16"/>
  <c r="I166" i="16"/>
  <c r="H166" i="16"/>
  <c r="G166" i="16"/>
  <c r="F166" i="16"/>
  <c r="E166" i="16"/>
  <c r="D166" i="16"/>
  <c r="AJ165" i="16"/>
  <c r="AQ165" i="16" s="1"/>
  <c r="AI165" i="16"/>
  <c r="AH165" i="16"/>
  <c r="AG165" i="16"/>
  <c r="AF165" i="16"/>
  <c r="AE165" i="16"/>
  <c r="AD165" i="16"/>
  <c r="AC165" i="16"/>
  <c r="AB165" i="16"/>
  <c r="AA165" i="16"/>
  <c r="Z165" i="16"/>
  <c r="Y165" i="16"/>
  <c r="X165" i="16"/>
  <c r="W165" i="16"/>
  <c r="V165" i="16"/>
  <c r="U165" i="16"/>
  <c r="T165" i="16"/>
  <c r="S165" i="16"/>
  <c r="R165" i="16"/>
  <c r="Q165" i="16"/>
  <c r="P165" i="16"/>
  <c r="O165" i="16"/>
  <c r="N165" i="16"/>
  <c r="M165" i="16"/>
  <c r="L165" i="16"/>
  <c r="K165" i="16"/>
  <c r="J165" i="16"/>
  <c r="I165" i="16"/>
  <c r="H165" i="16"/>
  <c r="G165" i="16"/>
  <c r="F165" i="16"/>
  <c r="E165" i="16"/>
  <c r="D165" i="16"/>
  <c r="AQ164" i="16"/>
  <c r="AJ164" i="16"/>
  <c r="AI164" i="16"/>
  <c r="AH164" i="16"/>
  <c r="AG164" i="16"/>
  <c r="AF164" i="16"/>
  <c r="AE164" i="16"/>
  <c r="AD164" i="16"/>
  <c r="AC164" i="16"/>
  <c r="AL164" i="16" s="1"/>
  <c r="AB164" i="16"/>
  <c r="AA164" i="16"/>
  <c r="Z164" i="16"/>
  <c r="Y164" i="16"/>
  <c r="X164" i="16"/>
  <c r="W164" i="16"/>
  <c r="V164" i="16"/>
  <c r="U164" i="16"/>
  <c r="T164" i="16"/>
  <c r="S164" i="16"/>
  <c r="R164" i="16"/>
  <c r="Q164" i="16"/>
  <c r="P164" i="16"/>
  <c r="O164" i="16"/>
  <c r="N164" i="16"/>
  <c r="M164" i="16"/>
  <c r="L164" i="16"/>
  <c r="K164" i="16"/>
  <c r="J164" i="16"/>
  <c r="I164" i="16"/>
  <c r="H164" i="16"/>
  <c r="G164" i="16"/>
  <c r="F164" i="16"/>
  <c r="E164" i="16"/>
  <c r="D164" i="16"/>
  <c r="AJ163" i="16"/>
  <c r="AQ163" i="16" s="1"/>
  <c r="AI163" i="16"/>
  <c r="AH163" i="16"/>
  <c r="AG163" i="16"/>
  <c r="AF163" i="16"/>
  <c r="AE163" i="16"/>
  <c r="AD163" i="16"/>
  <c r="AC163" i="16"/>
  <c r="AB163" i="16"/>
  <c r="AA163" i="16"/>
  <c r="Z163" i="16"/>
  <c r="Y163" i="16"/>
  <c r="X163" i="16"/>
  <c r="W163" i="16"/>
  <c r="V163" i="16"/>
  <c r="U163" i="16"/>
  <c r="T163" i="16"/>
  <c r="S163" i="16"/>
  <c r="R163" i="16"/>
  <c r="Q163" i="16"/>
  <c r="P163" i="16"/>
  <c r="O163" i="16"/>
  <c r="N163" i="16"/>
  <c r="M163" i="16"/>
  <c r="L163" i="16"/>
  <c r="K163" i="16"/>
  <c r="J163" i="16"/>
  <c r="I163" i="16"/>
  <c r="H163" i="16"/>
  <c r="G163" i="16"/>
  <c r="F163" i="16"/>
  <c r="E163" i="16"/>
  <c r="D163" i="16"/>
  <c r="AJ162" i="16"/>
  <c r="AQ162" i="16" s="1"/>
  <c r="AI162" i="16"/>
  <c r="AH162" i="16"/>
  <c r="AG162" i="16"/>
  <c r="AF162" i="16"/>
  <c r="AE162" i="16"/>
  <c r="AD162" i="16"/>
  <c r="AC162" i="16"/>
  <c r="AB162" i="16"/>
  <c r="AA162" i="16"/>
  <c r="Z162" i="16"/>
  <c r="Y162" i="16"/>
  <c r="X162" i="16"/>
  <c r="W162" i="16"/>
  <c r="V162" i="16"/>
  <c r="U162" i="16"/>
  <c r="T162" i="16"/>
  <c r="S162" i="16"/>
  <c r="R162" i="16"/>
  <c r="Q162" i="16"/>
  <c r="P162" i="16"/>
  <c r="O162" i="16"/>
  <c r="N162" i="16"/>
  <c r="M162" i="16"/>
  <c r="L162" i="16"/>
  <c r="K162" i="16"/>
  <c r="J162" i="16"/>
  <c r="I162" i="16"/>
  <c r="H162" i="16"/>
  <c r="G162" i="16"/>
  <c r="F162" i="16"/>
  <c r="E162" i="16"/>
  <c r="D162" i="16"/>
  <c r="AJ161" i="16"/>
  <c r="AQ161" i="16" s="1"/>
  <c r="AI161" i="16"/>
  <c r="AH161" i="16"/>
  <c r="AG161" i="16"/>
  <c r="AF161" i="16"/>
  <c r="AE161" i="16"/>
  <c r="AD161" i="16"/>
  <c r="AC161" i="16"/>
  <c r="AB161" i="16"/>
  <c r="AA161" i="16"/>
  <c r="Z161" i="16"/>
  <c r="Y161" i="16"/>
  <c r="X161" i="16"/>
  <c r="W161" i="16"/>
  <c r="V161" i="16"/>
  <c r="U161" i="16"/>
  <c r="T161" i="16"/>
  <c r="S161" i="16"/>
  <c r="R161" i="16"/>
  <c r="Q161" i="16"/>
  <c r="P161" i="16"/>
  <c r="O161" i="16"/>
  <c r="N161" i="16"/>
  <c r="M161" i="16"/>
  <c r="L161" i="16"/>
  <c r="K161" i="16"/>
  <c r="J161" i="16"/>
  <c r="I161" i="16"/>
  <c r="H161" i="16"/>
  <c r="G161" i="16"/>
  <c r="F161" i="16"/>
  <c r="E161" i="16"/>
  <c r="D161" i="16"/>
  <c r="AJ160" i="16"/>
  <c r="AQ160" i="16" s="1"/>
  <c r="AS31" i="16" s="1"/>
  <c r="AI160" i="16"/>
  <c r="AH160" i="16"/>
  <c r="AG160" i="16"/>
  <c r="AF160" i="16"/>
  <c r="AE160" i="16"/>
  <c r="AD160" i="16"/>
  <c r="AC160" i="16"/>
  <c r="AB160" i="16"/>
  <c r="AA160" i="16"/>
  <c r="Z160" i="16"/>
  <c r="Y160" i="16"/>
  <c r="X160" i="16"/>
  <c r="W160" i="16"/>
  <c r="V160" i="16"/>
  <c r="U160" i="16"/>
  <c r="T160" i="16"/>
  <c r="S160" i="16"/>
  <c r="R160" i="16"/>
  <c r="Q160" i="16"/>
  <c r="P160" i="16"/>
  <c r="O160" i="16"/>
  <c r="AN160" i="16" s="1"/>
  <c r="N160" i="16"/>
  <c r="M160" i="16"/>
  <c r="L160" i="16"/>
  <c r="K160" i="16"/>
  <c r="J160" i="16"/>
  <c r="I160" i="16"/>
  <c r="H160" i="16"/>
  <c r="G160" i="16"/>
  <c r="F160" i="16"/>
  <c r="E160" i="16"/>
  <c r="D160" i="16"/>
  <c r="AJ159" i="16"/>
  <c r="AQ159" i="16" s="1"/>
  <c r="AI159" i="16"/>
  <c r="AH159" i="16"/>
  <c r="AG159" i="16"/>
  <c r="AF159" i="16"/>
  <c r="AE159" i="16"/>
  <c r="AD159" i="16"/>
  <c r="AC159" i="16"/>
  <c r="AB159" i="16"/>
  <c r="AA159" i="16"/>
  <c r="Z159" i="16"/>
  <c r="Y159" i="16"/>
  <c r="X159" i="16"/>
  <c r="W159" i="16"/>
  <c r="V159" i="16"/>
  <c r="U159" i="16"/>
  <c r="T159" i="16"/>
  <c r="S159" i="16"/>
  <c r="R159" i="16"/>
  <c r="Q159" i="16"/>
  <c r="P159" i="16"/>
  <c r="O159" i="16"/>
  <c r="N159" i="16"/>
  <c r="M159" i="16"/>
  <c r="L159" i="16"/>
  <c r="K159" i="16"/>
  <c r="J159" i="16"/>
  <c r="I159" i="16"/>
  <c r="H159" i="16"/>
  <c r="G159" i="16"/>
  <c r="F159" i="16"/>
  <c r="E159" i="16"/>
  <c r="D159" i="16"/>
  <c r="AJ158" i="16"/>
  <c r="AQ158" i="16" s="1"/>
  <c r="AS28" i="16" s="1"/>
  <c r="AI158" i="16"/>
  <c r="AH158" i="16"/>
  <c r="AG158" i="16"/>
  <c r="AF158" i="16"/>
  <c r="AE158" i="16"/>
  <c r="AD158" i="16"/>
  <c r="AC158" i="16"/>
  <c r="AB158" i="16"/>
  <c r="AA158" i="16"/>
  <c r="Z158" i="16"/>
  <c r="Y158" i="16"/>
  <c r="X158" i="16"/>
  <c r="W158" i="16"/>
  <c r="V158" i="16"/>
  <c r="U158" i="16"/>
  <c r="T158" i="16"/>
  <c r="S158" i="16"/>
  <c r="R158" i="16"/>
  <c r="Q158" i="16"/>
  <c r="P158" i="16"/>
  <c r="O158" i="16"/>
  <c r="N158" i="16"/>
  <c r="M158" i="16"/>
  <c r="L158" i="16"/>
  <c r="K158" i="16"/>
  <c r="J158" i="16"/>
  <c r="I158" i="16"/>
  <c r="H158" i="16"/>
  <c r="G158" i="16"/>
  <c r="F158" i="16"/>
  <c r="E158" i="16"/>
  <c r="D158" i="16"/>
  <c r="AJ157" i="16"/>
  <c r="AQ157" i="16" s="1"/>
  <c r="AI157" i="16"/>
  <c r="AH157" i="16"/>
  <c r="AG157" i="16"/>
  <c r="AF157" i="16"/>
  <c r="AE157" i="16"/>
  <c r="AD157" i="16"/>
  <c r="AC157" i="16"/>
  <c r="AB157" i="16"/>
  <c r="AA157" i="16"/>
  <c r="Z157" i="16"/>
  <c r="Y157" i="16"/>
  <c r="X157" i="16"/>
  <c r="W157" i="16"/>
  <c r="V157" i="16"/>
  <c r="U157" i="16"/>
  <c r="T157" i="16"/>
  <c r="S157" i="16"/>
  <c r="R157" i="16"/>
  <c r="Q157" i="16"/>
  <c r="P157" i="16"/>
  <c r="O157" i="16"/>
  <c r="N157" i="16"/>
  <c r="M157" i="16"/>
  <c r="L157" i="16"/>
  <c r="K157" i="16"/>
  <c r="J157" i="16"/>
  <c r="I157" i="16"/>
  <c r="H157" i="16"/>
  <c r="G157" i="16"/>
  <c r="F157" i="16"/>
  <c r="E157" i="16"/>
  <c r="D157" i="16"/>
  <c r="AJ156" i="16"/>
  <c r="AQ156" i="16" s="1"/>
  <c r="AI156" i="16"/>
  <c r="AH156" i="16"/>
  <c r="AG156" i="16"/>
  <c r="AF156" i="16"/>
  <c r="AE156" i="16"/>
  <c r="AD156" i="16"/>
  <c r="AC156" i="16"/>
  <c r="AB156" i="16"/>
  <c r="AA156" i="16"/>
  <c r="Z156" i="16"/>
  <c r="Y156" i="16"/>
  <c r="X156" i="16"/>
  <c r="W156" i="16"/>
  <c r="V156" i="16"/>
  <c r="U156" i="16"/>
  <c r="T156" i="16"/>
  <c r="S156" i="16"/>
  <c r="R156" i="16"/>
  <c r="Q156" i="16"/>
  <c r="P156" i="16"/>
  <c r="O156" i="16"/>
  <c r="N156" i="16"/>
  <c r="M156" i="16"/>
  <c r="L156" i="16"/>
  <c r="K156" i="16"/>
  <c r="J156" i="16"/>
  <c r="I156" i="16"/>
  <c r="H156" i="16"/>
  <c r="G156" i="16"/>
  <c r="F156" i="16"/>
  <c r="E156" i="16"/>
  <c r="D156" i="16"/>
  <c r="AJ155" i="16"/>
  <c r="AQ155" i="16" s="1"/>
  <c r="AI155" i="16"/>
  <c r="AH155" i="16"/>
  <c r="AG155" i="16"/>
  <c r="AF155" i="16"/>
  <c r="AE155" i="16"/>
  <c r="AD155" i="16"/>
  <c r="AC155" i="16"/>
  <c r="AB155" i="16"/>
  <c r="AA155" i="16"/>
  <c r="Z155" i="16"/>
  <c r="Y155" i="16"/>
  <c r="X155" i="16"/>
  <c r="W155" i="16"/>
  <c r="V155" i="16"/>
  <c r="U155" i="16"/>
  <c r="T155" i="16"/>
  <c r="S155" i="16"/>
  <c r="R155" i="16"/>
  <c r="Q155" i="16"/>
  <c r="P155" i="16"/>
  <c r="O155" i="16"/>
  <c r="N155" i="16"/>
  <c r="M155" i="16"/>
  <c r="L155" i="16"/>
  <c r="K155" i="16"/>
  <c r="J155" i="16"/>
  <c r="I155" i="16"/>
  <c r="H155" i="16"/>
  <c r="G155" i="16"/>
  <c r="F155" i="16"/>
  <c r="E155" i="16"/>
  <c r="D155" i="16"/>
  <c r="AJ154" i="16"/>
  <c r="AQ154" i="16" s="1"/>
  <c r="AS24" i="16" s="1"/>
  <c r="AI154" i="16"/>
  <c r="AH154" i="16"/>
  <c r="AG154" i="16"/>
  <c r="AF154" i="16"/>
  <c r="AE154" i="16"/>
  <c r="AD154" i="16"/>
  <c r="AC154" i="16"/>
  <c r="AB154" i="16"/>
  <c r="AA154" i="16"/>
  <c r="Z154" i="16"/>
  <c r="Y154" i="16"/>
  <c r="X154" i="16"/>
  <c r="W154" i="16"/>
  <c r="V154" i="16"/>
  <c r="U154" i="16"/>
  <c r="T154" i="16"/>
  <c r="S154" i="16"/>
  <c r="R154" i="16"/>
  <c r="Q154" i="16"/>
  <c r="P154" i="16"/>
  <c r="O154" i="16"/>
  <c r="N154" i="16"/>
  <c r="M154" i="16"/>
  <c r="L154" i="16"/>
  <c r="K154" i="16"/>
  <c r="J154" i="16"/>
  <c r="I154" i="16"/>
  <c r="H154" i="16"/>
  <c r="G154" i="16"/>
  <c r="F154" i="16"/>
  <c r="E154" i="16"/>
  <c r="D154" i="16"/>
  <c r="AO154" i="16" s="1"/>
  <c r="AJ153" i="16"/>
  <c r="AQ153" i="16" s="1"/>
  <c r="AI153" i="16"/>
  <c r="AH153" i="16"/>
  <c r="AG153" i="16"/>
  <c r="AF153" i="16"/>
  <c r="AE153" i="16"/>
  <c r="AD153" i="16"/>
  <c r="AC153" i="16"/>
  <c r="AB153" i="16"/>
  <c r="AL153" i="16" s="1"/>
  <c r="AA153" i="16"/>
  <c r="Z153" i="16"/>
  <c r="Y153" i="16"/>
  <c r="X153" i="16"/>
  <c r="W153" i="16"/>
  <c r="V153" i="16"/>
  <c r="U153" i="16"/>
  <c r="T153" i="16"/>
  <c r="S153" i="16"/>
  <c r="R153" i="16"/>
  <c r="Q153" i="16"/>
  <c r="P153" i="16"/>
  <c r="O153" i="16"/>
  <c r="N153" i="16"/>
  <c r="M153" i="16"/>
  <c r="L153" i="16"/>
  <c r="K153" i="16"/>
  <c r="J153" i="16"/>
  <c r="I153" i="16"/>
  <c r="H153" i="16"/>
  <c r="G153" i="16"/>
  <c r="F153" i="16"/>
  <c r="E153" i="16"/>
  <c r="D153" i="16"/>
  <c r="AO153" i="16" s="1"/>
  <c r="AJ152" i="16"/>
  <c r="AQ152" i="16" s="1"/>
  <c r="AI152" i="16"/>
  <c r="AH152" i="16"/>
  <c r="AG152" i="16"/>
  <c r="AF152" i="16"/>
  <c r="AE152" i="16"/>
  <c r="AD152" i="16"/>
  <c r="AC152" i="16"/>
  <c r="AB152" i="16"/>
  <c r="AA152" i="16"/>
  <c r="Z152" i="16"/>
  <c r="Y152" i="16"/>
  <c r="X152" i="16"/>
  <c r="W152" i="16"/>
  <c r="V152" i="16"/>
  <c r="U152" i="16"/>
  <c r="T152" i="16"/>
  <c r="S152" i="16"/>
  <c r="R152" i="16"/>
  <c r="Q152" i="16"/>
  <c r="P152" i="16"/>
  <c r="O152" i="16"/>
  <c r="N152" i="16"/>
  <c r="M152" i="16"/>
  <c r="L152" i="16"/>
  <c r="K152" i="16"/>
  <c r="J152" i="16"/>
  <c r="I152" i="16"/>
  <c r="H152" i="16"/>
  <c r="G152" i="16"/>
  <c r="F152" i="16"/>
  <c r="E152" i="16"/>
  <c r="D152" i="16"/>
  <c r="AJ151" i="16"/>
  <c r="AQ151" i="16" s="1"/>
  <c r="AI151" i="16"/>
  <c r="AH151" i="16"/>
  <c r="AG151" i="16"/>
  <c r="AF151" i="16"/>
  <c r="AE151" i="16"/>
  <c r="AD151" i="16"/>
  <c r="AC151" i="16"/>
  <c r="AB151" i="16"/>
  <c r="AA151" i="16"/>
  <c r="Z151" i="16"/>
  <c r="Y151" i="16"/>
  <c r="X151" i="16"/>
  <c r="W151" i="16"/>
  <c r="V151" i="16"/>
  <c r="U151" i="16"/>
  <c r="T151" i="16"/>
  <c r="S151" i="16"/>
  <c r="R151" i="16"/>
  <c r="Q151" i="16"/>
  <c r="P151" i="16"/>
  <c r="O151" i="16"/>
  <c r="N151" i="16"/>
  <c r="M151" i="16"/>
  <c r="L151" i="16"/>
  <c r="K151" i="16"/>
  <c r="J151" i="16"/>
  <c r="I151" i="16"/>
  <c r="H151" i="16"/>
  <c r="G151" i="16"/>
  <c r="F151" i="16"/>
  <c r="E151" i="16"/>
  <c r="D151" i="16"/>
  <c r="AJ150" i="16"/>
  <c r="AQ150" i="16" s="1"/>
  <c r="AI150" i="16"/>
  <c r="AH150" i="16"/>
  <c r="AG150" i="16"/>
  <c r="AF150" i="16"/>
  <c r="AE150" i="16"/>
  <c r="AD150" i="16"/>
  <c r="AC150" i="16"/>
  <c r="AB150" i="16"/>
  <c r="AA150" i="16"/>
  <c r="Z150" i="16"/>
  <c r="Y150" i="16"/>
  <c r="X150" i="16"/>
  <c r="W150" i="16"/>
  <c r="V150" i="16"/>
  <c r="U150" i="16"/>
  <c r="T150" i="16"/>
  <c r="S150" i="16"/>
  <c r="R150" i="16"/>
  <c r="Q150" i="16"/>
  <c r="P150" i="16"/>
  <c r="O150" i="16"/>
  <c r="N150" i="16"/>
  <c r="M150" i="16"/>
  <c r="L150" i="16"/>
  <c r="K150" i="16"/>
  <c r="J150" i="16"/>
  <c r="I150" i="16"/>
  <c r="H150" i="16"/>
  <c r="G150" i="16"/>
  <c r="F150" i="16"/>
  <c r="E150" i="16"/>
  <c r="D150" i="16"/>
  <c r="AJ149" i="16"/>
  <c r="AQ149" i="16" s="1"/>
  <c r="AS19" i="16" s="1"/>
  <c r="AI149" i="16"/>
  <c r="AH149" i="16"/>
  <c r="AG149" i="16"/>
  <c r="AF149" i="16"/>
  <c r="AE149" i="16"/>
  <c r="AD149" i="16"/>
  <c r="AC149" i="16"/>
  <c r="AB149" i="16"/>
  <c r="AA149" i="16"/>
  <c r="Z149" i="16"/>
  <c r="Y149" i="16"/>
  <c r="X149" i="16"/>
  <c r="AM149" i="16" s="1"/>
  <c r="W149" i="16"/>
  <c r="V149" i="16"/>
  <c r="U149" i="16"/>
  <c r="T149" i="16"/>
  <c r="S149" i="16"/>
  <c r="R149" i="16"/>
  <c r="Q149" i="16"/>
  <c r="P149" i="16"/>
  <c r="O149" i="16"/>
  <c r="N149" i="16"/>
  <c r="M149" i="16"/>
  <c r="L149" i="16"/>
  <c r="K149" i="16"/>
  <c r="J149" i="16"/>
  <c r="I149" i="16"/>
  <c r="H149" i="16"/>
  <c r="G149" i="16"/>
  <c r="F149" i="16"/>
  <c r="E149" i="16"/>
  <c r="D149" i="16"/>
  <c r="AQ148" i="16"/>
  <c r="AJ148" i="16"/>
  <c r="AI148" i="16"/>
  <c r="AH148" i="16"/>
  <c r="AG148" i="16"/>
  <c r="AF148" i="16"/>
  <c r="AE148" i="16"/>
  <c r="AD148" i="16"/>
  <c r="AC148" i="16"/>
  <c r="AB148" i="16"/>
  <c r="AA148" i="16"/>
  <c r="Z148" i="16"/>
  <c r="Y148" i="16"/>
  <c r="X148" i="16"/>
  <c r="W148" i="16"/>
  <c r="V148" i="16"/>
  <c r="U148" i="16"/>
  <c r="T148" i="16"/>
  <c r="S148" i="16"/>
  <c r="R148" i="16"/>
  <c r="Q148" i="16"/>
  <c r="P148" i="16"/>
  <c r="O148" i="16"/>
  <c r="N148" i="16"/>
  <c r="M148" i="16"/>
  <c r="L148" i="16"/>
  <c r="K148" i="16"/>
  <c r="J148" i="16"/>
  <c r="I148" i="16"/>
  <c r="H148" i="16"/>
  <c r="G148" i="16"/>
  <c r="F148" i="16"/>
  <c r="E148" i="16"/>
  <c r="D148" i="16"/>
  <c r="AO148" i="16" s="1"/>
  <c r="AJ147" i="16"/>
  <c r="AQ147" i="16" s="1"/>
  <c r="AI147" i="16"/>
  <c r="AH147" i="16"/>
  <c r="AG147" i="16"/>
  <c r="AF147" i="16"/>
  <c r="AE147" i="16"/>
  <c r="AD147" i="16"/>
  <c r="AC147" i="16"/>
  <c r="AB147" i="16"/>
  <c r="AA147" i="16"/>
  <c r="Z147" i="16"/>
  <c r="Y147" i="16"/>
  <c r="X147" i="16"/>
  <c r="W147" i="16"/>
  <c r="V147" i="16"/>
  <c r="U147" i="16"/>
  <c r="T147" i="16"/>
  <c r="AM147" i="16" s="1"/>
  <c r="S147" i="16"/>
  <c r="R147" i="16"/>
  <c r="Q147" i="16"/>
  <c r="P147" i="16"/>
  <c r="O147" i="16"/>
  <c r="N147" i="16"/>
  <c r="M147" i="16"/>
  <c r="L147" i="16"/>
  <c r="K147" i="16"/>
  <c r="J147" i="16"/>
  <c r="I147" i="16"/>
  <c r="H147" i="16"/>
  <c r="G147" i="16"/>
  <c r="F147" i="16"/>
  <c r="E147" i="16"/>
  <c r="D147" i="16"/>
  <c r="AJ146" i="16"/>
  <c r="AQ146" i="16" s="1"/>
  <c r="AI146" i="16"/>
  <c r="AH146" i="16"/>
  <c r="AG146" i="16"/>
  <c r="AF146" i="16"/>
  <c r="AE146" i="16"/>
  <c r="AD146" i="16"/>
  <c r="AC146" i="16"/>
  <c r="AB146" i="16"/>
  <c r="AA146" i="16"/>
  <c r="Z146" i="16"/>
  <c r="Y146" i="16"/>
  <c r="X146" i="16"/>
  <c r="W146" i="16"/>
  <c r="V146" i="16"/>
  <c r="U146" i="16"/>
  <c r="T146" i="16"/>
  <c r="S146" i="16"/>
  <c r="R146" i="16"/>
  <c r="Q146" i="16"/>
  <c r="P146" i="16"/>
  <c r="O146" i="16"/>
  <c r="N146" i="16"/>
  <c r="M146" i="16"/>
  <c r="L146" i="16"/>
  <c r="K146" i="16"/>
  <c r="J146" i="16"/>
  <c r="I146" i="16"/>
  <c r="H146" i="16"/>
  <c r="G146" i="16"/>
  <c r="F146" i="16"/>
  <c r="E146" i="16"/>
  <c r="D146" i="16"/>
  <c r="AJ145" i="16"/>
  <c r="AQ145" i="16" s="1"/>
  <c r="AI145" i="16"/>
  <c r="AH145" i="16"/>
  <c r="AG145" i="16"/>
  <c r="AF145" i="16"/>
  <c r="AE145" i="16"/>
  <c r="AD145" i="16"/>
  <c r="AC145" i="16"/>
  <c r="AB145" i="16"/>
  <c r="AA145" i="16"/>
  <c r="Z145" i="16"/>
  <c r="Y145" i="16"/>
  <c r="X145" i="16"/>
  <c r="W145" i="16"/>
  <c r="V145" i="16"/>
  <c r="U145" i="16"/>
  <c r="T145" i="16"/>
  <c r="S145" i="16"/>
  <c r="R145" i="16"/>
  <c r="Q145" i="16"/>
  <c r="P145" i="16"/>
  <c r="O145" i="16"/>
  <c r="N145" i="16"/>
  <c r="M145" i="16"/>
  <c r="L145" i="16"/>
  <c r="K145" i="16"/>
  <c r="J145" i="16"/>
  <c r="I145" i="16"/>
  <c r="H145" i="16"/>
  <c r="G145" i="16"/>
  <c r="F145" i="16"/>
  <c r="E145" i="16"/>
  <c r="D145" i="16"/>
  <c r="AJ144" i="16"/>
  <c r="AQ144" i="16" s="1"/>
  <c r="AS15" i="16" s="1"/>
  <c r="AI144" i="16"/>
  <c r="AH144" i="16"/>
  <c r="AG144" i="16"/>
  <c r="AF144" i="16"/>
  <c r="AE144" i="16"/>
  <c r="AD144" i="16"/>
  <c r="AC144" i="16"/>
  <c r="AB144" i="16"/>
  <c r="AA144" i="16"/>
  <c r="Z144" i="16"/>
  <c r="Y144" i="16"/>
  <c r="X144" i="16"/>
  <c r="W144" i="16"/>
  <c r="V144" i="16"/>
  <c r="U144" i="16"/>
  <c r="T144" i="16"/>
  <c r="S144" i="16"/>
  <c r="R144" i="16"/>
  <c r="Q144" i="16"/>
  <c r="P144" i="16"/>
  <c r="O144" i="16"/>
  <c r="N144" i="16"/>
  <c r="M144" i="16"/>
  <c r="L144" i="16"/>
  <c r="K144" i="16"/>
  <c r="J144" i="16"/>
  <c r="I144" i="16"/>
  <c r="H144" i="16"/>
  <c r="G144" i="16"/>
  <c r="F144" i="16"/>
  <c r="E144" i="16"/>
  <c r="D144" i="16"/>
  <c r="AJ143" i="16"/>
  <c r="AQ143" i="16" s="1"/>
  <c r="AS13" i="16" s="1"/>
  <c r="AI143" i="16"/>
  <c r="AH143" i="16"/>
  <c r="AG143" i="16"/>
  <c r="AF143" i="16"/>
  <c r="AE143" i="16"/>
  <c r="AD143" i="16"/>
  <c r="AC143" i="16"/>
  <c r="AB143" i="16"/>
  <c r="AA143" i="16"/>
  <c r="Z143" i="16"/>
  <c r="Y143" i="16"/>
  <c r="X143" i="16"/>
  <c r="W143" i="16"/>
  <c r="V143" i="16"/>
  <c r="U143" i="16"/>
  <c r="T143" i="16"/>
  <c r="S143" i="16"/>
  <c r="R143" i="16"/>
  <c r="Q143" i="16"/>
  <c r="P143" i="16"/>
  <c r="O143" i="16"/>
  <c r="N143" i="16"/>
  <c r="M143" i="16"/>
  <c r="L143" i="16"/>
  <c r="K143" i="16"/>
  <c r="J143" i="16"/>
  <c r="I143" i="16"/>
  <c r="H143" i="16"/>
  <c r="G143" i="16"/>
  <c r="F143" i="16"/>
  <c r="E143" i="16"/>
  <c r="D143" i="16"/>
  <c r="AJ142" i="16"/>
  <c r="AQ142" i="16" s="1"/>
  <c r="AI142" i="16"/>
  <c r="AH142" i="16"/>
  <c r="AG142" i="16"/>
  <c r="AF142" i="16"/>
  <c r="AE142" i="16"/>
  <c r="AD142" i="16"/>
  <c r="AC142" i="16"/>
  <c r="AB142" i="16"/>
  <c r="AA142" i="16"/>
  <c r="Z142" i="16"/>
  <c r="Y142" i="16"/>
  <c r="X142" i="16"/>
  <c r="W142" i="16"/>
  <c r="V142" i="16"/>
  <c r="U142" i="16"/>
  <c r="T142" i="16"/>
  <c r="S142" i="16"/>
  <c r="R142" i="16"/>
  <c r="Q142" i="16"/>
  <c r="P142" i="16"/>
  <c r="O142" i="16"/>
  <c r="N142" i="16"/>
  <c r="M142" i="16"/>
  <c r="L142" i="16"/>
  <c r="K142" i="16"/>
  <c r="J142" i="16"/>
  <c r="I142" i="16"/>
  <c r="H142" i="16"/>
  <c r="G142" i="16"/>
  <c r="F142" i="16"/>
  <c r="E142" i="16"/>
  <c r="D142" i="16"/>
  <c r="AJ141" i="16"/>
  <c r="AQ141" i="16" s="1"/>
  <c r="AI141" i="16"/>
  <c r="AH141" i="16"/>
  <c r="AG141" i="16"/>
  <c r="AF141" i="16"/>
  <c r="AE141" i="16"/>
  <c r="AD141" i="16"/>
  <c r="AC141" i="16"/>
  <c r="AB141" i="16"/>
  <c r="AL141" i="16" s="1"/>
  <c r="AA141" i="16"/>
  <c r="Z141" i="16"/>
  <c r="Y141" i="16"/>
  <c r="X141" i="16"/>
  <c r="W141" i="16"/>
  <c r="V141" i="16"/>
  <c r="U141" i="16"/>
  <c r="T141" i="16"/>
  <c r="S141" i="16"/>
  <c r="R141" i="16"/>
  <c r="Q141" i="16"/>
  <c r="P141" i="16"/>
  <c r="O141" i="16"/>
  <c r="N141" i="16"/>
  <c r="M141" i="16"/>
  <c r="L141" i="16"/>
  <c r="K141" i="16"/>
  <c r="J141" i="16"/>
  <c r="I141" i="16"/>
  <c r="H141" i="16"/>
  <c r="G141" i="16"/>
  <c r="F141" i="16"/>
  <c r="E141" i="16"/>
  <c r="D141" i="16"/>
  <c r="AO141" i="16" s="1"/>
  <c r="AQ140" i="16"/>
  <c r="AJ140" i="16"/>
  <c r="AI140" i="16"/>
  <c r="AH140" i="16"/>
  <c r="AG140" i="16"/>
  <c r="AF140" i="16"/>
  <c r="AE140" i="16"/>
  <c r="AD140" i="16"/>
  <c r="AC140" i="16"/>
  <c r="AB140" i="16"/>
  <c r="AA140" i="16"/>
  <c r="Z140" i="16"/>
  <c r="Y140" i="16"/>
  <c r="X140" i="16"/>
  <c r="W140" i="16"/>
  <c r="V140" i="16"/>
  <c r="U140" i="16"/>
  <c r="T140" i="16"/>
  <c r="S140" i="16"/>
  <c r="R140" i="16"/>
  <c r="Q140" i="16"/>
  <c r="P140" i="16"/>
  <c r="O140" i="16"/>
  <c r="N140" i="16"/>
  <c r="M140" i="16"/>
  <c r="L140" i="16"/>
  <c r="K140" i="16"/>
  <c r="J140" i="16"/>
  <c r="I140" i="16"/>
  <c r="H140" i="16"/>
  <c r="G140" i="16"/>
  <c r="F140" i="16"/>
  <c r="E140" i="16"/>
  <c r="D140" i="16"/>
  <c r="AJ139" i="16"/>
  <c r="AI139" i="16"/>
  <c r="AH139" i="16"/>
  <c r="AG139" i="16"/>
  <c r="AF139" i="16"/>
  <c r="AE139" i="16"/>
  <c r="AD139" i="16"/>
  <c r="AC139" i="16"/>
  <c r="AB139" i="16"/>
  <c r="AA139" i="16"/>
  <c r="Z139" i="16"/>
  <c r="Y139" i="16"/>
  <c r="X139" i="16"/>
  <c r="W139" i="16"/>
  <c r="V139" i="16"/>
  <c r="U139" i="16"/>
  <c r="T139" i="16"/>
  <c r="S139" i="16"/>
  <c r="R139" i="16"/>
  <c r="Q139" i="16"/>
  <c r="P139" i="16"/>
  <c r="O139" i="16"/>
  <c r="N139" i="16"/>
  <c r="M139" i="16"/>
  <c r="L139" i="16"/>
  <c r="K139" i="16"/>
  <c r="J139" i="16"/>
  <c r="I139" i="16"/>
  <c r="H139" i="16"/>
  <c r="G139" i="16"/>
  <c r="F139" i="16"/>
  <c r="E139" i="16"/>
  <c r="D139" i="16"/>
  <c r="AJ138" i="16"/>
  <c r="AI138" i="16"/>
  <c r="AH138" i="16"/>
  <c r="AG138" i="16"/>
  <c r="AF138" i="16"/>
  <c r="AE138" i="16"/>
  <c r="AD138" i="16"/>
  <c r="AC138" i="16"/>
  <c r="AB138" i="16"/>
  <c r="AA138" i="16"/>
  <c r="Z138" i="16"/>
  <c r="Y138" i="16"/>
  <c r="X138" i="16"/>
  <c r="W138" i="16"/>
  <c r="V138" i="16"/>
  <c r="U138" i="16"/>
  <c r="T138" i="16"/>
  <c r="S138" i="16"/>
  <c r="R138" i="16"/>
  <c r="Q138" i="16"/>
  <c r="P138" i="16"/>
  <c r="O138" i="16"/>
  <c r="N138" i="16"/>
  <c r="M138" i="16"/>
  <c r="L138" i="16"/>
  <c r="K138" i="16"/>
  <c r="J138" i="16"/>
  <c r="I138" i="16"/>
  <c r="H138" i="16"/>
  <c r="G138" i="16"/>
  <c r="F138" i="16"/>
  <c r="E138" i="16"/>
  <c r="D138" i="16"/>
  <c r="AJ137" i="16"/>
  <c r="AI137" i="16"/>
  <c r="AH137" i="16"/>
  <c r="AG137" i="16"/>
  <c r="AF137" i="16"/>
  <c r="AE137" i="16"/>
  <c r="AD137" i="16"/>
  <c r="AC137" i="16"/>
  <c r="AB137" i="16"/>
  <c r="AA137" i="16"/>
  <c r="Z137" i="16"/>
  <c r="Y137" i="16"/>
  <c r="X137" i="16"/>
  <c r="W137" i="16"/>
  <c r="V137" i="16"/>
  <c r="U137" i="16"/>
  <c r="T137" i="16"/>
  <c r="S137" i="16"/>
  <c r="R137" i="16"/>
  <c r="Q137" i="16"/>
  <c r="P137" i="16"/>
  <c r="O137" i="16"/>
  <c r="N137" i="16"/>
  <c r="M137" i="16"/>
  <c r="L137" i="16"/>
  <c r="K137" i="16"/>
  <c r="J137" i="16"/>
  <c r="I137" i="16"/>
  <c r="H137" i="16"/>
  <c r="G137" i="16"/>
  <c r="F137" i="16"/>
  <c r="E137" i="16"/>
  <c r="D137" i="16"/>
  <c r="AJ136" i="16"/>
  <c r="AI136" i="16"/>
  <c r="AH136" i="16"/>
  <c r="AG136" i="16"/>
  <c r="AF136" i="16"/>
  <c r="AE136" i="16"/>
  <c r="AD136" i="16"/>
  <c r="AC136" i="16"/>
  <c r="AB136" i="16"/>
  <c r="AA136" i="16"/>
  <c r="Z136" i="16"/>
  <c r="Y136" i="16"/>
  <c r="X136" i="16"/>
  <c r="W136" i="16"/>
  <c r="V136" i="16"/>
  <c r="U136" i="16"/>
  <c r="T136" i="16"/>
  <c r="S136" i="16"/>
  <c r="R136" i="16"/>
  <c r="Q136" i="16"/>
  <c r="P136" i="16"/>
  <c r="O136" i="16"/>
  <c r="AN136" i="16" s="1"/>
  <c r="N136" i="16"/>
  <c r="M136" i="16"/>
  <c r="L136" i="16"/>
  <c r="K136" i="16"/>
  <c r="J136" i="16"/>
  <c r="I136" i="16"/>
  <c r="H136" i="16"/>
  <c r="G136" i="16"/>
  <c r="F136" i="16"/>
  <c r="E136" i="16"/>
  <c r="D136" i="16"/>
  <c r="C136" i="16"/>
  <c r="AJ134" i="16"/>
  <c r="AQ134" i="16" s="1"/>
  <c r="AI134" i="16"/>
  <c r="AH134" i="16"/>
  <c r="AG134" i="16"/>
  <c r="AF134" i="16"/>
  <c r="AE134" i="16"/>
  <c r="AD134" i="16"/>
  <c r="AC134" i="16"/>
  <c r="AB134" i="16"/>
  <c r="AA134" i="16"/>
  <c r="Z134" i="16"/>
  <c r="Y134" i="16"/>
  <c r="X134" i="16"/>
  <c r="W134" i="16"/>
  <c r="V134" i="16"/>
  <c r="U134" i="16"/>
  <c r="T134" i="16"/>
  <c r="S134" i="16"/>
  <c r="R134" i="16"/>
  <c r="Q134" i="16"/>
  <c r="P134" i="16"/>
  <c r="O134" i="16"/>
  <c r="N134" i="16"/>
  <c r="M134" i="16"/>
  <c r="L134" i="16"/>
  <c r="K134" i="16"/>
  <c r="J134" i="16"/>
  <c r="I134" i="16"/>
  <c r="H134" i="16"/>
  <c r="G134" i="16"/>
  <c r="F134" i="16"/>
  <c r="E134" i="16"/>
  <c r="D134" i="16"/>
  <c r="AQ133" i="16"/>
  <c r="AR68" i="16" s="1"/>
  <c r="AJ133" i="16"/>
  <c r="AI133" i="16"/>
  <c r="AH133" i="16"/>
  <c r="AG133" i="16"/>
  <c r="AF133" i="16"/>
  <c r="AE133" i="16"/>
  <c r="AD133" i="16"/>
  <c r="AC133" i="16"/>
  <c r="AB133" i="16"/>
  <c r="AA133" i="16"/>
  <c r="Z133" i="16"/>
  <c r="Y133" i="16"/>
  <c r="X133" i="16"/>
  <c r="W133" i="16"/>
  <c r="V133" i="16"/>
  <c r="U133" i="16"/>
  <c r="T133" i="16"/>
  <c r="S133" i="16"/>
  <c r="R133" i="16"/>
  <c r="Q133" i="16"/>
  <c r="P133" i="16"/>
  <c r="O133" i="16"/>
  <c r="N133" i="16"/>
  <c r="M133" i="16"/>
  <c r="L133" i="16"/>
  <c r="K133" i="16"/>
  <c r="J133" i="16"/>
  <c r="I133" i="16"/>
  <c r="H133" i="16"/>
  <c r="G133" i="16"/>
  <c r="F133" i="16"/>
  <c r="E133" i="16"/>
  <c r="D133" i="16"/>
  <c r="AO133" i="16" s="1"/>
  <c r="AJ132" i="16"/>
  <c r="AQ132" i="16" s="1"/>
  <c r="AI132" i="16"/>
  <c r="AH132" i="16"/>
  <c r="AG132" i="16"/>
  <c r="AF132" i="16"/>
  <c r="AE132" i="16"/>
  <c r="AD132" i="16"/>
  <c r="AC132" i="16"/>
  <c r="AB132" i="16"/>
  <c r="AA132" i="16"/>
  <c r="Z132" i="16"/>
  <c r="Y132" i="16"/>
  <c r="X132" i="16"/>
  <c r="W132" i="16"/>
  <c r="V132" i="16"/>
  <c r="U132" i="16"/>
  <c r="T132" i="16"/>
  <c r="S132" i="16"/>
  <c r="R132" i="16"/>
  <c r="Q132" i="16"/>
  <c r="P132" i="16"/>
  <c r="O132" i="16"/>
  <c r="N132" i="16"/>
  <c r="M132" i="16"/>
  <c r="L132" i="16"/>
  <c r="K132" i="16"/>
  <c r="J132" i="16"/>
  <c r="I132" i="16"/>
  <c r="H132" i="16"/>
  <c r="G132" i="16"/>
  <c r="F132" i="16"/>
  <c r="E132" i="16"/>
  <c r="D132" i="16"/>
  <c r="AJ131" i="16"/>
  <c r="AQ131" i="16" s="1"/>
  <c r="AI131" i="16"/>
  <c r="AH131" i="16"/>
  <c r="AG131" i="16"/>
  <c r="AF131" i="16"/>
  <c r="AE131" i="16"/>
  <c r="AD131" i="16"/>
  <c r="AC131" i="16"/>
  <c r="AB131" i="16"/>
  <c r="AA131" i="16"/>
  <c r="Z131" i="16"/>
  <c r="Y131" i="16"/>
  <c r="X131" i="16"/>
  <c r="W131" i="16"/>
  <c r="V131" i="16"/>
  <c r="U131" i="16"/>
  <c r="T131" i="16"/>
  <c r="S131" i="16"/>
  <c r="R131" i="16"/>
  <c r="Q131" i="16"/>
  <c r="P131" i="16"/>
  <c r="O131" i="16"/>
  <c r="N131" i="16"/>
  <c r="M131" i="16"/>
  <c r="L131" i="16"/>
  <c r="K131" i="16"/>
  <c r="J131" i="16"/>
  <c r="I131" i="16"/>
  <c r="H131" i="16"/>
  <c r="G131" i="16"/>
  <c r="F131" i="16"/>
  <c r="E131" i="16"/>
  <c r="D131" i="16"/>
  <c r="AJ130" i="16"/>
  <c r="AQ130" i="16" s="1"/>
  <c r="AI130" i="16"/>
  <c r="AH130" i="16"/>
  <c r="AG130" i="16"/>
  <c r="AF130" i="16"/>
  <c r="AE130" i="16"/>
  <c r="AD130" i="16"/>
  <c r="AC130" i="16"/>
  <c r="AB130" i="16"/>
  <c r="AA130" i="16"/>
  <c r="Z130" i="16"/>
  <c r="AM130" i="16" s="1"/>
  <c r="Y130" i="16"/>
  <c r="X130" i="16"/>
  <c r="W130" i="16"/>
  <c r="V130" i="16"/>
  <c r="U130" i="16"/>
  <c r="T130" i="16"/>
  <c r="S130" i="16"/>
  <c r="R130" i="16"/>
  <c r="Q130" i="16"/>
  <c r="P130" i="16"/>
  <c r="O130" i="16"/>
  <c r="N130" i="16"/>
  <c r="AN130" i="16" s="1"/>
  <c r="M130" i="16"/>
  <c r="L130" i="16"/>
  <c r="K130" i="16"/>
  <c r="J130" i="16"/>
  <c r="I130" i="16"/>
  <c r="H130" i="16"/>
  <c r="G130" i="16"/>
  <c r="F130" i="16"/>
  <c r="E130" i="16"/>
  <c r="D130" i="16"/>
  <c r="AJ129" i="16"/>
  <c r="AQ129" i="16" s="1"/>
  <c r="AR64" i="16" s="1"/>
  <c r="AI129" i="16"/>
  <c r="AH129" i="16"/>
  <c r="AG129" i="16"/>
  <c r="AF129" i="16"/>
  <c r="AE129" i="16"/>
  <c r="AD129" i="16"/>
  <c r="AC129" i="16"/>
  <c r="AB129" i="16"/>
  <c r="AA129" i="16"/>
  <c r="Z129" i="16"/>
  <c r="Y129" i="16"/>
  <c r="X129" i="16"/>
  <c r="W129" i="16"/>
  <c r="V129" i="16"/>
  <c r="U129" i="16"/>
  <c r="T129" i="16"/>
  <c r="S129" i="16"/>
  <c r="R129" i="16"/>
  <c r="Q129" i="16"/>
  <c r="P129" i="16"/>
  <c r="O129" i="16"/>
  <c r="N129" i="16"/>
  <c r="M129" i="16"/>
  <c r="L129" i="16"/>
  <c r="AN129" i="16" s="1"/>
  <c r="K129" i="16"/>
  <c r="J129" i="16"/>
  <c r="I129" i="16"/>
  <c r="H129" i="16"/>
  <c r="G129" i="16"/>
  <c r="F129" i="16"/>
  <c r="E129" i="16"/>
  <c r="D129" i="16"/>
  <c r="AQ128" i="16"/>
  <c r="AJ128" i="16"/>
  <c r="AI128" i="16"/>
  <c r="AH128" i="16"/>
  <c r="AG128" i="16"/>
  <c r="AF128" i="16"/>
  <c r="AE128" i="16"/>
  <c r="AD128" i="16"/>
  <c r="AC128" i="16"/>
  <c r="AB128" i="16"/>
  <c r="AA128" i="16"/>
  <c r="Z128" i="16"/>
  <c r="Y128" i="16"/>
  <c r="X128" i="16"/>
  <c r="W128" i="16"/>
  <c r="V128" i="16"/>
  <c r="U128" i="16"/>
  <c r="T128" i="16"/>
  <c r="S128" i="16"/>
  <c r="R128" i="16"/>
  <c r="Q128" i="16"/>
  <c r="P128" i="16"/>
  <c r="O128" i="16"/>
  <c r="N128" i="16"/>
  <c r="M128" i="16"/>
  <c r="L128" i="16"/>
  <c r="K128" i="16"/>
  <c r="J128" i="16"/>
  <c r="I128" i="16"/>
  <c r="H128" i="16"/>
  <c r="G128" i="16"/>
  <c r="F128" i="16"/>
  <c r="E128" i="16"/>
  <c r="D128" i="16"/>
  <c r="AJ127" i="16"/>
  <c r="AQ127" i="16" s="1"/>
  <c r="AI127" i="16"/>
  <c r="AH127" i="16"/>
  <c r="AG127" i="16"/>
  <c r="AF127" i="16"/>
  <c r="AE127" i="16"/>
  <c r="AD127" i="16"/>
  <c r="AC127" i="16"/>
  <c r="AB127" i="16"/>
  <c r="AA127" i="16"/>
  <c r="Z127" i="16"/>
  <c r="Y127" i="16"/>
  <c r="X127" i="16"/>
  <c r="W127" i="16"/>
  <c r="V127" i="16"/>
  <c r="U127" i="16"/>
  <c r="T127" i="16"/>
  <c r="S127" i="16"/>
  <c r="R127" i="16"/>
  <c r="Q127" i="16"/>
  <c r="P127" i="16"/>
  <c r="O127" i="16"/>
  <c r="N127" i="16"/>
  <c r="M127" i="16"/>
  <c r="L127" i="16"/>
  <c r="K127" i="16"/>
  <c r="J127" i="16"/>
  <c r="I127" i="16"/>
  <c r="H127" i="16"/>
  <c r="G127" i="16"/>
  <c r="F127" i="16"/>
  <c r="E127" i="16"/>
  <c r="D127" i="16"/>
  <c r="AJ126" i="16"/>
  <c r="AQ126" i="16" s="1"/>
  <c r="AI126" i="16"/>
  <c r="AH126" i="16"/>
  <c r="AG126" i="16"/>
  <c r="AF126" i="16"/>
  <c r="AE126" i="16"/>
  <c r="AD126" i="16"/>
  <c r="AC126" i="16"/>
  <c r="AB126" i="16"/>
  <c r="AA126" i="16"/>
  <c r="Z126" i="16"/>
  <c r="Y126" i="16"/>
  <c r="X126" i="16"/>
  <c r="W126" i="16"/>
  <c r="V126" i="16"/>
  <c r="U126" i="16"/>
  <c r="T126" i="16"/>
  <c r="S126" i="16"/>
  <c r="R126" i="16"/>
  <c r="Q126" i="16"/>
  <c r="P126" i="16"/>
  <c r="O126" i="16"/>
  <c r="N126" i="16"/>
  <c r="M126" i="16"/>
  <c r="L126" i="16"/>
  <c r="K126" i="16"/>
  <c r="J126" i="16"/>
  <c r="I126" i="16"/>
  <c r="H126" i="16"/>
  <c r="G126" i="16"/>
  <c r="F126" i="16"/>
  <c r="E126" i="16"/>
  <c r="D126" i="16"/>
  <c r="AQ125" i="16"/>
  <c r="AR61" i="16" s="1"/>
  <c r="AJ125" i="16"/>
  <c r="AI125" i="16"/>
  <c r="AH125" i="16"/>
  <c r="AG125" i="16"/>
  <c r="AF125" i="16"/>
  <c r="AE125" i="16"/>
  <c r="AD125" i="16"/>
  <c r="AC125" i="16"/>
  <c r="AB125" i="16"/>
  <c r="AA125" i="16"/>
  <c r="Z125" i="16"/>
  <c r="Y125" i="16"/>
  <c r="X125" i="16"/>
  <c r="W125" i="16"/>
  <c r="V125" i="16"/>
  <c r="U125" i="16"/>
  <c r="T125" i="16"/>
  <c r="S125" i="16"/>
  <c r="R125" i="16"/>
  <c r="Q125" i="16"/>
  <c r="P125" i="16"/>
  <c r="O125" i="16"/>
  <c r="N125" i="16"/>
  <c r="M125" i="16"/>
  <c r="L125" i="16"/>
  <c r="K125" i="16"/>
  <c r="J125" i="16"/>
  <c r="I125" i="16"/>
  <c r="H125" i="16"/>
  <c r="G125" i="16"/>
  <c r="F125" i="16"/>
  <c r="E125" i="16"/>
  <c r="D125" i="16"/>
  <c r="AO125" i="16" s="1"/>
  <c r="AJ124" i="16"/>
  <c r="AQ124" i="16" s="1"/>
  <c r="AI124" i="16"/>
  <c r="AH124" i="16"/>
  <c r="AG124" i="16"/>
  <c r="AF124" i="16"/>
  <c r="AE124" i="16"/>
  <c r="AD124" i="16"/>
  <c r="AL124" i="16" s="1"/>
  <c r="AC124" i="16"/>
  <c r="AB124" i="16"/>
  <c r="AA124" i="16"/>
  <c r="Z124" i="16"/>
  <c r="Y124" i="16"/>
  <c r="X124" i="16"/>
  <c r="W124" i="16"/>
  <c r="V124" i="16"/>
  <c r="U124" i="16"/>
  <c r="T124" i="16"/>
  <c r="S124" i="16"/>
  <c r="R124" i="16"/>
  <c r="Q124" i="16"/>
  <c r="P124" i="16"/>
  <c r="O124" i="16"/>
  <c r="N124" i="16"/>
  <c r="M124" i="16"/>
  <c r="L124" i="16"/>
  <c r="K124" i="16"/>
  <c r="J124" i="16"/>
  <c r="I124" i="16"/>
  <c r="H124" i="16"/>
  <c r="G124" i="16"/>
  <c r="F124" i="16"/>
  <c r="E124" i="16"/>
  <c r="D124" i="16"/>
  <c r="AJ123" i="16"/>
  <c r="AQ123" i="16" s="1"/>
  <c r="AI123" i="16"/>
  <c r="AH123" i="16"/>
  <c r="AG123" i="16"/>
  <c r="AF123" i="16"/>
  <c r="AE123" i="16"/>
  <c r="AD123" i="16"/>
  <c r="AC123" i="16"/>
  <c r="AB123" i="16"/>
  <c r="AA123" i="16"/>
  <c r="Z123" i="16"/>
  <c r="Y123" i="16"/>
  <c r="X123" i="16"/>
  <c r="W123" i="16"/>
  <c r="V123" i="16"/>
  <c r="U123" i="16"/>
  <c r="T123" i="16"/>
  <c r="S123" i="16"/>
  <c r="R123" i="16"/>
  <c r="Q123" i="16"/>
  <c r="P123" i="16"/>
  <c r="O123" i="16"/>
  <c r="N123" i="16"/>
  <c r="M123" i="16"/>
  <c r="L123" i="16"/>
  <c r="K123" i="16"/>
  <c r="J123" i="16"/>
  <c r="I123" i="16"/>
  <c r="H123" i="16"/>
  <c r="G123" i="16"/>
  <c r="F123" i="16"/>
  <c r="E123" i="16"/>
  <c r="D123" i="16"/>
  <c r="AQ122" i="16"/>
  <c r="AJ122" i="16"/>
  <c r="AI122" i="16"/>
  <c r="AH122" i="16"/>
  <c r="AG122" i="16"/>
  <c r="AF122" i="16"/>
  <c r="AE122" i="16"/>
  <c r="AD122" i="16"/>
  <c r="AC122" i="16"/>
  <c r="AB122" i="16"/>
  <c r="AA122" i="16"/>
  <c r="Z122" i="16"/>
  <c r="Y122" i="16"/>
  <c r="X122" i="16"/>
  <c r="W122" i="16"/>
  <c r="V122" i="16"/>
  <c r="U122" i="16"/>
  <c r="T122" i="16"/>
  <c r="S122" i="16"/>
  <c r="R122" i="16"/>
  <c r="Q122" i="16"/>
  <c r="P122" i="16"/>
  <c r="O122" i="16"/>
  <c r="N122" i="16"/>
  <c r="M122" i="16"/>
  <c r="L122" i="16"/>
  <c r="K122" i="16"/>
  <c r="J122" i="16"/>
  <c r="I122" i="16"/>
  <c r="H122" i="16"/>
  <c r="G122" i="16"/>
  <c r="F122" i="16"/>
  <c r="E122" i="16"/>
  <c r="D122" i="16"/>
  <c r="AQ121" i="16"/>
  <c r="AJ121" i="16"/>
  <c r="AI121" i="16"/>
  <c r="AH121" i="16"/>
  <c r="AG121" i="16"/>
  <c r="AF121" i="16"/>
  <c r="AE121" i="16"/>
  <c r="AD121" i="16"/>
  <c r="AC121" i="16"/>
  <c r="AB121" i="16"/>
  <c r="AA121" i="16"/>
  <c r="Z121" i="16"/>
  <c r="Y121" i="16"/>
  <c r="X121" i="16"/>
  <c r="W121" i="16"/>
  <c r="V121" i="16"/>
  <c r="U121" i="16"/>
  <c r="T121" i="16"/>
  <c r="S121" i="16"/>
  <c r="R121" i="16"/>
  <c r="Q121" i="16"/>
  <c r="P121" i="16"/>
  <c r="O121" i="16"/>
  <c r="N121" i="16"/>
  <c r="M121" i="16"/>
  <c r="L121" i="16"/>
  <c r="K121" i="16"/>
  <c r="J121" i="16"/>
  <c r="I121" i="16"/>
  <c r="H121" i="16"/>
  <c r="G121" i="16"/>
  <c r="F121" i="16"/>
  <c r="E121" i="16"/>
  <c r="D121" i="16"/>
  <c r="AL120" i="16"/>
  <c r="AJ120" i="16"/>
  <c r="AQ120" i="16" s="1"/>
  <c r="AI120" i="16"/>
  <c r="AH120" i="16"/>
  <c r="AG120" i="16"/>
  <c r="AF120" i="16"/>
  <c r="AE120" i="16"/>
  <c r="AD120" i="16"/>
  <c r="AC120" i="16"/>
  <c r="AB120" i="16"/>
  <c r="AA120" i="16"/>
  <c r="Z120" i="16"/>
  <c r="Y120" i="16"/>
  <c r="X120" i="16"/>
  <c r="W120" i="16"/>
  <c r="V120" i="16"/>
  <c r="U120" i="16"/>
  <c r="T120" i="16"/>
  <c r="S120" i="16"/>
  <c r="R120" i="16"/>
  <c r="Q120" i="16"/>
  <c r="P120" i="16"/>
  <c r="O120" i="16"/>
  <c r="N120" i="16"/>
  <c r="M120" i="16"/>
  <c r="AN120" i="16" s="1"/>
  <c r="L120" i="16"/>
  <c r="K120" i="16"/>
  <c r="J120" i="16"/>
  <c r="I120" i="16"/>
  <c r="H120" i="16"/>
  <c r="G120" i="16"/>
  <c r="F120" i="16"/>
  <c r="E120" i="16"/>
  <c r="D120" i="16"/>
  <c r="AO120" i="16" s="1"/>
  <c r="AJ119" i="16"/>
  <c r="AQ119" i="16" s="1"/>
  <c r="AI119" i="16"/>
  <c r="AH119" i="16"/>
  <c r="AG119" i="16"/>
  <c r="AF119" i="16"/>
  <c r="AE119" i="16"/>
  <c r="AD119" i="16"/>
  <c r="AC119" i="16"/>
  <c r="AB119" i="16"/>
  <c r="AA119" i="16"/>
  <c r="Z119" i="16"/>
  <c r="Y119" i="16"/>
  <c r="X119" i="16"/>
  <c r="W119" i="16"/>
  <c r="V119" i="16"/>
  <c r="U119" i="16"/>
  <c r="T119" i="16"/>
  <c r="S119" i="16"/>
  <c r="R119" i="16"/>
  <c r="Q119" i="16"/>
  <c r="P119" i="16"/>
  <c r="O119" i="16"/>
  <c r="N119" i="16"/>
  <c r="M119" i="16"/>
  <c r="L119" i="16"/>
  <c r="K119" i="16"/>
  <c r="J119" i="16"/>
  <c r="I119" i="16"/>
  <c r="H119" i="16"/>
  <c r="G119" i="16"/>
  <c r="F119" i="16"/>
  <c r="E119" i="16"/>
  <c r="D119" i="16"/>
  <c r="AJ118" i="16"/>
  <c r="AQ118" i="16" s="1"/>
  <c r="AI118" i="16"/>
  <c r="AH118" i="16"/>
  <c r="AG118" i="16"/>
  <c r="AF118" i="16"/>
  <c r="AE118" i="16"/>
  <c r="AD118" i="16"/>
  <c r="AC118" i="16"/>
  <c r="AB118" i="16"/>
  <c r="AA118" i="16"/>
  <c r="Z118" i="16"/>
  <c r="Y118" i="16"/>
  <c r="X118" i="16"/>
  <c r="W118" i="16"/>
  <c r="V118" i="16"/>
  <c r="U118" i="16"/>
  <c r="T118" i="16"/>
  <c r="S118" i="16"/>
  <c r="R118" i="16"/>
  <c r="Q118" i="16"/>
  <c r="P118" i="16"/>
  <c r="O118" i="16"/>
  <c r="N118" i="16"/>
  <c r="M118" i="16"/>
  <c r="L118" i="16"/>
  <c r="K118" i="16"/>
  <c r="J118" i="16"/>
  <c r="I118" i="16"/>
  <c r="H118" i="16"/>
  <c r="G118" i="16"/>
  <c r="F118" i="16"/>
  <c r="E118" i="16"/>
  <c r="D118" i="16"/>
  <c r="AQ117" i="16"/>
  <c r="AJ117" i="16"/>
  <c r="AI117" i="16"/>
  <c r="AH117" i="16"/>
  <c r="AG117" i="16"/>
  <c r="AF117" i="16"/>
  <c r="AE117" i="16"/>
  <c r="AD117" i="16"/>
  <c r="AC117" i="16"/>
  <c r="AB117" i="16"/>
  <c r="AA117" i="16"/>
  <c r="Z117" i="16"/>
  <c r="Y117" i="16"/>
  <c r="X117" i="16"/>
  <c r="W117" i="16"/>
  <c r="V117" i="16"/>
  <c r="U117" i="16"/>
  <c r="T117" i="16"/>
  <c r="S117" i="16"/>
  <c r="R117" i="16"/>
  <c r="Q117" i="16"/>
  <c r="P117" i="16"/>
  <c r="O117" i="16"/>
  <c r="N117" i="16"/>
  <c r="M117" i="16"/>
  <c r="L117" i="16"/>
  <c r="K117" i="16"/>
  <c r="J117" i="16"/>
  <c r="I117" i="16"/>
  <c r="H117" i="16"/>
  <c r="G117" i="16"/>
  <c r="F117" i="16"/>
  <c r="E117" i="16"/>
  <c r="D117" i="16"/>
  <c r="AJ116" i="16"/>
  <c r="AQ116" i="16" s="1"/>
  <c r="AI116" i="16"/>
  <c r="AH116" i="16"/>
  <c r="AG116" i="16"/>
  <c r="AF116" i="16"/>
  <c r="AE116" i="16"/>
  <c r="AD116" i="16"/>
  <c r="AC116" i="16"/>
  <c r="AB116" i="16"/>
  <c r="AA116" i="16"/>
  <c r="Z116" i="16"/>
  <c r="Y116" i="16"/>
  <c r="X116" i="16"/>
  <c r="W116" i="16"/>
  <c r="V116" i="16"/>
  <c r="U116" i="16"/>
  <c r="T116" i="16"/>
  <c r="S116" i="16"/>
  <c r="R116" i="16"/>
  <c r="Q116" i="16"/>
  <c r="P116" i="16"/>
  <c r="O116" i="16"/>
  <c r="N116" i="16"/>
  <c r="M116" i="16"/>
  <c r="L116" i="16"/>
  <c r="K116" i="16"/>
  <c r="J116" i="16"/>
  <c r="I116" i="16"/>
  <c r="H116" i="16"/>
  <c r="G116" i="16"/>
  <c r="F116" i="16"/>
  <c r="E116" i="16"/>
  <c r="D116" i="16"/>
  <c r="AJ115" i="16"/>
  <c r="AQ115" i="16" s="1"/>
  <c r="AI115" i="16"/>
  <c r="AH115" i="16"/>
  <c r="AG115" i="16"/>
  <c r="AF115" i="16"/>
  <c r="AE115" i="16"/>
  <c r="AD115" i="16"/>
  <c r="AC115" i="16"/>
  <c r="AB115" i="16"/>
  <c r="AA115" i="16"/>
  <c r="Z115" i="16"/>
  <c r="Y115" i="16"/>
  <c r="X115" i="16"/>
  <c r="W115" i="16"/>
  <c r="V115" i="16"/>
  <c r="U115" i="16"/>
  <c r="T115" i="16"/>
  <c r="S115" i="16"/>
  <c r="R115" i="16"/>
  <c r="Q115" i="16"/>
  <c r="P115" i="16"/>
  <c r="O115" i="16"/>
  <c r="N115" i="16"/>
  <c r="M115" i="16"/>
  <c r="L115" i="16"/>
  <c r="K115" i="16"/>
  <c r="J115" i="16"/>
  <c r="I115" i="16"/>
  <c r="H115" i="16"/>
  <c r="G115" i="16"/>
  <c r="F115" i="16"/>
  <c r="E115" i="16"/>
  <c r="D115" i="16"/>
  <c r="AQ114" i="16"/>
  <c r="AR49" i="16" s="1"/>
  <c r="AJ114" i="16"/>
  <c r="AI114" i="16"/>
  <c r="AH114" i="16"/>
  <c r="AG114" i="16"/>
  <c r="AF114" i="16"/>
  <c r="AE114" i="16"/>
  <c r="AD114" i="16"/>
  <c r="AC114" i="16"/>
  <c r="AB114" i="16"/>
  <c r="AA114" i="16"/>
  <c r="Z114" i="16"/>
  <c r="Y114" i="16"/>
  <c r="X114" i="16"/>
  <c r="W114" i="16"/>
  <c r="V114" i="16"/>
  <c r="U114" i="16"/>
  <c r="T114" i="16"/>
  <c r="S114" i="16"/>
  <c r="R114" i="16"/>
  <c r="Q114" i="16"/>
  <c r="P114" i="16"/>
  <c r="O114" i="16"/>
  <c r="N114" i="16"/>
  <c r="M114" i="16"/>
  <c r="L114" i="16"/>
  <c r="K114" i="16"/>
  <c r="J114" i="16"/>
  <c r="I114" i="16"/>
  <c r="H114" i="16"/>
  <c r="G114" i="16"/>
  <c r="F114" i="16"/>
  <c r="E114" i="16"/>
  <c r="D114" i="16"/>
  <c r="AJ113" i="16"/>
  <c r="AQ113" i="16" s="1"/>
  <c r="AI113" i="16"/>
  <c r="AH113" i="16"/>
  <c r="AG113" i="16"/>
  <c r="AF113" i="16"/>
  <c r="AE113" i="16"/>
  <c r="AD113" i="16"/>
  <c r="AC113" i="16"/>
  <c r="AB113" i="16"/>
  <c r="AA113" i="16"/>
  <c r="Z113" i="16"/>
  <c r="Y113" i="16"/>
  <c r="X113" i="16"/>
  <c r="W113" i="16"/>
  <c r="V113" i="16"/>
  <c r="U113" i="16"/>
  <c r="T113" i="16"/>
  <c r="S113" i="16"/>
  <c r="R113" i="16"/>
  <c r="Q113" i="16"/>
  <c r="P113" i="16"/>
  <c r="O113" i="16"/>
  <c r="N113" i="16"/>
  <c r="M113" i="16"/>
  <c r="L113" i="16"/>
  <c r="K113" i="16"/>
  <c r="J113" i="16"/>
  <c r="I113" i="16"/>
  <c r="H113" i="16"/>
  <c r="G113" i="16"/>
  <c r="F113" i="16"/>
  <c r="E113" i="16"/>
  <c r="D113" i="16"/>
  <c r="AQ112" i="16"/>
  <c r="AJ112" i="16"/>
  <c r="AI112" i="16"/>
  <c r="AH112" i="16"/>
  <c r="AG112" i="16"/>
  <c r="AF112" i="16"/>
  <c r="AE112" i="16"/>
  <c r="AD112" i="16"/>
  <c r="AC112" i="16"/>
  <c r="AB112" i="16"/>
  <c r="AL112" i="16" s="1"/>
  <c r="AA112" i="16"/>
  <c r="Z112" i="16"/>
  <c r="Y112" i="16"/>
  <c r="X112" i="16"/>
  <c r="W112" i="16"/>
  <c r="V112" i="16"/>
  <c r="U112" i="16"/>
  <c r="T112" i="16"/>
  <c r="S112" i="16"/>
  <c r="R112" i="16"/>
  <c r="Q112" i="16"/>
  <c r="P112" i="16"/>
  <c r="O112" i="16"/>
  <c r="N112" i="16"/>
  <c r="M112" i="16"/>
  <c r="L112" i="16"/>
  <c r="K112" i="16"/>
  <c r="J112" i="16"/>
  <c r="I112" i="16"/>
  <c r="H112" i="16"/>
  <c r="G112" i="16"/>
  <c r="F112" i="16"/>
  <c r="E112" i="16"/>
  <c r="D112" i="16"/>
  <c r="AJ111" i="16"/>
  <c r="AQ111" i="16" s="1"/>
  <c r="AI111" i="16"/>
  <c r="AH111" i="16"/>
  <c r="AG111" i="16"/>
  <c r="AF111" i="16"/>
  <c r="AE111" i="16"/>
  <c r="AD111" i="16"/>
  <c r="AC111" i="16"/>
  <c r="AB111" i="16"/>
  <c r="AA111" i="16"/>
  <c r="Z111" i="16"/>
  <c r="Y111" i="16"/>
  <c r="X111" i="16"/>
  <c r="W111" i="16"/>
  <c r="V111" i="16"/>
  <c r="U111" i="16"/>
  <c r="T111" i="16"/>
  <c r="S111" i="16"/>
  <c r="R111" i="16"/>
  <c r="Q111" i="16"/>
  <c r="P111" i="16"/>
  <c r="O111" i="16"/>
  <c r="N111" i="16"/>
  <c r="M111" i="16"/>
  <c r="L111" i="16"/>
  <c r="K111" i="16"/>
  <c r="J111" i="16"/>
  <c r="I111" i="16"/>
  <c r="H111" i="16"/>
  <c r="G111" i="16"/>
  <c r="F111" i="16"/>
  <c r="E111" i="16"/>
  <c r="D111" i="16"/>
  <c r="AQ110" i="16"/>
  <c r="AJ110" i="16"/>
  <c r="AI110" i="16"/>
  <c r="AH110" i="16"/>
  <c r="AG110" i="16"/>
  <c r="AF110" i="16"/>
  <c r="AE110" i="16"/>
  <c r="AD110" i="16"/>
  <c r="AC110" i="16"/>
  <c r="AB110" i="16"/>
  <c r="AA110" i="16"/>
  <c r="Z110" i="16"/>
  <c r="AM110" i="16" s="1"/>
  <c r="Y110" i="16"/>
  <c r="X110" i="16"/>
  <c r="W110" i="16"/>
  <c r="V110" i="16"/>
  <c r="U110" i="16"/>
  <c r="T110" i="16"/>
  <c r="S110" i="16"/>
  <c r="R110" i="16"/>
  <c r="Q110" i="16"/>
  <c r="P110" i="16"/>
  <c r="O110" i="16"/>
  <c r="N110" i="16"/>
  <c r="M110" i="16"/>
  <c r="L110" i="16"/>
  <c r="K110" i="16"/>
  <c r="J110" i="16"/>
  <c r="I110" i="16"/>
  <c r="H110" i="16"/>
  <c r="G110" i="16"/>
  <c r="F110" i="16"/>
  <c r="E110" i="16"/>
  <c r="D110" i="16"/>
  <c r="AJ109" i="16"/>
  <c r="AQ109" i="16" s="1"/>
  <c r="AI109" i="16"/>
  <c r="AH109" i="16"/>
  <c r="AG109" i="16"/>
  <c r="AF109" i="16"/>
  <c r="AE109" i="16"/>
  <c r="AD109" i="16"/>
  <c r="AC109" i="16"/>
  <c r="AB109" i="16"/>
  <c r="AA109" i="16"/>
  <c r="Z109" i="16"/>
  <c r="Y109" i="16"/>
  <c r="X109" i="16"/>
  <c r="W109" i="16"/>
  <c r="V109" i="16"/>
  <c r="U109" i="16"/>
  <c r="T109" i="16"/>
  <c r="S109" i="16"/>
  <c r="R109" i="16"/>
  <c r="Q109" i="16"/>
  <c r="P109" i="16"/>
  <c r="O109" i="16"/>
  <c r="N109" i="16"/>
  <c r="M109" i="16"/>
  <c r="L109" i="16"/>
  <c r="K109" i="16"/>
  <c r="J109" i="16"/>
  <c r="I109" i="16"/>
  <c r="H109" i="16"/>
  <c r="G109" i="16"/>
  <c r="F109" i="16"/>
  <c r="E109" i="16"/>
  <c r="D109" i="16"/>
  <c r="AQ108" i="16"/>
  <c r="AL108" i="16"/>
  <c r="AJ108" i="16"/>
  <c r="AI108" i="16"/>
  <c r="AH108" i="16"/>
  <c r="AG108" i="16"/>
  <c r="AF108" i="16"/>
  <c r="AE108" i="16"/>
  <c r="AD108" i="16"/>
  <c r="AC108" i="16"/>
  <c r="AB108" i="16"/>
  <c r="AA108" i="16"/>
  <c r="Z108" i="16"/>
  <c r="Y108" i="16"/>
  <c r="X108" i="16"/>
  <c r="W108" i="16"/>
  <c r="V108" i="16"/>
  <c r="U108" i="16"/>
  <c r="T108" i="16"/>
  <c r="S108" i="16"/>
  <c r="R108" i="16"/>
  <c r="Q108" i="16"/>
  <c r="P108" i="16"/>
  <c r="O108" i="16"/>
  <c r="N108" i="16"/>
  <c r="M108" i="16"/>
  <c r="AN108" i="16" s="1"/>
  <c r="L108" i="16"/>
  <c r="K108" i="16"/>
  <c r="J108" i="16"/>
  <c r="I108" i="16"/>
  <c r="H108" i="16"/>
  <c r="G108" i="16"/>
  <c r="F108" i="16"/>
  <c r="E108" i="16"/>
  <c r="D108" i="16"/>
  <c r="AJ107" i="16"/>
  <c r="AQ107" i="16" s="1"/>
  <c r="AI107" i="16"/>
  <c r="AH107" i="16"/>
  <c r="AG107" i="16"/>
  <c r="AF107" i="16"/>
  <c r="AE107" i="16"/>
  <c r="AD107" i="16"/>
  <c r="AC107" i="16"/>
  <c r="AB107" i="16"/>
  <c r="AA107" i="16"/>
  <c r="Z107" i="16"/>
  <c r="Y107" i="16"/>
  <c r="X107" i="16"/>
  <c r="W107" i="16"/>
  <c r="V107" i="16"/>
  <c r="U107" i="16"/>
  <c r="T107" i="16"/>
  <c r="S107" i="16"/>
  <c r="R107" i="16"/>
  <c r="Q107" i="16"/>
  <c r="P107" i="16"/>
  <c r="O107" i="16"/>
  <c r="N107" i="16"/>
  <c r="M107" i="16"/>
  <c r="L107" i="16"/>
  <c r="K107" i="16"/>
  <c r="J107" i="16"/>
  <c r="I107" i="16"/>
  <c r="H107" i="16"/>
  <c r="G107" i="16"/>
  <c r="AO107" i="16" s="1"/>
  <c r="F107" i="16"/>
  <c r="E107" i="16"/>
  <c r="D107" i="16"/>
  <c r="AJ106" i="16"/>
  <c r="AQ106" i="16" s="1"/>
  <c r="AI106" i="16"/>
  <c r="AH106" i="16"/>
  <c r="AG106" i="16"/>
  <c r="AF106" i="16"/>
  <c r="AE106" i="16"/>
  <c r="AD106" i="16"/>
  <c r="AC106" i="16"/>
  <c r="AB106" i="16"/>
  <c r="AA106" i="16"/>
  <c r="Z106" i="16"/>
  <c r="Y106" i="16"/>
  <c r="X106" i="16"/>
  <c r="W106" i="16"/>
  <c r="V106" i="16"/>
  <c r="U106" i="16"/>
  <c r="T106" i="16"/>
  <c r="S106" i="16"/>
  <c r="R106" i="16"/>
  <c r="Q106" i="16"/>
  <c r="P106" i="16"/>
  <c r="O106" i="16"/>
  <c r="N106" i="16"/>
  <c r="M106" i="16"/>
  <c r="L106" i="16"/>
  <c r="K106" i="16"/>
  <c r="J106" i="16"/>
  <c r="I106" i="16"/>
  <c r="H106" i="16"/>
  <c r="G106" i="16"/>
  <c r="F106" i="16"/>
  <c r="E106" i="16"/>
  <c r="D106" i="16"/>
  <c r="AQ105" i="16"/>
  <c r="AJ105" i="16"/>
  <c r="AI105" i="16"/>
  <c r="AH105" i="16"/>
  <c r="AG105" i="16"/>
  <c r="AF105" i="16"/>
  <c r="AE105" i="16"/>
  <c r="AD105" i="16"/>
  <c r="AC105" i="16"/>
  <c r="AB105" i="16"/>
  <c r="AA105" i="16"/>
  <c r="Z105" i="16"/>
  <c r="Y105" i="16"/>
  <c r="X105" i="16"/>
  <c r="W105" i="16"/>
  <c r="V105" i="16"/>
  <c r="U105" i="16"/>
  <c r="T105" i="16"/>
  <c r="S105" i="16"/>
  <c r="R105" i="16"/>
  <c r="Q105" i="16"/>
  <c r="P105" i="16"/>
  <c r="O105" i="16"/>
  <c r="N105" i="16"/>
  <c r="M105" i="16"/>
  <c r="L105" i="16"/>
  <c r="K105" i="16"/>
  <c r="J105" i="16"/>
  <c r="I105" i="16"/>
  <c r="H105" i="16"/>
  <c r="G105" i="16"/>
  <c r="F105" i="16"/>
  <c r="E105" i="16"/>
  <c r="D105" i="16"/>
  <c r="AJ104" i="16"/>
  <c r="AQ104" i="16" s="1"/>
  <c r="AI104" i="16"/>
  <c r="AH104" i="16"/>
  <c r="AG104" i="16"/>
  <c r="AF104" i="16"/>
  <c r="AE104" i="16"/>
  <c r="AD104" i="16"/>
  <c r="AC104" i="16"/>
  <c r="AB104" i="16"/>
  <c r="AL104" i="16" s="1"/>
  <c r="AA104" i="16"/>
  <c r="Z104" i="16"/>
  <c r="Y104" i="16"/>
  <c r="X104" i="16"/>
  <c r="W104" i="16"/>
  <c r="V104" i="16"/>
  <c r="U104" i="16"/>
  <c r="T104" i="16"/>
  <c r="S104" i="16"/>
  <c r="R104" i="16"/>
  <c r="Q104" i="16"/>
  <c r="P104" i="16"/>
  <c r="O104" i="16"/>
  <c r="N104" i="16"/>
  <c r="M104" i="16"/>
  <c r="L104" i="16"/>
  <c r="K104" i="16"/>
  <c r="J104" i="16"/>
  <c r="I104" i="16"/>
  <c r="H104" i="16"/>
  <c r="G104" i="16"/>
  <c r="F104" i="16"/>
  <c r="E104" i="16"/>
  <c r="D104" i="16"/>
  <c r="AJ103" i="16"/>
  <c r="AQ103" i="16" s="1"/>
  <c r="AI103" i="16"/>
  <c r="AH103" i="16"/>
  <c r="AG103" i="16"/>
  <c r="AF103" i="16"/>
  <c r="AE103" i="16"/>
  <c r="AD103" i="16"/>
  <c r="AC103" i="16"/>
  <c r="AB103" i="16"/>
  <c r="AA103" i="16"/>
  <c r="Z103" i="16"/>
  <c r="Y103" i="16"/>
  <c r="X103" i="16"/>
  <c r="W103" i="16"/>
  <c r="V103" i="16"/>
  <c r="U103" i="16"/>
  <c r="T103" i="16"/>
  <c r="S103" i="16"/>
  <c r="R103" i="16"/>
  <c r="Q103" i="16"/>
  <c r="P103" i="16"/>
  <c r="O103" i="16"/>
  <c r="N103" i="16"/>
  <c r="M103" i="16"/>
  <c r="L103" i="16"/>
  <c r="K103" i="16"/>
  <c r="J103" i="16"/>
  <c r="I103" i="16"/>
  <c r="H103" i="16"/>
  <c r="G103" i="16"/>
  <c r="F103" i="16"/>
  <c r="E103" i="16"/>
  <c r="D103" i="16"/>
  <c r="AJ102" i="16"/>
  <c r="AQ102" i="16" s="1"/>
  <c r="AI102" i="16"/>
  <c r="AH102" i="16"/>
  <c r="AG102" i="16"/>
  <c r="AF102" i="16"/>
  <c r="AE102" i="16"/>
  <c r="AD102" i="16"/>
  <c r="AC102" i="16"/>
  <c r="AB102" i="16"/>
  <c r="AA102" i="16"/>
  <c r="Z102" i="16"/>
  <c r="Y102" i="16"/>
  <c r="X102" i="16"/>
  <c r="W102" i="16"/>
  <c r="V102" i="16"/>
  <c r="U102" i="16"/>
  <c r="T102" i="16"/>
  <c r="S102" i="16"/>
  <c r="R102" i="16"/>
  <c r="Q102" i="16"/>
  <c r="P102" i="16"/>
  <c r="O102" i="16"/>
  <c r="N102" i="16"/>
  <c r="M102" i="16"/>
  <c r="L102" i="16"/>
  <c r="K102" i="16"/>
  <c r="J102" i="16"/>
  <c r="I102" i="16"/>
  <c r="H102" i="16"/>
  <c r="G102" i="16"/>
  <c r="F102" i="16"/>
  <c r="E102" i="16"/>
  <c r="D102" i="16"/>
  <c r="AJ101" i="16"/>
  <c r="AQ101" i="16" s="1"/>
  <c r="AR36" i="16" s="1"/>
  <c r="AI101" i="16"/>
  <c r="AH101" i="16"/>
  <c r="AG101" i="16"/>
  <c r="AF101" i="16"/>
  <c r="AE101" i="16"/>
  <c r="AD101" i="16"/>
  <c r="AC101" i="16"/>
  <c r="AB101" i="16"/>
  <c r="AA101" i="16"/>
  <c r="Z101" i="16"/>
  <c r="Y101" i="16"/>
  <c r="X101" i="16"/>
  <c r="W101" i="16"/>
  <c r="V101" i="16"/>
  <c r="U101" i="16"/>
  <c r="T101" i="16"/>
  <c r="S101" i="16"/>
  <c r="R101" i="16"/>
  <c r="Q101" i="16"/>
  <c r="P101" i="16"/>
  <c r="O101" i="16"/>
  <c r="N101" i="16"/>
  <c r="M101" i="16"/>
  <c r="L101" i="16"/>
  <c r="K101" i="16"/>
  <c r="J101" i="16"/>
  <c r="I101" i="16"/>
  <c r="H101" i="16"/>
  <c r="G101" i="16"/>
  <c r="F101" i="16"/>
  <c r="E101" i="16"/>
  <c r="D101" i="16"/>
  <c r="AO101" i="16" s="1"/>
  <c r="AJ100" i="16"/>
  <c r="AQ100" i="16" s="1"/>
  <c r="AI100" i="16"/>
  <c r="AH100" i="16"/>
  <c r="AG100" i="16"/>
  <c r="AF100" i="16"/>
  <c r="AE100" i="16"/>
  <c r="AD100" i="16"/>
  <c r="AC100" i="16"/>
  <c r="AB100" i="16"/>
  <c r="AA100" i="16"/>
  <c r="Z100" i="16"/>
  <c r="Y100" i="16"/>
  <c r="X100" i="16"/>
  <c r="W100" i="16"/>
  <c r="V100" i="16"/>
  <c r="U100" i="16"/>
  <c r="T100" i="16"/>
  <c r="S100" i="16"/>
  <c r="R100" i="16"/>
  <c r="Q100" i="16"/>
  <c r="P100" i="16"/>
  <c r="O100" i="16"/>
  <c r="N100" i="16"/>
  <c r="M100" i="16"/>
  <c r="L100" i="16"/>
  <c r="K100" i="16"/>
  <c r="J100" i="16"/>
  <c r="I100" i="16"/>
  <c r="H100" i="16"/>
  <c r="G100" i="16"/>
  <c r="F100" i="16"/>
  <c r="E100" i="16"/>
  <c r="D100" i="16"/>
  <c r="AJ99" i="16"/>
  <c r="AQ99" i="16" s="1"/>
  <c r="AR34" i="16" s="1"/>
  <c r="AI99" i="16"/>
  <c r="AH99" i="16"/>
  <c r="AG99" i="16"/>
  <c r="AF99" i="16"/>
  <c r="AE99" i="16"/>
  <c r="AD99" i="16"/>
  <c r="AC99" i="16"/>
  <c r="AB99" i="16"/>
  <c r="AA99" i="16"/>
  <c r="Z99" i="16"/>
  <c r="Y99" i="16"/>
  <c r="X99" i="16"/>
  <c r="W99" i="16"/>
  <c r="V99" i="16"/>
  <c r="U99" i="16"/>
  <c r="T99" i="16"/>
  <c r="S99" i="16"/>
  <c r="R99" i="16"/>
  <c r="Q99" i="16"/>
  <c r="P99" i="16"/>
  <c r="O99" i="16"/>
  <c r="N99" i="16"/>
  <c r="M99" i="16"/>
  <c r="L99" i="16"/>
  <c r="K99" i="16"/>
  <c r="J99" i="16"/>
  <c r="I99" i="16"/>
  <c r="H99" i="16"/>
  <c r="G99" i="16"/>
  <c r="F99" i="16"/>
  <c r="E99" i="16"/>
  <c r="D99" i="16"/>
  <c r="AJ98" i="16"/>
  <c r="AQ98" i="16" s="1"/>
  <c r="AI98" i="16"/>
  <c r="AH98" i="16"/>
  <c r="AG98" i="16"/>
  <c r="AF98" i="16"/>
  <c r="AE98" i="16"/>
  <c r="AD98" i="16"/>
  <c r="AC98" i="16"/>
  <c r="AB98" i="16"/>
  <c r="AA98" i="16"/>
  <c r="Z98" i="16"/>
  <c r="Y98" i="16"/>
  <c r="X98" i="16"/>
  <c r="W98" i="16"/>
  <c r="V98" i="16"/>
  <c r="U98" i="16"/>
  <c r="T98" i="16"/>
  <c r="S98" i="16"/>
  <c r="R98" i="16"/>
  <c r="Q98" i="16"/>
  <c r="P98" i="16"/>
  <c r="O98" i="16"/>
  <c r="N98" i="16"/>
  <c r="M98" i="16"/>
  <c r="L98" i="16"/>
  <c r="K98" i="16"/>
  <c r="J98" i="16"/>
  <c r="I98" i="16"/>
  <c r="H98" i="16"/>
  <c r="G98" i="16"/>
  <c r="F98" i="16"/>
  <c r="E98" i="16"/>
  <c r="D98" i="16"/>
  <c r="AJ97" i="16"/>
  <c r="AQ97" i="16" s="1"/>
  <c r="AI97" i="16"/>
  <c r="AH97" i="16"/>
  <c r="AG97" i="16"/>
  <c r="AF97" i="16"/>
  <c r="AE97" i="16"/>
  <c r="AD97" i="16"/>
  <c r="AC97" i="16"/>
  <c r="AB97" i="16"/>
  <c r="AA97" i="16"/>
  <c r="Z97" i="16"/>
  <c r="Y97" i="16"/>
  <c r="X97" i="16"/>
  <c r="W97" i="16"/>
  <c r="V97" i="16"/>
  <c r="U97" i="16"/>
  <c r="T97" i="16"/>
  <c r="S97" i="16"/>
  <c r="R97" i="16"/>
  <c r="Q97" i="16"/>
  <c r="P97" i="16"/>
  <c r="O97" i="16"/>
  <c r="N97" i="16"/>
  <c r="M97" i="16"/>
  <c r="L97" i="16"/>
  <c r="K97" i="16"/>
  <c r="J97" i="16"/>
  <c r="I97" i="16"/>
  <c r="H97" i="16"/>
  <c r="G97" i="16"/>
  <c r="F97" i="16"/>
  <c r="E97" i="16"/>
  <c r="D97" i="16"/>
  <c r="AJ96" i="16"/>
  <c r="AQ96" i="16" s="1"/>
  <c r="AI96" i="16"/>
  <c r="AH96" i="16"/>
  <c r="AG96" i="16"/>
  <c r="AF96" i="16"/>
  <c r="AE96" i="16"/>
  <c r="AD96" i="16"/>
  <c r="AC96" i="16"/>
  <c r="AL96" i="16" s="1"/>
  <c r="AB96" i="16"/>
  <c r="AA96" i="16"/>
  <c r="Z96" i="16"/>
  <c r="Y96" i="16"/>
  <c r="X96" i="16"/>
  <c r="W96" i="16"/>
  <c r="V96" i="16"/>
  <c r="U96" i="16"/>
  <c r="T96" i="16"/>
  <c r="S96" i="16"/>
  <c r="R96" i="16"/>
  <c r="Q96" i="16"/>
  <c r="P96" i="16"/>
  <c r="O96" i="16"/>
  <c r="N96" i="16"/>
  <c r="M96" i="16"/>
  <c r="L96" i="16"/>
  <c r="K96" i="16"/>
  <c r="J96" i="16"/>
  <c r="I96" i="16"/>
  <c r="H96" i="16"/>
  <c r="G96" i="16"/>
  <c r="F96" i="16"/>
  <c r="E96" i="16"/>
  <c r="D96" i="16"/>
  <c r="AJ95" i="16"/>
  <c r="AQ95" i="16" s="1"/>
  <c r="AI95" i="16"/>
  <c r="AH95" i="16"/>
  <c r="AG95" i="16"/>
  <c r="AF95" i="16"/>
  <c r="AE95" i="16"/>
  <c r="AD95" i="16"/>
  <c r="AC95" i="16"/>
  <c r="AB95" i="16"/>
  <c r="AA95" i="16"/>
  <c r="Z95" i="16"/>
  <c r="Y95" i="16"/>
  <c r="X95" i="16"/>
  <c r="W95" i="16"/>
  <c r="V95" i="16"/>
  <c r="U95" i="16"/>
  <c r="T95" i="16"/>
  <c r="S95" i="16"/>
  <c r="R95" i="16"/>
  <c r="Q95" i="16"/>
  <c r="P95" i="16"/>
  <c r="O95" i="16"/>
  <c r="N95" i="16"/>
  <c r="M95" i="16"/>
  <c r="L95" i="16"/>
  <c r="K95" i="16"/>
  <c r="J95" i="16"/>
  <c r="I95" i="16"/>
  <c r="H95" i="16"/>
  <c r="G95" i="16"/>
  <c r="F95" i="16"/>
  <c r="E95" i="16"/>
  <c r="D95" i="16"/>
  <c r="AJ94" i="16"/>
  <c r="AQ94" i="16" s="1"/>
  <c r="AR29" i="16" s="1"/>
  <c r="AI94" i="16"/>
  <c r="AH94" i="16"/>
  <c r="AG94" i="16"/>
  <c r="AF94" i="16"/>
  <c r="AE94" i="16"/>
  <c r="AD94" i="16"/>
  <c r="AC94" i="16"/>
  <c r="AB94" i="16"/>
  <c r="AA94" i="16"/>
  <c r="Z94" i="16"/>
  <c r="Y94" i="16"/>
  <c r="X94" i="16"/>
  <c r="W94" i="16"/>
  <c r="V94" i="16"/>
  <c r="U94" i="16"/>
  <c r="T94" i="16"/>
  <c r="S94" i="16"/>
  <c r="R94" i="16"/>
  <c r="Q94" i="16"/>
  <c r="P94" i="16"/>
  <c r="O94" i="16"/>
  <c r="N94" i="16"/>
  <c r="AN94" i="16" s="1"/>
  <c r="M94" i="16"/>
  <c r="L94" i="16"/>
  <c r="K94" i="16"/>
  <c r="J94" i="16"/>
  <c r="I94" i="16"/>
  <c r="H94" i="16"/>
  <c r="G94" i="16"/>
  <c r="F94" i="16"/>
  <c r="E94" i="16"/>
  <c r="D94" i="16"/>
  <c r="AJ93" i="16"/>
  <c r="AQ93" i="16" s="1"/>
  <c r="AI93" i="16"/>
  <c r="AH93" i="16"/>
  <c r="AG93" i="16"/>
  <c r="AF93" i="16"/>
  <c r="AE93" i="16"/>
  <c r="AD93" i="16"/>
  <c r="AC93" i="16"/>
  <c r="AB93" i="16"/>
  <c r="AA93" i="16"/>
  <c r="Z93" i="16"/>
  <c r="Y93" i="16"/>
  <c r="X93" i="16"/>
  <c r="W93" i="16"/>
  <c r="V93" i="16"/>
  <c r="U93" i="16"/>
  <c r="T93" i="16"/>
  <c r="S93" i="16"/>
  <c r="R93" i="16"/>
  <c r="Q93" i="16"/>
  <c r="P93" i="16"/>
  <c r="O93" i="16"/>
  <c r="N93" i="16"/>
  <c r="M93" i="16"/>
  <c r="L93" i="16"/>
  <c r="K93" i="16"/>
  <c r="J93" i="16"/>
  <c r="I93" i="16"/>
  <c r="H93" i="16"/>
  <c r="G93" i="16"/>
  <c r="F93" i="16"/>
  <c r="E93" i="16"/>
  <c r="D93" i="16"/>
  <c r="AJ92" i="16"/>
  <c r="AQ92" i="16" s="1"/>
  <c r="AI92" i="16"/>
  <c r="AH92" i="16"/>
  <c r="AG92" i="16"/>
  <c r="AF92" i="16"/>
  <c r="AE92" i="16"/>
  <c r="AD92" i="16"/>
  <c r="AC92" i="16"/>
  <c r="AB92" i="16"/>
  <c r="AL92" i="16" s="1"/>
  <c r="AA92" i="16"/>
  <c r="Z92" i="16"/>
  <c r="Y92" i="16"/>
  <c r="X92" i="16"/>
  <c r="W92" i="16"/>
  <c r="V92" i="16"/>
  <c r="U92" i="16"/>
  <c r="T92" i="16"/>
  <c r="S92" i="16"/>
  <c r="R92" i="16"/>
  <c r="Q92" i="16"/>
  <c r="P92" i="16"/>
  <c r="O92" i="16"/>
  <c r="N92" i="16"/>
  <c r="M92" i="16"/>
  <c r="L92" i="16"/>
  <c r="K92" i="16"/>
  <c r="J92" i="16"/>
  <c r="I92" i="16"/>
  <c r="H92" i="16"/>
  <c r="G92" i="16"/>
  <c r="F92" i="16"/>
  <c r="E92" i="16"/>
  <c r="D92" i="16"/>
  <c r="AO92" i="16" s="1"/>
  <c r="C92" i="16"/>
  <c r="AJ91" i="16"/>
  <c r="AQ91" i="16" s="1"/>
  <c r="AI91" i="16"/>
  <c r="AH91" i="16"/>
  <c r="AG91" i="16"/>
  <c r="AF91" i="16"/>
  <c r="AE91" i="16"/>
  <c r="AD91" i="16"/>
  <c r="AC91" i="16"/>
  <c r="AB91" i="16"/>
  <c r="AA91" i="16"/>
  <c r="Z91" i="16"/>
  <c r="Y91" i="16"/>
  <c r="X91" i="16"/>
  <c r="W91" i="16"/>
  <c r="V91" i="16"/>
  <c r="U91" i="16"/>
  <c r="T91" i="16"/>
  <c r="S91" i="16"/>
  <c r="R91" i="16"/>
  <c r="Q91" i="16"/>
  <c r="P91" i="16"/>
  <c r="O91" i="16"/>
  <c r="N91" i="16"/>
  <c r="M91" i="16"/>
  <c r="L91" i="16"/>
  <c r="K91" i="16"/>
  <c r="J91" i="16"/>
  <c r="I91" i="16"/>
  <c r="H91" i="16"/>
  <c r="G91" i="16"/>
  <c r="F91" i="16"/>
  <c r="E91" i="16"/>
  <c r="D91" i="16"/>
  <c r="AO91" i="16" s="1"/>
  <c r="AJ90" i="16"/>
  <c r="AQ90" i="16" s="1"/>
  <c r="AI90" i="16"/>
  <c r="AH90" i="16"/>
  <c r="AG90" i="16"/>
  <c r="AF90" i="16"/>
  <c r="AE90" i="16"/>
  <c r="AD90" i="16"/>
  <c r="AC90" i="16"/>
  <c r="AB90" i="16"/>
  <c r="AA90" i="16"/>
  <c r="Z90" i="16"/>
  <c r="Y90" i="16"/>
  <c r="X90" i="16"/>
  <c r="W90" i="16"/>
  <c r="V90" i="16"/>
  <c r="U90" i="16"/>
  <c r="T90" i="16"/>
  <c r="S90" i="16"/>
  <c r="R90" i="16"/>
  <c r="Q90" i="16"/>
  <c r="P90" i="16"/>
  <c r="O90" i="16"/>
  <c r="N90" i="16"/>
  <c r="M90" i="16"/>
  <c r="L90" i="16"/>
  <c r="K90" i="16"/>
  <c r="J90" i="16"/>
  <c r="I90" i="16"/>
  <c r="H90" i="16"/>
  <c r="G90" i="16"/>
  <c r="F90" i="16"/>
  <c r="E90" i="16"/>
  <c r="D90" i="16"/>
  <c r="AJ89" i="16"/>
  <c r="AQ89" i="16" s="1"/>
  <c r="AI89" i="16"/>
  <c r="AH89" i="16"/>
  <c r="AG89" i="16"/>
  <c r="AF89" i="16"/>
  <c r="AE89" i="16"/>
  <c r="AD89" i="16"/>
  <c r="AC89" i="16"/>
  <c r="AB89" i="16"/>
  <c r="AA89" i="16"/>
  <c r="Z89" i="16"/>
  <c r="Y89" i="16"/>
  <c r="X89" i="16"/>
  <c r="W89" i="16"/>
  <c r="V89" i="16"/>
  <c r="U89" i="16"/>
  <c r="T89" i="16"/>
  <c r="S89" i="16"/>
  <c r="R89" i="16"/>
  <c r="Q89" i="16"/>
  <c r="P89" i="16"/>
  <c r="O89" i="16"/>
  <c r="N89" i="16"/>
  <c r="M89" i="16"/>
  <c r="L89" i="16"/>
  <c r="AN89" i="16" s="1"/>
  <c r="K89" i="16"/>
  <c r="J89" i="16"/>
  <c r="I89" i="16"/>
  <c r="H89" i="16"/>
  <c r="G89" i="16"/>
  <c r="F89" i="16"/>
  <c r="E89" i="16"/>
  <c r="D89" i="16"/>
  <c r="AJ88" i="16"/>
  <c r="AQ88" i="16" s="1"/>
  <c r="AI88" i="16"/>
  <c r="AH88" i="16"/>
  <c r="AG88" i="16"/>
  <c r="AF88" i="16"/>
  <c r="AE88" i="16"/>
  <c r="AD88" i="16"/>
  <c r="AC88" i="16"/>
  <c r="AB88" i="16"/>
  <c r="AA88" i="16"/>
  <c r="Z88" i="16"/>
  <c r="Y88" i="16"/>
  <c r="X88" i="16"/>
  <c r="W88" i="16"/>
  <c r="V88" i="16"/>
  <c r="U88" i="16"/>
  <c r="T88" i="16"/>
  <c r="AM88" i="16" s="1"/>
  <c r="S88" i="16"/>
  <c r="R88" i="16"/>
  <c r="Q88" i="16"/>
  <c r="P88" i="16"/>
  <c r="O88" i="16"/>
  <c r="N88" i="16"/>
  <c r="M88" i="16"/>
  <c r="L88" i="16"/>
  <c r="K88" i="16"/>
  <c r="J88" i="16"/>
  <c r="I88" i="16"/>
  <c r="H88" i="16"/>
  <c r="G88" i="16"/>
  <c r="F88" i="16"/>
  <c r="E88" i="16"/>
  <c r="D88" i="16"/>
  <c r="AJ87" i="16"/>
  <c r="AQ87" i="16" s="1"/>
  <c r="AI87" i="16"/>
  <c r="AH87" i="16"/>
  <c r="AG87" i="16"/>
  <c r="AF87" i="16"/>
  <c r="AE87" i="16"/>
  <c r="AD87" i="16"/>
  <c r="AC87" i="16"/>
  <c r="AB87" i="16"/>
  <c r="AA87" i="16"/>
  <c r="Z87" i="16"/>
  <c r="Y87" i="16"/>
  <c r="X87" i="16"/>
  <c r="W87" i="16"/>
  <c r="V87" i="16"/>
  <c r="U87" i="16"/>
  <c r="T87" i="16"/>
  <c r="S87" i="16"/>
  <c r="R87" i="16"/>
  <c r="Q87" i="16"/>
  <c r="P87" i="16"/>
  <c r="O87" i="16"/>
  <c r="N87" i="16"/>
  <c r="M87" i="16"/>
  <c r="L87" i="16"/>
  <c r="K87" i="16"/>
  <c r="J87" i="16"/>
  <c r="I87" i="16"/>
  <c r="H87" i="16"/>
  <c r="G87" i="16"/>
  <c r="F87" i="16"/>
  <c r="E87" i="16"/>
  <c r="D87" i="16"/>
  <c r="AJ86" i="16"/>
  <c r="AQ86" i="16" s="1"/>
  <c r="AR21" i="16" s="1"/>
  <c r="AI86" i="16"/>
  <c r="AH86" i="16"/>
  <c r="AG86" i="16"/>
  <c r="AF86" i="16"/>
  <c r="AE86" i="16"/>
  <c r="AD86" i="16"/>
  <c r="AC86" i="16"/>
  <c r="AB86" i="16"/>
  <c r="AL86" i="16" s="1"/>
  <c r="AA86" i="16"/>
  <c r="Z86" i="16"/>
  <c r="Y86" i="16"/>
  <c r="X86" i="16"/>
  <c r="AM86" i="16" s="1"/>
  <c r="W86" i="16"/>
  <c r="V86" i="16"/>
  <c r="U86" i="16"/>
  <c r="T86" i="16"/>
  <c r="S86" i="16"/>
  <c r="R86" i="16"/>
  <c r="Q86" i="16"/>
  <c r="P86" i="16"/>
  <c r="O86" i="16"/>
  <c r="N86" i="16"/>
  <c r="M86" i="16"/>
  <c r="L86" i="16"/>
  <c r="K86" i="16"/>
  <c r="J86" i="16"/>
  <c r="I86" i="16"/>
  <c r="H86" i="16"/>
  <c r="G86" i="16"/>
  <c r="F86" i="16"/>
  <c r="E86" i="16"/>
  <c r="D86" i="16"/>
  <c r="AO86" i="16" s="1"/>
  <c r="AQ85" i="16"/>
  <c r="AJ85" i="16"/>
  <c r="AI85" i="16"/>
  <c r="AH85" i="16"/>
  <c r="AG85" i="16"/>
  <c r="AF85" i="16"/>
  <c r="AE85" i="16"/>
  <c r="AD85" i="16"/>
  <c r="AC85" i="16"/>
  <c r="AB85" i="16"/>
  <c r="AA85" i="16"/>
  <c r="Z85" i="16"/>
  <c r="Y85" i="16"/>
  <c r="X85" i="16"/>
  <c r="W85" i="16"/>
  <c r="V85" i="16"/>
  <c r="U85" i="16"/>
  <c r="T85" i="16"/>
  <c r="S85" i="16"/>
  <c r="R85" i="16"/>
  <c r="Q85" i="16"/>
  <c r="P85" i="16"/>
  <c r="O85" i="16"/>
  <c r="N85" i="16"/>
  <c r="M85" i="16"/>
  <c r="L85" i="16"/>
  <c r="K85" i="16"/>
  <c r="J85" i="16"/>
  <c r="I85" i="16"/>
  <c r="H85" i="16"/>
  <c r="G85" i="16"/>
  <c r="F85" i="16"/>
  <c r="E85" i="16"/>
  <c r="D85" i="16"/>
  <c r="AJ84" i="16"/>
  <c r="AQ84" i="16" s="1"/>
  <c r="AI84" i="16"/>
  <c r="AH84" i="16"/>
  <c r="AG84" i="16"/>
  <c r="AF84" i="16"/>
  <c r="AE84" i="16"/>
  <c r="AD84" i="16"/>
  <c r="AC84" i="16"/>
  <c r="AB84" i="16"/>
  <c r="AA84" i="16"/>
  <c r="Z84" i="16"/>
  <c r="Y84" i="16"/>
  <c r="X84" i="16"/>
  <c r="W84" i="16"/>
  <c r="V84" i="16"/>
  <c r="U84" i="16"/>
  <c r="T84" i="16"/>
  <c r="S84" i="16"/>
  <c r="R84" i="16"/>
  <c r="Q84" i="16"/>
  <c r="P84" i="16"/>
  <c r="O84" i="16"/>
  <c r="N84" i="16"/>
  <c r="M84" i="16"/>
  <c r="L84" i="16"/>
  <c r="K84" i="16"/>
  <c r="J84" i="16"/>
  <c r="I84" i="16"/>
  <c r="H84" i="16"/>
  <c r="G84" i="16"/>
  <c r="F84" i="16"/>
  <c r="E84" i="16"/>
  <c r="D84" i="16"/>
  <c r="AJ83" i="16"/>
  <c r="AQ83" i="16" s="1"/>
  <c r="AI83" i="16"/>
  <c r="AH83" i="16"/>
  <c r="AG83" i="16"/>
  <c r="AF83" i="16"/>
  <c r="AE83" i="16"/>
  <c r="AD83" i="16"/>
  <c r="AC83" i="16"/>
  <c r="AB83" i="16"/>
  <c r="AA83" i="16"/>
  <c r="Z83" i="16"/>
  <c r="Y83" i="16"/>
  <c r="X83" i="16"/>
  <c r="W83" i="16"/>
  <c r="V83" i="16"/>
  <c r="U83" i="16"/>
  <c r="T83" i="16"/>
  <c r="S83" i="16"/>
  <c r="R83" i="16"/>
  <c r="Q83" i="16"/>
  <c r="P83" i="16"/>
  <c r="O83" i="16"/>
  <c r="N83" i="16"/>
  <c r="M83" i="16"/>
  <c r="L83" i="16"/>
  <c r="K83" i="16"/>
  <c r="J83" i="16"/>
  <c r="I83" i="16"/>
  <c r="H83" i="16"/>
  <c r="G83" i="16"/>
  <c r="F83" i="16"/>
  <c r="E83" i="16"/>
  <c r="D83" i="16"/>
  <c r="AO83" i="16" s="1"/>
  <c r="AJ82" i="16"/>
  <c r="AQ82" i="16" s="1"/>
  <c r="AI82" i="16"/>
  <c r="AH82" i="16"/>
  <c r="AG82" i="16"/>
  <c r="AF82" i="16"/>
  <c r="AE82" i="16"/>
  <c r="AD82" i="16"/>
  <c r="AC82" i="16"/>
  <c r="AB82" i="16"/>
  <c r="AA82" i="16"/>
  <c r="Z82" i="16"/>
  <c r="Y82" i="16"/>
  <c r="X82" i="16"/>
  <c r="W82" i="16"/>
  <c r="V82" i="16"/>
  <c r="U82" i="16"/>
  <c r="T82" i="16"/>
  <c r="AM82" i="16" s="1"/>
  <c r="S82" i="16"/>
  <c r="R82" i="16"/>
  <c r="Q82" i="16"/>
  <c r="P82" i="16"/>
  <c r="O82" i="16"/>
  <c r="N82" i="16"/>
  <c r="AN82" i="16" s="1"/>
  <c r="M82" i="16"/>
  <c r="L82" i="16"/>
  <c r="K82" i="16"/>
  <c r="J82" i="16"/>
  <c r="I82" i="16"/>
  <c r="H82" i="16"/>
  <c r="G82" i="16"/>
  <c r="F82" i="16"/>
  <c r="E82" i="16"/>
  <c r="D82" i="16"/>
  <c r="AJ81" i="16"/>
  <c r="AQ81" i="16" s="1"/>
  <c r="AI81" i="16"/>
  <c r="AH81" i="16"/>
  <c r="AG81" i="16"/>
  <c r="AF81" i="16"/>
  <c r="AE81" i="16"/>
  <c r="AD81" i="16"/>
  <c r="AC81" i="16"/>
  <c r="AB81" i="16"/>
  <c r="AA81" i="16"/>
  <c r="Z81" i="16"/>
  <c r="Y81" i="16"/>
  <c r="X81" i="16"/>
  <c r="W81" i="16"/>
  <c r="V81" i="16"/>
  <c r="U81" i="16"/>
  <c r="T81" i="16"/>
  <c r="S81" i="16"/>
  <c r="R81" i="16"/>
  <c r="Q81" i="16"/>
  <c r="P81" i="16"/>
  <c r="O81" i="16"/>
  <c r="N81" i="16"/>
  <c r="M81" i="16"/>
  <c r="L81" i="16"/>
  <c r="AN81" i="16" s="1"/>
  <c r="K81" i="16"/>
  <c r="J81" i="16"/>
  <c r="I81" i="16"/>
  <c r="H81" i="16"/>
  <c r="G81" i="16"/>
  <c r="F81" i="16"/>
  <c r="E81" i="16"/>
  <c r="D81" i="16"/>
  <c r="AJ80" i="16"/>
  <c r="AQ80" i="16" s="1"/>
  <c r="AI80" i="16"/>
  <c r="AH80" i="16"/>
  <c r="AL80" i="16" s="1"/>
  <c r="AG80" i="16"/>
  <c r="AF80" i="16"/>
  <c r="AE80" i="16"/>
  <c r="AD80" i="16"/>
  <c r="AC80" i="16"/>
  <c r="AB80" i="16"/>
  <c r="AA80" i="16"/>
  <c r="Z80" i="16"/>
  <c r="Y80" i="16"/>
  <c r="X80" i="16"/>
  <c r="W80" i="16"/>
  <c r="V80" i="16"/>
  <c r="U80" i="16"/>
  <c r="T80" i="16"/>
  <c r="S80" i="16"/>
  <c r="R80" i="16"/>
  <c r="Q80" i="16"/>
  <c r="P80" i="16"/>
  <c r="O80" i="16"/>
  <c r="N80" i="16"/>
  <c r="M80" i="16"/>
  <c r="AN80" i="16" s="1"/>
  <c r="L80" i="16"/>
  <c r="K80" i="16"/>
  <c r="J80" i="16"/>
  <c r="I80" i="16"/>
  <c r="H80" i="16"/>
  <c r="G80" i="16"/>
  <c r="F80" i="16"/>
  <c r="E80" i="16"/>
  <c r="D80" i="16"/>
  <c r="C80" i="16"/>
  <c r="AJ79" i="16"/>
  <c r="AQ79" i="16" s="1"/>
  <c r="AR14" i="16" s="1"/>
  <c r="AI79" i="16"/>
  <c r="AH79" i="16"/>
  <c r="AG79" i="16"/>
  <c r="AF79" i="16"/>
  <c r="AE79" i="16"/>
  <c r="AD79" i="16"/>
  <c r="AC79" i="16"/>
  <c r="AB79" i="16"/>
  <c r="AA79" i="16"/>
  <c r="Z79" i="16"/>
  <c r="Y79" i="16"/>
  <c r="X79" i="16"/>
  <c r="W79" i="16"/>
  <c r="V79" i="16"/>
  <c r="U79" i="16"/>
  <c r="T79" i="16"/>
  <c r="AM79" i="16" s="1"/>
  <c r="S79" i="16"/>
  <c r="R79" i="16"/>
  <c r="Q79" i="16"/>
  <c r="P79" i="16"/>
  <c r="O79" i="16"/>
  <c r="N79" i="16"/>
  <c r="M79" i="16"/>
  <c r="L79" i="16"/>
  <c r="K79" i="16"/>
  <c r="J79" i="16"/>
  <c r="I79" i="16"/>
  <c r="H79" i="16"/>
  <c r="G79" i="16"/>
  <c r="F79" i="16"/>
  <c r="E79" i="16"/>
  <c r="D79" i="16"/>
  <c r="AJ78" i="16"/>
  <c r="AQ78" i="16" s="1"/>
  <c r="AI78" i="16"/>
  <c r="AH78" i="16"/>
  <c r="AG78" i="16"/>
  <c r="AF78" i="16"/>
  <c r="AE78" i="16"/>
  <c r="AD78" i="16"/>
  <c r="AC78" i="16"/>
  <c r="AB78" i="16"/>
  <c r="AA78" i="16"/>
  <c r="Z78" i="16"/>
  <c r="Y78" i="16"/>
  <c r="X78" i="16"/>
  <c r="W78" i="16"/>
  <c r="V78" i="16"/>
  <c r="U78" i="16"/>
  <c r="T78" i="16"/>
  <c r="S78" i="16"/>
  <c r="R78" i="16"/>
  <c r="Q78" i="16"/>
  <c r="P78" i="16"/>
  <c r="O78" i="16"/>
  <c r="N78" i="16"/>
  <c r="M78" i="16"/>
  <c r="L78" i="16"/>
  <c r="K78" i="16"/>
  <c r="J78" i="16"/>
  <c r="I78" i="16"/>
  <c r="H78" i="16"/>
  <c r="G78" i="16"/>
  <c r="F78" i="16"/>
  <c r="E78" i="16"/>
  <c r="D78" i="16"/>
  <c r="AQ77" i="16"/>
  <c r="AJ77" i="16"/>
  <c r="AI77" i="16"/>
  <c r="AH77" i="16"/>
  <c r="AG77" i="16"/>
  <c r="AF77" i="16"/>
  <c r="AE77" i="16"/>
  <c r="AD77" i="16"/>
  <c r="AC77" i="16"/>
  <c r="AB77" i="16"/>
  <c r="AA77" i="16"/>
  <c r="Z77" i="16"/>
  <c r="Y77" i="16"/>
  <c r="X77" i="16"/>
  <c r="W77" i="16"/>
  <c r="V77" i="16"/>
  <c r="U77" i="16"/>
  <c r="T77" i="16"/>
  <c r="S77" i="16"/>
  <c r="R77" i="16"/>
  <c r="Q77" i="16"/>
  <c r="P77" i="16"/>
  <c r="O77" i="16"/>
  <c r="N77" i="16"/>
  <c r="M77" i="16"/>
  <c r="L77" i="16"/>
  <c r="K77" i="16"/>
  <c r="J77" i="16"/>
  <c r="I77" i="16"/>
  <c r="H77" i="16"/>
  <c r="G77" i="16"/>
  <c r="F77" i="16"/>
  <c r="E77" i="16"/>
  <c r="D77" i="16"/>
  <c r="AL76" i="16"/>
  <c r="AJ76" i="16"/>
  <c r="AQ76" i="16" s="1"/>
  <c r="AI76" i="16"/>
  <c r="AH76" i="16"/>
  <c r="AG76" i="16"/>
  <c r="AF76" i="16"/>
  <c r="AE76" i="16"/>
  <c r="AD76" i="16"/>
  <c r="AC76" i="16"/>
  <c r="AB76" i="16"/>
  <c r="AA76" i="16"/>
  <c r="Z76" i="16"/>
  <c r="Y76" i="16"/>
  <c r="X76" i="16"/>
  <c r="W76" i="16"/>
  <c r="V76" i="16"/>
  <c r="U76" i="16"/>
  <c r="T76" i="16"/>
  <c r="S76" i="16"/>
  <c r="R76" i="16"/>
  <c r="Q76" i="16"/>
  <c r="P76" i="16"/>
  <c r="O76" i="16"/>
  <c r="N76" i="16"/>
  <c r="M76" i="16"/>
  <c r="AN76" i="16" s="1"/>
  <c r="L76" i="16"/>
  <c r="K76" i="16"/>
  <c r="J76" i="16"/>
  <c r="I76" i="16"/>
  <c r="H76" i="16"/>
  <c r="G76" i="16"/>
  <c r="F76" i="16"/>
  <c r="E76" i="16"/>
  <c r="D76" i="16"/>
  <c r="AO76" i="16" s="1"/>
  <c r="AO75" i="16"/>
  <c r="AJ75" i="16"/>
  <c r="AQ75" i="16" s="1"/>
  <c r="AI75" i="16"/>
  <c r="AH75" i="16"/>
  <c r="AG75" i="16"/>
  <c r="AF75" i="16"/>
  <c r="AE75" i="16"/>
  <c r="AD75" i="16"/>
  <c r="AC75" i="16"/>
  <c r="AB75" i="16"/>
  <c r="AA75" i="16"/>
  <c r="Z75" i="16"/>
  <c r="Y75" i="16"/>
  <c r="X75" i="16"/>
  <c r="W75" i="16"/>
  <c r="V75" i="16"/>
  <c r="U75" i="16"/>
  <c r="T75" i="16"/>
  <c r="S75" i="16"/>
  <c r="R75" i="16"/>
  <c r="Q75" i="16"/>
  <c r="P75" i="16"/>
  <c r="O75" i="16"/>
  <c r="N75" i="16"/>
  <c r="M75" i="16"/>
  <c r="L75" i="16"/>
  <c r="AN75" i="16" s="1"/>
  <c r="K75" i="16"/>
  <c r="J75" i="16"/>
  <c r="I75" i="16"/>
  <c r="H75" i="16"/>
  <c r="G75" i="16"/>
  <c r="F75" i="16"/>
  <c r="E75" i="16"/>
  <c r="D75" i="16"/>
  <c r="AJ74" i="16"/>
  <c r="AI74" i="16"/>
  <c r="AH74" i="16"/>
  <c r="AG74" i="16"/>
  <c r="AF74" i="16"/>
  <c r="AE74" i="16"/>
  <c r="AD74" i="16"/>
  <c r="AC74" i="16"/>
  <c r="AB74" i="16"/>
  <c r="AA74" i="16"/>
  <c r="Z74" i="16"/>
  <c r="Y74" i="16"/>
  <c r="X74" i="16"/>
  <c r="W74" i="16"/>
  <c r="V74" i="16"/>
  <c r="AM74" i="16" s="1"/>
  <c r="U74" i="16"/>
  <c r="T74" i="16"/>
  <c r="S74" i="16"/>
  <c r="R74" i="16"/>
  <c r="Q74" i="16"/>
  <c r="P74" i="16"/>
  <c r="O74" i="16"/>
  <c r="N74" i="16"/>
  <c r="M74" i="16"/>
  <c r="L74" i="16"/>
  <c r="K74" i="16"/>
  <c r="J74" i="16"/>
  <c r="I74" i="16"/>
  <c r="H74" i="16"/>
  <c r="G74" i="16"/>
  <c r="F74" i="16"/>
  <c r="E74" i="16"/>
  <c r="D74" i="16"/>
  <c r="AJ73" i="16"/>
  <c r="AI73" i="16"/>
  <c r="AH73" i="16"/>
  <c r="AG73" i="16"/>
  <c r="AF73" i="16"/>
  <c r="AE73" i="16"/>
  <c r="AD73" i="16"/>
  <c r="AC73" i="16"/>
  <c r="AB73" i="16"/>
  <c r="AA73" i="16"/>
  <c r="Z73" i="16"/>
  <c r="Y73" i="16"/>
  <c r="X73" i="16"/>
  <c r="W73" i="16"/>
  <c r="V73" i="16"/>
  <c r="U73" i="16"/>
  <c r="T73" i="16"/>
  <c r="S73" i="16"/>
  <c r="R73" i="16"/>
  <c r="Q73" i="16"/>
  <c r="P73" i="16"/>
  <c r="O73" i="16"/>
  <c r="N73" i="16"/>
  <c r="M73" i="16"/>
  <c r="L73" i="16"/>
  <c r="K73" i="16"/>
  <c r="J73" i="16"/>
  <c r="I73" i="16"/>
  <c r="H73" i="16"/>
  <c r="G73" i="16"/>
  <c r="F73" i="16"/>
  <c r="E73" i="16"/>
  <c r="D73" i="16"/>
  <c r="AJ72" i="16"/>
  <c r="AI72" i="16"/>
  <c r="AH72" i="16"/>
  <c r="AG72" i="16"/>
  <c r="AF72" i="16"/>
  <c r="AE72" i="16"/>
  <c r="AD72" i="16"/>
  <c r="AC72" i="16"/>
  <c r="AB72" i="16"/>
  <c r="AA72" i="16"/>
  <c r="Z72" i="16"/>
  <c r="Y72" i="16"/>
  <c r="X72" i="16"/>
  <c r="W72" i="16"/>
  <c r="V72" i="16"/>
  <c r="U72" i="16"/>
  <c r="T72" i="16"/>
  <c r="AM72" i="16" s="1"/>
  <c r="S72" i="16"/>
  <c r="R72" i="16"/>
  <c r="Q72" i="16"/>
  <c r="P72" i="16"/>
  <c r="O72" i="16"/>
  <c r="N72" i="16"/>
  <c r="M72" i="16"/>
  <c r="L72" i="16"/>
  <c r="K72" i="16"/>
  <c r="J72" i="16"/>
  <c r="I72" i="16"/>
  <c r="H72" i="16"/>
  <c r="G72" i="16"/>
  <c r="F72" i="16"/>
  <c r="E72" i="16"/>
  <c r="D72" i="16"/>
  <c r="C72" i="16"/>
  <c r="AJ71" i="16"/>
  <c r="AI71" i="16"/>
  <c r="AH71"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AT70" i="16"/>
  <c r="AR70" i="16"/>
  <c r="AT69" i="16"/>
  <c r="C69" i="16"/>
  <c r="C199" i="16" s="1"/>
  <c r="AT68" i="16"/>
  <c r="AS68" i="16"/>
  <c r="C68" i="16"/>
  <c r="C198" i="16" s="1"/>
  <c r="AT67" i="16"/>
  <c r="C67" i="16"/>
  <c r="C197" i="16" s="1"/>
  <c r="AT66" i="16"/>
  <c r="C66" i="16"/>
  <c r="AT65" i="16"/>
  <c r="AR65" i="16"/>
  <c r="C65" i="16"/>
  <c r="C195" i="16" s="1"/>
  <c r="AT64" i="16"/>
  <c r="C64" i="16"/>
  <c r="C194" i="16" s="1"/>
  <c r="AT63" i="16"/>
  <c r="C63" i="16"/>
  <c r="C193" i="16" s="1"/>
  <c r="AT62" i="16"/>
  <c r="C62" i="16"/>
  <c r="AT61" i="16"/>
  <c r="C61" i="16"/>
  <c r="C191" i="16" s="1"/>
  <c r="AT60" i="16"/>
  <c r="AR60" i="16"/>
  <c r="C60" i="16"/>
  <c r="C190" i="16" s="1"/>
  <c r="AT59" i="16"/>
  <c r="C59" i="16"/>
  <c r="AT58" i="16"/>
  <c r="C58" i="16"/>
  <c r="C123" i="16" s="1"/>
  <c r="AT57" i="16"/>
  <c r="C57" i="16"/>
  <c r="C187" i="16" s="1"/>
  <c r="AT56" i="16"/>
  <c r="AS56" i="16"/>
  <c r="C56" i="16"/>
  <c r="C186" i="16" s="1"/>
  <c r="AT55" i="16"/>
  <c r="AS55" i="16"/>
  <c r="C55" i="16"/>
  <c r="AT54" i="16"/>
  <c r="C54" i="16"/>
  <c r="C119" i="16" s="1"/>
  <c r="AT53" i="16"/>
  <c r="C53" i="16"/>
  <c r="C183" i="16" s="1"/>
  <c r="AT52" i="16"/>
  <c r="C52" i="16"/>
  <c r="C182" i="16" s="1"/>
  <c r="AT51" i="16"/>
  <c r="C51" i="16"/>
  <c r="C181" i="16" s="1"/>
  <c r="AT50" i="16"/>
  <c r="C50" i="16"/>
  <c r="AT49" i="16"/>
  <c r="C49" i="16"/>
  <c r="C179" i="16" s="1"/>
  <c r="AT48" i="16"/>
  <c r="C48" i="16"/>
  <c r="C178" i="16" s="1"/>
  <c r="AT47" i="16"/>
  <c r="C47" i="16"/>
  <c r="AT46" i="16"/>
  <c r="C46" i="16"/>
  <c r="C111" i="16" s="1"/>
  <c r="AT45" i="16"/>
  <c r="C45" i="16"/>
  <c r="C175" i="16" s="1"/>
  <c r="AT44" i="16"/>
  <c r="AS44" i="16"/>
  <c r="C44" i="16"/>
  <c r="C174" i="16" s="1"/>
  <c r="AT43" i="16"/>
  <c r="C43" i="16"/>
  <c r="AT42" i="16"/>
  <c r="C42" i="16"/>
  <c r="C107" i="16" s="1"/>
  <c r="AT41" i="16"/>
  <c r="C41" i="16"/>
  <c r="C171" i="16" s="1"/>
  <c r="AT40" i="16"/>
  <c r="C40" i="16"/>
  <c r="C170" i="16" s="1"/>
  <c r="AT39" i="16"/>
  <c r="C39" i="16"/>
  <c r="AT38" i="16"/>
  <c r="C38" i="16"/>
  <c r="C103" i="16" s="1"/>
  <c r="AT37" i="16"/>
  <c r="C37" i="16"/>
  <c r="C167" i="16" s="1"/>
  <c r="AT36" i="16"/>
  <c r="C36" i="16"/>
  <c r="C166" i="16" s="1"/>
  <c r="AT35" i="16"/>
  <c r="C35" i="16"/>
  <c r="AT34" i="16"/>
  <c r="C34" i="16"/>
  <c r="C99" i="16" s="1"/>
  <c r="AT33" i="16"/>
  <c r="C33" i="16"/>
  <c r="C163" i="16" s="1"/>
  <c r="AT32" i="16"/>
  <c r="AS32" i="16"/>
  <c r="C32" i="16"/>
  <c r="C162" i="16" s="1"/>
  <c r="AT31" i="16"/>
  <c r="C31" i="16"/>
  <c r="AT30" i="16"/>
  <c r="C30" i="16"/>
  <c r="C95" i="16" s="1"/>
  <c r="AT29" i="16"/>
  <c r="C29" i="16"/>
  <c r="C159" i="16" s="1"/>
  <c r="AT28" i="16"/>
  <c r="C28" i="16"/>
  <c r="C158" i="16" s="1"/>
  <c r="AT27" i="16"/>
  <c r="C27" i="16"/>
  <c r="C157" i="16" s="1"/>
  <c r="AT26" i="16"/>
  <c r="C26" i="16"/>
  <c r="AT25" i="16"/>
  <c r="C25" i="16"/>
  <c r="C155" i="16" s="1"/>
  <c r="AT24" i="16"/>
  <c r="C24" i="16"/>
  <c r="C154" i="16" s="1"/>
  <c r="AT23" i="16"/>
  <c r="C23" i="16"/>
  <c r="AT22" i="16"/>
  <c r="C22" i="16"/>
  <c r="C87" i="16" s="1"/>
  <c r="AT21" i="16"/>
  <c r="C21" i="16"/>
  <c r="C151" i="16" s="1"/>
  <c r="AT20" i="16"/>
  <c r="C20" i="16"/>
  <c r="C150" i="16" s="1"/>
  <c r="AT19" i="16"/>
  <c r="C19" i="16"/>
  <c r="AT18" i="16"/>
  <c r="C18" i="16"/>
  <c r="AT17" i="16"/>
  <c r="C17" i="16"/>
  <c r="C147" i="16" s="1"/>
  <c r="AT16" i="16"/>
  <c r="C16" i="16"/>
  <c r="C146" i="16" s="1"/>
  <c r="AT15" i="16"/>
  <c r="C15" i="16"/>
  <c r="C145" i="16" s="1"/>
  <c r="AT14" i="16"/>
  <c r="C14" i="16"/>
  <c r="C79" i="16" s="1"/>
  <c r="AW13" i="16"/>
  <c r="AT13" i="16"/>
  <c r="C13" i="16"/>
  <c r="C143" i="16" s="1"/>
  <c r="AT12" i="16"/>
  <c r="C12" i="16"/>
  <c r="C142" i="16" s="1"/>
  <c r="AT11" i="16"/>
  <c r="C11" i="16"/>
  <c r="C141" i="16" s="1"/>
  <c r="AT10" i="16"/>
  <c r="C10" i="16"/>
  <c r="C75" i="16" s="1"/>
  <c r="AL9" i="16"/>
  <c r="C9" i="16"/>
  <c r="AL8" i="16"/>
  <c r="AT8" i="16" s="1"/>
  <c r="C8" i="16"/>
  <c r="C138" i="16" s="1"/>
  <c r="AW7" i="16"/>
  <c r="C7" i="16"/>
  <c r="C137" i="16" s="1"/>
  <c r="AW6" i="16"/>
  <c r="AL6" i="16"/>
  <c r="AT6" i="16" s="1"/>
  <c r="C6" i="16"/>
  <c r="C71" i="16" s="1"/>
  <c r="AQ199" i="15"/>
  <c r="AJ199" i="15"/>
  <c r="AI199" i="15"/>
  <c r="AH199" i="15"/>
  <c r="AG199" i="15"/>
  <c r="AF199" i="15"/>
  <c r="AE199" i="15"/>
  <c r="AD199" i="15"/>
  <c r="AC199" i="15"/>
  <c r="AB199" i="15"/>
  <c r="AA199" i="15"/>
  <c r="Z199" i="15"/>
  <c r="Y199" i="15"/>
  <c r="X199" i="15"/>
  <c r="W199" i="15"/>
  <c r="V199" i="15"/>
  <c r="U199" i="15"/>
  <c r="T199" i="15"/>
  <c r="AM199" i="15" s="1"/>
  <c r="S199" i="15"/>
  <c r="R199" i="15"/>
  <c r="Q199" i="15"/>
  <c r="P199" i="15"/>
  <c r="O199" i="15"/>
  <c r="N199" i="15"/>
  <c r="M199" i="15"/>
  <c r="L199" i="15"/>
  <c r="K199" i="15"/>
  <c r="J199" i="15"/>
  <c r="I199" i="15"/>
  <c r="H199" i="15"/>
  <c r="G199" i="15"/>
  <c r="F199" i="15"/>
  <c r="E199" i="15"/>
  <c r="D199" i="15"/>
  <c r="AJ198" i="15"/>
  <c r="AQ198" i="15" s="1"/>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Q197" i="15" s="1"/>
  <c r="AS68"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AN197" i="15" s="1"/>
  <c r="M197" i="15"/>
  <c r="L197" i="15"/>
  <c r="K197" i="15"/>
  <c r="J197" i="15"/>
  <c r="I197" i="15"/>
  <c r="H197" i="15"/>
  <c r="G197" i="15"/>
  <c r="F197" i="15"/>
  <c r="E197" i="15"/>
  <c r="D197" i="15"/>
  <c r="AJ196" i="15"/>
  <c r="AQ196" i="15" s="1"/>
  <c r="AS66" i="15" s="1"/>
  <c r="AI196" i="15"/>
  <c r="AH196" i="15"/>
  <c r="AG196" i="15"/>
  <c r="AF196" i="15"/>
  <c r="AE196" i="15"/>
  <c r="AD196" i="15"/>
  <c r="AC196" i="15"/>
  <c r="AB196" i="15"/>
  <c r="AA196" i="15"/>
  <c r="Z196" i="15"/>
  <c r="Y196" i="15"/>
  <c r="X196" i="15"/>
  <c r="AM196" i="15" s="1"/>
  <c r="W196" i="15"/>
  <c r="V196" i="15"/>
  <c r="U196" i="15"/>
  <c r="T196" i="15"/>
  <c r="S196" i="15"/>
  <c r="R196" i="15"/>
  <c r="Q196" i="15"/>
  <c r="P196" i="15"/>
  <c r="O196" i="15"/>
  <c r="N196" i="15"/>
  <c r="M196" i="15"/>
  <c r="L196" i="15"/>
  <c r="AN196" i="15" s="1"/>
  <c r="K196" i="15"/>
  <c r="J196" i="15"/>
  <c r="I196" i="15"/>
  <c r="H196" i="15"/>
  <c r="G196" i="15"/>
  <c r="F196" i="15"/>
  <c r="E196" i="15"/>
  <c r="D196" i="15"/>
  <c r="AQ195" i="15"/>
  <c r="AJ195" i="15"/>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J194" i="15"/>
  <c r="AQ194" i="15" s="1"/>
  <c r="AI194" i="15"/>
  <c r="AH194" i="15"/>
  <c r="AG194" i="15"/>
  <c r="AF194" i="15"/>
  <c r="AE194" i="15"/>
  <c r="AD194" i="15"/>
  <c r="AC194" i="15"/>
  <c r="AB194" i="15"/>
  <c r="AA194" i="15"/>
  <c r="Z194" i="15"/>
  <c r="Y194" i="15"/>
  <c r="X194" i="15"/>
  <c r="W194" i="15"/>
  <c r="V194" i="15"/>
  <c r="U194" i="15"/>
  <c r="T194" i="15"/>
  <c r="AM194" i="15" s="1"/>
  <c r="S194" i="15"/>
  <c r="R194" i="15"/>
  <c r="Q194" i="15"/>
  <c r="P194" i="15"/>
  <c r="O194" i="15"/>
  <c r="N194" i="15"/>
  <c r="M194" i="15"/>
  <c r="L194" i="15"/>
  <c r="K194" i="15"/>
  <c r="J194" i="15"/>
  <c r="I194" i="15"/>
  <c r="H194" i="15"/>
  <c r="G194" i="15"/>
  <c r="F194" i="15"/>
  <c r="E194" i="15"/>
  <c r="D194" i="15"/>
  <c r="AJ193" i="15"/>
  <c r="AQ193" i="15" s="1"/>
  <c r="AI193" i="15"/>
  <c r="AH193" i="15"/>
  <c r="AG193" i="15"/>
  <c r="AF193" i="15"/>
  <c r="AE193" i="15"/>
  <c r="AD193" i="15"/>
  <c r="AC193" i="15"/>
  <c r="AB193" i="15"/>
  <c r="AL193" i="15" s="1"/>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O193" i="15" s="1"/>
  <c r="AJ192" i="15"/>
  <c r="AQ192" i="15" s="1"/>
  <c r="AS62" i="15" s="1"/>
  <c r="AI192" i="15"/>
  <c r="AH192" i="15"/>
  <c r="AG192" i="15"/>
  <c r="AF192" i="15"/>
  <c r="AE192" i="15"/>
  <c r="AD192" i="15"/>
  <c r="AC192" i="15"/>
  <c r="AB192" i="15"/>
  <c r="AL192" i="15" s="1"/>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O192" i="15" s="1"/>
  <c r="AQ191" i="15"/>
  <c r="AS61" i="15" s="1"/>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AN191" i="15" s="1"/>
  <c r="L191" i="15"/>
  <c r="K191" i="15"/>
  <c r="J191" i="15"/>
  <c r="I191" i="15"/>
  <c r="H191" i="15"/>
  <c r="G191" i="15"/>
  <c r="F191" i="15"/>
  <c r="E191" i="15"/>
  <c r="D191" i="15"/>
  <c r="AJ190" i="15"/>
  <c r="AQ190" i="15" s="1"/>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L189" i="15" s="1"/>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O189" i="15" s="1"/>
  <c r="AQ188" i="15"/>
  <c r="AJ188" i="15"/>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J187" i="15"/>
  <c r="AQ187" i="15" s="1"/>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Q186" i="15" s="1"/>
  <c r="AI186" i="15"/>
  <c r="AH186" i="15"/>
  <c r="AG186" i="15"/>
  <c r="AF186" i="15"/>
  <c r="AE186" i="15"/>
  <c r="AD186" i="15"/>
  <c r="AC186" i="15"/>
  <c r="AB186" i="15"/>
  <c r="AA186" i="15"/>
  <c r="Z186" i="15"/>
  <c r="Y186" i="15"/>
  <c r="X186" i="15"/>
  <c r="W186" i="15"/>
  <c r="V186" i="15"/>
  <c r="U186" i="15"/>
  <c r="T186" i="15"/>
  <c r="S186" i="15"/>
  <c r="R186" i="15"/>
  <c r="Q186" i="15"/>
  <c r="P186" i="15"/>
  <c r="O186" i="15"/>
  <c r="N186" i="15"/>
  <c r="M186" i="15"/>
  <c r="L186" i="15"/>
  <c r="AN186" i="15" s="1"/>
  <c r="K186" i="15"/>
  <c r="J186" i="15"/>
  <c r="I186" i="15"/>
  <c r="H186" i="15"/>
  <c r="G186" i="15"/>
  <c r="F186" i="15"/>
  <c r="E186" i="15"/>
  <c r="D186"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Q184"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Q183"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Q182" i="15" s="1"/>
  <c r="AS53" i="15" s="1"/>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AN182" i="15" s="1"/>
  <c r="K182" i="15"/>
  <c r="J182" i="15"/>
  <c r="I182" i="15"/>
  <c r="H182" i="15"/>
  <c r="G182" i="15"/>
  <c r="F182" i="15"/>
  <c r="E182" i="15"/>
  <c r="D182" i="15"/>
  <c r="AJ181" i="15"/>
  <c r="AQ181" i="15" s="1"/>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J180" i="15"/>
  <c r="AQ180" i="15" s="1"/>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Q179" i="15" s="1"/>
  <c r="AS49" i="15" s="1"/>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G179" i="15"/>
  <c r="F179" i="15"/>
  <c r="E179" i="15"/>
  <c r="D179" i="15"/>
  <c r="AJ178" i="15"/>
  <c r="AQ178" i="15" s="1"/>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B177" i="15"/>
  <c r="AL177" i="15" s="1"/>
  <c r="AA177" i="15"/>
  <c r="Z177" i="15"/>
  <c r="Y177" i="15"/>
  <c r="AM177" i="15" s="1"/>
  <c r="X177" i="15"/>
  <c r="W177" i="15"/>
  <c r="V177" i="15"/>
  <c r="U177" i="15"/>
  <c r="T177" i="15"/>
  <c r="S177" i="15"/>
  <c r="R177" i="15"/>
  <c r="Q177" i="15"/>
  <c r="P177" i="15"/>
  <c r="O177" i="15"/>
  <c r="N177" i="15"/>
  <c r="M177" i="15"/>
  <c r="L177" i="15"/>
  <c r="K177" i="15"/>
  <c r="J177" i="15"/>
  <c r="I177" i="15"/>
  <c r="H177" i="15"/>
  <c r="G177" i="15"/>
  <c r="F177" i="15"/>
  <c r="E177" i="15"/>
  <c r="D177" i="15"/>
  <c r="AO177" i="15" s="1"/>
  <c r="AJ176" i="15"/>
  <c r="AQ176" i="15" s="1"/>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Q175" i="15" s="1"/>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Q174" i="15" s="1"/>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B173" i="15"/>
  <c r="AL173" i="15" s="1"/>
  <c r="AA173" i="15"/>
  <c r="Z173" i="15"/>
  <c r="Y173" i="15"/>
  <c r="X173" i="15"/>
  <c r="W173" i="15"/>
  <c r="V173" i="15"/>
  <c r="U173" i="15"/>
  <c r="T173" i="15"/>
  <c r="AM173" i="15" s="1"/>
  <c r="S173" i="15"/>
  <c r="R173" i="15"/>
  <c r="Q173" i="15"/>
  <c r="P173" i="15"/>
  <c r="O173" i="15"/>
  <c r="N173" i="15"/>
  <c r="M173" i="15"/>
  <c r="L173" i="15"/>
  <c r="K173" i="15"/>
  <c r="J173" i="15"/>
  <c r="I173" i="15"/>
  <c r="H173" i="15"/>
  <c r="G173" i="15"/>
  <c r="F173" i="15"/>
  <c r="E173" i="15"/>
  <c r="D173" i="15"/>
  <c r="AO173" i="15" s="1"/>
  <c r="AQ172" i="15"/>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Q171" i="15" s="1"/>
  <c r="AS42" i="15" s="1"/>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O171" i="15" s="1"/>
  <c r="AJ170" i="15"/>
  <c r="AQ170" i="15" s="1"/>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AN170" i="15" s="1"/>
  <c r="K170" i="15"/>
  <c r="J170" i="15"/>
  <c r="I170" i="15"/>
  <c r="H170" i="15"/>
  <c r="G170" i="15"/>
  <c r="F170" i="15"/>
  <c r="E170" i="15"/>
  <c r="D170" i="15"/>
  <c r="AJ169" i="15"/>
  <c r="AQ169" i="15" s="1"/>
  <c r="AI169" i="15"/>
  <c r="AH169" i="15"/>
  <c r="AG169" i="15"/>
  <c r="AF169" i="15"/>
  <c r="AE169" i="15"/>
  <c r="AD169" i="15"/>
  <c r="AC169" i="15"/>
  <c r="AB169" i="15"/>
  <c r="AA169" i="15"/>
  <c r="Z169" i="15"/>
  <c r="Y169" i="15"/>
  <c r="X169" i="15"/>
  <c r="W169" i="15"/>
  <c r="V169" i="15"/>
  <c r="U169" i="15"/>
  <c r="T169" i="15"/>
  <c r="AM169" i="15" s="1"/>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J167" i="15"/>
  <c r="AQ167" i="15" s="1"/>
  <c r="AS37" i="15" s="1"/>
  <c r="AI167" i="15"/>
  <c r="AH167" i="15"/>
  <c r="AG167" i="15"/>
  <c r="AF167" i="15"/>
  <c r="AE167" i="15"/>
  <c r="AD167" i="15"/>
  <c r="AC167" i="15"/>
  <c r="AB167" i="15"/>
  <c r="AA167" i="15"/>
  <c r="Z167" i="15"/>
  <c r="Y167" i="15"/>
  <c r="X167" i="15"/>
  <c r="W167" i="15"/>
  <c r="V167" i="15"/>
  <c r="U167" i="15"/>
  <c r="T167" i="15"/>
  <c r="AM167" i="15" s="1"/>
  <c r="S167" i="15"/>
  <c r="R167" i="15"/>
  <c r="Q167" i="15"/>
  <c r="P167" i="15"/>
  <c r="O167" i="15"/>
  <c r="N167" i="15"/>
  <c r="M167" i="15"/>
  <c r="L167" i="15"/>
  <c r="K167" i="15"/>
  <c r="J167" i="15"/>
  <c r="I167" i="15"/>
  <c r="H167" i="15"/>
  <c r="G167" i="15"/>
  <c r="F167" i="15"/>
  <c r="E167" i="15"/>
  <c r="D167" i="15"/>
  <c r="AJ166" i="15"/>
  <c r="AQ166" i="15" s="1"/>
  <c r="AS36" i="15" s="1"/>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Q165" i="15" s="1"/>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Q164" i="15" s="1"/>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J163" i="15"/>
  <c r="AQ163" i="15" s="1"/>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Q162" i="15" s="1"/>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J161" i="15"/>
  <c r="AQ161" i="15" s="1"/>
  <c r="AS32" i="15" s="1"/>
  <c r="AI161" i="15"/>
  <c r="AH161" i="15"/>
  <c r="AG161" i="15"/>
  <c r="AF161" i="15"/>
  <c r="AE161" i="15"/>
  <c r="AD161" i="15"/>
  <c r="AC161" i="15"/>
  <c r="AB161" i="15"/>
  <c r="AL161" i="15" s="1"/>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O161" i="15" s="1"/>
  <c r="AQ160" i="15"/>
  <c r="AJ160" i="15"/>
  <c r="AI160" i="15"/>
  <c r="AH160" i="15"/>
  <c r="AG160" i="15"/>
  <c r="AF160" i="15"/>
  <c r="AE160" i="15"/>
  <c r="AD160" i="15"/>
  <c r="AC160" i="15"/>
  <c r="AB160" i="15"/>
  <c r="AA160" i="15"/>
  <c r="Z160" i="15"/>
  <c r="Y160" i="15"/>
  <c r="X160" i="15"/>
  <c r="W160" i="15"/>
  <c r="V160" i="15"/>
  <c r="AM160" i="15" s="1"/>
  <c r="U160" i="15"/>
  <c r="T160" i="15"/>
  <c r="S160" i="15"/>
  <c r="R160" i="15"/>
  <c r="Q160" i="15"/>
  <c r="P160" i="15"/>
  <c r="O160" i="15"/>
  <c r="N160" i="15"/>
  <c r="M160" i="15"/>
  <c r="L160" i="15"/>
  <c r="K160" i="15"/>
  <c r="J160" i="15"/>
  <c r="I160" i="15"/>
  <c r="H160" i="15"/>
  <c r="G160" i="15"/>
  <c r="F160" i="15"/>
  <c r="E160" i="15"/>
  <c r="D160" i="15"/>
  <c r="AJ159" i="15"/>
  <c r="AQ159" i="15" s="1"/>
  <c r="AI159" i="15"/>
  <c r="AH159" i="15"/>
  <c r="AG159" i="15"/>
  <c r="AF159" i="15"/>
  <c r="AL159" i="15" s="1"/>
  <c r="AE159" i="15"/>
  <c r="AD159" i="15"/>
  <c r="AC159" i="15"/>
  <c r="AB159" i="15"/>
  <c r="AA159" i="15"/>
  <c r="Z159" i="15"/>
  <c r="Y159" i="15"/>
  <c r="X159" i="15"/>
  <c r="W159" i="15"/>
  <c r="V159" i="15"/>
  <c r="U159" i="15"/>
  <c r="T159" i="15"/>
  <c r="AM159" i="15" s="1"/>
  <c r="S159" i="15"/>
  <c r="R159" i="15"/>
  <c r="Q159" i="15"/>
  <c r="P159" i="15"/>
  <c r="O159" i="15"/>
  <c r="N159" i="15"/>
  <c r="M159" i="15"/>
  <c r="L159" i="15"/>
  <c r="K159" i="15"/>
  <c r="J159" i="15"/>
  <c r="I159" i="15"/>
  <c r="H159" i="15"/>
  <c r="G159" i="15"/>
  <c r="F159" i="15"/>
  <c r="E159" i="15"/>
  <c r="D159" i="15"/>
  <c r="AJ158" i="15"/>
  <c r="AQ158" i="15" s="1"/>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Q157" i="15" s="1"/>
  <c r="AI157" i="15"/>
  <c r="AH157" i="15"/>
  <c r="AG157" i="15"/>
  <c r="AF157" i="15"/>
  <c r="AE157" i="15"/>
  <c r="AD157" i="15"/>
  <c r="AC157" i="15"/>
  <c r="AB157" i="15"/>
  <c r="AA157" i="15"/>
  <c r="Z157" i="15"/>
  <c r="AM157" i="15" s="1"/>
  <c r="Y157" i="15"/>
  <c r="X157" i="15"/>
  <c r="W157" i="15"/>
  <c r="V157" i="15"/>
  <c r="U157" i="15"/>
  <c r="T157" i="15"/>
  <c r="S157" i="15"/>
  <c r="R157" i="15"/>
  <c r="Q157" i="15"/>
  <c r="P157" i="15"/>
  <c r="O157" i="15"/>
  <c r="N157" i="15"/>
  <c r="AN157" i="15" s="1"/>
  <c r="M157" i="15"/>
  <c r="L157" i="15"/>
  <c r="K157" i="15"/>
  <c r="J157" i="15"/>
  <c r="I157" i="15"/>
  <c r="H157" i="15"/>
  <c r="G157" i="15"/>
  <c r="F157" i="15"/>
  <c r="E157" i="15"/>
  <c r="D157" i="15"/>
  <c r="C157" i="15"/>
  <c r="AQ156"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I156" i="15"/>
  <c r="H156" i="15"/>
  <c r="G156" i="15"/>
  <c r="F156" i="15"/>
  <c r="E156" i="15"/>
  <c r="D156" i="15"/>
  <c r="AJ155" i="15"/>
  <c r="AQ155" i="15" s="1"/>
  <c r="AS25" i="15" s="1"/>
  <c r="AI155" i="15"/>
  <c r="AH155" i="15"/>
  <c r="AG155" i="15"/>
  <c r="AF155" i="15"/>
  <c r="AE155" i="15"/>
  <c r="AD155" i="15"/>
  <c r="AC155" i="15"/>
  <c r="AB155" i="15"/>
  <c r="AA155" i="15"/>
  <c r="Z155" i="15"/>
  <c r="Y155" i="15"/>
  <c r="X155" i="15"/>
  <c r="W155" i="15"/>
  <c r="V155" i="15"/>
  <c r="U155" i="15"/>
  <c r="T155" i="15"/>
  <c r="S155" i="15"/>
  <c r="R155" i="15"/>
  <c r="Q155" i="15"/>
  <c r="P155" i="15"/>
  <c r="O155" i="15"/>
  <c r="N155" i="15"/>
  <c r="M155" i="15"/>
  <c r="L155" i="15"/>
  <c r="K155" i="15"/>
  <c r="J155" i="15"/>
  <c r="I155" i="15"/>
  <c r="H155" i="15"/>
  <c r="G155" i="15"/>
  <c r="F155" i="15"/>
  <c r="E155" i="15"/>
  <c r="D155" i="15"/>
  <c r="AJ154" i="15"/>
  <c r="AQ154" i="15" s="1"/>
  <c r="AI154" i="15"/>
  <c r="AH154" i="15"/>
  <c r="AG154" i="15"/>
  <c r="AF154" i="15"/>
  <c r="AE154" i="15"/>
  <c r="AD154" i="15"/>
  <c r="AC154" i="15"/>
  <c r="AB154" i="15"/>
  <c r="AA154" i="15"/>
  <c r="Z154" i="15"/>
  <c r="Y154" i="15"/>
  <c r="X154" i="15"/>
  <c r="W154" i="15"/>
  <c r="V154" i="15"/>
  <c r="U154" i="15"/>
  <c r="T154" i="15"/>
  <c r="AM154" i="15" s="1"/>
  <c r="S154" i="15"/>
  <c r="R154" i="15"/>
  <c r="Q154" i="15"/>
  <c r="P154" i="15"/>
  <c r="O154" i="15"/>
  <c r="N154" i="15"/>
  <c r="M154" i="15"/>
  <c r="L154" i="15"/>
  <c r="AN154" i="15" s="1"/>
  <c r="K154" i="15"/>
  <c r="J154" i="15"/>
  <c r="I154" i="15"/>
  <c r="H154" i="15"/>
  <c r="G154" i="15"/>
  <c r="F154" i="15"/>
  <c r="E154" i="15"/>
  <c r="D154" i="15"/>
  <c r="AJ153" i="15"/>
  <c r="AQ153" i="15" s="1"/>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Q152" i="15"/>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O151" i="15" s="1"/>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AN150" i="15" s="1"/>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AM149" i="15" s="1"/>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N147" i="15"/>
  <c r="M147" i="15"/>
  <c r="AN147" i="15" s="1"/>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AM145" i="15" s="1"/>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AM141" i="15" s="1"/>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AN138" i="15" s="1"/>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AM137" i="15" s="1"/>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Q134" i="15" s="1"/>
  <c r="AI134" i="15"/>
  <c r="AH134" i="15"/>
  <c r="AG134" i="15"/>
  <c r="AF134" i="15"/>
  <c r="AE134" i="15"/>
  <c r="AD134" i="15"/>
  <c r="AC134" i="15"/>
  <c r="AB134" i="15"/>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J133" i="15"/>
  <c r="AQ133" i="15" s="1"/>
  <c r="AI133" i="15"/>
  <c r="AH133" i="15"/>
  <c r="AG133" i="15"/>
  <c r="AF133" i="15"/>
  <c r="AE133" i="15"/>
  <c r="AD133" i="15"/>
  <c r="AC133" i="15"/>
  <c r="AB133" i="15"/>
  <c r="AL133" i="15" s="1"/>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Q132" i="15"/>
  <c r="AJ132" i="15"/>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AN132" i="15" s="1"/>
  <c r="L132" i="15"/>
  <c r="K132" i="15"/>
  <c r="J132" i="15"/>
  <c r="I132" i="15"/>
  <c r="H132" i="15"/>
  <c r="G132" i="15"/>
  <c r="F132" i="15"/>
  <c r="E132" i="15"/>
  <c r="D132" i="15"/>
  <c r="AO132" i="15" s="1"/>
  <c r="AQ131" i="15"/>
  <c r="AR66" i="15" s="1"/>
  <c r="AJ131" i="15"/>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Q130" i="15" s="1"/>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AN130" i="15" s="1"/>
  <c r="L130" i="15"/>
  <c r="K130" i="15"/>
  <c r="J130" i="15"/>
  <c r="I130" i="15"/>
  <c r="H130" i="15"/>
  <c r="G130" i="15"/>
  <c r="F130" i="15"/>
  <c r="E130" i="15"/>
  <c r="D130" i="15"/>
  <c r="AJ129" i="15"/>
  <c r="AQ129" i="15" s="1"/>
  <c r="AI129" i="15"/>
  <c r="AH129" i="15"/>
  <c r="AG129" i="15"/>
  <c r="AF129" i="15"/>
  <c r="AE129" i="15"/>
  <c r="AD129" i="15"/>
  <c r="AC129" i="15"/>
  <c r="AB129" i="15"/>
  <c r="AL129" i="15" s="1"/>
  <c r="AA129" i="15"/>
  <c r="Z129" i="15"/>
  <c r="Y129" i="15"/>
  <c r="X129" i="15"/>
  <c r="W129" i="15"/>
  <c r="V129" i="15"/>
  <c r="U129" i="15"/>
  <c r="T129" i="15"/>
  <c r="S129" i="15"/>
  <c r="R129" i="15"/>
  <c r="Q129" i="15"/>
  <c r="P129" i="15"/>
  <c r="O129" i="15"/>
  <c r="N129" i="15"/>
  <c r="M129" i="15"/>
  <c r="L129" i="15"/>
  <c r="K129" i="15"/>
  <c r="J129" i="15"/>
  <c r="I129" i="15"/>
  <c r="H129" i="15"/>
  <c r="G129" i="15"/>
  <c r="F129" i="15"/>
  <c r="E129" i="15"/>
  <c r="D129" i="15"/>
  <c r="AJ128" i="15"/>
  <c r="AQ128" i="15" s="1"/>
  <c r="AI128" i="15"/>
  <c r="AH128" i="15"/>
  <c r="AG128" i="15"/>
  <c r="AF128" i="15"/>
  <c r="AE128" i="15"/>
  <c r="AD128" i="15"/>
  <c r="AC128" i="15"/>
  <c r="AB128" i="15"/>
  <c r="AA128" i="15"/>
  <c r="Z128" i="15"/>
  <c r="Y128" i="15"/>
  <c r="X128" i="15"/>
  <c r="W128" i="15"/>
  <c r="V128" i="15"/>
  <c r="U128" i="15"/>
  <c r="T128" i="15"/>
  <c r="AM128" i="15" s="1"/>
  <c r="S128" i="15"/>
  <c r="R128" i="15"/>
  <c r="Q128" i="15"/>
  <c r="P128" i="15"/>
  <c r="O128" i="15"/>
  <c r="N128" i="15"/>
  <c r="M128" i="15"/>
  <c r="L128" i="15"/>
  <c r="AN128" i="15" s="1"/>
  <c r="K128" i="15"/>
  <c r="J128" i="15"/>
  <c r="I128" i="15"/>
  <c r="H128" i="15"/>
  <c r="AO128" i="15" s="1"/>
  <c r="G128" i="15"/>
  <c r="F128" i="15"/>
  <c r="E128" i="15"/>
  <c r="D128" i="15"/>
  <c r="AQ127" i="15"/>
  <c r="AJ127" i="15"/>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Q126" i="15" s="1"/>
  <c r="AI126" i="15"/>
  <c r="AH126" i="15"/>
  <c r="AG126" i="15"/>
  <c r="AF126" i="15"/>
  <c r="AE126" i="15"/>
  <c r="AD126" i="15"/>
  <c r="AC126" i="15"/>
  <c r="AB126" i="15"/>
  <c r="AL126" i="15" s="1"/>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O126" i="15" s="1"/>
  <c r="AJ125" i="15"/>
  <c r="AQ125" i="15" s="1"/>
  <c r="AI125" i="15"/>
  <c r="AH125" i="15"/>
  <c r="AG125" i="15"/>
  <c r="AF125" i="15"/>
  <c r="AE125" i="15"/>
  <c r="AD125" i="15"/>
  <c r="AC125" i="15"/>
  <c r="AL125" i="15" s="1"/>
  <c r="AB125" i="15"/>
  <c r="AA125" i="15"/>
  <c r="Z125" i="15"/>
  <c r="AM125" i="15" s="1"/>
  <c r="Y125" i="15"/>
  <c r="X125" i="15"/>
  <c r="W125" i="15"/>
  <c r="V125" i="15"/>
  <c r="U125" i="15"/>
  <c r="T125" i="15"/>
  <c r="S125" i="15"/>
  <c r="R125" i="15"/>
  <c r="Q125" i="15"/>
  <c r="P125" i="15"/>
  <c r="O125" i="15"/>
  <c r="N125" i="15"/>
  <c r="M125" i="15"/>
  <c r="L125" i="15"/>
  <c r="K125" i="15"/>
  <c r="J125" i="15"/>
  <c r="I125" i="15"/>
  <c r="H125" i="15"/>
  <c r="G125" i="15"/>
  <c r="F125" i="15"/>
  <c r="E125" i="15"/>
  <c r="D125" i="15"/>
  <c r="AQ124" i="15"/>
  <c r="AR60" i="15" s="1"/>
  <c r="AO124" i="15"/>
  <c r="AJ124" i="15"/>
  <c r="AI124" i="15"/>
  <c r="AH124" i="15"/>
  <c r="AG124" i="15"/>
  <c r="AF124" i="15"/>
  <c r="AE124" i="15"/>
  <c r="AD124" i="15"/>
  <c r="AC124" i="15"/>
  <c r="AB124" i="15"/>
  <c r="AL124" i="15" s="1"/>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J123" i="15"/>
  <c r="AQ123" i="15" s="1"/>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J122" i="15"/>
  <c r="AQ122" i="15" s="1"/>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AN122" i="15" s="1"/>
  <c r="K122" i="15"/>
  <c r="J122" i="15"/>
  <c r="I122" i="15"/>
  <c r="H122" i="15"/>
  <c r="G122" i="15"/>
  <c r="F122" i="15"/>
  <c r="E122" i="15"/>
  <c r="D122" i="15"/>
  <c r="AJ121" i="15"/>
  <c r="AQ121" i="15" s="1"/>
  <c r="AI121" i="15"/>
  <c r="AH121" i="15"/>
  <c r="AG121" i="15"/>
  <c r="AF121" i="15"/>
  <c r="AE121" i="15"/>
  <c r="AL121" i="15" s="1"/>
  <c r="AD121" i="15"/>
  <c r="AC121" i="15"/>
  <c r="AB121" i="15"/>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Q120" i="15"/>
  <c r="AJ120" i="15"/>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G120" i="15"/>
  <c r="F120" i="15"/>
  <c r="E120" i="15"/>
  <c r="D120" i="15"/>
  <c r="AJ119" i="15"/>
  <c r="AQ119" i="15" s="1"/>
  <c r="AR54" i="15" s="1"/>
  <c r="AI119" i="15"/>
  <c r="AH119" i="15"/>
  <c r="AG119" i="15"/>
  <c r="AF119" i="15"/>
  <c r="AE119" i="15"/>
  <c r="AD119" i="15"/>
  <c r="AC119" i="15"/>
  <c r="AB119" i="15"/>
  <c r="AA119" i="15"/>
  <c r="Z119" i="15"/>
  <c r="Y119" i="15"/>
  <c r="X119" i="15"/>
  <c r="W119" i="15"/>
  <c r="V119" i="15"/>
  <c r="U119" i="15"/>
  <c r="T119" i="15"/>
  <c r="AM119" i="15" s="1"/>
  <c r="S119" i="15"/>
  <c r="R119" i="15"/>
  <c r="Q119" i="15"/>
  <c r="P119" i="15"/>
  <c r="O119" i="15"/>
  <c r="N119" i="15"/>
  <c r="M119" i="15"/>
  <c r="L119" i="15"/>
  <c r="K119" i="15"/>
  <c r="J119" i="15"/>
  <c r="I119" i="15"/>
  <c r="H119" i="15"/>
  <c r="G119" i="15"/>
  <c r="F119" i="15"/>
  <c r="E119" i="15"/>
  <c r="D119" i="15"/>
  <c r="AJ118" i="15"/>
  <c r="AQ118" i="15" s="1"/>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Q117" i="15" s="1"/>
  <c r="AR52" i="15" s="1"/>
  <c r="AI117" i="15"/>
  <c r="AH117" i="15"/>
  <c r="AG117" i="15"/>
  <c r="AF117" i="15"/>
  <c r="AE117" i="15"/>
  <c r="AD117" i="15"/>
  <c r="AC117" i="15"/>
  <c r="AB117" i="15"/>
  <c r="AL117" i="15" s="1"/>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J116" i="15"/>
  <c r="AQ116"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C116" i="15"/>
  <c r="AJ115" i="15"/>
  <c r="AQ115" i="15" s="1"/>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J114" i="15"/>
  <c r="AQ114" i="15" s="1"/>
  <c r="AI114" i="15"/>
  <c r="AH114" i="15"/>
  <c r="AG114" i="15"/>
  <c r="AF114" i="15"/>
  <c r="AE114" i="15"/>
  <c r="AD114" i="15"/>
  <c r="AC114" i="15"/>
  <c r="AB114" i="15"/>
  <c r="AA114" i="15"/>
  <c r="Z114" i="15"/>
  <c r="Y114" i="15"/>
  <c r="X114" i="15"/>
  <c r="W114" i="15"/>
  <c r="V114" i="15"/>
  <c r="U114" i="15"/>
  <c r="T114" i="15"/>
  <c r="AM114" i="15" s="1"/>
  <c r="S114" i="15"/>
  <c r="R114" i="15"/>
  <c r="Q114" i="15"/>
  <c r="P114" i="15"/>
  <c r="O114" i="15"/>
  <c r="N114" i="15"/>
  <c r="M114" i="15"/>
  <c r="L114" i="15"/>
  <c r="K114" i="15"/>
  <c r="J114" i="15"/>
  <c r="I114" i="15"/>
  <c r="H114" i="15"/>
  <c r="G114" i="15"/>
  <c r="F114" i="15"/>
  <c r="E114" i="15"/>
  <c r="D114" i="15"/>
  <c r="AQ113" i="15"/>
  <c r="AJ113" i="15"/>
  <c r="AI113" i="15"/>
  <c r="AH113" i="15"/>
  <c r="AG113" i="15"/>
  <c r="AF113" i="15"/>
  <c r="AE113" i="15"/>
  <c r="AD113" i="15"/>
  <c r="AC113" i="15"/>
  <c r="AL113" i="15" s="1"/>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Q112" i="15"/>
  <c r="AJ112" i="15"/>
  <c r="AI112" i="15"/>
  <c r="AH112" i="15"/>
  <c r="AG112" i="15"/>
  <c r="AF112" i="15"/>
  <c r="AE112" i="15"/>
  <c r="AD112" i="15"/>
  <c r="AC112" i="15"/>
  <c r="AB112" i="15"/>
  <c r="AA112" i="15"/>
  <c r="Z112" i="15"/>
  <c r="Y112" i="15"/>
  <c r="X112" i="15"/>
  <c r="W112" i="15"/>
  <c r="V112" i="15"/>
  <c r="U112" i="15"/>
  <c r="T112" i="15"/>
  <c r="AM112" i="15" s="1"/>
  <c r="S112" i="15"/>
  <c r="R112" i="15"/>
  <c r="Q112" i="15"/>
  <c r="P112" i="15"/>
  <c r="O112" i="15"/>
  <c r="N112" i="15"/>
  <c r="M112" i="15"/>
  <c r="AN112" i="15" s="1"/>
  <c r="L112" i="15"/>
  <c r="K112" i="15"/>
  <c r="J112" i="15"/>
  <c r="I112" i="15"/>
  <c r="H112" i="15"/>
  <c r="G112" i="15"/>
  <c r="F112" i="15"/>
  <c r="E112" i="15"/>
  <c r="D112" i="15"/>
  <c r="AO112" i="15" s="1"/>
  <c r="AJ111" i="15"/>
  <c r="AQ111" i="15" s="1"/>
  <c r="AR47" i="15" s="1"/>
  <c r="AI111" i="15"/>
  <c r="AH111" i="15"/>
  <c r="AG111" i="15"/>
  <c r="AF111" i="15"/>
  <c r="AE111" i="15"/>
  <c r="AD111" i="15"/>
  <c r="AC111" i="15"/>
  <c r="AB111" i="15"/>
  <c r="AA111" i="15"/>
  <c r="Z111" i="15"/>
  <c r="Y111" i="15"/>
  <c r="X111" i="15"/>
  <c r="W111" i="15"/>
  <c r="V111" i="15"/>
  <c r="U111" i="15"/>
  <c r="T111" i="15"/>
  <c r="AM111" i="15" s="1"/>
  <c r="S111" i="15"/>
  <c r="R111" i="15"/>
  <c r="Q111" i="15"/>
  <c r="P111" i="15"/>
  <c r="O111" i="15"/>
  <c r="N111" i="15"/>
  <c r="M111" i="15"/>
  <c r="L111" i="15"/>
  <c r="K111" i="15"/>
  <c r="J111" i="15"/>
  <c r="I111" i="15"/>
  <c r="H111" i="15"/>
  <c r="G111" i="15"/>
  <c r="F111" i="15"/>
  <c r="E111" i="15"/>
  <c r="D111" i="15"/>
  <c r="AJ110" i="15"/>
  <c r="AQ110" i="15" s="1"/>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Q109" i="15" s="1"/>
  <c r="AI109" i="15"/>
  <c r="AH109" i="15"/>
  <c r="AG109" i="15"/>
  <c r="AF109" i="15"/>
  <c r="AE109" i="15"/>
  <c r="AD109" i="15"/>
  <c r="AC109" i="15"/>
  <c r="AB109" i="15"/>
  <c r="AA109" i="15"/>
  <c r="Z109" i="15"/>
  <c r="Y109" i="15"/>
  <c r="X109" i="15"/>
  <c r="W109" i="15"/>
  <c r="V109" i="15"/>
  <c r="U109" i="15"/>
  <c r="T109" i="15"/>
  <c r="S109" i="15"/>
  <c r="R109" i="15"/>
  <c r="Q109" i="15"/>
  <c r="P109" i="15"/>
  <c r="O109" i="15"/>
  <c r="N109" i="15"/>
  <c r="M109" i="15"/>
  <c r="L109" i="15"/>
  <c r="K109" i="15"/>
  <c r="J109" i="15"/>
  <c r="I109" i="15"/>
  <c r="H109" i="15"/>
  <c r="G109" i="15"/>
  <c r="F109" i="15"/>
  <c r="E109" i="15"/>
  <c r="D109" i="15"/>
  <c r="AJ108" i="15"/>
  <c r="AQ108" i="15" s="1"/>
  <c r="AR43" i="15" s="1"/>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Q107" i="15" s="1"/>
  <c r="AR42" i="15" s="1"/>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Q106" i="15" s="1"/>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Q105" i="15"/>
  <c r="AR40" i="15" s="1"/>
  <c r="AJ105" i="15"/>
  <c r="AI105" i="15"/>
  <c r="AH105" i="15"/>
  <c r="AG105" i="15"/>
  <c r="AF105" i="15"/>
  <c r="AE105" i="15"/>
  <c r="AD105" i="15"/>
  <c r="AC105" i="15"/>
  <c r="AL105" i="15" s="1"/>
  <c r="AB105" i="15"/>
  <c r="AA105" i="15"/>
  <c r="Z105" i="15"/>
  <c r="AM105" i="15" s="1"/>
  <c r="Y105" i="15"/>
  <c r="X105" i="15"/>
  <c r="W105" i="15"/>
  <c r="V105" i="15"/>
  <c r="U105" i="15"/>
  <c r="T105" i="15"/>
  <c r="S105" i="15"/>
  <c r="R105" i="15"/>
  <c r="Q105" i="15"/>
  <c r="P105" i="15"/>
  <c r="O105" i="15"/>
  <c r="N105" i="15"/>
  <c r="M105" i="15"/>
  <c r="L105" i="15"/>
  <c r="K105" i="15"/>
  <c r="J105" i="15"/>
  <c r="I105" i="15"/>
  <c r="H105" i="15"/>
  <c r="G105" i="15"/>
  <c r="F105" i="15"/>
  <c r="E105" i="15"/>
  <c r="D105" i="15"/>
  <c r="AQ104" i="15"/>
  <c r="AJ104" i="15"/>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AN104" i="15" s="1"/>
  <c r="L104" i="15"/>
  <c r="K104" i="15"/>
  <c r="J104" i="15"/>
  <c r="I104" i="15"/>
  <c r="H104" i="15"/>
  <c r="G104" i="15"/>
  <c r="F104" i="15"/>
  <c r="E104" i="15"/>
  <c r="D104" i="15"/>
  <c r="AJ103" i="15"/>
  <c r="AQ103" i="15" s="1"/>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Q102" i="15" s="1"/>
  <c r="AI102" i="15"/>
  <c r="AH102" i="15"/>
  <c r="AG102" i="15"/>
  <c r="AF102" i="15"/>
  <c r="AE102" i="15"/>
  <c r="AD102" i="15"/>
  <c r="AC102" i="15"/>
  <c r="AB102" i="15"/>
  <c r="AA102" i="15"/>
  <c r="Z102" i="15"/>
  <c r="Y102" i="15"/>
  <c r="X102" i="15"/>
  <c r="W102" i="15"/>
  <c r="V102" i="15"/>
  <c r="U102" i="15"/>
  <c r="AM102" i="15" s="1"/>
  <c r="T102" i="15"/>
  <c r="S102" i="15"/>
  <c r="R102" i="15"/>
  <c r="Q102" i="15"/>
  <c r="P102" i="15"/>
  <c r="O102" i="15"/>
  <c r="N102" i="15"/>
  <c r="M102" i="15"/>
  <c r="L102" i="15"/>
  <c r="AN102" i="15" s="1"/>
  <c r="K102" i="15"/>
  <c r="J102" i="15"/>
  <c r="I102" i="15"/>
  <c r="H102" i="15"/>
  <c r="G102" i="15"/>
  <c r="F102" i="15"/>
  <c r="E102" i="15"/>
  <c r="D102" i="15"/>
  <c r="AJ101" i="15"/>
  <c r="AQ101" i="15" s="1"/>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Q100" i="15" s="1"/>
  <c r="AR35" i="15" s="1"/>
  <c r="AI100" i="15"/>
  <c r="AH100" i="15"/>
  <c r="AG100" i="15"/>
  <c r="AF100" i="15"/>
  <c r="AE100" i="15"/>
  <c r="AD100" i="15"/>
  <c r="AC100" i="15"/>
  <c r="AB100" i="15"/>
  <c r="AL100" i="15" s="1"/>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O100" i="15" s="1"/>
  <c r="AQ99" i="15"/>
  <c r="AJ99" i="15"/>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M98" i="15"/>
  <c r="AJ98" i="15"/>
  <c r="AQ98" i="15" s="1"/>
  <c r="AR34" i="15" s="1"/>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L97" i="15"/>
  <c r="AJ97" i="15"/>
  <c r="AQ97" i="15" s="1"/>
  <c r="AR33" i="15" s="1"/>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Q96" i="15" s="1"/>
  <c r="AI96" i="15"/>
  <c r="AH96" i="15"/>
  <c r="AG96" i="15"/>
  <c r="AF96" i="15"/>
  <c r="AE96" i="15"/>
  <c r="AD96" i="15"/>
  <c r="AC96" i="15"/>
  <c r="AB96" i="15"/>
  <c r="AA96" i="15"/>
  <c r="Z96" i="15"/>
  <c r="Y96" i="15"/>
  <c r="X96" i="15"/>
  <c r="W96" i="15"/>
  <c r="V96" i="15"/>
  <c r="U96" i="15"/>
  <c r="T96" i="15"/>
  <c r="S96" i="15"/>
  <c r="R96" i="15"/>
  <c r="Q96" i="15"/>
  <c r="P96" i="15"/>
  <c r="O96" i="15"/>
  <c r="N96" i="15"/>
  <c r="M96" i="15"/>
  <c r="L96" i="15"/>
  <c r="AN96" i="15" s="1"/>
  <c r="K96" i="15"/>
  <c r="J96" i="15"/>
  <c r="I96" i="15"/>
  <c r="H96" i="15"/>
  <c r="G96" i="15"/>
  <c r="F96" i="15"/>
  <c r="E96" i="15"/>
  <c r="D96" i="15"/>
  <c r="AO96" i="15" s="1"/>
  <c r="C96" i="15"/>
  <c r="AJ95" i="15"/>
  <c r="AQ95" i="15" s="1"/>
  <c r="AR30" i="15" s="1"/>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Q94" i="15" s="1"/>
  <c r="AI94" i="15"/>
  <c r="AH94" i="15"/>
  <c r="AG94" i="15"/>
  <c r="AF94" i="15"/>
  <c r="AE94" i="15"/>
  <c r="AD94" i="15"/>
  <c r="AC94" i="15"/>
  <c r="AB94" i="15"/>
  <c r="AA94" i="15"/>
  <c r="Z94" i="15"/>
  <c r="Y94" i="15"/>
  <c r="X94" i="15"/>
  <c r="W94" i="15"/>
  <c r="V94" i="15"/>
  <c r="U94" i="15"/>
  <c r="T94" i="15"/>
  <c r="S94" i="15"/>
  <c r="R94" i="15"/>
  <c r="Q94" i="15"/>
  <c r="P94" i="15"/>
  <c r="O94" i="15"/>
  <c r="N94" i="15"/>
  <c r="M94" i="15"/>
  <c r="L94" i="15"/>
  <c r="AN94" i="15" s="1"/>
  <c r="K94" i="15"/>
  <c r="J94" i="15"/>
  <c r="I94" i="15"/>
  <c r="H94" i="15"/>
  <c r="G94" i="15"/>
  <c r="F94" i="15"/>
  <c r="E94" i="15"/>
  <c r="D94" i="15"/>
  <c r="AJ93" i="15"/>
  <c r="AQ93" i="15" s="1"/>
  <c r="AI93" i="15"/>
  <c r="AH93" i="15"/>
  <c r="AG93" i="15"/>
  <c r="AF93" i="15"/>
  <c r="AE93" i="15"/>
  <c r="AD93" i="15"/>
  <c r="AC93" i="15"/>
  <c r="AL93" i="15" s="1"/>
  <c r="AB93" i="15"/>
  <c r="AA93" i="15"/>
  <c r="Z93" i="15"/>
  <c r="Y93" i="15"/>
  <c r="X93" i="15"/>
  <c r="W93" i="15"/>
  <c r="V93" i="15"/>
  <c r="U93" i="15"/>
  <c r="T93" i="15"/>
  <c r="S93" i="15"/>
  <c r="R93" i="15"/>
  <c r="Q93" i="15"/>
  <c r="P93" i="15"/>
  <c r="O93" i="15"/>
  <c r="N93" i="15"/>
  <c r="M93" i="15"/>
  <c r="L93" i="15"/>
  <c r="K93" i="15"/>
  <c r="J93" i="15"/>
  <c r="I93" i="15"/>
  <c r="H93" i="15"/>
  <c r="G93" i="15"/>
  <c r="F93" i="15"/>
  <c r="E93" i="15"/>
  <c r="D93" i="15"/>
  <c r="AQ92" i="15"/>
  <c r="AJ92" i="15"/>
  <c r="AI92" i="15"/>
  <c r="AH92" i="15"/>
  <c r="AG92" i="15"/>
  <c r="AF92" i="15"/>
  <c r="AE92" i="15"/>
  <c r="AD92" i="15"/>
  <c r="AC92" i="15"/>
  <c r="AB92" i="15"/>
  <c r="AA92" i="15"/>
  <c r="Z92" i="15"/>
  <c r="Y92" i="15"/>
  <c r="X92" i="15"/>
  <c r="W92" i="15"/>
  <c r="V92" i="15"/>
  <c r="U92" i="15"/>
  <c r="T92" i="15"/>
  <c r="S92" i="15"/>
  <c r="R92" i="15"/>
  <c r="Q92" i="15"/>
  <c r="P92" i="15"/>
  <c r="O92" i="15"/>
  <c r="AN92" i="15" s="1"/>
  <c r="N92" i="15"/>
  <c r="M92" i="15"/>
  <c r="L92" i="15"/>
  <c r="K92" i="15"/>
  <c r="J92" i="15"/>
  <c r="I92" i="15"/>
  <c r="H92" i="15"/>
  <c r="G92" i="15"/>
  <c r="F92" i="15"/>
  <c r="E92" i="15"/>
  <c r="D92" i="15"/>
  <c r="C92" i="15"/>
  <c r="AQ91"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J90" i="15"/>
  <c r="AQ90" i="15" s="1"/>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Q89" i="15"/>
  <c r="AJ89" i="15"/>
  <c r="AI89" i="15"/>
  <c r="AH89" i="15"/>
  <c r="AL89" i="15" s="1"/>
  <c r="AG89" i="15"/>
  <c r="AF89" i="15"/>
  <c r="AE89" i="15"/>
  <c r="AD89" i="15"/>
  <c r="AC89" i="15"/>
  <c r="AB89" i="15"/>
  <c r="AA89" i="15"/>
  <c r="Z89" i="15"/>
  <c r="Y89" i="15"/>
  <c r="X89" i="15"/>
  <c r="W89" i="15"/>
  <c r="V89" i="15"/>
  <c r="U89" i="15"/>
  <c r="T89" i="15"/>
  <c r="S89" i="15"/>
  <c r="R89" i="15"/>
  <c r="Q89" i="15"/>
  <c r="P89" i="15"/>
  <c r="O89" i="15"/>
  <c r="N89" i="15"/>
  <c r="M89" i="15"/>
  <c r="L89" i="15"/>
  <c r="K89" i="15"/>
  <c r="J89" i="15"/>
  <c r="I89" i="15"/>
  <c r="H89" i="15"/>
  <c r="G89" i="15"/>
  <c r="F89" i="15"/>
  <c r="E89" i="15"/>
  <c r="D89" i="15"/>
  <c r="AJ88" i="15"/>
  <c r="AQ88" i="15" s="1"/>
  <c r="AR23" i="15" s="1"/>
  <c r="AI88" i="15"/>
  <c r="AH88" i="15"/>
  <c r="AG88" i="15"/>
  <c r="AF88" i="15"/>
  <c r="AE88" i="15"/>
  <c r="AD88" i="15"/>
  <c r="AC88" i="15"/>
  <c r="AB88" i="15"/>
  <c r="AA88" i="15"/>
  <c r="Z88" i="15"/>
  <c r="Y88" i="15"/>
  <c r="X88" i="15"/>
  <c r="W88" i="15"/>
  <c r="V88" i="15"/>
  <c r="U88" i="15"/>
  <c r="T88" i="15"/>
  <c r="S88" i="15"/>
  <c r="R88" i="15"/>
  <c r="Q88" i="15"/>
  <c r="P88" i="15"/>
  <c r="O88" i="15"/>
  <c r="N88" i="15"/>
  <c r="M88" i="15"/>
  <c r="L88" i="15"/>
  <c r="AN88" i="15" s="1"/>
  <c r="K88" i="15"/>
  <c r="J88" i="15"/>
  <c r="I88" i="15"/>
  <c r="H88" i="15"/>
  <c r="G88" i="15"/>
  <c r="F88" i="15"/>
  <c r="E88" i="15"/>
  <c r="D88" i="15"/>
  <c r="C88" i="15"/>
  <c r="AJ87" i="15"/>
  <c r="AQ87" i="15" s="1"/>
  <c r="AI87" i="15"/>
  <c r="AH87" i="15"/>
  <c r="AG87" i="15"/>
  <c r="AF87" i="15"/>
  <c r="AE87" i="15"/>
  <c r="AD87" i="15"/>
  <c r="AC87" i="15"/>
  <c r="AB87" i="15"/>
  <c r="AA87" i="15"/>
  <c r="Z87" i="15"/>
  <c r="Y87" i="15"/>
  <c r="X87" i="15"/>
  <c r="W87" i="15"/>
  <c r="V87" i="15"/>
  <c r="U87" i="15"/>
  <c r="T87" i="15"/>
  <c r="AM87" i="15" s="1"/>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AM86" i="15" s="1"/>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Q84" i="15"/>
  <c r="P84" i="15"/>
  <c r="O84" i="15"/>
  <c r="N84" i="15"/>
  <c r="M84" i="15"/>
  <c r="L84" i="15"/>
  <c r="K84" i="15"/>
  <c r="J84" i="15"/>
  <c r="I84" i="15"/>
  <c r="H84" i="15"/>
  <c r="G84" i="15"/>
  <c r="F84" i="15"/>
  <c r="E84" i="15"/>
  <c r="D84" i="15"/>
  <c r="AJ83" i="15"/>
  <c r="AI83" i="15"/>
  <c r="AH83" i="15"/>
  <c r="AG83" i="15"/>
  <c r="AF83" i="15"/>
  <c r="AE83" i="15"/>
  <c r="AD83" i="15"/>
  <c r="AC83" i="15"/>
  <c r="AB83" i="15"/>
  <c r="AA83" i="15"/>
  <c r="Z83" i="15"/>
  <c r="Y83" i="15"/>
  <c r="X83" i="15"/>
  <c r="W83" i="15"/>
  <c r="V83" i="15"/>
  <c r="U83" i="15"/>
  <c r="T83" i="15"/>
  <c r="AM83" i="15" s="1"/>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AM82" i="15" s="1"/>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AM79" i="15" s="1"/>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AM78" i="15" s="1"/>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AM75" i="15" s="1"/>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AM74" i="15" s="1"/>
  <c r="S74" i="15"/>
  <c r="R74" i="15"/>
  <c r="Q74" i="15"/>
  <c r="P74" i="15"/>
  <c r="O74" i="15"/>
  <c r="N74" i="15"/>
  <c r="M74" i="15"/>
  <c r="L74" i="15"/>
  <c r="K74" i="15"/>
  <c r="J74" i="15"/>
  <c r="I74" i="15"/>
  <c r="H74" i="15"/>
  <c r="G74" i="15"/>
  <c r="F74" i="15"/>
  <c r="E74" i="15"/>
  <c r="D74" i="15"/>
  <c r="AJ73" i="15"/>
  <c r="AI73" i="15"/>
  <c r="AH73" i="15"/>
  <c r="AG73" i="15"/>
  <c r="AF73" i="15"/>
  <c r="AE73" i="15"/>
  <c r="AD73" i="15"/>
  <c r="AC73" i="15"/>
  <c r="AL73" i="15" s="1"/>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L72"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O72" i="15" s="1"/>
  <c r="C72" i="15"/>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AS70" i="15"/>
  <c r="AR70" i="15"/>
  <c r="AT69" i="15"/>
  <c r="C69" i="15"/>
  <c r="AT68" i="15"/>
  <c r="C68" i="15"/>
  <c r="C198" i="15" s="1"/>
  <c r="AT67" i="15"/>
  <c r="C67" i="15"/>
  <c r="C197" i="15" s="1"/>
  <c r="AT66" i="15"/>
  <c r="C66" i="15"/>
  <c r="C131" i="15" s="1"/>
  <c r="AT65" i="15"/>
  <c r="C65" i="15"/>
  <c r="C195" i="15" s="1"/>
  <c r="AT64" i="15"/>
  <c r="AS64" i="15"/>
  <c r="C64" i="15"/>
  <c r="AT63" i="15"/>
  <c r="C63" i="15"/>
  <c r="C128" i="15" s="1"/>
  <c r="AT62" i="15"/>
  <c r="C62" i="15"/>
  <c r="AT61" i="15"/>
  <c r="AR61" i="15"/>
  <c r="C61" i="15"/>
  <c r="C191" i="15" s="1"/>
  <c r="AT60" i="15"/>
  <c r="C60" i="15"/>
  <c r="C190" i="15" s="1"/>
  <c r="AT59" i="15"/>
  <c r="AS59" i="15"/>
  <c r="C59" i="15"/>
  <c r="C189" i="15" s="1"/>
  <c r="AT58" i="15"/>
  <c r="C58" i="15"/>
  <c r="AT57" i="15"/>
  <c r="C57" i="15"/>
  <c r="AT56" i="15"/>
  <c r="AS56" i="15"/>
  <c r="C56" i="15"/>
  <c r="C186" i="15" s="1"/>
  <c r="AT55" i="15"/>
  <c r="AS55" i="15"/>
  <c r="C55" i="15"/>
  <c r="C120" i="15" s="1"/>
  <c r="AT54" i="15"/>
  <c r="AS54" i="15"/>
  <c r="C54" i="15"/>
  <c r="C119" i="15" s="1"/>
  <c r="AT53" i="15"/>
  <c r="C53" i="15"/>
  <c r="C183" i="15" s="1"/>
  <c r="AT52" i="15"/>
  <c r="C52" i="15"/>
  <c r="AT51" i="15"/>
  <c r="C51" i="15"/>
  <c r="C181" i="15" s="1"/>
  <c r="AT50" i="15"/>
  <c r="C50" i="15"/>
  <c r="AT49" i="15"/>
  <c r="AR49" i="15"/>
  <c r="C49" i="15"/>
  <c r="C179" i="15" s="1"/>
  <c r="AT48" i="15"/>
  <c r="C48" i="15"/>
  <c r="C178" i="15" s="1"/>
  <c r="AT47" i="15"/>
  <c r="C47" i="15"/>
  <c r="C177" i="15" s="1"/>
  <c r="AT46" i="15"/>
  <c r="C46" i="15"/>
  <c r="AT45" i="15"/>
  <c r="C45" i="15"/>
  <c r="AT44" i="15"/>
  <c r="AS44" i="15"/>
  <c r="C44" i="15"/>
  <c r="C174" i="15" s="1"/>
  <c r="AT43" i="15"/>
  <c r="AS43" i="15"/>
  <c r="C43" i="15"/>
  <c r="C173" i="15" s="1"/>
  <c r="AT42" i="15"/>
  <c r="C42" i="15"/>
  <c r="C107" i="15" s="1"/>
  <c r="AT41" i="15"/>
  <c r="C41" i="15"/>
  <c r="C171" i="15" s="1"/>
  <c r="AT40" i="15"/>
  <c r="C40" i="15"/>
  <c r="AT39" i="15"/>
  <c r="C39" i="15"/>
  <c r="C169" i="15" s="1"/>
  <c r="AT38" i="15"/>
  <c r="C38" i="15"/>
  <c r="AT37" i="15"/>
  <c r="C37" i="15"/>
  <c r="C167" i="15" s="1"/>
  <c r="AT36" i="15"/>
  <c r="C36" i="15"/>
  <c r="C166" i="15" s="1"/>
  <c r="AT35" i="15"/>
  <c r="C35" i="15"/>
  <c r="C165" i="15" s="1"/>
  <c r="AT34" i="15"/>
  <c r="C34" i="15"/>
  <c r="AT33" i="15"/>
  <c r="C33" i="15"/>
  <c r="AT32" i="15"/>
  <c r="C32" i="15"/>
  <c r="C162" i="15" s="1"/>
  <c r="AT31" i="15"/>
  <c r="C31" i="15"/>
  <c r="C161" i="15" s="1"/>
  <c r="AT30" i="15"/>
  <c r="C30" i="15"/>
  <c r="C95" i="15" s="1"/>
  <c r="AT29" i="15"/>
  <c r="C29" i="15"/>
  <c r="C159" i="15" s="1"/>
  <c r="AT28" i="15"/>
  <c r="AS28" i="15"/>
  <c r="C28" i="15"/>
  <c r="AT27" i="15"/>
  <c r="C27" i="15"/>
  <c r="AT26" i="15"/>
  <c r="C26" i="15"/>
  <c r="AT25" i="15"/>
  <c r="AR25" i="15"/>
  <c r="C25" i="15"/>
  <c r="C155" i="15" s="1"/>
  <c r="AT24" i="15"/>
  <c r="C24" i="15"/>
  <c r="C154" i="15" s="1"/>
  <c r="AT23" i="15"/>
  <c r="AS23" i="15"/>
  <c r="C23" i="15"/>
  <c r="C153" i="15" s="1"/>
  <c r="AT22" i="15"/>
  <c r="C22" i="15"/>
  <c r="C21" i="15"/>
  <c r="AT20" i="15"/>
  <c r="C20" i="15"/>
  <c r="C150" i="15" s="1"/>
  <c r="C19" i="15"/>
  <c r="C84" i="15" s="1"/>
  <c r="AT18" i="15"/>
  <c r="C18" i="15"/>
  <c r="C83" i="15" s="1"/>
  <c r="AT17" i="15"/>
  <c r="C17" i="15"/>
  <c r="C147" i="15" s="1"/>
  <c r="C16" i="15"/>
  <c r="C146" i="15" s="1"/>
  <c r="C15" i="15"/>
  <c r="C80" i="15" s="1"/>
  <c r="AT14" i="15"/>
  <c r="C14" i="15"/>
  <c r="AW13" i="15"/>
  <c r="C13" i="15"/>
  <c r="C12" i="15"/>
  <c r="C142" i="15" s="1"/>
  <c r="C11" i="15"/>
  <c r="C76" i="15" s="1"/>
  <c r="C10" i="15"/>
  <c r="C75" i="15" s="1"/>
  <c r="C9" i="15"/>
  <c r="C8" i="15"/>
  <c r="C138" i="15" s="1"/>
  <c r="AW7" i="15"/>
  <c r="C7" i="15"/>
  <c r="C137" i="15" s="1"/>
  <c r="AW6" i="15"/>
  <c r="B6" i="15" s="1"/>
  <c r="AL6" i="15"/>
  <c r="C6" i="15"/>
  <c r="AR51" i="15" l="1"/>
  <c r="AS30" i="15"/>
  <c r="AS34" i="15"/>
  <c r="AS35" i="15"/>
  <c r="AS38" i="15"/>
  <c r="AR37" i="16"/>
  <c r="AS46" i="15"/>
  <c r="AS47" i="15"/>
  <c r="AS50" i="15"/>
  <c r="AR16" i="16"/>
  <c r="AR17" i="16"/>
  <c r="AR31" i="15"/>
  <c r="AR63" i="15"/>
  <c r="AR64" i="15"/>
  <c r="AN72" i="15"/>
  <c r="AN117" i="15"/>
  <c r="AM117" i="15"/>
  <c r="AO133" i="15"/>
  <c r="AL146" i="15"/>
  <c r="AN151" i="15"/>
  <c r="AN171" i="15"/>
  <c r="AO178" i="15"/>
  <c r="AO183" i="15"/>
  <c r="AN193" i="15"/>
  <c r="AL84" i="16"/>
  <c r="AL101" i="16"/>
  <c r="AN110" i="16"/>
  <c r="AO111" i="16"/>
  <c r="AL111" i="16"/>
  <c r="AL116" i="16"/>
  <c r="C141" i="17"/>
  <c r="C76" i="17"/>
  <c r="AO92" i="15"/>
  <c r="AM94" i="15"/>
  <c r="AM97" i="15"/>
  <c r="AO99" i="15"/>
  <c r="AL99" i="15"/>
  <c r="AR39" i="15"/>
  <c r="AM127" i="15"/>
  <c r="AN142" i="15"/>
  <c r="AN177" i="15"/>
  <c r="AN187" i="15"/>
  <c r="AM193" i="15"/>
  <c r="C169" i="16"/>
  <c r="C104" i="16"/>
  <c r="C115" i="16"/>
  <c r="C180" i="16"/>
  <c r="AO77" i="16"/>
  <c r="AM84" i="16"/>
  <c r="AO73" i="15"/>
  <c r="AN76" i="15"/>
  <c r="AO77" i="15"/>
  <c r="AN80" i="15"/>
  <c r="AO81" i="15"/>
  <c r="AN84" i="15"/>
  <c r="AO85" i="15"/>
  <c r="AO91" i="15"/>
  <c r="AL91" i="15"/>
  <c r="AN95" i="15"/>
  <c r="C104" i="15"/>
  <c r="AM109" i="15"/>
  <c r="AR44" i="15"/>
  <c r="C124" i="15"/>
  <c r="AN124" i="15"/>
  <c r="AO125" i="15"/>
  <c r="AM136" i="15"/>
  <c r="AN146" i="15"/>
  <c r="AN155" i="15"/>
  <c r="AN156" i="15"/>
  <c r="AO157" i="15"/>
  <c r="AL157" i="15"/>
  <c r="AN161" i="15"/>
  <c r="AM161" i="15"/>
  <c r="AM163" i="15"/>
  <c r="AL163" i="15"/>
  <c r="AM164" i="15"/>
  <c r="AL170" i="15"/>
  <c r="AM174" i="15"/>
  <c r="AM180" i="15"/>
  <c r="AL186" i="15"/>
  <c r="AO188" i="15"/>
  <c r="AL188" i="15"/>
  <c r="C193" i="15"/>
  <c r="C131" i="16"/>
  <c r="C196" i="16"/>
  <c r="AO71" i="16"/>
  <c r="C76" i="16"/>
  <c r="AL77" i="16"/>
  <c r="AO87" i="16"/>
  <c r="AR25" i="16"/>
  <c r="AO96" i="16"/>
  <c r="AN99" i="16"/>
  <c r="AN109" i="16"/>
  <c r="AR44" i="16"/>
  <c r="AL121" i="16"/>
  <c r="AM127" i="16"/>
  <c r="AN133" i="16"/>
  <c r="AN134" i="16"/>
  <c r="AM134" i="16"/>
  <c r="AO136" i="16"/>
  <c r="C140" i="16"/>
  <c r="AN152" i="16"/>
  <c r="AN156" i="16"/>
  <c r="AO188" i="16"/>
  <c r="AN123" i="15"/>
  <c r="AL154" i="15"/>
  <c r="AM89" i="15"/>
  <c r="AM140" i="15"/>
  <c r="AN165" i="15"/>
  <c r="AM165" i="15"/>
  <c r="AL167" i="15"/>
  <c r="AM168" i="15"/>
  <c r="AN175" i="15"/>
  <c r="AL190" i="15"/>
  <c r="AL72" i="16"/>
  <c r="AN90" i="16"/>
  <c r="AM90" i="16"/>
  <c r="AL100" i="16"/>
  <c r="C144" i="16"/>
  <c r="AN144" i="16"/>
  <c r="AM177" i="16"/>
  <c r="AR38" i="15"/>
  <c r="AS31" i="15"/>
  <c r="AO76" i="15"/>
  <c r="AO80" i="15"/>
  <c r="AO84" i="15"/>
  <c r="AO117" i="15"/>
  <c r="AM132" i="15"/>
  <c r="AM139" i="15"/>
  <c r="AL139" i="15"/>
  <c r="AN141" i="15"/>
  <c r="AM144" i="15"/>
  <c r="AN159" i="15"/>
  <c r="AN160" i="15"/>
  <c r="AS39" i="15"/>
  <c r="AL174" i="15"/>
  <c r="AM178" i="15"/>
  <c r="AN181" i="15"/>
  <c r="AM181" i="15"/>
  <c r="AM183" i="15"/>
  <c r="AL183" i="15"/>
  <c r="AM184" i="15"/>
  <c r="AN190" i="15"/>
  <c r="AS60" i="15"/>
  <c r="AO197" i="15"/>
  <c r="AL197" i="15"/>
  <c r="AS14" i="16"/>
  <c r="C149" i="16"/>
  <c r="C84" i="16"/>
  <c r="C161" i="16"/>
  <c r="C96" i="16"/>
  <c r="C127" i="16"/>
  <c r="C192" i="16"/>
  <c r="AM77" i="16"/>
  <c r="AR19" i="16"/>
  <c r="AM92" i="16"/>
  <c r="AR48" i="16"/>
  <c r="AM121" i="16"/>
  <c r="AO165" i="16"/>
  <c r="AL165" i="16"/>
  <c r="AN168" i="16"/>
  <c r="AN78" i="17"/>
  <c r="AM81" i="17"/>
  <c r="AN133" i="17"/>
  <c r="AQ133" i="17"/>
  <c r="AR68" i="17" s="1"/>
  <c r="AN138" i="17"/>
  <c r="AL134" i="18"/>
  <c r="AS41" i="15"/>
  <c r="AS57" i="15"/>
  <c r="C83" i="16"/>
  <c r="C148" i="16"/>
  <c r="AM106" i="15"/>
  <c r="AR50" i="15"/>
  <c r="AN116" i="15"/>
  <c r="AM129" i="15"/>
  <c r="AO137" i="15"/>
  <c r="AQ137" i="15" s="1"/>
  <c r="AS7" i="15" s="1"/>
  <c r="AM148" i="15"/>
  <c r="AL158" i="15"/>
  <c r="AO165" i="15"/>
  <c r="AL165" i="15"/>
  <c r="AN174" i="15"/>
  <c r="AS45" i="15"/>
  <c r="AM198" i="15"/>
  <c r="AM94" i="16"/>
  <c r="AO99" i="16"/>
  <c r="AL99" i="16"/>
  <c r="C160" i="16"/>
  <c r="AO182" i="16"/>
  <c r="AN73" i="17"/>
  <c r="AO88" i="17"/>
  <c r="AS52" i="15"/>
  <c r="AR58" i="15"/>
  <c r="AR24" i="15"/>
  <c r="AM101" i="15"/>
  <c r="AM143" i="15"/>
  <c r="AN145" i="15"/>
  <c r="AN74" i="15"/>
  <c r="AN78" i="15"/>
  <c r="AN82" i="15"/>
  <c r="AN86" i="15"/>
  <c r="AM93" i="15"/>
  <c r="AR28" i="15"/>
  <c r="AO102" i="15"/>
  <c r="AL102" i="15"/>
  <c r="AO104" i="15"/>
  <c r="AM104" i="15"/>
  <c r="AN107" i="15"/>
  <c r="AN108" i="15"/>
  <c r="AL109" i="15"/>
  <c r="AO116" i="15"/>
  <c r="AL116" i="15"/>
  <c r="AM121" i="15"/>
  <c r="AM131" i="15"/>
  <c r="AN134" i="15"/>
  <c r="AO141" i="15"/>
  <c r="AM147" i="15"/>
  <c r="AN149" i="15"/>
  <c r="AM152" i="15"/>
  <c r="AN158" i="15"/>
  <c r="AS29" i="15"/>
  <c r="AN163" i="15"/>
  <c r="AN164" i="15"/>
  <c r="AN169" i="15"/>
  <c r="AO175" i="15"/>
  <c r="AN179" i="15"/>
  <c r="AO181" i="15"/>
  <c r="AL181" i="15"/>
  <c r="AO186" i="15"/>
  <c r="AL194" i="15"/>
  <c r="C91" i="16"/>
  <c r="C156" i="16"/>
  <c r="AR23" i="16"/>
  <c r="AM91" i="16"/>
  <c r="AN93" i="16"/>
  <c r="AM98" i="16"/>
  <c r="AN112" i="16"/>
  <c r="AR53" i="16"/>
  <c r="AO128" i="16"/>
  <c r="AL128" i="16"/>
  <c r="AO143" i="16"/>
  <c r="AO173" i="16"/>
  <c r="AL173" i="16"/>
  <c r="AO199" i="16"/>
  <c r="AL199" i="16"/>
  <c r="C145" i="17"/>
  <c r="C80" i="17"/>
  <c r="C181" i="17"/>
  <c r="C116" i="17"/>
  <c r="AM85" i="17"/>
  <c r="AQ85" i="17" s="1"/>
  <c r="AR20" i="17" s="1"/>
  <c r="AO125" i="17"/>
  <c r="AM181" i="17"/>
  <c r="AS26" i="15"/>
  <c r="AN137" i="15"/>
  <c r="AO71" i="15"/>
  <c r="AM103" i="15"/>
  <c r="AL115" i="15"/>
  <c r="AR55" i="15"/>
  <c r="AM123" i="15"/>
  <c r="AR62" i="15"/>
  <c r="AO129" i="15"/>
  <c r="AO136" i="15"/>
  <c r="AO145" i="15"/>
  <c r="AO154" i="15"/>
  <c r="AL162" i="15"/>
  <c r="AO164" i="15"/>
  <c r="AL164" i="15"/>
  <c r="AM172" i="15"/>
  <c r="AL178" i="15"/>
  <c r="AN185" i="15"/>
  <c r="AM185" i="15"/>
  <c r="AM187" i="15"/>
  <c r="AL187" i="15"/>
  <c r="AM188" i="15"/>
  <c r="AN194" i="15"/>
  <c r="AS65" i="15"/>
  <c r="AN195" i="15"/>
  <c r="AO79" i="16"/>
  <c r="AL79" i="16"/>
  <c r="AO94" i="16"/>
  <c r="AL94" i="16"/>
  <c r="AN97" i="16"/>
  <c r="AN101" i="16"/>
  <c r="AM102" i="16"/>
  <c r="C132" i="16"/>
  <c r="AO138" i="16"/>
  <c r="AL138" i="16"/>
  <c r="C168" i="16"/>
  <c r="C119" i="18"/>
  <c r="C184" i="18"/>
  <c r="AM77" i="15"/>
  <c r="AM96" i="15"/>
  <c r="AO108" i="15"/>
  <c r="AM110" i="15"/>
  <c r="AM113" i="15"/>
  <c r="AO115" i="15"/>
  <c r="AM76" i="15"/>
  <c r="AM80" i="15"/>
  <c r="AM84" i="15"/>
  <c r="AM95" i="15"/>
  <c r="AN111" i="15"/>
  <c r="AR48" i="15"/>
  <c r="AO121" i="15"/>
  <c r="AN126" i="15"/>
  <c r="AN133" i="15"/>
  <c r="AM133" i="15"/>
  <c r="AR68" i="15"/>
  <c r="AO149" i="15"/>
  <c r="AL149" i="15"/>
  <c r="AN153" i="15"/>
  <c r="AM153" i="15"/>
  <c r="AM156" i="15"/>
  <c r="AN162" i="15"/>
  <c r="AS33" i="15"/>
  <c r="AN167" i="15"/>
  <c r="AO169" i="15"/>
  <c r="AL169" i="15"/>
  <c r="AN178" i="15"/>
  <c r="C185" i="15"/>
  <c r="AM197" i="15"/>
  <c r="AL198" i="15"/>
  <c r="C173" i="16"/>
  <c r="C108" i="16"/>
  <c r="AO84" i="16"/>
  <c r="AR27" i="16"/>
  <c r="AM95" i="16"/>
  <c r="AO98" i="16"/>
  <c r="AL98" i="16"/>
  <c r="AL107" i="16"/>
  <c r="AL132" i="16"/>
  <c r="AO159" i="16"/>
  <c r="AL159" i="16"/>
  <c r="C172" i="16"/>
  <c r="AN184" i="16"/>
  <c r="AN193" i="16"/>
  <c r="AM193" i="16"/>
  <c r="AS63" i="16"/>
  <c r="AM97" i="17"/>
  <c r="AO108" i="17"/>
  <c r="AQ108" i="17" s="1"/>
  <c r="AR43" i="17" s="1"/>
  <c r="AL88" i="16"/>
  <c r="AM72" i="15"/>
  <c r="AM81" i="15"/>
  <c r="AM85" i="15"/>
  <c r="AM71" i="15"/>
  <c r="AO75" i="15"/>
  <c r="AO79" i="15"/>
  <c r="AO83" i="15"/>
  <c r="AM90" i="15"/>
  <c r="AR27" i="15"/>
  <c r="AO101" i="15"/>
  <c r="AO107" i="15"/>
  <c r="AL107" i="15"/>
  <c r="C112" i="15"/>
  <c r="AN120" i="15"/>
  <c r="AN139" i="15"/>
  <c r="AL166" i="15"/>
  <c r="AN173" i="15"/>
  <c r="AO179" i="15"/>
  <c r="AN183" i="15"/>
  <c r="AO185" i="15"/>
  <c r="AL185" i="15"/>
  <c r="AN189" i="15"/>
  <c r="AM189" i="15"/>
  <c r="AM192" i="15"/>
  <c r="AN198" i="15"/>
  <c r="AS69" i="15"/>
  <c r="AN199" i="15"/>
  <c r="AL73" i="16"/>
  <c r="AN87" i="16"/>
  <c r="AN92" i="16"/>
  <c r="AR31" i="16"/>
  <c r="AO102" i="16"/>
  <c r="AL102" i="16"/>
  <c r="AN105" i="16"/>
  <c r="AN106" i="16"/>
  <c r="AM106" i="16"/>
  <c r="AO112" i="16"/>
  <c r="AM119" i="16"/>
  <c r="AR56" i="16"/>
  <c r="AM124" i="16"/>
  <c r="AM191" i="16"/>
  <c r="AO198" i="16"/>
  <c r="C83" i="17"/>
  <c r="C148" i="17"/>
  <c r="C95" i="17"/>
  <c r="C160" i="17"/>
  <c r="C107" i="17"/>
  <c r="C172" i="17"/>
  <c r="AN94" i="17"/>
  <c r="AM105" i="17"/>
  <c r="AR67" i="15"/>
  <c r="AM134" i="15"/>
  <c r="AR57" i="15"/>
  <c r="AM73" i="15"/>
  <c r="AO74" i="15"/>
  <c r="AO78" i="15"/>
  <c r="AL80" i="15"/>
  <c r="AO82" i="15"/>
  <c r="AO86" i="15"/>
  <c r="AL86" i="15"/>
  <c r="AO88" i="15"/>
  <c r="AM88" i="15"/>
  <c r="AN91" i="15"/>
  <c r="C100" i="15"/>
  <c r="AN100" i="15"/>
  <c r="AL101" i="15"/>
  <c r="AN110" i="15"/>
  <c r="AR46" i="15"/>
  <c r="AN118" i="15"/>
  <c r="AR53" i="15"/>
  <c r="AO120" i="15"/>
  <c r="AL120" i="15"/>
  <c r="AM130" i="15"/>
  <c r="AN143" i="15"/>
  <c r="AO144" i="15"/>
  <c r="AO153" i="15"/>
  <c r="AL153" i="15"/>
  <c r="AO158" i="15"/>
  <c r="AN166" i="15"/>
  <c r="AM176" i="15"/>
  <c r="AL182" i="15"/>
  <c r="AO184" i="15"/>
  <c r="AL184" i="15"/>
  <c r="AS58" i="15"/>
  <c r="AS63" i="15"/>
  <c r="C185" i="16"/>
  <c r="C120" i="16"/>
  <c r="AN91" i="16"/>
  <c r="AN96" i="16"/>
  <c r="AR41" i="16"/>
  <c r="AM108" i="16"/>
  <c r="AO131" i="16"/>
  <c r="AL131" i="16"/>
  <c r="AN140" i="16"/>
  <c r="AN149" i="16"/>
  <c r="AO185" i="16"/>
  <c r="AL185" i="16"/>
  <c r="AN178" i="17"/>
  <c r="AQ178" i="17" s="1"/>
  <c r="AS48" i="17" s="1"/>
  <c r="AM182" i="17"/>
  <c r="AM186" i="17"/>
  <c r="AN187" i="17"/>
  <c r="C71" i="18"/>
  <c r="C136" i="18"/>
  <c r="AM77" i="18"/>
  <c r="AO196" i="18"/>
  <c r="AO109" i="16"/>
  <c r="AM111" i="16"/>
  <c r="AN113" i="16"/>
  <c r="AN114" i="16"/>
  <c r="AM114" i="16"/>
  <c r="AO115" i="16"/>
  <c r="AL115" i="16"/>
  <c r="AN119" i="16"/>
  <c r="AM131" i="16"/>
  <c r="AN132" i="16"/>
  <c r="AL136" i="16"/>
  <c r="AO140" i="16"/>
  <c r="AO160" i="16"/>
  <c r="AM162" i="16"/>
  <c r="AN164" i="16"/>
  <c r="AM171" i="16"/>
  <c r="AO184" i="16"/>
  <c r="AL190" i="16"/>
  <c r="AO194" i="16"/>
  <c r="C182" i="17"/>
  <c r="C117" i="17"/>
  <c r="AO74" i="17"/>
  <c r="AM76" i="17"/>
  <c r="AN83" i="17"/>
  <c r="AM87" i="17"/>
  <c r="AO95" i="17"/>
  <c r="AO109" i="17"/>
  <c r="AM115" i="17"/>
  <c r="AO140" i="17"/>
  <c r="AN147" i="17"/>
  <c r="AN148" i="17"/>
  <c r="AM176" i="17"/>
  <c r="AM193" i="17"/>
  <c r="AT6" i="18"/>
  <c r="C79" i="18"/>
  <c r="C144" i="18"/>
  <c r="AT20" i="18"/>
  <c r="AT26" i="18"/>
  <c r="AL80" i="18"/>
  <c r="AL91" i="16"/>
  <c r="AN100" i="16"/>
  <c r="AM103" i="16"/>
  <c r="AO108" i="16"/>
  <c r="AL109" i="16"/>
  <c r="AO121" i="16"/>
  <c r="AM123" i="16"/>
  <c r="AN125" i="16"/>
  <c r="AN126" i="16"/>
  <c r="AM126" i="16"/>
  <c r="AO127" i="16"/>
  <c r="AL127" i="16"/>
  <c r="AN138" i="16"/>
  <c r="AL140" i="16"/>
  <c r="AO145" i="16"/>
  <c r="AL145" i="16"/>
  <c r="AM151" i="16"/>
  <c r="AN153" i="16"/>
  <c r="AM153" i="16"/>
  <c r="AS23" i="16"/>
  <c r="AM156" i="16"/>
  <c r="AN158" i="16"/>
  <c r="AN159" i="16"/>
  <c r="AL160" i="16"/>
  <c r="AO164" i="16"/>
  <c r="AM166" i="16"/>
  <c r="AN173" i="16"/>
  <c r="AM173" i="16"/>
  <c r="AN182" i="16"/>
  <c r="AL184" i="16"/>
  <c r="AM186" i="16"/>
  <c r="AO189" i="16"/>
  <c r="AL189" i="16"/>
  <c r="AM195" i="16"/>
  <c r="AN197" i="16"/>
  <c r="AM197" i="16"/>
  <c r="AM71" i="17"/>
  <c r="C84" i="17"/>
  <c r="AO85" i="17"/>
  <c r="AL97" i="17"/>
  <c r="AO99" i="17"/>
  <c r="AN102" i="17"/>
  <c r="C108" i="17"/>
  <c r="AM110" i="17"/>
  <c r="AO113" i="17"/>
  <c r="AO117" i="17"/>
  <c r="AN124" i="17"/>
  <c r="AM138" i="17"/>
  <c r="AM141" i="17"/>
  <c r="AM142" i="17"/>
  <c r="AM145" i="17"/>
  <c r="AM146" i="17"/>
  <c r="AM171" i="17"/>
  <c r="AT64" i="18"/>
  <c r="AO71" i="18"/>
  <c r="AN74" i="18"/>
  <c r="AO75" i="18"/>
  <c r="AL75" i="18"/>
  <c r="AM83" i="18"/>
  <c r="AL84" i="18"/>
  <c r="AO113" i="18"/>
  <c r="AL113" i="18"/>
  <c r="AL114" i="18"/>
  <c r="AM115" i="18"/>
  <c r="AN137" i="18"/>
  <c r="AQ137" i="18" s="1"/>
  <c r="AS7" i="18" s="1"/>
  <c r="AN138" i="18"/>
  <c r="AN145" i="18"/>
  <c r="AN146" i="18"/>
  <c r="AN150" i="18"/>
  <c r="AL188" i="18"/>
  <c r="AN190" i="18"/>
  <c r="AN124" i="16"/>
  <c r="AO132" i="16"/>
  <c r="AO144" i="16"/>
  <c r="AO149" i="16"/>
  <c r="AL149" i="16"/>
  <c r="AM155" i="16"/>
  <c r="AN162" i="16"/>
  <c r="AO168" i="16"/>
  <c r="AM175" i="16"/>
  <c r="AL188" i="16"/>
  <c r="AO193" i="16"/>
  <c r="AL193" i="16"/>
  <c r="AM199" i="16"/>
  <c r="AT9" i="17"/>
  <c r="C161" i="17"/>
  <c r="C96" i="17"/>
  <c r="C185" i="17"/>
  <c r="C120" i="17"/>
  <c r="AO73" i="17"/>
  <c r="AQ73" i="17" s="1"/>
  <c r="AR8" i="17" s="1"/>
  <c r="AM75" i="17"/>
  <c r="AM80" i="17"/>
  <c r="AN82" i="17"/>
  <c r="AN87" i="17"/>
  <c r="AM90" i="17"/>
  <c r="AO94" i="17"/>
  <c r="AN106" i="17"/>
  <c r="AQ115" i="17"/>
  <c r="AR50" i="17" s="1"/>
  <c r="C129" i="17"/>
  <c r="AM131" i="17"/>
  <c r="AO134" i="17"/>
  <c r="AM177" i="17"/>
  <c r="AT43" i="18"/>
  <c r="AM180" i="18"/>
  <c r="AO194" i="15"/>
  <c r="AO199" i="15"/>
  <c r="AL199" i="15"/>
  <c r="AN84" i="16"/>
  <c r="AO90" i="16"/>
  <c r="AL90" i="16"/>
  <c r="AO95" i="16"/>
  <c r="AL95" i="16"/>
  <c r="AO100" i="16"/>
  <c r="AN104" i="16"/>
  <c r="AO106" i="16"/>
  <c r="AL106" i="16"/>
  <c r="AM109" i="16"/>
  <c r="AM115" i="16"/>
  <c r="AN117" i="16"/>
  <c r="AM118" i="16"/>
  <c r="AO119" i="16"/>
  <c r="AL119" i="16"/>
  <c r="AN137" i="16"/>
  <c r="AM137" i="16"/>
  <c r="AL139" i="16"/>
  <c r="AM140" i="16"/>
  <c r="AN142" i="16"/>
  <c r="AS12" i="16"/>
  <c r="AL144" i="16"/>
  <c r="AN147" i="16"/>
  <c r="AN148" i="16"/>
  <c r="AM150" i="16"/>
  <c r="AN157" i="16"/>
  <c r="AM157" i="16"/>
  <c r="AS27" i="16"/>
  <c r="AN166" i="16"/>
  <c r="AL168" i="16"/>
  <c r="AM170" i="16"/>
  <c r="AM179" i="16"/>
  <c r="AN181" i="16"/>
  <c r="AM181" i="16"/>
  <c r="AS51" i="16"/>
  <c r="AM184" i="16"/>
  <c r="AN186" i="16"/>
  <c r="AN187" i="16"/>
  <c r="AN192" i="16"/>
  <c r="AM194" i="16"/>
  <c r="C186" i="17"/>
  <c r="C121" i="17"/>
  <c r="AN71" i="17"/>
  <c r="AM74" i="17"/>
  <c r="AL81" i="17"/>
  <c r="AO83" i="17"/>
  <c r="C88" i="17"/>
  <c r="AN88" i="17"/>
  <c r="C93" i="17"/>
  <c r="AO98" i="17"/>
  <c r="AQ98" i="17" s="1"/>
  <c r="AR33" i="17" s="1"/>
  <c r="AN101" i="17"/>
  <c r="AM104" i="17"/>
  <c r="AM109" i="17"/>
  <c r="AO120" i="17"/>
  <c r="AQ120" i="17" s="1"/>
  <c r="AR55" i="17" s="1"/>
  <c r="C124" i="17"/>
  <c r="AM136" i="17"/>
  <c r="AM140" i="17"/>
  <c r="C164" i="17"/>
  <c r="AO173" i="17"/>
  <c r="AQ173" i="17" s="1"/>
  <c r="AS43" i="17" s="1"/>
  <c r="AQ176" i="17"/>
  <c r="AS46" i="17" s="1"/>
  <c r="C115" i="18"/>
  <c r="C180" i="18"/>
  <c r="AN73" i="18"/>
  <c r="AL100" i="18"/>
  <c r="AM107" i="18"/>
  <c r="AL108" i="18"/>
  <c r="AL112" i="18"/>
  <c r="AN131" i="18"/>
  <c r="AM139" i="18"/>
  <c r="AN177" i="18"/>
  <c r="AN178" i="18"/>
  <c r="AN189" i="18"/>
  <c r="AN72" i="16"/>
  <c r="AN77" i="16"/>
  <c r="AN78" i="16"/>
  <c r="AM78" i="16"/>
  <c r="AN88" i="16"/>
  <c r="AM96" i="16"/>
  <c r="AR33" i="16"/>
  <c r="AM101" i="16"/>
  <c r="AM107" i="16"/>
  <c r="AN116" i="16"/>
  <c r="AO118" i="16"/>
  <c r="AL118" i="16"/>
  <c r="AO124" i="16"/>
  <c r="AL125" i="16"/>
  <c r="AM133" i="16"/>
  <c r="AM139" i="16"/>
  <c r="AN146" i="16"/>
  <c r="AL148" i="16"/>
  <c r="AO152" i="16"/>
  <c r="AM154" i="16"/>
  <c r="AM159" i="16"/>
  <c r="AN161" i="16"/>
  <c r="AM161" i="16"/>
  <c r="AO172" i="16"/>
  <c r="AO177" i="16"/>
  <c r="AL177" i="16"/>
  <c r="AM183" i="16"/>
  <c r="AM188" i="16"/>
  <c r="AN190" i="16"/>
  <c r="AS60" i="16"/>
  <c r="AN191" i="16"/>
  <c r="AL192" i="16"/>
  <c r="AN196" i="16"/>
  <c r="AM198" i="16"/>
  <c r="C87" i="17"/>
  <c r="C152" i="17"/>
  <c r="AQ152" i="17" s="1"/>
  <c r="AS22" i="17" s="1"/>
  <c r="C111" i="17"/>
  <c r="C176" i="17"/>
  <c r="C123" i="17"/>
  <c r="C188" i="17"/>
  <c r="AO72" i="17"/>
  <c r="AN75" i="17"/>
  <c r="AO77" i="17"/>
  <c r="AM79" i="17"/>
  <c r="AN81" i="17"/>
  <c r="AN86" i="17"/>
  <c r="C97" i="17"/>
  <c r="AM99" i="17"/>
  <c r="AN118" i="17"/>
  <c r="AN122" i="17"/>
  <c r="AO128" i="17"/>
  <c r="AQ128" i="17" s="1"/>
  <c r="AR63" i="17" s="1"/>
  <c r="AM130" i="17"/>
  <c r="AO133" i="17"/>
  <c r="AO138" i="17"/>
  <c r="AM165" i="17"/>
  <c r="AQ165" i="17" s="1"/>
  <c r="AS35" i="17" s="1"/>
  <c r="AM166" i="17"/>
  <c r="AN167" i="17"/>
  <c r="AO95" i="18"/>
  <c r="AM102" i="18"/>
  <c r="AO103" i="18"/>
  <c r="AL103" i="18"/>
  <c r="AM167" i="18"/>
  <c r="AO104" i="16"/>
  <c r="AN128" i="16"/>
  <c r="AO130" i="16"/>
  <c r="AL130" i="16"/>
  <c r="AM132" i="16"/>
  <c r="AN141" i="16"/>
  <c r="AM141" i="16"/>
  <c r="AS11" i="16"/>
  <c r="AL143" i="16"/>
  <c r="AM144" i="16"/>
  <c r="AL152" i="16"/>
  <c r="AN165" i="16"/>
  <c r="AM165" i="16"/>
  <c r="AS35" i="16"/>
  <c r="AM168" i="16"/>
  <c r="AN170" i="16"/>
  <c r="AS40" i="16"/>
  <c r="AN171" i="16"/>
  <c r="AL172" i="16"/>
  <c r="AM174" i="16"/>
  <c r="AN176" i="16"/>
  <c r="AL182" i="16"/>
  <c r="AN185" i="16"/>
  <c r="AM185" i="16"/>
  <c r="AO191" i="16"/>
  <c r="AL191" i="16"/>
  <c r="AO196" i="16"/>
  <c r="C177" i="17"/>
  <c r="C112" i="17"/>
  <c r="C71" i="17"/>
  <c r="AN76" i="17"/>
  <c r="AO87" i="17"/>
  <c r="AQ87" i="17" s="1"/>
  <c r="AR22" i="17" s="1"/>
  <c r="AN90" i="17"/>
  <c r="AM94" i="17"/>
  <c r="AM112" i="17"/>
  <c r="AL121" i="17"/>
  <c r="AN126" i="17"/>
  <c r="C132" i="17"/>
  <c r="AN132" i="17"/>
  <c r="AO150" i="17"/>
  <c r="AQ150" i="17" s="1"/>
  <c r="AS20" i="17" s="1"/>
  <c r="AQ153" i="17"/>
  <c r="AN161" i="17"/>
  <c r="AO163" i="17"/>
  <c r="AQ163" i="17" s="1"/>
  <c r="AS33" i="17" s="1"/>
  <c r="AN166" i="17"/>
  <c r="AM169" i="17"/>
  <c r="AM100" i="18"/>
  <c r="AM162" i="18"/>
  <c r="AO137" i="16"/>
  <c r="AL137" i="16"/>
  <c r="AN150" i="16"/>
  <c r="AO157" i="16"/>
  <c r="AL157" i="16"/>
  <c r="AM163" i="16"/>
  <c r="AO166" i="16"/>
  <c r="AO176" i="16"/>
  <c r="AO181" i="16"/>
  <c r="AL181" i="16"/>
  <c r="AO186" i="16"/>
  <c r="AN194" i="16"/>
  <c r="AS64" i="16"/>
  <c r="AN195" i="16"/>
  <c r="AL196" i="16"/>
  <c r="AN74" i="17"/>
  <c r="AO76" i="17"/>
  <c r="AN104" i="17"/>
  <c r="AQ104" i="17" s="1"/>
  <c r="AR39" i="17" s="1"/>
  <c r="AN109" i="17"/>
  <c r="AO127" i="17"/>
  <c r="AM129" i="17"/>
  <c r="AO132" i="17"/>
  <c r="AM134" i="17"/>
  <c r="AO197" i="17"/>
  <c r="C170" i="18"/>
  <c r="C105" i="18"/>
  <c r="AO123" i="18"/>
  <c r="AL123" i="18"/>
  <c r="AO127" i="18"/>
  <c r="AN130" i="18"/>
  <c r="AM130" i="18"/>
  <c r="AO152" i="18"/>
  <c r="C156" i="18"/>
  <c r="AN156" i="18"/>
  <c r="AN159" i="18"/>
  <c r="AO103" i="16"/>
  <c r="AL103" i="16"/>
  <c r="AM112" i="16"/>
  <c r="AO116" i="16"/>
  <c r="AL117" i="16"/>
  <c r="AN121" i="16"/>
  <c r="AN122" i="16"/>
  <c r="AM122" i="16"/>
  <c r="AO123" i="16"/>
  <c r="AL123" i="16"/>
  <c r="AM125" i="16"/>
  <c r="AM138" i="16"/>
  <c r="AM143" i="16"/>
  <c r="AN145" i="16"/>
  <c r="AM145" i="16"/>
  <c r="AL147" i="16"/>
  <c r="AO156" i="16"/>
  <c r="AL162" i="16"/>
  <c r="AM167" i="16"/>
  <c r="AL176" i="16"/>
  <c r="AN180" i="16"/>
  <c r="AM182" i="16"/>
  <c r="AM187" i="16"/>
  <c r="AN189" i="16"/>
  <c r="AM189" i="16"/>
  <c r="AS59" i="16"/>
  <c r="AM192" i="16"/>
  <c r="AO195" i="16"/>
  <c r="AL195" i="16"/>
  <c r="AT6" i="17"/>
  <c r="AL73" i="17"/>
  <c r="C81" i="17"/>
  <c r="AM83" i="17"/>
  <c r="C105" i="17"/>
  <c r="AM107" i="17"/>
  <c r="AN117" i="17"/>
  <c r="AN121" i="17"/>
  <c r="AM124" i="17"/>
  <c r="AO137" i="17"/>
  <c r="AO145" i="17"/>
  <c r="AQ145" i="17" s="1"/>
  <c r="AQ148" i="17"/>
  <c r="AS18" i="17" s="1"/>
  <c r="AM157" i="17"/>
  <c r="AM194" i="17"/>
  <c r="C95" i="18"/>
  <c r="C160" i="18"/>
  <c r="AT40" i="18"/>
  <c r="AT68" i="18"/>
  <c r="AM120" i="18"/>
  <c r="AL120" i="18"/>
  <c r="AM149" i="18"/>
  <c r="AO164" i="18"/>
  <c r="AN167" i="18"/>
  <c r="AM170" i="18"/>
  <c r="AQ170" i="18" s="1"/>
  <c r="AS40" i="18" s="1"/>
  <c r="AM152" i="16"/>
  <c r="AN154" i="16"/>
  <c r="AN155" i="16"/>
  <c r="AL156" i="16"/>
  <c r="AO161" i="16"/>
  <c r="AL161" i="16"/>
  <c r="AL166" i="16"/>
  <c r="AN169" i="16"/>
  <c r="AM169" i="16"/>
  <c r="AS39" i="16"/>
  <c r="AM172" i="16"/>
  <c r="AN174" i="16"/>
  <c r="AN175" i="16"/>
  <c r="AO180" i="16"/>
  <c r="AN198" i="16"/>
  <c r="AN199" i="16"/>
  <c r="AM72" i="17"/>
  <c r="AO81" i="17"/>
  <c r="AQ81" i="17" s="1"/>
  <c r="AR16" i="17" s="1"/>
  <c r="AN89" i="17"/>
  <c r="AQ89" i="17" s="1"/>
  <c r="AR24" i="17" s="1"/>
  <c r="C100" i="17"/>
  <c r="AN100" i="17"/>
  <c r="AN103" i="17"/>
  <c r="AQ103" i="17"/>
  <c r="AR38" i="17" s="1"/>
  <c r="AO105" i="17"/>
  <c r="AN108" i="17"/>
  <c r="AN125" i="17"/>
  <c r="AQ125" i="17" s="1"/>
  <c r="AR60" i="17" s="1"/>
  <c r="AO131" i="17"/>
  <c r="AQ131" i="17" s="1"/>
  <c r="AR66" i="17" s="1"/>
  <c r="AM133" i="17"/>
  <c r="AO149" i="17"/>
  <c r="AN192" i="17"/>
  <c r="AL76" i="18"/>
  <c r="AN113" i="18"/>
  <c r="AO115" i="18"/>
  <c r="AL144" i="18"/>
  <c r="AM161" i="18"/>
  <c r="AM149" i="17"/>
  <c r="AM151" i="17"/>
  <c r="AN153" i="17"/>
  <c r="AM156" i="17"/>
  <c r="AM162" i="17"/>
  <c r="AN163" i="17"/>
  <c r="AO169" i="17"/>
  <c r="AQ169" i="17" s="1"/>
  <c r="AS39" i="17" s="1"/>
  <c r="AN182" i="17"/>
  <c r="AN186" i="17"/>
  <c r="AM190" i="17"/>
  <c r="AN191" i="17"/>
  <c r="AO192" i="17"/>
  <c r="AT24" i="18"/>
  <c r="AT48" i="18"/>
  <c r="AM79" i="18"/>
  <c r="AO80" i="18"/>
  <c r="AM111" i="18"/>
  <c r="AO138" i="18"/>
  <c r="AQ138" i="18" s="1"/>
  <c r="AS8" i="18" s="1"/>
  <c r="AL138" i="18"/>
  <c r="AO147" i="18"/>
  <c r="AL147" i="18"/>
  <c r="AL148" i="18"/>
  <c r="AM153" i="18"/>
  <c r="AO156" i="18"/>
  <c r="AN160" i="18"/>
  <c r="AN163" i="18"/>
  <c r="AQ163" i="18" s="1"/>
  <c r="AS33" i="18" s="1"/>
  <c r="AO165" i="18"/>
  <c r="AL165" i="18"/>
  <c r="AM171" i="18"/>
  <c r="AO178" i="18"/>
  <c r="AQ178" i="18" s="1"/>
  <c r="AS48" i="18" s="1"/>
  <c r="AL178" i="18"/>
  <c r="AN181" i="18"/>
  <c r="AN182" i="18"/>
  <c r="AM184" i="18"/>
  <c r="AO191" i="18"/>
  <c r="AL191" i="18"/>
  <c r="AL192" i="18"/>
  <c r="AN194" i="18"/>
  <c r="AM197" i="18"/>
  <c r="AO84" i="17"/>
  <c r="AM86" i="17"/>
  <c r="AQ88" i="17"/>
  <c r="AR23" i="17" s="1"/>
  <c r="AM91" i="17"/>
  <c r="AQ91" i="17" s="1"/>
  <c r="AR26" i="17" s="1"/>
  <c r="AN93" i="17"/>
  <c r="AN98" i="17"/>
  <c r="AM101" i="17"/>
  <c r="AO104" i="17"/>
  <c r="AM106" i="17"/>
  <c r="AN113" i="17"/>
  <c r="AM116" i="17"/>
  <c r="AO124" i="17"/>
  <c r="AN127" i="17"/>
  <c r="AQ127" i="17" s="1"/>
  <c r="AR62" i="17" s="1"/>
  <c r="AO129" i="17"/>
  <c r="AO139" i="17"/>
  <c r="AN143" i="17"/>
  <c r="AM160" i="17"/>
  <c r="AN162" i="17"/>
  <c r="AM175" i="17"/>
  <c r="AM180" i="17"/>
  <c r="AO187" i="17"/>
  <c r="AN190" i="17"/>
  <c r="AN199" i="17"/>
  <c r="AT19" i="18"/>
  <c r="AO84" i="18"/>
  <c r="AN93" i="18"/>
  <c r="AM98" i="18"/>
  <c r="AO99" i="18"/>
  <c r="AL99" i="18"/>
  <c r="AO108" i="18"/>
  <c r="AN117" i="18"/>
  <c r="AO118" i="18"/>
  <c r="AM124" i="18"/>
  <c r="AN126" i="18"/>
  <c r="AM126" i="18"/>
  <c r="AL127" i="18"/>
  <c r="AM129" i="18"/>
  <c r="AO132" i="18"/>
  <c r="AN141" i="18"/>
  <c r="AN142" i="18"/>
  <c r="AM144" i="18"/>
  <c r="AO151" i="18"/>
  <c r="AQ151" i="18" s="1"/>
  <c r="AS21" i="18" s="1"/>
  <c r="AL151" i="18"/>
  <c r="AL152" i="18"/>
  <c r="AM157" i="18"/>
  <c r="AO160" i="18"/>
  <c r="C164" i="18"/>
  <c r="AM166" i="18"/>
  <c r="AO169" i="18"/>
  <c r="AL169" i="18"/>
  <c r="AM175" i="18"/>
  <c r="AO182" i="18"/>
  <c r="AL182" i="18"/>
  <c r="AN185" i="18"/>
  <c r="AQ185" i="18" s="1"/>
  <c r="AS55" i="18" s="1"/>
  <c r="AN186" i="18"/>
  <c r="AQ186" i="18" s="1"/>
  <c r="AS56" i="18" s="1"/>
  <c r="AM188" i="18"/>
  <c r="AO195" i="18"/>
  <c r="AL195" i="18"/>
  <c r="AL196" i="18"/>
  <c r="AN198" i="18"/>
  <c r="AM179" i="17"/>
  <c r="AO186" i="17"/>
  <c r="AQ186" i="17" s="1"/>
  <c r="AS56" i="17" s="1"/>
  <c r="AN198" i="17"/>
  <c r="AT30" i="18"/>
  <c r="AT54" i="18"/>
  <c r="AN77" i="18"/>
  <c r="AM80" i="18"/>
  <c r="AN82" i="18"/>
  <c r="AM82" i="18"/>
  <c r="AO83" i="18"/>
  <c r="AL83" i="18"/>
  <c r="AM87" i="18"/>
  <c r="AO93" i="18"/>
  <c r="AQ93" i="18" s="1"/>
  <c r="AR28" i="18" s="1"/>
  <c r="AL93" i="18"/>
  <c r="AN96" i="18"/>
  <c r="AO98" i="18"/>
  <c r="AN106" i="18"/>
  <c r="AM106" i="18"/>
  <c r="AO107" i="18"/>
  <c r="AL107" i="18"/>
  <c r="AO112" i="18"/>
  <c r="AN115" i="18"/>
  <c r="AO117" i="18"/>
  <c r="AL117" i="18"/>
  <c r="AL118" i="18"/>
  <c r="AM119" i="18"/>
  <c r="AN125" i="18"/>
  <c r="AO126" i="18"/>
  <c r="AM138" i="18"/>
  <c r="AM143" i="18"/>
  <c r="AN153" i="18"/>
  <c r="AN154" i="18"/>
  <c r="AM156" i="18"/>
  <c r="AO163" i="18"/>
  <c r="AL163" i="18"/>
  <c r="AL164" i="18"/>
  <c r="AM165" i="18"/>
  <c r="AO168" i="18"/>
  <c r="C172" i="18"/>
  <c r="AN172" i="18"/>
  <c r="AN175" i="18"/>
  <c r="AQ175" i="18" s="1"/>
  <c r="AS45" i="18" s="1"/>
  <c r="AM178" i="18"/>
  <c r="AO181" i="18"/>
  <c r="AL181" i="18"/>
  <c r="AM187" i="18"/>
  <c r="AO194" i="18"/>
  <c r="AL194" i="18"/>
  <c r="AN197" i="18"/>
  <c r="AM137" i="17"/>
  <c r="AM139" i="17"/>
  <c r="AN146" i="17"/>
  <c r="AL148" i="17"/>
  <c r="AN151" i="17"/>
  <c r="AO157" i="17"/>
  <c r="AQ157" i="17" s="1"/>
  <c r="AS27" i="17" s="1"/>
  <c r="AO162" i="17"/>
  <c r="AM170" i="17"/>
  <c r="AN171" i="17"/>
  <c r="AO177" i="17"/>
  <c r="AM183" i="17"/>
  <c r="AM185" i="17"/>
  <c r="AM187" i="17"/>
  <c r="AN193" i="17"/>
  <c r="AQ193" i="17" s="1"/>
  <c r="AS63" i="17" s="1"/>
  <c r="AT15" i="18"/>
  <c r="AN71" i="18"/>
  <c r="AM89" i="18"/>
  <c r="AM91" i="18"/>
  <c r="AO92" i="18"/>
  <c r="AL98" i="18"/>
  <c r="AN101" i="18"/>
  <c r="AO102" i="18"/>
  <c r="AO121" i="18"/>
  <c r="AL121" i="18"/>
  <c r="AL122" i="18"/>
  <c r="AM123" i="18"/>
  <c r="AN124" i="18"/>
  <c r="AN134" i="18"/>
  <c r="AN136" i="18"/>
  <c r="AO141" i="18"/>
  <c r="AL141" i="18"/>
  <c r="AM147" i="18"/>
  <c r="AO154" i="18"/>
  <c r="AL154" i="18"/>
  <c r="AN157" i="18"/>
  <c r="AN158" i="18"/>
  <c r="AM160" i="18"/>
  <c r="AM169" i="18"/>
  <c r="AO172" i="18"/>
  <c r="AQ172" i="18" s="1"/>
  <c r="AS42" i="18" s="1"/>
  <c r="C176" i="18"/>
  <c r="AN176" i="18"/>
  <c r="AN179" i="18"/>
  <c r="AM182" i="18"/>
  <c r="AO185" i="18"/>
  <c r="AL185" i="18"/>
  <c r="AM191" i="18"/>
  <c r="AO198" i="18"/>
  <c r="AL198" i="18"/>
  <c r="AL85" i="17"/>
  <c r="AM89" i="17"/>
  <c r="AO92" i="17"/>
  <c r="AM119" i="17"/>
  <c r="AN130" i="17"/>
  <c r="AM144" i="17"/>
  <c r="AM150" i="17"/>
  <c r="AO161" i="17"/>
  <c r="AQ161" i="17" s="1"/>
  <c r="AS31" i="17" s="1"/>
  <c r="AM163" i="17"/>
  <c r="AN165" i="17"/>
  <c r="AM168" i="17"/>
  <c r="AN170" i="17"/>
  <c r="AQ170" i="17"/>
  <c r="AN176" i="17"/>
  <c r="AO181" i="17"/>
  <c r="AM189" i="17"/>
  <c r="AM191" i="17"/>
  <c r="AT36" i="18"/>
  <c r="AT60" i="18"/>
  <c r="AN86" i="18"/>
  <c r="AM86" i="18"/>
  <c r="AO87" i="18"/>
  <c r="AL87" i="18"/>
  <c r="AN95" i="18"/>
  <c r="AO97" i="18"/>
  <c r="AL97" i="18"/>
  <c r="AN100" i="18"/>
  <c r="AN110" i="18"/>
  <c r="AM110" i="18"/>
  <c r="AL111" i="18"/>
  <c r="AM113" i="18"/>
  <c r="AO116" i="18"/>
  <c r="AN119" i="18"/>
  <c r="AN129" i="18"/>
  <c r="AO136" i="18"/>
  <c r="C140" i="18"/>
  <c r="AO145" i="18"/>
  <c r="AQ145" i="18" s="1"/>
  <c r="AS15" i="18" s="1"/>
  <c r="AL145" i="18"/>
  <c r="AM151" i="18"/>
  <c r="AO158" i="18"/>
  <c r="AL158" i="18"/>
  <c r="AN161" i="18"/>
  <c r="AN162" i="18"/>
  <c r="AM164" i="18"/>
  <c r="AQ164" i="18" s="1"/>
  <c r="AS34" i="18" s="1"/>
  <c r="AO167" i="18"/>
  <c r="AL167" i="18"/>
  <c r="AL168" i="18"/>
  <c r="AM173" i="18"/>
  <c r="AO176" i="18"/>
  <c r="AQ176" i="18" s="1"/>
  <c r="AS46" i="18" s="1"/>
  <c r="AN180" i="18"/>
  <c r="AN183" i="18"/>
  <c r="AM186" i="18"/>
  <c r="AO189" i="18"/>
  <c r="AM195" i="18"/>
  <c r="AN145" i="17"/>
  <c r="AN150" i="17"/>
  <c r="AN156" i="17"/>
  <c r="AO171" i="17"/>
  <c r="AQ171" i="17" s="1"/>
  <c r="AS41" i="17" s="1"/>
  <c r="AM174" i="17"/>
  <c r="AN175" i="17"/>
  <c r="AO176" i="17"/>
  <c r="AO185" i="17"/>
  <c r="AM192" i="17"/>
  <c r="AN197" i="17"/>
  <c r="AQ197" i="17"/>
  <c r="AS67" i="17" s="1"/>
  <c r="AT55" i="18"/>
  <c r="AM71" i="18"/>
  <c r="AO72" i="18"/>
  <c r="AO77" i="18"/>
  <c r="AQ77" i="18" s="1"/>
  <c r="AR12" i="18" s="1"/>
  <c r="AL77" i="18"/>
  <c r="AN81" i="18"/>
  <c r="AO82" i="18"/>
  <c r="AN90" i="18"/>
  <c r="AM90" i="18"/>
  <c r="AL91" i="18"/>
  <c r="AN104" i="18"/>
  <c r="AN105" i="18"/>
  <c r="AO106" i="18"/>
  <c r="AO120" i="18"/>
  <c r="AL126" i="18"/>
  <c r="AM127" i="18"/>
  <c r="AO140" i="18"/>
  <c r="AQ140" i="18" s="1"/>
  <c r="AS10" i="18" s="1"/>
  <c r="AO149" i="18"/>
  <c r="AL149" i="18"/>
  <c r="AM155" i="18"/>
  <c r="AO162" i="18"/>
  <c r="AL162" i="18"/>
  <c r="AO171" i="18"/>
  <c r="AL171" i="18"/>
  <c r="AQ171" i="18" s="1"/>
  <c r="AS41" i="18" s="1"/>
  <c r="AL172" i="18"/>
  <c r="AM177" i="18"/>
  <c r="AQ177" i="18" s="1"/>
  <c r="AS47" i="18" s="1"/>
  <c r="AO180" i="18"/>
  <c r="AN184" i="18"/>
  <c r="AN187" i="18"/>
  <c r="AQ187" i="18" s="1"/>
  <c r="AS57" i="18" s="1"/>
  <c r="AL189" i="18"/>
  <c r="AM190" i="18"/>
  <c r="AQ190" i="18" s="1"/>
  <c r="AS60" i="18" s="1"/>
  <c r="AO193" i="18"/>
  <c r="AL193" i="18"/>
  <c r="AM199" i="18"/>
  <c r="AN85" i="17"/>
  <c r="AL89" i="17"/>
  <c r="AL92" i="17"/>
  <c r="AO97" i="17"/>
  <c r="AQ97" i="17" s="1"/>
  <c r="AR32" i="17" s="1"/>
  <c r="AQ100" i="17"/>
  <c r="AR35" i="17" s="1"/>
  <c r="AM103" i="17"/>
  <c r="AN105" i="17"/>
  <c r="AQ105" i="17" s="1"/>
  <c r="AR40" i="17" s="1"/>
  <c r="AM108" i="17"/>
  <c r="AN110" i="17"/>
  <c r="AN116" i="17"/>
  <c r="AM123" i="17"/>
  <c r="AO126" i="17"/>
  <c r="AQ126" i="17" s="1"/>
  <c r="AR61" i="17" s="1"/>
  <c r="AL126" i="17"/>
  <c r="AN134" i="17"/>
  <c r="AQ134" i="17"/>
  <c r="AR70" i="17" s="1"/>
  <c r="AM143" i="17"/>
  <c r="AM148" i="17"/>
  <c r="AO151" i="17"/>
  <c r="AQ151" i="17" s="1"/>
  <c r="AS21" i="17" s="1"/>
  <c r="AO156" i="17"/>
  <c r="AQ156" i="17" s="1"/>
  <c r="AS26" i="17" s="1"/>
  <c r="AN160" i="17"/>
  <c r="AN169" i="17"/>
  <c r="AN174" i="17"/>
  <c r="AO189" i="17"/>
  <c r="AQ189" i="17" s="1"/>
  <c r="AS59" i="17" s="1"/>
  <c r="AM195" i="17"/>
  <c r="AT22" i="18"/>
  <c r="AT37" i="18"/>
  <c r="AT46" i="18"/>
  <c r="AT61" i="18"/>
  <c r="AN80" i="18"/>
  <c r="AL82" i="18"/>
  <c r="AN85" i="18"/>
  <c r="C86" i="18"/>
  <c r="AM93" i="18"/>
  <c r="AM95" i="18"/>
  <c r="AO96" i="18"/>
  <c r="AO101" i="18"/>
  <c r="AL101" i="18"/>
  <c r="AM103" i="18"/>
  <c r="AN109" i="18"/>
  <c r="C110" i="18"/>
  <c r="AM114" i="18"/>
  <c r="AL115" i="18"/>
  <c r="AN133" i="18"/>
  <c r="AO134" i="18"/>
  <c r="AQ134" i="18" s="1"/>
  <c r="AL136" i="18"/>
  <c r="AN144" i="18"/>
  <c r="AN147" i="18"/>
  <c r="AO153" i="18"/>
  <c r="AQ153" i="18" s="1"/>
  <c r="AS23" i="18" s="1"/>
  <c r="AL153" i="18"/>
  <c r="AM159" i="18"/>
  <c r="AN165" i="18"/>
  <c r="AQ165" i="18" s="1"/>
  <c r="AS35" i="18" s="1"/>
  <c r="AN166" i="18"/>
  <c r="AM168" i="18"/>
  <c r="AO175" i="18"/>
  <c r="AL175" i="18"/>
  <c r="AL176" i="18"/>
  <c r="AM181" i="18"/>
  <c r="AO184" i="18"/>
  <c r="AQ184" i="18" s="1"/>
  <c r="AS54" i="18" s="1"/>
  <c r="C188" i="18"/>
  <c r="AN188" i="18"/>
  <c r="AN191" i="18"/>
  <c r="AQ191" i="18" s="1"/>
  <c r="AS61" i="18" s="1"/>
  <c r="AM194" i="18"/>
  <c r="AO197" i="18"/>
  <c r="AQ197" i="18" s="1"/>
  <c r="AS67" i="18" s="1"/>
  <c r="AL197" i="18"/>
  <c r="AM93" i="17"/>
  <c r="AN96" i="17"/>
  <c r="AM98" i="17"/>
  <c r="AO101" i="17"/>
  <c r="AQ101" i="17" s="1"/>
  <c r="AR36" i="17" s="1"/>
  <c r="AO106" i="17"/>
  <c r="AO116" i="17"/>
  <c r="AQ116" i="17" s="1"/>
  <c r="AR51" i="17" s="1"/>
  <c r="AN119" i="17"/>
  <c r="AO121" i="17"/>
  <c r="AQ121" i="17" s="1"/>
  <c r="AR56" i="17" s="1"/>
  <c r="AQ124" i="17"/>
  <c r="AR59" i="17" s="1"/>
  <c r="AN129" i="17"/>
  <c r="AN136" i="17"/>
  <c r="AO141" i="17"/>
  <c r="AM154" i="17"/>
  <c r="AN155" i="17"/>
  <c r="AQ155" i="17" s="1"/>
  <c r="AS25" i="17" s="1"/>
  <c r="AM158" i="17"/>
  <c r="AN159" i="17"/>
  <c r="AO160" i="17"/>
  <c r="AM167" i="17"/>
  <c r="AM172" i="17"/>
  <c r="AQ187" i="17"/>
  <c r="AS57" i="17" s="1"/>
  <c r="AO193" i="17"/>
  <c r="AM196" i="17"/>
  <c r="AM197" i="17"/>
  <c r="AM199" i="17"/>
  <c r="AL71" i="18"/>
  <c r="AM75" i="18"/>
  <c r="AO76" i="18"/>
  <c r="AO86" i="18"/>
  <c r="AM92" i="18"/>
  <c r="AQ92" i="18" s="1"/>
  <c r="AR27" i="18" s="1"/>
  <c r="AN99" i="18"/>
  <c r="AQ99" i="18" s="1"/>
  <c r="AR34" i="18" s="1"/>
  <c r="AN108" i="18"/>
  <c r="AO124" i="18"/>
  <c r="AQ124" i="18" s="1"/>
  <c r="AR59" i="18" s="1"/>
  <c r="AL130" i="18"/>
  <c r="AM131" i="18"/>
  <c r="AL140" i="18"/>
  <c r="AO144" i="18"/>
  <c r="C148" i="18"/>
  <c r="AN148" i="18"/>
  <c r="AN151" i="18"/>
  <c r="AM154" i="18"/>
  <c r="AO157" i="18"/>
  <c r="AQ157" i="18" s="1"/>
  <c r="AS27" i="18" s="1"/>
  <c r="AQ160" i="18"/>
  <c r="AS30" i="18" s="1"/>
  <c r="AM163" i="18"/>
  <c r="AO166" i="18"/>
  <c r="AQ166" i="18" s="1"/>
  <c r="AS36" i="18" s="1"/>
  <c r="AL166" i="18"/>
  <c r="AN169" i="18"/>
  <c r="AQ169" i="18" s="1"/>
  <c r="AS39" i="18" s="1"/>
  <c r="AN170" i="18"/>
  <c r="AM172" i="18"/>
  <c r="AO179" i="18"/>
  <c r="AL179" i="18"/>
  <c r="AL180" i="18"/>
  <c r="AQ180" i="18" s="1"/>
  <c r="AS50" i="18" s="1"/>
  <c r="AM185" i="18"/>
  <c r="AO188" i="18"/>
  <c r="C192" i="18"/>
  <c r="AN192" i="18"/>
  <c r="AN195" i="18"/>
  <c r="AQ195" i="18" s="1"/>
  <c r="AS65" i="18" s="1"/>
  <c r="AM198" i="18"/>
  <c r="AQ198" i="18" s="1"/>
  <c r="AS68" i="18" s="1"/>
  <c r="AM92" i="17"/>
  <c r="AO96" i="17"/>
  <c r="AQ96" i="17" s="1"/>
  <c r="AR31" i="17" s="1"/>
  <c r="AM102" i="17"/>
  <c r="AN114" i="17"/>
  <c r="AN120" i="17"/>
  <c r="AM127" i="17"/>
  <c r="AO130" i="17"/>
  <c r="AN139" i="17"/>
  <c r="AN140" i="17"/>
  <c r="AM147" i="17"/>
  <c r="AQ149" i="17"/>
  <c r="AS19" i="17" s="1"/>
  <c r="AM152" i="17"/>
  <c r="AN154" i="17"/>
  <c r="AQ154" i="17" s="1"/>
  <c r="AS24" i="17" s="1"/>
  <c r="AN158" i="17"/>
  <c r="AO165" i="17"/>
  <c r="AO170" i="17"/>
  <c r="AN173" i="17"/>
  <c r="AM178" i="17"/>
  <c r="AN179" i="17"/>
  <c r="AN183" i="17"/>
  <c r="AQ183" i="17" s="1"/>
  <c r="AS53" i="17" s="1"/>
  <c r="AT42" i="18"/>
  <c r="AL86" i="18"/>
  <c r="AN89" i="18"/>
  <c r="AM94" i="18"/>
  <c r="AL95" i="18"/>
  <c r="AO100" i="18"/>
  <c r="AM118" i="18"/>
  <c r="AO119" i="18"/>
  <c r="AQ119" i="18" s="1"/>
  <c r="AR54" i="18" s="1"/>
  <c r="AL119" i="18"/>
  <c r="AM136" i="18"/>
  <c r="AQ136" i="18" s="1"/>
  <c r="AS6" i="18" s="1"/>
  <c r="AM145" i="18"/>
  <c r="AO148" i="18"/>
  <c r="C152" i="18"/>
  <c r="AN152" i="18"/>
  <c r="AQ152" i="18" s="1"/>
  <c r="AS22" i="18" s="1"/>
  <c r="AN155" i="18"/>
  <c r="AL157" i="18"/>
  <c r="AM158" i="18"/>
  <c r="AO161" i="18"/>
  <c r="AQ161" i="18" s="1"/>
  <c r="AS31" i="18" s="1"/>
  <c r="AL161" i="18"/>
  <c r="AO170" i="18"/>
  <c r="AL170" i="18"/>
  <c r="AN173" i="18"/>
  <c r="AQ173" i="18" s="1"/>
  <c r="AS43" i="18" s="1"/>
  <c r="AN174" i="18"/>
  <c r="AQ174" i="18" s="1"/>
  <c r="AS44" i="18" s="1"/>
  <c r="AM176" i="18"/>
  <c r="AO183" i="18"/>
  <c r="AQ183" i="18" s="1"/>
  <c r="AS53" i="18" s="1"/>
  <c r="AL183" i="18"/>
  <c r="AL184" i="18"/>
  <c r="AM189" i="18"/>
  <c r="AO192" i="18"/>
  <c r="C196" i="18"/>
  <c r="AN196" i="18"/>
  <c r="AN199" i="18"/>
  <c r="AQ199" i="18" s="1"/>
  <c r="AQ159" i="18"/>
  <c r="AS29" i="18" s="1"/>
  <c r="AT35" i="18"/>
  <c r="C165" i="18"/>
  <c r="C100" i="18"/>
  <c r="AQ100" i="18" s="1"/>
  <c r="AR35" i="18" s="1"/>
  <c r="AM73" i="18"/>
  <c r="AM88" i="18"/>
  <c r="AL102" i="18"/>
  <c r="AQ115" i="18"/>
  <c r="AR50" i="18" s="1"/>
  <c r="AM128" i="18"/>
  <c r="AM133" i="18"/>
  <c r="AO142" i="18"/>
  <c r="AL142" i="18"/>
  <c r="AQ168" i="18"/>
  <c r="AS38" i="18" s="1"/>
  <c r="AQ181" i="18"/>
  <c r="AS51" i="18" s="1"/>
  <c r="AQ194" i="18"/>
  <c r="AS64" i="18" s="1"/>
  <c r="AQ95" i="18"/>
  <c r="AR30" i="18" s="1"/>
  <c r="AN79" i="18"/>
  <c r="AQ79" i="18" s="1"/>
  <c r="AR14" i="18" s="1"/>
  <c r="AO81" i="18"/>
  <c r="AL81" i="18"/>
  <c r="AN84" i="18"/>
  <c r="AQ86" i="18"/>
  <c r="AR21" i="18" s="1"/>
  <c r="AM108" i="18"/>
  <c r="AM148" i="18"/>
  <c r="AQ148" i="18" s="1"/>
  <c r="AS18" i="18" s="1"/>
  <c r="AQ154" i="18"/>
  <c r="AS24" i="18" s="1"/>
  <c r="AM132" i="18"/>
  <c r="AO146" i="18"/>
  <c r="AL146" i="18"/>
  <c r="AQ158" i="18"/>
  <c r="AS28" i="18" s="1"/>
  <c r="AQ167" i="18"/>
  <c r="AS37" i="18" s="1"/>
  <c r="AN83" i="18"/>
  <c r="AQ83" i="18" s="1"/>
  <c r="AR18" i="18" s="1"/>
  <c r="AO85" i="18"/>
  <c r="AL85" i="18"/>
  <c r="AO90" i="18"/>
  <c r="AN94" i="18"/>
  <c r="AM97" i="18"/>
  <c r="AL106" i="18"/>
  <c r="AO130" i="18"/>
  <c r="AN139" i="18"/>
  <c r="AQ144" i="18"/>
  <c r="AS14" i="18" s="1"/>
  <c r="AQ149" i="18"/>
  <c r="AS19" i="18" s="1"/>
  <c r="AQ162" i="18"/>
  <c r="AS32" i="18" s="1"/>
  <c r="AQ193" i="18"/>
  <c r="AS63" i="18" s="1"/>
  <c r="AM196" i="18"/>
  <c r="AT23" i="18"/>
  <c r="C153" i="18"/>
  <c r="C88" i="18"/>
  <c r="AT59" i="18"/>
  <c r="C189" i="18"/>
  <c r="C124" i="18"/>
  <c r="AM76" i="18"/>
  <c r="AN88" i="18"/>
  <c r="AQ88" i="18" s="1"/>
  <c r="AR23" i="18" s="1"/>
  <c r="AL90" i="18"/>
  <c r="AN103" i="18"/>
  <c r="AM112" i="18"/>
  <c r="AN114" i="18"/>
  <c r="AM117" i="18"/>
  <c r="AN123" i="18"/>
  <c r="AO125" i="18"/>
  <c r="AL125" i="18"/>
  <c r="AN128" i="18"/>
  <c r="AM142" i="18"/>
  <c r="AQ142" i="18" s="1"/>
  <c r="AS12" i="18" s="1"/>
  <c r="AO150" i="18"/>
  <c r="AQ150" i="18" s="1"/>
  <c r="AS20" i="18" s="1"/>
  <c r="AL150" i="18"/>
  <c r="C139" i="18"/>
  <c r="C74" i="18"/>
  <c r="AT9" i="18"/>
  <c r="AO74" i="18"/>
  <c r="AN78" i="18"/>
  <c r="AM81" i="18"/>
  <c r="AM96" i="18"/>
  <c r="AO105" i="18"/>
  <c r="AL105" i="18"/>
  <c r="AO110" i="18"/>
  <c r="AM137" i="18"/>
  <c r="AN143" i="18"/>
  <c r="AQ179" i="18"/>
  <c r="AS49" i="18" s="1"/>
  <c r="AQ188" i="18"/>
  <c r="AS58" i="18" s="1"/>
  <c r="AN72" i="18"/>
  <c r="AQ72" i="18" s="1"/>
  <c r="AR7" i="18" s="1"/>
  <c r="AL74" i="18"/>
  <c r="AN87" i="18"/>
  <c r="AQ87" i="18" s="1"/>
  <c r="AR22" i="18" s="1"/>
  <c r="AO89" i="18"/>
  <c r="AL89" i="18"/>
  <c r="AN92" i="18"/>
  <c r="AO94" i="18"/>
  <c r="AN98" i="18"/>
  <c r="AQ98" i="18" s="1"/>
  <c r="AR33" i="18" s="1"/>
  <c r="AM101" i="18"/>
  <c r="AL110" i="18"/>
  <c r="AM116" i="18"/>
  <c r="AQ116" i="18" s="1"/>
  <c r="AR51" i="18" s="1"/>
  <c r="AN118" i="18"/>
  <c r="AM121" i="18"/>
  <c r="AQ121" i="18" s="1"/>
  <c r="AR56" i="18" s="1"/>
  <c r="AN127" i="18"/>
  <c r="AO129" i="18"/>
  <c r="AQ129" i="18" s="1"/>
  <c r="AR64" i="18" s="1"/>
  <c r="AL129" i="18"/>
  <c r="AN132" i="18"/>
  <c r="AM146" i="18"/>
  <c r="AQ192" i="18"/>
  <c r="AS62" i="18" s="1"/>
  <c r="AM85" i="18"/>
  <c r="AL94" i="18"/>
  <c r="AN107" i="18"/>
  <c r="AQ107" i="18" s="1"/>
  <c r="AR42" i="18" s="1"/>
  <c r="AO114" i="18"/>
  <c r="AO139" i="18"/>
  <c r="AL139" i="18"/>
  <c r="AM141" i="18"/>
  <c r="AQ141" i="18" s="1"/>
  <c r="AS11" i="18" s="1"/>
  <c r="AQ147" i="18"/>
  <c r="AS17" i="18" s="1"/>
  <c r="AT47" i="18"/>
  <c r="C177" i="18"/>
  <c r="C112" i="18"/>
  <c r="AQ71" i="18"/>
  <c r="AR6" i="18" s="1"/>
  <c r="AO73" i="18"/>
  <c r="AL73" i="18"/>
  <c r="AN76" i="18"/>
  <c r="AO78" i="18"/>
  <c r="AQ91" i="18"/>
  <c r="AR26" i="18" s="1"/>
  <c r="AN102" i="18"/>
  <c r="AN112" i="18"/>
  <c r="AN122" i="18"/>
  <c r="AM125" i="18"/>
  <c r="AQ131" i="18"/>
  <c r="AR66" i="18" s="1"/>
  <c r="AO133" i="18"/>
  <c r="AQ133" i="18" s="1"/>
  <c r="AR68" i="18" s="1"/>
  <c r="AL133" i="18"/>
  <c r="AM150" i="18"/>
  <c r="AQ156" i="18"/>
  <c r="AS26" i="18" s="1"/>
  <c r="AL78" i="18"/>
  <c r="AM84" i="18"/>
  <c r="AM105" i="18"/>
  <c r="AO143" i="18"/>
  <c r="AL143" i="18"/>
  <c r="AQ182" i="18"/>
  <c r="AS52" i="18" s="1"/>
  <c r="AN75" i="18"/>
  <c r="AQ75" i="18" s="1"/>
  <c r="AR10" i="18" s="1"/>
  <c r="AQ82" i="18"/>
  <c r="AR17" i="18" s="1"/>
  <c r="AN111" i="18"/>
  <c r="AQ111" i="18" s="1"/>
  <c r="AR46" i="18" s="1"/>
  <c r="AN116" i="18"/>
  <c r="AQ155" i="18"/>
  <c r="AS25" i="18" s="1"/>
  <c r="C72" i="18"/>
  <c r="C76" i="18"/>
  <c r="C80" i="18"/>
  <c r="AQ80" i="18" s="1"/>
  <c r="AR15" i="18" s="1"/>
  <c r="C84" i="18"/>
  <c r="C92" i="18"/>
  <c r="C96" i="18"/>
  <c r="AQ96" i="18" s="1"/>
  <c r="AR31" i="18" s="1"/>
  <c r="C104" i="18"/>
  <c r="AQ104" i="18" s="1"/>
  <c r="AR39" i="18" s="1"/>
  <c r="C108" i="18"/>
  <c r="C116" i="18"/>
  <c r="C120" i="18"/>
  <c r="C128" i="18"/>
  <c r="C132" i="18"/>
  <c r="B6" i="18"/>
  <c r="C73" i="18"/>
  <c r="C77" i="18"/>
  <c r="C81" i="18"/>
  <c r="C85" i="18"/>
  <c r="C89" i="18"/>
  <c r="C97" i="18"/>
  <c r="C101" i="18"/>
  <c r="C109" i="18"/>
  <c r="AQ109" i="18" s="1"/>
  <c r="AR44" i="18" s="1"/>
  <c r="C113" i="18"/>
  <c r="AQ113" i="18" s="1"/>
  <c r="AR48" i="18" s="1"/>
  <c r="C117" i="18"/>
  <c r="C121" i="18"/>
  <c r="C125" i="18"/>
  <c r="C129" i="18"/>
  <c r="C133" i="18"/>
  <c r="C82" i="18"/>
  <c r="C90" i="18"/>
  <c r="C94" i="18"/>
  <c r="C102" i="18"/>
  <c r="C106" i="18"/>
  <c r="C114" i="18"/>
  <c r="C118" i="18"/>
  <c r="C122" i="18"/>
  <c r="C126" i="18"/>
  <c r="AQ126" i="18" s="1"/>
  <c r="AR61" i="18" s="1"/>
  <c r="C130" i="18"/>
  <c r="C134" i="18"/>
  <c r="AQ129" i="17"/>
  <c r="AR64" i="17" s="1"/>
  <c r="AQ194" i="17"/>
  <c r="AS64" i="17" s="1"/>
  <c r="AQ174" i="17"/>
  <c r="AS44" i="17" s="1"/>
  <c r="AQ109" i="17"/>
  <c r="AR44" i="17" s="1"/>
  <c r="AQ162" i="17"/>
  <c r="AS32" i="17" s="1"/>
  <c r="AQ86" i="17"/>
  <c r="AR21" i="17" s="1"/>
  <c r="AQ90" i="17"/>
  <c r="AR25" i="17" s="1"/>
  <c r="AQ92" i="17"/>
  <c r="AR27" i="17" s="1"/>
  <c r="AL185" i="17"/>
  <c r="AQ185" i="17" s="1"/>
  <c r="AS55" i="17" s="1"/>
  <c r="AL131" i="17"/>
  <c r="AL196" i="17"/>
  <c r="AL117" i="17"/>
  <c r="AL173" i="17"/>
  <c r="AL90" i="17"/>
  <c r="AL106" i="17"/>
  <c r="AL109" i="17"/>
  <c r="AL112" i="17"/>
  <c r="AQ112" i="17" s="1"/>
  <c r="AR47" i="17" s="1"/>
  <c r="AL133" i="17"/>
  <c r="AL171" i="17"/>
  <c r="AL172" i="17"/>
  <c r="AL178" i="17"/>
  <c r="AL184" i="17"/>
  <c r="AL130" i="17"/>
  <c r="AQ130" i="17" s="1"/>
  <c r="AR65" i="17" s="1"/>
  <c r="AL113" i="17"/>
  <c r="AL116" i="17"/>
  <c r="AL177" i="17"/>
  <c r="AL189" i="17"/>
  <c r="AL134" i="17"/>
  <c r="AL194" i="17"/>
  <c r="AL120" i="17"/>
  <c r="AL169" i="17"/>
  <c r="AL170" i="17"/>
  <c r="AL187" i="17"/>
  <c r="AL188" i="17"/>
  <c r="AL176" i="17"/>
  <c r="AL181" i="17"/>
  <c r="AQ181" i="17" s="1"/>
  <c r="AS51" i="17" s="1"/>
  <c r="AL193" i="17"/>
  <c r="AL103" i="17"/>
  <c r="AL104" i="17"/>
  <c r="AL124" i="17"/>
  <c r="AL168" i="17"/>
  <c r="AL186" i="17"/>
  <c r="AL192" i="17"/>
  <c r="AQ192" i="17" s="1"/>
  <c r="AS62" i="17" s="1"/>
  <c r="AL125" i="17"/>
  <c r="AL127" i="17"/>
  <c r="AL128" i="17"/>
  <c r="AL180" i="17"/>
  <c r="AL197" i="17"/>
  <c r="AL105" i="17"/>
  <c r="AL108" i="17"/>
  <c r="AL129" i="17"/>
  <c r="AL132" i="17"/>
  <c r="AL93" i="17"/>
  <c r="AQ93" i="17" s="1"/>
  <c r="AR28" i="17" s="1"/>
  <c r="AL137" i="17"/>
  <c r="AL76" i="17"/>
  <c r="AL153" i="17"/>
  <c r="AL165" i="17"/>
  <c r="AL158" i="17"/>
  <c r="AQ158" i="17" s="1"/>
  <c r="AS28" i="17" s="1"/>
  <c r="AL95" i="17"/>
  <c r="AL96" i="17"/>
  <c r="AL152" i="17"/>
  <c r="AL157" i="17"/>
  <c r="AL163" i="17"/>
  <c r="AL164" i="17"/>
  <c r="AL99" i="17"/>
  <c r="AL100" i="17"/>
  <c r="AL94" i="17"/>
  <c r="AQ94" i="17" s="1"/>
  <c r="AR29" i="17" s="1"/>
  <c r="AL101" i="17"/>
  <c r="AL156" i="17"/>
  <c r="AL155" i="17"/>
  <c r="AL161" i="17"/>
  <c r="AL98" i="17"/>
  <c r="AL87" i="17"/>
  <c r="AL88" i="17"/>
  <c r="AL154" i="17"/>
  <c r="AL160" i="17"/>
  <c r="AQ160" i="17" s="1"/>
  <c r="AS30" i="17" s="1"/>
  <c r="AL141" i="17"/>
  <c r="AL74" i="17"/>
  <c r="AL77" i="17"/>
  <c r="AL136" i="17"/>
  <c r="AL80" i="17"/>
  <c r="AQ80" i="17" s="1"/>
  <c r="AR15" i="17" s="1"/>
  <c r="AL140" i="17"/>
  <c r="AQ140" i="17" s="1"/>
  <c r="AS10" i="17" s="1"/>
  <c r="AL151" i="17"/>
  <c r="AL139" i="17"/>
  <c r="AL145" i="17"/>
  <c r="AL83" i="17"/>
  <c r="AQ83" i="17" s="1"/>
  <c r="AR18" i="17" s="1"/>
  <c r="AL84" i="17"/>
  <c r="AL144" i="17"/>
  <c r="AL150" i="17"/>
  <c r="AL138" i="17"/>
  <c r="AL143" i="17"/>
  <c r="AL149" i="17"/>
  <c r="AL72" i="17"/>
  <c r="AQ72" i="17" s="1"/>
  <c r="AR7" i="17" s="1"/>
  <c r="C151" i="17"/>
  <c r="C86" i="17"/>
  <c r="C175" i="17"/>
  <c r="C110" i="17"/>
  <c r="AO78" i="17"/>
  <c r="AL78" i="17"/>
  <c r="AO115" i="17"/>
  <c r="AL115" i="17"/>
  <c r="AN188" i="17"/>
  <c r="C143" i="17"/>
  <c r="C78" i="17"/>
  <c r="AM96" i="17"/>
  <c r="AO110" i="17"/>
  <c r="AQ110" i="17" s="1"/>
  <c r="AR45" i="17" s="1"/>
  <c r="AL110" i="17"/>
  <c r="AM117" i="17"/>
  <c r="AQ117" i="17" s="1"/>
  <c r="AR52" i="17" s="1"/>
  <c r="AM122" i="17"/>
  <c r="AM132" i="17"/>
  <c r="AQ132" i="17" s="1"/>
  <c r="AR67" i="17" s="1"/>
  <c r="AN141" i="17"/>
  <c r="AQ141" i="17" s="1"/>
  <c r="AS11" i="17" s="1"/>
  <c r="AN168" i="17"/>
  <c r="AO175" i="17"/>
  <c r="AQ175" i="17" s="1"/>
  <c r="AS45" i="17" s="1"/>
  <c r="AL175" i="17"/>
  <c r="AO182" i="17"/>
  <c r="AQ182" i="17" s="1"/>
  <c r="AS52" i="17" s="1"/>
  <c r="AL182" i="17"/>
  <c r="AO188" i="17"/>
  <c r="AQ188" i="17" s="1"/>
  <c r="AS58" i="17" s="1"/>
  <c r="AO194" i="17"/>
  <c r="AO199" i="17"/>
  <c r="AQ199" i="17" s="1"/>
  <c r="AL199" i="17"/>
  <c r="C147" i="17"/>
  <c r="C82" i="17"/>
  <c r="C166" i="17"/>
  <c r="C101" i="17"/>
  <c r="AO71" i="17"/>
  <c r="AL71" i="17"/>
  <c r="AM73" i="17"/>
  <c r="AM84" i="17"/>
  <c r="AQ84" i="17" s="1"/>
  <c r="AR19" i="17" s="1"/>
  <c r="AN91" i="17"/>
  <c r="AN107" i="17"/>
  <c r="AO114" i="17"/>
  <c r="AQ114" i="17" s="1"/>
  <c r="AR49" i="17" s="1"/>
  <c r="AL114" i="17"/>
  <c r="AO119" i="17"/>
  <c r="AQ119" i="17" s="1"/>
  <c r="AR54" i="17" s="1"/>
  <c r="AL119" i="17"/>
  <c r="AM126" i="17"/>
  <c r="AO136" i="17"/>
  <c r="AO142" i="17"/>
  <c r="AL142" i="17"/>
  <c r="AO148" i="17"/>
  <c r="AL162" i="17"/>
  <c r="AN180" i="17"/>
  <c r="AQ180" i="17" s="1"/>
  <c r="AS50" i="17" s="1"/>
  <c r="AM78" i="17"/>
  <c r="AO82" i="17"/>
  <c r="AQ82" i="17" s="1"/>
  <c r="AR17" i="17" s="1"/>
  <c r="AL82" i="17"/>
  <c r="AM100" i="17"/>
  <c r="AM121" i="17"/>
  <c r="AO147" i="17"/>
  <c r="AQ147" i="17" s="1"/>
  <c r="AS17" i="17" s="1"/>
  <c r="AL147" i="17"/>
  <c r="AS23" i="17"/>
  <c r="AO167" i="17"/>
  <c r="AQ167" i="17" s="1"/>
  <c r="AS37" i="17" s="1"/>
  <c r="AL167" i="17"/>
  <c r="AO174" i="17"/>
  <c r="AO180" i="17"/>
  <c r="AO198" i="17"/>
  <c r="AL174" i="17"/>
  <c r="AL198" i="17"/>
  <c r="C163" i="17"/>
  <c r="C98" i="17"/>
  <c r="C187" i="17"/>
  <c r="C122" i="17"/>
  <c r="AO75" i="17"/>
  <c r="AL75" i="17"/>
  <c r="AN79" i="17"/>
  <c r="AN111" i="17"/>
  <c r="AO118" i="17"/>
  <c r="AQ118" i="17" s="1"/>
  <c r="AR53" i="17" s="1"/>
  <c r="AL118" i="17"/>
  <c r="AO123" i="17"/>
  <c r="AQ123" i="17" s="1"/>
  <c r="AR58" i="17" s="1"/>
  <c r="AL123" i="17"/>
  <c r="AM125" i="17"/>
  <c r="AN157" i="17"/>
  <c r="AO159" i="17"/>
  <c r="AQ159" i="17" s="1"/>
  <c r="AS29" i="17" s="1"/>
  <c r="AL159" i="17"/>
  <c r="AN172" i="17"/>
  <c r="AN177" i="17"/>
  <c r="AO179" i="17"/>
  <c r="AQ179" i="17" s="1"/>
  <c r="AS49" i="17" s="1"/>
  <c r="AL179" i="17"/>
  <c r="AS61" i="17"/>
  <c r="AM77" i="17"/>
  <c r="AO86" i="17"/>
  <c r="AL86" i="17"/>
  <c r="AO91" i="17"/>
  <c r="AL91" i="17"/>
  <c r="AN95" i="17"/>
  <c r="AQ95" i="17" s="1"/>
  <c r="AR30" i="17" s="1"/>
  <c r="AO102" i="17"/>
  <c r="AL102" i="17"/>
  <c r="AQ102" i="17" s="1"/>
  <c r="AR37" i="17" s="1"/>
  <c r="AO107" i="17"/>
  <c r="AQ107" i="17" s="1"/>
  <c r="AR42" i="17" s="1"/>
  <c r="AL107" i="17"/>
  <c r="AM114" i="17"/>
  <c r="AN131" i="17"/>
  <c r="AO146" i="17"/>
  <c r="AQ146" i="17" s="1"/>
  <c r="AL146" i="17"/>
  <c r="AN152" i="17"/>
  <c r="AO166" i="17"/>
  <c r="AQ166" i="17" s="1"/>
  <c r="AS36" i="17" s="1"/>
  <c r="AS40" i="17"/>
  <c r="AO172" i="17"/>
  <c r="AQ172" i="17" s="1"/>
  <c r="AS42" i="17" s="1"/>
  <c r="AN184" i="17"/>
  <c r="AN189" i="17"/>
  <c r="AO191" i="17"/>
  <c r="AQ191" i="17" s="1"/>
  <c r="AL191" i="17"/>
  <c r="AN196" i="17"/>
  <c r="C154" i="17"/>
  <c r="C89" i="17"/>
  <c r="C178" i="17"/>
  <c r="C113" i="17"/>
  <c r="AQ78" i="17"/>
  <c r="AR13" i="17" s="1"/>
  <c r="AM82" i="17"/>
  <c r="AM88" i="17"/>
  <c r="AN115" i="17"/>
  <c r="AQ139" i="17"/>
  <c r="AS9" i="17" s="1"/>
  <c r="AO152" i="17"/>
  <c r="AL166" i="17"/>
  <c r="AO184" i="17"/>
  <c r="AQ184" i="17" s="1"/>
  <c r="AS54" i="17" s="1"/>
  <c r="AO196" i="17"/>
  <c r="AQ196" i="17" s="1"/>
  <c r="AS66" i="17" s="1"/>
  <c r="AM198" i="17"/>
  <c r="AQ198" i="17" s="1"/>
  <c r="AS68" i="17" s="1"/>
  <c r="AQ77" i="17"/>
  <c r="AR12" i="17" s="1"/>
  <c r="C138" i="17"/>
  <c r="C73" i="17"/>
  <c r="AO122" i="17"/>
  <c r="AQ122" i="17" s="1"/>
  <c r="AR57" i="17" s="1"/>
  <c r="AL122" i="17"/>
  <c r="AN137" i="17"/>
  <c r="AN144" i="17"/>
  <c r="AN149" i="17"/>
  <c r="AN164" i="17"/>
  <c r="C199" i="17"/>
  <c r="C134" i="17"/>
  <c r="AO79" i="17"/>
  <c r="AQ79" i="17" s="1"/>
  <c r="AL79" i="17"/>
  <c r="AN99" i="17"/>
  <c r="AQ99" i="17" s="1"/>
  <c r="AR34" i="17" s="1"/>
  <c r="AO111" i="17"/>
  <c r="AQ111" i="17" s="1"/>
  <c r="AR46" i="17" s="1"/>
  <c r="AL111" i="17"/>
  <c r="AM113" i="17"/>
  <c r="AQ113" i="17" s="1"/>
  <c r="AR48" i="17" s="1"/>
  <c r="AM118" i="17"/>
  <c r="AM128" i="17"/>
  <c r="AO144" i="17"/>
  <c r="AQ144" i="17" s="1"/>
  <c r="AO164" i="17"/>
  <c r="AO183" i="17"/>
  <c r="AL183" i="17"/>
  <c r="AO190" i="17"/>
  <c r="AQ190" i="17" s="1"/>
  <c r="AS60" i="17" s="1"/>
  <c r="AL190" i="17"/>
  <c r="AO195" i="17"/>
  <c r="AQ195" i="17" s="1"/>
  <c r="AS65" i="17" s="1"/>
  <c r="AL195" i="17"/>
  <c r="C156" i="17"/>
  <c r="C168" i="17"/>
  <c r="C180" i="17"/>
  <c r="C184" i="17"/>
  <c r="C192" i="17"/>
  <c r="C196" i="17"/>
  <c r="C125" i="17"/>
  <c r="C74" i="17"/>
  <c r="C90" i="17"/>
  <c r="C102" i="17"/>
  <c r="C106" i="17"/>
  <c r="AQ106" i="17" s="1"/>
  <c r="AR41" i="17" s="1"/>
  <c r="C114" i="17"/>
  <c r="C118" i="17"/>
  <c r="C126" i="17"/>
  <c r="C130" i="17"/>
  <c r="B71" i="17"/>
  <c r="AL83" i="16"/>
  <c r="AN127" i="16"/>
  <c r="AR63" i="16"/>
  <c r="AR62" i="16"/>
  <c r="C165" i="16"/>
  <c r="C100" i="16"/>
  <c r="AO89" i="16"/>
  <c r="AR55" i="16"/>
  <c r="AR54" i="16"/>
  <c r="AO122" i="16"/>
  <c r="AL122" i="16"/>
  <c r="AS16" i="16"/>
  <c r="AS22" i="16"/>
  <c r="AS21" i="16"/>
  <c r="AL154" i="16"/>
  <c r="AM160" i="16"/>
  <c r="AN163" i="16"/>
  <c r="AS38" i="16"/>
  <c r="AS37" i="16"/>
  <c r="AL170" i="16"/>
  <c r="AM176" i="16"/>
  <c r="AS48" i="16"/>
  <c r="AN179" i="16"/>
  <c r="AS53" i="16"/>
  <c r="AS54" i="16"/>
  <c r="AL186" i="16"/>
  <c r="C164" i="16"/>
  <c r="AS70" i="16"/>
  <c r="AS69" i="16"/>
  <c r="AS20" i="16"/>
  <c r="C189" i="16"/>
  <c r="C124" i="16"/>
  <c r="AM85" i="16"/>
  <c r="AR22" i="16"/>
  <c r="AM97" i="16"/>
  <c r="AM117" i="16"/>
  <c r="AO129" i="16"/>
  <c r="AM71" i="16"/>
  <c r="AN73" i="16"/>
  <c r="AN74" i="16"/>
  <c r="AL75" i="16"/>
  <c r="AR15" i="16"/>
  <c r="AO82" i="16"/>
  <c r="AL82" i="16"/>
  <c r="AL89" i="16"/>
  <c r="AR28" i="16"/>
  <c r="AO114" i="16"/>
  <c r="AL114" i="16"/>
  <c r="AM116" i="16"/>
  <c r="AL129" i="16"/>
  <c r="AO142" i="16"/>
  <c r="AL142" i="16"/>
  <c r="AO147" i="16"/>
  <c r="C152" i="16"/>
  <c r="AO158" i="16"/>
  <c r="AO163" i="16"/>
  <c r="AL163" i="16"/>
  <c r="AO174" i="16"/>
  <c r="AO179" i="16"/>
  <c r="AL179" i="16"/>
  <c r="AO190" i="16"/>
  <c r="C139" i="16"/>
  <c r="C74" i="16"/>
  <c r="AN79" i="16"/>
  <c r="AO88" i="16"/>
  <c r="AN103" i="16"/>
  <c r="AR39" i="16"/>
  <c r="AR38" i="16"/>
  <c r="AN111" i="16"/>
  <c r="AR46" i="16"/>
  <c r="AR47" i="16"/>
  <c r="AO74" i="16"/>
  <c r="AO81" i="16"/>
  <c r="AM83" i="16"/>
  <c r="AR26" i="16"/>
  <c r="AO113" i="16"/>
  <c r="AM148" i="16"/>
  <c r="AN151" i="16"/>
  <c r="AS26" i="16"/>
  <c r="AS25" i="16"/>
  <c r="AL158" i="16"/>
  <c r="AM164" i="16"/>
  <c r="AS36" i="16"/>
  <c r="AN167" i="16"/>
  <c r="AS41" i="16"/>
  <c r="AS42" i="16"/>
  <c r="AL174" i="16"/>
  <c r="AM180" i="16"/>
  <c r="AS52" i="16"/>
  <c r="AN183" i="16"/>
  <c r="AS58" i="16"/>
  <c r="AS57" i="16"/>
  <c r="AL74" i="16"/>
  <c r="AN71" i="16"/>
  <c r="AM76" i="16"/>
  <c r="AR13" i="16"/>
  <c r="AL81" i="16"/>
  <c r="AN85" i="16"/>
  <c r="AN86" i="16"/>
  <c r="AL87" i="16"/>
  <c r="AM89" i="16"/>
  <c r="AO93" i="16"/>
  <c r="AO105" i="16"/>
  <c r="AL113" i="16"/>
  <c r="AN118" i="16"/>
  <c r="AM129" i="16"/>
  <c r="AN131" i="16"/>
  <c r="AR67" i="16"/>
  <c r="AR66" i="16"/>
  <c r="AO134" i="16"/>
  <c r="AL134" i="16"/>
  <c r="AN139" i="16"/>
  <c r="AO146" i="16"/>
  <c r="AL146" i="16"/>
  <c r="AO151" i="16"/>
  <c r="AL151" i="16"/>
  <c r="AO162" i="16"/>
  <c r="AO167" i="16"/>
  <c r="AL167" i="16"/>
  <c r="AO178" i="16"/>
  <c r="AO183" i="16"/>
  <c r="AL183" i="16"/>
  <c r="C188" i="16"/>
  <c r="AT9" i="16"/>
  <c r="AN98" i="16"/>
  <c r="AO73" i="16"/>
  <c r="AM75" i="16"/>
  <c r="AO80" i="16"/>
  <c r="AR20" i="16"/>
  <c r="AL93" i="16"/>
  <c r="AR32" i="16"/>
  <c r="AM100" i="16"/>
  <c r="AL105" i="16"/>
  <c r="AO126" i="16"/>
  <c r="AL126" i="16"/>
  <c r="AM128" i="16"/>
  <c r="AM142" i="16"/>
  <c r="AM158" i="16"/>
  <c r="AS46" i="16"/>
  <c r="AS45" i="16"/>
  <c r="AS62" i="16"/>
  <c r="AS61" i="16"/>
  <c r="C177" i="16"/>
  <c r="C112" i="16"/>
  <c r="AN123" i="16"/>
  <c r="AQ138" i="16"/>
  <c r="AS8" i="16" s="1"/>
  <c r="AS29" i="16"/>
  <c r="AS30" i="16"/>
  <c r="AO72" i="16"/>
  <c r="AQ72" i="16" s="1"/>
  <c r="AR7" i="16" s="1"/>
  <c r="AR12" i="16"/>
  <c r="AM81" i="16"/>
  <c r="AN83" i="16"/>
  <c r="AR18" i="16"/>
  <c r="AN95" i="16"/>
  <c r="AR30" i="16"/>
  <c r="AM99" i="16"/>
  <c r="AN102" i="16"/>
  <c r="AM113" i="16"/>
  <c r="AN115" i="16"/>
  <c r="AR51" i="16"/>
  <c r="AR50" i="16"/>
  <c r="AM120" i="16"/>
  <c r="AL133" i="16"/>
  <c r="AM136" i="16"/>
  <c r="AQ136" i="16" s="1"/>
  <c r="AS6" i="16" s="1"/>
  <c r="AO139" i="16"/>
  <c r="AQ139" i="16" s="1"/>
  <c r="AN143" i="16"/>
  <c r="AO150" i="16"/>
  <c r="AO155" i="16"/>
  <c r="AL155" i="16"/>
  <c r="AO171" i="16"/>
  <c r="AL171" i="16"/>
  <c r="C176" i="16"/>
  <c r="AO187" i="16"/>
  <c r="AL187" i="16"/>
  <c r="AR58" i="16"/>
  <c r="AR59" i="16"/>
  <c r="AL71" i="16"/>
  <c r="AR11" i="16"/>
  <c r="AO78" i="16"/>
  <c r="AL78" i="16"/>
  <c r="AO85" i="16"/>
  <c r="AM87" i="16"/>
  <c r="AM93" i="16"/>
  <c r="AO97" i="16"/>
  <c r="AM105" i="16"/>
  <c r="AN107" i="16"/>
  <c r="AR43" i="16"/>
  <c r="AR42" i="16"/>
  <c r="AO110" i="16"/>
  <c r="AL110" i="16"/>
  <c r="AO117" i="16"/>
  <c r="AM146" i="16"/>
  <c r="AL150" i="16"/>
  <c r="AM178" i="16"/>
  <c r="AS65" i="16"/>
  <c r="AS66" i="16"/>
  <c r="AL198" i="16"/>
  <c r="C153" i="16"/>
  <c r="C88" i="16"/>
  <c r="AR24" i="16"/>
  <c r="AM73" i="16"/>
  <c r="AM80" i="16"/>
  <c r="AL85" i="16"/>
  <c r="AL97" i="16"/>
  <c r="AR35" i="16"/>
  <c r="AM104" i="16"/>
  <c r="AQ137" i="16"/>
  <c r="AS7" i="16" s="1"/>
  <c r="AS17" i="16"/>
  <c r="AS18" i="16"/>
  <c r="AS34" i="16"/>
  <c r="AS33" i="16"/>
  <c r="AS50" i="16"/>
  <c r="AS49" i="16"/>
  <c r="C116" i="16"/>
  <c r="C128" i="16"/>
  <c r="B6" i="16"/>
  <c r="AR40" i="16"/>
  <c r="AR52" i="16"/>
  <c r="AR45" i="16"/>
  <c r="AR57" i="16"/>
  <c r="AR69" i="16"/>
  <c r="C73" i="16"/>
  <c r="C77" i="16"/>
  <c r="C81" i="16"/>
  <c r="C85" i="16"/>
  <c r="C89" i="16"/>
  <c r="C93" i="16"/>
  <c r="C97" i="16"/>
  <c r="C101" i="16"/>
  <c r="C105" i="16"/>
  <c r="C109" i="16"/>
  <c r="C113" i="16"/>
  <c r="C117" i="16"/>
  <c r="C121" i="16"/>
  <c r="C125" i="16"/>
  <c r="C129" i="16"/>
  <c r="C133" i="16"/>
  <c r="C78" i="16"/>
  <c r="C82" i="16"/>
  <c r="C86" i="16"/>
  <c r="C90" i="16"/>
  <c r="C94" i="16"/>
  <c r="C98" i="16"/>
  <c r="C102" i="16"/>
  <c r="C106" i="16"/>
  <c r="C110" i="16"/>
  <c r="C114" i="16"/>
  <c r="C118" i="16"/>
  <c r="C122" i="16"/>
  <c r="C126" i="16"/>
  <c r="C130" i="16"/>
  <c r="C134" i="16"/>
  <c r="AL142" i="15"/>
  <c r="AL77" i="15"/>
  <c r="AL81" i="15"/>
  <c r="AL147" i="15"/>
  <c r="AL76" i="15"/>
  <c r="AQ76" i="15" s="1"/>
  <c r="AL84" i="15"/>
  <c r="AL82" i="15"/>
  <c r="AL138" i="15"/>
  <c r="AL144" i="15"/>
  <c r="AL150" i="15"/>
  <c r="AL85" i="15"/>
  <c r="AL137" i="15"/>
  <c r="AL143" i="15"/>
  <c r="AL141" i="15"/>
  <c r="AL74" i="15"/>
  <c r="AL136" i="15"/>
  <c r="AL145" i="15"/>
  <c r="AQ145" i="15" s="1"/>
  <c r="AL78" i="15"/>
  <c r="AQ78" i="15" s="1"/>
  <c r="AQ80" i="15"/>
  <c r="AQ72" i="15"/>
  <c r="AR7" i="15" s="1"/>
  <c r="AQ84" i="15"/>
  <c r="AR36" i="15"/>
  <c r="AR37" i="15"/>
  <c r="C87" i="15"/>
  <c r="C152" i="15"/>
  <c r="C111" i="15"/>
  <c r="C176" i="15"/>
  <c r="AN71" i="15"/>
  <c r="AN75" i="15"/>
  <c r="AN77" i="15"/>
  <c r="AN81" i="15"/>
  <c r="AS67" i="15"/>
  <c r="AL71" i="15"/>
  <c r="AL75" i="15"/>
  <c r="AQ75" i="15" s="1"/>
  <c r="AL79" i="15"/>
  <c r="AL83" i="15"/>
  <c r="AO87" i="15"/>
  <c r="AL87" i="15"/>
  <c r="AM92" i="15"/>
  <c r="AN99" i="15"/>
  <c r="AO103" i="15"/>
  <c r="AL103" i="15"/>
  <c r="AM108" i="15"/>
  <c r="AN115" i="15"/>
  <c r="AN125" i="15"/>
  <c r="AO127" i="15"/>
  <c r="AL127" i="15"/>
  <c r="C145" i="15"/>
  <c r="AO152" i="15"/>
  <c r="AL152" i="15"/>
  <c r="AS27" i="15"/>
  <c r="AO159" i="15"/>
  <c r="AM162" i="15"/>
  <c r="AN172" i="15"/>
  <c r="AM175" i="15"/>
  <c r="AL175" i="15"/>
  <c r="AS48" i="15"/>
  <c r="AN184" i="15"/>
  <c r="AS40" i="15"/>
  <c r="AM91" i="15"/>
  <c r="AN97" i="15"/>
  <c r="AN98" i="15"/>
  <c r="AM107" i="15"/>
  <c r="AN113" i="15"/>
  <c r="AN114" i="15"/>
  <c r="AO118" i="15"/>
  <c r="AL118" i="15"/>
  <c r="AM120" i="15"/>
  <c r="AM122" i="15"/>
  <c r="AN136" i="15"/>
  <c r="AO138" i="15"/>
  <c r="AQ138" i="15" s="1"/>
  <c r="AS8" i="15" s="1"/>
  <c r="AN144" i="15"/>
  <c r="AQ144" i="15" s="1"/>
  <c r="AO146" i="15"/>
  <c r="AO166" i="15"/>
  <c r="AO172" i="15"/>
  <c r="AL172" i="15"/>
  <c r="AM182" i="15"/>
  <c r="AM195" i="15"/>
  <c r="C182" i="15"/>
  <c r="C117" i="15"/>
  <c r="AN109" i="15"/>
  <c r="AN131" i="15"/>
  <c r="AO191" i="15"/>
  <c r="C123" i="15"/>
  <c r="C188" i="15"/>
  <c r="C158" i="15"/>
  <c r="C93" i="15"/>
  <c r="AR29" i="15"/>
  <c r="AR32" i="15"/>
  <c r="C143" i="15"/>
  <c r="C78" i="15"/>
  <c r="AT15" i="15"/>
  <c r="C103" i="15"/>
  <c r="C168" i="15"/>
  <c r="C175" i="15"/>
  <c r="C110" i="15"/>
  <c r="C127" i="15"/>
  <c r="C192" i="15"/>
  <c r="C199" i="15"/>
  <c r="C134" i="15"/>
  <c r="AL96" i="15"/>
  <c r="AO97" i="15"/>
  <c r="AO98" i="15"/>
  <c r="AL98" i="15"/>
  <c r="AL112" i="15"/>
  <c r="AO113" i="15"/>
  <c r="AO114" i="15"/>
  <c r="AL114" i="15"/>
  <c r="AN121" i="15"/>
  <c r="AR56" i="15"/>
  <c r="AO123" i="15"/>
  <c r="AL123" i="15"/>
  <c r="C132" i="15"/>
  <c r="AO134" i="15"/>
  <c r="AL134" i="15"/>
  <c r="AM138" i="15"/>
  <c r="AO143" i="15"/>
  <c r="AQ143" i="15" s="1"/>
  <c r="AM146" i="15"/>
  <c r="AQ146" i="15" s="1"/>
  <c r="AS16" i="15" s="1"/>
  <c r="AO156" i="15"/>
  <c r="AL156" i="15"/>
  <c r="AO163" i="15"/>
  <c r="AM166" i="15"/>
  <c r="AN176" i="15"/>
  <c r="AM179" i="15"/>
  <c r="AL179" i="15"/>
  <c r="AN188" i="15"/>
  <c r="AL191" i="15"/>
  <c r="AO198" i="15"/>
  <c r="C99" i="15"/>
  <c r="C164" i="15"/>
  <c r="C151" i="15"/>
  <c r="C86" i="15"/>
  <c r="AR26" i="15"/>
  <c r="AO95" i="15"/>
  <c r="AL95" i="15"/>
  <c r="AM100" i="15"/>
  <c r="AO111" i="15"/>
  <c r="AL111" i="15"/>
  <c r="AM116" i="15"/>
  <c r="AM118" i="15"/>
  <c r="AR65" i="15"/>
  <c r="AL132" i="15"/>
  <c r="C141" i="15"/>
  <c r="C149" i="15"/>
  <c r="AO150" i="15"/>
  <c r="AS24" i="15"/>
  <c r="AO170" i="15"/>
  <c r="AO176" i="15"/>
  <c r="AL176" i="15"/>
  <c r="AS51" i="15"/>
  <c r="AM186" i="15"/>
  <c r="AN93" i="15"/>
  <c r="AR45" i="15"/>
  <c r="AR59" i="15"/>
  <c r="AR69" i="15"/>
  <c r="AN89" i="15"/>
  <c r="AN90" i="15"/>
  <c r="AM99" i="15"/>
  <c r="AN105" i="15"/>
  <c r="AN106" i="15"/>
  <c r="AR41" i="15"/>
  <c r="C108" i="15"/>
  <c r="AM115" i="15"/>
  <c r="AN119" i="15"/>
  <c r="AN129" i="15"/>
  <c r="AO131" i="15"/>
  <c r="AL131" i="15"/>
  <c r="AN140" i="15"/>
  <c r="AO142" i="15"/>
  <c r="AN148" i="15"/>
  <c r="AM151" i="15"/>
  <c r="AL151" i="15"/>
  <c r="AQ151" i="15" s="1"/>
  <c r="AO155" i="15"/>
  <c r="AM158" i="15"/>
  <c r="AN168" i="15"/>
  <c r="AM171" i="15"/>
  <c r="AL171" i="15"/>
  <c r="AO190" i="15"/>
  <c r="AO196" i="15"/>
  <c r="AL196" i="15"/>
  <c r="AQ149" i="15"/>
  <c r="AL92" i="15"/>
  <c r="AO93" i="15"/>
  <c r="AO94" i="15"/>
  <c r="AL94" i="15"/>
  <c r="AL108" i="15"/>
  <c r="AO109" i="15"/>
  <c r="AO110" i="15"/>
  <c r="AL110" i="15"/>
  <c r="AO122" i="15"/>
  <c r="AL122" i="15"/>
  <c r="AM124" i="15"/>
  <c r="AM126" i="15"/>
  <c r="AO140" i="15"/>
  <c r="AL140" i="15"/>
  <c r="AO148" i="15"/>
  <c r="AL148" i="15"/>
  <c r="AO162" i="15"/>
  <c r="AO168" i="15"/>
  <c r="AL168" i="15"/>
  <c r="AM191" i="15"/>
  <c r="B136" i="15"/>
  <c r="B71" i="15"/>
  <c r="AN83" i="15"/>
  <c r="AN87" i="15"/>
  <c r="AN103" i="15"/>
  <c r="AN127" i="15"/>
  <c r="AO182" i="15"/>
  <c r="AO195" i="15"/>
  <c r="AL195" i="15"/>
  <c r="C71" i="15"/>
  <c r="C136" i="15"/>
  <c r="C79" i="15"/>
  <c r="AQ79" i="15" s="1"/>
  <c r="AR14" i="15" s="1"/>
  <c r="C144" i="15"/>
  <c r="C194" i="15"/>
  <c r="C129" i="15"/>
  <c r="AN73" i="15"/>
  <c r="AN101" i="15"/>
  <c r="AO119" i="15"/>
  <c r="AL119" i="15"/>
  <c r="AO130" i="15"/>
  <c r="AL130" i="15"/>
  <c r="AM150" i="15"/>
  <c r="AO160" i="15"/>
  <c r="AL160" i="15"/>
  <c r="AO167" i="15"/>
  <c r="AM170" i="15"/>
  <c r="AN180" i="15"/>
  <c r="AN192" i="15"/>
  <c r="AN79" i="15"/>
  <c r="C170" i="15"/>
  <c r="C105" i="15"/>
  <c r="AN85" i="15"/>
  <c r="AQ85" i="15" s="1"/>
  <c r="AR20" i="15" s="1"/>
  <c r="AQ86" i="15"/>
  <c r="AR22" i="15" s="1"/>
  <c r="AT6" i="15"/>
  <c r="C139" i="15"/>
  <c r="C74" i="15"/>
  <c r="C91" i="15"/>
  <c r="C156" i="15"/>
  <c r="C163" i="15"/>
  <c r="C98" i="15"/>
  <c r="C115" i="15"/>
  <c r="C180" i="15"/>
  <c r="C187" i="15"/>
  <c r="C122" i="15"/>
  <c r="AL88" i="15"/>
  <c r="AO89" i="15"/>
  <c r="AO90" i="15"/>
  <c r="AL90" i="15"/>
  <c r="AL104" i="15"/>
  <c r="AO105" i="15"/>
  <c r="AO106" i="15"/>
  <c r="AL106" i="15"/>
  <c r="AL128" i="15"/>
  <c r="AO139" i="15"/>
  <c r="AM142" i="15"/>
  <c r="AQ142" i="15" s="1"/>
  <c r="AO147" i="15"/>
  <c r="AN152" i="15"/>
  <c r="AM155" i="15"/>
  <c r="AL155" i="15"/>
  <c r="AO174" i="15"/>
  <c r="AO180" i="15"/>
  <c r="AL180" i="15"/>
  <c r="AO187" i="15"/>
  <c r="AM190" i="15"/>
  <c r="C140" i="15"/>
  <c r="C148" i="15"/>
  <c r="C160" i="15"/>
  <c r="C172" i="15"/>
  <c r="C184" i="15"/>
  <c r="C196" i="15"/>
  <c r="C73" i="15"/>
  <c r="C77" i="15"/>
  <c r="C81" i="15"/>
  <c r="AQ81" i="15" s="1"/>
  <c r="C85" i="15"/>
  <c r="C89" i="15"/>
  <c r="C97" i="15"/>
  <c r="C101" i="15"/>
  <c r="C109" i="15"/>
  <c r="C113" i="15"/>
  <c r="C121" i="15"/>
  <c r="C125" i="15"/>
  <c r="C133" i="15"/>
  <c r="C82" i="15"/>
  <c r="AQ82" i="15" s="1"/>
  <c r="C90" i="15"/>
  <c r="C94" i="15"/>
  <c r="C102" i="15"/>
  <c r="C106" i="15"/>
  <c r="C114" i="15"/>
  <c r="C118" i="15"/>
  <c r="C126" i="15"/>
  <c r="C130" i="15"/>
  <c r="AS16" i="17" l="1"/>
  <c r="AS70" i="17"/>
  <c r="AS69" i="17"/>
  <c r="AQ138" i="17"/>
  <c r="AS8" i="17" s="1"/>
  <c r="AQ73" i="18"/>
  <c r="AR8" i="18" s="1"/>
  <c r="AQ136" i="15"/>
  <c r="AS6" i="15" s="1"/>
  <c r="AQ71" i="16"/>
  <c r="AR6" i="16" s="1"/>
  <c r="AQ108" i="18"/>
  <c r="AR43" i="18" s="1"/>
  <c r="AQ143" i="18"/>
  <c r="AS13" i="18" s="1"/>
  <c r="AQ127" i="18"/>
  <c r="AR62" i="18" s="1"/>
  <c r="AQ102" i="18"/>
  <c r="AR37" i="18" s="1"/>
  <c r="AQ168" i="17"/>
  <c r="AS38" i="17" s="1"/>
  <c r="AQ73" i="16"/>
  <c r="AR8" i="16" s="1"/>
  <c r="AQ76" i="17"/>
  <c r="AR11" i="17" s="1"/>
  <c r="AQ189" i="18"/>
  <c r="AS59" i="18" s="1"/>
  <c r="AQ139" i="15"/>
  <c r="AS9" i="15" s="1"/>
  <c r="AQ101" i="18"/>
  <c r="AR36" i="18" s="1"/>
  <c r="AQ130" i="18"/>
  <c r="AR65" i="18" s="1"/>
  <c r="AQ146" i="18"/>
  <c r="AS16" i="18" s="1"/>
  <c r="AQ73" i="15"/>
  <c r="AR8" i="15" s="1"/>
  <c r="AR69" i="17"/>
  <c r="AQ123" i="18"/>
  <c r="AR58" i="18" s="1"/>
  <c r="AQ106" i="18"/>
  <c r="AR41" i="18" s="1"/>
  <c r="AQ97" i="18"/>
  <c r="AR32" i="18" s="1"/>
  <c r="AQ78" i="18"/>
  <c r="AR13" i="18" s="1"/>
  <c r="AQ84" i="18"/>
  <c r="AR19" i="18" s="1"/>
  <c r="AQ177" i="17"/>
  <c r="AS47" i="17" s="1"/>
  <c r="AQ117" i="18"/>
  <c r="AR52" i="18" s="1"/>
  <c r="AR16" i="15"/>
  <c r="AQ164" i="17"/>
  <c r="AS34" i="17" s="1"/>
  <c r="AQ122" i="18"/>
  <c r="AR57" i="18" s="1"/>
  <c r="AQ128" i="18"/>
  <c r="AR63" i="18" s="1"/>
  <c r="AQ76" i="18"/>
  <c r="AR11" i="18" s="1"/>
  <c r="AQ132" i="18"/>
  <c r="AR67" i="18" s="1"/>
  <c r="AQ112" i="18"/>
  <c r="AR47" i="18" s="1"/>
  <c r="AQ196" i="18"/>
  <c r="AS66" i="18" s="1"/>
  <c r="AQ74" i="15"/>
  <c r="AR9" i="15" s="1"/>
  <c r="AS14" i="15"/>
  <c r="AQ74" i="16"/>
  <c r="AQ143" i="17"/>
  <c r="AS13" i="17" s="1"/>
  <c r="AQ118" i="18"/>
  <c r="AR53" i="18" s="1"/>
  <c r="AQ120" i="18"/>
  <c r="AR55" i="18" s="1"/>
  <c r="AQ139" i="18"/>
  <c r="AS9" i="18" s="1"/>
  <c r="AQ103" i="18"/>
  <c r="AR38" i="18" s="1"/>
  <c r="AQ85" i="18"/>
  <c r="AR20" i="18" s="1"/>
  <c r="AQ74" i="18"/>
  <c r="AR9" i="18" s="1"/>
  <c r="AQ89" i="18"/>
  <c r="AR24" i="18" s="1"/>
  <c r="AQ125" i="18"/>
  <c r="AR60" i="18" s="1"/>
  <c r="AR70" i="18"/>
  <c r="AR69" i="18"/>
  <c r="AQ110" i="18"/>
  <c r="AR45" i="18" s="1"/>
  <c r="B136" i="18"/>
  <c r="B71" i="18"/>
  <c r="AS70" i="18"/>
  <c r="AS69" i="18"/>
  <c r="AQ105" i="18"/>
  <c r="AR40" i="18" s="1"/>
  <c r="AQ81" i="18"/>
  <c r="AR16" i="18" s="1"/>
  <c r="AQ90" i="18"/>
  <c r="AR25" i="18" s="1"/>
  <c r="AQ114" i="18"/>
  <c r="AR49" i="18" s="1"/>
  <c r="AQ94" i="18"/>
  <c r="AR29" i="18" s="1"/>
  <c r="AS15" i="17"/>
  <c r="AQ137" i="17"/>
  <c r="AS7" i="17" s="1"/>
  <c r="AQ71" i="17"/>
  <c r="AR6" i="17" s="1"/>
  <c r="AQ74" i="17"/>
  <c r="AR9" i="17" s="1"/>
  <c r="AQ142" i="17"/>
  <c r="AS12" i="17" s="1"/>
  <c r="AQ75" i="17"/>
  <c r="AR10" i="17" s="1"/>
  <c r="AQ136" i="17"/>
  <c r="AS6" i="17" s="1"/>
  <c r="AR14" i="17"/>
  <c r="AS14" i="17"/>
  <c r="AR9" i="16"/>
  <c r="AR10" i="16"/>
  <c r="AS10" i="16"/>
  <c r="AS9" i="16"/>
  <c r="B136" i="16"/>
  <c r="B71" i="16"/>
  <c r="AR21" i="15"/>
  <c r="AS13" i="15"/>
  <c r="AR15" i="15"/>
  <c r="AS15" i="15"/>
  <c r="AR11" i="15"/>
  <c r="AS19" i="15"/>
  <c r="AR17" i="15"/>
  <c r="AQ147" i="15"/>
  <c r="AS17" i="15" s="1"/>
  <c r="AQ77" i="15"/>
  <c r="AR12" i="15" s="1"/>
  <c r="AQ71" i="15"/>
  <c r="AR6" i="15" s="1"/>
  <c r="AQ83" i="15"/>
  <c r="AR18" i="15" s="1"/>
  <c r="AQ150" i="15"/>
  <c r="AS20" i="15" s="1"/>
  <c r="AQ141" i="15"/>
  <c r="AQ148" i="15"/>
  <c r="AQ140" i="15"/>
  <c r="AS10" i="15" s="1"/>
  <c r="AS22" i="15"/>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AS11" i="15" l="1"/>
  <c r="AS12" i="15"/>
  <c r="AR10" i="15"/>
  <c r="AR13" i="15"/>
  <c r="AS18" i="15"/>
  <c r="AS21" i="15"/>
  <c r="AR19" i="15"/>
  <c r="E29" i="1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9" l="1"/>
  <c r="AQ199" i="9" s="1"/>
  <c r="AI199" i="9"/>
  <c r="AH199" i="9"/>
  <c r="AG199" i="9"/>
  <c r="AF199" i="9"/>
  <c r="AE199" i="9"/>
  <c r="AD199" i="9"/>
  <c r="AC199" i="9"/>
  <c r="AB199" i="9"/>
  <c r="AA199" i="9"/>
  <c r="Z199" i="9"/>
  <c r="Y199" i="9"/>
  <c r="X199" i="9"/>
  <c r="W199" i="9"/>
  <c r="V199" i="9"/>
  <c r="U199" i="9"/>
  <c r="T199" i="9"/>
  <c r="S199" i="9"/>
  <c r="R199" i="9"/>
  <c r="Q199" i="9"/>
  <c r="P199" i="9"/>
  <c r="O199" i="9"/>
  <c r="N199" i="9"/>
  <c r="M199" i="9"/>
  <c r="L199" i="9"/>
  <c r="K199" i="9"/>
  <c r="J199" i="9"/>
  <c r="I199" i="9"/>
  <c r="H199" i="9"/>
  <c r="G199" i="9"/>
  <c r="F199" i="9"/>
  <c r="E199" i="9"/>
  <c r="D199" i="9"/>
  <c r="AJ198" i="9"/>
  <c r="AQ198" i="9" s="1"/>
  <c r="AS68" i="9" s="1"/>
  <c r="AI198" i="9"/>
  <c r="AH198" i="9"/>
  <c r="AG198" i="9"/>
  <c r="AF198" i="9"/>
  <c r="AE198" i="9"/>
  <c r="AD198" i="9"/>
  <c r="AC198" i="9"/>
  <c r="AB198" i="9"/>
  <c r="AA198" i="9"/>
  <c r="Z198" i="9"/>
  <c r="Y198" i="9"/>
  <c r="X198" i="9"/>
  <c r="W198" i="9"/>
  <c r="V198" i="9"/>
  <c r="U198" i="9"/>
  <c r="T198" i="9"/>
  <c r="S198" i="9"/>
  <c r="R198" i="9"/>
  <c r="Q198" i="9"/>
  <c r="P198" i="9"/>
  <c r="O198" i="9"/>
  <c r="N198" i="9"/>
  <c r="M198" i="9"/>
  <c r="L198" i="9"/>
  <c r="K198" i="9"/>
  <c r="J198" i="9"/>
  <c r="I198" i="9"/>
  <c r="H198" i="9"/>
  <c r="G198" i="9"/>
  <c r="F198" i="9"/>
  <c r="E198" i="9"/>
  <c r="D198" i="9"/>
  <c r="AJ197" i="9"/>
  <c r="AQ197" i="9" s="1"/>
  <c r="AI197" i="9"/>
  <c r="AH197" i="9"/>
  <c r="AG197" i="9"/>
  <c r="AF197" i="9"/>
  <c r="AE197" i="9"/>
  <c r="AD197" i="9"/>
  <c r="AC197" i="9"/>
  <c r="AB197" i="9"/>
  <c r="AA197" i="9"/>
  <c r="Z197" i="9"/>
  <c r="Y197" i="9"/>
  <c r="X197" i="9"/>
  <c r="W197" i="9"/>
  <c r="V197" i="9"/>
  <c r="U197" i="9"/>
  <c r="T197" i="9"/>
  <c r="S197" i="9"/>
  <c r="R197" i="9"/>
  <c r="Q197" i="9"/>
  <c r="P197" i="9"/>
  <c r="O197" i="9"/>
  <c r="N197" i="9"/>
  <c r="M197" i="9"/>
  <c r="L197" i="9"/>
  <c r="K197" i="9"/>
  <c r="J197" i="9"/>
  <c r="I197" i="9"/>
  <c r="H197" i="9"/>
  <c r="G197" i="9"/>
  <c r="F197" i="9"/>
  <c r="E197" i="9"/>
  <c r="D197" i="9"/>
  <c r="AJ196" i="9"/>
  <c r="AQ196" i="9" s="1"/>
  <c r="AI196" i="9"/>
  <c r="AH196" i="9"/>
  <c r="AG196" i="9"/>
  <c r="AF196" i="9"/>
  <c r="AE196" i="9"/>
  <c r="AD196" i="9"/>
  <c r="AC196" i="9"/>
  <c r="AB196" i="9"/>
  <c r="AA196" i="9"/>
  <c r="Z196" i="9"/>
  <c r="Y196" i="9"/>
  <c r="X196" i="9"/>
  <c r="W196" i="9"/>
  <c r="V196" i="9"/>
  <c r="U196" i="9"/>
  <c r="T196" i="9"/>
  <c r="S196" i="9"/>
  <c r="R196" i="9"/>
  <c r="Q196" i="9"/>
  <c r="P196" i="9"/>
  <c r="O196" i="9"/>
  <c r="N196" i="9"/>
  <c r="M196" i="9"/>
  <c r="L196" i="9"/>
  <c r="K196" i="9"/>
  <c r="J196" i="9"/>
  <c r="I196" i="9"/>
  <c r="H196" i="9"/>
  <c r="G196" i="9"/>
  <c r="F196" i="9"/>
  <c r="E196" i="9"/>
  <c r="D196" i="9"/>
  <c r="AJ195" i="9"/>
  <c r="AQ195" i="9" s="1"/>
  <c r="AI195" i="9"/>
  <c r="AH195" i="9"/>
  <c r="AG195" i="9"/>
  <c r="AF195" i="9"/>
  <c r="AE195" i="9"/>
  <c r="AD195" i="9"/>
  <c r="AC195" i="9"/>
  <c r="AB195" i="9"/>
  <c r="AA195" i="9"/>
  <c r="Z195" i="9"/>
  <c r="Y195" i="9"/>
  <c r="X195" i="9"/>
  <c r="W195" i="9"/>
  <c r="V195" i="9"/>
  <c r="U195" i="9"/>
  <c r="T195" i="9"/>
  <c r="S195" i="9"/>
  <c r="R195" i="9"/>
  <c r="Q195" i="9"/>
  <c r="P195" i="9"/>
  <c r="O195" i="9"/>
  <c r="N195" i="9"/>
  <c r="M195" i="9"/>
  <c r="L195" i="9"/>
  <c r="K195" i="9"/>
  <c r="J195" i="9"/>
  <c r="I195" i="9"/>
  <c r="H195" i="9"/>
  <c r="G195" i="9"/>
  <c r="F195" i="9"/>
  <c r="E195" i="9"/>
  <c r="D195" i="9"/>
  <c r="AJ194" i="9"/>
  <c r="AQ194" i="9" s="1"/>
  <c r="AI194" i="9"/>
  <c r="AH194" i="9"/>
  <c r="AG194" i="9"/>
  <c r="AF194" i="9"/>
  <c r="AE194" i="9"/>
  <c r="AD194" i="9"/>
  <c r="AC194" i="9"/>
  <c r="AB194" i="9"/>
  <c r="AA194" i="9"/>
  <c r="Z194" i="9"/>
  <c r="Y194" i="9"/>
  <c r="X194" i="9"/>
  <c r="W194" i="9"/>
  <c r="V194" i="9"/>
  <c r="U194" i="9"/>
  <c r="T194" i="9"/>
  <c r="S194" i="9"/>
  <c r="R194" i="9"/>
  <c r="Q194" i="9"/>
  <c r="P194" i="9"/>
  <c r="O194" i="9"/>
  <c r="N194" i="9"/>
  <c r="M194" i="9"/>
  <c r="L194" i="9"/>
  <c r="K194" i="9"/>
  <c r="J194" i="9"/>
  <c r="I194" i="9"/>
  <c r="H194" i="9"/>
  <c r="G194" i="9"/>
  <c r="F194" i="9"/>
  <c r="E194" i="9"/>
  <c r="D194" i="9"/>
  <c r="AJ193" i="9"/>
  <c r="AQ193" i="9" s="1"/>
  <c r="AI193" i="9"/>
  <c r="AH193" i="9"/>
  <c r="AG193" i="9"/>
  <c r="AF193" i="9"/>
  <c r="AE193" i="9"/>
  <c r="AD193" i="9"/>
  <c r="AC193" i="9"/>
  <c r="AB193" i="9"/>
  <c r="AA193" i="9"/>
  <c r="Z193" i="9"/>
  <c r="Y193" i="9"/>
  <c r="X193" i="9"/>
  <c r="W193" i="9"/>
  <c r="V193" i="9"/>
  <c r="U193" i="9"/>
  <c r="T193" i="9"/>
  <c r="S193" i="9"/>
  <c r="R193" i="9"/>
  <c r="Q193" i="9"/>
  <c r="P193" i="9"/>
  <c r="O193" i="9"/>
  <c r="N193" i="9"/>
  <c r="M193" i="9"/>
  <c r="L193" i="9"/>
  <c r="K193" i="9"/>
  <c r="J193" i="9"/>
  <c r="I193" i="9"/>
  <c r="H193" i="9"/>
  <c r="G193" i="9"/>
  <c r="F193" i="9"/>
  <c r="E193" i="9"/>
  <c r="D193" i="9"/>
  <c r="AJ192" i="9"/>
  <c r="AQ192" i="9" s="1"/>
  <c r="AS62" i="9" s="1"/>
  <c r="AI192" i="9"/>
  <c r="AH192" i="9"/>
  <c r="AG192" i="9"/>
  <c r="AF192" i="9"/>
  <c r="AE192" i="9"/>
  <c r="AD192" i="9"/>
  <c r="AC192" i="9"/>
  <c r="AB192" i="9"/>
  <c r="AA192" i="9"/>
  <c r="Z192" i="9"/>
  <c r="Y192" i="9"/>
  <c r="X192" i="9"/>
  <c r="W192" i="9"/>
  <c r="V192" i="9"/>
  <c r="U192" i="9"/>
  <c r="T192" i="9"/>
  <c r="S192" i="9"/>
  <c r="R192" i="9"/>
  <c r="Q192" i="9"/>
  <c r="P192" i="9"/>
  <c r="O192" i="9"/>
  <c r="N192" i="9"/>
  <c r="M192" i="9"/>
  <c r="L192" i="9"/>
  <c r="K192" i="9"/>
  <c r="J192" i="9"/>
  <c r="I192" i="9"/>
  <c r="H192" i="9"/>
  <c r="G192" i="9"/>
  <c r="F192" i="9"/>
  <c r="E192" i="9"/>
  <c r="D192" i="9"/>
  <c r="AJ191" i="9"/>
  <c r="AQ191" i="9" s="1"/>
  <c r="AI191" i="9"/>
  <c r="AH191" i="9"/>
  <c r="AG191" i="9"/>
  <c r="AF191" i="9"/>
  <c r="AE191" i="9"/>
  <c r="AD191" i="9"/>
  <c r="AC191" i="9"/>
  <c r="AB191" i="9"/>
  <c r="AA191" i="9"/>
  <c r="Z191" i="9"/>
  <c r="Y191" i="9"/>
  <c r="X191" i="9"/>
  <c r="W191" i="9"/>
  <c r="V191" i="9"/>
  <c r="U191" i="9"/>
  <c r="T191" i="9"/>
  <c r="S191" i="9"/>
  <c r="R191" i="9"/>
  <c r="Q191" i="9"/>
  <c r="P191" i="9"/>
  <c r="O191" i="9"/>
  <c r="N191" i="9"/>
  <c r="M191" i="9"/>
  <c r="L191" i="9"/>
  <c r="K191" i="9"/>
  <c r="J191" i="9"/>
  <c r="I191" i="9"/>
  <c r="H191" i="9"/>
  <c r="G191" i="9"/>
  <c r="F191" i="9"/>
  <c r="E191" i="9"/>
  <c r="D191" i="9"/>
  <c r="AJ190" i="9"/>
  <c r="AQ190" i="9" s="1"/>
  <c r="AS61" i="9" s="1"/>
  <c r="AI190" i="9"/>
  <c r="AH190" i="9"/>
  <c r="AG190" i="9"/>
  <c r="AF190" i="9"/>
  <c r="AE190" i="9"/>
  <c r="AD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J189" i="9"/>
  <c r="AQ189" i="9" s="1"/>
  <c r="AI189" i="9"/>
  <c r="AH189" i="9"/>
  <c r="AG189" i="9"/>
  <c r="AF189" i="9"/>
  <c r="AE189" i="9"/>
  <c r="AD189" i="9"/>
  <c r="AC189" i="9"/>
  <c r="AB189" i="9"/>
  <c r="AA189" i="9"/>
  <c r="Z189" i="9"/>
  <c r="Y189" i="9"/>
  <c r="X189" i="9"/>
  <c r="W189" i="9"/>
  <c r="V189" i="9"/>
  <c r="U189" i="9"/>
  <c r="T189" i="9"/>
  <c r="S189" i="9"/>
  <c r="R189" i="9"/>
  <c r="Q189" i="9"/>
  <c r="P189" i="9"/>
  <c r="O189" i="9"/>
  <c r="N189" i="9"/>
  <c r="M189" i="9"/>
  <c r="L189" i="9"/>
  <c r="K189" i="9"/>
  <c r="J189" i="9"/>
  <c r="I189" i="9"/>
  <c r="H189" i="9"/>
  <c r="G189" i="9"/>
  <c r="F189" i="9"/>
  <c r="E189" i="9"/>
  <c r="D189" i="9"/>
  <c r="AJ188" i="9"/>
  <c r="AQ188" i="9" s="1"/>
  <c r="AI188" i="9"/>
  <c r="AH188" i="9"/>
  <c r="AG188" i="9"/>
  <c r="AF188" i="9"/>
  <c r="AE188" i="9"/>
  <c r="AD188" i="9"/>
  <c r="AC188" i="9"/>
  <c r="AB188" i="9"/>
  <c r="AA188" i="9"/>
  <c r="Z188" i="9"/>
  <c r="Y188" i="9"/>
  <c r="X188" i="9"/>
  <c r="W188" i="9"/>
  <c r="V188" i="9"/>
  <c r="U188" i="9"/>
  <c r="T188" i="9"/>
  <c r="S188" i="9"/>
  <c r="R188" i="9"/>
  <c r="Q188" i="9"/>
  <c r="P188" i="9"/>
  <c r="O188" i="9"/>
  <c r="N188" i="9"/>
  <c r="M188" i="9"/>
  <c r="L188" i="9"/>
  <c r="K188" i="9"/>
  <c r="J188" i="9"/>
  <c r="I188" i="9"/>
  <c r="H188" i="9"/>
  <c r="G188" i="9"/>
  <c r="F188" i="9"/>
  <c r="E188" i="9"/>
  <c r="D188" i="9"/>
  <c r="AQ187" i="9"/>
  <c r="AJ187" i="9"/>
  <c r="AI187" i="9"/>
  <c r="AH187" i="9"/>
  <c r="AG187" i="9"/>
  <c r="AF187" i="9"/>
  <c r="AE187" i="9"/>
  <c r="AD187" i="9"/>
  <c r="AC187" i="9"/>
  <c r="AB187" i="9"/>
  <c r="AA187" i="9"/>
  <c r="Z187" i="9"/>
  <c r="Y187" i="9"/>
  <c r="X187" i="9"/>
  <c r="W187" i="9"/>
  <c r="V187" i="9"/>
  <c r="U187" i="9"/>
  <c r="T187" i="9"/>
  <c r="S187" i="9"/>
  <c r="R187" i="9"/>
  <c r="Q187" i="9"/>
  <c r="P187" i="9"/>
  <c r="O187" i="9"/>
  <c r="N187" i="9"/>
  <c r="M187" i="9"/>
  <c r="L187" i="9"/>
  <c r="K187" i="9"/>
  <c r="J187" i="9"/>
  <c r="I187" i="9"/>
  <c r="H187" i="9"/>
  <c r="G187" i="9"/>
  <c r="F187" i="9"/>
  <c r="E187" i="9"/>
  <c r="D187" i="9"/>
  <c r="AJ186" i="9"/>
  <c r="AQ186" i="9" s="1"/>
  <c r="AI186" i="9"/>
  <c r="AH186" i="9"/>
  <c r="AG186" i="9"/>
  <c r="AF186" i="9"/>
  <c r="AE186" i="9"/>
  <c r="AD186" i="9"/>
  <c r="AC186" i="9"/>
  <c r="AB186" i="9"/>
  <c r="AA186" i="9"/>
  <c r="Z186" i="9"/>
  <c r="Y186" i="9"/>
  <c r="X186" i="9"/>
  <c r="W186" i="9"/>
  <c r="V186" i="9"/>
  <c r="U186" i="9"/>
  <c r="T186" i="9"/>
  <c r="S186" i="9"/>
  <c r="R186" i="9"/>
  <c r="Q186" i="9"/>
  <c r="P186" i="9"/>
  <c r="O186" i="9"/>
  <c r="N186" i="9"/>
  <c r="M186" i="9"/>
  <c r="L186" i="9"/>
  <c r="K186" i="9"/>
  <c r="J186" i="9"/>
  <c r="I186" i="9"/>
  <c r="H186" i="9"/>
  <c r="G186" i="9"/>
  <c r="F186" i="9"/>
  <c r="E186" i="9"/>
  <c r="D186" i="9"/>
  <c r="AJ185" i="9"/>
  <c r="AQ185" i="9" s="1"/>
  <c r="AS56" i="9" s="1"/>
  <c r="AI185" i="9"/>
  <c r="AH185" i="9"/>
  <c r="AG185" i="9"/>
  <c r="AF185" i="9"/>
  <c r="AE185" i="9"/>
  <c r="AD185" i="9"/>
  <c r="AC185" i="9"/>
  <c r="AB185" i="9"/>
  <c r="AA185" i="9"/>
  <c r="Z185" i="9"/>
  <c r="Y185" i="9"/>
  <c r="X185" i="9"/>
  <c r="W185" i="9"/>
  <c r="V185" i="9"/>
  <c r="U185" i="9"/>
  <c r="T185" i="9"/>
  <c r="S185" i="9"/>
  <c r="R185" i="9"/>
  <c r="Q185" i="9"/>
  <c r="P185" i="9"/>
  <c r="O185" i="9"/>
  <c r="N185" i="9"/>
  <c r="M185" i="9"/>
  <c r="L185" i="9"/>
  <c r="K185" i="9"/>
  <c r="J185" i="9"/>
  <c r="I185" i="9"/>
  <c r="H185" i="9"/>
  <c r="G185" i="9"/>
  <c r="F185" i="9"/>
  <c r="E185" i="9"/>
  <c r="D185" i="9"/>
  <c r="AJ184" i="9"/>
  <c r="AQ184" i="9" s="1"/>
  <c r="AI184" i="9"/>
  <c r="AH184" i="9"/>
  <c r="AG184" i="9"/>
  <c r="AF184" i="9"/>
  <c r="AE184" i="9"/>
  <c r="AD184" i="9"/>
  <c r="AC184" i="9"/>
  <c r="AB184" i="9"/>
  <c r="AA184" i="9"/>
  <c r="Z184" i="9"/>
  <c r="Y184" i="9"/>
  <c r="X184" i="9"/>
  <c r="W184" i="9"/>
  <c r="V184" i="9"/>
  <c r="U184" i="9"/>
  <c r="T184" i="9"/>
  <c r="S184" i="9"/>
  <c r="R184" i="9"/>
  <c r="Q184" i="9"/>
  <c r="P184" i="9"/>
  <c r="O184" i="9"/>
  <c r="N184" i="9"/>
  <c r="M184" i="9"/>
  <c r="L184" i="9"/>
  <c r="K184" i="9"/>
  <c r="J184" i="9"/>
  <c r="I184" i="9"/>
  <c r="H184" i="9"/>
  <c r="G184" i="9"/>
  <c r="F184" i="9"/>
  <c r="E184" i="9"/>
  <c r="D184" i="9"/>
  <c r="AJ183" i="9"/>
  <c r="AQ183" i="9" s="1"/>
  <c r="AI183" i="9"/>
  <c r="AH183" i="9"/>
  <c r="AG183" i="9"/>
  <c r="AF183" i="9"/>
  <c r="AE183" i="9"/>
  <c r="AD183" i="9"/>
  <c r="AC183" i="9"/>
  <c r="AB183" i="9"/>
  <c r="AA183" i="9"/>
  <c r="Z183" i="9"/>
  <c r="Y183" i="9"/>
  <c r="X183" i="9"/>
  <c r="W183" i="9"/>
  <c r="V183" i="9"/>
  <c r="U183" i="9"/>
  <c r="T183" i="9"/>
  <c r="S183" i="9"/>
  <c r="R183" i="9"/>
  <c r="Q183" i="9"/>
  <c r="P183" i="9"/>
  <c r="O183" i="9"/>
  <c r="N183" i="9"/>
  <c r="M183" i="9"/>
  <c r="L183" i="9"/>
  <c r="K183" i="9"/>
  <c r="J183" i="9"/>
  <c r="I183" i="9"/>
  <c r="H183" i="9"/>
  <c r="G183" i="9"/>
  <c r="F183" i="9"/>
  <c r="E183" i="9"/>
  <c r="D183" i="9"/>
  <c r="AJ182" i="9"/>
  <c r="AQ182" i="9" s="1"/>
  <c r="AI182" i="9"/>
  <c r="AH182" i="9"/>
  <c r="AG182" i="9"/>
  <c r="AF182" i="9"/>
  <c r="AE182" i="9"/>
  <c r="AD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Q181" i="9"/>
  <c r="AS51" i="9" s="1"/>
  <c r="AJ181" i="9"/>
  <c r="AI181" i="9"/>
  <c r="AH181" i="9"/>
  <c r="AG181" i="9"/>
  <c r="AF181" i="9"/>
  <c r="AE181" i="9"/>
  <c r="AD181" i="9"/>
  <c r="AC181" i="9"/>
  <c r="AB181" i="9"/>
  <c r="AA181" i="9"/>
  <c r="Z181" i="9"/>
  <c r="Y181" i="9"/>
  <c r="X181" i="9"/>
  <c r="W181" i="9"/>
  <c r="V181" i="9"/>
  <c r="U181" i="9"/>
  <c r="T181" i="9"/>
  <c r="S181" i="9"/>
  <c r="R181" i="9"/>
  <c r="Q181" i="9"/>
  <c r="P181" i="9"/>
  <c r="O181" i="9"/>
  <c r="N181" i="9"/>
  <c r="M181" i="9"/>
  <c r="L181" i="9"/>
  <c r="K181" i="9"/>
  <c r="J181" i="9"/>
  <c r="I181" i="9"/>
  <c r="H181" i="9"/>
  <c r="G181" i="9"/>
  <c r="F181" i="9"/>
  <c r="E181" i="9"/>
  <c r="D181" i="9"/>
  <c r="AJ180" i="9"/>
  <c r="AQ180" i="9" s="1"/>
  <c r="AI180" i="9"/>
  <c r="AH180" i="9"/>
  <c r="AG180" i="9"/>
  <c r="AF180" i="9"/>
  <c r="AE180" i="9"/>
  <c r="AD180" i="9"/>
  <c r="AC180" i="9"/>
  <c r="AB180" i="9"/>
  <c r="AA180" i="9"/>
  <c r="Z180" i="9"/>
  <c r="Y180" i="9"/>
  <c r="X180" i="9"/>
  <c r="W180" i="9"/>
  <c r="V180" i="9"/>
  <c r="U180" i="9"/>
  <c r="T180" i="9"/>
  <c r="S180" i="9"/>
  <c r="R180" i="9"/>
  <c r="Q180" i="9"/>
  <c r="P180" i="9"/>
  <c r="O180" i="9"/>
  <c r="N180" i="9"/>
  <c r="M180" i="9"/>
  <c r="L180" i="9"/>
  <c r="K180" i="9"/>
  <c r="J180" i="9"/>
  <c r="I180" i="9"/>
  <c r="H180" i="9"/>
  <c r="G180" i="9"/>
  <c r="F180" i="9"/>
  <c r="E180" i="9"/>
  <c r="D180" i="9"/>
  <c r="AJ179" i="9"/>
  <c r="AQ179" i="9" s="1"/>
  <c r="AI179" i="9"/>
  <c r="AH179" i="9"/>
  <c r="AG179" i="9"/>
  <c r="AF179" i="9"/>
  <c r="AE179" i="9"/>
  <c r="AD179" i="9"/>
  <c r="AC179" i="9"/>
  <c r="AB179" i="9"/>
  <c r="AA179" i="9"/>
  <c r="Z179" i="9"/>
  <c r="Y179" i="9"/>
  <c r="X179" i="9"/>
  <c r="W179" i="9"/>
  <c r="V179" i="9"/>
  <c r="U179" i="9"/>
  <c r="T179" i="9"/>
  <c r="S179" i="9"/>
  <c r="R179" i="9"/>
  <c r="Q179" i="9"/>
  <c r="P179" i="9"/>
  <c r="O179" i="9"/>
  <c r="N179" i="9"/>
  <c r="M179" i="9"/>
  <c r="L179" i="9"/>
  <c r="K179" i="9"/>
  <c r="J179" i="9"/>
  <c r="I179" i="9"/>
  <c r="H179" i="9"/>
  <c r="G179" i="9"/>
  <c r="F179" i="9"/>
  <c r="E179" i="9"/>
  <c r="D179" i="9"/>
  <c r="AJ178" i="9"/>
  <c r="AQ178" i="9" s="1"/>
  <c r="AI178" i="9"/>
  <c r="AH178" i="9"/>
  <c r="AG178" i="9"/>
  <c r="AF178" i="9"/>
  <c r="AE178" i="9"/>
  <c r="AD178" i="9"/>
  <c r="AC178" i="9"/>
  <c r="AB178" i="9"/>
  <c r="AA178" i="9"/>
  <c r="Z178" i="9"/>
  <c r="Y178" i="9"/>
  <c r="X178" i="9"/>
  <c r="W178" i="9"/>
  <c r="V178" i="9"/>
  <c r="U178" i="9"/>
  <c r="T178" i="9"/>
  <c r="S178" i="9"/>
  <c r="R178" i="9"/>
  <c r="Q178" i="9"/>
  <c r="P178" i="9"/>
  <c r="O178" i="9"/>
  <c r="N178" i="9"/>
  <c r="M178" i="9"/>
  <c r="L178" i="9"/>
  <c r="K178" i="9"/>
  <c r="J178" i="9"/>
  <c r="I178" i="9"/>
  <c r="H178" i="9"/>
  <c r="G178" i="9"/>
  <c r="F178" i="9"/>
  <c r="E178" i="9"/>
  <c r="D178" i="9"/>
  <c r="AJ177" i="9"/>
  <c r="AQ177" i="9" s="1"/>
  <c r="AI177" i="9"/>
  <c r="AH177" i="9"/>
  <c r="AG177" i="9"/>
  <c r="AF177" i="9"/>
  <c r="AE177" i="9"/>
  <c r="AD177" i="9"/>
  <c r="AC177" i="9"/>
  <c r="AB177" i="9"/>
  <c r="AA177" i="9"/>
  <c r="Z177" i="9"/>
  <c r="Y177" i="9"/>
  <c r="X177" i="9"/>
  <c r="W177" i="9"/>
  <c r="V177" i="9"/>
  <c r="U177" i="9"/>
  <c r="T177" i="9"/>
  <c r="S177" i="9"/>
  <c r="R177" i="9"/>
  <c r="Q177" i="9"/>
  <c r="P177" i="9"/>
  <c r="O177" i="9"/>
  <c r="N177" i="9"/>
  <c r="M177" i="9"/>
  <c r="L177" i="9"/>
  <c r="K177" i="9"/>
  <c r="J177" i="9"/>
  <c r="I177" i="9"/>
  <c r="H177" i="9"/>
  <c r="G177" i="9"/>
  <c r="F177" i="9"/>
  <c r="E177" i="9"/>
  <c r="D177" i="9"/>
  <c r="AJ176" i="9"/>
  <c r="AQ176" i="9" s="1"/>
  <c r="AI176" i="9"/>
  <c r="AH176" i="9"/>
  <c r="AG176" i="9"/>
  <c r="AF176" i="9"/>
  <c r="AE176" i="9"/>
  <c r="AD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Q175" i="9" s="1"/>
  <c r="AI175" i="9"/>
  <c r="AH175" i="9"/>
  <c r="AG175" i="9"/>
  <c r="AF175" i="9"/>
  <c r="AE175" i="9"/>
  <c r="AD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J174" i="9"/>
  <c r="AQ174" i="9" s="1"/>
  <c r="AI174" i="9"/>
  <c r="AH174" i="9"/>
  <c r="AG174" i="9"/>
  <c r="AF174" i="9"/>
  <c r="AE174" i="9"/>
  <c r="AD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J173" i="9"/>
  <c r="AQ173" i="9" s="1"/>
  <c r="AI173" i="9"/>
  <c r="AH173" i="9"/>
  <c r="AG173" i="9"/>
  <c r="AF173" i="9"/>
  <c r="AE173" i="9"/>
  <c r="AD173" i="9"/>
  <c r="AC173" i="9"/>
  <c r="AB173" i="9"/>
  <c r="AA173" i="9"/>
  <c r="Z173" i="9"/>
  <c r="Y173" i="9"/>
  <c r="X173" i="9"/>
  <c r="W173" i="9"/>
  <c r="V173" i="9"/>
  <c r="U173" i="9"/>
  <c r="T173" i="9"/>
  <c r="S173" i="9"/>
  <c r="R173" i="9"/>
  <c r="Q173" i="9"/>
  <c r="P173" i="9"/>
  <c r="O173" i="9"/>
  <c r="N173" i="9"/>
  <c r="M173" i="9"/>
  <c r="L173" i="9"/>
  <c r="K173" i="9"/>
  <c r="J173" i="9"/>
  <c r="I173" i="9"/>
  <c r="H173" i="9"/>
  <c r="G173" i="9"/>
  <c r="F173" i="9"/>
  <c r="E173" i="9"/>
  <c r="D173" i="9"/>
  <c r="AJ172" i="9"/>
  <c r="AQ172" i="9" s="1"/>
  <c r="AI172" i="9"/>
  <c r="AH172" i="9"/>
  <c r="AG172" i="9"/>
  <c r="AF172" i="9"/>
  <c r="AE172" i="9"/>
  <c r="AD172" i="9"/>
  <c r="AC172" i="9"/>
  <c r="AB172" i="9"/>
  <c r="AA172" i="9"/>
  <c r="Z172" i="9"/>
  <c r="Y172" i="9"/>
  <c r="X172" i="9"/>
  <c r="W172" i="9"/>
  <c r="V172" i="9"/>
  <c r="U172" i="9"/>
  <c r="T172" i="9"/>
  <c r="S172" i="9"/>
  <c r="R172" i="9"/>
  <c r="Q172" i="9"/>
  <c r="P172" i="9"/>
  <c r="O172" i="9"/>
  <c r="N172" i="9"/>
  <c r="M172" i="9"/>
  <c r="L172" i="9"/>
  <c r="K172" i="9"/>
  <c r="J172" i="9"/>
  <c r="I172" i="9"/>
  <c r="H172" i="9"/>
  <c r="G172" i="9"/>
  <c r="F172" i="9"/>
  <c r="E172" i="9"/>
  <c r="D172" i="9"/>
  <c r="AJ171" i="9"/>
  <c r="AQ171" i="9" s="1"/>
  <c r="AS41" i="9" s="1"/>
  <c r="AI171" i="9"/>
  <c r="AH171" i="9"/>
  <c r="AG171" i="9"/>
  <c r="AF171" i="9"/>
  <c r="AE171" i="9"/>
  <c r="AD171" i="9"/>
  <c r="AC171" i="9"/>
  <c r="AB171" i="9"/>
  <c r="AA171" i="9"/>
  <c r="Z171" i="9"/>
  <c r="Y171" i="9"/>
  <c r="X171" i="9"/>
  <c r="W171" i="9"/>
  <c r="V171" i="9"/>
  <c r="U171" i="9"/>
  <c r="T171" i="9"/>
  <c r="S171" i="9"/>
  <c r="R171" i="9"/>
  <c r="Q171" i="9"/>
  <c r="P171" i="9"/>
  <c r="O171" i="9"/>
  <c r="N171" i="9"/>
  <c r="M171" i="9"/>
  <c r="L171" i="9"/>
  <c r="K171" i="9"/>
  <c r="J171" i="9"/>
  <c r="I171" i="9"/>
  <c r="H171" i="9"/>
  <c r="G171" i="9"/>
  <c r="F171" i="9"/>
  <c r="E171" i="9"/>
  <c r="D171" i="9"/>
  <c r="AJ170" i="9"/>
  <c r="AQ170" i="9" s="1"/>
  <c r="AI170" i="9"/>
  <c r="AH170" i="9"/>
  <c r="AG170" i="9"/>
  <c r="AF170" i="9"/>
  <c r="AE170" i="9"/>
  <c r="AD170" i="9"/>
  <c r="AC170" i="9"/>
  <c r="AB170" i="9"/>
  <c r="AA170" i="9"/>
  <c r="Z170" i="9"/>
  <c r="Y170" i="9"/>
  <c r="X170" i="9"/>
  <c r="W170" i="9"/>
  <c r="V170" i="9"/>
  <c r="U170" i="9"/>
  <c r="T170" i="9"/>
  <c r="S170" i="9"/>
  <c r="R170" i="9"/>
  <c r="Q170" i="9"/>
  <c r="P170" i="9"/>
  <c r="O170" i="9"/>
  <c r="N170" i="9"/>
  <c r="M170" i="9"/>
  <c r="L170" i="9"/>
  <c r="K170" i="9"/>
  <c r="J170" i="9"/>
  <c r="I170" i="9"/>
  <c r="H170" i="9"/>
  <c r="G170" i="9"/>
  <c r="F170" i="9"/>
  <c r="E170" i="9"/>
  <c r="D170" i="9"/>
  <c r="AJ169" i="9"/>
  <c r="AQ169" i="9" s="1"/>
  <c r="AI169" i="9"/>
  <c r="AH169" i="9"/>
  <c r="AG169" i="9"/>
  <c r="AF169" i="9"/>
  <c r="AE169" i="9"/>
  <c r="AD169" i="9"/>
  <c r="AC169" i="9"/>
  <c r="AB169" i="9"/>
  <c r="AA169" i="9"/>
  <c r="Z169" i="9"/>
  <c r="Y169" i="9"/>
  <c r="X169" i="9"/>
  <c r="W169" i="9"/>
  <c r="V169" i="9"/>
  <c r="U169" i="9"/>
  <c r="T169" i="9"/>
  <c r="S169" i="9"/>
  <c r="R169" i="9"/>
  <c r="Q169" i="9"/>
  <c r="P169" i="9"/>
  <c r="O169" i="9"/>
  <c r="N169" i="9"/>
  <c r="M169" i="9"/>
  <c r="L169" i="9"/>
  <c r="K169" i="9"/>
  <c r="J169" i="9"/>
  <c r="I169" i="9"/>
  <c r="H169" i="9"/>
  <c r="G169" i="9"/>
  <c r="F169" i="9"/>
  <c r="E169" i="9"/>
  <c r="D169" i="9"/>
  <c r="AJ168" i="9"/>
  <c r="AQ168" i="9" s="1"/>
  <c r="AI168" i="9"/>
  <c r="AH168" i="9"/>
  <c r="AG168" i="9"/>
  <c r="AF168" i="9"/>
  <c r="AE168" i="9"/>
  <c r="AD168" i="9"/>
  <c r="AC168" i="9"/>
  <c r="AB168" i="9"/>
  <c r="AA168" i="9"/>
  <c r="Z168" i="9"/>
  <c r="Y168" i="9"/>
  <c r="X168" i="9"/>
  <c r="W168" i="9"/>
  <c r="V168" i="9"/>
  <c r="U168" i="9"/>
  <c r="T168" i="9"/>
  <c r="AM168" i="9" s="1"/>
  <c r="S168" i="9"/>
  <c r="R168" i="9"/>
  <c r="Q168" i="9"/>
  <c r="P168" i="9"/>
  <c r="O168" i="9"/>
  <c r="N168" i="9"/>
  <c r="M168" i="9"/>
  <c r="L168" i="9"/>
  <c r="K168" i="9"/>
  <c r="J168" i="9"/>
  <c r="I168" i="9"/>
  <c r="H168" i="9"/>
  <c r="G168" i="9"/>
  <c r="F168" i="9"/>
  <c r="E168" i="9"/>
  <c r="D168" i="9"/>
  <c r="AJ167" i="9"/>
  <c r="AQ167" i="9" s="1"/>
  <c r="AI167" i="9"/>
  <c r="AH167" i="9"/>
  <c r="AG167" i="9"/>
  <c r="AF167" i="9"/>
  <c r="AE167" i="9"/>
  <c r="AD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J166" i="9"/>
  <c r="AQ166" i="9" s="1"/>
  <c r="AS37" i="9" s="1"/>
  <c r="AI166" i="9"/>
  <c r="AH166" i="9"/>
  <c r="AG166" i="9"/>
  <c r="AF166" i="9"/>
  <c r="AE166" i="9"/>
  <c r="AD166" i="9"/>
  <c r="AC166" i="9"/>
  <c r="AB166" i="9"/>
  <c r="AA166" i="9"/>
  <c r="Z166" i="9"/>
  <c r="Y166" i="9"/>
  <c r="X166" i="9"/>
  <c r="W166" i="9"/>
  <c r="V166" i="9"/>
  <c r="U166" i="9"/>
  <c r="T166" i="9"/>
  <c r="S166" i="9"/>
  <c r="R166" i="9"/>
  <c r="Q166" i="9"/>
  <c r="P166" i="9"/>
  <c r="O166" i="9"/>
  <c r="N166" i="9"/>
  <c r="M166" i="9"/>
  <c r="L166" i="9"/>
  <c r="K166" i="9"/>
  <c r="J166" i="9"/>
  <c r="I166" i="9"/>
  <c r="H166" i="9"/>
  <c r="G166" i="9"/>
  <c r="F166" i="9"/>
  <c r="E166" i="9"/>
  <c r="D166" i="9"/>
  <c r="AJ165" i="9"/>
  <c r="AQ165" i="9" s="1"/>
  <c r="AI165" i="9"/>
  <c r="AH165" i="9"/>
  <c r="AG165" i="9"/>
  <c r="AF165" i="9"/>
  <c r="AE165" i="9"/>
  <c r="AD165" i="9"/>
  <c r="AC165" i="9"/>
  <c r="AB165" i="9"/>
  <c r="AA165" i="9"/>
  <c r="Z165" i="9"/>
  <c r="Y165" i="9"/>
  <c r="X165" i="9"/>
  <c r="W165" i="9"/>
  <c r="V165" i="9"/>
  <c r="U165" i="9"/>
  <c r="T165" i="9"/>
  <c r="S165" i="9"/>
  <c r="R165" i="9"/>
  <c r="Q165" i="9"/>
  <c r="P165" i="9"/>
  <c r="O165" i="9"/>
  <c r="N165" i="9"/>
  <c r="M165" i="9"/>
  <c r="L165" i="9"/>
  <c r="K165" i="9"/>
  <c r="J165" i="9"/>
  <c r="I165" i="9"/>
  <c r="H165" i="9"/>
  <c r="G165" i="9"/>
  <c r="F165" i="9"/>
  <c r="E165" i="9"/>
  <c r="D165" i="9"/>
  <c r="AJ164" i="9"/>
  <c r="AQ164" i="9" s="1"/>
  <c r="AI164" i="9"/>
  <c r="AH164" i="9"/>
  <c r="AG164" i="9"/>
  <c r="AF164" i="9"/>
  <c r="AE164" i="9"/>
  <c r="AD164" i="9"/>
  <c r="AC164" i="9"/>
  <c r="AB164" i="9"/>
  <c r="AA164" i="9"/>
  <c r="Z164" i="9"/>
  <c r="Y164" i="9"/>
  <c r="X164" i="9"/>
  <c r="W164" i="9"/>
  <c r="V164" i="9"/>
  <c r="U164" i="9"/>
  <c r="T164" i="9"/>
  <c r="S164" i="9"/>
  <c r="R164" i="9"/>
  <c r="Q164" i="9"/>
  <c r="P164" i="9"/>
  <c r="O164" i="9"/>
  <c r="N164" i="9"/>
  <c r="M164" i="9"/>
  <c r="L164" i="9"/>
  <c r="K164" i="9"/>
  <c r="J164" i="9"/>
  <c r="I164" i="9"/>
  <c r="H164" i="9"/>
  <c r="G164" i="9"/>
  <c r="F164" i="9"/>
  <c r="E164" i="9"/>
  <c r="D164" i="9"/>
  <c r="AJ163" i="9"/>
  <c r="AQ163" i="9" s="1"/>
  <c r="AS33" i="9" s="1"/>
  <c r="AI163" i="9"/>
  <c r="AH163" i="9"/>
  <c r="AG163" i="9"/>
  <c r="AF163" i="9"/>
  <c r="AE163" i="9"/>
  <c r="AD163" i="9"/>
  <c r="AC163" i="9"/>
  <c r="AB163" i="9"/>
  <c r="AA163" i="9"/>
  <c r="Z163" i="9"/>
  <c r="Y163" i="9"/>
  <c r="X163" i="9"/>
  <c r="W163" i="9"/>
  <c r="V163" i="9"/>
  <c r="U163" i="9"/>
  <c r="AM163" i="9" s="1"/>
  <c r="T163" i="9"/>
  <c r="S163" i="9"/>
  <c r="R163" i="9"/>
  <c r="Q163" i="9"/>
  <c r="P163" i="9"/>
  <c r="O163" i="9"/>
  <c r="N163" i="9"/>
  <c r="M163" i="9"/>
  <c r="L163" i="9"/>
  <c r="K163" i="9"/>
  <c r="J163" i="9"/>
  <c r="I163" i="9"/>
  <c r="H163" i="9"/>
  <c r="G163" i="9"/>
  <c r="F163" i="9"/>
  <c r="E163" i="9"/>
  <c r="D163" i="9"/>
  <c r="AJ162" i="9"/>
  <c r="AQ162" i="9" s="1"/>
  <c r="AI162" i="9"/>
  <c r="AH162" i="9"/>
  <c r="AG162" i="9"/>
  <c r="AF162" i="9"/>
  <c r="AE162" i="9"/>
  <c r="AD162" i="9"/>
  <c r="AC162" i="9"/>
  <c r="AB162" i="9"/>
  <c r="AA162" i="9"/>
  <c r="Z162" i="9"/>
  <c r="Y162" i="9"/>
  <c r="X162" i="9"/>
  <c r="W162" i="9"/>
  <c r="V162" i="9"/>
  <c r="U162" i="9"/>
  <c r="T162" i="9"/>
  <c r="S162" i="9"/>
  <c r="R162" i="9"/>
  <c r="Q162" i="9"/>
  <c r="P162" i="9"/>
  <c r="O162" i="9"/>
  <c r="N162" i="9"/>
  <c r="M162" i="9"/>
  <c r="L162" i="9"/>
  <c r="K162" i="9"/>
  <c r="J162" i="9"/>
  <c r="I162" i="9"/>
  <c r="H162" i="9"/>
  <c r="G162" i="9"/>
  <c r="F162" i="9"/>
  <c r="E162" i="9"/>
  <c r="D162" i="9"/>
  <c r="AJ161" i="9"/>
  <c r="AQ161" i="9" s="1"/>
  <c r="AI161" i="9"/>
  <c r="AH161" i="9"/>
  <c r="AG161" i="9"/>
  <c r="AF161" i="9"/>
  <c r="AE161" i="9"/>
  <c r="AD161" i="9"/>
  <c r="AC161" i="9"/>
  <c r="AB161" i="9"/>
  <c r="AA161" i="9"/>
  <c r="Z161" i="9"/>
  <c r="Y161" i="9"/>
  <c r="X161" i="9"/>
  <c r="W161" i="9"/>
  <c r="V161" i="9"/>
  <c r="U161" i="9"/>
  <c r="T161" i="9"/>
  <c r="S161" i="9"/>
  <c r="R161" i="9"/>
  <c r="Q161" i="9"/>
  <c r="P161" i="9"/>
  <c r="O161" i="9"/>
  <c r="N161" i="9"/>
  <c r="M161" i="9"/>
  <c r="L161" i="9"/>
  <c r="K161" i="9"/>
  <c r="J161" i="9"/>
  <c r="I161" i="9"/>
  <c r="H161" i="9"/>
  <c r="G161" i="9"/>
  <c r="F161" i="9"/>
  <c r="E161" i="9"/>
  <c r="D161" i="9"/>
  <c r="AJ160" i="9"/>
  <c r="AQ160" i="9" s="1"/>
  <c r="AS31" i="9" s="1"/>
  <c r="AI160" i="9"/>
  <c r="AH160" i="9"/>
  <c r="AG160" i="9"/>
  <c r="AF160" i="9"/>
  <c r="AE160" i="9"/>
  <c r="AD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Q159" i="9" s="1"/>
  <c r="AI159" i="9"/>
  <c r="AH159" i="9"/>
  <c r="AG159" i="9"/>
  <c r="AF159" i="9"/>
  <c r="AE159" i="9"/>
  <c r="AD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J158" i="9"/>
  <c r="AQ158" i="9" s="1"/>
  <c r="AI158" i="9"/>
  <c r="AH158" i="9"/>
  <c r="AG158" i="9"/>
  <c r="AF158" i="9"/>
  <c r="AE158" i="9"/>
  <c r="AD158" i="9"/>
  <c r="AC158" i="9"/>
  <c r="AB158" i="9"/>
  <c r="AA158" i="9"/>
  <c r="Z158" i="9"/>
  <c r="Y158" i="9"/>
  <c r="X158" i="9"/>
  <c r="W158" i="9"/>
  <c r="V158" i="9"/>
  <c r="U158" i="9"/>
  <c r="T158" i="9"/>
  <c r="S158" i="9"/>
  <c r="R158" i="9"/>
  <c r="Q158" i="9"/>
  <c r="P158" i="9"/>
  <c r="O158" i="9"/>
  <c r="N158" i="9"/>
  <c r="M158" i="9"/>
  <c r="L158" i="9"/>
  <c r="K158" i="9"/>
  <c r="J158" i="9"/>
  <c r="I158" i="9"/>
  <c r="H158" i="9"/>
  <c r="G158" i="9"/>
  <c r="F158" i="9"/>
  <c r="E158" i="9"/>
  <c r="D158" i="9"/>
  <c r="AQ157" i="9"/>
  <c r="AS27" i="9" s="1"/>
  <c r="AJ157" i="9"/>
  <c r="AI157" i="9"/>
  <c r="AH157" i="9"/>
  <c r="AG157" i="9"/>
  <c r="AF157" i="9"/>
  <c r="AE157" i="9"/>
  <c r="AD157" i="9"/>
  <c r="AC157" i="9"/>
  <c r="AB157" i="9"/>
  <c r="AA157" i="9"/>
  <c r="Z157" i="9"/>
  <c r="Y157" i="9"/>
  <c r="X157" i="9"/>
  <c r="W157" i="9"/>
  <c r="V157" i="9"/>
  <c r="U157" i="9"/>
  <c r="T157" i="9"/>
  <c r="S157" i="9"/>
  <c r="R157" i="9"/>
  <c r="Q157" i="9"/>
  <c r="P157" i="9"/>
  <c r="O157" i="9"/>
  <c r="N157" i="9"/>
  <c r="M157" i="9"/>
  <c r="L157" i="9"/>
  <c r="K157" i="9"/>
  <c r="J157" i="9"/>
  <c r="I157" i="9"/>
  <c r="H157" i="9"/>
  <c r="G157" i="9"/>
  <c r="F157" i="9"/>
  <c r="E157" i="9"/>
  <c r="D157" i="9"/>
  <c r="AJ156" i="9"/>
  <c r="AQ156" i="9" s="1"/>
  <c r="AI156" i="9"/>
  <c r="AH156" i="9"/>
  <c r="AG156" i="9"/>
  <c r="AF156" i="9"/>
  <c r="AE156" i="9"/>
  <c r="AD156" i="9"/>
  <c r="AC156" i="9"/>
  <c r="AB156" i="9"/>
  <c r="AA156" i="9"/>
  <c r="Z156" i="9"/>
  <c r="Y156" i="9"/>
  <c r="X156" i="9"/>
  <c r="W156" i="9"/>
  <c r="V156" i="9"/>
  <c r="U156" i="9"/>
  <c r="T156" i="9"/>
  <c r="S156" i="9"/>
  <c r="R156" i="9"/>
  <c r="Q156" i="9"/>
  <c r="P156" i="9"/>
  <c r="O156" i="9"/>
  <c r="N156" i="9"/>
  <c r="M156" i="9"/>
  <c r="L156" i="9"/>
  <c r="K156" i="9"/>
  <c r="J156" i="9"/>
  <c r="I156" i="9"/>
  <c r="H156" i="9"/>
  <c r="G156" i="9"/>
  <c r="F156" i="9"/>
  <c r="E156" i="9"/>
  <c r="D156" i="9"/>
  <c r="AJ155" i="9"/>
  <c r="AQ155" i="9" s="1"/>
  <c r="AI155" i="9"/>
  <c r="AH155" i="9"/>
  <c r="AG155" i="9"/>
  <c r="AF155" i="9"/>
  <c r="AE155" i="9"/>
  <c r="AD155" i="9"/>
  <c r="AC155" i="9"/>
  <c r="AB155" i="9"/>
  <c r="AA155" i="9"/>
  <c r="Z155" i="9"/>
  <c r="Y155" i="9"/>
  <c r="X155" i="9"/>
  <c r="W155" i="9"/>
  <c r="V155" i="9"/>
  <c r="U155" i="9"/>
  <c r="T155" i="9"/>
  <c r="S155" i="9"/>
  <c r="R155" i="9"/>
  <c r="Q155" i="9"/>
  <c r="P155" i="9"/>
  <c r="O155" i="9"/>
  <c r="N155" i="9"/>
  <c r="M155" i="9"/>
  <c r="L155" i="9"/>
  <c r="K155" i="9"/>
  <c r="J155" i="9"/>
  <c r="I155" i="9"/>
  <c r="H155" i="9"/>
  <c r="G155" i="9"/>
  <c r="F155" i="9"/>
  <c r="E155" i="9"/>
  <c r="D155" i="9"/>
  <c r="AJ154" i="9"/>
  <c r="AQ154" i="9" s="1"/>
  <c r="AS24" i="9" s="1"/>
  <c r="AI154" i="9"/>
  <c r="AH154" i="9"/>
  <c r="AG154" i="9"/>
  <c r="AF154" i="9"/>
  <c r="AE154" i="9"/>
  <c r="AD154" i="9"/>
  <c r="AC154" i="9"/>
  <c r="AB154" i="9"/>
  <c r="AA154" i="9"/>
  <c r="Z154" i="9"/>
  <c r="Y154" i="9"/>
  <c r="X154" i="9"/>
  <c r="W154" i="9"/>
  <c r="V154" i="9"/>
  <c r="U154" i="9"/>
  <c r="T154" i="9"/>
  <c r="S154" i="9"/>
  <c r="R154" i="9"/>
  <c r="Q154" i="9"/>
  <c r="P154" i="9"/>
  <c r="O154" i="9"/>
  <c r="N154" i="9"/>
  <c r="M154" i="9"/>
  <c r="L154" i="9"/>
  <c r="K154" i="9"/>
  <c r="J154" i="9"/>
  <c r="I154" i="9"/>
  <c r="H154" i="9"/>
  <c r="G154" i="9"/>
  <c r="F154" i="9"/>
  <c r="E154" i="9"/>
  <c r="D154" i="9"/>
  <c r="AJ153" i="9"/>
  <c r="AQ153" i="9" s="1"/>
  <c r="AI153" i="9"/>
  <c r="AH153" i="9"/>
  <c r="AG153" i="9"/>
  <c r="AF153" i="9"/>
  <c r="AE153" i="9"/>
  <c r="AD153" i="9"/>
  <c r="AC153" i="9"/>
  <c r="AB153" i="9"/>
  <c r="AA153" i="9"/>
  <c r="Z153" i="9"/>
  <c r="Y153" i="9"/>
  <c r="X153" i="9"/>
  <c r="W153" i="9"/>
  <c r="V153" i="9"/>
  <c r="U153" i="9"/>
  <c r="T153" i="9"/>
  <c r="S153" i="9"/>
  <c r="R153" i="9"/>
  <c r="Q153" i="9"/>
  <c r="P153" i="9"/>
  <c r="O153" i="9"/>
  <c r="N153" i="9"/>
  <c r="M153" i="9"/>
  <c r="L153" i="9"/>
  <c r="K153" i="9"/>
  <c r="J153" i="9"/>
  <c r="I153" i="9"/>
  <c r="H153" i="9"/>
  <c r="G153" i="9"/>
  <c r="F153" i="9"/>
  <c r="E153" i="9"/>
  <c r="D153" i="9"/>
  <c r="AJ152" i="9"/>
  <c r="AQ152" i="9" s="1"/>
  <c r="AS22" i="9" s="1"/>
  <c r="AI152" i="9"/>
  <c r="AH152" i="9"/>
  <c r="AG152" i="9"/>
  <c r="AF152" i="9"/>
  <c r="AE152" i="9"/>
  <c r="AD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Q151" i="9" s="1"/>
  <c r="AI151" i="9"/>
  <c r="AH151" i="9"/>
  <c r="AG151" i="9"/>
  <c r="AF151" i="9"/>
  <c r="AE151" i="9"/>
  <c r="AD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J150" i="9"/>
  <c r="AQ150" i="9" s="1"/>
  <c r="AI150" i="9"/>
  <c r="AH150" i="9"/>
  <c r="AG150" i="9"/>
  <c r="AF150" i="9"/>
  <c r="AE150" i="9"/>
  <c r="AD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J149" i="9"/>
  <c r="AQ149" i="9" s="1"/>
  <c r="AI149" i="9"/>
  <c r="AH149" i="9"/>
  <c r="AG149" i="9"/>
  <c r="AF149" i="9"/>
  <c r="AE149" i="9"/>
  <c r="AD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J148" i="9"/>
  <c r="AQ148" i="9" s="1"/>
  <c r="AI148" i="9"/>
  <c r="AH148" i="9"/>
  <c r="AG148" i="9"/>
  <c r="AF148" i="9"/>
  <c r="AE148" i="9"/>
  <c r="AD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Q147" i="9" s="1"/>
  <c r="AI147" i="9"/>
  <c r="AH147" i="9"/>
  <c r="AG147" i="9"/>
  <c r="AF147" i="9"/>
  <c r="AE147" i="9"/>
  <c r="AD147" i="9"/>
  <c r="AC147" i="9"/>
  <c r="AB147" i="9"/>
  <c r="AA147" i="9"/>
  <c r="Z147" i="9"/>
  <c r="Y147" i="9"/>
  <c r="X147" i="9"/>
  <c r="W147" i="9"/>
  <c r="V147" i="9"/>
  <c r="U147" i="9"/>
  <c r="AM147" i="9" s="1"/>
  <c r="T147" i="9"/>
  <c r="S147" i="9"/>
  <c r="R147" i="9"/>
  <c r="Q147" i="9"/>
  <c r="P147" i="9"/>
  <c r="O147" i="9"/>
  <c r="N147" i="9"/>
  <c r="M147" i="9"/>
  <c r="L147" i="9"/>
  <c r="K147" i="9"/>
  <c r="J147" i="9"/>
  <c r="I147" i="9"/>
  <c r="H147" i="9"/>
  <c r="G147" i="9"/>
  <c r="F147" i="9"/>
  <c r="E147" i="9"/>
  <c r="D147" i="9"/>
  <c r="AJ146" i="9"/>
  <c r="AQ146" i="9" s="1"/>
  <c r="AI146" i="9"/>
  <c r="AH146" i="9"/>
  <c r="AG146" i="9"/>
  <c r="AF146" i="9"/>
  <c r="AE146" i="9"/>
  <c r="AD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Q145" i="9" s="1"/>
  <c r="AI145" i="9"/>
  <c r="AH145" i="9"/>
  <c r="AG145" i="9"/>
  <c r="AF145" i="9"/>
  <c r="AE145" i="9"/>
  <c r="AD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Q144" i="9" s="1"/>
  <c r="AI144" i="9"/>
  <c r="AH144" i="9"/>
  <c r="AG144" i="9"/>
  <c r="AF144" i="9"/>
  <c r="AE144" i="9"/>
  <c r="AD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I143" i="9"/>
  <c r="AH143" i="9"/>
  <c r="AG143" i="9"/>
  <c r="AF143" i="9"/>
  <c r="AE143" i="9"/>
  <c r="AD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I142" i="9"/>
  <c r="AH142" i="9"/>
  <c r="AG142" i="9"/>
  <c r="AF142" i="9"/>
  <c r="AE142" i="9"/>
  <c r="AD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I141" i="9"/>
  <c r="AH141" i="9"/>
  <c r="AG141" i="9"/>
  <c r="AF141" i="9"/>
  <c r="AE141" i="9"/>
  <c r="AD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I140" i="9"/>
  <c r="AH140" i="9"/>
  <c r="AG140" i="9"/>
  <c r="AF140" i="9"/>
  <c r="AE140" i="9"/>
  <c r="AD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I139" i="9"/>
  <c r="AH139" i="9"/>
  <c r="AG139" i="9"/>
  <c r="AF139" i="9"/>
  <c r="AE139" i="9"/>
  <c r="AD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I138" i="9"/>
  <c r="AH138" i="9"/>
  <c r="AG138" i="9"/>
  <c r="AF138" i="9"/>
  <c r="AE138" i="9"/>
  <c r="AD138" i="9"/>
  <c r="AC138" i="9"/>
  <c r="AB138" i="9"/>
  <c r="AA138" i="9"/>
  <c r="Z138" i="9"/>
  <c r="Y138" i="9"/>
  <c r="X138" i="9"/>
  <c r="W138" i="9"/>
  <c r="V138" i="9"/>
  <c r="U138" i="9"/>
  <c r="T138" i="9"/>
  <c r="AM138" i="9" s="1"/>
  <c r="S138" i="9"/>
  <c r="R138" i="9"/>
  <c r="Q138" i="9"/>
  <c r="P138" i="9"/>
  <c r="O138" i="9"/>
  <c r="N138" i="9"/>
  <c r="M138" i="9"/>
  <c r="L138" i="9"/>
  <c r="K138" i="9"/>
  <c r="J138" i="9"/>
  <c r="I138" i="9"/>
  <c r="H138" i="9"/>
  <c r="G138" i="9"/>
  <c r="F138" i="9"/>
  <c r="E138" i="9"/>
  <c r="D138" i="9"/>
  <c r="AJ137" i="9"/>
  <c r="AI137" i="9"/>
  <c r="AH137" i="9"/>
  <c r="AG137" i="9"/>
  <c r="AF137" i="9"/>
  <c r="AE137" i="9"/>
  <c r="AD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I136" i="9"/>
  <c r="AH136" i="9"/>
  <c r="AG136" i="9"/>
  <c r="AF136" i="9"/>
  <c r="AE136" i="9"/>
  <c r="AD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A134" i="9"/>
  <c r="Z134" i="9"/>
  <c r="Y134" i="9"/>
  <c r="X134" i="9"/>
  <c r="W134" i="9"/>
  <c r="V134" i="9"/>
  <c r="U134" i="9"/>
  <c r="T134" i="9"/>
  <c r="S134" i="9"/>
  <c r="R134" i="9"/>
  <c r="Q134" i="9"/>
  <c r="P134" i="9"/>
  <c r="O134" i="9"/>
  <c r="N134" i="9"/>
  <c r="M134" i="9"/>
  <c r="L134" i="9"/>
  <c r="K134" i="9"/>
  <c r="J134" i="9"/>
  <c r="I134" i="9"/>
  <c r="H134" i="9"/>
  <c r="G134" i="9"/>
  <c r="F134" i="9"/>
  <c r="E134" i="9"/>
  <c r="D134" i="9"/>
  <c r="AJ133" i="9"/>
  <c r="AQ133"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J132" i="9"/>
  <c r="AQ132" i="9" s="1"/>
  <c r="AR68" i="9" s="1"/>
  <c r="AI132" i="9"/>
  <c r="AH132" i="9"/>
  <c r="AG132" i="9"/>
  <c r="AF132" i="9"/>
  <c r="AE132" i="9"/>
  <c r="AD132" i="9"/>
  <c r="AC132" i="9"/>
  <c r="AB132" i="9"/>
  <c r="AA132" i="9"/>
  <c r="Z132" i="9"/>
  <c r="Y132" i="9"/>
  <c r="X132" i="9"/>
  <c r="W132" i="9"/>
  <c r="V132" i="9"/>
  <c r="U132" i="9"/>
  <c r="T132" i="9"/>
  <c r="S132" i="9"/>
  <c r="R132" i="9"/>
  <c r="Q132" i="9"/>
  <c r="P132" i="9"/>
  <c r="O132" i="9"/>
  <c r="N132" i="9"/>
  <c r="M132" i="9"/>
  <c r="L132" i="9"/>
  <c r="K132" i="9"/>
  <c r="J132" i="9"/>
  <c r="I132" i="9"/>
  <c r="H132" i="9"/>
  <c r="G132" i="9"/>
  <c r="F132" i="9"/>
  <c r="E132" i="9"/>
  <c r="D132" i="9"/>
  <c r="AJ131" i="9"/>
  <c r="AQ131" i="9" s="1"/>
  <c r="AI131" i="9"/>
  <c r="AH131" i="9"/>
  <c r="AG131" i="9"/>
  <c r="AF131" i="9"/>
  <c r="AE131" i="9"/>
  <c r="AD131" i="9"/>
  <c r="AC131" i="9"/>
  <c r="AB131" i="9"/>
  <c r="AA131" i="9"/>
  <c r="Z131" i="9"/>
  <c r="Y131" i="9"/>
  <c r="X131" i="9"/>
  <c r="W131" i="9"/>
  <c r="V131" i="9"/>
  <c r="U131" i="9"/>
  <c r="T131" i="9"/>
  <c r="S131" i="9"/>
  <c r="R131" i="9"/>
  <c r="Q131" i="9"/>
  <c r="P131" i="9"/>
  <c r="O131" i="9"/>
  <c r="N131" i="9"/>
  <c r="M131" i="9"/>
  <c r="L131" i="9"/>
  <c r="K131" i="9"/>
  <c r="J131" i="9"/>
  <c r="I131" i="9"/>
  <c r="H131" i="9"/>
  <c r="G131" i="9"/>
  <c r="F131" i="9"/>
  <c r="E131" i="9"/>
  <c r="D131" i="9"/>
  <c r="AJ130" i="9"/>
  <c r="AQ130" i="9" s="1"/>
  <c r="AR65" i="9" s="1"/>
  <c r="AI130" i="9"/>
  <c r="AH130" i="9"/>
  <c r="AG130" i="9"/>
  <c r="AF130" i="9"/>
  <c r="AE130" i="9"/>
  <c r="AD130" i="9"/>
  <c r="AC130" i="9"/>
  <c r="AB130" i="9"/>
  <c r="AA130" i="9"/>
  <c r="Z130" i="9"/>
  <c r="Y130" i="9"/>
  <c r="X130" i="9"/>
  <c r="W130" i="9"/>
  <c r="V130" i="9"/>
  <c r="U130" i="9"/>
  <c r="T130" i="9"/>
  <c r="S130" i="9"/>
  <c r="R130" i="9"/>
  <c r="Q130" i="9"/>
  <c r="P130" i="9"/>
  <c r="O130" i="9"/>
  <c r="N130" i="9"/>
  <c r="M130" i="9"/>
  <c r="L130" i="9"/>
  <c r="K130" i="9"/>
  <c r="J130" i="9"/>
  <c r="I130" i="9"/>
  <c r="H130" i="9"/>
  <c r="G130" i="9"/>
  <c r="F130" i="9"/>
  <c r="E130" i="9"/>
  <c r="D130" i="9"/>
  <c r="AJ129" i="9"/>
  <c r="AQ129" i="9" s="1"/>
  <c r="AI129" i="9"/>
  <c r="AH129" i="9"/>
  <c r="AG129" i="9"/>
  <c r="AF129" i="9"/>
  <c r="AE129" i="9"/>
  <c r="AD129" i="9"/>
  <c r="AC129" i="9"/>
  <c r="AB129" i="9"/>
  <c r="AA129" i="9"/>
  <c r="Z129" i="9"/>
  <c r="Y129" i="9"/>
  <c r="X129" i="9"/>
  <c r="W129" i="9"/>
  <c r="V129" i="9"/>
  <c r="U129" i="9"/>
  <c r="T129" i="9"/>
  <c r="S129" i="9"/>
  <c r="R129" i="9"/>
  <c r="Q129" i="9"/>
  <c r="P129" i="9"/>
  <c r="O129" i="9"/>
  <c r="N129" i="9"/>
  <c r="M129" i="9"/>
  <c r="L129" i="9"/>
  <c r="K129" i="9"/>
  <c r="J129" i="9"/>
  <c r="I129" i="9"/>
  <c r="H129" i="9"/>
  <c r="G129" i="9"/>
  <c r="F129" i="9"/>
  <c r="E129" i="9"/>
  <c r="D129" i="9"/>
  <c r="AJ128" i="9"/>
  <c r="AQ128" i="9" s="1"/>
  <c r="AR64" i="9" s="1"/>
  <c r="AI128" i="9"/>
  <c r="AH128" i="9"/>
  <c r="AG128" i="9"/>
  <c r="AF128" i="9"/>
  <c r="AE128" i="9"/>
  <c r="AD128" i="9"/>
  <c r="AC128" i="9"/>
  <c r="AB128" i="9"/>
  <c r="AA128" i="9"/>
  <c r="Z128" i="9"/>
  <c r="Y128" i="9"/>
  <c r="X128" i="9"/>
  <c r="W128" i="9"/>
  <c r="V128" i="9"/>
  <c r="U128" i="9"/>
  <c r="T128" i="9"/>
  <c r="S128" i="9"/>
  <c r="R128" i="9"/>
  <c r="Q128" i="9"/>
  <c r="P128" i="9"/>
  <c r="O128" i="9"/>
  <c r="N128" i="9"/>
  <c r="M128" i="9"/>
  <c r="L128" i="9"/>
  <c r="K128" i="9"/>
  <c r="J128" i="9"/>
  <c r="I128" i="9"/>
  <c r="H128" i="9"/>
  <c r="G128" i="9"/>
  <c r="F128" i="9"/>
  <c r="E128" i="9"/>
  <c r="D128" i="9"/>
  <c r="AJ127" i="9"/>
  <c r="AQ127" i="9" s="1"/>
  <c r="AR63" i="9" s="1"/>
  <c r="AI127" i="9"/>
  <c r="AH127" i="9"/>
  <c r="AG127" i="9"/>
  <c r="AF127" i="9"/>
  <c r="AE127" i="9"/>
  <c r="AD127" i="9"/>
  <c r="AC127"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J126" i="9"/>
  <c r="AQ126" i="9" s="1"/>
  <c r="AI126" i="9"/>
  <c r="AH126" i="9"/>
  <c r="AG126" i="9"/>
  <c r="AF126" i="9"/>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I125" i="9"/>
  <c r="AH125" i="9"/>
  <c r="AG125" i="9"/>
  <c r="AF125" i="9"/>
  <c r="AE125" i="9"/>
  <c r="AD125" i="9"/>
  <c r="AC125"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J124" i="9"/>
  <c r="AQ124" i="9" s="1"/>
  <c r="AI124" i="9"/>
  <c r="AH124" i="9"/>
  <c r="AG124" i="9"/>
  <c r="AF124" i="9"/>
  <c r="AE124" i="9"/>
  <c r="AD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J123" i="9"/>
  <c r="AQ123" i="9" s="1"/>
  <c r="AR58" i="9" s="1"/>
  <c r="AI123" i="9"/>
  <c r="AH123" i="9"/>
  <c r="AG123" i="9"/>
  <c r="AF123" i="9"/>
  <c r="AE123" i="9"/>
  <c r="AD123" i="9"/>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J122" i="9"/>
  <c r="AQ122" i="9" s="1"/>
  <c r="AI122" i="9"/>
  <c r="AH122" i="9"/>
  <c r="AG122" i="9"/>
  <c r="AF122" i="9"/>
  <c r="AE122" i="9"/>
  <c r="AD122" i="9"/>
  <c r="AC122" i="9"/>
  <c r="AB122" i="9"/>
  <c r="AA122" i="9"/>
  <c r="Z122" i="9"/>
  <c r="Y122" i="9"/>
  <c r="X122" i="9"/>
  <c r="W122" i="9"/>
  <c r="V122" i="9"/>
  <c r="U122" i="9"/>
  <c r="T122" i="9"/>
  <c r="S122" i="9"/>
  <c r="R122" i="9"/>
  <c r="Q122" i="9"/>
  <c r="P122" i="9"/>
  <c r="O122" i="9"/>
  <c r="N122" i="9"/>
  <c r="M122" i="9"/>
  <c r="L122" i="9"/>
  <c r="K122" i="9"/>
  <c r="J122" i="9"/>
  <c r="I122" i="9"/>
  <c r="H122" i="9"/>
  <c r="G122" i="9"/>
  <c r="F122" i="9"/>
  <c r="E122" i="9"/>
  <c r="D122" i="9"/>
  <c r="AJ121" i="9"/>
  <c r="AQ121" i="9" s="1"/>
  <c r="AI121" i="9"/>
  <c r="AH121" i="9"/>
  <c r="AG121" i="9"/>
  <c r="AF121" i="9"/>
  <c r="AE121" i="9"/>
  <c r="AD121" i="9"/>
  <c r="AC121" i="9"/>
  <c r="AB121" i="9"/>
  <c r="AA121" i="9"/>
  <c r="Z121" i="9"/>
  <c r="Y121" i="9"/>
  <c r="X121" i="9"/>
  <c r="W121" i="9"/>
  <c r="V121" i="9"/>
  <c r="U121" i="9"/>
  <c r="T121" i="9"/>
  <c r="S121" i="9"/>
  <c r="R121" i="9"/>
  <c r="Q121" i="9"/>
  <c r="P121" i="9"/>
  <c r="O121" i="9"/>
  <c r="N121" i="9"/>
  <c r="M121" i="9"/>
  <c r="L121" i="9"/>
  <c r="K121" i="9"/>
  <c r="J121" i="9"/>
  <c r="I121" i="9"/>
  <c r="H121" i="9"/>
  <c r="G121" i="9"/>
  <c r="F121" i="9"/>
  <c r="E121" i="9"/>
  <c r="D121" i="9"/>
  <c r="AJ120" i="9"/>
  <c r="AQ120" i="9" s="1"/>
  <c r="AI120" i="9"/>
  <c r="AH120" i="9"/>
  <c r="AG120" i="9"/>
  <c r="AF120" i="9"/>
  <c r="AE120" i="9"/>
  <c r="AD120" i="9"/>
  <c r="AC120" i="9"/>
  <c r="AB120" i="9"/>
  <c r="AA120" i="9"/>
  <c r="Z120" i="9"/>
  <c r="Y120" i="9"/>
  <c r="X120" i="9"/>
  <c r="W120" i="9"/>
  <c r="V120" i="9"/>
  <c r="U120" i="9"/>
  <c r="T120" i="9"/>
  <c r="S120" i="9"/>
  <c r="R120" i="9"/>
  <c r="Q120" i="9"/>
  <c r="P120" i="9"/>
  <c r="O120" i="9"/>
  <c r="N120" i="9"/>
  <c r="M120" i="9"/>
  <c r="L120" i="9"/>
  <c r="K120" i="9"/>
  <c r="J120" i="9"/>
  <c r="I120" i="9"/>
  <c r="H120" i="9"/>
  <c r="G120" i="9"/>
  <c r="F120" i="9"/>
  <c r="E120" i="9"/>
  <c r="D120" i="9"/>
  <c r="AJ119" i="9"/>
  <c r="AQ119" i="9" s="1"/>
  <c r="AI119" i="9"/>
  <c r="AH119" i="9"/>
  <c r="AG119" i="9"/>
  <c r="AF119" i="9"/>
  <c r="AE119" i="9"/>
  <c r="AD119" i="9"/>
  <c r="AC119" i="9"/>
  <c r="AB119" i="9"/>
  <c r="AA119" i="9"/>
  <c r="Z119" i="9"/>
  <c r="Y119" i="9"/>
  <c r="X119" i="9"/>
  <c r="W119" i="9"/>
  <c r="V119" i="9"/>
  <c r="U119" i="9"/>
  <c r="T119" i="9"/>
  <c r="S119" i="9"/>
  <c r="R119" i="9"/>
  <c r="Q119" i="9"/>
  <c r="P119" i="9"/>
  <c r="O119" i="9"/>
  <c r="N119" i="9"/>
  <c r="M119" i="9"/>
  <c r="L119" i="9"/>
  <c r="K119" i="9"/>
  <c r="J119" i="9"/>
  <c r="I119" i="9"/>
  <c r="H119" i="9"/>
  <c r="G119" i="9"/>
  <c r="F119" i="9"/>
  <c r="E119" i="9"/>
  <c r="D119" i="9"/>
  <c r="AJ118" i="9"/>
  <c r="AQ118" i="9" s="1"/>
  <c r="AI118" i="9"/>
  <c r="AH118" i="9"/>
  <c r="AG118" i="9"/>
  <c r="AF118" i="9"/>
  <c r="AE118" i="9"/>
  <c r="AD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Q117" i="9" s="1"/>
  <c r="AI117" i="9"/>
  <c r="AH117" i="9"/>
  <c r="AG117" i="9"/>
  <c r="AF117" i="9"/>
  <c r="AE117" i="9"/>
  <c r="AD117" i="9"/>
  <c r="AC117" i="9"/>
  <c r="AB117" i="9"/>
  <c r="AA117" i="9"/>
  <c r="Z117" i="9"/>
  <c r="Y117" i="9"/>
  <c r="X117" i="9"/>
  <c r="W117" i="9"/>
  <c r="V117" i="9"/>
  <c r="U117" i="9"/>
  <c r="T117" i="9"/>
  <c r="S117" i="9"/>
  <c r="R117" i="9"/>
  <c r="Q117" i="9"/>
  <c r="P117" i="9"/>
  <c r="O117" i="9"/>
  <c r="N117" i="9"/>
  <c r="M117" i="9"/>
  <c r="L117" i="9"/>
  <c r="K117" i="9"/>
  <c r="J117" i="9"/>
  <c r="I117" i="9"/>
  <c r="H117" i="9"/>
  <c r="G117" i="9"/>
  <c r="F117" i="9"/>
  <c r="E117" i="9"/>
  <c r="D117" i="9"/>
  <c r="AJ116" i="9"/>
  <c r="AQ116" i="9" s="1"/>
  <c r="AI116" i="9"/>
  <c r="AH116" i="9"/>
  <c r="AG116" i="9"/>
  <c r="AF116" i="9"/>
  <c r="AE116" i="9"/>
  <c r="AD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Q115" i="9"/>
  <c r="AR51" i="9" s="1"/>
  <c r="AJ115" i="9"/>
  <c r="AI115" i="9"/>
  <c r="AH115" i="9"/>
  <c r="AG115" i="9"/>
  <c r="AF115" i="9"/>
  <c r="AE115" i="9"/>
  <c r="AD115" i="9"/>
  <c r="AC115" i="9"/>
  <c r="AB115" i="9"/>
  <c r="AA115" i="9"/>
  <c r="Z115" i="9"/>
  <c r="Y115" i="9"/>
  <c r="X115" i="9"/>
  <c r="W115" i="9"/>
  <c r="V115" i="9"/>
  <c r="U115" i="9"/>
  <c r="T115" i="9"/>
  <c r="S115" i="9"/>
  <c r="R115" i="9"/>
  <c r="Q115" i="9"/>
  <c r="P115" i="9"/>
  <c r="O115" i="9"/>
  <c r="N115" i="9"/>
  <c r="M115" i="9"/>
  <c r="L115" i="9"/>
  <c r="K115" i="9"/>
  <c r="J115" i="9"/>
  <c r="I115" i="9"/>
  <c r="H115" i="9"/>
  <c r="G115" i="9"/>
  <c r="F115" i="9"/>
  <c r="E115" i="9"/>
  <c r="D115" i="9"/>
  <c r="AQ114" i="9"/>
  <c r="AJ114" i="9"/>
  <c r="AI114"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D114" i="9"/>
  <c r="AJ113" i="9"/>
  <c r="AQ113" i="9" s="1"/>
  <c r="AI113" i="9"/>
  <c r="AH113" i="9"/>
  <c r="AG113" i="9"/>
  <c r="AF113" i="9"/>
  <c r="AE113" i="9"/>
  <c r="AD113" i="9"/>
  <c r="AC113" i="9"/>
  <c r="AB113" i="9"/>
  <c r="AA113" i="9"/>
  <c r="Z113" i="9"/>
  <c r="Y113" i="9"/>
  <c r="X113" i="9"/>
  <c r="W113" i="9"/>
  <c r="V113" i="9"/>
  <c r="U113" i="9"/>
  <c r="T113" i="9"/>
  <c r="S113" i="9"/>
  <c r="R113" i="9"/>
  <c r="Q113" i="9"/>
  <c r="P113" i="9"/>
  <c r="O113" i="9"/>
  <c r="N113" i="9"/>
  <c r="M113" i="9"/>
  <c r="L113" i="9"/>
  <c r="K113" i="9"/>
  <c r="J113" i="9"/>
  <c r="I113" i="9"/>
  <c r="H113" i="9"/>
  <c r="G113" i="9"/>
  <c r="F113" i="9"/>
  <c r="E113" i="9"/>
  <c r="D113" i="9"/>
  <c r="AJ112" i="9"/>
  <c r="AQ112" i="9" s="1"/>
  <c r="AI112" i="9"/>
  <c r="AH112" i="9"/>
  <c r="AG112" i="9"/>
  <c r="AF112" i="9"/>
  <c r="AE112" i="9"/>
  <c r="AD112" i="9"/>
  <c r="AC112" i="9"/>
  <c r="AB112" i="9"/>
  <c r="AA112" i="9"/>
  <c r="Z112" i="9"/>
  <c r="Y112" i="9"/>
  <c r="X112" i="9"/>
  <c r="W112" i="9"/>
  <c r="V112" i="9"/>
  <c r="U112" i="9"/>
  <c r="T112" i="9"/>
  <c r="S112" i="9"/>
  <c r="R112" i="9"/>
  <c r="Q112" i="9"/>
  <c r="P112" i="9"/>
  <c r="O112" i="9"/>
  <c r="N112" i="9"/>
  <c r="M112" i="9"/>
  <c r="L112" i="9"/>
  <c r="K112" i="9"/>
  <c r="J112" i="9"/>
  <c r="I112" i="9"/>
  <c r="H112" i="9"/>
  <c r="G112" i="9"/>
  <c r="F112" i="9"/>
  <c r="E112" i="9"/>
  <c r="D112" i="9"/>
  <c r="AJ111" i="9"/>
  <c r="AQ111" i="9" s="1"/>
  <c r="AI111" i="9"/>
  <c r="AH111" i="9"/>
  <c r="AG111" i="9"/>
  <c r="AF111" i="9"/>
  <c r="AE111" i="9"/>
  <c r="AD111" i="9"/>
  <c r="AC111" i="9"/>
  <c r="AB111" i="9"/>
  <c r="AA111" i="9"/>
  <c r="Z111" i="9"/>
  <c r="Y111" i="9"/>
  <c r="X111" i="9"/>
  <c r="W111" i="9"/>
  <c r="V111" i="9"/>
  <c r="U111" i="9"/>
  <c r="T111" i="9"/>
  <c r="S111" i="9"/>
  <c r="R111" i="9"/>
  <c r="Q111" i="9"/>
  <c r="P111" i="9"/>
  <c r="O111" i="9"/>
  <c r="N111" i="9"/>
  <c r="M111" i="9"/>
  <c r="L111" i="9"/>
  <c r="K111" i="9"/>
  <c r="J111" i="9"/>
  <c r="I111" i="9"/>
  <c r="H111" i="9"/>
  <c r="G111" i="9"/>
  <c r="F111" i="9"/>
  <c r="E111" i="9"/>
  <c r="D111" i="9"/>
  <c r="AJ110" i="9"/>
  <c r="AQ110" i="9" s="1"/>
  <c r="AI110" i="9"/>
  <c r="AH110" i="9"/>
  <c r="AG110" i="9"/>
  <c r="AF110" i="9"/>
  <c r="AE110" i="9"/>
  <c r="AD110" i="9"/>
  <c r="AC110" i="9"/>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Q109" i="9" s="1"/>
  <c r="AI109" i="9"/>
  <c r="AH109" i="9"/>
  <c r="AG109" i="9"/>
  <c r="AF109" i="9"/>
  <c r="AE109" i="9"/>
  <c r="AD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Q108" i="9"/>
  <c r="AJ108" i="9"/>
  <c r="AI108" i="9"/>
  <c r="AH108" i="9"/>
  <c r="AG108" i="9"/>
  <c r="AF108" i="9"/>
  <c r="AE108" i="9"/>
  <c r="AD108" i="9"/>
  <c r="AC108" i="9"/>
  <c r="AB108" i="9"/>
  <c r="AA108" i="9"/>
  <c r="Z108" i="9"/>
  <c r="Y108" i="9"/>
  <c r="X108" i="9"/>
  <c r="W108" i="9"/>
  <c r="V108" i="9"/>
  <c r="U108" i="9"/>
  <c r="T108" i="9"/>
  <c r="S108" i="9"/>
  <c r="R108" i="9"/>
  <c r="Q108" i="9"/>
  <c r="P108" i="9"/>
  <c r="O108" i="9"/>
  <c r="N108" i="9"/>
  <c r="M108" i="9"/>
  <c r="L108" i="9"/>
  <c r="K108" i="9"/>
  <c r="J108" i="9"/>
  <c r="I108" i="9"/>
  <c r="H108" i="9"/>
  <c r="G108" i="9"/>
  <c r="F108" i="9"/>
  <c r="E108" i="9"/>
  <c r="D108" i="9"/>
  <c r="AJ107" i="9"/>
  <c r="AQ107" i="9" s="1"/>
  <c r="AI107" i="9"/>
  <c r="AH107" i="9"/>
  <c r="AG107" i="9"/>
  <c r="AF107" i="9"/>
  <c r="AE107" i="9"/>
  <c r="AD107" i="9"/>
  <c r="AC107" i="9"/>
  <c r="AB107" i="9"/>
  <c r="AA107" i="9"/>
  <c r="Z107" i="9"/>
  <c r="Y107" i="9"/>
  <c r="X107" i="9"/>
  <c r="W107" i="9"/>
  <c r="V107" i="9"/>
  <c r="U107" i="9"/>
  <c r="T107" i="9"/>
  <c r="S107" i="9"/>
  <c r="R107" i="9"/>
  <c r="Q107" i="9"/>
  <c r="P107" i="9"/>
  <c r="O107" i="9"/>
  <c r="N107" i="9"/>
  <c r="M107" i="9"/>
  <c r="L107" i="9"/>
  <c r="K107" i="9"/>
  <c r="J107" i="9"/>
  <c r="I107" i="9"/>
  <c r="H107" i="9"/>
  <c r="G107" i="9"/>
  <c r="F107" i="9"/>
  <c r="E107" i="9"/>
  <c r="D107" i="9"/>
  <c r="AJ106" i="9"/>
  <c r="AQ106" i="9" s="1"/>
  <c r="AI106" i="9"/>
  <c r="AH106" i="9"/>
  <c r="AG106" i="9"/>
  <c r="AF106" i="9"/>
  <c r="AE106" i="9"/>
  <c r="AD106" i="9"/>
  <c r="AC106" i="9"/>
  <c r="AB106" i="9"/>
  <c r="AA106" i="9"/>
  <c r="Z106" i="9"/>
  <c r="Y106" i="9"/>
  <c r="X106" i="9"/>
  <c r="W106" i="9"/>
  <c r="V106" i="9"/>
  <c r="U106" i="9"/>
  <c r="T106" i="9"/>
  <c r="S106" i="9"/>
  <c r="R106" i="9"/>
  <c r="Q106" i="9"/>
  <c r="P106" i="9"/>
  <c r="O106" i="9"/>
  <c r="N106" i="9"/>
  <c r="M106" i="9"/>
  <c r="L106" i="9"/>
  <c r="AN106" i="9" s="1"/>
  <c r="K106" i="9"/>
  <c r="J106" i="9"/>
  <c r="I106" i="9"/>
  <c r="H106" i="9"/>
  <c r="G106" i="9"/>
  <c r="F106" i="9"/>
  <c r="E106" i="9"/>
  <c r="D106" i="9"/>
  <c r="AJ105" i="9"/>
  <c r="AQ105" i="9" s="1"/>
  <c r="AI105" i="9"/>
  <c r="AH105" i="9"/>
  <c r="AG105" i="9"/>
  <c r="AF105" i="9"/>
  <c r="AE105" i="9"/>
  <c r="AD105" i="9"/>
  <c r="AC105" i="9"/>
  <c r="AB105" i="9"/>
  <c r="AA105" i="9"/>
  <c r="Z105" i="9"/>
  <c r="Y105" i="9"/>
  <c r="X105" i="9"/>
  <c r="W105" i="9"/>
  <c r="V105" i="9"/>
  <c r="U105" i="9"/>
  <c r="T105" i="9"/>
  <c r="S105" i="9"/>
  <c r="R105" i="9"/>
  <c r="Q105" i="9"/>
  <c r="P105" i="9"/>
  <c r="O105" i="9"/>
  <c r="N105" i="9"/>
  <c r="M105" i="9"/>
  <c r="L105" i="9"/>
  <c r="K105" i="9"/>
  <c r="J105" i="9"/>
  <c r="I105" i="9"/>
  <c r="H105" i="9"/>
  <c r="G105" i="9"/>
  <c r="F105" i="9"/>
  <c r="E105" i="9"/>
  <c r="D105" i="9"/>
  <c r="AJ104" i="9"/>
  <c r="AQ104" i="9" s="1"/>
  <c r="AI104" i="9"/>
  <c r="AH104" i="9"/>
  <c r="AG104" i="9"/>
  <c r="AF104" i="9"/>
  <c r="AE104" i="9"/>
  <c r="AD104" i="9"/>
  <c r="AC104" i="9"/>
  <c r="AB104" i="9"/>
  <c r="AA104" i="9"/>
  <c r="Z104" i="9"/>
  <c r="Y104" i="9"/>
  <c r="X104" i="9"/>
  <c r="W104" i="9"/>
  <c r="V104" i="9"/>
  <c r="U104" i="9"/>
  <c r="T104" i="9"/>
  <c r="S104" i="9"/>
  <c r="R104" i="9"/>
  <c r="Q104" i="9"/>
  <c r="P104" i="9"/>
  <c r="O104" i="9"/>
  <c r="N104" i="9"/>
  <c r="M104" i="9"/>
  <c r="L104" i="9"/>
  <c r="K104" i="9"/>
  <c r="J104" i="9"/>
  <c r="I104" i="9"/>
  <c r="H104" i="9"/>
  <c r="G104" i="9"/>
  <c r="F104" i="9"/>
  <c r="E104" i="9"/>
  <c r="D104" i="9"/>
  <c r="AJ103" i="9"/>
  <c r="AQ103" i="9" s="1"/>
  <c r="AI103" i="9"/>
  <c r="AH103" i="9"/>
  <c r="AG103" i="9"/>
  <c r="AF103" i="9"/>
  <c r="AE103" i="9"/>
  <c r="AD103" i="9"/>
  <c r="AC103" i="9"/>
  <c r="AB103" i="9"/>
  <c r="AA103" i="9"/>
  <c r="Z103" i="9"/>
  <c r="Y103" i="9"/>
  <c r="X103" i="9"/>
  <c r="W103" i="9"/>
  <c r="V103" i="9"/>
  <c r="U103" i="9"/>
  <c r="T103" i="9"/>
  <c r="S103" i="9"/>
  <c r="R103" i="9"/>
  <c r="Q103" i="9"/>
  <c r="P103" i="9"/>
  <c r="O103" i="9"/>
  <c r="N103" i="9"/>
  <c r="M103" i="9"/>
  <c r="L103" i="9"/>
  <c r="K103" i="9"/>
  <c r="J103" i="9"/>
  <c r="I103" i="9"/>
  <c r="H103" i="9"/>
  <c r="G103" i="9"/>
  <c r="F103" i="9"/>
  <c r="E103" i="9"/>
  <c r="D103" i="9"/>
  <c r="AJ102" i="9"/>
  <c r="AQ102" i="9" s="1"/>
  <c r="AI102" i="9"/>
  <c r="AH102" i="9"/>
  <c r="AG102" i="9"/>
  <c r="AF102" i="9"/>
  <c r="AE102" i="9"/>
  <c r="AD102" i="9"/>
  <c r="AC102" i="9"/>
  <c r="AB102" i="9"/>
  <c r="AA102" i="9"/>
  <c r="Z102" i="9"/>
  <c r="Y102" i="9"/>
  <c r="X102" i="9"/>
  <c r="W102" i="9"/>
  <c r="V102" i="9"/>
  <c r="U102" i="9"/>
  <c r="T102" i="9"/>
  <c r="S102" i="9"/>
  <c r="R102" i="9"/>
  <c r="Q102" i="9"/>
  <c r="P102" i="9"/>
  <c r="O102" i="9"/>
  <c r="N102" i="9"/>
  <c r="M102" i="9"/>
  <c r="L102" i="9"/>
  <c r="K102" i="9"/>
  <c r="J102" i="9"/>
  <c r="I102" i="9"/>
  <c r="H102" i="9"/>
  <c r="G102" i="9"/>
  <c r="F102" i="9"/>
  <c r="E102" i="9"/>
  <c r="D102" i="9"/>
  <c r="C102" i="9"/>
  <c r="AJ101" i="9"/>
  <c r="AQ101" i="9" s="1"/>
  <c r="AI101" i="9"/>
  <c r="AH101" i="9"/>
  <c r="AG101" i="9"/>
  <c r="AF101" i="9"/>
  <c r="AE101" i="9"/>
  <c r="AD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AJ100" i="9"/>
  <c r="AQ100" i="9" s="1"/>
  <c r="AR35" i="9" s="1"/>
  <c r="AI100" i="9"/>
  <c r="AH100" i="9"/>
  <c r="AG100" i="9"/>
  <c r="AF100" i="9"/>
  <c r="AE100" i="9"/>
  <c r="AD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J99" i="9"/>
  <c r="AQ99" i="9" s="1"/>
  <c r="AI99" i="9"/>
  <c r="AH99" i="9"/>
  <c r="AG99" i="9"/>
  <c r="AF99" i="9"/>
  <c r="AE99" i="9"/>
  <c r="AD99" i="9"/>
  <c r="AC99" i="9"/>
  <c r="AB99" i="9"/>
  <c r="AA99" i="9"/>
  <c r="Z99" i="9"/>
  <c r="Y99" i="9"/>
  <c r="X99" i="9"/>
  <c r="W99" i="9"/>
  <c r="V99" i="9"/>
  <c r="U99" i="9"/>
  <c r="T99" i="9"/>
  <c r="S99" i="9"/>
  <c r="R99" i="9"/>
  <c r="Q99" i="9"/>
  <c r="P99" i="9"/>
  <c r="O99" i="9"/>
  <c r="N99" i="9"/>
  <c r="M99" i="9"/>
  <c r="L99" i="9"/>
  <c r="K99" i="9"/>
  <c r="J99" i="9"/>
  <c r="I99" i="9"/>
  <c r="H99" i="9"/>
  <c r="G99" i="9"/>
  <c r="F99" i="9"/>
  <c r="E99" i="9"/>
  <c r="D99" i="9"/>
  <c r="AJ98" i="9"/>
  <c r="AQ98" i="9" s="1"/>
  <c r="AI98" i="9"/>
  <c r="AH98" i="9"/>
  <c r="AG98" i="9"/>
  <c r="AF98" i="9"/>
  <c r="AE98" i="9"/>
  <c r="AD98" i="9"/>
  <c r="AC98" i="9"/>
  <c r="AB98" i="9"/>
  <c r="AA98" i="9"/>
  <c r="Z98" i="9"/>
  <c r="Y98" i="9"/>
  <c r="X98" i="9"/>
  <c r="W98" i="9"/>
  <c r="V98" i="9"/>
  <c r="U98" i="9"/>
  <c r="T98" i="9"/>
  <c r="S98" i="9"/>
  <c r="R98" i="9"/>
  <c r="Q98" i="9"/>
  <c r="P98" i="9"/>
  <c r="O98" i="9"/>
  <c r="N98" i="9"/>
  <c r="M98" i="9"/>
  <c r="L98" i="9"/>
  <c r="K98" i="9"/>
  <c r="J98" i="9"/>
  <c r="I98" i="9"/>
  <c r="H98" i="9"/>
  <c r="G98" i="9"/>
  <c r="F98" i="9"/>
  <c r="E98" i="9"/>
  <c r="D98" i="9"/>
  <c r="AJ97" i="9"/>
  <c r="AQ97" i="9" s="1"/>
  <c r="AR32" i="9" s="1"/>
  <c r="AI97" i="9"/>
  <c r="AH97" i="9"/>
  <c r="AG97" i="9"/>
  <c r="AF97" i="9"/>
  <c r="AE97" i="9"/>
  <c r="AD97" i="9"/>
  <c r="AC97" i="9"/>
  <c r="AB97" i="9"/>
  <c r="AA97" i="9"/>
  <c r="Z97" i="9"/>
  <c r="Y97" i="9"/>
  <c r="X97" i="9"/>
  <c r="W97" i="9"/>
  <c r="V97" i="9"/>
  <c r="U97" i="9"/>
  <c r="T97" i="9"/>
  <c r="S97" i="9"/>
  <c r="R97" i="9"/>
  <c r="Q97" i="9"/>
  <c r="P97" i="9"/>
  <c r="O97" i="9"/>
  <c r="N97" i="9"/>
  <c r="M97" i="9"/>
  <c r="L97" i="9"/>
  <c r="K97" i="9"/>
  <c r="J97" i="9"/>
  <c r="I97" i="9"/>
  <c r="H97" i="9"/>
  <c r="G97" i="9"/>
  <c r="F97" i="9"/>
  <c r="E97" i="9"/>
  <c r="D97" i="9"/>
  <c r="AJ96" i="9"/>
  <c r="AQ96" i="9" s="1"/>
  <c r="AI96" i="9"/>
  <c r="AH96" i="9"/>
  <c r="AG96" i="9"/>
  <c r="AF96" i="9"/>
  <c r="AE96" i="9"/>
  <c r="AD96" i="9"/>
  <c r="AC96" i="9"/>
  <c r="AB96" i="9"/>
  <c r="AA96" i="9"/>
  <c r="Z96" i="9"/>
  <c r="Y96" i="9"/>
  <c r="X96" i="9"/>
  <c r="W96" i="9"/>
  <c r="V96" i="9"/>
  <c r="U96" i="9"/>
  <c r="T96" i="9"/>
  <c r="S96" i="9"/>
  <c r="R96" i="9"/>
  <c r="Q96" i="9"/>
  <c r="P96" i="9"/>
  <c r="O96" i="9"/>
  <c r="N96" i="9"/>
  <c r="M96" i="9"/>
  <c r="L96" i="9"/>
  <c r="K96" i="9"/>
  <c r="J96" i="9"/>
  <c r="I96" i="9"/>
  <c r="H96" i="9"/>
  <c r="G96" i="9"/>
  <c r="F96" i="9"/>
  <c r="E96" i="9"/>
  <c r="D96" i="9"/>
  <c r="AJ95" i="9"/>
  <c r="AQ95" i="9" s="1"/>
  <c r="AI95" i="9"/>
  <c r="AH95" i="9"/>
  <c r="AG95" i="9"/>
  <c r="AF95" i="9"/>
  <c r="AE95" i="9"/>
  <c r="AD95" i="9"/>
  <c r="AC95" i="9"/>
  <c r="AB95" i="9"/>
  <c r="AA95" i="9"/>
  <c r="Z95" i="9"/>
  <c r="Y95" i="9"/>
  <c r="X95" i="9"/>
  <c r="W95" i="9"/>
  <c r="V95" i="9"/>
  <c r="U95" i="9"/>
  <c r="T95" i="9"/>
  <c r="S95" i="9"/>
  <c r="R95" i="9"/>
  <c r="Q95" i="9"/>
  <c r="P95" i="9"/>
  <c r="O95" i="9"/>
  <c r="N95" i="9"/>
  <c r="M95" i="9"/>
  <c r="L95" i="9"/>
  <c r="K95" i="9"/>
  <c r="J95" i="9"/>
  <c r="I95" i="9"/>
  <c r="H95" i="9"/>
  <c r="G95" i="9"/>
  <c r="F95" i="9"/>
  <c r="E95" i="9"/>
  <c r="D95" i="9"/>
  <c r="AJ94" i="9"/>
  <c r="AQ94" i="9" s="1"/>
  <c r="AR29" i="9" s="1"/>
  <c r="AI94" i="9"/>
  <c r="AH94" i="9"/>
  <c r="AG94" i="9"/>
  <c r="AF94" i="9"/>
  <c r="AE94" i="9"/>
  <c r="AD94" i="9"/>
  <c r="AC94" i="9"/>
  <c r="AB94" i="9"/>
  <c r="AA94" i="9"/>
  <c r="Z94" i="9"/>
  <c r="Y94" i="9"/>
  <c r="X94" i="9"/>
  <c r="W94" i="9"/>
  <c r="V94" i="9"/>
  <c r="U94" i="9"/>
  <c r="T94" i="9"/>
  <c r="S94" i="9"/>
  <c r="R94" i="9"/>
  <c r="Q94" i="9"/>
  <c r="P94" i="9"/>
  <c r="O94" i="9"/>
  <c r="N94" i="9"/>
  <c r="M94" i="9"/>
  <c r="L94" i="9"/>
  <c r="K94" i="9"/>
  <c r="J94" i="9"/>
  <c r="I94" i="9"/>
  <c r="H94" i="9"/>
  <c r="G94" i="9"/>
  <c r="F94" i="9"/>
  <c r="E94" i="9"/>
  <c r="D94" i="9"/>
  <c r="AJ93" i="9"/>
  <c r="AQ93" i="9" s="1"/>
  <c r="AI93" i="9"/>
  <c r="AH93" i="9"/>
  <c r="AG93" i="9"/>
  <c r="AF93" i="9"/>
  <c r="AE93" i="9"/>
  <c r="AD93" i="9"/>
  <c r="AC93" i="9"/>
  <c r="AB93" i="9"/>
  <c r="AA93" i="9"/>
  <c r="Z93" i="9"/>
  <c r="Y93" i="9"/>
  <c r="X93" i="9"/>
  <c r="W93" i="9"/>
  <c r="V93" i="9"/>
  <c r="U93" i="9"/>
  <c r="T93" i="9"/>
  <c r="S93" i="9"/>
  <c r="R93" i="9"/>
  <c r="Q93" i="9"/>
  <c r="P93" i="9"/>
  <c r="O93" i="9"/>
  <c r="N93" i="9"/>
  <c r="M93" i="9"/>
  <c r="L93" i="9"/>
  <c r="K93" i="9"/>
  <c r="J93" i="9"/>
  <c r="I93" i="9"/>
  <c r="H93" i="9"/>
  <c r="G93" i="9"/>
  <c r="F93" i="9"/>
  <c r="E93" i="9"/>
  <c r="D93" i="9"/>
  <c r="C93" i="9"/>
  <c r="AQ92" i="9"/>
  <c r="AJ92" i="9"/>
  <c r="AI92" i="9"/>
  <c r="AH92" i="9"/>
  <c r="AG92" i="9"/>
  <c r="AF92" i="9"/>
  <c r="AE92" i="9"/>
  <c r="AD92" i="9"/>
  <c r="AC92" i="9"/>
  <c r="AB92" i="9"/>
  <c r="AA92" i="9"/>
  <c r="Z92" i="9"/>
  <c r="Y92" i="9"/>
  <c r="X92" i="9"/>
  <c r="W92" i="9"/>
  <c r="V92" i="9"/>
  <c r="U92" i="9"/>
  <c r="T92" i="9"/>
  <c r="S92" i="9"/>
  <c r="R92" i="9"/>
  <c r="Q92" i="9"/>
  <c r="P92" i="9"/>
  <c r="O92" i="9"/>
  <c r="N92" i="9"/>
  <c r="M92" i="9"/>
  <c r="L92" i="9"/>
  <c r="K92" i="9"/>
  <c r="J92" i="9"/>
  <c r="I92" i="9"/>
  <c r="H92" i="9"/>
  <c r="G92" i="9"/>
  <c r="F92" i="9"/>
  <c r="E92" i="9"/>
  <c r="D92" i="9"/>
  <c r="AJ91" i="9"/>
  <c r="AQ91" i="9" s="1"/>
  <c r="AR26" i="9" s="1"/>
  <c r="AI91" i="9"/>
  <c r="AH91" i="9"/>
  <c r="AG91" i="9"/>
  <c r="AF91" i="9"/>
  <c r="AE91" i="9"/>
  <c r="AD91" i="9"/>
  <c r="AC91" i="9"/>
  <c r="AB91" i="9"/>
  <c r="AA91" i="9"/>
  <c r="Z91" i="9"/>
  <c r="Y91" i="9"/>
  <c r="X91" i="9"/>
  <c r="W91" i="9"/>
  <c r="V91" i="9"/>
  <c r="U91" i="9"/>
  <c r="T91" i="9"/>
  <c r="S91" i="9"/>
  <c r="R91" i="9"/>
  <c r="Q91" i="9"/>
  <c r="P91" i="9"/>
  <c r="O91" i="9"/>
  <c r="N91" i="9"/>
  <c r="M91" i="9"/>
  <c r="L91" i="9"/>
  <c r="K91" i="9"/>
  <c r="J91" i="9"/>
  <c r="I91" i="9"/>
  <c r="H91" i="9"/>
  <c r="G91" i="9"/>
  <c r="F91" i="9"/>
  <c r="E91" i="9"/>
  <c r="D91" i="9"/>
  <c r="AJ90" i="9"/>
  <c r="AQ90" i="9" s="1"/>
  <c r="AI90" i="9"/>
  <c r="AH90" i="9"/>
  <c r="AG90" i="9"/>
  <c r="AF90" i="9"/>
  <c r="AE90" i="9"/>
  <c r="AD90" i="9"/>
  <c r="AC90" i="9"/>
  <c r="AB90" i="9"/>
  <c r="AA90" i="9"/>
  <c r="Z90" i="9"/>
  <c r="Y90" i="9"/>
  <c r="X90" i="9"/>
  <c r="W90" i="9"/>
  <c r="V90" i="9"/>
  <c r="U90" i="9"/>
  <c r="T90" i="9"/>
  <c r="S90" i="9"/>
  <c r="R90" i="9"/>
  <c r="Q90" i="9"/>
  <c r="P90" i="9"/>
  <c r="O90" i="9"/>
  <c r="N90" i="9"/>
  <c r="M90" i="9"/>
  <c r="L90" i="9"/>
  <c r="K90" i="9"/>
  <c r="J90" i="9"/>
  <c r="I90" i="9"/>
  <c r="H90" i="9"/>
  <c r="G90" i="9"/>
  <c r="F90" i="9"/>
  <c r="E90" i="9"/>
  <c r="D90" i="9"/>
  <c r="AJ89" i="9"/>
  <c r="AQ89" i="9" s="1"/>
  <c r="AI89" i="9"/>
  <c r="AH89" i="9"/>
  <c r="AG89" i="9"/>
  <c r="AF89" i="9"/>
  <c r="AE89" i="9"/>
  <c r="AD89" i="9"/>
  <c r="AC89" i="9"/>
  <c r="AB89" i="9"/>
  <c r="AA89" i="9"/>
  <c r="Z89" i="9"/>
  <c r="Y89" i="9"/>
  <c r="X89" i="9"/>
  <c r="W89" i="9"/>
  <c r="V89" i="9"/>
  <c r="U89" i="9"/>
  <c r="T89" i="9"/>
  <c r="S89" i="9"/>
  <c r="R89" i="9"/>
  <c r="Q89" i="9"/>
  <c r="P89" i="9"/>
  <c r="O89" i="9"/>
  <c r="N89" i="9"/>
  <c r="M89" i="9"/>
  <c r="L89" i="9"/>
  <c r="K89" i="9"/>
  <c r="J89" i="9"/>
  <c r="I89" i="9"/>
  <c r="H89" i="9"/>
  <c r="G89" i="9"/>
  <c r="F89" i="9"/>
  <c r="E89" i="9"/>
  <c r="D89" i="9"/>
  <c r="AJ88" i="9"/>
  <c r="AQ88" i="9" s="1"/>
  <c r="AI88" i="9"/>
  <c r="AH88" i="9"/>
  <c r="AG88" i="9"/>
  <c r="AF88" i="9"/>
  <c r="AE88" i="9"/>
  <c r="AD88" i="9"/>
  <c r="AC88" i="9"/>
  <c r="AB88" i="9"/>
  <c r="AA88" i="9"/>
  <c r="Z88" i="9"/>
  <c r="Y88" i="9"/>
  <c r="X88" i="9"/>
  <c r="W88" i="9"/>
  <c r="V88" i="9"/>
  <c r="U88" i="9"/>
  <c r="T88" i="9"/>
  <c r="S88" i="9"/>
  <c r="R88" i="9"/>
  <c r="Q88" i="9"/>
  <c r="P88" i="9"/>
  <c r="O88" i="9"/>
  <c r="N88" i="9"/>
  <c r="M88" i="9"/>
  <c r="L88" i="9"/>
  <c r="K88" i="9"/>
  <c r="J88" i="9"/>
  <c r="I88" i="9"/>
  <c r="H88" i="9"/>
  <c r="G88" i="9"/>
  <c r="F88" i="9"/>
  <c r="E88" i="9"/>
  <c r="D88" i="9"/>
  <c r="AJ87" i="9"/>
  <c r="AQ87" i="9" s="1"/>
  <c r="AI87" i="9"/>
  <c r="AH87" i="9"/>
  <c r="AG87" i="9"/>
  <c r="AF87" i="9"/>
  <c r="AE87" i="9"/>
  <c r="AD87" i="9"/>
  <c r="AC87" i="9"/>
  <c r="AB87" i="9"/>
  <c r="AA87" i="9"/>
  <c r="Z87" i="9"/>
  <c r="Y87" i="9"/>
  <c r="X87" i="9"/>
  <c r="W87" i="9"/>
  <c r="V87" i="9"/>
  <c r="U87" i="9"/>
  <c r="T87" i="9"/>
  <c r="S87" i="9"/>
  <c r="R87" i="9"/>
  <c r="Q87" i="9"/>
  <c r="P87" i="9"/>
  <c r="O87" i="9"/>
  <c r="N87" i="9"/>
  <c r="M87" i="9"/>
  <c r="L87" i="9"/>
  <c r="K87" i="9"/>
  <c r="J87" i="9"/>
  <c r="I87" i="9"/>
  <c r="H87" i="9"/>
  <c r="G87" i="9"/>
  <c r="F87" i="9"/>
  <c r="E87" i="9"/>
  <c r="D87" i="9"/>
  <c r="AJ86" i="9"/>
  <c r="AQ86" i="9" s="1"/>
  <c r="AI86" i="9"/>
  <c r="AH86" i="9"/>
  <c r="AG86" i="9"/>
  <c r="AF86" i="9"/>
  <c r="AE86" i="9"/>
  <c r="AD86" i="9"/>
  <c r="AC86" i="9"/>
  <c r="AB86" i="9"/>
  <c r="AA86" i="9"/>
  <c r="Z86" i="9"/>
  <c r="Y86" i="9"/>
  <c r="X86" i="9"/>
  <c r="W86" i="9"/>
  <c r="V86" i="9"/>
  <c r="U86" i="9"/>
  <c r="T86" i="9"/>
  <c r="AM86" i="9" s="1"/>
  <c r="S86" i="9"/>
  <c r="R86" i="9"/>
  <c r="Q86" i="9"/>
  <c r="P86" i="9"/>
  <c r="O86" i="9"/>
  <c r="N86" i="9"/>
  <c r="M86" i="9"/>
  <c r="L86" i="9"/>
  <c r="K86" i="9"/>
  <c r="J86" i="9"/>
  <c r="I86" i="9"/>
  <c r="H86" i="9"/>
  <c r="G86" i="9"/>
  <c r="F86" i="9"/>
  <c r="E86" i="9"/>
  <c r="D86" i="9"/>
  <c r="AJ85" i="9"/>
  <c r="AQ85" i="9" s="1"/>
  <c r="AI85" i="9"/>
  <c r="AH85" i="9"/>
  <c r="AG85" i="9"/>
  <c r="AF85" i="9"/>
  <c r="AE85" i="9"/>
  <c r="AD85" i="9"/>
  <c r="AC85" i="9"/>
  <c r="AB85" i="9"/>
  <c r="AA85" i="9"/>
  <c r="Z85" i="9"/>
  <c r="Y85" i="9"/>
  <c r="X85" i="9"/>
  <c r="W85" i="9"/>
  <c r="V85" i="9"/>
  <c r="U85" i="9"/>
  <c r="T85" i="9"/>
  <c r="S85" i="9"/>
  <c r="R85" i="9"/>
  <c r="Q85" i="9"/>
  <c r="P85" i="9"/>
  <c r="O85" i="9"/>
  <c r="N85" i="9"/>
  <c r="M85" i="9"/>
  <c r="L85" i="9"/>
  <c r="K85" i="9"/>
  <c r="J85" i="9"/>
  <c r="I85" i="9"/>
  <c r="H85" i="9"/>
  <c r="G85" i="9"/>
  <c r="F85" i="9"/>
  <c r="E85" i="9"/>
  <c r="D85" i="9"/>
  <c r="AJ84" i="9"/>
  <c r="AQ84" i="9" s="1"/>
  <c r="AR19" i="9" s="1"/>
  <c r="AI84" i="9"/>
  <c r="AH84" i="9"/>
  <c r="AG84" i="9"/>
  <c r="AF84" i="9"/>
  <c r="AE84" i="9"/>
  <c r="AD84" i="9"/>
  <c r="AC84" i="9"/>
  <c r="AB84" i="9"/>
  <c r="AA84" i="9"/>
  <c r="Z84" i="9"/>
  <c r="Y84" i="9"/>
  <c r="X84" i="9"/>
  <c r="W84" i="9"/>
  <c r="V84" i="9"/>
  <c r="U84" i="9"/>
  <c r="T84" i="9"/>
  <c r="S84" i="9"/>
  <c r="R84" i="9"/>
  <c r="Q84" i="9"/>
  <c r="P84" i="9"/>
  <c r="O84" i="9"/>
  <c r="N84" i="9"/>
  <c r="M84" i="9"/>
  <c r="L84" i="9"/>
  <c r="K84" i="9"/>
  <c r="J84" i="9"/>
  <c r="I84" i="9"/>
  <c r="H84" i="9"/>
  <c r="G84" i="9"/>
  <c r="F84" i="9"/>
  <c r="E84" i="9"/>
  <c r="D84" i="9"/>
  <c r="AJ83" i="9"/>
  <c r="AQ83" i="9" s="1"/>
  <c r="AI83" i="9"/>
  <c r="AH83" i="9"/>
  <c r="AG83" i="9"/>
  <c r="AF83" i="9"/>
  <c r="AE83" i="9"/>
  <c r="AD83" i="9"/>
  <c r="AC83" i="9"/>
  <c r="AB83" i="9"/>
  <c r="AA83" i="9"/>
  <c r="Z83" i="9"/>
  <c r="Y83" i="9"/>
  <c r="X83" i="9"/>
  <c r="W83" i="9"/>
  <c r="V83" i="9"/>
  <c r="U83" i="9"/>
  <c r="T83" i="9"/>
  <c r="S83" i="9"/>
  <c r="R83" i="9"/>
  <c r="Q83" i="9"/>
  <c r="P83" i="9"/>
  <c r="O83" i="9"/>
  <c r="N83" i="9"/>
  <c r="M83" i="9"/>
  <c r="L83" i="9"/>
  <c r="K83" i="9"/>
  <c r="J83" i="9"/>
  <c r="I83" i="9"/>
  <c r="H83" i="9"/>
  <c r="G83" i="9"/>
  <c r="F83" i="9"/>
  <c r="E83" i="9"/>
  <c r="D83" i="9"/>
  <c r="AQ82" i="9"/>
  <c r="AJ82" i="9"/>
  <c r="AI82" i="9"/>
  <c r="AH82" i="9"/>
  <c r="AG82" i="9"/>
  <c r="AF82" i="9"/>
  <c r="AE82" i="9"/>
  <c r="AD82" i="9"/>
  <c r="AC82" i="9"/>
  <c r="AB82" i="9"/>
  <c r="AA82" i="9"/>
  <c r="Z82" i="9"/>
  <c r="Y82" i="9"/>
  <c r="X82" i="9"/>
  <c r="W82" i="9"/>
  <c r="V82" i="9"/>
  <c r="U82" i="9"/>
  <c r="T82" i="9"/>
  <c r="S82" i="9"/>
  <c r="R82" i="9"/>
  <c r="Q82" i="9"/>
  <c r="P82" i="9"/>
  <c r="O82" i="9"/>
  <c r="N82" i="9"/>
  <c r="M82" i="9"/>
  <c r="L82" i="9"/>
  <c r="K82" i="9"/>
  <c r="J82" i="9"/>
  <c r="I82" i="9"/>
  <c r="H82" i="9"/>
  <c r="G82" i="9"/>
  <c r="F82" i="9"/>
  <c r="E82" i="9"/>
  <c r="D82" i="9"/>
  <c r="AJ81" i="9"/>
  <c r="AQ81" i="9" s="1"/>
  <c r="AI81" i="9"/>
  <c r="AH81" i="9"/>
  <c r="AG81" i="9"/>
  <c r="AF81" i="9"/>
  <c r="AE81" i="9"/>
  <c r="AD81" i="9"/>
  <c r="AC81" i="9"/>
  <c r="AB81" i="9"/>
  <c r="AA81" i="9"/>
  <c r="Z81" i="9"/>
  <c r="Y81" i="9"/>
  <c r="X81" i="9"/>
  <c r="W81" i="9"/>
  <c r="V81" i="9"/>
  <c r="U81" i="9"/>
  <c r="T81" i="9"/>
  <c r="S81" i="9"/>
  <c r="R81" i="9"/>
  <c r="Q81" i="9"/>
  <c r="P81" i="9"/>
  <c r="O81" i="9"/>
  <c r="N81" i="9"/>
  <c r="M81" i="9"/>
  <c r="L81" i="9"/>
  <c r="K81" i="9"/>
  <c r="J81" i="9"/>
  <c r="I81" i="9"/>
  <c r="H81" i="9"/>
  <c r="G81" i="9"/>
  <c r="F81" i="9"/>
  <c r="E81" i="9"/>
  <c r="D81" i="9"/>
  <c r="AO81" i="9" s="1"/>
  <c r="AJ80" i="9"/>
  <c r="AQ80" i="9" s="1"/>
  <c r="AR15" i="9" s="1"/>
  <c r="AI80" i="9"/>
  <c r="AH80" i="9"/>
  <c r="AG80" i="9"/>
  <c r="AF80" i="9"/>
  <c r="AE80" i="9"/>
  <c r="AD80" i="9"/>
  <c r="AC80" i="9"/>
  <c r="AB80" i="9"/>
  <c r="AA80" i="9"/>
  <c r="Z80" i="9"/>
  <c r="Y80" i="9"/>
  <c r="X80" i="9"/>
  <c r="W80" i="9"/>
  <c r="V80" i="9"/>
  <c r="U80" i="9"/>
  <c r="T80" i="9"/>
  <c r="S80" i="9"/>
  <c r="R80" i="9"/>
  <c r="Q80" i="9"/>
  <c r="P80" i="9"/>
  <c r="O80" i="9"/>
  <c r="N80" i="9"/>
  <c r="M80" i="9"/>
  <c r="L80" i="9"/>
  <c r="K80" i="9"/>
  <c r="J80" i="9"/>
  <c r="I80" i="9"/>
  <c r="H80" i="9"/>
  <c r="G80" i="9"/>
  <c r="F80" i="9"/>
  <c r="E80" i="9"/>
  <c r="D80" i="9"/>
  <c r="C80" i="9"/>
  <c r="AJ79" i="9"/>
  <c r="AQ79" i="9" s="1"/>
  <c r="AI79" i="9"/>
  <c r="AH79" i="9"/>
  <c r="AG79" i="9"/>
  <c r="AF79" i="9"/>
  <c r="AE79" i="9"/>
  <c r="AD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I78" i="9"/>
  <c r="AH78" i="9"/>
  <c r="AG78" i="9"/>
  <c r="AF78" i="9"/>
  <c r="AE78" i="9"/>
  <c r="AD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I77" i="9"/>
  <c r="AH77" i="9"/>
  <c r="AG77" i="9"/>
  <c r="AF77" i="9"/>
  <c r="AE77" i="9"/>
  <c r="AD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I76" i="9"/>
  <c r="AH76" i="9"/>
  <c r="AG76" i="9"/>
  <c r="AF76" i="9"/>
  <c r="AE76" i="9"/>
  <c r="AD76" i="9"/>
  <c r="AC76" i="9"/>
  <c r="AB76" i="9"/>
  <c r="AA76" i="9"/>
  <c r="Z76" i="9"/>
  <c r="Y76" i="9"/>
  <c r="X76" i="9"/>
  <c r="W76" i="9"/>
  <c r="V76" i="9"/>
  <c r="U76" i="9"/>
  <c r="T76" i="9"/>
  <c r="S76" i="9"/>
  <c r="R76" i="9"/>
  <c r="Q76" i="9"/>
  <c r="P76" i="9"/>
  <c r="O76" i="9"/>
  <c r="N76" i="9"/>
  <c r="M76" i="9"/>
  <c r="L76" i="9"/>
  <c r="K76" i="9"/>
  <c r="J76" i="9"/>
  <c r="I76" i="9"/>
  <c r="H76" i="9"/>
  <c r="G76" i="9"/>
  <c r="F76" i="9"/>
  <c r="E76" i="9"/>
  <c r="D76" i="9"/>
  <c r="AJ75" i="9"/>
  <c r="AI75" i="9"/>
  <c r="AH75" i="9"/>
  <c r="AG75" i="9"/>
  <c r="AF75" i="9"/>
  <c r="AE75" i="9"/>
  <c r="AD75" i="9"/>
  <c r="AC75" i="9"/>
  <c r="AB75" i="9"/>
  <c r="AA75" i="9"/>
  <c r="Z75" i="9"/>
  <c r="Y75" i="9"/>
  <c r="X75" i="9"/>
  <c r="W75" i="9"/>
  <c r="V75" i="9"/>
  <c r="U75" i="9"/>
  <c r="T75" i="9"/>
  <c r="S75" i="9"/>
  <c r="R75" i="9"/>
  <c r="Q75" i="9"/>
  <c r="P75" i="9"/>
  <c r="O75" i="9"/>
  <c r="N75" i="9"/>
  <c r="M75" i="9"/>
  <c r="L75" i="9"/>
  <c r="AN75" i="9" s="1"/>
  <c r="K75" i="9"/>
  <c r="J75" i="9"/>
  <c r="I75" i="9"/>
  <c r="H75" i="9"/>
  <c r="G75" i="9"/>
  <c r="F75" i="9"/>
  <c r="AO75" i="9" s="1"/>
  <c r="E75" i="9"/>
  <c r="D75" i="9"/>
  <c r="AJ74" i="9"/>
  <c r="AI74" i="9"/>
  <c r="AH74" i="9"/>
  <c r="AG74" i="9"/>
  <c r="AF74" i="9"/>
  <c r="AE74" i="9"/>
  <c r="AD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I73" i="9"/>
  <c r="AH73" i="9"/>
  <c r="AG73" i="9"/>
  <c r="AF73" i="9"/>
  <c r="AE73" i="9"/>
  <c r="AD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I72" i="9"/>
  <c r="AH72" i="9"/>
  <c r="AG72" i="9"/>
  <c r="AF72" i="9"/>
  <c r="AE72" i="9"/>
  <c r="AD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I71" i="9"/>
  <c r="AH71" i="9"/>
  <c r="AG71" i="9"/>
  <c r="AF71" i="9"/>
  <c r="AE71" i="9"/>
  <c r="AD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AT69" i="9"/>
  <c r="AS69" i="9"/>
  <c r="C69" i="9"/>
  <c r="AT68" i="9"/>
  <c r="C68" i="9"/>
  <c r="AT67" i="9"/>
  <c r="C67" i="9"/>
  <c r="C197" i="9" s="1"/>
  <c r="AT66" i="9"/>
  <c r="C66" i="9"/>
  <c r="AT65" i="9"/>
  <c r="AS65" i="9"/>
  <c r="C65" i="9"/>
  <c r="AT64" i="9"/>
  <c r="C64" i="9"/>
  <c r="AT63" i="9"/>
  <c r="AS63" i="9"/>
  <c r="C63" i="9"/>
  <c r="AT62" i="9"/>
  <c r="C62" i="9"/>
  <c r="AT61" i="9"/>
  <c r="C61" i="9"/>
  <c r="AT60" i="9"/>
  <c r="C60" i="9"/>
  <c r="C190" i="9" s="1"/>
  <c r="AT59" i="9"/>
  <c r="C59" i="9"/>
  <c r="C189" i="9" s="1"/>
  <c r="AT58" i="9"/>
  <c r="C58" i="9"/>
  <c r="AT57" i="9"/>
  <c r="C57" i="9"/>
  <c r="AT56" i="9"/>
  <c r="C56" i="9"/>
  <c r="AT55" i="9"/>
  <c r="AS55" i="9"/>
  <c r="C55" i="9"/>
  <c r="AT54" i="9"/>
  <c r="AS54" i="9"/>
  <c r="C54" i="9"/>
  <c r="AT53" i="9"/>
  <c r="C53" i="9"/>
  <c r="C183" i="9" s="1"/>
  <c r="AT52" i="9"/>
  <c r="C52" i="9"/>
  <c r="AT51" i="9"/>
  <c r="C51" i="9"/>
  <c r="AT50" i="9"/>
  <c r="AS50" i="9"/>
  <c r="C50" i="9"/>
  <c r="AT49" i="9"/>
  <c r="C49" i="9"/>
  <c r="AT48" i="9"/>
  <c r="AS48" i="9"/>
  <c r="AR48" i="9"/>
  <c r="C48" i="9"/>
  <c r="AT47" i="9"/>
  <c r="C47" i="9"/>
  <c r="AT46" i="9"/>
  <c r="C46" i="9"/>
  <c r="AT45" i="9"/>
  <c r="C45" i="9"/>
  <c r="C175" i="9" s="1"/>
  <c r="AT44" i="9"/>
  <c r="C44" i="9"/>
  <c r="AT43" i="9"/>
  <c r="C43" i="9"/>
  <c r="C173" i="9" s="1"/>
  <c r="AT42" i="9"/>
  <c r="C42" i="9"/>
  <c r="AT41" i="9"/>
  <c r="C41" i="9"/>
  <c r="AT40" i="9"/>
  <c r="AS40" i="9"/>
  <c r="C40" i="9"/>
  <c r="AT39" i="9"/>
  <c r="C39" i="9"/>
  <c r="AT38" i="9"/>
  <c r="C38" i="9"/>
  <c r="AT37" i="9"/>
  <c r="AR37" i="9"/>
  <c r="C37" i="9"/>
  <c r="C167" i="9" s="1"/>
  <c r="AT36" i="9"/>
  <c r="C36" i="9"/>
  <c r="C166" i="9" s="1"/>
  <c r="AT35" i="9"/>
  <c r="AS35" i="9"/>
  <c r="C35" i="9"/>
  <c r="C165" i="9" s="1"/>
  <c r="AT34" i="9"/>
  <c r="C34" i="9"/>
  <c r="AT33" i="9"/>
  <c r="C33" i="9"/>
  <c r="AT32" i="9"/>
  <c r="AS32" i="9"/>
  <c r="C32" i="9"/>
  <c r="AT31" i="9"/>
  <c r="C31" i="9"/>
  <c r="AT30" i="9"/>
  <c r="C30" i="9"/>
  <c r="AT29" i="9"/>
  <c r="C29" i="9"/>
  <c r="C159" i="9" s="1"/>
  <c r="AT28" i="9"/>
  <c r="C28" i="9"/>
  <c r="C158" i="9" s="1"/>
  <c r="AT27" i="9"/>
  <c r="C27" i="9"/>
  <c r="C157" i="9" s="1"/>
  <c r="AT26" i="9"/>
  <c r="AS26" i="9"/>
  <c r="C26" i="9"/>
  <c r="AT25" i="9"/>
  <c r="C25" i="9"/>
  <c r="AT24" i="9"/>
  <c r="C24" i="9"/>
  <c r="AT23" i="9"/>
  <c r="C23" i="9"/>
  <c r="AT22" i="9"/>
  <c r="C22" i="9"/>
  <c r="AT21" i="9"/>
  <c r="C21" i="9"/>
  <c r="C151" i="9" s="1"/>
  <c r="AT20" i="9"/>
  <c r="C20" i="9"/>
  <c r="C150" i="9" s="1"/>
  <c r="AT19" i="9"/>
  <c r="C19" i="9"/>
  <c r="AT18" i="9"/>
  <c r="C18" i="9"/>
  <c r="C148" i="9" s="1"/>
  <c r="AT17" i="9"/>
  <c r="AS17" i="9"/>
  <c r="C17" i="9"/>
  <c r="AT16" i="9"/>
  <c r="AS16" i="9"/>
  <c r="C16" i="9"/>
  <c r="AT15" i="9"/>
  <c r="C15" i="9"/>
  <c r="C145" i="9" s="1"/>
  <c r="AT14" i="9"/>
  <c r="C14" i="9"/>
  <c r="C144" i="9" s="1"/>
  <c r="AW13" i="9"/>
  <c r="C13" i="9"/>
  <c r="C143" i="9" s="1"/>
  <c r="C12" i="9"/>
  <c r="C142" i="9" s="1"/>
  <c r="C11" i="9"/>
  <c r="C141" i="9" s="1"/>
  <c r="C10" i="9"/>
  <c r="C140" i="9" s="1"/>
  <c r="C9" i="9"/>
  <c r="C139" i="9" s="1"/>
  <c r="C8" i="9"/>
  <c r="AW7" i="9"/>
  <c r="C7" i="9"/>
  <c r="C137" i="9" s="1"/>
  <c r="AW6" i="9"/>
  <c r="C6" i="9"/>
  <c r="C71" i="9" s="1"/>
  <c r="AJ199" i="8"/>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S64" i="8" s="1"/>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S3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R55"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Q101" i="8" l="1"/>
  <c r="AQ97" i="8"/>
  <c r="AQ96" i="8"/>
  <c r="AS34" i="8"/>
  <c r="AS18" i="9"/>
  <c r="AS19" i="9"/>
  <c r="AO129" i="9"/>
  <c r="AO163" i="9"/>
  <c r="AL196" i="9"/>
  <c r="AR41" i="9"/>
  <c r="AR47" i="8"/>
  <c r="C76" i="9"/>
  <c r="AR36" i="9"/>
  <c r="AM105" i="9"/>
  <c r="AM163" i="8"/>
  <c r="AL182" i="8"/>
  <c r="AM82" i="9"/>
  <c r="AR54" i="9"/>
  <c r="AM196" i="9"/>
  <c r="AM81" i="9"/>
  <c r="AO84" i="9"/>
  <c r="AL106" i="9"/>
  <c r="AR44" i="9"/>
  <c r="AN156" i="9"/>
  <c r="AN168" i="9"/>
  <c r="AS38" i="9"/>
  <c r="AS42" i="9"/>
  <c r="AS46" i="9"/>
  <c r="AS64" i="9"/>
  <c r="AR28" i="9"/>
  <c r="AM121" i="8"/>
  <c r="AN122" i="8"/>
  <c r="AO77" i="9"/>
  <c r="AS30" i="9"/>
  <c r="AO173" i="9"/>
  <c r="AO189" i="8"/>
  <c r="AS67" i="8"/>
  <c r="AN86" i="9"/>
  <c r="AL110" i="9"/>
  <c r="AR56" i="9"/>
  <c r="AR61" i="9"/>
  <c r="AO181" i="9"/>
  <c r="AL181" i="9"/>
  <c r="AM195" i="9"/>
  <c r="AL83" i="9"/>
  <c r="AO105" i="9"/>
  <c r="AN163" i="9"/>
  <c r="AN196" i="9"/>
  <c r="AM106" i="9"/>
  <c r="AN129" i="9"/>
  <c r="AL147" i="9"/>
  <c r="AO156" i="9"/>
  <c r="AO168" i="9"/>
  <c r="AL168" i="9"/>
  <c r="AS40" i="8"/>
  <c r="AS65" i="8"/>
  <c r="AR55" i="9"/>
  <c r="AR59" i="9"/>
  <c r="AS15" i="9"/>
  <c r="AS48" i="8"/>
  <c r="AM75" i="9"/>
  <c r="AO86" i="9"/>
  <c r="AL86" i="9"/>
  <c r="AO121" i="9"/>
  <c r="AS23" i="9"/>
  <c r="AS49" i="9"/>
  <c r="AR33" i="9"/>
  <c r="AL163" i="9"/>
  <c r="AO166" i="9"/>
  <c r="AO169" i="9"/>
  <c r="AN169" i="9"/>
  <c r="AM169" i="9"/>
  <c r="AL169" i="9"/>
  <c r="AS39" i="9"/>
  <c r="AL87" i="9"/>
  <c r="AO138" i="8"/>
  <c r="AM138" i="8"/>
  <c r="AR46" i="9"/>
  <c r="AR47" i="9"/>
  <c r="AM129" i="9"/>
  <c r="AO180" i="9"/>
  <c r="AO187" i="9"/>
  <c r="AM187" i="9"/>
  <c r="AS58" i="9"/>
  <c r="C147" i="9"/>
  <c r="C82" i="9"/>
  <c r="AS66" i="9"/>
  <c r="AM195" i="8"/>
  <c r="AM89" i="8"/>
  <c r="AR39" i="8"/>
  <c r="AR27" i="9"/>
  <c r="AM96" i="9"/>
  <c r="AL102" i="9"/>
  <c r="AR42" i="9"/>
  <c r="AS20" i="9"/>
  <c r="AS21" i="9"/>
  <c r="AN87" i="9"/>
  <c r="AR22" i="9"/>
  <c r="AR34" i="9"/>
  <c r="C149" i="9"/>
  <c r="C84" i="9"/>
  <c r="AS45" i="9"/>
  <c r="AS44" i="9"/>
  <c r="AR51" i="8"/>
  <c r="AR50" i="8"/>
  <c r="AN130" i="8"/>
  <c r="AN136" i="8"/>
  <c r="AN138" i="8"/>
  <c r="AL138" i="8"/>
  <c r="AN180" i="9"/>
  <c r="AN187" i="9"/>
  <c r="AR37" i="8"/>
  <c r="C110" i="8"/>
  <c r="AO196" i="8"/>
  <c r="AM196" i="8"/>
  <c r="AL196" i="8"/>
  <c r="AS67" i="9"/>
  <c r="AO170" i="8"/>
  <c r="AN170" i="8"/>
  <c r="AM170" i="8"/>
  <c r="AL170" i="8"/>
  <c r="AS47" i="8"/>
  <c r="AN96" i="9"/>
  <c r="AN158" i="9"/>
  <c r="AM158" i="9"/>
  <c r="AL158" i="9"/>
  <c r="AS28" i="9"/>
  <c r="AS34" i="9"/>
  <c r="AN125" i="9"/>
  <c r="AL125" i="9"/>
  <c r="AR66" i="9"/>
  <c r="AN157" i="9"/>
  <c r="AS52" i="9"/>
  <c r="AS59" i="9"/>
  <c r="AO78" i="8"/>
  <c r="AS60" i="9"/>
  <c r="AR23" i="9"/>
  <c r="AL126" i="9"/>
  <c r="AO153" i="9"/>
  <c r="AL153" i="9"/>
  <c r="AN104" i="8"/>
  <c r="AL192" i="8"/>
  <c r="AS68" i="8"/>
  <c r="AN71" i="8"/>
  <c r="AM71" i="8"/>
  <c r="AM72" i="8"/>
  <c r="AO88" i="8"/>
  <c r="AO146" i="8"/>
  <c r="AN146" i="8"/>
  <c r="AM146" i="8"/>
  <c r="AL146" i="8"/>
  <c r="AQ146" i="8" s="1"/>
  <c r="AS16" i="8" s="1"/>
  <c r="AO179" i="8"/>
  <c r="AN179" i="8"/>
  <c r="AM179" i="8"/>
  <c r="AL179" i="8"/>
  <c r="AO71" i="9"/>
  <c r="AN72" i="9"/>
  <c r="AO74" i="9"/>
  <c r="AN74" i="9"/>
  <c r="AM74" i="9"/>
  <c r="AL74" i="9"/>
  <c r="AL79" i="9"/>
  <c r="AO82" i="9"/>
  <c r="AN83" i="9"/>
  <c r="AO85" i="9"/>
  <c r="AR43" i="9"/>
  <c r="AM120" i="9"/>
  <c r="AM127" i="9"/>
  <c r="AO134" i="9"/>
  <c r="AN134" i="9"/>
  <c r="AM134" i="9"/>
  <c r="AL134" i="9"/>
  <c r="AN142" i="9"/>
  <c r="AM142" i="9"/>
  <c r="AO147" i="9"/>
  <c r="AN147" i="9"/>
  <c r="AN154" i="9"/>
  <c r="AM154" i="9"/>
  <c r="AL154" i="9"/>
  <c r="AM155" i="9"/>
  <c r="AS25" i="9"/>
  <c r="AO165" i="9"/>
  <c r="AN178" i="9"/>
  <c r="AM178" i="9"/>
  <c r="AL178" i="9"/>
  <c r="AM179" i="9"/>
  <c r="AO191" i="9"/>
  <c r="AN191" i="9"/>
  <c r="AM191" i="9"/>
  <c r="AL191" i="9"/>
  <c r="AO196" i="9"/>
  <c r="AN197" i="9"/>
  <c r="AM197" i="9"/>
  <c r="AL197" i="9"/>
  <c r="AO125" i="9"/>
  <c r="AM125" i="9"/>
  <c r="AM78" i="8"/>
  <c r="AM153" i="9"/>
  <c r="AO157" i="9"/>
  <c r="AO177" i="9"/>
  <c r="AM177" i="9"/>
  <c r="AL177" i="9"/>
  <c r="AO104" i="8"/>
  <c r="AL104" i="8"/>
  <c r="AR52" i="8"/>
  <c r="AS62" i="8"/>
  <c r="AM87" i="9"/>
  <c r="AR49" i="9"/>
  <c r="AM119" i="9"/>
  <c r="AL120" i="9"/>
  <c r="AM117" i="8"/>
  <c r="AN127" i="8"/>
  <c r="AL127" i="8"/>
  <c r="AM159" i="8"/>
  <c r="AS53" i="9"/>
  <c r="AO79" i="9"/>
  <c r="AN79" i="9"/>
  <c r="AM79" i="9"/>
  <c r="AO83" i="9"/>
  <c r="AM83" i="9"/>
  <c r="AO90" i="9"/>
  <c r="AR25" i="9"/>
  <c r="AM104" i="9"/>
  <c r="AN114" i="9"/>
  <c r="AN120" i="9"/>
  <c r="AN121" i="9"/>
  <c r="AO122" i="9"/>
  <c r="AR57" i="9"/>
  <c r="AO140" i="9"/>
  <c r="AN140" i="9"/>
  <c r="AS36" i="9"/>
  <c r="AM173" i="9"/>
  <c r="AS43" i="9"/>
  <c r="AO186" i="9"/>
  <c r="AS57" i="9"/>
  <c r="AO189" i="9"/>
  <c r="AO192" i="9"/>
  <c r="AN192" i="9"/>
  <c r="AM192" i="9"/>
  <c r="AL192" i="9"/>
  <c r="AN181" i="9"/>
  <c r="AN78" i="8"/>
  <c r="AR45" i="8"/>
  <c r="AN153" i="9"/>
  <c r="AM171" i="9"/>
  <c r="AN177" i="9"/>
  <c r="AS47" i="9"/>
  <c r="C92" i="8"/>
  <c r="AM104" i="8"/>
  <c r="AO192" i="8"/>
  <c r="AO178" i="9"/>
  <c r="AO127" i="8"/>
  <c r="AM127" i="8"/>
  <c r="AO87" i="8"/>
  <c r="AO99" i="8"/>
  <c r="AR67" i="9"/>
  <c r="AN80" i="9"/>
  <c r="AM80" i="9"/>
  <c r="AL80" i="9"/>
  <c r="C101" i="9"/>
  <c r="AN105" i="9"/>
  <c r="AO107" i="9"/>
  <c r="AR45" i="9"/>
  <c r="AO137" i="9"/>
  <c r="AN137" i="9"/>
  <c r="AM137" i="9"/>
  <c r="AO141" i="9"/>
  <c r="AM149" i="9"/>
  <c r="AL149" i="9"/>
  <c r="AO172" i="9"/>
  <c r="AN172" i="9"/>
  <c r="AL173" i="9"/>
  <c r="AM181" i="9"/>
  <c r="AN186" i="9"/>
  <c r="AM186" i="9"/>
  <c r="AL186" i="9"/>
  <c r="AO193" i="9"/>
  <c r="AN193" i="9"/>
  <c r="AM193" i="9"/>
  <c r="AL193" i="9"/>
  <c r="AL111" i="9"/>
  <c r="AM121" i="9"/>
  <c r="AR62" i="9"/>
  <c r="AO148" i="9"/>
  <c r="AN148" i="9"/>
  <c r="AL155" i="9"/>
  <c r="AM164" i="9"/>
  <c r="AM165" i="9"/>
  <c r="AL179" i="9"/>
  <c r="AO194" i="9"/>
  <c r="AO173" i="8"/>
  <c r="AS44" i="8"/>
  <c r="AL81" i="9"/>
  <c r="AN88" i="9"/>
  <c r="AN89" i="9"/>
  <c r="AM97" i="9"/>
  <c r="AM99" i="9"/>
  <c r="AM103" i="9"/>
  <c r="AR38" i="9"/>
  <c r="AN107" i="9"/>
  <c r="AM107" i="9"/>
  <c r="AL107" i="9"/>
  <c r="AM111" i="9"/>
  <c r="AO117" i="9"/>
  <c r="AN117" i="9"/>
  <c r="AM117" i="9"/>
  <c r="AL117" i="9"/>
  <c r="AR52" i="9"/>
  <c r="AM122" i="9"/>
  <c r="AN132" i="9"/>
  <c r="AM132" i="9"/>
  <c r="AL132" i="9"/>
  <c r="AO145" i="9"/>
  <c r="AN145" i="9"/>
  <c r="AM145" i="9"/>
  <c r="AL145" i="9"/>
  <c r="AO155" i="9"/>
  <c r="AN155" i="9"/>
  <c r="AO161" i="9"/>
  <c r="AN161" i="9"/>
  <c r="AM161" i="9"/>
  <c r="AL161" i="9"/>
  <c r="AO164" i="9"/>
  <c r="AN164" i="9"/>
  <c r="AL165" i="9"/>
  <c r="AN170" i="9"/>
  <c r="AM170" i="9"/>
  <c r="AL170" i="9"/>
  <c r="AN173" i="9"/>
  <c r="AO179" i="9"/>
  <c r="AN179" i="9"/>
  <c r="AO183" i="9"/>
  <c r="AN183" i="9"/>
  <c r="AM183" i="9"/>
  <c r="AL183" i="9"/>
  <c r="AM188" i="9"/>
  <c r="AN189" i="9"/>
  <c r="AM189" i="9"/>
  <c r="AL189" i="9"/>
  <c r="AN194" i="9"/>
  <c r="AM194" i="9"/>
  <c r="AL194" i="9"/>
  <c r="AO198" i="9"/>
  <c r="AN198" i="9"/>
  <c r="AM198" i="9"/>
  <c r="AL198" i="9"/>
  <c r="AO95" i="8"/>
  <c r="AM95" i="8"/>
  <c r="AM113" i="8"/>
  <c r="AR48" i="8"/>
  <c r="AO141" i="8"/>
  <c r="AS39" i="8"/>
  <c r="AN172" i="8"/>
  <c r="AN71" i="9"/>
  <c r="AM71" i="9"/>
  <c r="AL71" i="9"/>
  <c r="AQ71" i="9" s="1"/>
  <c r="AR6" i="9" s="1"/>
  <c r="AO72" i="9"/>
  <c r="AM72" i="9"/>
  <c r="AO76" i="9"/>
  <c r="AN76" i="9"/>
  <c r="AM77" i="9"/>
  <c r="AO80" i="9"/>
  <c r="AN84" i="9"/>
  <c r="C85" i="9"/>
  <c r="AO89" i="9"/>
  <c r="AM89" i="9"/>
  <c r="AO91" i="9"/>
  <c r="AO94" i="9"/>
  <c r="AN94" i="9"/>
  <c r="AM94" i="9"/>
  <c r="AL94" i="9"/>
  <c r="AO98" i="9"/>
  <c r="AR40" i="9"/>
  <c r="AO106" i="9"/>
  <c r="AN112" i="9"/>
  <c r="AM112" i="9"/>
  <c r="AO115" i="9"/>
  <c r="AN122" i="9"/>
  <c r="AO128" i="9"/>
  <c r="AO130" i="9"/>
  <c r="AN130" i="9"/>
  <c r="AN149" i="9"/>
  <c r="AL171" i="9"/>
  <c r="AO184" i="9"/>
  <c r="AN184" i="9"/>
  <c r="AM184" i="9"/>
  <c r="AL184" i="9"/>
  <c r="AO188" i="9"/>
  <c r="AN188" i="9"/>
  <c r="AL78" i="8"/>
  <c r="AR31" i="8"/>
  <c r="AO156" i="8"/>
  <c r="AN156" i="8"/>
  <c r="AM156" i="8"/>
  <c r="AR39" i="9"/>
  <c r="AO73" i="9"/>
  <c r="AN73" i="9"/>
  <c r="AM73" i="9"/>
  <c r="AL73" i="9"/>
  <c r="AQ73" i="9"/>
  <c r="AL77" i="9"/>
  <c r="AQ77" i="9" s="1"/>
  <c r="AR12" i="9" s="1"/>
  <c r="AO78" i="9"/>
  <c r="AN78" i="9"/>
  <c r="AM78" i="9"/>
  <c r="AN81" i="9"/>
  <c r="AN82" i="9"/>
  <c r="AL82" i="9"/>
  <c r="AR18" i="9"/>
  <c r="AL85" i="9"/>
  <c r="AR20" i="9"/>
  <c r="AO95" i="9"/>
  <c r="AN95" i="9"/>
  <c r="AM95" i="9"/>
  <c r="AL95" i="9"/>
  <c r="AR30" i="9"/>
  <c r="AN98" i="9"/>
  <c r="AL104" i="9"/>
  <c r="AO108" i="9"/>
  <c r="AN108" i="9"/>
  <c r="AM108" i="9"/>
  <c r="AL108" i="9"/>
  <c r="AO113" i="9"/>
  <c r="AN113" i="9"/>
  <c r="AM113" i="9"/>
  <c r="AN128" i="9"/>
  <c r="AM128" i="9"/>
  <c r="AL128" i="9"/>
  <c r="AO131" i="9"/>
  <c r="AO139" i="9"/>
  <c r="AN139" i="9"/>
  <c r="AM139" i="9"/>
  <c r="AN146" i="9"/>
  <c r="AM146" i="9"/>
  <c r="AL146" i="9"/>
  <c r="AO149" i="9"/>
  <c r="AM157" i="9"/>
  <c r="AL157" i="9"/>
  <c r="AN162" i="9"/>
  <c r="AM162" i="9"/>
  <c r="AL162" i="9"/>
  <c r="AN165" i="9"/>
  <c r="AN166" i="9"/>
  <c r="AM166" i="9"/>
  <c r="AL166" i="9"/>
  <c r="AO171" i="9"/>
  <c r="AN171" i="9"/>
  <c r="AO185" i="9"/>
  <c r="AN185" i="9"/>
  <c r="AM185" i="9"/>
  <c r="AL185" i="9"/>
  <c r="AO195" i="9"/>
  <c r="AN195" i="9"/>
  <c r="AO197" i="9"/>
  <c r="AO199" i="9"/>
  <c r="AN199" i="9"/>
  <c r="AM199" i="9"/>
  <c r="AL199" i="9"/>
  <c r="AR62" i="8"/>
  <c r="AN77" i="8"/>
  <c r="AM77" i="8"/>
  <c r="AR40" i="8"/>
  <c r="AO121" i="8"/>
  <c r="AO122" i="8"/>
  <c r="AM122" i="8"/>
  <c r="AR63" i="8"/>
  <c r="AN164" i="8"/>
  <c r="AO171" i="8"/>
  <c r="AM171" i="8"/>
  <c r="AS41" i="8"/>
  <c r="AS53" i="8"/>
  <c r="AN90" i="8"/>
  <c r="AL90" i="8"/>
  <c r="AQ90" i="8" s="1"/>
  <c r="AR25" i="8" s="1"/>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Q156" i="8" s="1"/>
  <c r="AS26" i="8" s="1"/>
  <c r="AO161" i="8"/>
  <c r="AM161" i="8"/>
  <c r="AS3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Q139" i="8" s="1"/>
  <c r="AM147" i="8"/>
  <c r="AL148" i="8"/>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S23" i="8" s="1"/>
  <c r="AO163" i="8"/>
  <c r="AN163" i="8"/>
  <c r="AL163" i="8"/>
  <c r="AO167" i="8"/>
  <c r="AN167" i="8"/>
  <c r="AL167" i="8"/>
  <c r="AS38" i="8"/>
  <c r="AN184" i="8"/>
  <c r="AM184" i="8"/>
  <c r="AO185" i="8"/>
  <c r="AN185" i="8"/>
  <c r="AM185" i="8"/>
  <c r="AL185" i="8"/>
  <c r="AS56" i="8"/>
  <c r="AN194" i="8"/>
  <c r="AM194" i="8"/>
  <c r="AN171" i="8"/>
  <c r="AL174" i="8"/>
  <c r="AO74" i="8"/>
  <c r="AN73" i="8"/>
  <c r="AL75" i="8"/>
  <c r="AO98" i="8"/>
  <c r="AL98" i="8"/>
  <c r="AM101" i="8"/>
  <c r="AM102" i="8"/>
  <c r="AL102" i="8"/>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Q154" i="8" s="1"/>
  <c r="AS2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Q94" i="8" s="1"/>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35" i="8"/>
  <c r="AR56" i="8"/>
  <c r="AR61" i="8"/>
  <c r="AS66" i="8"/>
  <c r="AR67" i="8"/>
  <c r="AS59" i="8"/>
  <c r="C94" i="8"/>
  <c r="AR64" i="8"/>
  <c r="AR68" i="8"/>
  <c r="C88" i="8"/>
  <c r="AR53" i="8"/>
  <c r="AL136" i="8"/>
  <c r="AO72" i="8"/>
  <c r="AO71" i="8"/>
  <c r="AQ139" i="9"/>
  <c r="AS9" i="9" s="1"/>
  <c r="AL137" i="9"/>
  <c r="AL72" i="9"/>
  <c r="AL78" i="9"/>
  <c r="AL142" i="9"/>
  <c r="AL76" i="9"/>
  <c r="AL138" i="9"/>
  <c r="AR17" i="9"/>
  <c r="AR16" i="9"/>
  <c r="AR21" i="9"/>
  <c r="C138" i="9"/>
  <c r="C73" i="9"/>
  <c r="AR24" i="9"/>
  <c r="AS29" i="9"/>
  <c r="AR31" i="9"/>
  <c r="C163" i="9"/>
  <c r="C98" i="9"/>
  <c r="C103" i="9"/>
  <c r="C168" i="9"/>
  <c r="C180" i="9"/>
  <c r="C115" i="9"/>
  <c r="AR53" i="9"/>
  <c r="AR60" i="9"/>
  <c r="C127" i="9"/>
  <c r="C192" i="9"/>
  <c r="C72" i="9"/>
  <c r="C77" i="9"/>
  <c r="AM88" i="9"/>
  <c r="AL88" i="9"/>
  <c r="AO93" i="9"/>
  <c r="AN93" i="9"/>
  <c r="AM93" i="9"/>
  <c r="AL93" i="9"/>
  <c r="AO103" i="9"/>
  <c r="AN103" i="9"/>
  <c r="AL103" i="9"/>
  <c r="C118" i="9"/>
  <c r="C124" i="9"/>
  <c r="C136" i="9"/>
  <c r="AL140" i="9"/>
  <c r="C185" i="9"/>
  <c r="C120" i="9"/>
  <c r="B6" i="9"/>
  <c r="C153" i="9"/>
  <c r="C88" i="9"/>
  <c r="C182" i="9"/>
  <c r="C117" i="9"/>
  <c r="C187" i="9"/>
  <c r="C122" i="9"/>
  <c r="C199" i="9"/>
  <c r="C134" i="9"/>
  <c r="AN77" i="9"/>
  <c r="AN90" i="9"/>
  <c r="AM91" i="9"/>
  <c r="C94" i="9"/>
  <c r="AL97" i="9"/>
  <c r="C100" i="9"/>
  <c r="AL112" i="9"/>
  <c r="AO118" i="9"/>
  <c r="AN118" i="9"/>
  <c r="AM118" i="9"/>
  <c r="AL118" i="9"/>
  <c r="AN123" i="9"/>
  <c r="AL131" i="9"/>
  <c r="AO136" i="9"/>
  <c r="AN136" i="9"/>
  <c r="AM136" i="9"/>
  <c r="AL136" i="9"/>
  <c r="AN150" i="9"/>
  <c r="AM150" i="9"/>
  <c r="AL150" i="9"/>
  <c r="C177" i="9"/>
  <c r="C112" i="9"/>
  <c r="AR50" i="9"/>
  <c r="AN85" i="9"/>
  <c r="AM85" i="9"/>
  <c r="AO87" i="9"/>
  <c r="AL89" i="9"/>
  <c r="AN91" i="9"/>
  <c r="AL91" i="9"/>
  <c r="AO97" i="9"/>
  <c r="AN97" i="9"/>
  <c r="AO104" i="9"/>
  <c r="C110" i="9"/>
  <c r="AO114" i="9"/>
  <c r="AM115" i="9"/>
  <c r="AL115" i="9"/>
  <c r="AL119" i="9"/>
  <c r="AO123" i="9"/>
  <c r="C156" i="9"/>
  <c r="C91" i="9"/>
  <c r="C95" i="9"/>
  <c r="C160" i="9"/>
  <c r="C155" i="9"/>
  <c r="C90" i="9"/>
  <c r="C172" i="9"/>
  <c r="C107" i="9"/>
  <c r="C119" i="9"/>
  <c r="C184" i="9"/>
  <c r="C191" i="9"/>
  <c r="C126" i="9"/>
  <c r="C196" i="9"/>
  <c r="C131" i="9"/>
  <c r="AR69" i="9"/>
  <c r="AM76" i="9"/>
  <c r="AO99" i="9"/>
  <c r="AN104" i="9"/>
  <c r="AL113" i="9"/>
  <c r="AN115" i="9"/>
  <c r="C125" i="9"/>
  <c r="AL129" i="9"/>
  <c r="AN131" i="9"/>
  <c r="C132" i="9"/>
  <c r="C174" i="9"/>
  <c r="C109" i="9"/>
  <c r="C193" i="9"/>
  <c r="C128" i="9"/>
  <c r="C179" i="9"/>
  <c r="C114" i="9"/>
  <c r="C146" i="9"/>
  <c r="C81" i="9"/>
  <c r="C87" i="9"/>
  <c r="C152" i="9"/>
  <c r="C164" i="9"/>
  <c r="C99" i="9"/>
  <c r="C181" i="9"/>
  <c r="C116" i="9"/>
  <c r="C188" i="9"/>
  <c r="C123" i="9"/>
  <c r="C74" i="9"/>
  <c r="AL75" i="9"/>
  <c r="AQ75" i="9" s="1"/>
  <c r="AR10" i="9" s="1"/>
  <c r="AM84" i="9"/>
  <c r="AL84" i="9"/>
  <c r="AO96" i="9"/>
  <c r="AO101" i="9"/>
  <c r="AN101" i="9"/>
  <c r="AM101" i="9"/>
  <c r="AL101" i="9"/>
  <c r="AO111" i="9"/>
  <c r="AN111" i="9"/>
  <c r="AL130" i="9"/>
  <c r="AN141" i="9"/>
  <c r="C169" i="9"/>
  <c r="C104" i="9"/>
  <c r="C198" i="9"/>
  <c r="C133" i="9"/>
  <c r="C75" i="9"/>
  <c r="C79" i="9"/>
  <c r="C92" i="9"/>
  <c r="C161" i="9"/>
  <c r="C96" i="9"/>
  <c r="C171" i="9"/>
  <c r="C106" i="9"/>
  <c r="C111" i="9"/>
  <c r="C176" i="9"/>
  <c r="C195" i="9"/>
  <c r="C130" i="9"/>
  <c r="C78" i="9"/>
  <c r="C83" i="9"/>
  <c r="C86" i="9"/>
  <c r="AL96" i="9"/>
  <c r="C108" i="9"/>
  <c r="AO127" i="9"/>
  <c r="AN127" i="9"/>
  <c r="AL127" i="9"/>
  <c r="AL139" i="9"/>
  <c r="AM123" i="9"/>
  <c r="AL123" i="9"/>
  <c r="AO124" i="9"/>
  <c r="AM130" i="9"/>
  <c r="AO143" i="9"/>
  <c r="AQ143" i="9" s="1"/>
  <c r="AN143" i="9"/>
  <c r="AM143" i="9"/>
  <c r="AL143" i="9"/>
  <c r="AL148" i="9"/>
  <c r="AO151" i="9"/>
  <c r="AN151" i="9"/>
  <c r="AM151" i="9"/>
  <c r="AL151" i="9"/>
  <c r="AL156" i="9"/>
  <c r="AO159" i="9"/>
  <c r="AN159" i="9"/>
  <c r="AM159" i="9"/>
  <c r="AL159" i="9"/>
  <c r="AN174" i="9"/>
  <c r="AM174" i="9"/>
  <c r="AL174" i="9"/>
  <c r="AO88" i="9"/>
  <c r="AM90" i="9"/>
  <c r="AL90" i="9"/>
  <c r="AO92" i="9"/>
  <c r="AN92" i="9"/>
  <c r="AM92" i="9"/>
  <c r="AL92" i="9"/>
  <c r="AN99" i="9"/>
  <c r="AL99" i="9"/>
  <c r="AO102" i="9"/>
  <c r="AN102" i="9"/>
  <c r="AM102" i="9"/>
  <c r="AO112" i="9"/>
  <c r="AO119" i="9"/>
  <c r="AN119" i="9"/>
  <c r="AL121" i="9"/>
  <c r="AO126" i="9"/>
  <c r="AN126" i="9"/>
  <c r="AM126" i="9"/>
  <c r="AO133" i="9"/>
  <c r="AN133" i="9"/>
  <c r="AM133" i="9"/>
  <c r="AL133" i="9"/>
  <c r="AO138" i="9"/>
  <c r="AQ138" i="9" s="1"/>
  <c r="AM140" i="9"/>
  <c r="AL164" i="9"/>
  <c r="AO167" i="9"/>
  <c r="AN167" i="9"/>
  <c r="AM167" i="9"/>
  <c r="AL167" i="9"/>
  <c r="AN182" i="9"/>
  <c r="AM182" i="9"/>
  <c r="AL182" i="9"/>
  <c r="C154" i="9"/>
  <c r="C89" i="9"/>
  <c r="C162" i="9"/>
  <c r="C97" i="9"/>
  <c r="C170" i="9"/>
  <c r="C105" i="9"/>
  <c r="C178" i="9"/>
  <c r="C113" i="9"/>
  <c r="C186" i="9"/>
  <c r="C121" i="9"/>
  <c r="C194" i="9"/>
  <c r="C129" i="9"/>
  <c r="AL105" i="9"/>
  <c r="AO109" i="9"/>
  <c r="AN109" i="9"/>
  <c r="AM109" i="9"/>
  <c r="AL109" i="9"/>
  <c r="AM114" i="9"/>
  <c r="AL114" i="9"/>
  <c r="AO116" i="9"/>
  <c r="AN116" i="9"/>
  <c r="AM116" i="9"/>
  <c r="AL116" i="9"/>
  <c r="AM131" i="9"/>
  <c r="AO132" i="9"/>
  <c r="AN138" i="9"/>
  <c r="AO142" i="9"/>
  <c r="AQ142" i="9" s="1"/>
  <c r="AS12" i="9" s="1"/>
  <c r="AO144" i="9"/>
  <c r="AN144" i="9"/>
  <c r="AM144" i="9"/>
  <c r="AL144" i="9"/>
  <c r="AM148" i="9"/>
  <c r="AO150" i="9"/>
  <c r="AO152" i="9"/>
  <c r="AN152" i="9"/>
  <c r="AM152" i="9"/>
  <c r="AL152" i="9"/>
  <c r="AM156" i="9"/>
  <c r="AO158" i="9"/>
  <c r="AO160" i="9"/>
  <c r="AN160" i="9"/>
  <c r="AM160" i="9"/>
  <c r="AL160" i="9"/>
  <c r="AL172" i="9"/>
  <c r="AO175" i="9"/>
  <c r="AN175" i="9"/>
  <c r="AM175" i="9"/>
  <c r="AL175" i="9"/>
  <c r="AL187" i="9"/>
  <c r="AO190" i="9"/>
  <c r="AN190" i="9"/>
  <c r="AM190" i="9"/>
  <c r="AL190" i="9"/>
  <c r="AL195" i="9"/>
  <c r="AL180" i="9"/>
  <c r="AM98" i="9"/>
  <c r="AL98" i="9"/>
  <c r="AO100" i="9"/>
  <c r="AN100" i="9"/>
  <c r="AM100" i="9"/>
  <c r="AL100" i="9"/>
  <c r="AO110" i="9"/>
  <c r="AN110" i="9"/>
  <c r="AM110" i="9"/>
  <c r="AO120" i="9"/>
  <c r="AL122" i="9"/>
  <c r="AN124" i="9"/>
  <c r="AM124" i="9"/>
  <c r="AL124" i="9"/>
  <c r="AM141" i="9"/>
  <c r="AL141" i="9"/>
  <c r="AO146" i="9"/>
  <c r="AO154" i="9"/>
  <c r="AO162" i="9"/>
  <c r="AM172" i="9"/>
  <c r="AO174" i="9"/>
  <c r="AO176" i="9"/>
  <c r="AN176" i="9"/>
  <c r="AM176" i="9"/>
  <c r="AL176" i="9"/>
  <c r="AL188" i="9"/>
  <c r="AO170" i="9"/>
  <c r="AM180" i="9"/>
  <c r="AO182" i="9"/>
  <c r="AL137" i="8"/>
  <c r="AL71" i="8"/>
  <c r="AO152" i="8"/>
  <c r="C187" i="8"/>
  <c r="C122" i="8"/>
  <c r="AO90" i="8"/>
  <c r="AM90" i="8"/>
  <c r="B6" i="8"/>
  <c r="AL74" i="8"/>
  <c r="AO76" i="8"/>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AQ88" i="8" s="1"/>
  <c r="AR23"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M152" i="8"/>
  <c r="AL152" i="8"/>
  <c r="AQ152" i="8" s="1"/>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Q91" i="8" s="1"/>
  <c r="AO93" i="8"/>
  <c r="AN93" i="8"/>
  <c r="AL93" i="8"/>
  <c r="AQ93" i="8" s="1"/>
  <c r="AR28" i="8" s="1"/>
  <c r="AO97" i="8"/>
  <c r="AO101" i="8"/>
  <c r="AN101" i="8"/>
  <c r="AL101" i="8"/>
  <c r="AN105" i="8"/>
  <c r="AL105" i="8"/>
  <c r="AL108" i="8"/>
  <c r="AO116" i="8"/>
  <c r="AM116" i="8"/>
  <c r="AN126" i="8"/>
  <c r="AN131" i="8"/>
  <c r="AM131" i="8"/>
  <c r="AL131" i="8"/>
  <c r="AO143" i="8"/>
  <c r="AN143" i="8"/>
  <c r="AL143" i="8"/>
  <c r="AO147" i="8"/>
  <c r="AN147" i="8"/>
  <c r="AL147" i="8"/>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Q155" i="8" s="1"/>
  <c r="AS25" i="8" s="1"/>
  <c r="AL158" i="8"/>
  <c r="AQ158" i="8" s="1"/>
  <c r="AS28" i="8" s="1"/>
  <c r="AO166" i="8"/>
  <c r="AN166" i="8"/>
  <c r="AM166" i="8"/>
  <c r="AN173" i="8"/>
  <c r="AM173" i="8"/>
  <c r="AL173" i="8"/>
  <c r="AM176" i="8"/>
  <c r="AL180" i="8"/>
  <c r="AO188" i="8"/>
  <c r="AM188" i="8"/>
  <c r="AL188" i="8"/>
  <c r="AO199" i="8"/>
  <c r="AN199" i="8"/>
  <c r="AM199" i="8"/>
  <c r="AL199" i="8"/>
  <c r="AQ76" i="8" l="1"/>
  <c r="AR11" i="8" s="1"/>
  <c r="AQ83" i="8"/>
  <c r="AR18" i="8" s="1"/>
  <c r="AQ84" i="8"/>
  <c r="AR19" i="8" s="1"/>
  <c r="AQ80" i="8"/>
  <c r="AR15" i="8" s="1"/>
  <c r="AQ75" i="8"/>
  <c r="AR10" i="8" s="1"/>
  <c r="AQ73" i="8"/>
  <c r="AQ147" i="8"/>
  <c r="AS17" i="8" s="1"/>
  <c r="AQ74" i="8"/>
  <c r="AR9" i="8" s="1"/>
  <c r="AQ77" i="8"/>
  <c r="AR12" i="8" s="1"/>
  <c r="AQ138" i="8"/>
  <c r="AQ78" i="8"/>
  <c r="AR13" i="8" s="1"/>
  <c r="AQ140" i="8"/>
  <c r="AS10" i="8" s="1"/>
  <c r="AQ81" i="8"/>
  <c r="AR16" i="8" s="1"/>
  <c r="AQ82" i="8"/>
  <c r="AR17" i="8" s="1"/>
  <c r="AQ145" i="8"/>
  <c r="AS15" i="8" s="1"/>
  <c r="AQ143" i="8"/>
  <c r="AS13" i="8" s="1"/>
  <c r="AS9" i="8"/>
  <c r="AQ142" i="8"/>
  <c r="AS12" i="8" s="1"/>
  <c r="AQ141" i="8"/>
  <c r="AS11" i="8" s="1"/>
  <c r="AR29" i="8"/>
  <c r="AR30" i="8"/>
  <c r="AS29" i="8"/>
  <c r="AS30" i="8"/>
  <c r="AQ144" i="8"/>
  <c r="AS14" i="8" s="1"/>
  <c r="AQ79" i="8"/>
  <c r="AR14" i="8" s="1"/>
  <c r="AQ86" i="8"/>
  <c r="AR22" i="8" s="1"/>
  <c r="AQ148" i="8"/>
  <c r="AS18" i="8" s="1"/>
  <c r="AQ149" i="8"/>
  <c r="AS19" i="8" s="1"/>
  <c r="AQ151" i="8"/>
  <c r="AS22" i="8" s="1"/>
  <c r="AQ85" i="8"/>
  <c r="AR20" i="8" s="1"/>
  <c r="AR27" i="8"/>
  <c r="AR26" i="8"/>
  <c r="AS27" i="8"/>
  <c r="AQ78" i="9"/>
  <c r="AR13" i="9" s="1"/>
  <c r="AQ76" i="9"/>
  <c r="AR11" i="9" s="1"/>
  <c r="AQ140" i="9"/>
  <c r="AS10" i="9" s="1"/>
  <c r="AQ74" i="9"/>
  <c r="AR9" i="9" s="1"/>
  <c r="AQ137" i="8"/>
  <c r="AS7" i="8" s="1"/>
  <c r="AS14" i="9"/>
  <c r="AS13" i="9"/>
  <c r="AQ72" i="8"/>
  <c r="AQ141" i="9"/>
  <c r="AS11" i="9" s="1"/>
  <c r="AQ72" i="9"/>
  <c r="AR7" i="9" s="1"/>
  <c r="AQ137" i="9"/>
  <c r="AS7" i="9" s="1"/>
  <c r="AQ71" i="8"/>
  <c r="AR6" i="8" s="1"/>
  <c r="AQ136" i="8"/>
  <c r="AS6" i="8" s="1"/>
  <c r="AQ136" i="9"/>
  <c r="AS6" i="9" s="1"/>
  <c r="AS8" i="9"/>
  <c r="AR8" i="9"/>
  <c r="B136" i="9"/>
  <c r="B71" i="9"/>
  <c r="B136" i="8"/>
  <c r="B71" i="8"/>
  <c r="D7" i="4"/>
  <c r="M13" i="4"/>
  <c r="N13" i="4" s="1"/>
  <c r="AR8" i="8" l="1"/>
  <c r="AR21" i="8"/>
  <c r="AS21" i="8"/>
  <c r="AR14" i="9"/>
  <c r="AS8" i="8"/>
  <c r="AR7" i="8"/>
  <c r="D3" i="1"/>
  <c r="D5" i="4" s="1"/>
  <c r="D4" i="4" l="1"/>
  <c r="D6" i="4" s="1"/>
  <c r="AW17" i="22" l="1"/>
  <c r="AW17" i="17"/>
  <c r="AL12" i="17" s="1"/>
  <c r="AT12" i="17" s="1"/>
  <c r="AW17" i="18"/>
  <c r="AL13" i="18" s="1"/>
  <c r="AT13" i="18" s="1"/>
  <c r="AL61" i="17"/>
  <c r="AT61" i="17" s="1"/>
  <c r="AL49" i="17"/>
  <c r="AT49" i="17" s="1"/>
  <c r="AL37" i="17"/>
  <c r="AT37" i="17" s="1"/>
  <c r="AL25" i="17"/>
  <c r="AT25" i="17" s="1"/>
  <c r="AL68" i="17"/>
  <c r="AT68" i="17" s="1"/>
  <c r="AL56" i="17"/>
  <c r="AT56" i="17" s="1"/>
  <c r="AL44" i="17"/>
  <c r="AT44" i="17" s="1"/>
  <c r="AL32" i="17"/>
  <c r="AT32" i="17" s="1"/>
  <c r="AL20" i="17"/>
  <c r="AT20" i="17" s="1"/>
  <c r="AL63" i="17"/>
  <c r="AT63" i="17" s="1"/>
  <c r="AL51" i="17"/>
  <c r="AT51" i="17" s="1"/>
  <c r="AL39" i="17"/>
  <c r="AT39" i="17" s="1"/>
  <c r="AL27" i="17"/>
  <c r="AT27" i="17" s="1"/>
  <c r="AL67" i="17"/>
  <c r="AT67" i="17" s="1"/>
  <c r="AL58" i="17"/>
  <c r="AT58" i="17" s="1"/>
  <c r="AL46" i="17"/>
  <c r="AT46" i="17" s="1"/>
  <c r="AL34" i="17"/>
  <c r="AT34" i="17" s="1"/>
  <c r="AL22" i="17"/>
  <c r="AT22" i="17" s="1"/>
  <c r="AL65" i="17"/>
  <c r="AT65" i="17" s="1"/>
  <c r="AL53" i="17"/>
  <c r="AT53" i="17" s="1"/>
  <c r="AL41" i="17"/>
  <c r="AT41" i="17" s="1"/>
  <c r="AL29" i="17"/>
  <c r="AT29" i="17" s="1"/>
  <c r="AL60" i="17"/>
  <c r="AT60" i="17" s="1"/>
  <c r="AL48" i="17"/>
  <c r="AT48" i="17" s="1"/>
  <c r="AL36" i="17"/>
  <c r="AT36" i="17" s="1"/>
  <c r="AL24" i="17"/>
  <c r="AT24" i="17" s="1"/>
  <c r="AL17" i="17"/>
  <c r="AT17" i="17" s="1"/>
  <c r="AL62" i="17"/>
  <c r="AT62" i="17" s="1"/>
  <c r="AL50" i="17"/>
  <c r="AT50" i="17" s="1"/>
  <c r="AL38" i="17"/>
  <c r="AT38" i="17" s="1"/>
  <c r="AL26" i="17"/>
  <c r="AT26" i="17" s="1"/>
  <c r="AL69" i="17"/>
  <c r="AT69" i="17" s="1"/>
  <c r="AL57" i="17"/>
  <c r="AT57" i="17" s="1"/>
  <c r="AL45" i="17"/>
  <c r="AT45" i="17" s="1"/>
  <c r="AL33" i="17"/>
  <c r="AT33" i="17" s="1"/>
  <c r="AL21" i="17"/>
  <c r="AT21" i="17" s="1"/>
  <c r="AL59" i="17"/>
  <c r="AT59" i="17" s="1"/>
  <c r="AL47" i="17"/>
  <c r="AT47" i="17" s="1"/>
  <c r="AL35" i="17"/>
  <c r="AT35" i="17" s="1"/>
  <c r="AL23" i="17"/>
  <c r="AT23" i="17" s="1"/>
  <c r="AL66" i="17"/>
  <c r="AT66" i="17" s="1"/>
  <c r="AL54" i="17"/>
  <c r="AT54" i="17" s="1"/>
  <c r="AL42" i="17"/>
  <c r="AT42" i="17" s="1"/>
  <c r="AL30" i="17"/>
  <c r="AT30" i="17" s="1"/>
  <c r="AL18" i="17"/>
  <c r="AT18" i="17" s="1"/>
  <c r="AL16" i="17"/>
  <c r="AT16" i="17" s="1"/>
  <c r="AL43" i="17"/>
  <c r="AT43" i="17" s="1"/>
  <c r="AL19" i="17"/>
  <c r="AT19" i="17" s="1"/>
  <c r="AL52" i="17"/>
  <c r="AT52" i="17" s="1"/>
  <c r="AL28" i="17"/>
  <c r="AT28" i="17" s="1"/>
  <c r="AL64" i="17"/>
  <c r="AT64" i="17" s="1"/>
  <c r="AL55" i="17"/>
  <c r="AT55" i="17" s="1"/>
  <c r="AL31" i="17"/>
  <c r="AT31" i="17" s="1"/>
  <c r="AL40" i="17"/>
  <c r="AT40" i="17" s="1"/>
  <c r="AW17" i="15"/>
  <c r="AL18" i="15" s="1"/>
  <c r="AW17" i="16"/>
  <c r="AL8" i="15"/>
  <c r="AT8" i="15" s="1"/>
  <c r="AL9" i="15"/>
  <c r="AT9" i="15"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W17" i="9"/>
  <c r="AL35" i="9" s="1"/>
  <c r="AW17" i="8"/>
  <c r="AL66" i="8" s="1"/>
  <c r="AL9" i="9"/>
  <c r="AT9" i="9" s="1"/>
  <c r="AL10" i="9"/>
  <c r="AT10" i="9" s="1"/>
  <c r="AL11" i="9"/>
  <c r="AT11" i="9" s="1"/>
  <c r="AL12" i="9"/>
  <c r="AT12" i="9" s="1"/>
  <c r="AL6" i="9"/>
  <c r="AT6" i="9" s="1"/>
  <c r="AL13" i="9"/>
  <c r="AT13" i="9" s="1"/>
  <c r="AL8" i="9"/>
  <c r="AT8" i="9" s="1"/>
  <c r="AL15" i="17" l="1"/>
  <c r="AT15" i="17" s="1"/>
  <c r="AL11" i="22"/>
  <c r="AT11" i="22" s="1"/>
  <c r="AL13" i="22"/>
  <c r="AT13" i="22" s="1"/>
  <c r="AW12" i="22"/>
  <c r="AU5" i="22" s="1"/>
  <c r="AL61" i="22"/>
  <c r="AL49" i="22"/>
  <c r="AL37" i="22"/>
  <c r="AT37" i="22" s="1"/>
  <c r="AL25" i="22"/>
  <c r="AT25" i="22" s="1"/>
  <c r="AW8" i="22"/>
  <c r="AL7" i="22"/>
  <c r="AT7" i="22" s="1"/>
  <c r="AL68" i="22"/>
  <c r="AL56" i="22"/>
  <c r="AL44" i="22"/>
  <c r="AL32" i="22"/>
  <c r="AT32" i="22" s="1"/>
  <c r="AL63" i="22"/>
  <c r="AL51" i="22"/>
  <c r="AL39" i="22"/>
  <c r="AL27" i="22"/>
  <c r="AT27" i="22" s="1"/>
  <c r="AL58" i="22"/>
  <c r="AL46" i="22"/>
  <c r="AL34" i="22"/>
  <c r="AT34" i="22" s="1"/>
  <c r="AL22" i="22"/>
  <c r="AT22" i="22" s="1"/>
  <c r="AL65" i="22"/>
  <c r="AL53" i="22"/>
  <c r="AL41" i="22"/>
  <c r="AL29" i="22"/>
  <c r="AT29" i="22" s="1"/>
  <c r="AL60" i="22"/>
  <c r="AL48" i="22"/>
  <c r="AL36" i="22"/>
  <c r="AT36" i="22" s="1"/>
  <c r="AL24" i="22"/>
  <c r="AT24" i="22" s="1"/>
  <c r="AL8" i="22"/>
  <c r="AT8" i="22" s="1"/>
  <c r="AL64" i="22"/>
  <c r="AL52" i="22"/>
  <c r="AL40" i="22"/>
  <c r="AL28" i="22"/>
  <c r="AT28" i="22" s="1"/>
  <c r="AL59" i="22"/>
  <c r="AL47" i="22"/>
  <c r="AL35" i="22"/>
  <c r="AT35" i="22" s="1"/>
  <c r="AL23" i="22"/>
  <c r="AT23" i="22" s="1"/>
  <c r="AL9" i="22"/>
  <c r="AT9" i="22" s="1"/>
  <c r="AL66" i="22"/>
  <c r="AL54" i="22"/>
  <c r="AL42" i="22"/>
  <c r="AL30" i="22"/>
  <c r="AT30" i="22" s="1"/>
  <c r="AL62" i="22"/>
  <c r="AL33" i="22"/>
  <c r="AT33" i="22" s="1"/>
  <c r="AL57" i="22"/>
  <c r="AL69" i="22"/>
  <c r="AL43" i="22"/>
  <c r="AL31" i="22"/>
  <c r="AT31" i="22" s="1"/>
  <c r="AL55" i="22"/>
  <c r="AL45" i="22"/>
  <c r="AL38" i="22"/>
  <c r="AL50" i="22"/>
  <c r="AL67" i="22"/>
  <c r="AL26" i="22"/>
  <c r="AT26" i="22" s="1"/>
  <c r="AW16" i="22"/>
  <c r="AU15" i="22" s="1"/>
  <c r="AW9" i="22"/>
  <c r="AW10" i="22"/>
  <c r="AW11" i="22"/>
  <c r="AL8" i="17"/>
  <c r="AT8" i="17" s="1"/>
  <c r="AW16" i="17"/>
  <c r="AU15" i="17" s="1"/>
  <c r="AL11" i="17"/>
  <c r="AT11" i="17" s="1"/>
  <c r="AL14" i="17"/>
  <c r="AT14" i="17" s="1"/>
  <c r="AL10" i="17"/>
  <c r="AT10" i="17" s="1"/>
  <c r="AL7" i="18"/>
  <c r="AT7" i="18" s="1"/>
  <c r="AL14" i="18"/>
  <c r="AT14" i="18" s="1"/>
  <c r="AL12" i="18"/>
  <c r="AT12" i="18" s="1"/>
  <c r="AW11" i="18"/>
  <c r="AU13" i="18" s="1"/>
  <c r="AL10" i="18"/>
  <c r="AT10" i="18" s="1"/>
  <c r="AL8" i="18"/>
  <c r="AT8" i="18" s="1"/>
  <c r="AL11" i="18"/>
  <c r="AT11" i="18" s="1"/>
  <c r="AW10" i="18"/>
  <c r="AU14" i="18" s="1"/>
  <c r="AW8" i="18"/>
  <c r="AW16" i="18"/>
  <c r="AU15" i="18" s="1"/>
  <c r="AW9" i="18"/>
  <c r="AL7" i="17"/>
  <c r="AT7" i="17" s="1"/>
  <c r="AW8" i="17"/>
  <c r="AW12" i="17"/>
  <c r="AU5" i="17" s="1"/>
  <c r="AW12" i="18"/>
  <c r="AU5" i="18" s="1"/>
  <c r="AW11" i="17"/>
  <c r="AU13" i="17" s="1"/>
  <c r="AW10" i="17"/>
  <c r="AU14" i="17" s="1"/>
  <c r="AW9" i="17"/>
  <c r="AL52" i="15"/>
  <c r="AL38" i="15"/>
  <c r="AL55" i="15"/>
  <c r="AL35" i="15"/>
  <c r="AL67" i="15"/>
  <c r="AL56" i="15"/>
  <c r="AL68" i="15"/>
  <c r="AW8" i="15"/>
  <c r="AL7" i="15"/>
  <c r="AT7" i="15" s="1"/>
  <c r="AW11" i="15"/>
  <c r="AU13" i="15" s="1"/>
  <c r="AL19" i="15"/>
  <c r="AT19" i="15" s="1"/>
  <c r="AW10" i="15"/>
  <c r="AU14" i="15" s="1"/>
  <c r="AL26" i="15"/>
  <c r="AL42" i="15"/>
  <c r="AL60" i="15"/>
  <c r="AL10" i="15"/>
  <c r="AT10" i="15" s="1"/>
  <c r="AL36" i="15"/>
  <c r="AL49" i="15"/>
  <c r="AL23" i="15"/>
  <c r="AL59" i="15"/>
  <c r="AL48" i="15"/>
  <c r="AL61" i="15"/>
  <c r="AL66" i="15"/>
  <c r="AL15" i="15"/>
  <c r="AL47" i="15"/>
  <c r="AL29" i="15"/>
  <c r="AL58" i="15"/>
  <c r="AL16" i="15"/>
  <c r="AT16" i="15" s="1"/>
  <c r="AL30" i="15"/>
  <c r="AL53" i="15"/>
  <c r="AL27" i="15"/>
  <c r="AL21" i="15"/>
  <c r="AT21" i="15" s="1"/>
  <c r="AL45" i="15"/>
  <c r="AL33" i="15"/>
  <c r="AL22" i="15"/>
  <c r="AL54" i="15"/>
  <c r="AL40" i="15"/>
  <c r="AL39" i="15"/>
  <c r="AL17" i="15"/>
  <c r="AW9" i="15"/>
  <c r="AL65" i="15"/>
  <c r="AL31" i="15"/>
  <c r="AL51" i="15"/>
  <c r="AL12" i="15"/>
  <c r="AT12" i="15" s="1"/>
  <c r="AL28" i="15"/>
  <c r="AL43" i="15"/>
  <c r="AL44" i="15"/>
  <c r="AL14" i="15"/>
  <c r="AL50" i="15"/>
  <c r="AL62" i="15"/>
  <c r="AL63" i="15"/>
  <c r="AL20" i="15"/>
  <c r="AW16" i="15"/>
  <c r="AU15" i="15" s="1"/>
  <c r="AL57" i="15"/>
  <c r="AL69" i="15"/>
  <c r="AL24" i="15"/>
  <c r="AL32" i="15"/>
  <c r="AL11" i="15"/>
  <c r="AT11" i="15" s="1"/>
  <c r="AL34" i="15"/>
  <c r="AL25" i="15"/>
  <c r="AL13" i="15"/>
  <c r="AT13" i="15" s="1"/>
  <c r="AL41" i="15"/>
  <c r="AL64" i="15"/>
  <c r="AL46" i="15"/>
  <c r="AL37" i="15"/>
  <c r="AW12" i="15"/>
  <c r="AU5" i="15" s="1"/>
  <c r="AW12" i="16"/>
  <c r="AU5" i="16" s="1"/>
  <c r="AL61" i="16"/>
  <c r="AL49" i="16"/>
  <c r="AL37" i="16"/>
  <c r="AL25" i="16"/>
  <c r="AL7" i="16"/>
  <c r="AT7" i="16" s="1"/>
  <c r="AL68" i="16"/>
  <c r="AL56" i="16"/>
  <c r="AL44" i="16"/>
  <c r="AL32" i="16"/>
  <c r="AL20" i="16"/>
  <c r="AL14" i="16"/>
  <c r="AL63" i="16"/>
  <c r="AL51" i="16"/>
  <c r="AL39" i="16"/>
  <c r="AL27" i="16"/>
  <c r="AL12" i="16"/>
  <c r="AL58" i="16"/>
  <c r="AL46" i="16"/>
  <c r="AL34" i="16"/>
  <c r="AL22" i="16"/>
  <c r="AL60" i="16"/>
  <c r="AL48" i="16"/>
  <c r="AL36" i="16"/>
  <c r="AL24" i="16"/>
  <c r="AL17" i="16"/>
  <c r="AL67" i="16"/>
  <c r="AL55" i="16"/>
  <c r="AL43" i="16"/>
  <c r="AL31" i="16"/>
  <c r="AL19" i="16"/>
  <c r="AL15" i="16"/>
  <c r="AL62" i="16"/>
  <c r="AL50" i="16"/>
  <c r="AL38" i="16"/>
  <c r="AL26" i="16"/>
  <c r="AL69" i="16"/>
  <c r="AL57" i="16"/>
  <c r="AL45" i="16"/>
  <c r="AL33" i="16"/>
  <c r="AL21" i="16"/>
  <c r="AL13" i="16"/>
  <c r="AL64" i="16"/>
  <c r="AL52" i="16"/>
  <c r="AL40" i="16"/>
  <c r="AL28" i="16"/>
  <c r="AL11" i="16"/>
  <c r="AL59" i="16"/>
  <c r="AL47" i="16"/>
  <c r="AL35" i="16"/>
  <c r="AL23" i="16"/>
  <c r="AL53" i="16"/>
  <c r="AL29" i="16"/>
  <c r="AL66" i="16"/>
  <c r="AL42" i="16"/>
  <c r="AW10" i="16"/>
  <c r="AU14" i="16" s="1"/>
  <c r="AL18" i="16"/>
  <c r="AL10" i="16"/>
  <c r="AL41" i="16"/>
  <c r="AW11" i="16"/>
  <c r="AU13" i="16" s="1"/>
  <c r="AL65" i="16"/>
  <c r="AL30" i="16"/>
  <c r="AL54" i="16"/>
  <c r="AL16" i="16"/>
  <c r="AW9" i="16"/>
  <c r="AW8" i="16"/>
  <c r="AW16" i="16"/>
  <c r="AU15" i="16" s="1"/>
  <c r="AW12" i="8"/>
  <c r="AU5" i="8" s="1"/>
  <c r="AW12" i="9"/>
  <c r="AU5" i="9" s="1"/>
  <c r="AL66" i="9"/>
  <c r="AL24" i="9"/>
  <c r="AL36" i="9"/>
  <c r="AL38" i="9"/>
  <c r="AL17" i="9"/>
  <c r="AL65" i="9"/>
  <c r="AL22" i="9"/>
  <c r="AL33" i="8"/>
  <c r="AT33" i="8" s="1"/>
  <c r="AL28" i="8"/>
  <c r="AT28" i="8" s="1"/>
  <c r="AL57" i="9"/>
  <c r="AL53" i="9"/>
  <c r="AL29" i="9"/>
  <c r="AW11" i="8"/>
  <c r="AU13" i="8" s="1"/>
  <c r="AL14" i="9"/>
  <c r="AL23" i="9"/>
  <c r="AL54" i="9"/>
  <c r="AL58" i="9"/>
  <c r="AL7" i="9"/>
  <c r="AT7" i="9" s="1"/>
  <c r="AL40" i="9"/>
  <c r="AL61" i="9"/>
  <c r="AL51" i="9"/>
  <c r="AW11" i="9"/>
  <c r="AU13" i="9" s="1"/>
  <c r="AL28" i="9"/>
  <c r="AL39" i="9"/>
  <c r="AW10" i="9"/>
  <c r="AU14" i="9" s="1"/>
  <c r="AL33" i="9"/>
  <c r="AL30" i="9"/>
  <c r="AL68" i="8"/>
  <c r="AL8" i="8"/>
  <c r="AT8" i="8" s="1"/>
  <c r="AL50" i="8"/>
  <c r="AL24" i="8"/>
  <c r="AT24" i="8" s="1"/>
  <c r="AL44" i="9"/>
  <c r="AL59" i="9"/>
  <c r="AW8" i="8"/>
  <c r="AU11" i="8" s="1"/>
  <c r="AL18" i="9"/>
  <c r="AL25" i="9"/>
  <c r="AL49" i="9"/>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U10" i="8" s="1"/>
  <c r="AL6" i="8"/>
  <c r="AT6" i="8" s="1"/>
  <c r="AL11" i="8"/>
  <c r="AT11" i="8" s="1"/>
  <c r="AL21" i="8"/>
  <c r="AT21" i="8" s="1"/>
  <c r="AL41" i="8"/>
  <c r="AL22" i="8"/>
  <c r="AT22" i="8" s="1"/>
  <c r="AL31" i="8"/>
  <c r="AT31" i="8" s="1"/>
  <c r="AL40" i="8"/>
  <c r="AL45" i="8"/>
  <c r="AL60" i="8"/>
  <c r="AL30" i="8"/>
  <c r="AT30" i="8" s="1"/>
  <c r="AW9" i="9"/>
  <c r="AL26" i="9"/>
  <c r="AL62" i="9"/>
  <c r="AL64" i="9"/>
  <c r="AL20" i="9"/>
  <c r="AL56" i="9"/>
  <c r="AL27" i="9"/>
  <c r="AW16" i="9"/>
  <c r="AU15" i="9" s="1"/>
  <c r="AL55" i="9"/>
  <c r="AL19" i="9"/>
  <c r="AL32" i="9"/>
  <c r="AL68" i="9"/>
  <c r="AL43" i="9"/>
  <c r="AL48" i="8"/>
  <c r="AL29" i="8"/>
  <c r="AT29" i="8" s="1"/>
  <c r="AL31" i="9"/>
  <c r="AL21" i="9"/>
  <c r="AL45" i="9"/>
  <c r="AL16" i="9"/>
  <c r="AL67" i="9"/>
  <c r="AL15" i="9"/>
  <c r="AL48" i="9"/>
  <c r="AL50" i="9"/>
  <c r="AL69" i="9"/>
  <c r="AL47" i="9"/>
  <c r="AL37" i="9"/>
  <c r="AL63" i="9"/>
  <c r="AL34" i="9"/>
  <c r="AL34" i="8"/>
  <c r="AT34" i="8" s="1"/>
  <c r="AL54" i="8"/>
  <c r="AL17" i="8"/>
  <c r="AT17" i="8" s="1"/>
  <c r="AW8" i="9"/>
  <c r="AL46" i="9"/>
  <c r="AL41" i="9"/>
  <c r="AL52" i="9"/>
  <c r="AL42" i="9"/>
  <c r="AL60" i="9"/>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U14" i="22" l="1"/>
  <c r="AV5" i="22"/>
  <c r="AS5" i="22"/>
  <c r="AR5" i="22"/>
  <c r="AU13" i="22"/>
  <c r="AT5" i="22"/>
  <c r="AV5" i="17"/>
  <c r="AT5" i="17"/>
  <c r="AR5" i="17"/>
  <c r="AS5" i="17"/>
  <c r="AS5" i="18"/>
  <c r="AR5" i="18"/>
  <c r="AV5" i="18"/>
  <c r="AT5" i="18"/>
  <c r="AT5" i="15"/>
  <c r="AR5" i="16"/>
  <c r="AR5" i="15"/>
  <c r="AV5" i="15"/>
  <c r="AS5" i="15"/>
  <c r="AV5" i="16"/>
  <c r="AS5" i="16"/>
  <c r="AT5" i="16"/>
  <c r="AS5" i="9"/>
  <c r="AR5" i="9"/>
  <c r="AT5" i="9"/>
  <c r="AV5" i="9"/>
  <c r="AT5" i="8"/>
  <c r="AS5" i="8"/>
  <c r="AR5" i="8"/>
  <c r="AV5" i="8"/>
  <c r="B15" i="1"/>
  <c r="B12" i="1"/>
  <c r="B11" i="1"/>
  <c r="B10" i="1"/>
  <c r="B9" i="1"/>
  <c r="H14" i="4" l="1"/>
  <c r="I14" i="4"/>
  <c r="H15" i="4"/>
  <c r="I15" i="4"/>
  <c r="H16" i="4"/>
  <c r="I16" i="4"/>
  <c r="H17" i="4"/>
  <c r="G18" i="4"/>
  <c r="H18" i="4"/>
  <c r="G19" i="4"/>
  <c r="H19"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G17" i="4" s="1"/>
  <c r="AW15" i="17" s="1"/>
  <c r="AU8" i="17" s="1"/>
  <c r="M18" i="4"/>
  <c r="N18" i="4" s="1"/>
  <c r="F18" i="4" s="1"/>
  <c r="M19" i="4"/>
  <c r="N19" i="4" s="1"/>
  <c r="F19" i="4" s="1"/>
  <c r="M20" i="4"/>
  <c r="N20" i="4" s="1"/>
  <c r="F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2" l="1"/>
  <c r="AU7" i="22" s="1"/>
  <c r="AW15" i="18"/>
  <c r="AU8" i="18" s="1"/>
  <c r="AW14" i="18"/>
  <c r="AU7" i="18" s="1"/>
  <c r="F17" i="4"/>
  <c r="AW14" i="17" s="1"/>
  <c r="AU7" i="17" s="1"/>
  <c r="G14" i="4"/>
  <c r="AW15" i="22" s="1"/>
  <c r="AU8" i="22" s="1"/>
  <c r="F16" i="4"/>
  <c r="AW14" i="15" s="1"/>
  <c r="AU7" i="15" s="1"/>
  <c r="G15" i="4"/>
  <c r="AW15" i="16" s="1"/>
  <c r="AU8" i="16" s="1"/>
  <c r="AW14" i="9" l="1"/>
  <c r="AU7" i="9" s="1"/>
  <c r="AW14" i="16"/>
  <c r="AU7" i="16" s="1"/>
  <c r="AW15" i="9"/>
  <c r="AU8" i="9" s="1"/>
  <c r="AW15" i="15"/>
  <c r="AU8" i="15" s="1"/>
  <c r="G13" i="4"/>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B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B00-000002000000}">
      <text>
        <r>
          <rPr>
            <b/>
            <sz val="9"/>
            <color indexed="81"/>
            <rFont val="MS P ゴシック"/>
            <family val="3"/>
            <charset val="128"/>
          </rPr>
          <t xml:space="preserve">リモート送信条件成立：IG ON 且つ PTS ONが15[s]以上
</t>
        </r>
      </text>
    </comment>
    <comment ref="E9" authorId="1" shapeId="0" xr:uid="{00000000-0006-0000-0B00-000003000000}">
      <text>
        <r>
          <rPr>
            <b/>
            <sz val="9"/>
            <color indexed="81"/>
            <rFont val="MS P ゴシック"/>
            <family val="3"/>
            <charset val="128"/>
          </rPr>
          <t xml:space="preserve">IG ON 且つ ST OFF
</t>
        </r>
      </text>
    </comment>
    <comment ref="F9" authorId="1" shapeId="0" xr:uid="{00000000-0006-0000-0B00-000004000000}">
      <text>
        <r>
          <rPr>
            <b/>
            <sz val="9"/>
            <color indexed="81"/>
            <rFont val="MS P ゴシック"/>
            <family val="3"/>
            <charset val="128"/>
          </rPr>
          <t>IG ON</t>
        </r>
      </text>
    </comment>
    <comment ref="G9" authorId="1" shapeId="0" xr:uid="{00000000-0006-0000-0B00-000005000000}">
      <text>
        <r>
          <rPr>
            <b/>
            <sz val="9"/>
            <color indexed="81"/>
            <rFont val="MS P ゴシック"/>
            <family val="3"/>
            <charset val="128"/>
          </rPr>
          <t xml:space="preserve">IG OFF 且つ IG OFF後25[m]未満
</t>
        </r>
      </text>
    </comment>
    <comment ref="H9" authorId="1" shapeId="0" xr:uid="{00000000-0006-0000-0B00-000006000000}">
      <text>
        <r>
          <rPr>
            <b/>
            <sz val="9"/>
            <color indexed="81"/>
            <rFont val="MS P ゴシック"/>
            <family val="3"/>
            <charset val="128"/>
          </rPr>
          <t xml:space="preserve">IG OFF
</t>
        </r>
      </text>
    </comment>
    <comment ref="I9" authorId="1" shapeId="0" xr:uid="{00000000-0006-0000-0B00-000007000000}">
      <text>
        <r>
          <rPr>
            <b/>
            <sz val="9"/>
            <color indexed="81"/>
            <rFont val="MS P ゴシック"/>
            <family val="3"/>
            <charset val="128"/>
          </rPr>
          <t xml:space="preserve">IG ON 又は IG OFF後25[m]未満
</t>
        </r>
      </text>
    </comment>
    <comment ref="J9" authorId="1" shapeId="0" xr:uid="{00000000-0006-0000-0B00-000008000000}">
      <text>
        <r>
          <rPr>
            <b/>
            <sz val="9"/>
            <color indexed="81"/>
            <rFont val="MS P ゴシック"/>
            <family val="3"/>
            <charset val="128"/>
          </rPr>
          <t>+B ON 又は ACC ON</t>
        </r>
      </text>
    </comment>
    <comment ref="B32" authorId="0" shapeId="0" xr:uid="{05C2A635-0C7A-4C6F-9AC8-C21BB51ADDE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 authorId="1" shapeId="0" xr:uid="{A065CBEF-F537-4D14-8632-005663BEC094}">
      <text>
        <r>
          <rPr>
            <b/>
            <sz val="9"/>
            <color indexed="81"/>
            <rFont val="MS P ゴシック"/>
            <family val="3"/>
            <charset val="128"/>
          </rPr>
          <t xml:space="preserve">リモート送信条件成立：IG ON 且つ PTS ONが15[s]以上
</t>
        </r>
      </text>
    </comment>
    <comment ref="E35" authorId="1" shapeId="0" xr:uid="{999CC889-6A07-4F2D-9867-CE4912371DE3}">
      <text>
        <r>
          <rPr>
            <b/>
            <sz val="9"/>
            <color indexed="81"/>
            <rFont val="MS P ゴシック"/>
            <family val="3"/>
            <charset val="128"/>
          </rPr>
          <t xml:space="preserve">IG ON 且つ ST OFF
</t>
        </r>
      </text>
    </comment>
    <comment ref="F35" authorId="1" shapeId="0" xr:uid="{2EB5E034-92A0-4979-9A9B-95235ADC76A2}">
      <text>
        <r>
          <rPr>
            <b/>
            <sz val="9"/>
            <color indexed="81"/>
            <rFont val="MS P ゴシック"/>
            <family val="3"/>
            <charset val="128"/>
          </rPr>
          <t>IG ON</t>
        </r>
      </text>
    </comment>
    <comment ref="G35" authorId="1" shapeId="0" xr:uid="{22A86F72-4F26-49F4-B8F9-F0EB2D963D42}">
      <text>
        <r>
          <rPr>
            <b/>
            <sz val="9"/>
            <color indexed="81"/>
            <rFont val="MS P ゴシック"/>
            <family val="3"/>
            <charset val="128"/>
          </rPr>
          <t xml:space="preserve">IG OFF 且つ IG OFF後25[m]未満
</t>
        </r>
      </text>
    </comment>
    <comment ref="H35" authorId="1" shapeId="0" xr:uid="{3CB5C3B4-433A-496E-B4AF-E41B22FBD2F3}">
      <text>
        <r>
          <rPr>
            <b/>
            <sz val="9"/>
            <color indexed="81"/>
            <rFont val="MS P ゴシック"/>
            <family val="3"/>
            <charset val="128"/>
          </rPr>
          <t xml:space="preserve">IG OFF
</t>
        </r>
      </text>
    </comment>
    <comment ref="I35" authorId="1" shapeId="0" xr:uid="{3FCFF2D5-BDFC-40D0-9512-43F4229D623A}">
      <text>
        <r>
          <rPr>
            <b/>
            <sz val="9"/>
            <color indexed="81"/>
            <rFont val="MS P ゴシック"/>
            <family val="3"/>
            <charset val="128"/>
          </rPr>
          <t xml:space="preserve">IG ON 又は IG OFF後25[m]未満
</t>
        </r>
      </text>
    </comment>
    <comment ref="J35" authorId="1" shapeId="0" xr:uid="{6690BC79-5A76-4937-AAB2-7DC3F21D4949}">
      <text>
        <r>
          <rPr>
            <b/>
            <sz val="9"/>
            <color indexed="81"/>
            <rFont val="MS P ゴシック"/>
            <family val="3"/>
            <charset val="128"/>
          </rPr>
          <t>+B ON 又は ACC ON</t>
        </r>
      </text>
    </comment>
    <comment ref="B228" authorId="0" shapeId="0" xr:uid="{00000000-0006-0000-0B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31" authorId="1" shapeId="0" xr:uid="{00000000-0006-0000-0B00-00000A000000}">
      <text>
        <r>
          <rPr>
            <b/>
            <sz val="9"/>
            <color indexed="81"/>
            <rFont val="MS P ゴシック"/>
            <family val="3"/>
            <charset val="128"/>
          </rPr>
          <t xml:space="preserve">リモート送信条件成立：IG ON 且つ PTS ONが15[s]以上
</t>
        </r>
      </text>
    </comment>
    <comment ref="E231" authorId="1" shapeId="0" xr:uid="{00000000-0006-0000-0B00-00000B000000}">
      <text>
        <r>
          <rPr>
            <b/>
            <sz val="9"/>
            <color indexed="81"/>
            <rFont val="MS P ゴシック"/>
            <family val="3"/>
            <charset val="128"/>
          </rPr>
          <t xml:space="preserve">IG ON 且つ ST OFF
</t>
        </r>
      </text>
    </comment>
    <comment ref="F231" authorId="1" shapeId="0" xr:uid="{00000000-0006-0000-0B00-00000C000000}">
      <text>
        <r>
          <rPr>
            <b/>
            <sz val="9"/>
            <color indexed="81"/>
            <rFont val="MS P ゴシック"/>
            <family val="3"/>
            <charset val="128"/>
          </rPr>
          <t>IG ON</t>
        </r>
      </text>
    </comment>
    <comment ref="G231" authorId="1" shapeId="0" xr:uid="{00000000-0006-0000-0B00-00000D000000}">
      <text>
        <r>
          <rPr>
            <b/>
            <sz val="9"/>
            <color indexed="81"/>
            <rFont val="MS P ゴシック"/>
            <family val="3"/>
            <charset val="128"/>
          </rPr>
          <t xml:space="preserve">IG OFF 且つ IG OFF後25[m]未満
</t>
        </r>
      </text>
    </comment>
    <comment ref="H231" authorId="1" shapeId="0" xr:uid="{00000000-0006-0000-0B00-00000E000000}">
      <text>
        <r>
          <rPr>
            <b/>
            <sz val="9"/>
            <color indexed="81"/>
            <rFont val="MS P ゴシック"/>
            <family val="3"/>
            <charset val="128"/>
          </rPr>
          <t xml:space="preserve">IG OFF
</t>
        </r>
      </text>
    </comment>
    <comment ref="I231" authorId="1" shapeId="0" xr:uid="{00000000-0006-0000-0B00-00000F000000}">
      <text>
        <r>
          <rPr>
            <b/>
            <sz val="9"/>
            <color indexed="81"/>
            <rFont val="MS P ゴシック"/>
            <family val="3"/>
            <charset val="128"/>
          </rPr>
          <t xml:space="preserve">IG ON 又は IG OFF後25[m]未満
</t>
        </r>
      </text>
    </comment>
    <comment ref="J231" authorId="1" shapeId="0" xr:uid="{00000000-0006-0000-0B00-000010000000}">
      <text>
        <r>
          <rPr>
            <b/>
            <sz val="9"/>
            <color indexed="81"/>
            <rFont val="MS P ゴシック"/>
            <family val="3"/>
            <charset val="128"/>
          </rPr>
          <t>+B ON 又は ACC ON</t>
        </r>
      </text>
    </comment>
    <comment ref="B241" authorId="0" shapeId="0" xr:uid="{00000000-0006-0000-0B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44" authorId="1" shapeId="0" xr:uid="{00000000-0006-0000-0B00-000012000000}">
      <text>
        <r>
          <rPr>
            <b/>
            <sz val="9"/>
            <color indexed="81"/>
            <rFont val="MS P ゴシック"/>
            <family val="3"/>
            <charset val="128"/>
          </rPr>
          <t xml:space="preserve">リモート送信条件成立：IG ON 且つ PTS ONが15[s]以上
</t>
        </r>
      </text>
    </comment>
    <comment ref="E244" authorId="1" shapeId="0" xr:uid="{00000000-0006-0000-0B00-000013000000}">
      <text>
        <r>
          <rPr>
            <b/>
            <sz val="9"/>
            <color indexed="81"/>
            <rFont val="MS P ゴシック"/>
            <family val="3"/>
            <charset val="128"/>
          </rPr>
          <t xml:space="preserve">IG ON 且つ ST OFF
</t>
        </r>
      </text>
    </comment>
    <comment ref="F244" authorId="1" shapeId="0" xr:uid="{00000000-0006-0000-0B00-000014000000}">
      <text>
        <r>
          <rPr>
            <b/>
            <sz val="9"/>
            <color indexed="81"/>
            <rFont val="MS P ゴシック"/>
            <family val="3"/>
            <charset val="128"/>
          </rPr>
          <t>IG ON</t>
        </r>
      </text>
    </comment>
    <comment ref="G244" authorId="1" shapeId="0" xr:uid="{00000000-0006-0000-0B00-000015000000}">
      <text>
        <r>
          <rPr>
            <b/>
            <sz val="9"/>
            <color indexed="81"/>
            <rFont val="MS P ゴシック"/>
            <family val="3"/>
            <charset val="128"/>
          </rPr>
          <t xml:space="preserve">IG OFF 且つ IG OFF後25[m]未満
</t>
        </r>
      </text>
    </comment>
    <comment ref="H244" authorId="1" shapeId="0" xr:uid="{00000000-0006-0000-0B00-000016000000}">
      <text>
        <r>
          <rPr>
            <b/>
            <sz val="9"/>
            <color indexed="81"/>
            <rFont val="MS P ゴシック"/>
            <family val="3"/>
            <charset val="128"/>
          </rPr>
          <t xml:space="preserve">IG OFF
</t>
        </r>
      </text>
    </comment>
    <comment ref="I244" authorId="1" shapeId="0" xr:uid="{00000000-0006-0000-0B00-000017000000}">
      <text>
        <r>
          <rPr>
            <b/>
            <sz val="9"/>
            <color indexed="81"/>
            <rFont val="MS P ゴシック"/>
            <family val="3"/>
            <charset val="128"/>
          </rPr>
          <t xml:space="preserve">IG ON 又は IG OFF後25[m]未満
</t>
        </r>
      </text>
    </comment>
    <comment ref="J244" authorId="1" shapeId="0" xr:uid="{00000000-0006-0000-0B00-000018000000}">
      <text>
        <r>
          <rPr>
            <b/>
            <sz val="9"/>
            <color indexed="81"/>
            <rFont val="MS P ゴシック"/>
            <family val="3"/>
            <charset val="128"/>
          </rPr>
          <t>+B ON 又は ACC ON</t>
        </r>
      </text>
    </comment>
    <comment ref="B254" authorId="0" shapeId="0" xr:uid="{00000000-0006-0000-0B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57" authorId="1" shapeId="0" xr:uid="{00000000-0006-0000-0B00-00001A000000}">
      <text>
        <r>
          <rPr>
            <b/>
            <sz val="9"/>
            <color indexed="81"/>
            <rFont val="MS P ゴシック"/>
            <family val="3"/>
            <charset val="128"/>
          </rPr>
          <t xml:space="preserve">リモート送信条件成立：IG ON 且つ PTS ONが15[s]以上
</t>
        </r>
      </text>
    </comment>
    <comment ref="E257" authorId="1" shapeId="0" xr:uid="{00000000-0006-0000-0B00-00001B000000}">
      <text>
        <r>
          <rPr>
            <b/>
            <sz val="9"/>
            <color indexed="81"/>
            <rFont val="MS P ゴシック"/>
            <family val="3"/>
            <charset val="128"/>
          </rPr>
          <t xml:space="preserve">IG ON 且つ ST OFF
</t>
        </r>
      </text>
    </comment>
    <comment ref="F257" authorId="1" shapeId="0" xr:uid="{00000000-0006-0000-0B00-00001C000000}">
      <text>
        <r>
          <rPr>
            <b/>
            <sz val="9"/>
            <color indexed="81"/>
            <rFont val="MS P ゴシック"/>
            <family val="3"/>
            <charset val="128"/>
          </rPr>
          <t>IG ON</t>
        </r>
      </text>
    </comment>
    <comment ref="G257" authorId="1" shapeId="0" xr:uid="{00000000-0006-0000-0B00-00001D000000}">
      <text>
        <r>
          <rPr>
            <b/>
            <sz val="9"/>
            <color indexed="81"/>
            <rFont val="MS P ゴシック"/>
            <family val="3"/>
            <charset val="128"/>
          </rPr>
          <t xml:space="preserve">IG OFF 且つ IG OFF後25[m]未満
</t>
        </r>
      </text>
    </comment>
    <comment ref="H257" authorId="1" shapeId="0" xr:uid="{00000000-0006-0000-0B00-00001E000000}">
      <text>
        <r>
          <rPr>
            <b/>
            <sz val="9"/>
            <color indexed="81"/>
            <rFont val="MS P ゴシック"/>
            <family val="3"/>
            <charset val="128"/>
          </rPr>
          <t xml:space="preserve">IG OFF
</t>
        </r>
      </text>
    </comment>
    <comment ref="I257" authorId="1" shapeId="0" xr:uid="{00000000-0006-0000-0B00-00001F000000}">
      <text>
        <r>
          <rPr>
            <b/>
            <sz val="9"/>
            <color indexed="81"/>
            <rFont val="MS P ゴシック"/>
            <family val="3"/>
            <charset val="128"/>
          </rPr>
          <t xml:space="preserve">IG ON 又は IG OFF後25[m]未満
</t>
        </r>
      </text>
    </comment>
    <comment ref="J257" authorId="1" shapeId="0" xr:uid="{00000000-0006-0000-0B00-000020000000}">
      <text>
        <r>
          <rPr>
            <b/>
            <sz val="9"/>
            <color indexed="81"/>
            <rFont val="MS P ゴシック"/>
            <family val="3"/>
            <charset val="128"/>
          </rPr>
          <t>+B ON 又は ACC ON</t>
        </r>
      </text>
    </comment>
    <comment ref="B269" authorId="0" shapeId="0" xr:uid="{00000000-0006-0000-0B00-00002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72" authorId="1" shapeId="0" xr:uid="{00000000-0006-0000-0B00-000022000000}">
      <text>
        <r>
          <rPr>
            <b/>
            <sz val="9"/>
            <color indexed="81"/>
            <rFont val="MS P ゴシック"/>
            <family val="3"/>
            <charset val="128"/>
          </rPr>
          <t xml:space="preserve">リモート送信条件成立：IG ON 且つ PTS ONが15[s]以上
</t>
        </r>
      </text>
    </comment>
    <comment ref="E272" authorId="1" shapeId="0" xr:uid="{00000000-0006-0000-0B00-000023000000}">
      <text>
        <r>
          <rPr>
            <b/>
            <sz val="9"/>
            <color indexed="81"/>
            <rFont val="MS P ゴシック"/>
            <family val="3"/>
            <charset val="128"/>
          </rPr>
          <t xml:space="preserve">IG ON 且つ ST OFF
</t>
        </r>
      </text>
    </comment>
    <comment ref="F272" authorId="1" shapeId="0" xr:uid="{00000000-0006-0000-0B00-000024000000}">
      <text>
        <r>
          <rPr>
            <b/>
            <sz val="9"/>
            <color indexed="81"/>
            <rFont val="MS P ゴシック"/>
            <family val="3"/>
            <charset val="128"/>
          </rPr>
          <t>IG ON</t>
        </r>
      </text>
    </comment>
    <comment ref="G272" authorId="1" shapeId="0" xr:uid="{00000000-0006-0000-0B00-000025000000}">
      <text>
        <r>
          <rPr>
            <b/>
            <sz val="9"/>
            <color indexed="81"/>
            <rFont val="MS P ゴシック"/>
            <family val="3"/>
            <charset val="128"/>
          </rPr>
          <t xml:space="preserve">IG OFF 且つ IG OFF後25[m]未満
</t>
        </r>
      </text>
    </comment>
    <comment ref="H272" authorId="1" shapeId="0" xr:uid="{00000000-0006-0000-0B00-000026000000}">
      <text>
        <r>
          <rPr>
            <b/>
            <sz val="9"/>
            <color indexed="81"/>
            <rFont val="MS P ゴシック"/>
            <family val="3"/>
            <charset val="128"/>
          </rPr>
          <t xml:space="preserve">IG OFF
</t>
        </r>
      </text>
    </comment>
    <comment ref="I272" authorId="1" shapeId="0" xr:uid="{00000000-0006-0000-0B00-000027000000}">
      <text>
        <r>
          <rPr>
            <b/>
            <sz val="9"/>
            <color indexed="81"/>
            <rFont val="MS P ゴシック"/>
            <family val="3"/>
            <charset val="128"/>
          </rPr>
          <t xml:space="preserve">IG ON 又は IG OFF後25[m]未満
</t>
        </r>
      </text>
    </comment>
    <comment ref="J272" authorId="1" shapeId="0" xr:uid="{00000000-0006-0000-0B00-000028000000}">
      <text>
        <r>
          <rPr>
            <b/>
            <sz val="9"/>
            <color indexed="81"/>
            <rFont val="MS P ゴシック"/>
            <family val="3"/>
            <charset val="128"/>
          </rPr>
          <t>+B ON 又は ACC ON</t>
        </r>
      </text>
    </comment>
    <comment ref="B304" authorId="0" shapeId="0" xr:uid="{00000000-0006-0000-0B00-00002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07" authorId="1" shapeId="0" xr:uid="{00000000-0006-0000-0B00-00002A000000}">
      <text>
        <r>
          <rPr>
            <b/>
            <sz val="9"/>
            <color indexed="81"/>
            <rFont val="MS P ゴシック"/>
            <family val="3"/>
            <charset val="128"/>
          </rPr>
          <t xml:space="preserve">リモート送信条件成立：IG ON 且つ PTS ONが15[s]以上
</t>
        </r>
      </text>
    </comment>
    <comment ref="E307" authorId="1" shapeId="0" xr:uid="{00000000-0006-0000-0B00-00002B000000}">
      <text>
        <r>
          <rPr>
            <b/>
            <sz val="9"/>
            <color indexed="81"/>
            <rFont val="MS P ゴシック"/>
            <family val="3"/>
            <charset val="128"/>
          </rPr>
          <t xml:space="preserve">IG ON 且つ ST OFF
</t>
        </r>
      </text>
    </comment>
    <comment ref="F307" authorId="1" shapeId="0" xr:uid="{00000000-0006-0000-0B00-00002C000000}">
      <text>
        <r>
          <rPr>
            <b/>
            <sz val="9"/>
            <color indexed="81"/>
            <rFont val="MS P ゴシック"/>
            <family val="3"/>
            <charset val="128"/>
          </rPr>
          <t>IG ON</t>
        </r>
      </text>
    </comment>
    <comment ref="G307" authorId="1" shapeId="0" xr:uid="{00000000-0006-0000-0B00-00002D000000}">
      <text>
        <r>
          <rPr>
            <b/>
            <sz val="9"/>
            <color indexed="81"/>
            <rFont val="MS P ゴシック"/>
            <family val="3"/>
            <charset val="128"/>
          </rPr>
          <t xml:space="preserve">IG OFF 且つ IG OFF後25[m]未満
</t>
        </r>
      </text>
    </comment>
    <comment ref="H307" authorId="1" shapeId="0" xr:uid="{00000000-0006-0000-0B00-00002E000000}">
      <text>
        <r>
          <rPr>
            <b/>
            <sz val="9"/>
            <color indexed="81"/>
            <rFont val="MS P ゴシック"/>
            <family val="3"/>
            <charset val="128"/>
          </rPr>
          <t xml:space="preserve">IG OFF
</t>
        </r>
      </text>
    </comment>
    <comment ref="I307" authorId="1" shapeId="0" xr:uid="{00000000-0006-0000-0B00-00002F000000}">
      <text>
        <r>
          <rPr>
            <b/>
            <sz val="9"/>
            <color indexed="81"/>
            <rFont val="MS P ゴシック"/>
            <family val="3"/>
            <charset val="128"/>
          </rPr>
          <t xml:space="preserve">IG ON 又は IG OFF後25[m]未満
</t>
        </r>
      </text>
    </comment>
    <comment ref="J307" authorId="1" shapeId="0" xr:uid="{00000000-0006-0000-0B00-00003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<sst xmlns="http://schemas.openxmlformats.org/spreadsheetml/2006/main" count="15799" uniqueCount="545">
  <si>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</si>
  <si>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</si>
  <si>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</si>
  <si>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</si>
  <si>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</si>
  <si>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</si>
  <si>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</si>
  <si>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</si>
  <si>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</si>
  <si>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</si>
  <si>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</si>
  <si>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</si>
  <si>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</si>
  <si>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</si>
  <si>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</si>
  <si>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</si>
  <si>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</si>
  <si>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</si>
  <si>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</si>
  <si>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</si>
  <si>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</si>
  <si>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</si>
  <si>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</si>
  <si>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</si>
  <si>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</si>
  <si>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</si>
  <si>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</si>
  <si>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</si>
  <si>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</si>
  <si>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</si>
  <si>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</si>
  <si>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</si>
  <si>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</si>
  <si>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</si>
  <si>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</si>
  <si>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</si>
  <si>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</si>
  <si>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</si>
  <si>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</si>
  <si>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</si>
  <si>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</si>
  <si>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</si>
  <si>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</si>
  <si>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</si>
  <si>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</si>
  <si>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</si>
  <si>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</si>
  <si>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</si>
  <si>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</si>
  <si>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</si>
  <si>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</si>
  <si>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</si>
  <si>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</si>
  <si>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</si>
  <si>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</si>
  <si>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</si>
  <si>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</si>
  <si>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</si>
  <si>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</si>
  <si>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</si>
  <si>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</si>
  <si>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</si>
  <si>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</si>
  <si>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</si>
  <si>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</si>
  <si>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</si>
  <si>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</si>
  <si>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</si>
  <si>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</si>
  <si>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</si>
  <si>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</si>
  <si>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</si>
  <si>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</si>
  <si>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</si>
  <si>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</si>
  <si>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</si>
  <si>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</si>
  <si>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</si>
  <si>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</si>
  <si>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</si>
  <si>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</si>
  <si>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</si>
  <si>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</si>
  <si>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</si>
  <si>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</si>
  <si>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</si>
  <si>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</si>
  <si>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</si>
  <si>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</si>
  <si>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</si>
  <si>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</si>
  <si>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</si>
  <si>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</si>
  <si>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</si>
  <si>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</si>
  <si>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</si>
  <si>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</si>
  <si>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</si>
  <si>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</si>
  <si>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</si>
  <si>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</si>
  <si>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</si>
  <si>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</si>
  <si>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</si>
  <si>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</si>
  <si>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</si>
  <si>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</si>
  <si>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</si>
  <si>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</si>
  <si>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</si>
  <si>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</si>
  <si>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</si>
  <si>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</si>
  <si>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</si>
  <si>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</si>
  <si>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</si>
  <si>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</si>
  <si>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</si>
  <si>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</si>
  <si>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</si>
  <si>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</si>
  <si>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</si>
  <si>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</si>
  <si>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</si>
  <si>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</si>
  <si>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</si>
  <si>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</si>
  <si>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SINGLE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</si>
  <si>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</si>
  <si>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</si>
  <si>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</si>
  <si>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</si>
  <si>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</si>
  <si>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</si>
  <si>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</si>
  <si>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</si>
  <si>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</si>
  <si>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</si>
  <si>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</si>
  <si>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</si>
  <si>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</si>
  <si>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</si>
  <si>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</si>
  <si>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</si>
  <si>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</si>
  <si>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</si>
  <si>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</si>
  <si>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</si>
  <si>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</si>
  <si>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</si>
  <si>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</si>
  <si>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</si>
  <si>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</si>
  <si>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</si>
  <si>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</si>
  <si>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</si>
  <si>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</si>
  <si>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</si>
  <si>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</si>
  <si>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</si>
  <si>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</si>
  <si>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</si>
  <si>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</si>
  <si>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</si>
  <si>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</si>
  <si>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</si>
  <si>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</si>
  <si>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</si>
  <si>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</si>
  <si>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</si>
  <si>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</si>
  <si>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</si>
  <si>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</si>
  <si>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</si>
  <si>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</si>
  <si>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</si>
  <si>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</si>
  <si>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</si>
  <si>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</si>
  <si>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</si>
  <si>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</si>
  <si>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</si>
  <si>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</si>
  <si>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</si>
  <si>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</si>
  <si>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</si>
  <si>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</si>
  <si>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</si>
  <si>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</si>
  <si>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</si>
  <si>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</si>
  <si>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</si>
  <si>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</si>
  <si>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</si>
  <si>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</si>
  <si>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NULL</t>
  </si>
  <si>
    <t>ON(白)</t>
  </si>
  <si>
    <t>ON(緑)</t>
  </si>
  <si>
    <t>Table Type</t>
    <phoneticPr fontId="2"/>
  </si>
  <si>
    <t>Index</t>
  </si>
  <si>
    <t>入力</t>
    <phoneticPr fontId="2"/>
  </si>
  <si>
    <t>REQ</t>
    <phoneticPr fontId="2"/>
  </si>
  <si>
    <t>Vehicle Operation Mode</t>
    <phoneticPr fontId="2"/>
  </si>
  <si>
    <t>-</t>
    <phoneticPr fontId="2"/>
  </si>
  <si>
    <t>-</t>
    <phoneticPr fontId="2"/>
  </si>
  <si>
    <t>-</t>
    <phoneticPr fontId="2"/>
  </si>
  <si>
    <t>ALERT_VOM_IGN_ON</t>
    <phoneticPr fontId="2"/>
  </si>
  <si>
    <t>VOM</t>
    <phoneticPr fontId="2"/>
  </si>
  <si>
    <t>DS11S37</t>
    <phoneticPr fontId="2"/>
  </si>
  <si>
    <t>RWT_EN</t>
    <phoneticPr fontId="2"/>
  </si>
  <si>
    <t>VCS_ON</t>
    <phoneticPr fontId="2"/>
  </si>
  <si>
    <t>IGN_ON</t>
    <phoneticPr fontId="2"/>
  </si>
  <si>
    <t>IGN_OFF_WT</t>
    <phoneticPr fontId="2"/>
  </si>
  <si>
    <t>IGN_OFF</t>
    <phoneticPr fontId="2"/>
  </si>
  <si>
    <t>BAT_WT</t>
    <phoneticPr fontId="2"/>
  </si>
  <si>
    <t>BAT_AO</t>
    <phoneticPr fontId="2"/>
  </si>
  <si>
    <t>DS11S37_STS</t>
    <phoneticPr fontId="2"/>
  </si>
  <si>
    <t>0b/
1b</t>
    <phoneticPr fontId="2"/>
  </si>
  <si>
    <t>通常(00b)/
未受信(01b)/
通信途絶(10b)/
未受信通信途絶(11b)</t>
    <phoneticPr fontId="2"/>
  </si>
  <si>
    <t>000b</t>
    <phoneticPr fontId="2"/>
  </si>
  <si>
    <t>UNKNOWN</t>
    <phoneticPr fontId="2"/>
  </si>
  <si>
    <t>001b</t>
    <phoneticPr fontId="2"/>
  </si>
  <si>
    <t>010b</t>
    <phoneticPr fontId="2"/>
  </si>
  <si>
    <t>点灯(緑)</t>
    <rPh sb="0" eb="2">
      <t>テントウ</t>
    </rPh>
    <rPh sb="3" eb="4">
      <t>ミドリ</t>
    </rPh>
    <phoneticPr fontId="2"/>
  </si>
  <si>
    <t>011b</t>
    <phoneticPr fontId="2"/>
  </si>
  <si>
    <t>IG-ON + 通常 + 未定義</t>
    <rPh sb="8" eb="10">
      <t>ツウジョウ</t>
    </rPh>
    <rPh sb="13" eb="16">
      <t>ミテイギ</t>
    </rPh>
    <phoneticPr fontId="2"/>
  </si>
  <si>
    <t>100b</t>
    <phoneticPr fontId="2"/>
  </si>
  <si>
    <t>101b</t>
    <phoneticPr fontId="2"/>
  </si>
  <si>
    <t>UNKNOWN</t>
    <phoneticPr fontId="2"/>
  </si>
  <si>
    <t>110b</t>
    <phoneticPr fontId="2"/>
  </si>
  <si>
    <t>111b</t>
    <phoneticPr fontId="2"/>
  </si>
  <si>
    <t>IG-ON + 未受信 + *</t>
    <rPh sb="8" eb="9">
      <t>ミ</t>
    </rPh>
    <rPh sb="9" eb="11">
      <t>ジュシン</t>
    </rPh>
    <phoneticPr fontId="2"/>
  </si>
  <si>
    <t>***b</t>
    <phoneticPr fontId="2"/>
  </si>
  <si>
    <t>IG-ON + 通信途絶 + *</t>
    <rPh sb="8" eb="10">
      <t>ツウシン</t>
    </rPh>
    <rPh sb="10" eb="12">
      <t>トゼツ</t>
    </rPh>
    <phoneticPr fontId="2"/>
  </si>
  <si>
    <t>***b</t>
    <phoneticPr fontId="2"/>
  </si>
  <si>
    <t>IG-OFF + * + *</t>
    <phoneticPr fontId="2"/>
  </si>
  <si>
    <t>Table Type</t>
    <phoneticPr fontId="2"/>
  </si>
  <si>
    <t>入力</t>
    <phoneticPr fontId="2"/>
  </si>
  <si>
    <t>REQ</t>
    <phoneticPr fontId="2"/>
  </si>
  <si>
    <t>Vehicle Operation Mode</t>
    <phoneticPr fontId="2"/>
  </si>
  <si>
    <t>-</t>
    <phoneticPr fontId="2"/>
  </si>
  <si>
    <t>0000b</t>
    <phoneticPr fontId="2"/>
  </si>
  <si>
    <t>UNKNOWN</t>
    <phoneticPr fontId="2"/>
  </si>
  <si>
    <t>IG-ON + 通常 + 支援キャンセル</t>
    <rPh sb="8" eb="10">
      <t>ツウジョウ</t>
    </rPh>
    <rPh sb="13" eb="15">
      <t>シエン</t>
    </rPh>
    <phoneticPr fontId="2"/>
  </si>
  <si>
    <t>0001b</t>
    <phoneticPr fontId="2"/>
  </si>
  <si>
    <t>0010b</t>
    <phoneticPr fontId="2"/>
  </si>
  <si>
    <t>0011b</t>
    <phoneticPr fontId="2"/>
  </si>
  <si>
    <t>IG-ON + 通常 + 支援開始できない状態</t>
    <rPh sb="8" eb="10">
      <t>ツウジョウ</t>
    </rPh>
    <rPh sb="13" eb="15">
      <t>シエン</t>
    </rPh>
    <rPh sb="15" eb="17">
      <t>カイシ</t>
    </rPh>
    <rPh sb="21" eb="23">
      <t>ジョウタイ</t>
    </rPh>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</si>
  <si>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</si>
  <si>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</si>
  <si>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</si>
  <si>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</si>
  <si>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</si>
  <si>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</si>
  <si>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</si>
  <si>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</si>
  <si>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</si>
  <si>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</si>
  <si>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</si>
  <si>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</si>
  <si>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IG-ON + 未受信通信途絶 + *</t>
    <phoneticPr fontId="2"/>
  </si>
  <si>
    <t>11b</t>
    <phoneticPr fontId="2"/>
  </si>
  <si>
    <t>IG-OFF + * + *</t>
    <phoneticPr fontId="2"/>
  </si>
  <si>
    <t>**b</t>
    <phoneticPr fontId="2"/>
  </si>
  <si>
    <t>DS11S37</t>
    <phoneticPr fontId="2"/>
  </si>
  <si>
    <t>0b</t>
  </si>
  <si>
    <t>0b</t>
    <phoneticPr fontId="2"/>
  </si>
  <si>
    <t>1b</t>
    <phoneticPr fontId="2"/>
  </si>
  <si>
    <t>*b</t>
    <phoneticPr fontId="2"/>
  </si>
  <si>
    <t>通常(0b)/
未受信(1b)</t>
    <phoneticPr fontId="2"/>
  </si>
  <si>
    <t>信号名(データラベル)</t>
    <phoneticPr fontId="2"/>
  </si>
  <si>
    <t>出力無し(0b)/
単発(1b)</t>
    <phoneticPr fontId="2"/>
  </si>
  <si>
    <t>IG-ON + 通常 + 出力無し</t>
    <rPh sb="8" eb="10">
      <t>ツウジョウ</t>
    </rPh>
    <phoneticPr fontId="2"/>
  </si>
  <si>
    <t>IG-ON + 通常 + 単発</t>
    <rPh sb="8" eb="10">
      <t>ツウジョウ</t>
    </rPh>
    <phoneticPr fontId="2"/>
  </si>
  <si>
    <t>0b</t>
    <phoneticPr fontId="2"/>
  </si>
  <si>
    <t>1b</t>
    <phoneticPr fontId="2"/>
  </si>
  <si>
    <t>*b</t>
    <phoneticPr fontId="2"/>
  </si>
  <si>
    <t>*b</t>
    <phoneticPr fontId="2"/>
  </si>
  <si>
    <t>TT</t>
    <phoneticPr fontId="2"/>
  </si>
  <si>
    <t>BC</t>
    <phoneticPr fontId="2"/>
  </si>
  <si>
    <t>-/
単発</t>
    <phoneticPr fontId="2"/>
  </si>
  <si>
    <t>単発</t>
    <rPh sb="0" eb="2">
      <t>タンパツ</t>
    </rPh>
    <phoneticPr fontId="2"/>
  </si>
  <si>
    <t>SINGLE</t>
    <phoneticPr fontId="2"/>
  </si>
  <si>
    <t>UNKNOWN/
SINGLE</t>
    <phoneticPr fontId="2"/>
  </si>
  <si>
    <t>-/
2連発</t>
    <phoneticPr fontId="2"/>
  </si>
  <si>
    <t>2連発</t>
    <rPh sb="1" eb="3">
      <t>レンパツ</t>
    </rPh>
    <phoneticPr fontId="2"/>
  </si>
  <si>
    <t>DOUBLE</t>
  </si>
  <si>
    <t>DOUBLE</t>
    <phoneticPr fontId="2"/>
  </si>
  <si>
    <t>UNKNOWN/
DOUBLE</t>
    <phoneticPr fontId="2"/>
  </si>
  <si>
    <t>ALERT_CH_S_LCA_BC_CL</t>
    <phoneticPr fontId="2"/>
  </si>
  <si>
    <t>出力無し(0b)/
2連発(1b)</t>
    <phoneticPr fontId="2"/>
  </si>
  <si>
    <t>IG-ON + 通常 + 2連発</t>
    <rPh sb="8" eb="10">
      <t>ツウジョウ</t>
    </rPh>
    <phoneticPr fontId="2"/>
  </si>
  <si>
    <t>ALERT_CH_S_LCA_BC_VC</t>
    <phoneticPr fontId="2"/>
  </si>
  <si>
    <t>出力無し(0b)/
断続(1b)</t>
    <phoneticPr fontId="2"/>
  </si>
  <si>
    <t>IG-ON + 通常 + 断続</t>
    <rPh sb="8" eb="10">
      <t>ツウジョウ</t>
    </rPh>
    <phoneticPr fontId="2"/>
  </si>
  <si>
    <t>-/
断続</t>
    <phoneticPr fontId="2"/>
  </si>
  <si>
    <t>断続</t>
    <rPh sb="0" eb="2">
      <t>ダンゾク</t>
    </rPh>
    <phoneticPr fontId="2"/>
  </si>
  <si>
    <t>ALERT_CH_S_LCA_BC_RQ</t>
    <phoneticPr fontId="2"/>
  </si>
  <si>
    <t>00b</t>
    <phoneticPr fontId="2"/>
  </si>
  <si>
    <t>01b</t>
    <phoneticPr fontId="2"/>
  </si>
  <si>
    <t>**b</t>
    <phoneticPr fontId="2"/>
  </si>
  <si>
    <t>IG-ON + 通常 + 表示無し</t>
    <rPh sb="8" eb="10">
      <t>ツウジョウ</t>
    </rPh>
    <rPh sb="13" eb="15">
      <t>ヒョウジ</t>
    </rPh>
    <rPh sb="15" eb="16">
      <t>ナ</t>
    </rPh>
    <phoneticPr fontId="2"/>
  </si>
  <si>
    <t>IG-ON + 通常 + 未定義</t>
    <rPh sb="8" eb="10">
      <t>ツウジョウ</t>
    </rPh>
    <rPh sb="13" eb="14">
      <t>ミ</t>
    </rPh>
    <rPh sb="14" eb="16">
      <t>テイギ</t>
    </rPh>
    <phoneticPr fontId="2"/>
  </si>
  <si>
    <t>IG-ON + 通常 + 未定義</t>
    <rPh sb="8" eb="10">
      <t>ツウジョウ</t>
    </rPh>
    <phoneticPr fontId="2"/>
  </si>
  <si>
    <t>UNAVLBL1</t>
  </si>
  <si>
    <t>UNAVLBL1</t>
    <phoneticPr fontId="2"/>
  </si>
  <si>
    <t>UNAVLBL2</t>
  </si>
  <si>
    <t>UNAVLBL2</t>
    <phoneticPr fontId="2"/>
  </si>
  <si>
    <t>UNAVLBL3</t>
  </si>
  <si>
    <t>UNAVLBL3</t>
    <phoneticPr fontId="2"/>
  </si>
  <si>
    <t>表示無し(0000b)/
レーンチェンジ提案中(0101b)/
レーンチェンジ提案中(0110b)/
システムOn提案(0111b)/
未定義(上記以外)</t>
    <rPh sb="68" eb="71">
      <t>ミテイギ</t>
    </rPh>
    <rPh sb="72" eb="74">
      <t>ジョウキ</t>
    </rPh>
    <rPh sb="74" eb="76">
      <t>イガイ</t>
    </rPh>
    <phoneticPr fontId="2"/>
  </si>
  <si>
    <t>IG-ON + 通常 + レーンチェンジ提案中</t>
    <rPh sb="8" eb="10">
      <t>ツウジョウ</t>
    </rPh>
    <rPh sb="20" eb="22">
      <t>テイアン</t>
    </rPh>
    <rPh sb="22" eb="23">
      <t>チュウ</t>
    </rPh>
    <phoneticPr fontId="2"/>
  </si>
  <si>
    <t>IG-ON + 通常 + システムOn提案</t>
    <rPh sb="8" eb="10">
      <t>ツウジョウ</t>
    </rPh>
    <phoneticPr fontId="2"/>
  </si>
  <si>
    <t>UNKNOWN/
SGST1/
SGST2/
SGST3</t>
    <phoneticPr fontId="2"/>
  </si>
  <si>
    <t>SGST3</t>
  </si>
  <si>
    <t>SGST1</t>
  </si>
  <si>
    <t>SGST1</t>
    <phoneticPr fontId="2"/>
  </si>
  <si>
    <t>SGST2</t>
  </si>
  <si>
    <t>SGST2</t>
    <phoneticPr fontId="2"/>
  </si>
  <si>
    <t>BC_RQ</t>
  </si>
  <si>
    <t>BC_CL</t>
  </si>
  <si>
    <t>BC_VC</t>
  </si>
  <si>
    <t>IG-ON + 通常 + 手放し状態</t>
    <rPh sb="8" eb="10">
      <t>ツウジョウ</t>
    </rPh>
    <rPh sb="13" eb="15">
      <t>テバナ</t>
    </rPh>
    <rPh sb="16" eb="18">
      <t>ジョウタイ</t>
    </rPh>
    <phoneticPr fontId="2"/>
  </si>
  <si>
    <t>****b</t>
  </si>
  <si>
    <t>****b</t>
    <phoneticPr fontId="2"/>
  </si>
  <si>
    <t>■CH構成</t>
    <rPh sb="3" eb="5">
      <t>コウセイ</t>
    </rPh>
    <phoneticPr fontId="21"/>
  </si>
  <si>
    <t>表示先</t>
    <rPh sb="0" eb="2">
      <t>ヒョウジ</t>
    </rPh>
    <rPh sb="2" eb="3">
      <t>サキ</t>
    </rPh>
    <phoneticPr fontId="21"/>
  </si>
  <si>
    <t>シグナル</t>
    <phoneticPr fontId="21"/>
  </si>
  <si>
    <t>値</t>
    <rPh sb="0" eb="1">
      <t>アタイ</t>
    </rPh>
    <phoneticPr fontId="21"/>
  </si>
  <si>
    <t>フレーム</t>
    <phoneticPr fontId="21"/>
  </si>
  <si>
    <t>振る舞い</t>
    <rPh sb="0" eb="1">
      <t>フ</t>
    </rPh>
    <rPh sb="2" eb="3">
      <t>マ</t>
    </rPh>
    <phoneticPr fontId="21"/>
  </si>
  <si>
    <t>フェール処理</t>
    <rPh sb="4" eb="6">
      <t>ショリ</t>
    </rPh>
    <phoneticPr fontId="21"/>
  </si>
  <si>
    <t>RW</t>
    <phoneticPr fontId="21"/>
  </si>
  <si>
    <t>REQ</t>
    <phoneticPr fontId="21"/>
  </si>
  <si>
    <t>CH</t>
    <phoneticPr fontId="21"/>
  </si>
  <si>
    <t>TT</t>
    <phoneticPr fontId="21"/>
  </si>
  <si>
    <t>LCAINDI</t>
    <phoneticPr fontId="21"/>
  </si>
  <si>
    <t>001b</t>
    <phoneticPr fontId="21"/>
  </si>
  <si>
    <t>DS11S37</t>
    <phoneticPr fontId="21"/>
  </si>
  <si>
    <t>点灯(白)</t>
  </si>
  <si>
    <t>最終状態保持</t>
    <rPh sb="0" eb="2">
      <t>サイシュウ</t>
    </rPh>
    <rPh sb="2" eb="4">
      <t>ジョウタイ</t>
    </rPh>
    <rPh sb="4" eb="6">
      <t>ホジ</t>
    </rPh>
    <phoneticPr fontId="21"/>
  </si>
  <si>
    <t>TT</t>
    <phoneticPr fontId="21"/>
  </si>
  <si>
    <t>010b</t>
    <phoneticPr fontId="21"/>
  </si>
  <si>
    <t>点灯(緑)</t>
  </si>
  <si>
    <t>011b</t>
    <phoneticPr fontId="21"/>
  </si>
  <si>
    <t>点灯(アンバー)</t>
  </si>
  <si>
    <t>BZR</t>
    <phoneticPr fontId="21"/>
  </si>
  <si>
    <t>LCSRQBZ</t>
    <phoneticPr fontId="21"/>
  </si>
  <si>
    <t>Other than 1b -&gt; 1b</t>
    <phoneticPr fontId="21"/>
  </si>
  <si>
    <t>単発</t>
    <phoneticPr fontId="21"/>
  </si>
  <si>
    <t>SINGLE</t>
    <phoneticPr fontId="21"/>
  </si>
  <si>
    <t>BC_RQ</t>
    <phoneticPr fontId="21"/>
  </si>
  <si>
    <t>LCANGBZ</t>
    <phoneticPr fontId="21"/>
  </si>
  <si>
    <t>DS11S37</t>
    <phoneticPr fontId="21"/>
  </si>
  <si>
    <t>2連発</t>
    <phoneticPr fontId="21"/>
  </si>
  <si>
    <t>DOUBLE</t>
    <phoneticPr fontId="21"/>
  </si>
  <si>
    <t>BC_CL</t>
    <phoneticPr fontId="21"/>
  </si>
  <si>
    <t>LCAVCBZ</t>
    <phoneticPr fontId="21"/>
  </si>
  <si>
    <t>1b</t>
    <phoneticPr fontId="21"/>
  </si>
  <si>
    <t>DS11S37</t>
    <phoneticPr fontId="21"/>
  </si>
  <si>
    <t>断続</t>
    <phoneticPr fontId="21"/>
  </si>
  <si>
    <t>BC_VC</t>
    <phoneticPr fontId="21"/>
  </si>
  <si>
    <t>MID</t>
    <phoneticPr fontId="21"/>
  </si>
  <si>
    <t>LCAMSG</t>
    <phoneticPr fontId="21"/>
  </si>
  <si>
    <t>0001b</t>
    <phoneticPr fontId="21"/>
  </si>
  <si>
    <t>DS11S37</t>
    <phoneticPr fontId="21"/>
  </si>
  <si>
    <t>S_LCA-CSTD-1-MEF01-REQ02-</t>
  </si>
  <si>
    <t>0000b</t>
    <phoneticPr fontId="21"/>
  </si>
  <si>
    <t>0010b</t>
    <phoneticPr fontId="21"/>
  </si>
  <si>
    <t>-</t>
    <phoneticPr fontId="21"/>
  </si>
  <si>
    <t>0000b</t>
    <phoneticPr fontId="21"/>
  </si>
  <si>
    <t>MALFUNC</t>
    <phoneticPr fontId="21"/>
  </si>
  <si>
    <t>0100b</t>
    <phoneticPr fontId="21"/>
  </si>
  <si>
    <t>S_LCA-CSTD-1-MEF01-REQ03-</t>
  </si>
  <si>
    <t>0000b</t>
    <phoneticPr fontId="21"/>
  </si>
  <si>
    <t>UNAVLBL1</t>
    <phoneticPr fontId="21"/>
  </si>
  <si>
    <t>0101b</t>
    <phoneticPr fontId="21"/>
  </si>
  <si>
    <t>S_LCA-CSTD-1-MEF01-REQ04-</t>
  </si>
  <si>
    <t>UNAVLBL2</t>
    <phoneticPr fontId="21"/>
  </si>
  <si>
    <t>0110b</t>
    <phoneticPr fontId="21"/>
  </si>
  <si>
    <t>S_LCA-CSTD-1-MEF01-REQ05-</t>
  </si>
  <si>
    <t>UNAVLBL3</t>
    <phoneticPr fontId="21"/>
  </si>
  <si>
    <t>1000b</t>
    <phoneticPr fontId="21"/>
  </si>
  <si>
    <t>S_LCA-CSTD-1-MEF01-REQ14-</t>
  </si>
  <si>
    <t>LCASGIND</t>
    <phoneticPr fontId="21"/>
  </si>
  <si>
    <t>0101b</t>
    <phoneticPr fontId="21"/>
  </si>
  <si>
    <t>DS11S37</t>
    <phoneticPr fontId="21"/>
  </si>
  <si>
    <t>S_LCA-CSTD-1-MEF01-REQ11-</t>
    <phoneticPr fontId="21"/>
  </si>
  <si>
    <t>0000b</t>
    <phoneticPr fontId="21"/>
  </si>
  <si>
    <t>SGST1</t>
    <phoneticPr fontId="21"/>
  </si>
  <si>
    <t>0110b</t>
    <phoneticPr fontId="21"/>
  </si>
  <si>
    <t>S_LCA-CSTD-1-MEF01-REQ12-</t>
  </si>
  <si>
    <t>SGST2</t>
    <phoneticPr fontId="21"/>
  </si>
  <si>
    <t>0111b</t>
    <phoneticPr fontId="21"/>
  </si>
  <si>
    <t>S_LCA-CSTD-1-MEF01-REQ13-</t>
  </si>
  <si>
    <t>SGST3</t>
    <phoneticPr fontId="21"/>
  </si>
  <si>
    <t>PD_MG</t>
    <phoneticPr fontId="21"/>
  </si>
  <si>
    <t>ALERT_CH_S_LCA_PD_MG</t>
    <phoneticPr fontId="2"/>
  </si>
  <si>
    <t>ALERT_CH_S_LCA_PD_SG</t>
    <phoneticPr fontId="2"/>
  </si>
  <si>
    <t>エッジ判定不要</t>
    <rPh sb="3" eb="5">
      <t>ハンテイ</t>
    </rPh>
    <rPh sb="5" eb="7">
      <t>フヨウ</t>
    </rPh>
    <phoneticPr fontId="2"/>
  </si>
  <si>
    <t>memo1</t>
    <phoneticPr fontId="21"/>
  </si>
  <si>
    <t>memo2</t>
    <phoneticPr fontId="2"/>
  </si>
  <si>
    <t>PD_MG</t>
    <phoneticPr fontId="2"/>
  </si>
  <si>
    <t>PD_SG</t>
    <phoneticPr fontId="21"/>
  </si>
  <si>
    <t>PD_SG</t>
    <phoneticPr fontId="2"/>
  </si>
  <si>
    <t>CYCL</t>
    <phoneticPr fontId="2"/>
  </si>
  <si>
    <t>CYCL</t>
    <phoneticPr fontId="2"/>
  </si>
  <si>
    <t>UNKNOWN/
CYCL</t>
    <phoneticPr fontId="2"/>
  </si>
  <si>
    <t>CYCL</t>
    <phoneticPr fontId="21"/>
  </si>
  <si>
    <t>LCAW</t>
    <phoneticPr fontId="21"/>
  </si>
  <si>
    <t>×</t>
  </si>
  <si>
    <t>×</t>
    <phoneticPr fontId="2"/>
  </si>
  <si>
    <t>CYCL</t>
  </si>
  <si>
    <t>DS11S37_STS</t>
    <phoneticPr fontId="2"/>
  </si>
  <si>
    <t>NTHOLD</t>
  </si>
  <si>
    <t>NTHOLD</t>
    <phoneticPr fontId="2"/>
  </si>
  <si>
    <t>NTHOLD</t>
    <phoneticPr fontId="21"/>
  </si>
  <si>
    <t>CANCEL</t>
  </si>
  <si>
    <t>CANCEL</t>
    <phoneticPr fontId="21"/>
  </si>
  <si>
    <t>ON_W</t>
  </si>
  <si>
    <t>ON_W</t>
    <phoneticPr fontId="21"/>
  </si>
  <si>
    <t>ON_G</t>
  </si>
  <si>
    <t>ON_G</t>
    <phoneticPr fontId="21"/>
  </si>
  <si>
    <t>ON_A</t>
    <phoneticPr fontId="2"/>
  </si>
  <si>
    <t>消灯(000b)/
点灯(白)(001b)/
点灯(緑)(010b)/
点灯(アンバー)(011b)/
未定義(上記以外)</t>
    <rPh sb="0" eb="2">
      <t>ショウトウ</t>
    </rPh>
    <rPh sb="23" eb="25">
      <t>テントウ</t>
    </rPh>
    <rPh sb="26" eb="27">
      <t>ミドリ</t>
    </rPh>
    <rPh sb="52" eb="55">
      <t>ミテイギ</t>
    </rPh>
    <rPh sb="56" eb="58">
      <t>ジョウキ</t>
    </rPh>
    <rPh sb="58" eb="60">
      <t>イガイ</t>
    </rPh>
    <phoneticPr fontId="2"/>
  </si>
  <si>
    <t>IG-ON + 通常 + 点灯(アンバー)</t>
    <rPh sb="8" eb="10">
      <t>ツウジョウ</t>
    </rPh>
    <phoneticPr fontId="2"/>
  </si>
  <si>
    <t>IG-ON + 通常 + 点灯(緑)</t>
    <rPh sb="8" eb="10">
      <t>ツウジョウ</t>
    </rPh>
    <rPh sb="13" eb="15">
      <t>テントウ</t>
    </rPh>
    <rPh sb="16" eb="17">
      <t>ミドリ</t>
    </rPh>
    <phoneticPr fontId="2"/>
  </si>
  <si>
    <t>IG-ON + 通常 + 点灯(白)</t>
    <rPh sb="8" eb="10">
      <t>ツウジョウ</t>
    </rPh>
    <phoneticPr fontId="2"/>
  </si>
  <si>
    <t>IG-ON + 通常 + 消灯</t>
    <rPh sb="8" eb="10">
      <t>ツウジョウ</t>
    </rPh>
    <phoneticPr fontId="2"/>
  </si>
  <si>
    <t>RW</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</si>
  <si>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</si>
  <si>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</si>
  <si>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</si>
  <si>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LCSRQBZ_SIG</t>
    <phoneticPr fontId="2"/>
  </si>
  <si>
    <t>LCANGBZ_SIG</t>
    <phoneticPr fontId="2"/>
  </si>
  <si>
    <t>LCAVCBZ_SIG</t>
    <phoneticPr fontId="2"/>
  </si>
  <si>
    <t>LCAMSG_SIG</t>
    <phoneticPr fontId="2"/>
  </si>
  <si>
    <t>LCASGIND_SIG</t>
    <phoneticPr fontId="2"/>
  </si>
  <si>
    <t>DS11S37_STS</t>
    <phoneticPr fontId="24"/>
  </si>
  <si>
    <t>-</t>
    <phoneticPr fontId="2"/>
  </si>
  <si>
    <r>
      <t>-/
REQ</t>
    </r>
    <r>
      <rPr>
        <sz val="11"/>
        <rFont val="ＭＳ Ｐゴシック"/>
        <family val="3"/>
        <charset val="128"/>
        <scheme val="minor"/>
      </rPr>
      <t>15/
REQ16/
REQ17</t>
    </r>
    <phoneticPr fontId="2"/>
  </si>
  <si>
    <t>REQ15</t>
    <phoneticPr fontId="2"/>
  </si>
  <si>
    <t>REQ16</t>
    <phoneticPr fontId="2"/>
  </si>
  <si>
    <t>REQ17</t>
    <phoneticPr fontId="2"/>
  </si>
  <si>
    <t>レーンチェンジアシスト BC_RQ判定</t>
    <rPh sb="17" eb="19">
      <t>ハンテイ</t>
    </rPh>
    <phoneticPr fontId="2"/>
  </si>
  <si>
    <t>レーンチェンジアシスト BC_CL判定</t>
    <rPh sb="17" eb="19">
      <t>ハンテイ</t>
    </rPh>
    <phoneticPr fontId="2"/>
  </si>
  <si>
    <t>レーンチェンジアシスト BC_VC判定</t>
    <rPh sb="17" eb="19">
      <t>ハンテイ</t>
    </rPh>
    <phoneticPr fontId="2"/>
  </si>
  <si>
    <t>レーンチェンジアシスト PD_MG判定</t>
    <rPh sb="17" eb="19">
      <t>ハンテイ</t>
    </rPh>
    <phoneticPr fontId="2"/>
  </si>
  <si>
    <t>レーンチェンジアシスト PD_SG判定</t>
    <rPh sb="17" eb="19">
      <t>ハンテイ</t>
    </rPh>
    <phoneticPr fontId="2"/>
  </si>
  <si>
    <t>ON_W</t>
    <phoneticPr fontId="2"/>
  </si>
  <si>
    <t>ON_G</t>
    <phoneticPr fontId="2"/>
  </si>
  <si>
    <t>CANCEL</t>
    <phoneticPr fontId="2"/>
  </si>
  <si>
    <t>SGST3</t>
    <phoneticPr fontId="2"/>
  </si>
  <si>
    <t>大藤</t>
    <rPh sb="0" eb="2">
      <t>オオフジ</t>
    </rPh>
    <phoneticPr fontId="2"/>
  </si>
  <si>
    <t>REQ20,REQ21</t>
    <phoneticPr fontId="2"/>
  </si>
  <si>
    <t>新規作成(流用元：alert_S_LCA-CSTD-1-05-A-C0.xlsx  ※840B CV)
050D　CV対応
[Matrix]シート
・対象仕様書およびロケーションを変更
[CH_Design]シート
S_LCA-CSTD-1-MEF01-REQ14-/S_LCA-CSTD-1-MEF01-REQ19-(HUD用)を
S_LCA-CSTD-1-MEF01-REQ20-/S_LCA-CSTD-1-MEF01-REQ21-(HUD用)に変更
[Reference]シート
・キャプチャ更新
・レーンチェンジアシスト PD_MG判定の真理値表のREQ14,REQ19をREQ20,REQ21に変更</t>
    <rPh sb="0" eb="4">
      <t>シンキサクセイ</t>
    </rPh>
    <rPh sb="5" eb="8">
      <t>リュウヨウモト</t>
    </rPh>
    <rPh sb="226" eb="228">
      <t>ヘンコウ</t>
    </rPh>
    <rPh sb="250" eb="252">
      <t>コウシン</t>
    </rPh>
    <rPh sb="274" eb="278">
      <t>シンリチヒョウ</t>
    </rPh>
    <rPh sb="303" eb="305">
      <t>ヘンコウ</t>
    </rPh>
    <phoneticPr fontId="2"/>
  </si>
  <si>
    <t>1.1.0</t>
  </si>
  <si>
    <t>臼井</t>
    <rPh sb="0" eb="2">
      <t>ウスイ</t>
    </rPh>
    <phoneticPr fontId="2"/>
  </si>
  <si>
    <t>1.2.0</t>
    <phoneticPr fontId="2"/>
  </si>
  <si>
    <t>840B MPT対応
[Matrix]シート
・ロケーション変更
・対象仕様書変更
・LCAW送信条件から、LCAINDIが削除されたため、RW送信を無しに変更
[CH_Design]シート
・LCAW送信条件から、LCAINDIが削除されたため、RW送信を無しに変更
[RW]シート
・LCAWの送信削除に伴い削除
[Reference]シート
・LCAW送信条件から、LCAINDIが削除されたため、RW送信を無しに変更
・RW仕様書のキャプチャ貼り替え</t>
    <rPh sb="39" eb="41">
      <t>ヘンコウ</t>
    </rPh>
    <rPh sb="47" eb="51">
      <t>ソウシンジョウケン</t>
    </rPh>
    <rPh sb="62" eb="64">
      <t>サクジョ</t>
    </rPh>
    <rPh sb="72" eb="74">
      <t>ソウシン</t>
    </rPh>
    <rPh sb="75" eb="76">
      <t>ナ</t>
    </rPh>
    <rPh sb="78" eb="80">
      <t>ヘンコウ</t>
    </rPh>
    <rPh sb="156" eb="158">
      <t>サクジョ</t>
    </rPh>
    <rPh sb="216" eb="219">
      <t>シヨウショ</t>
    </rPh>
    <rPh sb="225" eb="226">
      <t>ハ</t>
    </rPh>
    <rPh sb="227" eb="228">
      <t>カ</t>
    </rPh>
    <phoneticPr fontId="2"/>
  </si>
  <si>
    <t>840B MPT対応（流用元：alert_S_LCA-CSTD-1-06-A-C0.xlsx 840B MPT）
[Matrix]シート
・ロケーション変更
・対象仕様書変更
[CH_Design]シート
・HUD用MIDのREQ26～REQ28対応
[Reference]シート
・キャプチャ貼り替え(MID)</t>
    <rPh sb="11" eb="14">
      <t>リュウヨウモト</t>
    </rPh>
    <rPh sb="85" eb="87">
      <t>ヘンコウ</t>
    </rPh>
    <rPh sb="107" eb="108">
      <t>ヨウ</t>
    </rPh>
    <rPh sb="123" eb="125">
      <t>タイオウ</t>
    </rPh>
    <rPh sb="147" eb="148">
      <t>ハ</t>
    </rPh>
    <rPh sb="149" eb="150">
      <t>カ</t>
    </rPh>
    <phoneticPr fontId="2"/>
  </si>
  <si>
    <t>1.3.0</t>
    <phoneticPr fontId="2"/>
  </si>
  <si>
    <t>中西</t>
    <rPh sb="0" eb="2">
      <t>ナカニシ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</si>
  <si>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</si>
  <si>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</si>
  <si>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</si>
  <si>
    <t xml:space="preserve">    {</t>
  </si>
  <si>
    <t xml:space="preserve">    }</t>
  </si>
  <si>
    <t>};</t>
  </si>
  <si>
    <t>REQ03,REQ26</t>
    <phoneticPr fontId="2"/>
  </si>
  <si>
    <t>REQ04,REQ27</t>
    <phoneticPr fontId="2"/>
  </si>
  <si>
    <t>REQ05,REQ28</t>
    <phoneticPr fontId="2"/>
  </si>
  <si>
    <r>
      <t xml:space="preserve">LaneChangeSupport </t>
    </r>
    <r>
      <rPr>
        <b/>
        <sz val="11"/>
        <rFont val="Meiryo UI"/>
        <family val="3"/>
        <charset val="128"/>
      </rPr>
      <t>R</t>
    </r>
    <r>
      <rPr>
        <sz val="11"/>
        <rFont val="Meiryo UI"/>
        <family val="3"/>
        <charset val="128"/>
      </rPr>
      <t>e</t>
    </r>
    <r>
      <rPr>
        <b/>
        <sz val="11"/>
        <rFont val="Meiryo UI"/>
        <family val="3"/>
        <charset val="128"/>
      </rPr>
      <t>Q</t>
    </r>
    <r>
      <rPr>
        <sz val="11"/>
        <rFont val="Meiryo UI"/>
        <family val="3"/>
        <charset val="128"/>
      </rPr>
      <t>uest acceptance buzzer</t>
    </r>
    <phoneticPr fontId="21"/>
  </si>
  <si>
    <r>
      <t xml:space="preserve">LaneChangeSupport </t>
    </r>
    <r>
      <rPr>
        <b/>
        <sz val="11"/>
        <rFont val="Meiryo UI"/>
        <family val="3"/>
        <charset val="128"/>
      </rPr>
      <t>C</t>
    </r>
    <r>
      <rPr>
        <sz val="11"/>
        <rFont val="Meiryo UI"/>
        <family val="3"/>
        <charset val="128"/>
      </rPr>
      <t>ance</t>
    </r>
    <r>
      <rPr>
        <b/>
        <sz val="11"/>
        <rFont val="Meiryo UI"/>
        <family val="3"/>
        <charset val="128"/>
      </rPr>
      <t>L</t>
    </r>
    <r>
      <rPr>
        <sz val="11"/>
        <rFont val="Meiryo UI"/>
        <family val="3"/>
        <charset val="128"/>
      </rPr>
      <t xml:space="preserve"> buzzer</t>
    </r>
    <phoneticPr fontId="21"/>
  </si>
  <si>
    <r>
      <t xml:space="preserve">LaneChangeSupport </t>
    </r>
    <r>
      <rPr>
        <b/>
        <sz val="11"/>
        <rFont val="Meiryo UI"/>
        <family val="3"/>
        <charset val="128"/>
      </rPr>
      <t>V</t>
    </r>
    <r>
      <rPr>
        <sz val="11"/>
        <rFont val="Meiryo UI"/>
        <family val="3"/>
        <charset val="128"/>
      </rPr>
      <t xml:space="preserve">ehicle </t>
    </r>
    <r>
      <rPr>
        <b/>
        <sz val="11"/>
        <rFont val="Meiryo UI"/>
        <family val="3"/>
        <charset val="128"/>
      </rPr>
      <t>C</t>
    </r>
    <r>
      <rPr>
        <sz val="11"/>
        <rFont val="Meiryo UI"/>
        <family val="3"/>
        <charset val="128"/>
      </rPr>
      <t>aution buzzer</t>
    </r>
    <phoneticPr fontId="21"/>
  </si>
  <si>
    <r>
      <t xml:space="preserve">LCA </t>
    </r>
    <r>
      <rPr>
        <b/>
        <sz val="11"/>
        <rFont val="Meiryo UI"/>
        <family val="3"/>
        <charset val="128"/>
      </rPr>
      <t>M</t>
    </r>
    <r>
      <rPr>
        <sz val="11"/>
        <rFont val="Meiryo UI"/>
        <family val="3"/>
        <charset val="128"/>
      </rPr>
      <t>essa</t>
    </r>
    <r>
      <rPr>
        <b/>
        <sz val="11"/>
        <rFont val="Meiryo UI"/>
        <family val="3"/>
        <charset val="128"/>
      </rPr>
      <t>G</t>
    </r>
    <r>
      <rPr>
        <sz val="11"/>
        <rFont val="Meiryo UI"/>
        <family val="3"/>
        <charset val="128"/>
      </rPr>
      <t>e display</t>
    </r>
    <phoneticPr fontId="2"/>
  </si>
  <si>
    <r>
      <t xml:space="preserve">LCA </t>
    </r>
    <r>
      <rPr>
        <b/>
        <sz val="11"/>
        <rFont val="Meiryo UI"/>
        <family val="3"/>
        <charset val="128"/>
      </rPr>
      <t>S</t>
    </r>
    <r>
      <rPr>
        <sz val="11"/>
        <rFont val="Meiryo UI"/>
        <family val="3"/>
        <charset val="128"/>
      </rPr>
      <t>u</t>
    </r>
    <r>
      <rPr>
        <b/>
        <sz val="11"/>
        <rFont val="Meiryo UI"/>
        <family val="3"/>
        <charset val="128"/>
      </rPr>
      <t>G</t>
    </r>
    <r>
      <rPr>
        <sz val="11"/>
        <rFont val="Meiryo UI"/>
        <family val="3"/>
        <charset val="128"/>
      </rPr>
      <t>gestion indicator</t>
    </r>
    <phoneticPr fontId="2"/>
  </si>
  <si>
    <t>面企画#2 1A対応(流用元:alert_S_LCA-CSTD-1-08-A-C0.xlsx ※840B MPT)
[Matrix]シート
・ロケーション変更
・対象仕様書変更
[CH_Design]シート
・ALERT_CH_S_LCA_PD_MGのUNAVLBL1、UNAVLBL2、UNAVLBL3、NTHOLD、SGST1、SGST2、SGST3のPDについて、Appendix資料内容に関するコメントを追加
[Reference]シート
・キャプチャ更新
・MIDの特別条件のコメント修正
・特別条件の補足資料名をMET-S_LCA-CSTD-1-08-C-C0_Appendix.docxに変更
・Appendix資料内容に関するコメントを追加</t>
    <rPh sb="86" eb="88">
      <t>ヘンコウ</t>
    </rPh>
    <rPh sb="193" eb="195">
      <t>シリョウ</t>
    </rPh>
    <rPh sb="195" eb="197">
      <t>ナイヨウ</t>
    </rPh>
    <rPh sb="198" eb="199">
      <t>カン</t>
    </rPh>
    <rPh sb="206" eb="208">
      <t>ツイカ</t>
    </rPh>
    <rPh sb="238" eb="242">
      <t>トクベツジョウケン</t>
    </rPh>
    <rPh sb="247" eb="249">
      <t>シュウセイ</t>
    </rPh>
    <rPh sb="251" eb="255">
      <t>トクベツジョウケン</t>
    </rPh>
    <rPh sb="256" eb="258">
      <t>ホソク</t>
    </rPh>
    <rPh sb="258" eb="260">
      <t>シリョウ</t>
    </rPh>
    <rPh sb="260" eb="261">
      <t>ナ</t>
    </rPh>
    <rPh sb="301" eb="303">
      <t>ヘンコウ</t>
    </rPh>
    <rPh sb="313" eb="315">
      <t>シリョウ</t>
    </rPh>
    <rPh sb="315" eb="317">
      <t>ナイヨウ</t>
    </rPh>
    <rPh sb="318" eb="319">
      <t>カン</t>
    </rPh>
    <rPh sb="326" eb="328">
      <t>ツイカ</t>
    </rPh>
    <phoneticPr fontId="2"/>
  </si>
  <si>
    <t>1.4.0</t>
    <phoneticPr fontId="2"/>
  </si>
  <si>
    <t>宮本</t>
    <rPh sb="0" eb="2">
      <t>ミヤモト</t>
    </rPh>
    <phoneticPr fontId="2"/>
  </si>
  <si>
    <t>■MET-S_LCA-CSTD-1-09-B-C0_Appendix.docx</t>
    <phoneticPr fontId="24"/>
  </si>
  <si>
    <t>■MET-M_REMWAR-CSTD-1-08-A-C0.xlsx</t>
    <phoneticPr fontId="24"/>
  </si>
  <si>
    <t>https://aip01.dndev.net/bitbucket/scm/AIP_TP_ABROAD/22-24fgm2.git</t>
    <phoneticPr fontId="2"/>
  </si>
  <si>
    <t>面企画#2.5 296D 認証車（流用元：alert_S_LCA-CSTD-1-08-C-C0.xlsx）
[Matrix]
・対象仕様書、ロケーションを更新
[CH_Design]
・CANCELの要求IDを変更(REQ18→29) 　※要求IDの変更のみ
[Reference]
・制御仕様を更新
・真理値表（PD_MG）の要求IDを変更(REQ18→29)</t>
    <rPh sb="77" eb="79">
      <t>コウシン</t>
    </rPh>
    <rPh sb="100" eb="102">
      <t>ヨウキュウ</t>
    </rPh>
    <rPh sb="105" eb="107">
      <t>ヘンコウ</t>
    </rPh>
    <rPh sb="143" eb="145">
      <t>セイギョ</t>
    </rPh>
    <rPh sb="145" eb="147">
      <t>シヨウ</t>
    </rPh>
    <rPh sb="148" eb="150">
      <t>コウシン</t>
    </rPh>
    <phoneticPr fontId="2"/>
  </si>
  <si>
    <t>鈴木大助</t>
    <rPh sb="0" eb="4">
      <t>スズキダイスケ</t>
    </rPh>
    <phoneticPr fontId="2"/>
  </si>
  <si>
    <t>廣部</t>
    <rPh sb="0" eb="2">
      <t>ヒロベ</t>
    </rPh>
    <phoneticPr fontId="2"/>
  </si>
  <si>
    <t>TT_L</t>
    <phoneticPr fontId="2"/>
  </si>
  <si>
    <t>TT_R</t>
    <phoneticPr fontId="2"/>
  </si>
  <si>
    <t>ALERT_CH_S_LCA_TT_L</t>
  </si>
  <si>
    <t>LCSARRLD_SIG</t>
    <phoneticPr fontId="2"/>
  </si>
  <si>
    <t>MET-S_LCA-CSTD-2-00-A-C0.xlsm</t>
    <phoneticPr fontId="2"/>
  </si>
  <si>
    <t>https://aip01.dndev.net/svn/met/toyota/std/rd/spec/19PFver3/tags/00.Product/v0.0.d/</t>
    <phoneticPr fontId="2"/>
  </si>
  <si>
    <t>ON_GY</t>
  </si>
  <si>
    <t>ON_GY</t>
    <phoneticPr fontId="2"/>
  </si>
  <si>
    <t>ON(グレー)</t>
    <phoneticPr fontId="2"/>
  </si>
  <si>
    <t>ALERT_CH_S_LCA_TT_R</t>
  </si>
  <si>
    <t>LCSARRRD_SIG</t>
    <phoneticPr fontId="2"/>
  </si>
  <si>
    <t>AVAIL</t>
  </si>
  <si>
    <t>AVAIL</t>
    <phoneticPr fontId="2"/>
  </si>
  <si>
    <t>S_LCA-CSTD-2-MEF01-REQ30-/S_LCA-CSTD-2-MEF01-REQ31-(HUD用)</t>
    <phoneticPr fontId="2"/>
  </si>
  <si>
    <t>S_LCA-CSTD-2-MEF01-REQ02-/S_LCA-CSTD-2-MEF01-REQ29-(HUD用)</t>
    <rPh sb="55" eb="56">
      <t>ヨウ</t>
    </rPh>
    <phoneticPr fontId="2"/>
  </si>
  <si>
    <t>S_LCA-CSTD-2-MEF01-REQ03-/S_LCA-CSTD-2-MEF01-REQ26-(HUD用)</t>
    <phoneticPr fontId="2"/>
  </si>
  <si>
    <t>S_LCA-CSTD-2-MEF01-REQ04-/S_LCA-CSTD-2-MEF01-REQ27-(HUD用)</t>
    <phoneticPr fontId="2"/>
  </si>
  <si>
    <t>S_LCA-CSTD-2-MEF01-REQ05-/S_LCA-CSTD-2-MEF01-REQ28-(HUD用)</t>
    <phoneticPr fontId="2"/>
  </si>
  <si>
    <t>S_LCA-CSTD-2-MEF01-REQ15-</t>
    <phoneticPr fontId="2"/>
  </si>
  <si>
    <t>S_LCA-CSTD-2-MEF01-REQ16-</t>
    <phoneticPr fontId="2"/>
  </si>
  <si>
    <t>S_LCA-CSTD-2-MEF01-REQ17-</t>
    <phoneticPr fontId="2"/>
  </si>
  <si>
    <t>レーンチェンジアシスト(左) TT判定</t>
    <rPh sb="17" eb="19">
      <t>ハンテイ</t>
    </rPh>
    <phoneticPr fontId="2"/>
  </si>
  <si>
    <t>レーンチェンジアシスト(右) TT判定</t>
    <rPh sb="17" eb="19">
      <t>ハンテイ</t>
    </rPh>
    <phoneticPr fontId="2"/>
  </si>
  <si>
    <t>UNKNOWN/
ON_GY/
ON_W/
ON_G</t>
    <phoneticPr fontId="2"/>
  </si>
  <si>
    <t>ON_GY</t>
    <phoneticPr fontId="24"/>
  </si>
  <si>
    <t>ON_G</t>
    <phoneticPr fontId="24"/>
  </si>
  <si>
    <t>ON_W</t>
    <phoneticPr fontId="24"/>
  </si>
  <si>
    <t>-/
点灯(グレー)/
点灯(白)/
点灯(緑)/</t>
    <phoneticPr fontId="2"/>
  </si>
  <si>
    <t>点灯(グレー)</t>
    <rPh sb="0" eb="2">
      <t>テントウ</t>
    </rPh>
    <phoneticPr fontId="2"/>
  </si>
  <si>
    <t>IG-ON + 通常 + 点灯(白)</t>
    <rPh sb="8" eb="10">
      <t>ツウジョウ</t>
    </rPh>
    <rPh sb="13" eb="15">
      <t>テントウ</t>
    </rPh>
    <rPh sb="16" eb="17">
      <t>シロ</t>
    </rPh>
    <phoneticPr fontId="2"/>
  </si>
  <si>
    <t>IG-ON + 通常 + 点灯(グレー)</t>
    <rPh sb="8" eb="10">
      <t>ツウジョウ</t>
    </rPh>
    <rPh sb="13" eb="15">
      <t>テントウ</t>
    </rPh>
    <phoneticPr fontId="2"/>
  </si>
  <si>
    <t>IG-ON + 通常 + 点灯(緑)</t>
    <rPh sb="8" eb="10">
      <t>ツウジョウ</t>
    </rPh>
    <phoneticPr fontId="2"/>
  </si>
  <si>
    <t>通常(00b)/
未受信(01b)/
途絶(10b)/
未受信・途絶(11b)/</t>
    <rPh sb="19" eb="21">
      <t>トゼツ</t>
    </rPh>
    <phoneticPr fontId="2"/>
  </si>
  <si>
    <t>IG-ON + 途絶 + *</t>
    <rPh sb="8" eb="10">
      <t>トゼツ</t>
    </rPh>
    <phoneticPr fontId="2"/>
  </si>
  <si>
    <t>00b</t>
    <phoneticPr fontId="24"/>
  </si>
  <si>
    <t>01b</t>
    <phoneticPr fontId="24"/>
  </si>
  <si>
    <t>1*b</t>
    <phoneticPr fontId="24"/>
  </si>
  <si>
    <t>ALERT_CH_S_LCA_TT_R</t>
    <phoneticPr fontId="24"/>
  </si>
  <si>
    <t>REQ02,REQ29</t>
    <phoneticPr fontId="2"/>
  </si>
  <si>
    <t>-/
REQ02,REQ29/
REQ03,REQ26/
REQ04,REQ27/
REQ05,REQ28/
REQ20,REQ21/
REQ29/
REQ30,REQ31</t>
    <phoneticPr fontId="2"/>
  </si>
  <si>
    <t>UNKNOWN/
CANCEL/
UNAVLBL1/
UNAVLBL2/
UNAVLBL3/
NTHOLD/
AVAIL</t>
    <phoneticPr fontId="2"/>
  </si>
  <si>
    <t>表示無し(0000b)/
支援キャンセル(0001b)/
支援開始できない状態(0100b)/
支援開始できない状態(0101b)/
支援開始できない状態(0110b)/
手放し状態(1000b)/
OFF→スタンバイへ自動遷移(1001b)/
未定義(上記以外)</t>
    <rPh sb="13" eb="15">
      <t>シエン</t>
    </rPh>
    <rPh sb="29" eb="31">
      <t>シエン</t>
    </rPh>
    <rPh sb="31" eb="33">
      <t>カイシ</t>
    </rPh>
    <rPh sb="37" eb="39">
      <t>ジョウタイ</t>
    </rPh>
    <rPh sb="123" eb="126">
      <t>ミテイギ</t>
    </rPh>
    <rPh sb="127" eb="129">
      <t>ジョウキ</t>
    </rPh>
    <rPh sb="129" eb="131">
      <t>イガイ</t>
    </rPh>
    <phoneticPr fontId="2"/>
  </si>
  <si>
    <t>REQ30,REQ31</t>
    <phoneticPr fontId="2"/>
  </si>
  <si>
    <t>S_LCA-CSTD-2-BZR01-REQ02-</t>
  </si>
  <si>
    <t>S_LCA-CSTD-2-BZR01-REQ03-</t>
  </si>
  <si>
    <t>S_LCA-CSTD-2-BZR01-REQ05-</t>
  </si>
  <si>
    <t>S_LCA-CSTD-2-MEF01-REQ20-/S_LCA-CSTD-2-MEF01-REQ21-(HUD用)</t>
    <rPh sb="55" eb="56">
      <t>ヨウ</t>
    </rPh>
    <phoneticPr fontId="2"/>
  </si>
  <si>
    <t>1.5.0</t>
    <phoneticPr fontId="2"/>
  </si>
  <si>
    <t>19PFv3対応 （流用元：alert_S_LCA-CSTD-1-08-C-C0.xlsx）
[Matrix]
・対象仕様書、ロケーションを更新
[CH_Design]
・TT左右を分けました。
・AVAILの要求IDを追加(REQ30,31)[Reference]
・制御仕様を更新</t>
    <rPh sb="6" eb="8">
      <t>タイオウ</t>
    </rPh>
    <rPh sb="70" eb="72">
      <t>コウシン</t>
    </rPh>
    <rPh sb="88" eb="89">
      <t>ヒダリ</t>
    </rPh>
    <rPh sb="89" eb="90">
      <t>ミギ</t>
    </rPh>
    <rPh sb="91" eb="92">
      <t>ワ</t>
    </rPh>
    <rPh sb="105" eb="107">
      <t>ヨウキュウ</t>
    </rPh>
    <rPh sb="110" eb="112">
      <t>ツイカ</t>
    </rPh>
    <rPh sb="135" eb="137">
      <t>セイギョ</t>
    </rPh>
    <rPh sb="137" eb="139">
      <t>シヨウ</t>
    </rPh>
    <rPh sb="140" eb="142">
      <t>コウシン</t>
    </rPh>
    <phoneticPr fontId="2"/>
  </si>
  <si>
    <t>(株)デンソー</t>
  </si>
  <si>
    <t>承認</t>
  </si>
  <si>
    <t>検討</t>
  </si>
  <si>
    <t>作成</t>
  </si>
  <si>
    <t>&lt;DN確認印&gt;</t>
  </si>
  <si>
    <t>&lt;DN検討印&gt;</t>
  </si>
  <si>
    <t>デンソーテクノ（株）　HMI3部2室</t>
    <phoneticPr fontId="2"/>
  </si>
  <si>
    <t>&lt;DT確認印&gt;</t>
  </si>
  <si>
    <t>&lt;DT検討印&gt;</t>
  </si>
  <si>
    <t>DENSO TECHNO PHIL. INC</t>
    <phoneticPr fontId="3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</si>
</sst>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6"/>
      <name val="Meiryo UI"/>
      <family val="2"/>
      <charset val="128"/>
    </font>
    <font>
      <sz val="11"/>
      <color theme="1"/>
      <name val="Meiryo UI"/>
      <family val="3"/>
      <charset val="128"/>
    </font>
    <font>
      <sz val="11"/>
      <name val="Meiryo UI"/>
      <family val="3"/>
      <charset val="128"/>
    </font>
    <font>
      <sz val="12"/>
      <color theme="1"/>
      <name val="HGｺﾞｼｯｸM"/>
      <family val="3"/>
      <charset val="128"/>
    </font>
    <font>
      <b/>
      <sz val="11"/>
      <name val="Meiryo UI"/>
      <family val="3"/>
      <charset val="128"/>
    </font>
    <font>
      <b/>
      <sz val="11"/>
      <color rgb="FFFF0000"/>
      <name val="ＭＳ Ｐゴシック"/>
      <family val="3"/>
      <charset val="128"/>
      <scheme val="minor"/>
    </font>
    <font>
      <sz val="11"/>
      <color theme="1"/>
      <name val="ＭＳ Ｐゴシック"/>
      <family val="2"/>
      <charset val="128"/>
      <scheme val="minor"/>
    </font>
    <font>
      <b/>
      <u/>
      <sz val="16"/>
      <color theme="1"/>
      <name val="Meiryo UI"/>
      <family val="3"/>
      <charset val="128"/>
    </font>
    <font>
      <sz val="16"/>
      <color theme="1"/>
      <name val="Meiryo UI"/>
      <family val="3"/>
      <charset val="128"/>
    </font>
    <font>
      <b/>
      <u/>
      <sz val="24"/>
      <color theme="1"/>
      <name val="Meiryo UI"/>
      <family val="3"/>
      <charset val="128"/>
    </font>
    <font>
      <b/>
      <sz val="11"/>
      <color theme="1"/>
      <name val="Meiryo UI"/>
      <family val="3"/>
      <charset val="128"/>
    </font>
    <font>
      <sz val="6"/>
      <color rgb="FF808080"/>
      <name val="Meiryo UI"/>
      <family val="3"/>
      <charset val="128"/>
    </font>
    <font>
      <sz val="6"/>
      <name val="ＭＳ Ｐゴシック"/>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lightUp">
        <bgColor theme="0" tint="-0.24994659260841701"/>
      </patternFill>
    </fill>
    <fill>
      <patternFill patternType="solid">
        <fgColor rgb="FFFFFFFF"/>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auto="1"/>
      </left>
      <right/>
      <top/>
      <bottom/>
      <diagonal/>
    </border>
    <border>
      <left/>
      <right style="thin">
        <color auto="1"/>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7" fillId="0" borderId="0">
      <alignment vertical="center"/>
    </xf>
    <xf numFmtId="0" fontId="27" fillId="0" borderId="0">
      <alignment vertical="center"/>
    </xf>
  </cellStyleXfs>
  <cellXfs count="36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vertical="center" textRotation="90"/>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14" fontId="0" fillId="0" borderId="15" xfId="0" applyNumberFormat="1" applyBorder="1">
      <alignment vertical="center"/>
    </xf>
    <xf numFmtId="0" fontId="0" fillId="0" borderId="32" xfId="0" quotePrefix="1" applyBorder="1" applyAlignment="1">
      <alignment vertical="center" wrapText="1"/>
    </xf>
    <xf numFmtId="0" fontId="0" fillId="23" borderId="31" xfId="0" applyFill="1" applyBorder="1">
      <alignment vertical="center"/>
    </xf>
    <xf numFmtId="0" fontId="0" fillId="24" borderId="31" xfId="0" applyFill="1" applyBorder="1">
      <alignment vertical="center"/>
    </xf>
    <xf numFmtId="0" fontId="0" fillId="14" borderId="2" xfId="0" applyFill="1" applyBorder="1">
      <alignment vertical="center"/>
    </xf>
    <xf numFmtId="0" fontId="0" fillId="23" borderId="32" xfId="0" quotePrefix="1" applyFill="1" applyBorder="1" applyAlignment="1">
      <alignment vertical="center" wrapText="1"/>
    </xf>
    <xf numFmtId="0" fontId="0" fillId="23" borderId="25" xfId="0" applyFill="1" applyBorder="1" applyAlignment="1">
      <alignment horizontal="center" vertical="center"/>
    </xf>
    <xf numFmtId="0" fontId="0" fillId="23" borderId="26" xfId="0" applyFill="1" applyBorder="1" applyAlignment="1">
      <alignment horizontal="center" vertical="center"/>
    </xf>
    <xf numFmtId="0" fontId="0" fillId="18" borderId="31" xfId="0" applyFill="1" applyBorder="1" applyAlignment="1">
      <alignment vertical="center" textRotation="90"/>
    </xf>
    <xf numFmtId="0" fontId="22" fillId="0" borderId="0" xfId="2" applyFont="1">
      <alignment vertical="center"/>
    </xf>
    <xf numFmtId="0" fontId="0" fillId="22" borderId="2" xfId="0" applyFill="1" applyBorder="1" applyAlignment="1">
      <alignment vertical="center" textRotation="90"/>
    </xf>
    <xf numFmtId="14" fontId="0" fillId="0" borderId="14" xfId="0" applyNumberFormat="1" applyBorder="1">
      <alignment vertical="center"/>
    </xf>
    <xf numFmtId="0" fontId="0" fillId="0" borderId="0" xfId="0" applyAlignment="1">
      <alignment vertical="center" wrapText="1"/>
    </xf>
    <xf numFmtId="0" fontId="0" fillId="0" borderId="0" xfId="0" quotePrefix="1" applyAlignment="1">
      <alignment vertical="center" wrapText="1"/>
    </xf>
    <xf numFmtId="0" fontId="0" fillId="15" borderId="7" xfId="0" applyFill="1" applyBorder="1" applyAlignment="1">
      <alignment vertical="center" wrapText="1"/>
    </xf>
    <xf numFmtId="0" fontId="0" fillId="15" borderId="17" xfId="0" quotePrefix="1" applyFill="1" applyBorder="1" applyAlignment="1">
      <alignment vertical="center" wrapText="1"/>
    </xf>
    <xf numFmtId="0" fontId="23" fillId="0" borderId="2" xfId="2" applyFont="1" applyBorder="1">
      <alignment vertical="center"/>
    </xf>
    <xf numFmtId="0" fontId="0" fillId="0" borderId="14" xfId="0" applyBorder="1" applyAlignment="1">
      <alignment vertical="center" wrapText="1"/>
    </xf>
    <xf numFmtId="0" fontId="16" fillId="7" borderId="62" xfId="0" applyFont="1" applyFill="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16" fillId="0" borderId="16" xfId="0" quotePrefix="1" applyFont="1" applyBorder="1" applyAlignment="1">
      <alignment vertical="center" wrapText="1"/>
    </xf>
    <xf numFmtId="0" fontId="19" fillId="0" borderId="14" xfId="0" applyFont="1" applyBorder="1" applyAlignment="1">
      <alignment horizontal="center" vertical="center"/>
    </xf>
    <xf numFmtId="0" fontId="14" fillId="0" borderId="0" xfId="0" applyFont="1">
      <alignment vertical="center"/>
    </xf>
    <xf numFmtId="0" fontId="0" fillId="0" borderId="0" xfId="0" quotePrefix="1">
      <alignment vertical="center"/>
    </xf>
    <xf numFmtId="0" fontId="0" fillId="0" borderId="0" xfId="0" applyAlignment="1">
      <alignment vertical="center" textRotation="90"/>
    </xf>
    <xf numFmtId="0" fontId="0" fillId="0" borderId="0" xfId="0" applyAlignment="1">
      <alignment horizontal="center" vertical="center" wrapText="1"/>
    </xf>
    <xf numFmtId="0" fontId="23" fillId="23" borderId="0" xfId="2" applyFont="1" applyFill="1">
      <alignment vertical="center"/>
    </xf>
    <xf numFmtId="0" fontId="23" fillId="23" borderId="63" xfId="2" applyFont="1" applyFill="1" applyBorder="1">
      <alignment vertical="center"/>
    </xf>
    <xf numFmtId="0" fontId="23" fillId="23" borderId="2" xfId="2" applyFont="1" applyFill="1" applyBorder="1">
      <alignment vertical="center"/>
    </xf>
    <xf numFmtId="0" fontId="23" fillId="23" borderId="11" xfId="2" applyFont="1" applyFill="1" applyBorder="1">
      <alignment vertical="center"/>
    </xf>
    <xf numFmtId="0" fontId="23" fillId="23" borderId="14" xfId="2" applyFont="1" applyFill="1" applyBorder="1">
      <alignment vertical="center"/>
    </xf>
    <xf numFmtId="0" fontId="16" fillId="0" borderId="0" xfId="0" applyFont="1">
      <alignment vertical="center"/>
    </xf>
    <xf numFmtId="0" fontId="19" fillId="0" borderId="2" xfId="0" quotePrefix="1" applyFont="1" applyBorder="1">
      <alignment vertical="center"/>
    </xf>
    <xf numFmtId="0" fontId="19" fillId="0" borderId="27" xfId="0" quotePrefix="1" applyFont="1" applyBorder="1">
      <alignment vertical="center"/>
    </xf>
    <xf numFmtId="0" fontId="19" fillId="0" borderId="33" xfId="0" applyFont="1" applyBorder="1">
      <alignment vertical="center"/>
    </xf>
    <xf numFmtId="0" fontId="19" fillId="24" borderId="31" xfId="0" applyFont="1" applyFill="1" applyBorder="1">
      <alignment vertical="center"/>
    </xf>
    <xf numFmtId="0" fontId="19" fillId="14" borderId="31" xfId="0" applyFont="1" applyFill="1" applyBorder="1">
      <alignment vertical="center"/>
    </xf>
    <xf numFmtId="0" fontId="19" fillId="0" borderId="2" xfId="0" applyFont="1" applyBorder="1">
      <alignment vertical="center"/>
    </xf>
    <xf numFmtId="0" fontId="19" fillId="14" borderId="33" xfId="0" applyFont="1" applyFill="1" applyBorder="1">
      <alignment vertical="center"/>
    </xf>
    <xf numFmtId="0" fontId="19" fillId="14" borderId="2" xfId="0" applyFont="1" applyFill="1" applyBorder="1">
      <alignment vertical="center"/>
    </xf>
    <xf numFmtId="0" fontId="19" fillId="0" borderId="27" xfId="0" applyFont="1" applyBorder="1">
      <alignment vertical="center"/>
    </xf>
    <xf numFmtId="0" fontId="19" fillId="0" borderId="16" xfId="0" applyFont="1" applyBorder="1" applyAlignment="1">
      <alignment vertical="center" wrapText="1"/>
    </xf>
    <xf numFmtId="0" fontId="19" fillId="0" borderId="28" xfId="0" applyFont="1" applyBorder="1" applyAlignment="1">
      <alignment vertical="center" wrapText="1"/>
    </xf>
    <xf numFmtId="0" fontId="19" fillId="0" borderId="34" xfId="0" applyFont="1" applyBorder="1" applyAlignment="1">
      <alignment vertical="center" wrapText="1"/>
    </xf>
    <xf numFmtId="0" fontId="19" fillId="23" borderId="32" xfId="0" quotePrefix="1" applyFont="1" applyFill="1" applyBorder="1" applyAlignment="1">
      <alignment vertical="center" wrapText="1"/>
    </xf>
    <xf numFmtId="0" fontId="19" fillId="0" borderId="29" xfId="0" applyFont="1" applyBorder="1" applyAlignment="1">
      <alignment horizontal="center" vertical="center"/>
    </xf>
    <xf numFmtId="0" fontId="19" fillId="0" borderId="24" xfId="0" applyFont="1" applyBorder="1" applyAlignment="1">
      <alignment horizontal="center" vertical="center"/>
    </xf>
    <xf numFmtId="0" fontId="19" fillId="23" borderId="25" xfId="0" applyFont="1" applyFill="1" applyBorder="1" applyAlignment="1">
      <alignment horizontal="center" vertical="center"/>
    </xf>
    <xf numFmtId="0" fontId="19" fillId="0" borderId="2" xfId="0" applyFont="1" applyBorder="1" applyAlignment="1">
      <alignment horizontal="center" vertical="center"/>
    </xf>
    <xf numFmtId="0" fontId="19" fillId="0" borderId="27" xfId="0" applyFont="1" applyBorder="1" applyAlignment="1">
      <alignment horizontal="center" vertical="center"/>
    </xf>
    <xf numFmtId="0" fontId="19" fillId="0" borderId="33" xfId="0" applyFont="1" applyBorder="1" applyAlignment="1">
      <alignment horizontal="center" vertical="center"/>
    </xf>
    <xf numFmtId="0" fontId="19" fillId="0" borderId="9" xfId="0" applyFont="1" applyBorder="1" applyAlignment="1">
      <alignment horizontal="center" vertical="center"/>
    </xf>
    <xf numFmtId="0" fontId="19" fillId="0" borderId="30" xfId="0" applyFont="1" applyBorder="1" applyAlignment="1">
      <alignment horizontal="center" vertical="center"/>
    </xf>
    <xf numFmtId="0" fontId="19" fillId="0" borderId="35" xfId="0" applyFont="1" applyBorder="1" applyAlignment="1">
      <alignment horizontal="center" vertical="center"/>
    </xf>
    <xf numFmtId="0" fontId="19" fillId="23" borderId="26" xfId="0" applyFont="1" applyFill="1" applyBorder="1" applyAlignment="1">
      <alignment horizontal="center" vertical="center"/>
    </xf>
    <xf numFmtId="0" fontId="19" fillId="0" borderId="0" xfId="0" applyFont="1">
      <alignment vertical="center"/>
    </xf>
    <xf numFmtId="0" fontId="23" fillId="0" borderId="0" xfId="2" applyFont="1">
      <alignment vertical="center"/>
    </xf>
    <xf numFmtId="0" fontId="23" fillId="0" borderId="63" xfId="2" applyFont="1" applyBorder="1">
      <alignment vertical="center"/>
    </xf>
    <xf numFmtId="0" fontId="23" fillId="0" borderId="62" xfId="2" applyFont="1" applyBorder="1">
      <alignment vertical="center"/>
    </xf>
    <xf numFmtId="0" fontId="23" fillId="0" borderId="14" xfId="2" applyFont="1" applyBorder="1">
      <alignment vertical="center"/>
    </xf>
    <xf numFmtId="0" fontId="26" fillId="0" borderId="0" xfId="0" applyFont="1">
      <alignment vertical="center"/>
    </xf>
    <xf numFmtId="14" fontId="0" fillId="0" borderId="2" xfId="0" applyNumberFormat="1" applyBorder="1">
      <alignment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15" fillId="0" borderId="16" xfId="0" quotePrefix="1" applyFont="1" applyBorder="1" applyAlignment="1">
      <alignment vertical="center" wrapText="1"/>
    </xf>
    <xf numFmtId="0" fontId="15" fillId="0" borderId="14" xfId="0" applyFont="1" applyBorder="1" applyAlignment="1">
      <alignment horizontal="center" vertical="center"/>
    </xf>
    <xf numFmtId="0" fontId="18" fillId="0" borderId="24" xfId="0" applyFont="1" applyBorder="1" applyAlignment="1">
      <alignment horizontal="center" vertical="center"/>
    </xf>
    <xf numFmtId="0" fontId="18" fillId="23" borderId="25" xfId="0" applyFont="1" applyFill="1" applyBorder="1" applyAlignment="1">
      <alignment horizontal="center" vertical="center"/>
    </xf>
    <xf numFmtId="0" fontId="18" fillId="0" borderId="14" xfId="0" applyFont="1" applyBorder="1" applyAlignment="1">
      <alignment horizontal="center" vertical="center"/>
    </xf>
    <xf numFmtId="0" fontId="11" fillId="0" borderId="6" xfId="0" applyFont="1" applyBorder="1">
      <alignment vertical="center"/>
    </xf>
    <xf numFmtId="0" fontId="18" fillId="0" borderId="2" xfId="0" applyFont="1" applyBorder="1" applyAlignment="1">
      <alignment vertical="center" wrapText="1"/>
    </xf>
    <xf numFmtId="0" fontId="18" fillId="0" borderId="14" xfId="0" applyFont="1" applyBorder="1">
      <alignment vertical="center"/>
    </xf>
    <xf numFmtId="0" fontId="22" fillId="25" borderId="64" xfId="3" applyFont="1" applyFill="1" applyBorder="1">
      <alignment vertical="center"/>
    </xf>
    <xf numFmtId="0" fontId="22" fillId="25" borderId="66" xfId="3" applyFont="1" applyFill="1" applyBorder="1">
      <alignment vertical="center"/>
    </xf>
    <xf numFmtId="0" fontId="22" fillId="25" borderId="65" xfId="3" applyFont="1" applyFill="1" applyBorder="1">
      <alignment vertical="center"/>
    </xf>
    <xf numFmtId="0" fontId="22" fillId="0" borderId="0" xfId="3" applyFont="1">
      <alignment vertical="center"/>
    </xf>
    <xf numFmtId="0" fontId="22" fillId="25" borderId="77" xfId="3" applyFont="1" applyFill="1" applyBorder="1">
      <alignment vertical="center"/>
    </xf>
    <xf numFmtId="0" fontId="22" fillId="25" borderId="0" xfId="3" applyFont="1" applyFill="1">
      <alignment vertical="center"/>
    </xf>
    <xf numFmtId="0" fontId="22" fillId="25" borderId="78" xfId="3" applyFont="1" applyFill="1" applyBorder="1">
      <alignment vertical="center"/>
    </xf>
    <xf numFmtId="0" fontId="31" fillId="25" borderId="0" xfId="4" applyFont="1" applyFill="1">
      <alignment vertical="center"/>
    </xf>
    <xf numFmtId="0" fontId="22" fillId="25" borderId="0" xfId="4" applyFont="1" applyFill="1">
      <alignment vertical="center"/>
    </xf>
    <xf numFmtId="0" fontId="22" fillId="25" borderId="64" xfId="4" applyFont="1" applyFill="1" applyBorder="1">
      <alignment vertical="center"/>
    </xf>
    <xf numFmtId="0" fontId="22" fillId="25" borderId="66" xfId="4" applyFont="1" applyFill="1" applyBorder="1">
      <alignment vertical="center"/>
    </xf>
    <xf numFmtId="0" fontId="22" fillId="25" borderId="65" xfId="4" applyFont="1" applyFill="1" applyBorder="1">
      <alignment vertical="center"/>
    </xf>
    <xf numFmtId="0" fontId="22" fillId="25" borderId="79" xfId="4" applyFont="1" applyFill="1" applyBorder="1">
      <alignment vertical="center"/>
    </xf>
    <xf numFmtId="0" fontId="22" fillId="25" borderId="77" xfId="4" applyFont="1" applyFill="1" applyBorder="1">
      <alignment vertical="center"/>
    </xf>
    <xf numFmtId="0" fontId="22" fillId="25" borderId="78" xfId="4" applyFont="1" applyFill="1" applyBorder="1">
      <alignment vertical="center"/>
    </xf>
    <xf numFmtId="0" fontId="22" fillId="25" borderId="80" xfId="4" applyFont="1" applyFill="1" applyBorder="1">
      <alignment vertical="center"/>
    </xf>
    <xf numFmtId="0" fontId="32" fillId="25" borderId="0" xfId="4" applyFont="1" applyFill="1" applyAlignment="1">
      <alignment horizontal="center" vertical="center"/>
    </xf>
    <xf numFmtId="0" fontId="22" fillId="25" borderId="29" xfId="4" applyFont="1" applyFill="1" applyBorder="1">
      <alignment vertical="center"/>
    </xf>
    <xf numFmtId="0" fontId="22" fillId="25" borderId="11" xfId="4" applyFont="1" applyFill="1" applyBorder="1">
      <alignment vertical="center"/>
    </xf>
    <xf numFmtId="0" fontId="22" fillId="25" borderId="25" xfId="4" applyFont="1" applyFill="1" applyBorder="1">
      <alignment vertical="center"/>
    </xf>
    <xf numFmtId="0" fontId="22" fillId="25" borderId="81" xfId="4" applyFont="1" applyFill="1" applyBorder="1">
      <alignment vertical="center"/>
    </xf>
    <xf numFmtId="0" fontId="22" fillId="25" borderId="29" xfId="3" applyFont="1" applyFill="1" applyBorder="1">
      <alignment vertical="center"/>
    </xf>
    <xf numFmtId="0" fontId="22" fillId="25" borderId="11" xfId="3" applyFont="1" applyFill="1" applyBorder="1">
      <alignment vertical="center"/>
    </xf>
    <xf numFmtId="0" fontId="22" fillId="25" borderId="25" xfId="3" applyFont="1" applyFill="1" applyBorder="1">
      <alignment vertical="center"/>
    </xf>
    <xf numFmtId="0" fontId="22" fillId="25" borderId="0" xfId="4" applyFont="1" applyFill="1" applyBorder="1">
      <alignment vertical="center"/>
    </xf>
    <xf numFmtId="0" fontId="22" fillId="25" borderId="27" xfId="4" applyFont="1" applyFill="1" applyBorder="1" applyAlignment="1">
      <alignment horizontal="center" vertical="center"/>
    </xf>
    <xf numFmtId="0" fontId="22" fillId="25" borderId="12" xfId="4" applyFont="1" applyFill="1" applyBorder="1" applyAlignment="1">
      <alignment horizontal="center" vertical="center"/>
    </xf>
    <xf numFmtId="0" fontId="22" fillId="25" borderId="31" xfId="4" applyFont="1" applyFill="1" applyBorder="1" applyAlignment="1">
      <alignment horizontal="center" vertical="center"/>
    </xf>
    <xf numFmtId="0" fontId="28" fillId="25" borderId="77" xfId="3" applyFont="1" applyFill="1" applyBorder="1" applyAlignment="1">
      <alignment horizontal="center" vertical="center"/>
    </xf>
    <xf numFmtId="0" fontId="29" fillId="25" borderId="0" xfId="3" applyFont="1" applyFill="1" applyAlignment="1">
      <alignment horizontal="center" vertical="center"/>
    </xf>
    <xf numFmtId="0" fontId="29" fillId="25" borderId="78" xfId="3" applyFont="1" applyFill="1" applyBorder="1" applyAlignment="1">
      <alignment horizontal="center" vertical="center"/>
    </xf>
    <xf numFmtId="0" fontId="30" fillId="25" borderId="77" xfId="3" applyFont="1" applyFill="1" applyBorder="1" applyAlignment="1">
      <alignment horizontal="center" vertical="center"/>
    </xf>
    <xf numFmtId="0" fontId="22" fillId="25" borderId="0" xfId="3" applyFont="1" applyFill="1" applyAlignment="1">
      <alignment horizontal="center" vertical="center"/>
    </xf>
    <xf numFmtId="0" fontId="22" fillId="25" borderId="78" xfId="3" applyFont="1" applyFill="1" applyBorder="1" applyAlignment="1">
      <alignment horizontal="center" vertical="center"/>
    </xf>
    <xf numFmtId="0" fontId="22" fillId="25" borderId="64" xfId="4" applyFont="1"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0" borderId="0" xfId="0"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0" xfId="0" applyFont="1" applyAlignment="1">
      <alignment horizontal="center" vertical="center"/>
    </xf>
  </cellXfs>
  <cellStyles count="5">
    <cellStyle name="ハイパーリンク" xfId="1" builtinId="8"/>
    <cellStyle name="標準" xfId="0" builtinId="0"/>
    <cellStyle name="標準 2" xfId="2" xr:uid="{00000000-0005-0000-0000-000002000000}"/>
    <cellStyle name="標準 5" xfId="3" xr:uid="{B753765B-FBC8-45F2-8283-82CC9612EFA0}"/>
    <cellStyle name="標準 7" xfId="4" xr:uid="{73EE494F-9269-4290-BD6F-3C3A71AB0F45}"/>
  </cellStyles>
  <dxfs count="26">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0000FF"/>
      <color rgb="FFFFCC99"/>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externalLink" Target="externalLinks/externalLink10.xml"/><Relationship Id="rId39" Type="http://schemas.openxmlformats.org/officeDocument/2006/relationships/externalLink" Target="externalLinks/externalLink23.xml"/><Relationship Id="rId21" Type="http://schemas.openxmlformats.org/officeDocument/2006/relationships/externalLink" Target="externalLinks/externalLink5.xml"/><Relationship Id="rId34" Type="http://schemas.openxmlformats.org/officeDocument/2006/relationships/externalLink" Target="externalLinks/externalLink18.xml"/><Relationship Id="rId42" Type="http://schemas.openxmlformats.org/officeDocument/2006/relationships/externalLink" Target="externalLinks/externalLink2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1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8.xml"/><Relationship Id="rId32" Type="http://schemas.openxmlformats.org/officeDocument/2006/relationships/externalLink" Target="externalLinks/externalLink16.xml"/><Relationship Id="rId37" Type="http://schemas.openxmlformats.org/officeDocument/2006/relationships/externalLink" Target="externalLinks/externalLink21.xml"/><Relationship Id="rId40" Type="http://schemas.openxmlformats.org/officeDocument/2006/relationships/externalLink" Target="externalLinks/externalLink24.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7.xml"/><Relationship Id="rId28" Type="http://schemas.openxmlformats.org/officeDocument/2006/relationships/externalLink" Target="externalLinks/externalLink12.xml"/><Relationship Id="rId36" Type="http://schemas.openxmlformats.org/officeDocument/2006/relationships/externalLink" Target="externalLinks/externalLink20.xml"/><Relationship Id="rId10" Type="http://schemas.openxmlformats.org/officeDocument/2006/relationships/worksheet" Target="worksheets/sheet10.xml"/><Relationship Id="rId19" Type="http://schemas.openxmlformats.org/officeDocument/2006/relationships/externalLink" Target="externalLinks/externalLink3.xml"/><Relationship Id="rId31" Type="http://schemas.openxmlformats.org/officeDocument/2006/relationships/externalLink" Target="externalLinks/externalLink15.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6.xml"/><Relationship Id="rId27" Type="http://schemas.openxmlformats.org/officeDocument/2006/relationships/externalLink" Target="externalLinks/externalLink11.xml"/><Relationship Id="rId30" Type="http://schemas.openxmlformats.org/officeDocument/2006/relationships/externalLink" Target="externalLinks/externalLink14.xml"/><Relationship Id="rId35" Type="http://schemas.openxmlformats.org/officeDocument/2006/relationships/externalLink" Target="externalLinks/externalLink19.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externalLink" Target="externalLinks/externalLink9.xml"/><Relationship Id="rId33" Type="http://schemas.openxmlformats.org/officeDocument/2006/relationships/externalLink" Target="externalLinks/externalLink17.xml"/><Relationship Id="rId38" Type="http://schemas.openxmlformats.org/officeDocument/2006/relationships/externalLink" Target="externalLinks/externalLink22.xml"/><Relationship Id="rId46" Type="http://schemas.openxmlformats.org/officeDocument/2006/relationships/calcChain" Target="calcChain.xml"/><Relationship Id="rId20" Type="http://schemas.openxmlformats.org/officeDocument/2006/relationships/externalLink" Target="externalLinks/externalLink4.xml"/><Relationship Id="rId41" Type="http://schemas.openxmlformats.org/officeDocument/2006/relationships/externalLink" Target="externalLinks/externalLink25.xml"/></Relationships>
</file>

<file path=xl/drawings/_rels/drawing9.xml.rels><?xml version="1.0" encoding="UTF-8" standalone="yes"?>
<Relationships xmlns="http://schemas.openxmlformats.org/package/2006/relationships"><Relationship Id="rId8" Type="http://schemas.openxmlformats.org/officeDocument/2006/relationships/image" Target="../media/image9.emf"/><Relationship Id="rId3" Type="http://schemas.openxmlformats.org/officeDocument/2006/relationships/image" Target="../media/image4.emf"/><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emf"/><Relationship Id="rId5" Type="http://schemas.openxmlformats.org/officeDocument/2006/relationships/image" Target="../media/image6.emf"/><Relationship Id="rId4" Type="http://schemas.openxmlformats.org/officeDocument/2006/relationships/image" Target="../media/image5.emf"/><Relationship Id="rId9" Type="http://schemas.openxmlformats.org/officeDocument/2006/relationships/image" Target="../media/image10.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34</xdr:col>
          <xdr:colOff>85725</xdr:colOff>
          <xdr:row>35</xdr:row>
          <xdr:rowOff>66675</xdr:rowOff>
        </xdr:from>
        <xdr:to>
          <xdr:col>38</xdr:col>
          <xdr:colOff>85725</xdr:colOff>
          <xdr:row>39</xdr:row>
          <xdr:rowOff>66675</xdr:rowOff>
        </xdr:to>
        <xdr:sp macro="" textlink="">
          <xdr:nvSpPr>
            <xdr:cNvPr id="28673" name="inei1_REYES DYAN" hidden="1">
              <a:extLst>
                <a:ext uri="{63B3BB69-23CF-44E3-9099-C40C66FF867C}">
                  <a14:compatExt spid="_x0000_s28673"/>
                </a:ext>
                <a:ext uri="{FF2B5EF4-FFF2-40B4-BE49-F238E27FC236}">
                  <a16:creationId xmlns:a16="http://schemas.microsoft.com/office/drawing/2014/main" id="{8E34AF3E-E959-DDE7-0314-8DB1D2C4DD43}"/>
                </a:ext>
              </a:extLst>
            </xdr:cNvPr>
            <xdr:cNvSpPr/>
          </xdr:nvSpPr>
          <xdr:spPr bwMode="auto">
            <a:xfrm>
              <a:off x="0" y="0"/>
              <a:ext cx="0" cy="0"/>
            </a:xfrm>
            <a:prstGeom prst="rect">
              <a:avLst/>
            </a:prstGeom>
            <a:noFill/>
            <a:ln>
              <a:noFill/>
            </a:ln>
            <a:effectLst/>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prstDash val="solid"/>
                  <a:miter lim="800000"/>
                  <a:headEnd/>
                  <a:tailEnd type="none" w="med" len="med"/>
                </a14:hiddenLine>
              </a:ext>
              <a:ext uri="{AF507438-7753-43E0-B8FC-AC1667EBCBE1}">
                <a14:hiddenEffects>
                  <a:effectLst>
                    <a:outerShdw dist="35921" dir="2700000" algn="ctr" rotWithShape="0">
                      <a:srgbClr val="808080"/>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88761030-980C-4C6C-917D-EED7C7A4B7C3}"/>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A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22</xdr:col>
      <xdr:colOff>8165</xdr:colOff>
      <xdr:row>498</xdr:row>
      <xdr:rowOff>42183</xdr:rowOff>
    </xdr:from>
    <xdr:to>
      <xdr:col>61</xdr:col>
      <xdr:colOff>188730</xdr:colOff>
      <xdr:row>520</xdr:row>
      <xdr:rowOff>56950</xdr:rowOff>
    </xdr:to>
    <xdr:pic>
      <xdr:nvPicPr>
        <xdr:cNvPr id="245" name="図 244">
          <a:extLst>
            <a:ext uri="{FF2B5EF4-FFF2-40B4-BE49-F238E27FC236}">
              <a16:creationId xmlns:a16="http://schemas.microsoft.com/office/drawing/2014/main" id="{C715FE95-5E8A-41DA-94E5-B4F29EE6F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9534415" y="84928983"/>
          <a:ext cx="26926765" cy="3786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10886</xdr:colOff>
      <xdr:row>447</xdr:row>
      <xdr:rowOff>19050</xdr:rowOff>
    </xdr:from>
    <xdr:to>
      <xdr:col>43</xdr:col>
      <xdr:colOff>467277</xdr:colOff>
      <xdr:row>491</xdr:row>
      <xdr:rowOff>83957</xdr:rowOff>
    </xdr:to>
    <xdr:pic>
      <xdr:nvPicPr>
        <xdr:cNvPr id="38" name="図 37">
          <a:extLst>
            <a:ext uri="{FF2B5EF4-FFF2-40B4-BE49-F238E27FC236}">
              <a16:creationId xmlns:a16="http://schemas.microsoft.com/office/drawing/2014/main" id="{405C7DAA-6041-B745-6E8B-A19EBA9D4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23529" y="77974371"/>
          <a:ext cx="14743891" cy="78481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222</xdr:row>
      <xdr:rowOff>56031</xdr:rowOff>
    </xdr:from>
    <xdr:to>
      <xdr:col>14</xdr:col>
      <xdr:colOff>26894</xdr:colOff>
      <xdr:row>223</xdr:row>
      <xdr:rowOff>125507</xdr:rowOff>
    </xdr:to>
    <xdr:sp macro="" textlink="">
      <xdr:nvSpPr>
        <xdr:cNvPr id="10" name="線吹き出し 1 (枠付き) 9">
          <a:extLst>
            <a:ext uri="{FF2B5EF4-FFF2-40B4-BE49-F238E27FC236}">
              <a16:creationId xmlns:a16="http://schemas.microsoft.com/office/drawing/2014/main" id="{00000000-0008-0000-0B00-00000A000000}"/>
            </a:ext>
          </a:extLst>
        </xdr:cNvPr>
        <xdr:cNvSpPr/>
      </xdr:nvSpPr>
      <xdr:spPr>
        <a:xfrm>
          <a:off x="7646894" y="17384807"/>
          <a:ext cx="4329953" cy="239806"/>
        </a:xfrm>
        <a:prstGeom prst="borderCallout1">
          <a:avLst>
            <a:gd name="adj1" fmla="val 47144"/>
            <a:gd name="adj2" fmla="val -921"/>
            <a:gd name="adj3" fmla="val 619748"/>
            <a:gd name="adj4" fmla="val -132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フェール処理は最終状態保持のため、通信途絶ビットはマスクする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11</xdr:col>
      <xdr:colOff>11207</xdr:colOff>
      <xdr:row>235</xdr:row>
      <xdr:rowOff>67235</xdr:rowOff>
    </xdr:from>
    <xdr:to>
      <xdr:col>14</xdr:col>
      <xdr:colOff>170330</xdr:colOff>
      <xdr:row>236</xdr:row>
      <xdr:rowOff>156883</xdr:rowOff>
    </xdr:to>
    <xdr:sp macro="" textlink="">
      <xdr:nvSpPr>
        <xdr:cNvPr id="11" name="線吹き出し 1 (枠付き) 10">
          <a:extLst>
            <a:ext uri="{FF2B5EF4-FFF2-40B4-BE49-F238E27FC236}">
              <a16:creationId xmlns:a16="http://schemas.microsoft.com/office/drawing/2014/main" id="{00000000-0008-0000-0B00-00000B000000}"/>
            </a:ext>
          </a:extLst>
        </xdr:cNvPr>
        <xdr:cNvSpPr/>
      </xdr:nvSpPr>
      <xdr:spPr>
        <a:xfrm>
          <a:off x="8494060" y="20730882"/>
          <a:ext cx="4944035" cy="257736"/>
        </a:xfrm>
        <a:prstGeom prst="borderCallout1">
          <a:avLst>
            <a:gd name="adj1" fmla="val 47144"/>
            <a:gd name="adj2" fmla="val -921"/>
            <a:gd name="adj3" fmla="val 570043"/>
            <a:gd name="adj4" fmla="val -136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フェール処理は最終状態保持のため、通信途絶ビットはマスクする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xdr:col>
      <xdr:colOff>697566</xdr:colOff>
      <xdr:row>24</xdr:row>
      <xdr:rowOff>4482</xdr:rowOff>
    </xdr:from>
    <xdr:to>
      <xdr:col>8</xdr:col>
      <xdr:colOff>48185</xdr:colOff>
      <xdr:row>25</xdr:row>
      <xdr:rowOff>152399</xdr:rowOff>
    </xdr:to>
    <xdr:sp macro="" textlink="">
      <xdr:nvSpPr>
        <xdr:cNvPr id="12" name="線吹き出し 1 (枠付き) 11">
          <a:extLst>
            <a:ext uri="{FF2B5EF4-FFF2-40B4-BE49-F238E27FC236}">
              <a16:creationId xmlns:a16="http://schemas.microsoft.com/office/drawing/2014/main" id="{00000000-0008-0000-0B00-00000C000000}"/>
            </a:ext>
          </a:extLst>
        </xdr:cNvPr>
        <xdr:cNvSpPr/>
      </xdr:nvSpPr>
      <xdr:spPr>
        <a:xfrm>
          <a:off x="1383366" y="5519457"/>
          <a:ext cx="5132294" cy="319367"/>
        </a:xfrm>
        <a:prstGeom prst="borderCallout1">
          <a:avLst>
            <a:gd name="adj1" fmla="val -9523"/>
            <a:gd name="adj2" fmla="val 59210"/>
            <a:gd name="adj3" fmla="val -207268"/>
            <a:gd name="adj4" fmla="val 869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は通信状態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に含まれる（以降の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CH</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も同様）</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29</xdr:col>
      <xdr:colOff>221396</xdr:colOff>
      <xdr:row>516</xdr:row>
      <xdr:rowOff>99331</xdr:rowOff>
    </xdr:from>
    <xdr:to>
      <xdr:col>61</xdr:col>
      <xdr:colOff>171450</xdr:colOff>
      <xdr:row>520</xdr:row>
      <xdr:rowOff>47625</xdr:rowOff>
    </xdr:to>
    <xdr:sp macro="" textlink="">
      <xdr:nvSpPr>
        <xdr:cNvPr id="193" name="正方形/長方形 192">
          <a:extLst>
            <a:ext uri="{FF2B5EF4-FFF2-40B4-BE49-F238E27FC236}">
              <a16:creationId xmlns:a16="http://schemas.microsoft.com/office/drawing/2014/main" id="{00000000-0008-0000-0B00-0000C1000000}"/>
            </a:ext>
          </a:extLst>
        </xdr:cNvPr>
        <xdr:cNvSpPr/>
      </xdr:nvSpPr>
      <xdr:spPr>
        <a:xfrm>
          <a:off x="24548246" y="88072231"/>
          <a:ext cx="21895654" cy="6340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22</xdr:col>
      <xdr:colOff>32241</xdr:colOff>
      <xdr:row>472</xdr:row>
      <xdr:rowOff>72118</xdr:rowOff>
    </xdr:from>
    <xdr:to>
      <xdr:col>43</xdr:col>
      <xdr:colOff>421820</xdr:colOff>
      <xdr:row>474</xdr:row>
      <xdr:rowOff>40821</xdr:rowOff>
    </xdr:to>
    <xdr:sp macro="" textlink="">
      <xdr:nvSpPr>
        <xdr:cNvPr id="199" name="正方形/長方形 198">
          <a:extLst>
            <a:ext uri="{FF2B5EF4-FFF2-40B4-BE49-F238E27FC236}">
              <a16:creationId xmlns:a16="http://schemas.microsoft.com/office/drawing/2014/main" id="{00000000-0008-0000-0B00-0000C7000000}"/>
            </a:ext>
          </a:extLst>
        </xdr:cNvPr>
        <xdr:cNvSpPr/>
      </xdr:nvSpPr>
      <xdr:spPr>
        <a:xfrm>
          <a:off x="19544884" y="82449761"/>
          <a:ext cx="14677079" cy="3224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12</xdr:col>
      <xdr:colOff>317125</xdr:colOff>
      <xdr:row>500</xdr:row>
      <xdr:rowOff>132790</xdr:rowOff>
    </xdr:from>
    <xdr:to>
      <xdr:col>19</xdr:col>
      <xdr:colOff>580464</xdr:colOff>
      <xdr:row>509</xdr:row>
      <xdr:rowOff>19610</xdr:rowOff>
    </xdr:to>
    <xdr:sp macro="" textlink="">
      <xdr:nvSpPr>
        <xdr:cNvPr id="200" name="線吹き出し 1 (枠付き) 199">
          <a:extLst>
            <a:ext uri="{FF2B5EF4-FFF2-40B4-BE49-F238E27FC236}">
              <a16:creationId xmlns:a16="http://schemas.microsoft.com/office/drawing/2014/main" id="{00000000-0008-0000-0B00-0000C8000000}"/>
            </a:ext>
          </a:extLst>
        </xdr:cNvPr>
        <xdr:cNvSpPr/>
      </xdr:nvSpPr>
      <xdr:spPr>
        <a:xfrm>
          <a:off x="10985125" y="85362490"/>
          <a:ext cx="7064189" cy="1429870"/>
        </a:xfrm>
        <a:prstGeom prst="borderCallout1">
          <a:avLst>
            <a:gd name="adj1" fmla="val 21709"/>
            <a:gd name="adj2" fmla="val 100154"/>
            <a:gd name="adj3" fmla="val 221919"/>
            <a:gd name="adj4" fmla="val 190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defTabSz="914400" eaLnBrk="1" fontAlgn="auto" latinLnBrk="0" hangingPunct="1">
            <a:lnSpc>
              <a:spcPct val="100000"/>
            </a:lnSpc>
            <a:spcBef>
              <a:spcPts val="0"/>
            </a:spcBef>
            <a:spcAft>
              <a:spcPts val="0"/>
            </a:spcAft>
            <a:buClrTx/>
            <a:buSzTx/>
            <a:buFontTx/>
            <a:buNone/>
            <a:tabLst/>
            <a:defRPr/>
          </a:pPr>
          <a:r>
            <a:rPr kumimoji="1" lang="en-US" altLang="ja-JP"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LCAW</a:t>
          </a:r>
          <a:r>
            <a:rPr kumimoji="1" lang="ja-JP" altLang="en-US"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の</a:t>
          </a:r>
          <a:r>
            <a:rPr kumimoji="1" lang="en-US" altLang="ja-JP"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RW</a:t>
          </a:r>
          <a:r>
            <a:rPr kumimoji="1" lang="ja-JP" altLang="en-US"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信号出力条件が複数あり、かつそれぞれ異なる</a:t>
          </a:r>
          <a:r>
            <a:rPr kumimoji="1" lang="en-US" altLang="ja-JP"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CH</a:t>
          </a:r>
          <a:r>
            <a:rPr kumimoji="1" lang="ja-JP" altLang="en-US"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にて使用している。</a:t>
          </a:r>
          <a:endParaRPr kumimoji="1" lang="en-US" altLang="ja-JP"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cs typeface="+mn-cs"/>
          </a:endParaRPr>
        </a:p>
        <a:p>
          <a:r>
            <a:rPr kumimoji="1" lang="ja-JP" altLang="en-US"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cs typeface="+mn-cs"/>
            </a:rPr>
            <a:t>その為、</a:t>
          </a:r>
          <a:r>
            <a:rPr lang="en-US" altLang="ja-JP"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rPr>
            <a:t>RW</a:t>
          </a:r>
          <a:r>
            <a:rPr lang="ja-JP" altLang="en-US"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rPr>
            <a:t>出力判定用の</a:t>
          </a:r>
          <a:r>
            <a:rPr lang="en-US" altLang="ja-JP"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rPr>
            <a:t>CH</a:t>
          </a:r>
          <a:r>
            <a:rPr lang="ja-JP" altLang="en-US"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rPr>
            <a:t>を追加し、判定を行う。</a:t>
          </a:r>
          <a:endParaRPr lang="en-US" altLang="ja-JP" sz="1200" b="1" strike="sngStrike" baseline="0">
            <a:solidFill>
              <a:sysClr val="windowText" lastClr="000000"/>
            </a:solidFill>
            <a:effectLst/>
            <a:latin typeface="ＭＳ Ｐゴシック" panose="020B0600070205080204" pitchFamily="50" charset="-128"/>
            <a:ea typeface="ＭＳ Ｐゴシック" panose="020B0600070205080204" pitchFamily="50" charset="-128"/>
          </a:endParaRPr>
        </a:p>
        <a:p>
          <a:r>
            <a:rPr kumimoji="1" lang="en-US" altLang="ja-JP" sz="1200" b="1" strike="noStrike" baseline="0">
              <a:solidFill>
                <a:srgbClr val="FF0000"/>
              </a:solidFill>
              <a:effectLst/>
              <a:latin typeface="ＭＳ Ｐゴシック" panose="020B0600070205080204" pitchFamily="50" charset="-128"/>
              <a:ea typeface="ＭＳ Ｐゴシック" panose="020B0600070205080204" pitchFamily="50" charset="-128"/>
              <a:cs typeface="+mn-cs"/>
            </a:rPr>
            <a:t>R/W</a:t>
          </a:r>
          <a:r>
            <a:rPr kumimoji="1" lang="ja-JP" altLang="en-US" sz="1200" b="1" strike="noStrike" baseline="0">
              <a:solidFill>
                <a:srgbClr val="FF0000"/>
              </a:solidFill>
              <a:effectLst/>
              <a:latin typeface="ＭＳ Ｐゴシック" panose="020B0600070205080204" pitchFamily="50" charset="-128"/>
              <a:ea typeface="ＭＳ Ｐゴシック" panose="020B0600070205080204" pitchFamily="50" charset="-128"/>
              <a:cs typeface="+mn-cs"/>
            </a:rPr>
            <a:t>送信信号の有無が無しと記載されており、</a:t>
          </a:r>
          <a:r>
            <a:rPr kumimoji="1" lang="en-US" altLang="ja-JP" sz="1200" b="1" strike="noStrike" baseline="0">
              <a:solidFill>
                <a:srgbClr val="FF0000"/>
              </a:solidFill>
              <a:effectLst/>
              <a:latin typeface="ＭＳ Ｐゴシック" panose="020B0600070205080204" pitchFamily="50" charset="-128"/>
              <a:ea typeface="ＭＳ Ｐゴシック" panose="020B0600070205080204" pitchFamily="50" charset="-128"/>
              <a:cs typeface="+mn-cs"/>
            </a:rPr>
            <a:t>M_REMWAR</a:t>
          </a:r>
          <a:r>
            <a:rPr kumimoji="1" lang="ja-JP" altLang="en-US" sz="1200" b="1" strike="noStrike" baseline="0">
              <a:solidFill>
                <a:srgbClr val="FF0000"/>
              </a:solidFill>
              <a:effectLst/>
              <a:latin typeface="ＭＳ Ｐゴシック" panose="020B0600070205080204" pitchFamily="50" charset="-128"/>
              <a:ea typeface="ＭＳ Ｐゴシック" panose="020B0600070205080204" pitchFamily="50" charset="-128"/>
              <a:cs typeface="+mn-cs"/>
            </a:rPr>
            <a:t>の送信信号、送信条件が取り消されているため、</a:t>
          </a:r>
          <a:r>
            <a:rPr lang="ja-JP" altLang="en-US" sz="1200" b="1" strike="noStrike" baseline="0">
              <a:solidFill>
                <a:srgbClr val="FF0000"/>
              </a:solidFill>
              <a:effectLst/>
              <a:latin typeface="ＭＳ Ｐゴシック" panose="020B0600070205080204" pitchFamily="50" charset="-128"/>
              <a:ea typeface="ＭＳ Ｐゴシック" panose="020B0600070205080204" pitchFamily="50" charset="-128"/>
            </a:rPr>
            <a:t>本機能では、</a:t>
          </a:r>
          <a:r>
            <a:rPr lang="en-US" altLang="ja-JP" sz="1200" b="1" strike="noStrike" baseline="0">
              <a:solidFill>
                <a:srgbClr val="FF0000"/>
              </a:solidFill>
              <a:effectLst/>
              <a:latin typeface="ＭＳ Ｐゴシック" panose="020B0600070205080204" pitchFamily="50" charset="-128"/>
              <a:ea typeface="ＭＳ Ｐゴシック" panose="020B0600070205080204" pitchFamily="50" charset="-128"/>
            </a:rPr>
            <a:t>LCAW</a:t>
          </a:r>
          <a:r>
            <a:rPr lang="ja-JP" altLang="en-US" sz="1200" b="1" strike="noStrike" baseline="0">
              <a:solidFill>
                <a:srgbClr val="FF0000"/>
              </a:solidFill>
              <a:effectLst/>
              <a:latin typeface="ＭＳ Ｐゴシック" panose="020B0600070205080204" pitchFamily="50" charset="-128"/>
              <a:ea typeface="ＭＳ Ｐゴシック" panose="020B0600070205080204" pitchFamily="50" charset="-128"/>
            </a:rPr>
            <a:t>の</a:t>
          </a:r>
          <a:r>
            <a:rPr lang="en-US" altLang="ja-JP" sz="1200" b="1" strike="noStrike" baseline="0">
              <a:solidFill>
                <a:srgbClr val="FF0000"/>
              </a:solidFill>
              <a:effectLst/>
              <a:latin typeface="ＭＳ Ｐゴシック" panose="020B0600070205080204" pitchFamily="50" charset="-128"/>
              <a:ea typeface="ＭＳ Ｐゴシック" panose="020B0600070205080204" pitchFamily="50" charset="-128"/>
            </a:rPr>
            <a:t>RW</a:t>
          </a:r>
          <a:r>
            <a:rPr lang="ja-JP" altLang="en-US" sz="1200" b="1" strike="noStrike" baseline="0">
              <a:solidFill>
                <a:srgbClr val="FF0000"/>
              </a:solidFill>
              <a:effectLst/>
              <a:latin typeface="ＭＳ Ｐゴシック" panose="020B0600070205080204" pitchFamily="50" charset="-128"/>
              <a:ea typeface="ＭＳ Ｐゴシック" panose="020B0600070205080204" pitchFamily="50" charset="-128"/>
            </a:rPr>
            <a:t>送信は行わない。</a:t>
          </a:r>
          <a:endParaRPr lang="en-US" altLang="ja-JP" sz="1200" b="1" strike="noStrike" baseline="0">
            <a:solidFill>
              <a:srgbClr val="FF0000"/>
            </a:solidFill>
            <a:effectLst/>
            <a:latin typeface="ＭＳ Ｐゴシック" panose="020B0600070205080204" pitchFamily="50" charset="-128"/>
            <a:ea typeface="ＭＳ Ｐゴシック" panose="020B0600070205080204" pitchFamily="50" charset="-128"/>
          </a:endParaRPr>
        </a:p>
      </xdr:txBody>
    </xdr:sp>
    <xdr:clientData/>
  </xdr:twoCellAnchor>
  <xdr:twoCellAnchor>
    <xdr:from>
      <xdr:col>15</xdr:col>
      <xdr:colOff>372595</xdr:colOff>
      <xdr:row>473</xdr:row>
      <xdr:rowOff>56470</xdr:rowOff>
    </xdr:from>
    <xdr:to>
      <xdr:col>22</xdr:col>
      <xdr:colOff>32241</xdr:colOff>
      <xdr:row>500</xdr:row>
      <xdr:rowOff>132790</xdr:rowOff>
    </xdr:to>
    <xdr:cxnSp macro="">
      <xdr:nvCxnSpPr>
        <xdr:cNvPr id="225" name="直線コネクタ 224">
          <a:extLst>
            <a:ext uri="{FF2B5EF4-FFF2-40B4-BE49-F238E27FC236}">
              <a16:creationId xmlns:a16="http://schemas.microsoft.com/office/drawing/2014/main" id="{00000000-0008-0000-0B00-0000E1000000}"/>
            </a:ext>
          </a:extLst>
        </xdr:cNvPr>
        <xdr:cNvCxnSpPr>
          <a:stCxn id="199" idx="1"/>
          <a:endCxn id="200" idx="3"/>
        </xdr:cNvCxnSpPr>
      </xdr:nvCxnSpPr>
      <xdr:spPr>
        <a:xfrm flipH="1">
          <a:off x="14517220" y="80657020"/>
          <a:ext cx="5041271" cy="4705470"/>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238125</xdr:colOff>
      <xdr:row>297</xdr:row>
      <xdr:rowOff>47625</xdr:rowOff>
    </xdr:from>
    <xdr:to>
      <xdr:col>12</xdr:col>
      <xdr:colOff>790975</xdr:colOff>
      <xdr:row>299</xdr:row>
      <xdr:rowOff>71449</xdr:rowOff>
    </xdr:to>
    <xdr:sp macro="" textlink="">
      <xdr:nvSpPr>
        <xdr:cNvPr id="224" name="線吹き出し 1 (枠付き) 223">
          <a:extLst>
            <a:ext uri="{FF2B5EF4-FFF2-40B4-BE49-F238E27FC236}">
              <a16:creationId xmlns:a16="http://schemas.microsoft.com/office/drawing/2014/main" id="{00000000-0008-0000-0B00-0000E0000000}"/>
            </a:ext>
          </a:extLst>
        </xdr:cNvPr>
        <xdr:cNvSpPr/>
      </xdr:nvSpPr>
      <xdr:spPr>
        <a:xfrm>
          <a:off x="6962775" y="36366450"/>
          <a:ext cx="4496200" cy="366724"/>
        </a:xfrm>
        <a:prstGeom prst="borderCallout1">
          <a:avLst>
            <a:gd name="adj1" fmla="val 47144"/>
            <a:gd name="adj2" fmla="val -921"/>
            <a:gd name="adj3" fmla="val 142852"/>
            <a:gd name="adj4" fmla="val -139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xdr:col>
      <xdr:colOff>76200</xdr:colOff>
      <xdr:row>222</xdr:row>
      <xdr:rowOff>47625</xdr:rowOff>
    </xdr:from>
    <xdr:to>
      <xdr:col>10</xdr:col>
      <xdr:colOff>1266825</xdr:colOff>
      <xdr:row>223</xdr:row>
      <xdr:rowOff>128599</xdr:rowOff>
    </xdr:to>
    <xdr:sp macro="" textlink="">
      <xdr:nvSpPr>
        <xdr:cNvPr id="226" name="線吹き出し 1 (枠付き) 225">
          <a:extLst>
            <a:ext uri="{FF2B5EF4-FFF2-40B4-BE49-F238E27FC236}">
              <a16:creationId xmlns:a16="http://schemas.microsoft.com/office/drawing/2014/main" id="{00000000-0008-0000-0B00-0000E2000000}"/>
            </a:ext>
          </a:extLst>
        </xdr:cNvPr>
        <xdr:cNvSpPr/>
      </xdr:nvSpPr>
      <xdr:spPr>
        <a:xfrm>
          <a:off x="5514975" y="17564100"/>
          <a:ext cx="2733675" cy="252424"/>
        </a:xfrm>
        <a:prstGeom prst="borderCallout1">
          <a:avLst>
            <a:gd name="adj1" fmla="val 47144"/>
            <a:gd name="adj2" fmla="val -921"/>
            <a:gd name="adj3" fmla="val 142852"/>
            <a:gd name="adj4" fmla="val -139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xdr:col>
      <xdr:colOff>76200</xdr:colOff>
      <xdr:row>235</xdr:row>
      <xdr:rowOff>47625</xdr:rowOff>
    </xdr:from>
    <xdr:to>
      <xdr:col>10</xdr:col>
      <xdr:colOff>1266825</xdr:colOff>
      <xdr:row>236</xdr:row>
      <xdr:rowOff>128599</xdr:rowOff>
    </xdr:to>
    <xdr:sp macro="" textlink="">
      <xdr:nvSpPr>
        <xdr:cNvPr id="227" name="線吹き出し 1 (枠付き) 226">
          <a:extLst>
            <a:ext uri="{FF2B5EF4-FFF2-40B4-BE49-F238E27FC236}">
              <a16:creationId xmlns:a16="http://schemas.microsoft.com/office/drawing/2014/main" id="{00000000-0008-0000-0B00-0000E3000000}"/>
            </a:ext>
          </a:extLst>
        </xdr:cNvPr>
        <xdr:cNvSpPr/>
      </xdr:nvSpPr>
      <xdr:spPr>
        <a:xfrm>
          <a:off x="5514975" y="21021675"/>
          <a:ext cx="2733675" cy="252424"/>
        </a:xfrm>
        <a:prstGeom prst="borderCallout1">
          <a:avLst>
            <a:gd name="adj1" fmla="val 47144"/>
            <a:gd name="adj2" fmla="val -921"/>
            <a:gd name="adj3" fmla="val 142852"/>
            <a:gd name="adj4" fmla="val -139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9</xdr:col>
      <xdr:colOff>28575</xdr:colOff>
      <xdr:row>248</xdr:row>
      <xdr:rowOff>66675</xdr:rowOff>
    </xdr:from>
    <xdr:to>
      <xdr:col>11</xdr:col>
      <xdr:colOff>1000125</xdr:colOff>
      <xdr:row>249</xdr:row>
      <xdr:rowOff>147649</xdr:rowOff>
    </xdr:to>
    <xdr:sp macro="" textlink="">
      <xdr:nvSpPr>
        <xdr:cNvPr id="228" name="線吹き出し 1 (枠付き) 227">
          <a:extLst>
            <a:ext uri="{FF2B5EF4-FFF2-40B4-BE49-F238E27FC236}">
              <a16:creationId xmlns:a16="http://schemas.microsoft.com/office/drawing/2014/main" id="{00000000-0008-0000-0B00-0000E4000000}"/>
            </a:ext>
          </a:extLst>
        </xdr:cNvPr>
        <xdr:cNvSpPr/>
      </xdr:nvSpPr>
      <xdr:spPr>
        <a:xfrm>
          <a:off x="6753225" y="24498300"/>
          <a:ext cx="2733675" cy="252424"/>
        </a:xfrm>
        <a:prstGeom prst="borderCallout1">
          <a:avLst>
            <a:gd name="adj1" fmla="val 47144"/>
            <a:gd name="adj2" fmla="val -921"/>
            <a:gd name="adj3" fmla="val 142852"/>
            <a:gd name="adj4" fmla="val -139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9</xdr:col>
      <xdr:colOff>228600</xdr:colOff>
      <xdr:row>263</xdr:row>
      <xdr:rowOff>66675</xdr:rowOff>
    </xdr:from>
    <xdr:to>
      <xdr:col>11</xdr:col>
      <xdr:colOff>1200150</xdr:colOff>
      <xdr:row>264</xdr:row>
      <xdr:rowOff>147649</xdr:rowOff>
    </xdr:to>
    <xdr:sp macro="" textlink="">
      <xdr:nvSpPr>
        <xdr:cNvPr id="229" name="線吹き出し 1 (枠付き) 228">
          <a:extLst>
            <a:ext uri="{FF2B5EF4-FFF2-40B4-BE49-F238E27FC236}">
              <a16:creationId xmlns:a16="http://schemas.microsoft.com/office/drawing/2014/main" id="{00000000-0008-0000-0B00-0000E5000000}"/>
            </a:ext>
          </a:extLst>
        </xdr:cNvPr>
        <xdr:cNvSpPr/>
      </xdr:nvSpPr>
      <xdr:spPr>
        <a:xfrm>
          <a:off x="6953250" y="28470225"/>
          <a:ext cx="2733675" cy="252424"/>
        </a:xfrm>
        <a:prstGeom prst="borderCallout1">
          <a:avLst>
            <a:gd name="adj1" fmla="val 47144"/>
            <a:gd name="adj2" fmla="val -921"/>
            <a:gd name="adj3" fmla="val 142852"/>
            <a:gd name="adj4" fmla="val -139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入力が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6</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ビット以下ため、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を使用</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17</xdr:col>
      <xdr:colOff>935182</xdr:colOff>
      <xdr:row>570</xdr:row>
      <xdr:rowOff>8660</xdr:rowOff>
    </xdr:from>
    <xdr:to>
      <xdr:col>21</xdr:col>
      <xdr:colOff>155863</xdr:colOff>
      <xdr:row>573</xdr:row>
      <xdr:rowOff>41737</xdr:rowOff>
    </xdr:to>
    <xdr:sp macro="" textlink="">
      <xdr:nvSpPr>
        <xdr:cNvPr id="158" name="線吹き出し 1 (枠付き) 157">
          <a:extLst>
            <a:ext uri="{FF2B5EF4-FFF2-40B4-BE49-F238E27FC236}">
              <a16:creationId xmlns:a16="http://schemas.microsoft.com/office/drawing/2014/main" id="{00000000-0008-0000-0B00-00009E000000}"/>
            </a:ext>
          </a:extLst>
        </xdr:cNvPr>
        <xdr:cNvSpPr/>
      </xdr:nvSpPr>
      <xdr:spPr>
        <a:xfrm>
          <a:off x="17127682" y="93067910"/>
          <a:ext cx="2173431" cy="604577"/>
        </a:xfrm>
        <a:prstGeom prst="borderCallout1">
          <a:avLst>
            <a:gd name="adj1" fmla="val 60492"/>
            <a:gd name="adj2" fmla="val 100183"/>
            <a:gd name="adj3" fmla="val 126955"/>
            <a:gd name="adj4" fmla="val 1291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VMID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SW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開発対象外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19</xdr:col>
      <xdr:colOff>476250</xdr:colOff>
      <xdr:row>7</xdr:row>
      <xdr:rowOff>457201</xdr:rowOff>
    </xdr:from>
    <xdr:to>
      <xdr:col>79</xdr:col>
      <xdr:colOff>625793</xdr:colOff>
      <xdr:row>222</xdr:row>
      <xdr:rowOff>101860</xdr:rowOff>
    </xdr:to>
    <xdr:grpSp>
      <xdr:nvGrpSpPr>
        <xdr:cNvPr id="93" name="グループ化 92">
          <a:extLst>
            <a:ext uri="{FF2B5EF4-FFF2-40B4-BE49-F238E27FC236}">
              <a16:creationId xmlns:a16="http://schemas.microsoft.com/office/drawing/2014/main" id="{A8E0500A-C230-5B22-A3A5-E9262E4BC506}"/>
            </a:ext>
          </a:extLst>
        </xdr:cNvPr>
        <xdr:cNvGrpSpPr/>
      </xdr:nvGrpSpPr>
      <xdr:grpSpPr>
        <a:xfrm>
          <a:off x="18124714" y="1885951"/>
          <a:ext cx="40970972" cy="40534123"/>
          <a:chOff x="17946221" y="1857936"/>
          <a:chExt cx="41163072" cy="38741983"/>
        </a:xfrm>
      </xdr:grpSpPr>
      <xdr:pic>
        <xdr:nvPicPr>
          <xdr:cNvPr id="23" name="図 22">
            <a:extLst>
              <a:ext uri="{FF2B5EF4-FFF2-40B4-BE49-F238E27FC236}">
                <a16:creationId xmlns:a16="http://schemas.microsoft.com/office/drawing/2014/main" id="{4F718772-4DE7-4649-8AE6-109473763C44}"/>
              </a:ext>
            </a:extLst>
          </xdr:cNvPr>
          <xdr:cNvPicPr>
            <a:picLocks noChangeAspect="1" noChangeArrowheads="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b="25263"/>
          <a:stretch/>
        </xdr:blipFill>
        <xdr:spPr bwMode="auto">
          <a:xfrm>
            <a:off x="17946221" y="2005853"/>
            <a:ext cx="19195720" cy="38126334"/>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10" name="正方形/長方形 109">
            <a:extLst>
              <a:ext uri="{FF2B5EF4-FFF2-40B4-BE49-F238E27FC236}">
                <a16:creationId xmlns:a16="http://schemas.microsoft.com/office/drawing/2014/main" id="{00000000-0008-0000-0B00-00006E000000}"/>
              </a:ext>
            </a:extLst>
          </xdr:cNvPr>
          <xdr:cNvSpPr/>
        </xdr:nvSpPr>
        <xdr:spPr>
          <a:xfrm>
            <a:off x="26105631" y="5121235"/>
            <a:ext cx="1315163" cy="164406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15" name="正方形/長方形 114">
            <a:extLst>
              <a:ext uri="{FF2B5EF4-FFF2-40B4-BE49-F238E27FC236}">
                <a16:creationId xmlns:a16="http://schemas.microsoft.com/office/drawing/2014/main" id="{00000000-0008-0000-0B00-000073000000}"/>
              </a:ext>
            </a:extLst>
          </xdr:cNvPr>
          <xdr:cNvSpPr/>
        </xdr:nvSpPr>
        <xdr:spPr>
          <a:xfrm>
            <a:off x="31770692" y="5289921"/>
            <a:ext cx="819834" cy="14633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22" name="正方形/長方形 121">
            <a:extLst>
              <a:ext uri="{FF2B5EF4-FFF2-40B4-BE49-F238E27FC236}">
                <a16:creationId xmlns:a16="http://schemas.microsoft.com/office/drawing/2014/main" id="{00000000-0008-0000-0B00-00007A000000}"/>
              </a:ext>
            </a:extLst>
          </xdr:cNvPr>
          <xdr:cNvSpPr/>
        </xdr:nvSpPr>
        <xdr:spPr>
          <a:xfrm>
            <a:off x="27434534" y="7720854"/>
            <a:ext cx="1951213" cy="235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24" name="正方形/長方形 123">
            <a:extLst>
              <a:ext uri="{FF2B5EF4-FFF2-40B4-BE49-F238E27FC236}">
                <a16:creationId xmlns:a16="http://schemas.microsoft.com/office/drawing/2014/main" id="{00000000-0008-0000-0B00-00007C000000}"/>
              </a:ext>
            </a:extLst>
          </xdr:cNvPr>
          <xdr:cNvSpPr/>
        </xdr:nvSpPr>
        <xdr:spPr>
          <a:xfrm>
            <a:off x="29390869" y="7720853"/>
            <a:ext cx="1452116" cy="2422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25" name="線吹き出し 1 (枠付き) 124">
            <a:extLst>
              <a:ext uri="{FF2B5EF4-FFF2-40B4-BE49-F238E27FC236}">
                <a16:creationId xmlns:a16="http://schemas.microsoft.com/office/drawing/2014/main" id="{00000000-0008-0000-0B00-00007D000000}"/>
              </a:ext>
            </a:extLst>
          </xdr:cNvPr>
          <xdr:cNvSpPr/>
        </xdr:nvSpPr>
        <xdr:spPr>
          <a:xfrm>
            <a:off x="27642453" y="4418584"/>
            <a:ext cx="1456982" cy="567309"/>
          </a:xfrm>
          <a:prstGeom prst="borderCallout1">
            <a:avLst>
              <a:gd name="adj1" fmla="val 42429"/>
              <a:gd name="adj2" fmla="val -3670"/>
              <a:gd name="adj3" fmla="val 133976"/>
              <a:gd name="adj4" fmla="val -33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sp macro="" textlink="">
        <xdr:nvSpPr>
          <xdr:cNvPr id="126" name="線吹き出し 1 (枠付き) 125">
            <a:extLst>
              <a:ext uri="{FF2B5EF4-FFF2-40B4-BE49-F238E27FC236}">
                <a16:creationId xmlns:a16="http://schemas.microsoft.com/office/drawing/2014/main" id="{00000000-0008-0000-0B00-00007E000000}"/>
              </a:ext>
            </a:extLst>
          </xdr:cNvPr>
          <xdr:cNvSpPr/>
        </xdr:nvSpPr>
        <xdr:spPr>
          <a:xfrm>
            <a:off x="32911154" y="4851133"/>
            <a:ext cx="1690980" cy="404313"/>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128" name="線吹き出し 1 (枠付き) 127">
            <a:extLst>
              <a:ext uri="{FF2B5EF4-FFF2-40B4-BE49-F238E27FC236}">
                <a16:creationId xmlns:a16="http://schemas.microsoft.com/office/drawing/2014/main" id="{00000000-0008-0000-0B00-000080000000}"/>
              </a:ext>
            </a:extLst>
          </xdr:cNvPr>
          <xdr:cNvSpPr/>
        </xdr:nvSpPr>
        <xdr:spPr>
          <a:xfrm>
            <a:off x="27981141" y="8066165"/>
            <a:ext cx="1248541" cy="304630"/>
          </a:xfrm>
          <a:prstGeom prst="borderCallout1">
            <a:avLst>
              <a:gd name="adj1" fmla="val 45277"/>
              <a:gd name="adj2" fmla="val -3670"/>
              <a:gd name="adj3" fmla="val -50683"/>
              <a:gd name="adj4" fmla="val -125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p>
        </xdr:txBody>
      </xdr:sp>
      <xdr:sp macro="" textlink="">
        <xdr:nvSpPr>
          <xdr:cNvPr id="129" name="線吹き出し 1 (枠付き) 128">
            <a:extLst>
              <a:ext uri="{FF2B5EF4-FFF2-40B4-BE49-F238E27FC236}">
                <a16:creationId xmlns:a16="http://schemas.microsoft.com/office/drawing/2014/main" id="{00000000-0008-0000-0B00-000081000000}"/>
              </a:ext>
            </a:extLst>
          </xdr:cNvPr>
          <xdr:cNvSpPr/>
        </xdr:nvSpPr>
        <xdr:spPr>
          <a:xfrm>
            <a:off x="30294496" y="8057330"/>
            <a:ext cx="2167652" cy="291483"/>
          </a:xfrm>
          <a:prstGeom prst="borderCallout1">
            <a:avLst>
              <a:gd name="adj1" fmla="val 44823"/>
              <a:gd name="adj2" fmla="val -3207"/>
              <a:gd name="adj3" fmla="val -34032"/>
              <a:gd name="adj4" fmla="val -17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000b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に設定する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131" name="線吹き出し 1 (枠付き) 130">
            <a:extLst>
              <a:ext uri="{FF2B5EF4-FFF2-40B4-BE49-F238E27FC236}">
                <a16:creationId xmlns:a16="http://schemas.microsoft.com/office/drawing/2014/main" id="{00000000-0008-0000-0B00-000083000000}"/>
              </a:ext>
            </a:extLst>
          </xdr:cNvPr>
          <xdr:cNvSpPr/>
        </xdr:nvSpPr>
        <xdr:spPr>
          <a:xfrm>
            <a:off x="24593312" y="1973257"/>
            <a:ext cx="1820419" cy="420994"/>
          </a:xfrm>
          <a:prstGeom prst="borderCallout1">
            <a:avLst>
              <a:gd name="adj1" fmla="val 48660"/>
              <a:gd name="adj2" fmla="val 1032"/>
              <a:gd name="adj3" fmla="val 79955"/>
              <a:gd name="adj4" fmla="val -47109"/>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TT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rPr>
              <a:t>要求有りと判断</a:t>
            </a:r>
          </a:p>
        </xdr:txBody>
      </xdr:sp>
      <xdr:sp macro="" textlink="">
        <xdr:nvSpPr>
          <xdr:cNvPr id="132" name="正方形/長方形 131">
            <a:extLst>
              <a:ext uri="{FF2B5EF4-FFF2-40B4-BE49-F238E27FC236}">
                <a16:creationId xmlns:a16="http://schemas.microsoft.com/office/drawing/2014/main" id="{00000000-0008-0000-0B00-000084000000}"/>
              </a:ext>
            </a:extLst>
          </xdr:cNvPr>
          <xdr:cNvSpPr/>
        </xdr:nvSpPr>
        <xdr:spPr>
          <a:xfrm>
            <a:off x="21664628" y="2135699"/>
            <a:ext cx="2078601" cy="7065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40" name="正方形/長方形 39">
            <a:extLst>
              <a:ext uri="{FF2B5EF4-FFF2-40B4-BE49-F238E27FC236}">
                <a16:creationId xmlns:a16="http://schemas.microsoft.com/office/drawing/2014/main" id="{0E6465E7-E1C4-4E68-9D06-730F16B945C6}"/>
              </a:ext>
            </a:extLst>
          </xdr:cNvPr>
          <xdr:cNvSpPr/>
        </xdr:nvSpPr>
        <xdr:spPr>
          <a:xfrm>
            <a:off x="26072624" y="11644074"/>
            <a:ext cx="1381394" cy="15794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41" name="正方形/長方形 40">
            <a:extLst>
              <a:ext uri="{FF2B5EF4-FFF2-40B4-BE49-F238E27FC236}">
                <a16:creationId xmlns:a16="http://schemas.microsoft.com/office/drawing/2014/main" id="{3C82C503-9EC1-4E70-863D-7D68E34EE7BF}"/>
              </a:ext>
            </a:extLst>
          </xdr:cNvPr>
          <xdr:cNvSpPr/>
        </xdr:nvSpPr>
        <xdr:spPr>
          <a:xfrm>
            <a:off x="31777125" y="11862852"/>
            <a:ext cx="805660" cy="13892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43" name="正方形/長方形 42">
            <a:extLst>
              <a:ext uri="{FF2B5EF4-FFF2-40B4-BE49-F238E27FC236}">
                <a16:creationId xmlns:a16="http://schemas.microsoft.com/office/drawing/2014/main" id="{C4783433-67EE-4441-B58C-3850C58E9B65}"/>
              </a:ext>
            </a:extLst>
          </xdr:cNvPr>
          <xdr:cNvSpPr/>
        </xdr:nvSpPr>
        <xdr:spPr>
          <a:xfrm>
            <a:off x="27431337" y="14173095"/>
            <a:ext cx="1982984" cy="2174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45" name="正方形/長方形 44">
            <a:extLst>
              <a:ext uri="{FF2B5EF4-FFF2-40B4-BE49-F238E27FC236}">
                <a16:creationId xmlns:a16="http://schemas.microsoft.com/office/drawing/2014/main" id="{70DD8AAA-6BF5-44BA-80E4-8D0396E490C0}"/>
              </a:ext>
            </a:extLst>
          </xdr:cNvPr>
          <xdr:cNvSpPr/>
        </xdr:nvSpPr>
        <xdr:spPr>
          <a:xfrm>
            <a:off x="29393793" y="14187769"/>
            <a:ext cx="1456562" cy="2017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46" name="線吹き出し 1 (枠付き) 124">
            <a:extLst>
              <a:ext uri="{FF2B5EF4-FFF2-40B4-BE49-F238E27FC236}">
                <a16:creationId xmlns:a16="http://schemas.microsoft.com/office/drawing/2014/main" id="{CD89AED7-5BEB-4775-BA80-AB09FD20BEB6}"/>
              </a:ext>
            </a:extLst>
          </xdr:cNvPr>
          <xdr:cNvSpPr/>
        </xdr:nvSpPr>
        <xdr:spPr>
          <a:xfrm>
            <a:off x="27675677" y="11144250"/>
            <a:ext cx="1456982" cy="402583"/>
          </a:xfrm>
          <a:prstGeom prst="borderCallout1">
            <a:avLst>
              <a:gd name="adj1" fmla="val 42429"/>
              <a:gd name="adj2" fmla="val -3670"/>
              <a:gd name="adj3" fmla="val 133976"/>
              <a:gd name="adj4" fmla="val -33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sp macro="" textlink="">
        <xdr:nvSpPr>
          <xdr:cNvPr id="47" name="線吹き出し 1 (枠付き) 125">
            <a:extLst>
              <a:ext uri="{FF2B5EF4-FFF2-40B4-BE49-F238E27FC236}">
                <a16:creationId xmlns:a16="http://schemas.microsoft.com/office/drawing/2014/main" id="{28F59F8C-FC9F-4021-A4B3-30F8189B4AED}"/>
              </a:ext>
            </a:extLst>
          </xdr:cNvPr>
          <xdr:cNvSpPr/>
        </xdr:nvSpPr>
        <xdr:spPr>
          <a:xfrm>
            <a:off x="32783318" y="11546288"/>
            <a:ext cx="1700149" cy="395858"/>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48" name="線吹き出し 1 (枠付き) 127">
            <a:extLst>
              <a:ext uri="{FF2B5EF4-FFF2-40B4-BE49-F238E27FC236}">
                <a16:creationId xmlns:a16="http://schemas.microsoft.com/office/drawing/2014/main" id="{1B93327D-3E3C-4CA7-8AA5-A540A89159AC}"/>
              </a:ext>
            </a:extLst>
          </xdr:cNvPr>
          <xdr:cNvSpPr/>
        </xdr:nvSpPr>
        <xdr:spPr>
          <a:xfrm>
            <a:off x="27954283" y="14655634"/>
            <a:ext cx="1469728" cy="360000"/>
          </a:xfrm>
          <a:prstGeom prst="borderCallout1">
            <a:avLst>
              <a:gd name="adj1" fmla="val 45277"/>
              <a:gd name="adj2" fmla="val -3670"/>
              <a:gd name="adj3" fmla="val -50683"/>
              <a:gd name="adj4" fmla="val -125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p>
        </xdr:txBody>
      </xdr:sp>
      <xdr:sp macro="" textlink="">
        <xdr:nvSpPr>
          <xdr:cNvPr id="50" name="線吹き出し 1 (枠付き) 128">
            <a:extLst>
              <a:ext uri="{FF2B5EF4-FFF2-40B4-BE49-F238E27FC236}">
                <a16:creationId xmlns:a16="http://schemas.microsoft.com/office/drawing/2014/main" id="{0D13D896-A26F-4D41-B2F2-4ADDFE6EA1A5}"/>
              </a:ext>
            </a:extLst>
          </xdr:cNvPr>
          <xdr:cNvSpPr/>
        </xdr:nvSpPr>
        <xdr:spPr>
          <a:xfrm>
            <a:off x="30496066" y="14587325"/>
            <a:ext cx="2395045" cy="356288"/>
          </a:xfrm>
          <a:prstGeom prst="borderCallout1">
            <a:avLst>
              <a:gd name="adj1" fmla="val 44823"/>
              <a:gd name="adj2" fmla="val -3207"/>
              <a:gd name="adj3" fmla="val -34032"/>
              <a:gd name="adj4" fmla="val -17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通信途絶時は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000b</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に設定する</a:t>
            </a:r>
          </a:p>
        </xdr:txBody>
      </xdr:sp>
      <xdr:sp macro="" textlink="">
        <xdr:nvSpPr>
          <xdr:cNvPr id="51" name="正方形/長方形 50">
            <a:extLst>
              <a:ext uri="{FF2B5EF4-FFF2-40B4-BE49-F238E27FC236}">
                <a16:creationId xmlns:a16="http://schemas.microsoft.com/office/drawing/2014/main" id="{0A5CEAC0-7F38-43A2-B9AC-F38E78ACCD80}"/>
              </a:ext>
            </a:extLst>
          </xdr:cNvPr>
          <xdr:cNvSpPr/>
        </xdr:nvSpPr>
        <xdr:spPr>
          <a:xfrm>
            <a:off x="26045730" y="17988846"/>
            <a:ext cx="1381394" cy="16315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54" name="正方形/長方形 53">
            <a:extLst>
              <a:ext uri="{FF2B5EF4-FFF2-40B4-BE49-F238E27FC236}">
                <a16:creationId xmlns:a16="http://schemas.microsoft.com/office/drawing/2014/main" id="{B3130CEB-41E6-4A06-820C-EDF363859216}"/>
              </a:ext>
            </a:extLst>
          </xdr:cNvPr>
          <xdr:cNvSpPr/>
        </xdr:nvSpPr>
        <xdr:spPr>
          <a:xfrm>
            <a:off x="31756953" y="18225553"/>
            <a:ext cx="813504" cy="14060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59" name="正方形/長方形 58">
            <a:extLst>
              <a:ext uri="{FF2B5EF4-FFF2-40B4-BE49-F238E27FC236}">
                <a16:creationId xmlns:a16="http://schemas.microsoft.com/office/drawing/2014/main" id="{25C39E28-8464-4C84-9AF8-07EDEBD8B6B2}"/>
              </a:ext>
            </a:extLst>
          </xdr:cNvPr>
          <xdr:cNvSpPr/>
        </xdr:nvSpPr>
        <xdr:spPr>
          <a:xfrm>
            <a:off x="27440863" y="20569414"/>
            <a:ext cx="1954408" cy="2371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60" name="正方形/長方形 59">
            <a:extLst>
              <a:ext uri="{FF2B5EF4-FFF2-40B4-BE49-F238E27FC236}">
                <a16:creationId xmlns:a16="http://schemas.microsoft.com/office/drawing/2014/main" id="{59B2FC91-ABCD-4A8F-AE64-3D6905438AB6}"/>
              </a:ext>
            </a:extLst>
          </xdr:cNvPr>
          <xdr:cNvSpPr/>
        </xdr:nvSpPr>
        <xdr:spPr>
          <a:xfrm>
            <a:off x="29401594" y="20565555"/>
            <a:ext cx="1427469" cy="2417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61" name="線吹き出し 1 (枠付き) 124">
            <a:extLst>
              <a:ext uri="{FF2B5EF4-FFF2-40B4-BE49-F238E27FC236}">
                <a16:creationId xmlns:a16="http://schemas.microsoft.com/office/drawing/2014/main" id="{ECDC1FE4-E37C-482D-A771-3CE355574023}"/>
              </a:ext>
            </a:extLst>
          </xdr:cNvPr>
          <xdr:cNvSpPr/>
        </xdr:nvSpPr>
        <xdr:spPr>
          <a:xfrm>
            <a:off x="27486858" y="17457645"/>
            <a:ext cx="1459223" cy="395859"/>
          </a:xfrm>
          <a:prstGeom prst="borderCallout1">
            <a:avLst>
              <a:gd name="adj1" fmla="val 42429"/>
              <a:gd name="adj2" fmla="val -3670"/>
              <a:gd name="adj3" fmla="val 133976"/>
              <a:gd name="adj4" fmla="val -33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sp macro="" textlink="">
        <xdr:nvSpPr>
          <xdr:cNvPr id="62" name="線吹き出し 1 (枠付き) 125">
            <a:extLst>
              <a:ext uri="{FF2B5EF4-FFF2-40B4-BE49-F238E27FC236}">
                <a16:creationId xmlns:a16="http://schemas.microsoft.com/office/drawing/2014/main" id="{AFF75145-F0F3-4CB3-ADCE-2A573FA6148B}"/>
              </a:ext>
            </a:extLst>
          </xdr:cNvPr>
          <xdr:cNvSpPr/>
        </xdr:nvSpPr>
        <xdr:spPr>
          <a:xfrm>
            <a:off x="32618031" y="17816541"/>
            <a:ext cx="1700150" cy="399220"/>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63" name="線吹き出し 1 (枠付き) 127">
            <a:extLst>
              <a:ext uri="{FF2B5EF4-FFF2-40B4-BE49-F238E27FC236}">
                <a16:creationId xmlns:a16="http://schemas.microsoft.com/office/drawing/2014/main" id="{8E9634CF-4FC8-4DBF-B80A-C783B5B332FB}"/>
              </a:ext>
            </a:extLst>
          </xdr:cNvPr>
          <xdr:cNvSpPr/>
        </xdr:nvSpPr>
        <xdr:spPr>
          <a:xfrm>
            <a:off x="27913469" y="21002301"/>
            <a:ext cx="1469728" cy="360001"/>
          </a:xfrm>
          <a:prstGeom prst="borderCallout1">
            <a:avLst>
              <a:gd name="adj1" fmla="val 45277"/>
              <a:gd name="adj2" fmla="val -3670"/>
              <a:gd name="adj3" fmla="val -50683"/>
              <a:gd name="adj4" fmla="val -125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p>
        </xdr:txBody>
      </xdr:sp>
      <xdr:sp macro="" textlink="">
        <xdr:nvSpPr>
          <xdr:cNvPr id="64" name="線吹き出し 1 (枠付き) 128">
            <a:extLst>
              <a:ext uri="{FF2B5EF4-FFF2-40B4-BE49-F238E27FC236}">
                <a16:creationId xmlns:a16="http://schemas.microsoft.com/office/drawing/2014/main" id="{1C4AFB61-A815-42AE-AC75-C0FF0EDE21F9}"/>
              </a:ext>
            </a:extLst>
          </xdr:cNvPr>
          <xdr:cNvSpPr/>
        </xdr:nvSpPr>
        <xdr:spPr>
          <a:xfrm>
            <a:off x="30162176" y="20938731"/>
            <a:ext cx="2389873" cy="356292"/>
          </a:xfrm>
          <a:prstGeom prst="borderCallout1">
            <a:avLst>
              <a:gd name="adj1" fmla="val 44823"/>
              <a:gd name="adj2" fmla="val -3207"/>
              <a:gd name="adj3" fmla="val -34032"/>
              <a:gd name="adj4" fmla="val -17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通信途絶時は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000b</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に設定する</a:t>
            </a:r>
          </a:p>
        </xdr:txBody>
      </xdr:sp>
      <xdr:sp macro="" textlink="">
        <xdr:nvSpPr>
          <xdr:cNvPr id="5" name="正方形/長方形 4">
            <a:extLst>
              <a:ext uri="{FF2B5EF4-FFF2-40B4-BE49-F238E27FC236}">
                <a16:creationId xmlns:a16="http://schemas.microsoft.com/office/drawing/2014/main" id="{1BC3096D-0819-48FF-9D32-6C6A0F9CE20D}"/>
              </a:ext>
            </a:extLst>
          </xdr:cNvPr>
          <xdr:cNvSpPr/>
        </xdr:nvSpPr>
        <xdr:spPr>
          <a:xfrm>
            <a:off x="29406423" y="5308238"/>
            <a:ext cx="1432164" cy="14633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3" name="線吹き出し 1 (枠付き) 125">
            <a:extLst>
              <a:ext uri="{FF2B5EF4-FFF2-40B4-BE49-F238E27FC236}">
                <a16:creationId xmlns:a16="http://schemas.microsoft.com/office/drawing/2014/main" id="{616D4359-1E67-4C4E-B726-973F2C0C82E1}"/>
              </a:ext>
            </a:extLst>
          </xdr:cNvPr>
          <xdr:cNvSpPr/>
        </xdr:nvSpPr>
        <xdr:spPr>
          <a:xfrm>
            <a:off x="30262643" y="4853731"/>
            <a:ext cx="1690981" cy="404313"/>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特別処理がある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pic>
        <xdr:nvPicPr>
          <xdr:cNvPr id="14" name="図 13">
            <a:extLst>
              <a:ext uri="{FF2B5EF4-FFF2-40B4-BE49-F238E27FC236}">
                <a16:creationId xmlns:a16="http://schemas.microsoft.com/office/drawing/2014/main" id="{0206A916-5C81-441F-861C-0F8D59F62F58}"/>
              </a:ext>
            </a:extLst>
          </xdr:cNvPr>
          <xdr:cNvPicPr>
            <a:picLocks noChangeAspect="1" noChangeArrowheads="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t="1" b="89668"/>
          <a:stretch/>
        </xdr:blipFill>
        <xdr:spPr bwMode="auto">
          <a:xfrm>
            <a:off x="38624435" y="1857936"/>
            <a:ext cx="20484858" cy="101413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5" name="正方形/長方形 14">
            <a:extLst>
              <a:ext uri="{FF2B5EF4-FFF2-40B4-BE49-F238E27FC236}">
                <a16:creationId xmlns:a16="http://schemas.microsoft.com/office/drawing/2014/main" id="{FF7D53ED-0608-4B08-972C-70588E47E39D}"/>
              </a:ext>
            </a:extLst>
          </xdr:cNvPr>
          <xdr:cNvSpPr/>
        </xdr:nvSpPr>
        <xdr:spPr>
          <a:xfrm>
            <a:off x="50321615" y="11540022"/>
            <a:ext cx="8733385" cy="3329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xnSp macro="">
        <xdr:nvCxnSpPr>
          <xdr:cNvPr id="18" name="直線コネクタ 17">
            <a:extLst>
              <a:ext uri="{FF2B5EF4-FFF2-40B4-BE49-F238E27FC236}">
                <a16:creationId xmlns:a16="http://schemas.microsoft.com/office/drawing/2014/main" id="{44E0BEC5-A4DA-CCBE-DBA4-23945456906D}"/>
              </a:ext>
            </a:extLst>
          </xdr:cNvPr>
          <xdr:cNvCxnSpPr>
            <a:stCxn id="5" idx="2"/>
            <a:endCxn id="15" idx="1"/>
          </xdr:cNvCxnSpPr>
        </xdr:nvCxnSpPr>
        <xdr:spPr>
          <a:xfrm>
            <a:off x="30122505" y="6771624"/>
            <a:ext cx="20199110" cy="4934871"/>
          </a:xfrm>
          <a:prstGeom prst="line">
            <a:avLst/>
          </a:prstGeom>
          <a:ln w="19050">
            <a:solidFill>
              <a:srgbClr val="0070C0"/>
            </a:solidFill>
          </a:ln>
        </xdr:spPr>
        <xdr:style>
          <a:lnRef idx="1">
            <a:schemeClr val="accent1"/>
          </a:lnRef>
          <a:fillRef idx="0">
            <a:schemeClr val="accent1"/>
          </a:fillRef>
          <a:effectRef idx="0">
            <a:schemeClr val="accent1"/>
          </a:effectRef>
          <a:fontRef idx="minor">
            <a:schemeClr val="tx1"/>
          </a:fontRef>
        </xdr:style>
      </xdr:cxnSp>
      <xdr:sp macro="" textlink="">
        <xdr:nvSpPr>
          <xdr:cNvPr id="19" name="正方形/長方形 18">
            <a:extLst>
              <a:ext uri="{FF2B5EF4-FFF2-40B4-BE49-F238E27FC236}">
                <a16:creationId xmlns:a16="http://schemas.microsoft.com/office/drawing/2014/main" id="{CEA40360-99F6-4BF3-AEA7-B5128E38BCBE}"/>
              </a:ext>
            </a:extLst>
          </xdr:cNvPr>
          <xdr:cNvSpPr/>
        </xdr:nvSpPr>
        <xdr:spPr>
          <a:xfrm>
            <a:off x="29374539" y="11853021"/>
            <a:ext cx="1432164" cy="13945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0" name="線吹き出し 1 (枠付き) 125">
            <a:extLst>
              <a:ext uri="{FF2B5EF4-FFF2-40B4-BE49-F238E27FC236}">
                <a16:creationId xmlns:a16="http://schemas.microsoft.com/office/drawing/2014/main" id="{B73FC28A-1F7A-4E62-AEC9-55DD0F39A1EE}"/>
              </a:ext>
            </a:extLst>
          </xdr:cNvPr>
          <xdr:cNvSpPr/>
        </xdr:nvSpPr>
        <xdr:spPr>
          <a:xfrm>
            <a:off x="30270540" y="11452412"/>
            <a:ext cx="1690981" cy="404313"/>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特別処理がなし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21" name="正方形/長方形 20">
            <a:extLst>
              <a:ext uri="{FF2B5EF4-FFF2-40B4-BE49-F238E27FC236}">
                <a16:creationId xmlns:a16="http://schemas.microsoft.com/office/drawing/2014/main" id="{A65265BA-C5C1-4C43-B21C-9DCA6B78F0D9}"/>
              </a:ext>
            </a:extLst>
          </xdr:cNvPr>
          <xdr:cNvSpPr/>
        </xdr:nvSpPr>
        <xdr:spPr>
          <a:xfrm>
            <a:off x="29368376" y="18238694"/>
            <a:ext cx="1432164" cy="13945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2" name="線吹き出し 1 (枠付き) 125">
            <a:extLst>
              <a:ext uri="{FF2B5EF4-FFF2-40B4-BE49-F238E27FC236}">
                <a16:creationId xmlns:a16="http://schemas.microsoft.com/office/drawing/2014/main" id="{01210771-7989-420B-A80D-2BF3B936F935}"/>
              </a:ext>
            </a:extLst>
          </xdr:cNvPr>
          <xdr:cNvSpPr/>
        </xdr:nvSpPr>
        <xdr:spPr>
          <a:xfrm>
            <a:off x="30131027" y="17793822"/>
            <a:ext cx="1693222" cy="400951"/>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特別処理がなし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24" name="正方形/長方形 23">
            <a:extLst>
              <a:ext uri="{FF2B5EF4-FFF2-40B4-BE49-F238E27FC236}">
                <a16:creationId xmlns:a16="http://schemas.microsoft.com/office/drawing/2014/main" id="{3F024211-FFDE-43B9-8EB4-1C255ADD7B15}"/>
              </a:ext>
            </a:extLst>
          </xdr:cNvPr>
          <xdr:cNvSpPr/>
        </xdr:nvSpPr>
        <xdr:spPr>
          <a:xfrm>
            <a:off x="26071504" y="24387405"/>
            <a:ext cx="1381394" cy="16315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5" name="正方形/長方形 24">
            <a:extLst>
              <a:ext uri="{FF2B5EF4-FFF2-40B4-BE49-F238E27FC236}">
                <a16:creationId xmlns:a16="http://schemas.microsoft.com/office/drawing/2014/main" id="{18B87AE6-8AAD-4923-AB06-CF70D3273AE5}"/>
              </a:ext>
            </a:extLst>
          </xdr:cNvPr>
          <xdr:cNvSpPr/>
        </xdr:nvSpPr>
        <xdr:spPr>
          <a:xfrm>
            <a:off x="31782727" y="24624112"/>
            <a:ext cx="813504" cy="140603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6" name="正方形/長方形 25">
            <a:extLst>
              <a:ext uri="{FF2B5EF4-FFF2-40B4-BE49-F238E27FC236}">
                <a16:creationId xmlns:a16="http://schemas.microsoft.com/office/drawing/2014/main" id="{1938E3AB-C4A5-482D-93E0-5FE2B391CCBC}"/>
              </a:ext>
            </a:extLst>
          </xdr:cNvPr>
          <xdr:cNvSpPr/>
        </xdr:nvSpPr>
        <xdr:spPr>
          <a:xfrm>
            <a:off x="27466637" y="26967973"/>
            <a:ext cx="1954408" cy="2371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7" name="正方形/長方形 26">
            <a:extLst>
              <a:ext uri="{FF2B5EF4-FFF2-40B4-BE49-F238E27FC236}">
                <a16:creationId xmlns:a16="http://schemas.microsoft.com/office/drawing/2014/main" id="{13E51FEC-B61A-439D-993E-9A53AB816A6E}"/>
              </a:ext>
            </a:extLst>
          </xdr:cNvPr>
          <xdr:cNvSpPr/>
        </xdr:nvSpPr>
        <xdr:spPr>
          <a:xfrm>
            <a:off x="29427368" y="26964114"/>
            <a:ext cx="1427469" cy="2417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8" name="線吹き出し 1 (枠付き) 124">
            <a:extLst>
              <a:ext uri="{FF2B5EF4-FFF2-40B4-BE49-F238E27FC236}">
                <a16:creationId xmlns:a16="http://schemas.microsoft.com/office/drawing/2014/main" id="{FADDE426-277D-4B99-BF4A-7B72A37EE9AF}"/>
              </a:ext>
            </a:extLst>
          </xdr:cNvPr>
          <xdr:cNvSpPr/>
        </xdr:nvSpPr>
        <xdr:spPr>
          <a:xfrm>
            <a:off x="27512632" y="23856204"/>
            <a:ext cx="1459223" cy="395859"/>
          </a:xfrm>
          <a:prstGeom prst="borderCallout1">
            <a:avLst>
              <a:gd name="adj1" fmla="val 42429"/>
              <a:gd name="adj2" fmla="val -3670"/>
              <a:gd name="adj3" fmla="val 133976"/>
              <a:gd name="adj4" fmla="val -33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sp macro="" textlink="">
        <xdr:nvSpPr>
          <xdr:cNvPr id="29" name="線吹き出し 1 (枠付き) 125">
            <a:extLst>
              <a:ext uri="{FF2B5EF4-FFF2-40B4-BE49-F238E27FC236}">
                <a16:creationId xmlns:a16="http://schemas.microsoft.com/office/drawing/2014/main" id="{82E42FC8-B0A2-44CE-854B-5D3EFFF5FC70}"/>
              </a:ext>
            </a:extLst>
          </xdr:cNvPr>
          <xdr:cNvSpPr/>
        </xdr:nvSpPr>
        <xdr:spPr>
          <a:xfrm>
            <a:off x="32643805" y="24215100"/>
            <a:ext cx="1700150" cy="399220"/>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30" name="線吹き出し 1 (枠付き) 127">
            <a:extLst>
              <a:ext uri="{FF2B5EF4-FFF2-40B4-BE49-F238E27FC236}">
                <a16:creationId xmlns:a16="http://schemas.microsoft.com/office/drawing/2014/main" id="{05A5AF62-DADA-4BF4-A2E3-D8F6CE1C3AEC}"/>
              </a:ext>
            </a:extLst>
          </xdr:cNvPr>
          <xdr:cNvSpPr/>
        </xdr:nvSpPr>
        <xdr:spPr>
          <a:xfrm>
            <a:off x="27939243" y="27400860"/>
            <a:ext cx="1469728" cy="360001"/>
          </a:xfrm>
          <a:prstGeom prst="borderCallout1">
            <a:avLst>
              <a:gd name="adj1" fmla="val 45277"/>
              <a:gd name="adj2" fmla="val -3670"/>
              <a:gd name="adj3" fmla="val -50683"/>
              <a:gd name="adj4" fmla="val -125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p>
        </xdr:txBody>
      </xdr:sp>
      <xdr:sp macro="" textlink="">
        <xdr:nvSpPr>
          <xdr:cNvPr id="31" name="線吹き出し 1 (枠付き) 128">
            <a:extLst>
              <a:ext uri="{FF2B5EF4-FFF2-40B4-BE49-F238E27FC236}">
                <a16:creationId xmlns:a16="http://schemas.microsoft.com/office/drawing/2014/main" id="{FBE1825C-F7EA-4B27-A073-119D261AB02D}"/>
              </a:ext>
            </a:extLst>
          </xdr:cNvPr>
          <xdr:cNvSpPr/>
        </xdr:nvSpPr>
        <xdr:spPr>
          <a:xfrm>
            <a:off x="30187950" y="27337290"/>
            <a:ext cx="2389873" cy="356292"/>
          </a:xfrm>
          <a:prstGeom prst="borderCallout1">
            <a:avLst>
              <a:gd name="adj1" fmla="val 44823"/>
              <a:gd name="adj2" fmla="val -3207"/>
              <a:gd name="adj3" fmla="val -34032"/>
              <a:gd name="adj4" fmla="val -17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通信途絶時は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000b</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に設定する</a:t>
            </a:r>
          </a:p>
        </xdr:txBody>
      </xdr:sp>
      <xdr:sp macro="" textlink="">
        <xdr:nvSpPr>
          <xdr:cNvPr id="33" name="正方形/長方形 32">
            <a:extLst>
              <a:ext uri="{FF2B5EF4-FFF2-40B4-BE49-F238E27FC236}">
                <a16:creationId xmlns:a16="http://schemas.microsoft.com/office/drawing/2014/main" id="{0BFBFAB2-393A-4687-8F2E-19CB9D999B37}"/>
              </a:ext>
            </a:extLst>
          </xdr:cNvPr>
          <xdr:cNvSpPr/>
        </xdr:nvSpPr>
        <xdr:spPr>
          <a:xfrm>
            <a:off x="29394150" y="24637253"/>
            <a:ext cx="1432164" cy="13945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34" name="線吹き出し 1 (枠付き) 125">
            <a:extLst>
              <a:ext uri="{FF2B5EF4-FFF2-40B4-BE49-F238E27FC236}">
                <a16:creationId xmlns:a16="http://schemas.microsoft.com/office/drawing/2014/main" id="{0EAF371C-D823-4D57-B1F9-A1FCF02B0951}"/>
              </a:ext>
            </a:extLst>
          </xdr:cNvPr>
          <xdr:cNvSpPr/>
        </xdr:nvSpPr>
        <xdr:spPr>
          <a:xfrm>
            <a:off x="30156801" y="24192381"/>
            <a:ext cx="1693222" cy="400951"/>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特別処理があり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pic>
        <xdr:nvPicPr>
          <xdr:cNvPr id="37" name="図 36">
            <a:extLst>
              <a:ext uri="{FF2B5EF4-FFF2-40B4-BE49-F238E27FC236}">
                <a16:creationId xmlns:a16="http://schemas.microsoft.com/office/drawing/2014/main" id="{E92FDAB2-39DD-475F-96E0-32A53E84AC07}"/>
              </a:ext>
            </a:extLst>
          </xdr:cNvPr>
          <xdr:cNvPicPr>
            <a:picLocks noChangeAspect="1" noChangeArrowheads="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t="30317" b="59842"/>
          <a:stretch/>
        </xdr:blipFill>
        <xdr:spPr bwMode="auto">
          <a:xfrm>
            <a:off x="37459863" y="21239350"/>
            <a:ext cx="20480095" cy="9451040"/>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39" name="正方形/長方形 38">
            <a:extLst>
              <a:ext uri="{FF2B5EF4-FFF2-40B4-BE49-F238E27FC236}">
                <a16:creationId xmlns:a16="http://schemas.microsoft.com/office/drawing/2014/main" id="{B679F6A2-DAC9-4400-8EA1-D1437EDFBD5D}"/>
              </a:ext>
            </a:extLst>
          </xdr:cNvPr>
          <xdr:cNvSpPr/>
        </xdr:nvSpPr>
        <xdr:spPr>
          <a:xfrm>
            <a:off x="49139421" y="30301561"/>
            <a:ext cx="8731144" cy="33294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xnSp macro="">
        <xdr:nvCxnSpPr>
          <xdr:cNvPr id="49" name="直線コネクタ 48">
            <a:extLst>
              <a:ext uri="{FF2B5EF4-FFF2-40B4-BE49-F238E27FC236}">
                <a16:creationId xmlns:a16="http://schemas.microsoft.com/office/drawing/2014/main" id="{503779F9-A6B5-42EF-A61F-3F0ADCD1A8D2}"/>
              </a:ext>
            </a:extLst>
          </xdr:cNvPr>
          <xdr:cNvCxnSpPr>
            <a:endCxn id="39" idx="1"/>
          </xdr:cNvCxnSpPr>
        </xdr:nvCxnSpPr>
        <xdr:spPr>
          <a:xfrm>
            <a:off x="30269329" y="26026782"/>
            <a:ext cx="18870092" cy="4441253"/>
          </a:xfrm>
          <a:prstGeom prst="line">
            <a:avLst/>
          </a:prstGeom>
          <a:ln w="19050">
            <a:solidFill>
              <a:srgbClr val="0070C0"/>
            </a:solidFill>
          </a:ln>
        </xdr:spPr>
        <xdr:style>
          <a:lnRef idx="1">
            <a:schemeClr val="accent1"/>
          </a:lnRef>
          <a:fillRef idx="0">
            <a:schemeClr val="accent1"/>
          </a:fillRef>
          <a:effectRef idx="0">
            <a:schemeClr val="accent1"/>
          </a:effectRef>
          <a:fontRef idx="minor">
            <a:schemeClr val="tx1"/>
          </a:fontRef>
        </xdr:style>
      </xdr:cxnSp>
      <xdr:sp macro="" textlink="">
        <xdr:nvSpPr>
          <xdr:cNvPr id="72" name="正方形/長方形 71">
            <a:extLst>
              <a:ext uri="{FF2B5EF4-FFF2-40B4-BE49-F238E27FC236}">
                <a16:creationId xmlns:a16="http://schemas.microsoft.com/office/drawing/2014/main" id="{303FDE39-AFD9-4039-864A-45D1630BE529}"/>
              </a:ext>
            </a:extLst>
          </xdr:cNvPr>
          <xdr:cNvSpPr/>
        </xdr:nvSpPr>
        <xdr:spPr>
          <a:xfrm>
            <a:off x="26053894" y="30841992"/>
            <a:ext cx="1381394" cy="16227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73" name="正方形/長方形 72">
            <a:extLst>
              <a:ext uri="{FF2B5EF4-FFF2-40B4-BE49-F238E27FC236}">
                <a16:creationId xmlns:a16="http://schemas.microsoft.com/office/drawing/2014/main" id="{9FEECC16-7360-4C51-A7B9-C4DD47BF83BC}"/>
              </a:ext>
            </a:extLst>
          </xdr:cNvPr>
          <xdr:cNvSpPr/>
        </xdr:nvSpPr>
        <xdr:spPr>
          <a:xfrm>
            <a:off x="31765117" y="31078700"/>
            <a:ext cx="813504" cy="1397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74" name="正方形/長方形 73">
            <a:extLst>
              <a:ext uri="{FF2B5EF4-FFF2-40B4-BE49-F238E27FC236}">
                <a16:creationId xmlns:a16="http://schemas.microsoft.com/office/drawing/2014/main" id="{67DCF7D9-24F1-48FE-B138-1CF3F537F916}"/>
              </a:ext>
            </a:extLst>
          </xdr:cNvPr>
          <xdr:cNvSpPr/>
        </xdr:nvSpPr>
        <xdr:spPr>
          <a:xfrm>
            <a:off x="27449027" y="33422561"/>
            <a:ext cx="1954408" cy="2283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75" name="正方形/長方形 74">
            <a:extLst>
              <a:ext uri="{FF2B5EF4-FFF2-40B4-BE49-F238E27FC236}">
                <a16:creationId xmlns:a16="http://schemas.microsoft.com/office/drawing/2014/main" id="{4EE2D903-A47E-4298-9A7C-9159AAAEE679}"/>
              </a:ext>
            </a:extLst>
          </xdr:cNvPr>
          <xdr:cNvSpPr/>
        </xdr:nvSpPr>
        <xdr:spPr>
          <a:xfrm>
            <a:off x="29409758" y="33418702"/>
            <a:ext cx="1427469" cy="2328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76" name="線吹き出し 1 (枠付き) 124">
            <a:extLst>
              <a:ext uri="{FF2B5EF4-FFF2-40B4-BE49-F238E27FC236}">
                <a16:creationId xmlns:a16="http://schemas.microsoft.com/office/drawing/2014/main" id="{A164F67E-4B9E-499D-AC7C-868D4A1F46C1}"/>
              </a:ext>
            </a:extLst>
          </xdr:cNvPr>
          <xdr:cNvSpPr/>
        </xdr:nvSpPr>
        <xdr:spPr>
          <a:xfrm>
            <a:off x="27495022" y="30301987"/>
            <a:ext cx="1459223" cy="404663"/>
          </a:xfrm>
          <a:prstGeom prst="borderCallout1">
            <a:avLst>
              <a:gd name="adj1" fmla="val 42429"/>
              <a:gd name="adj2" fmla="val -3670"/>
              <a:gd name="adj3" fmla="val 133976"/>
              <a:gd name="adj4" fmla="val -33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sp macro="" textlink="">
        <xdr:nvSpPr>
          <xdr:cNvPr id="78" name="線吹き出し 1 (枠付き) 125">
            <a:extLst>
              <a:ext uri="{FF2B5EF4-FFF2-40B4-BE49-F238E27FC236}">
                <a16:creationId xmlns:a16="http://schemas.microsoft.com/office/drawing/2014/main" id="{34D41023-8C3E-4479-A239-E720162CE1B5}"/>
              </a:ext>
            </a:extLst>
          </xdr:cNvPr>
          <xdr:cNvSpPr/>
        </xdr:nvSpPr>
        <xdr:spPr>
          <a:xfrm>
            <a:off x="32626195" y="30669687"/>
            <a:ext cx="1700150" cy="399221"/>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79" name="線吹き出し 1 (枠付き) 127">
            <a:extLst>
              <a:ext uri="{FF2B5EF4-FFF2-40B4-BE49-F238E27FC236}">
                <a16:creationId xmlns:a16="http://schemas.microsoft.com/office/drawing/2014/main" id="{08420EE2-A584-4FE8-859F-A9E4CEA307EF}"/>
              </a:ext>
            </a:extLst>
          </xdr:cNvPr>
          <xdr:cNvSpPr/>
        </xdr:nvSpPr>
        <xdr:spPr>
          <a:xfrm>
            <a:off x="27921633" y="33855447"/>
            <a:ext cx="1469728" cy="360001"/>
          </a:xfrm>
          <a:prstGeom prst="borderCallout1">
            <a:avLst>
              <a:gd name="adj1" fmla="val 45277"/>
              <a:gd name="adj2" fmla="val -3670"/>
              <a:gd name="adj3" fmla="val -50683"/>
              <a:gd name="adj4" fmla="val -125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p>
        </xdr:txBody>
      </xdr:sp>
      <xdr:sp macro="" textlink="">
        <xdr:nvSpPr>
          <xdr:cNvPr id="80" name="線吹き出し 1 (枠付き) 128">
            <a:extLst>
              <a:ext uri="{FF2B5EF4-FFF2-40B4-BE49-F238E27FC236}">
                <a16:creationId xmlns:a16="http://schemas.microsoft.com/office/drawing/2014/main" id="{CDA28F11-749A-4A9C-99C7-0F32D3BCFF22}"/>
              </a:ext>
            </a:extLst>
          </xdr:cNvPr>
          <xdr:cNvSpPr/>
        </xdr:nvSpPr>
        <xdr:spPr>
          <a:xfrm>
            <a:off x="30170340" y="33783073"/>
            <a:ext cx="2389873" cy="356291"/>
          </a:xfrm>
          <a:prstGeom prst="borderCallout1">
            <a:avLst>
              <a:gd name="adj1" fmla="val 44823"/>
              <a:gd name="adj2" fmla="val -3207"/>
              <a:gd name="adj3" fmla="val -34032"/>
              <a:gd name="adj4" fmla="val -17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通信途絶時は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000b</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に設定する</a:t>
            </a:r>
          </a:p>
        </xdr:txBody>
      </xdr:sp>
      <xdr:sp macro="" textlink="">
        <xdr:nvSpPr>
          <xdr:cNvPr id="81" name="正方形/長方形 80">
            <a:extLst>
              <a:ext uri="{FF2B5EF4-FFF2-40B4-BE49-F238E27FC236}">
                <a16:creationId xmlns:a16="http://schemas.microsoft.com/office/drawing/2014/main" id="{DE6421F5-69F9-45B8-B2EE-C61DD6B54467}"/>
              </a:ext>
            </a:extLst>
          </xdr:cNvPr>
          <xdr:cNvSpPr/>
        </xdr:nvSpPr>
        <xdr:spPr>
          <a:xfrm>
            <a:off x="29376540" y="31091841"/>
            <a:ext cx="1432164" cy="13857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82" name="線吹き出し 1 (枠付き) 125">
            <a:extLst>
              <a:ext uri="{FF2B5EF4-FFF2-40B4-BE49-F238E27FC236}">
                <a16:creationId xmlns:a16="http://schemas.microsoft.com/office/drawing/2014/main" id="{EC55A195-FA8A-4CB8-8B63-7469DA001F77}"/>
              </a:ext>
            </a:extLst>
          </xdr:cNvPr>
          <xdr:cNvSpPr/>
        </xdr:nvSpPr>
        <xdr:spPr>
          <a:xfrm>
            <a:off x="30139191" y="30638163"/>
            <a:ext cx="1693222" cy="409757"/>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特別処理がなし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83" name="正方形/長方形 82">
            <a:extLst>
              <a:ext uri="{FF2B5EF4-FFF2-40B4-BE49-F238E27FC236}">
                <a16:creationId xmlns:a16="http://schemas.microsoft.com/office/drawing/2014/main" id="{B98E4721-7247-482C-B5F9-D9C10BFF4449}"/>
              </a:ext>
            </a:extLst>
          </xdr:cNvPr>
          <xdr:cNvSpPr/>
        </xdr:nvSpPr>
        <xdr:spPr>
          <a:xfrm>
            <a:off x="26067284" y="37226463"/>
            <a:ext cx="1381394" cy="16227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84" name="正方形/長方形 83">
            <a:extLst>
              <a:ext uri="{FF2B5EF4-FFF2-40B4-BE49-F238E27FC236}">
                <a16:creationId xmlns:a16="http://schemas.microsoft.com/office/drawing/2014/main" id="{287606C4-1D49-48DB-8588-59B7A99F771A}"/>
              </a:ext>
            </a:extLst>
          </xdr:cNvPr>
          <xdr:cNvSpPr/>
        </xdr:nvSpPr>
        <xdr:spPr>
          <a:xfrm>
            <a:off x="31778507" y="37463170"/>
            <a:ext cx="813504" cy="13972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85" name="正方形/長方形 84">
            <a:extLst>
              <a:ext uri="{FF2B5EF4-FFF2-40B4-BE49-F238E27FC236}">
                <a16:creationId xmlns:a16="http://schemas.microsoft.com/office/drawing/2014/main" id="{86D2A9D3-D673-4749-97CA-67DC2A42B8C7}"/>
              </a:ext>
            </a:extLst>
          </xdr:cNvPr>
          <xdr:cNvSpPr/>
        </xdr:nvSpPr>
        <xdr:spPr>
          <a:xfrm>
            <a:off x="27462417" y="39807031"/>
            <a:ext cx="1954408" cy="2283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86" name="正方形/長方形 85">
            <a:extLst>
              <a:ext uri="{FF2B5EF4-FFF2-40B4-BE49-F238E27FC236}">
                <a16:creationId xmlns:a16="http://schemas.microsoft.com/office/drawing/2014/main" id="{E22DAF0B-CDE5-4398-9F9A-FBAD51261D62}"/>
              </a:ext>
            </a:extLst>
          </xdr:cNvPr>
          <xdr:cNvSpPr/>
        </xdr:nvSpPr>
        <xdr:spPr>
          <a:xfrm>
            <a:off x="29423148" y="39803172"/>
            <a:ext cx="1427469" cy="2328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87" name="線吹き出し 1 (枠付き) 124">
            <a:extLst>
              <a:ext uri="{FF2B5EF4-FFF2-40B4-BE49-F238E27FC236}">
                <a16:creationId xmlns:a16="http://schemas.microsoft.com/office/drawing/2014/main" id="{DDA8099E-DBC2-4543-A172-0BF482129603}"/>
              </a:ext>
            </a:extLst>
          </xdr:cNvPr>
          <xdr:cNvSpPr/>
        </xdr:nvSpPr>
        <xdr:spPr>
          <a:xfrm>
            <a:off x="27508412" y="36686457"/>
            <a:ext cx="1459223" cy="404664"/>
          </a:xfrm>
          <a:prstGeom prst="borderCallout1">
            <a:avLst>
              <a:gd name="adj1" fmla="val 42429"/>
              <a:gd name="adj2" fmla="val -3670"/>
              <a:gd name="adj3" fmla="val 133976"/>
              <a:gd name="adj4" fmla="val -33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sp macro="" textlink="">
        <xdr:nvSpPr>
          <xdr:cNvPr id="88" name="線吹き出し 1 (枠付き) 125">
            <a:extLst>
              <a:ext uri="{FF2B5EF4-FFF2-40B4-BE49-F238E27FC236}">
                <a16:creationId xmlns:a16="http://schemas.microsoft.com/office/drawing/2014/main" id="{4AEAD93F-C79F-45B0-8567-E2B438D86A85}"/>
              </a:ext>
            </a:extLst>
          </xdr:cNvPr>
          <xdr:cNvSpPr/>
        </xdr:nvSpPr>
        <xdr:spPr>
          <a:xfrm>
            <a:off x="32639585" y="37054158"/>
            <a:ext cx="1700150" cy="399220"/>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89" name="線吹き出し 1 (枠付き) 127">
            <a:extLst>
              <a:ext uri="{FF2B5EF4-FFF2-40B4-BE49-F238E27FC236}">
                <a16:creationId xmlns:a16="http://schemas.microsoft.com/office/drawing/2014/main" id="{0B3FB31F-FEBF-4051-886E-44EC0DE7C4E3}"/>
              </a:ext>
            </a:extLst>
          </xdr:cNvPr>
          <xdr:cNvSpPr/>
        </xdr:nvSpPr>
        <xdr:spPr>
          <a:xfrm>
            <a:off x="27935023" y="40239917"/>
            <a:ext cx="1469728" cy="360002"/>
          </a:xfrm>
          <a:prstGeom prst="borderCallout1">
            <a:avLst>
              <a:gd name="adj1" fmla="val 45277"/>
              <a:gd name="adj2" fmla="val -3670"/>
              <a:gd name="adj3" fmla="val -50683"/>
              <a:gd name="adj4" fmla="val -125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初期値は消灯</a:t>
            </a:r>
          </a:p>
        </xdr:txBody>
      </xdr:sp>
      <xdr:sp macro="" textlink="">
        <xdr:nvSpPr>
          <xdr:cNvPr id="90" name="線吹き出し 1 (枠付き) 128">
            <a:extLst>
              <a:ext uri="{FF2B5EF4-FFF2-40B4-BE49-F238E27FC236}">
                <a16:creationId xmlns:a16="http://schemas.microsoft.com/office/drawing/2014/main" id="{CC3157B7-83FF-4EE7-BD43-D3682D01D1F9}"/>
              </a:ext>
            </a:extLst>
          </xdr:cNvPr>
          <xdr:cNvSpPr/>
        </xdr:nvSpPr>
        <xdr:spPr>
          <a:xfrm>
            <a:off x="30183730" y="40167543"/>
            <a:ext cx="2389873" cy="356292"/>
          </a:xfrm>
          <a:prstGeom prst="borderCallout1">
            <a:avLst>
              <a:gd name="adj1" fmla="val 44823"/>
              <a:gd name="adj2" fmla="val -3207"/>
              <a:gd name="adj3" fmla="val -34032"/>
              <a:gd name="adj4" fmla="val -17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通信途絶時は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000b</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に設定する</a:t>
            </a:r>
          </a:p>
        </xdr:txBody>
      </xdr:sp>
      <xdr:sp macro="" textlink="">
        <xdr:nvSpPr>
          <xdr:cNvPr id="91" name="正方形/長方形 90">
            <a:extLst>
              <a:ext uri="{FF2B5EF4-FFF2-40B4-BE49-F238E27FC236}">
                <a16:creationId xmlns:a16="http://schemas.microsoft.com/office/drawing/2014/main" id="{EE5BD863-66AC-498D-AF8D-790A3DC3E65A}"/>
              </a:ext>
            </a:extLst>
          </xdr:cNvPr>
          <xdr:cNvSpPr/>
        </xdr:nvSpPr>
        <xdr:spPr>
          <a:xfrm>
            <a:off x="29389930" y="37476311"/>
            <a:ext cx="1432164" cy="13857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92" name="線吹き出し 1 (枠付き) 125">
            <a:extLst>
              <a:ext uri="{FF2B5EF4-FFF2-40B4-BE49-F238E27FC236}">
                <a16:creationId xmlns:a16="http://schemas.microsoft.com/office/drawing/2014/main" id="{5DCFED56-AB0F-4544-94D3-D9BA6A9E8046}"/>
              </a:ext>
            </a:extLst>
          </xdr:cNvPr>
          <xdr:cNvSpPr/>
        </xdr:nvSpPr>
        <xdr:spPr>
          <a:xfrm>
            <a:off x="30152581" y="37022634"/>
            <a:ext cx="1693222" cy="409756"/>
          </a:xfrm>
          <a:prstGeom prst="borderCallout1">
            <a:avLst>
              <a:gd name="adj1" fmla="val 33093"/>
              <a:gd name="adj2" fmla="val -2637"/>
              <a:gd name="adj3" fmla="val 107746"/>
              <a:gd name="adj4" fmla="val -23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特別処理がなし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grpSp>
    <xdr:clientData/>
  </xdr:twoCellAnchor>
  <xdr:twoCellAnchor>
    <xdr:from>
      <xdr:col>20</xdr:col>
      <xdr:colOff>0</xdr:colOff>
      <xdr:row>221</xdr:row>
      <xdr:rowOff>64997</xdr:rowOff>
    </xdr:from>
    <xdr:to>
      <xdr:col>86</xdr:col>
      <xdr:colOff>414617</xdr:colOff>
      <xdr:row>254</xdr:row>
      <xdr:rowOff>132398</xdr:rowOff>
    </xdr:to>
    <xdr:grpSp>
      <xdr:nvGrpSpPr>
        <xdr:cNvPr id="98" name="グループ化 97">
          <a:extLst>
            <a:ext uri="{FF2B5EF4-FFF2-40B4-BE49-F238E27FC236}">
              <a16:creationId xmlns:a16="http://schemas.microsoft.com/office/drawing/2014/main" id="{0587D230-24AB-EE8B-A551-4785DE8C5093}"/>
            </a:ext>
          </a:extLst>
        </xdr:cNvPr>
        <xdr:cNvGrpSpPr/>
      </xdr:nvGrpSpPr>
      <xdr:grpSpPr>
        <a:xfrm>
          <a:off x="18328821" y="42206318"/>
          <a:ext cx="45318189" cy="8299723"/>
          <a:chOff x="18151929" y="42206318"/>
          <a:chExt cx="45318188" cy="8299723"/>
        </a:xfrm>
      </xdr:grpSpPr>
      <xdr:pic>
        <xdr:nvPicPr>
          <xdr:cNvPr id="95" name="図 94">
            <a:extLst>
              <a:ext uri="{FF2B5EF4-FFF2-40B4-BE49-F238E27FC236}">
                <a16:creationId xmlns:a16="http://schemas.microsoft.com/office/drawing/2014/main" id="{48551715-277F-4883-8143-8D6A185C4947}"/>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8151929" y="42685607"/>
            <a:ext cx="19263360" cy="7820434"/>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75" name="正方形/長方形 174">
            <a:extLst>
              <a:ext uri="{FF2B5EF4-FFF2-40B4-BE49-F238E27FC236}">
                <a16:creationId xmlns:a16="http://schemas.microsoft.com/office/drawing/2014/main" id="{00000000-0008-0000-0B00-0000AF000000}"/>
              </a:ext>
            </a:extLst>
          </xdr:cNvPr>
          <xdr:cNvSpPr/>
        </xdr:nvSpPr>
        <xdr:spPr>
          <a:xfrm>
            <a:off x="27265675" y="43811856"/>
            <a:ext cx="1379603" cy="37042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77" name="正方形/長方形 176">
            <a:extLst>
              <a:ext uri="{FF2B5EF4-FFF2-40B4-BE49-F238E27FC236}">
                <a16:creationId xmlns:a16="http://schemas.microsoft.com/office/drawing/2014/main" id="{00000000-0008-0000-0B00-0000B1000000}"/>
              </a:ext>
            </a:extLst>
          </xdr:cNvPr>
          <xdr:cNvSpPr/>
        </xdr:nvSpPr>
        <xdr:spPr>
          <a:xfrm>
            <a:off x="28626228" y="47946190"/>
            <a:ext cx="1551214" cy="12516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78" name="正方形/長方形 177">
            <a:extLst>
              <a:ext uri="{FF2B5EF4-FFF2-40B4-BE49-F238E27FC236}">
                <a16:creationId xmlns:a16="http://schemas.microsoft.com/office/drawing/2014/main" id="{00000000-0008-0000-0B00-0000B2000000}"/>
              </a:ext>
            </a:extLst>
          </xdr:cNvPr>
          <xdr:cNvSpPr/>
        </xdr:nvSpPr>
        <xdr:spPr>
          <a:xfrm>
            <a:off x="30192173" y="48978511"/>
            <a:ext cx="1516019" cy="2193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79" name="線吹き出し 1 (枠付き) 178">
            <a:extLst>
              <a:ext uri="{FF2B5EF4-FFF2-40B4-BE49-F238E27FC236}">
                <a16:creationId xmlns:a16="http://schemas.microsoft.com/office/drawing/2014/main" id="{00000000-0008-0000-0B00-0000B3000000}"/>
              </a:ext>
            </a:extLst>
          </xdr:cNvPr>
          <xdr:cNvSpPr/>
        </xdr:nvSpPr>
        <xdr:spPr>
          <a:xfrm>
            <a:off x="28568122" y="43098843"/>
            <a:ext cx="1279471" cy="377611"/>
          </a:xfrm>
          <a:prstGeom prst="borderCallout1">
            <a:avLst>
              <a:gd name="adj1" fmla="val 42429"/>
              <a:gd name="adj2" fmla="val -3670"/>
              <a:gd name="adj3" fmla="val 178588"/>
              <a:gd name="adj4" fmla="val -504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sp macro="" textlink="">
        <xdr:nvSpPr>
          <xdr:cNvPr id="181" name="線吹き出し 1 (枠付き) 180">
            <a:extLst>
              <a:ext uri="{FF2B5EF4-FFF2-40B4-BE49-F238E27FC236}">
                <a16:creationId xmlns:a16="http://schemas.microsoft.com/office/drawing/2014/main" id="{00000000-0008-0000-0B00-0000B5000000}"/>
              </a:ext>
            </a:extLst>
          </xdr:cNvPr>
          <xdr:cNvSpPr/>
        </xdr:nvSpPr>
        <xdr:spPr>
          <a:xfrm>
            <a:off x="33090413" y="47710093"/>
            <a:ext cx="2442480" cy="331605"/>
          </a:xfrm>
          <a:prstGeom prst="borderCallout1">
            <a:avLst>
              <a:gd name="adj1" fmla="val 44823"/>
              <a:gd name="adj2" fmla="val -3207"/>
              <a:gd name="adj3" fmla="val 298398"/>
              <a:gd name="adj4" fmla="val -631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通信途絶時は前回値保持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182" name="正方形/長方形 181">
            <a:extLst>
              <a:ext uri="{FF2B5EF4-FFF2-40B4-BE49-F238E27FC236}">
                <a16:creationId xmlns:a16="http://schemas.microsoft.com/office/drawing/2014/main" id="{00000000-0008-0000-0B00-0000B6000000}"/>
              </a:ext>
            </a:extLst>
          </xdr:cNvPr>
          <xdr:cNvSpPr/>
        </xdr:nvSpPr>
        <xdr:spPr>
          <a:xfrm>
            <a:off x="30189771" y="47949390"/>
            <a:ext cx="1505267" cy="10315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83" name="線吹き出し 1 (枠付き) 182">
            <a:extLst>
              <a:ext uri="{FF2B5EF4-FFF2-40B4-BE49-F238E27FC236}">
                <a16:creationId xmlns:a16="http://schemas.microsoft.com/office/drawing/2014/main" id="{00000000-0008-0000-0B00-0000B7000000}"/>
              </a:ext>
            </a:extLst>
          </xdr:cNvPr>
          <xdr:cNvSpPr/>
        </xdr:nvSpPr>
        <xdr:spPr>
          <a:xfrm>
            <a:off x="27798115" y="49400421"/>
            <a:ext cx="1537603" cy="498573"/>
          </a:xfrm>
          <a:prstGeom prst="borderCallout1">
            <a:avLst>
              <a:gd name="adj1" fmla="val -3657"/>
              <a:gd name="adj2" fmla="val 41279"/>
              <a:gd name="adj3" fmla="val -39681"/>
              <a:gd name="adj4" fmla="val 923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初期値は非吹鳴</a:t>
            </a:r>
          </a:p>
        </xdr:txBody>
      </xdr:sp>
      <xdr:sp macro="" textlink="">
        <xdr:nvSpPr>
          <xdr:cNvPr id="184" name="線吹き出し 1 (枠付き) 183">
            <a:extLst>
              <a:ext uri="{FF2B5EF4-FFF2-40B4-BE49-F238E27FC236}">
                <a16:creationId xmlns:a16="http://schemas.microsoft.com/office/drawing/2014/main" id="{00000000-0008-0000-0B00-0000B8000000}"/>
              </a:ext>
            </a:extLst>
          </xdr:cNvPr>
          <xdr:cNvSpPr/>
        </xdr:nvSpPr>
        <xdr:spPr>
          <a:xfrm>
            <a:off x="31809345" y="49317934"/>
            <a:ext cx="1936509" cy="476992"/>
          </a:xfrm>
          <a:prstGeom prst="borderCallout1">
            <a:avLst>
              <a:gd name="adj1" fmla="val 44823"/>
              <a:gd name="adj2" fmla="val -3207"/>
              <a:gd name="adj3" fmla="val -32287"/>
              <a:gd name="adj4" fmla="val -458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通信途絶時は非吹鳴</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185" name="正方形/長方形 184">
            <a:extLst>
              <a:ext uri="{FF2B5EF4-FFF2-40B4-BE49-F238E27FC236}">
                <a16:creationId xmlns:a16="http://schemas.microsoft.com/office/drawing/2014/main" id="{00000000-0008-0000-0B00-0000B9000000}"/>
              </a:ext>
            </a:extLst>
          </xdr:cNvPr>
          <xdr:cNvSpPr/>
        </xdr:nvSpPr>
        <xdr:spPr>
          <a:xfrm>
            <a:off x="28634475" y="45053090"/>
            <a:ext cx="1531200" cy="12656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86" name="線吹き出し 1 (枠付き) 185">
            <a:extLst>
              <a:ext uri="{FF2B5EF4-FFF2-40B4-BE49-F238E27FC236}">
                <a16:creationId xmlns:a16="http://schemas.microsoft.com/office/drawing/2014/main" id="{00000000-0008-0000-0B00-0000BA000000}"/>
              </a:ext>
            </a:extLst>
          </xdr:cNvPr>
          <xdr:cNvSpPr/>
        </xdr:nvSpPr>
        <xdr:spPr>
          <a:xfrm>
            <a:off x="30481924" y="43104547"/>
            <a:ext cx="3528890" cy="503684"/>
          </a:xfrm>
          <a:prstGeom prst="borderCallout1">
            <a:avLst>
              <a:gd name="adj1" fmla="val 44823"/>
              <a:gd name="adj2" fmla="val -3207"/>
              <a:gd name="adj3" fmla="val 385870"/>
              <a:gd name="adj4" fmla="val -255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以外→</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のため、エッジ判定不要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188" name="線吹き出し 1 (枠付き) 187">
            <a:extLst>
              <a:ext uri="{FF2B5EF4-FFF2-40B4-BE49-F238E27FC236}">
                <a16:creationId xmlns:a16="http://schemas.microsoft.com/office/drawing/2014/main" id="{00000000-0008-0000-0B00-0000BC000000}"/>
              </a:ext>
            </a:extLst>
          </xdr:cNvPr>
          <xdr:cNvSpPr/>
        </xdr:nvSpPr>
        <xdr:spPr>
          <a:xfrm>
            <a:off x="23259565" y="43170834"/>
            <a:ext cx="1810817" cy="382918"/>
          </a:xfrm>
          <a:prstGeom prst="borderCallout1">
            <a:avLst>
              <a:gd name="adj1" fmla="val 48660"/>
              <a:gd name="adj2" fmla="val 1032"/>
              <a:gd name="adj3" fmla="val 54001"/>
              <a:gd name="adj4" fmla="val -25134"/>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BC</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rPr>
              <a:t>要求有りと判断</a:t>
            </a:r>
          </a:p>
        </xdr:txBody>
      </xdr:sp>
      <xdr:sp macro="" textlink="">
        <xdr:nvSpPr>
          <xdr:cNvPr id="190" name="正方形/長方形 189">
            <a:extLst>
              <a:ext uri="{FF2B5EF4-FFF2-40B4-BE49-F238E27FC236}">
                <a16:creationId xmlns:a16="http://schemas.microsoft.com/office/drawing/2014/main" id="{00000000-0008-0000-0B00-0000BE000000}"/>
              </a:ext>
            </a:extLst>
          </xdr:cNvPr>
          <xdr:cNvSpPr/>
        </xdr:nvSpPr>
        <xdr:spPr>
          <a:xfrm>
            <a:off x="21962729" y="43336348"/>
            <a:ext cx="852367" cy="27454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11" name="正方形/長方形 210">
            <a:extLst>
              <a:ext uri="{FF2B5EF4-FFF2-40B4-BE49-F238E27FC236}">
                <a16:creationId xmlns:a16="http://schemas.microsoft.com/office/drawing/2014/main" id="{00000000-0008-0000-0B00-0000D3000000}"/>
              </a:ext>
            </a:extLst>
          </xdr:cNvPr>
          <xdr:cNvSpPr/>
        </xdr:nvSpPr>
        <xdr:spPr>
          <a:xfrm>
            <a:off x="52076617" y="42716986"/>
            <a:ext cx="11393500" cy="21153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12" name="線吹き出し 1 (枠付き) 211">
            <a:extLst>
              <a:ext uri="{FF2B5EF4-FFF2-40B4-BE49-F238E27FC236}">
                <a16:creationId xmlns:a16="http://schemas.microsoft.com/office/drawing/2014/main" id="{00000000-0008-0000-0B00-0000D4000000}"/>
              </a:ext>
            </a:extLst>
          </xdr:cNvPr>
          <xdr:cNvSpPr/>
        </xdr:nvSpPr>
        <xdr:spPr>
          <a:xfrm>
            <a:off x="58115789" y="42206318"/>
            <a:ext cx="1632054" cy="338987"/>
          </a:xfrm>
          <a:prstGeom prst="borderCallout1">
            <a:avLst>
              <a:gd name="adj1" fmla="val 44823"/>
              <a:gd name="adj2" fmla="val -3207"/>
              <a:gd name="adj3" fmla="val 151956"/>
              <a:gd name="adj4" fmla="val -198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表示側の責務</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221" name="正方形/長方形 220">
            <a:extLst>
              <a:ext uri="{FF2B5EF4-FFF2-40B4-BE49-F238E27FC236}">
                <a16:creationId xmlns:a16="http://schemas.microsoft.com/office/drawing/2014/main" id="{00000000-0008-0000-0B00-0000DD000000}"/>
              </a:ext>
            </a:extLst>
          </xdr:cNvPr>
          <xdr:cNvSpPr/>
        </xdr:nvSpPr>
        <xdr:spPr>
          <a:xfrm>
            <a:off x="30166234" y="45043565"/>
            <a:ext cx="1531605" cy="7240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22" name="線吹き出し 1 (枠付き) 221">
            <a:extLst>
              <a:ext uri="{FF2B5EF4-FFF2-40B4-BE49-F238E27FC236}">
                <a16:creationId xmlns:a16="http://schemas.microsoft.com/office/drawing/2014/main" id="{00000000-0008-0000-0B00-0000DE000000}"/>
              </a:ext>
            </a:extLst>
          </xdr:cNvPr>
          <xdr:cNvSpPr/>
        </xdr:nvSpPr>
        <xdr:spPr>
          <a:xfrm>
            <a:off x="34693414" y="43131441"/>
            <a:ext cx="1495184" cy="503684"/>
          </a:xfrm>
          <a:prstGeom prst="borderCallout1">
            <a:avLst>
              <a:gd name="adj1" fmla="val 44823"/>
              <a:gd name="adj2" fmla="val -3207"/>
              <a:gd name="adj3" fmla="val 383122"/>
              <a:gd name="adj4" fmla="val -2002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特別条件あり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xnSp macro="">
        <xdr:nvCxnSpPr>
          <xdr:cNvPr id="223" name="直線コネクタ 222">
            <a:extLst>
              <a:ext uri="{FF2B5EF4-FFF2-40B4-BE49-F238E27FC236}">
                <a16:creationId xmlns:a16="http://schemas.microsoft.com/office/drawing/2014/main" id="{00000000-0008-0000-0B00-0000DF000000}"/>
              </a:ext>
            </a:extLst>
          </xdr:cNvPr>
          <xdr:cNvCxnSpPr>
            <a:stCxn id="222" idx="0"/>
          </xdr:cNvCxnSpPr>
        </xdr:nvCxnSpPr>
        <xdr:spPr>
          <a:xfrm>
            <a:off x="36188598" y="43383283"/>
            <a:ext cx="15861125" cy="397299"/>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pic>
        <xdr:nvPicPr>
          <xdr:cNvPr id="97" name="図 96">
            <a:extLst>
              <a:ext uri="{FF2B5EF4-FFF2-40B4-BE49-F238E27FC236}">
                <a16:creationId xmlns:a16="http://schemas.microsoft.com/office/drawing/2014/main" id="{07192B51-2DFE-4FEC-CB81-ACE1D3AFB212}"/>
              </a:ext>
            </a:extLst>
          </xdr:cNvPr>
          <xdr:cNvPicPr>
            <a:picLocks noChangeAspect="1" noChangeArrowheads="1"/>
          </xdr:cNvPicPr>
        </xdr:nvPicPr>
        <xdr:blipFill rotWithShape="1">
          <a:blip xmlns:r="http://schemas.openxmlformats.org/officeDocument/2006/relationships" r:embed="rId6">
            <a:extLst>
              <a:ext uri="{28A0092B-C50C-407E-A947-70E740481C1C}">
                <a14:useLocalDpi xmlns:a14="http://schemas.microsoft.com/office/drawing/2010/main" val="0"/>
              </a:ext>
            </a:extLst>
          </a:blip>
          <a:srcRect t="82732"/>
          <a:stretch/>
        </xdr:blipFill>
        <xdr:spPr bwMode="auto">
          <a:xfrm>
            <a:off x="41893672" y="42685607"/>
            <a:ext cx="21132549" cy="233628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20</xdr:col>
      <xdr:colOff>0</xdr:colOff>
      <xdr:row>259</xdr:row>
      <xdr:rowOff>125507</xdr:rowOff>
    </xdr:from>
    <xdr:to>
      <xdr:col>90</xdr:col>
      <xdr:colOff>381000</xdr:colOff>
      <xdr:row>412</xdr:row>
      <xdr:rowOff>97155</xdr:rowOff>
    </xdr:to>
    <xdr:grpSp>
      <xdr:nvGrpSpPr>
        <xdr:cNvPr id="130" name="グループ化 129">
          <a:extLst>
            <a:ext uri="{FF2B5EF4-FFF2-40B4-BE49-F238E27FC236}">
              <a16:creationId xmlns:a16="http://schemas.microsoft.com/office/drawing/2014/main" id="{E62A2AD8-AF9E-F1F3-FBEB-42BF8662B8A2}"/>
            </a:ext>
          </a:extLst>
        </xdr:cNvPr>
        <xdr:cNvGrpSpPr/>
      </xdr:nvGrpSpPr>
      <xdr:grpSpPr>
        <a:xfrm>
          <a:off x="18328821" y="52703507"/>
          <a:ext cx="48006000" cy="30764612"/>
          <a:chOff x="18478500" y="56018207"/>
          <a:chExt cx="48387000" cy="33613948"/>
        </a:xfrm>
      </xdr:grpSpPr>
      <xdr:pic>
        <xdr:nvPicPr>
          <xdr:cNvPr id="109" name="図 108">
            <a:extLst>
              <a:ext uri="{FF2B5EF4-FFF2-40B4-BE49-F238E27FC236}">
                <a16:creationId xmlns:a16="http://schemas.microsoft.com/office/drawing/2014/main" id="{C31E460C-CEF3-6AB5-4E81-687B5EC844FA}"/>
              </a:ext>
            </a:extLst>
          </xdr:cNvPr>
          <xdr:cNvPicPr>
            <a:picLocks noChangeAspect="1"/>
          </xdr:cNvPicPr>
        </xdr:nvPicPr>
        <xdr:blipFill>
          <a:blip xmlns:r="http://schemas.openxmlformats.org/officeDocument/2006/relationships" r:embed="rId7"/>
          <a:stretch>
            <a:fillRect/>
          </a:stretch>
        </xdr:blipFill>
        <xdr:spPr>
          <a:xfrm>
            <a:off x="57313996" y="62778861"/>
            <a:ext cx="8427740" cy="8334641"/>
          </a:xfrm>
          <a:prstGeom prst="rect">
            <a:avLst/>
          </a:prstGeom>
        </xdr:spPr>
      </xdr:pic>
      <xdr:pic>
        <xdr:nvPicPr>
          <xdr:cNvPr id="101" name="図 100">
            <a:extLst>
              <a:ext uri="{FF2B5EF4-FFF2-40B4-BE49-F238E27FC236}">
                <a16:creationId xmlns:a16="http://schemas.microsoft.com/office/drawing/2014/main" id="{3370A929-55E7-4492-BA52-A6D957D4B51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8478500" y="56845200"/>
            <a:ext cx="22389465" cy="32786955"/>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61" name="線吹き出し 1 (枠付き) 160">
            <a:extLst>
              <a:ext uri="{FF2B5EF4-FFF2-40B4-BE49-F238E27FC236}">
                <a16:creationId xmlns:a16="http://schemas.microsoft.com/office/drawing/2014/main" id="{00000000-0008-0000-0B00-0000A1000000}"/>
              </a:ext>
            </a:extLst>
          </xdr:cNvPr>
          <xdr:cNvSpPr/>
        </xdr:nvSpPr>
        <xdr:spPr>
          <a:xfrm>
            <a:off x="36658903" y="57560929"/>
            <a:ext cx="2081880" cy="460102"/>
          </a:xfrm>
          <a:prstGeom prst="borderCallout1">
            <a:avLst>
              <a:gd name="adj1" fmla="val 33093"/>
              <a:gd name="adj2" fmla="val -2637"/>
              <a:gd name="adj3" fmla="val 121680"/>
              <a:gd name="adj4" fmla="val -102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機能有無判定無し</a:t>
            </a: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162" name="正方形/長方形 161">
            <a:extLst>
              <a:ext uri="{FF2B5EF4-FFF2-40B4-BE49-F238E27FC236}">
                <a16:creationId xmlns:a16="http://schemas.microsoft.com/office/drawing/2014/main" id="{00000000-0008-0000-0B00-0000A2000000}"/>
              </a:ext>
            </a:extLst>
          </xdr:cNvPr>
          <xdr:cNvSpPr/>
        </xdr:nvSpPr>
        <xdr:spPr>
          <a:xfrm>
            <a:off x="28216257" y="58141365"/>
            <a:ext cx="1114250" cy="272644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63" name="正方形/長方形 162">
            <a:extLst>
              <a:ext uri="{FF2B5EF4-FFF2-40B4-BE49-F238E27FC236}">
                <a16:creationId xmlns:a16="http://schemas.microsoft.com/office/drawing/2014/main" id="{00000000-0008-0000-0B00-0000A3000000}"/>
              </a:ext>
            </a:extLst>
          </xdr:cNvPr>
          <xdr:cNvSpPr/>
        </xdr:nvSpPr>
        <xdr:spPr>
          <a:xfrm>
            <a:off x="36196851" y="58122672"/>
            <a:ext cx="549478" cy="273079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64" name="線吹き出し 1 (枠付き) 163">
            <a:extLst>
              <a:ext uri="{FF2B5EF4-FFF2-40B4-BE49-F238E27FC236}">
                <a16:creationId xmlns:a16="http://schemas.microsoft.com/office/drawing/2014/main" id="{00000000-0008-0000-0B00-0000A4000000}"/>
              </a:ext>
            </a:extLst>
          </xdr:cNvPr>
          <xdr:cNvSpPr/>
        </xdr:nvSpPr>
        <xdr:spPr>
          <a:xfrm>
            <a:off x="29493298" y="57212055"/>
            <a:ext cx="1593304" cy="449968"/>
          </a:xfrm>
          <a:prstGeom prst="borderCallout1">
            <a:avLst>
              <a:gd name="adj1" fmla="val 42429"/>
              <a:gd name="adj2" fmla="val -3670"/>
              <a:gd name="adj3" fmla="val 217600"/>
              <a:gd name="adj4" fmla="val -290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sp macro="" textlink="">
        <xdr:nvSpPr>
          <xdr:cNvPr id="165" name="角丸四角形 164">
            <a:extLst>
              <a:ext uri="{FF2B5EF4-FFF2-40B4-BE49-F238E27FC236}">
                <a16:creationId xmlns:a16="http://schemas.microsoft.com/office/drawing/2014/main" id="{00000000-0008-0000-0B00-0000A5000000}"/>
              </a:ext>
            </a:extLst>
          </xdr:cNvPr>
          <xdr:cNvSpPr/>
        </xdr:nvSpPr>
        <xdr:spPr>
          <a:xfrm>
            <a:off x="22475384" y="57429952"/>
            <a:ext cx="2340348" cy="523612"/>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66" name="線吹き出し 1 (枠付き) 165">
            <a:extLst>
              <a:ext uri="{FF2B5EF4-FFF2-40B4-BE49-F238E27FC236}">
                <a16:creationId xmlns:a16="http://schemas.microsoft.com/office/drawing/2014/main" id="{00000000-0008-0000-0B00-0000A6000000}"/>
              </a:ext>
            </a:extLst>
          </xdr:cNvPr>
          <xdr:cNvSpPr/>
        </xdr:nvSpPr>
        <xdr:spPr>
          <a:xfrm>
            <a:off x="25469516" y="57106398"/>
            <a:ext cx="1834071" cy="445180"/>
          </a:xfrm>
          <a:prstGeom prst="borderCallout1">
            <a:avLst>
              <a:gd name="adj1" fmla="val 48660"/>
              <a:gd name="adj2" fmla="val 1032"/>
              <a:gd name="adj3" fmla="val 111912"/>
              <a:gd name="adj4" fmla="val -35603"/>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rPr>
              <a:t>PD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rPr>
              <a:t>要求有りと判断</a:t>
            </a:r>
          </a:p>
        </xdr:txBody>
      </xdr:sp>
      <xdr:sp macro="" textlink="">
        <xdr:nvSpPr>
          <xdr:cNvPr id="173" name="正方形/長方形 172">
            <a:extLst>
              <a:ext uri="{FF2B5EF4-FFF2-40B4-BE49-F238E27FC236}">
                <a16:creationId xmlns:a16="http://schemas.microsoft.com/office/drawing/2014/main" id="{00000000-0008-0000-0B00-0000AD000000}"/>
              </a:ext>
            </a:extLst>
          </xdr:cNvPr>
          <xdr:cNvSpPr/>
        </xdr:nvSpPr>
        <xdr:spPr>
          <a:xfrm>
            <a:off x="28258049" y="85821529"/>
            <a:ext cx="1066801" cy="12642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80" name="正方形/長方形 179">
            <a:extLst>
              <a:ext uri="{FF2B5EF4-FFF2-40B4-BE49-F238E27FC236}">
                <a16:creationId xmlns:a16="http://schemas.microsoft.com/office/drawing/2014/main" id="{00000000-0008-0000-0B00-0000B4000000}"/>
              </a:ext>
            </a:extLst>
          </xdr:cNvPr>
          <xdr:cNvSpPr/>
        </xdr:nvSpPr>
        <xdr:spPr>
          <a:xfrm>
            <a:off x="29353287" y="85842759"/>
            <a:ext cx="1596008" cy="12429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187" name="線吹き出し 1 (枠付き) 186">
            <a:extLst>
              <a:ext uri="{FF2B5EF4-FFF2-40B4-BE49-F238E27FC236}">
                <a16:creationId xmlns:a16="http://schemas.microsoft.com/office/drawing/2014/main" id="{00000000-0008-0000-0B00-0000BB000000}"/>
              </a:ext>
            </a:extLst>
          </xdr:cNvPr>
          <xdr:cNvSpPr/>
        </xdr:nvSpPr>
        <xdr:spPr>
          <a:xfrm>
            <a:off x="28580434" y="87253772"/>
            <a:ext cx="2047048" cy="666079"/>
          </a:xfrm>
          <a:prstGeom prst="borderCallout1">
            <a:avLst>
              <a:gd name="adj1" fmla="val 61489"/>
              <a:gd name="adj2" fmla="val 1130"/>
              <a:gd name="adj3" fmla="val -35181"/>
              <a:gd name="adj4" fmla="val -124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初期値は非表示</a:t>
            </a:r>
          </a:p>
        </xdr:txBody>
      </xdr:sp>
      <xdr:sp macro="" textlink="">
        <xdr:nvSpPr>
          <xdr:cNvPr id="213" name="正方形/長方形 212">
            <a:extLst>
              <a:ext uri="{FF2B5EF4-FFF2-40B4-BE49-F238E27FC236}">
                <a16:creationId xmlns:a16="http://schemas.microsoft.com/office/drawing/2014/main" id="{00000000-0008-0000-0B00-0000D5000000}"/>
              </a:ext>
            </a:extLst>
          </xdr:cNvPr>
          <xdr:cNvSpPr/>
        </xdr:nvSpPr>
        <xdr:spPr>
          <a:xfrm>
            <a:off x="55399646" y="57038421"/>
            <a:ext cx="11465854" cy="464323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14" name="線吹き出し 1 (枠付き) 213">
            <a:extLst>
              <a:ext uri="{FF2B5EF4-FFF2-40B4-BE49-F238E27FC236}">
                <a16:creationId xmlns:a16="http://schemas.microsoft.com/office/drawing/2014/main" id="{00000000-0008-0000-0B00-0000D6000000}"/>
              </a:ext>
            </a:extLst>
          </xdr:cNvPr>
          <xdr:cNvSpPr/>
        </xdr:nvSpPr>
        <xdr:spPr>
          <a:xfrm>
            <a:off x="61548307" y="56018207"/>
            <a:ext cx="3300133" cy="898711"/>
          </a:xfrm>
          <a:prstGeom prst="borderCallout1">
            <a:avLst>
              <a:gd name="adj1" fmla="val 51769"/>
              <a:gd name="adj2" fmla="val -859"/>
              <a:gd name="adj3" fmla="val 113970"/>
              <a:gd name="adj4" fmla="val -174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No.21,26,27,28,29</a:t>
            </a:r>
            <a:r>
              <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rPr>
              <a:t>,31</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HUD</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は表示側の責務</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No.15-17</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開発対象外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sp macro="" textlink="">
        <xdr:nvSpPr>
          <xdr:cNvPr id="217" name="正方形/長方形 216">
            <a:extLst>
              <a:ext uri="{FF2B5EF4-FFF2-40B4-BE49-F238E27FC236}">
                <a16:creationId xmlns:a16="http://schemas.microsoft.com/office/drawing/2014/main" id="{00000000-0008-0000-0B00-0000D9000000}"/>
              </a:ext>
            </a:extLst>
          </xdr:cNvPr>
          <xdr:cNvSpPr/>
        </xdr:nvSpPr>
        <xdr:spPr>
          <a:xfrm>
            <a:off x="57197864" y="62656278"/>
            <a:ext cx="8736908" cy="86859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xnSp macro="">
        <xdr:nvCxnSpPr>
          <xdr:cNvPr id="218" name="直線コネクタ 217">
            <a:extLst>
              <a:ext uri="{FF2B5EF4-FFF2-40B4-BE49-F238E27FC236}">
                <a16:creationId xmlns:a16="http://schemas.microsoft.com/office/drawing/2014/main" id="{00000000-0008-0000-0B00-0000DA000000}"/>
              </a:ext>
            </a:extLst>
          </xdr:cNvPr>
          <xdr:cNvCxnSpPr>
            <a:endCxn id="217" idx="0"/>
          </xdr:cNvCxnSpPr>
        </xdr:nvCxnSpPr>
        <xdr:spPr>
          <a:xfrm>
            <a:off x="57838042" y="59415830"/>
            <a:ext cx="3725555" cy="3240448"/>
          </a:xfrm>
          <a:prstGeom prst="line">
            <a:avLst/>
          </a:prstGeom>
          <a:ln w="28575"/>
        </xdr:spPr>
        <xdr:style>
          <a:lnRef idx="1">
            <a:schemeClr val="accent1"/>
          </a:lnRef>
          <a:fillRef idx="0">
            <a:schemeClr val="accent1"/>
          </a:fillRef>
          <a:effectRef idx="0">
            <a:schemeClr val="accent1"/>
          </a:effectRef>
          <a:fontRef idx="minor">
            <a:schemeClr val="tx1"/>
          </a:fontRef>
        </xdr:style>
      </xdr:cxnSp>
      <xdr:cxnSp macro="">
        <xdr:nvCxnSpPr>
          <xdr:cNvPr id="219" name="直線コネクタ 218">
            <a:extLst>
              <a:ext uri="{FF2B5EF4-FFF2-40B4-BE49-F238E27FC236}">
                <a16:creationId xmlns:a16="http://schemas.microsoft.com/office/drawing/2014/main" id="{00000000-0008-0000-0B00-0000DB000000}"/>
              </a:ext>
            </a:extLst>
          </xdr:cNvPr>
          <xdr:cNvCxnSpPr>
            <a:stCxn id="214" idx="1"/>
          </xdr:cNvCxnSpPr>
        </xdr:nvCxnSpPr>
        <xdr:spPr>
          <a:xfrm>
            <a:off x="63199494" y="56916918"/>
            <a:ext cx="799541" cy="5706035"/>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232" name="線吹き出し 1 (枠付き) 231">
            <a:extLst>
              <a:ext uri="{FF2B5EF4-FFF2-40B4-BE49-F238E27FC236}">
                <a16:creationId xmlns:a16="http://schemas.microsoft.com/office/drawing/2014/main" id="{00000000-0008-0000-0B00-0000E8000000}"/>
              </a:ext>
            </a:extLst>
          </xdr:cNvPr>
          <xdr:cNvSpPr/>
        </xdr:nvSpPr>
        <xdr:spPr>
          <a:xfrm>
            <a:off x="43572113" y="76627505"/>
            <a:ext cx="2326300" cy="650062"/>
          </a:xfrm>
          <a:prstGeom prst="borderCallout1">
            <a:avLst>
              <a:gd name="adj1" fmla="val 44823"/>
              <a:gd name="adj2" fmla="val -3207"/>
              <a:gd name="adj3" fmla="val -340075"/>
              <a:gd name="adj4" fmla="val -5007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特別処理あり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xnSp macro="">
        <xdr:nvCxnSpPr>
          <xdr:cNvPr id="233" name="直線コネクタ 232">
            <a:extLst>
              <a:ext uri="{FF2B5EF4-FFF2-40B4-BE49-F238E27FC236}">
                <a16:creationId xmlns:a16="http://schemas.microsoft.com/office/drawing/2014/main" id="{00000000-0008-0000-0B00-0000E9000000}"/>
              </a:ext>
            </a:extLst>
          </xdr:cNvPr>
          <xdr:cNvCxnSpPr>
            <a:stCxn id="213" idx="1"/>
            <a:endCxn id="232" idx="0"/>
          </xdr:cNvCxnSpPr>
        </xdr:nvCxnSpPr>
        <xdr:spPr>
          <a:xfrm flipH="1">
            <a:off x="45898413" y="58942672"/>
            <a:ext cx="9501233" cy="18001205"/>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sp macro="" textlink="">
        <xdr:nvSpPr>
          <xdr:cNvPr id="198" name="正方形/長方形 197">
            <a:extLst>
              <a:ext uri="{FF2B5EF4-FFF2-40B4-BE49-F238E27FC236}">
                <a16:creationId xmlns:a16="http://schemas.microsoft.com/office/drawing/2014/main" id="{00000000-0008-0000-0B00-0000C6000000}"/>
              </a:ext>
            </a:extLst>
          </xdr:cNvPr>
          <xdr:cNvSpPr/>
        </xdr:nvSpPr>
        <xdr:spPr>
          <a:xfrm>
            <a:off x="30975205" y="71478369"/>
            <a:ext cx="914495" cy="139522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sp macro="" textlink="">
        <xdr:nvSpPr>
          <xdr:cNvPr id="210" name="正方形/長方形 209">
            <a:extLst>
              <a:ext uri="{FF2B5EF4-FFF2-40B4-BE49-F238E27FC236}">
                <a16:creationId xmlns:a16="http://schemas.microsoft.com/office/drawing/2014/main" id="{00000000-0008-0000-0B00-0000D2000000}"/>
              </a:ext>
            </a:extLst>
          </xdr:cNvPr>
          <xdr:cNvSpPr/>
        </xdr:nvSpPr>
        <xdr:spPr>
          <a:xfrm>
            <a:off x="19895942" y="82344794"/>
            <a:ext cx="20575782" cy="30615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xnSp macro="">
        <xdr:nvCxnSpPr>
          <xdr:cNvPr id="237" name="直線コネクタ 236">
            <a:extLst>
              <a:ext uri="{FF2B5EF4-FFF2-40B4-BE49-F238E27FC236}">
                <a16:creationId xmlns:a16="http://schemas.microsoft.com/office/drawing/2014/main" id="{D4B304DA-4746-4D4C-AF48-ABF1952A804F}"/>
              </a:ext>
            </a:extLst>
          </xdr:cNvPr>
          <xdr:cNvCxnSpPr>
            <a:stCxn id="232" idx="2"/>
          </xdr:cNvCxnSpPr>
        </xdr:nvCxnSpPr>
        <xdr:spPr>
          <a:xfrm flipH="1">
            <a:off x="32317765" y="76943877"/>
            <a:ext cx="11254348" cy="7279535"/>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sp macro="" textlink="">
        <xdr:nvSpPr>
          <xdr:cNvPr id="189" name="線吹き出し 1 (枠付き) 188">
            <a:extLst>
              <a:ext uri="{FF2B5EF4-FFF2-40B4-BE49-F238E27FC236}">
                <a16:creationId xmlns:a16="http://schemas.microsoft.com/office/drawing/2014/main" id="{00000000-0008-0000-0B00-0000BD000000}"/>
              </a:ext>
            </a:extLst>
          </xdr:cNvPr>
          <xdr:cNvSpPr/>
        </xdr:nvSpPr>
        <xdr:spPr>
          <a:xfrm>
            <a:off x="31424851" y="87011705"/>
            <a:ext cx="2402423" cy="624006"/>
          </a:xfrm>
          <a:prstGeom prst="borderCallout1">
            <a:avLst>
              <a:gd name="adj1" fmla="val 44823"/>
              <a:gd name="adj2" fmla="val -3207"/>
              <a:gd name="adj3" fmla="val -58902"/>
              <a:gd name="adj4" fmla="val -649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通信途絶時は非表示</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pic>
        <xdr:nvPicPr>
          <xdr:cNvPr id="107" name="図 106">
            <a:extLst>
              <a:ext uri="{FF2B5EF4-FFF2-40B4-BE49-F238E27FC236}">
                <a16:creationId xmlns:a16="http://schemas.microsoft.com/office/drawing/2014/main" id="{7177649A-16E2-C50F-CBD1-CCB1807E3D7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44991338" y="57035700"/>
            <a:ext cx="21679989" cy="371788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17</xdr:row>
      <xdr:rowOff>17930</xdr:rowOff>
    </xdr:from>
    <xdr:to>
      <xdr:col>9</xdr:col>
      <xdr:colOff>17929</xdr:colOff>
      <xdr:row>19</xdr:row>
      <xdr:rowOff>8964</xdr:rowOff>
    </xdr:to>
    <xdr:sp macro="" textlink="">
      <xdr:nvSpPr>
        <xdr:cNvPr id="3" name="正方形/長方形 2">
          <a:extLst>
            <a:ext uri="{FF2B5EF4-FFF2-40B4-BE49-F238E27FC236}">
              <a16:creationId xmlns:a16="http://schemas.microsoft.com/office/drawing/2014/main" id="{00000000-0008-0000-0C00-000003000000}"/>
            </a:ext>
          </a:extLst>
        </xdr:cNvPr>
        <xdr:cNvSpPr/>
      </xdr:nvSpPr>
      <xdr:spPr>
        <a:xfrm>
          <a:off x="0" y="3218330"/>
          <a:ext cx="8337176" cy="3675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xdr:col>
      <xdr:colOff>466165</xdr:colOff>
      <xdr:row>28</xdr:row>
      <xdr:rowOff>17929</xdr:rowOff>
    </xdr:from>
    <xdr:to>
      <xdr:col>5</xdr:col>
      <xdr:colOff>71718</xdr:colOff>
      <xdr:row>30</xdr:row>
      <xdr:rowOff>145996</xdr:rowOff>
    </xdr:to>
    <xdr:sp macro="" textlink="">
      <xdr:nvSpPr>
        <xdr:cNvPr id="4" name="線吹き出し 1 (枠付き) 3">
          <a:extLst>
            <a:ext uri="{FF2B5EF4-FFF2-40B4-BE49-F238E27FC236}">
              <a16:creationId xmlns:a16="http://schemas.microsoft.com/office/drawing/2014/main" id="{00000000-0008-0000-0C00-000004000000}"/>
            </a:ext>
          </a:extLst>
        </xdr:cNvPr>
        <xdr:cNvSpPr/>
      </xdr:nvSpPr>
      <xdr:spPr>
        <a:xfrm>
          <a:off x="1721224" y="5289176"/>
          <a:ext cx="3953435" cy="504585"/>
        </a:xfrm>
        <a:prstGeom prst="borderCallout1">
          <a:avLst>
            <a:gd name="adj1" fmla="val 21709"/>
            <a:gd name="adj2" fmla="val 100154"/>
            <a:gd name="adj3" fmla="val -336922"/>
            <a:gd name="adj4" fmla="val 138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lang="ja-JP" altLang="en-US" sz="1200" b="1" strike="noStrike" baseline="0">
              <a:solidFill>
                <a:sysClr val="windowText" lastClr="000000"/>
              </a:solidFill>
              <a:effectLst/>
              <a:latin typeface="ＭＳ Ｐゴシック" panose="020B0600070205080204" pitchFamily="50" charset="-128"/>
              <a:ea typeface="ＭＳ Ｐゴシック" panose="020B0600070205080204" pitchFamily="50" charset="-128"/>
            </a:rPr>
            <a:t>本機能では、</a:t>
          </a:r>
          <a:r>
            <a:rPr lang="en-US" altLang="ja-JP" sz="1200" b="1" strike="noStrike" baseline="0">
              <a:solidFill>
                <a:sysClr val="windowText" lastClr="000000"/>
              </a:solidFill>
              <a:effectLst/>
              <a:latin typeface="ＭＳ Ｐゴシック" panose="020B0600070205080204" pitchFamily="50" charset="-128"/>
              <a:ea typeface="ＭＳ Ｐゴシック" panose="020B0600070205080204" pitchFamily="50" charset="-128"/>
            </a:rPr>
            <a:t>LCAW</a:t>
          </a:r>
          <a:r>
            <a:rPr lang="ja-JP" altLang="en-US" sz="1200" b="1" strike="noStrike" baseline="0">
              <a:solidFill>
                <a:sysClr val="windowText" lastClr="000000"/>
              </a:solidFill>
              <a:effectLst/>
              <a:latin typeface="ＭＳ Ｐゴシック" panose="020B0600070205080204" pitchFamily="50" charset="-128"/>
              <a:ea typeface="ＭＳ Ｐゴシック" panose="020B0600070205080204" pitchFamily="50" charset="-128"/>
            </a:rPr>
            <a:t>の</a:t>
          </a:r>
          <a:r>
            <a:rPr lang="en-US" altLang="ja-JP" sz="1200" b="1" strike="noStrike" baseline="0">
              <a:solidFill>
                <a:sysClr val="windowText" lastClr="000000"/>
              </a:solidFill>
              <a:effectLst/>
              <a:latin typeface="ＭＳ Ｐゴシック" panose="020B0600070205080204" pitchFamily="50" charset="-128"/>
              <a:ea typeface="ＭＳ Ｐゴシック" panose="020B0600070205080204" pitchFamily="50" charset="-128"/>
            </a:rPr>
            <a:t>RW</a:t>
          </a:r>
          <a:r>
            <a:rPr lang="ja-JP" altLang="en-US" sz="1200" b="1" strike="noStrike" baseline="0">
              <a:solidFill>
                <a:sysClr val="windowText" lastClr="000000"/>
              </a:solidFill>
              <a:effectLst/>
              <a:latin typeface="ＭＳ Ｐゴシック" panose="020B0600070205080204" pitchFamily="50" charset="-128"/>
              <a:ea typeface="ＭＳ Ｐゴシック" panose="020B0600070205080204" pitchFamily="50" charset="-128"/>
            </a:rPr>
            <a:t>送信は行わないので削除。</a:t>
          </a:r>
          <a:endParaRPr lang="en-US" altLang="ja-JP" sz="1200" b="1" strike="noStrike" baseline="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P:\13CY\hmi&#20181;&#27096;G\P110100(13CYHMI&#20181;&#27096;&#38283;&#30330;_&#20840;&#20307;&#31649;&#29702;)\&#26368;&#26032;&#20491;&#21029;&#36039;&#26009;\&#38283;&#30330;&#25903;&#25588;&#12469;&#12540;&#12499;&#12473;\&#12488;&#12524;&#12540;&#12491;&#12531;&#12464;\07.&#37096;&#21697;&#12398;&#35500;&#26126;(&#31278;&#39006;)\&#37096;&#21697;&#12459;&#12479;&#12525;&#12464;_11061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cs-sv07\&#27231;&#31278;&#36039;&#26009;\DOCUME~1\zhuwei\LOCALS~1\Temp\notesFCBCEE\~040319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035cfs120\MeterSoft\31_SVN\Meter\170020(&#12513;&#12540;&#12479;HMI&#20181;&#27096;&#38283;&#30330;&#23550;&#24540;)\&#12503;&#12525;&#12472;&#12455;&#12463;&#12488;&#31649;&#29702;\&#35211;&#31309;&#12418;&#12426;\&#26410;&#21942;&#26989;\&#35211;&#31309;_400B_&#12513;&#12540;&#12479;HMI&#30011;&#38754;&#20181;&#27096;&#38283;&#30330;&#23550;&#24540;_10&#26376;.xlsx"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25913;&#35330;&#23653;&#27508;_"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035cfs120\MeterSoft\720DB\_DB%20ACTUAL%20OUTPUT\_DB%20Output\3-01_DatabaseList_vs_REMOTextDB&#25972;&#21512;&#26908;&#26619;\4-04_&#36969;&#29992;&#12501;&#12457;&#12531;&#12488;&#25972;&#21512;&#26908;&#26619;&#65288;RT&#12501;&#12457;&#12531;&#12488;&#65289;.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035cfs120\MeterSoft\Users\109632\AppData\Local\Temp\Temp1_150B&#35373;&#35336;&#26360;(&#25240;&#20986;&#12373;&#12435;&#12398;&#20840;&#12390;).zip\150B&#35373;&#35336;&#26360;(&#25240;&#20986;&#12373;&#12435;&#12398;&#20840;&#12390;)\02.&#35443;&#32048;&#35373;&#35336;\20.Prm&#35373;&#23450;&#26360;\Variation-configurationSetting-010B_v1.00.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8_&#37096;&#21697;&#12459;&#12479;&#12525;&#12464;%20&#12525;&#12540;&#12523;&#30058;&#21495;&#36861;&#21152;&#23550;&#24540;\1_WORK\3&#22238;&#30446;\&#12467;&#12500;&#12540;%20&#65374;%20&#37096;&#21697;&#12459;&#12479;&#12525;&#12464;.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4_&#12479;&#12502;&#37096;&#21697;&#26908;&#35342;\1_WORK\1&#22238;&#30446;\&#12467;&#12500;&#12540;%20&#65374;%20&#37096;&#21697;&#12459;&#12479;&#12525;&#1246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035cfs120\MeterSoft\work_hanaki\07_775B\01.QML&#20986;&#21147;\99.QA\775BQML&#20986;&#21147;_&#24847;&#21280;&#20181;&#27096;PSD_QA.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10035cfs204\SPEC\100.&#25104;&#26524;&#29289;\NAVI\&#20181;&#27096;&#26360;&#38283;&#30330;\16&#29992;&#21697;\20_&#20181;&#27096;&#38283;&#30330;\Navi\HMI&#20181;&#27096;&#26360;\ver.1.30\01_&#35201;&#27714;&#29554;&#24471;\20111112\&#26696;&#20214;&#31649;&#29702;&#31080;_No4_849_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rhea\1&#23460;&#20849;&#26377;\P60337xxx\&#31649;&#29702;\&#21103;&#29987;&#29289;\&#12503;&#12525;&#12475;&#12473;&#25913;&#35330;\ver300&#25913;&#35330;&#20316;&#26989;\13&#21521;&#12369;HMI%20PF&#12539;&#37096;&#21697;&#38283;&#30330;&#12503;&#12525;&#12475;&#12473;&#23450;&#32681;&#26360;_v300work.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0.73.216.97\share\VSS\ITGEN5\&#12503;&#12525;&#12472;&#12455;&#12463;&#12488;&#31649;&#29702;\16_&#19981;&#20855;&#21512;&#31649;&#29702;&#31080;\IT-Gen5&#12288;2&#30011;&#38754;&#12471;&#12473;&#12486;&#12512;&#26082;&#23384;&#19981;&#20855;&#21512;&#31649;&#29702;&#349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c003045t185\04&#31179;KW\04&#31179;KW&#12450;&#12452;&#12486;&#12512;&#35336;&#30011;_V13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0.73.216.178\&#21442;&#32771;\Users\DNSS104\Desktop\Sprint25&#12487;&#12470;&#12452;&#12531;&#23550;&#2454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cinc.local\develop\project\P60022xxx\vss\temp\sstE9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28310;&#22266;&#23450;&#12497;&#12521;&#12513;&#12540;&#12479;&#36984;&#23450;\BSW4M_XSS_FR81S&#21521;&#12369;&#12467;&#12531;&#12501;&#12451;&#12464;&#35373;&#23450;&#12471;&#12540;&#12488;.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10.25.5.14\domain%20share%201-2\VSS\HMI_13CY&#20181;&#27096;&#38283;&#30330;\temp\&#12503;&#12525;&#12472;&#12455;&#12463;&#12488;&#35336;&#30011;&#26360;_13CYHMI&#20181;&#27096;&#38283;&#3033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0.75.101.71\designg-data\01.&#12471;&#12473;&#12486;&#12512;&#21029;&#24847;&#21280;&#31649;&#29702;\&#12508;&#12487;&#25216;\400A_TFT\zz_TA&#20316;&#26989;&#29992;\03_TA&#20316;&#26989;\120511\01_&#20316;&#26989;\No3.4_&#27491;&#24335;&#25991;&#35328;&#23550;&#24540;\&#20316;_&#12513;&#12540;&#12479;&#22810;&#35328;&#35486;&#32763;&#35379;&#12522;&#12473;&#12488;(010-D)&#12392;PSD&#12398;&#24046;&#30064;.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32080;&#21512;&#26908;&#26619;&#12471;&#12540;&#12488;&#38917;&#30446;&#23550;&#24540;&#65288;&#12497;&#12521;&#12513;&#12540;&#12479;&#25277;&#20986;&#32080;&#26524;&#6528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10035cfs120\MeterSoft\BODY\MAKER_TOYOTA\775B_MET\02_&#30011;&#38754;&#34920;&#31034;&#20181;&#27096;\&#20181;&#27096;&#38283;&#30330;\775B-035_&#25991;&#23383;&#24133;&#35336;&#28204;\08_&#20843;&#22238;&#30446;\MET\775B\04_&#25991;&#35328;&#25551;&#30011;&#12469;&#12452;&#12474;&#35336;&#28204;\&#12304;&#31859;&#35486;&#12305;775B_MET_Lfont1212c_&#25991;&#35328;&#25551;&#30011;&#12469;&#12452;&#12474;&#35336;&#28204;&#12484;&#12540;&#12523;_Ver.1.33_L3&#36861;&#21152;.xlsm"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Bpc173\&#26989;&#21209;&#12501;&#12457;&#12523;&#12480;\&#12477;&#12501;&#12488;&#12487;&#12496;&#12483;&#12464;\&#12501;&#12523;&#12487;&#12496;&#12483;&#12464;\&#12304;&#23436;&#12305;818L\&#12304;090106&#12305;816L_&#23398;&#32722;&#29123;&#36027;.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Lexus_Team\400A\02&#35373;&#35336;\04.Soft%20doc\08.2A-R\02.Sub(Sapphire)\tft\AP&#12450;&#12491;&#12513;&#35373;&#35336;\&#21442;&#32771;&#36039;&#26009;\(10.08.06)TFT&#12489;&#12513;&#12452;&#12531;&#32080;&#21512;&#26908;&#26619;&#12460;&#12452;&#12489;&#12521;&#12452;&#12531;_C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はじめに"/>
      <sheetName val="#基本部品一覧"/>
      <sheetName val="#仕様部品一覧"/>
      <sheetName val="#部品略称一覧"/>
      <sheetName val="#イメージ"/>
      <sheetName val="#セレクター"/>
      <sheetName val="#セレクター表示候補群仕様"/>
      <sheetName val="#部品仕様書の見方"/>
      <sheetName val="ラベル"/>
      <sheetName val="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スクロール領域"/>
      <sheetName val="基本リストフレーム"/>
      <sheetName val="#基本リスト要素構成仕様"/>
      <sheetName val="拡張リスト"/>
      <sheetName val="拡張リストスクロール領域"/>
      <sheetName val="拡張リストコンテナ"/>
      <sheetName val="#拡張リスト要素構成仕様"/>
      <sheetName val="テキストボックス"/>
      <sheetName val="日本語用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ポップアップスクリーン"/>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図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入力部品"/>
      <sheetName val="#電話番号ハイフン付加ルール"/>
      <sheetName val="アナログ時計部品"/>
      <sheetName val="可変行数表示部品"/>
      <sheetName val="タブ部品"/>
      <sheetName val="タブスクロール領域"/>
      <sheetName val="#タブ部品プロパティ詳細"/>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 val="Sheet2"/>
      <sheetName val="分析フロー"/>
      <sheetName val="定義"/>
      <sheetName val="OverflowID"/>
      <sheetName val="リスト参照値"/>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ow r="6">
          <cell r="D6">
            <v>1</v>
          </cell>
        </row>
      </sheetData>
      <sheetData sheetId="85"/>
      <sheetData sheetId="86"/>
      <sheetData sheetId="87"/>
      <sheetData sheetId="88"/>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ツール"/>
      <sheetName val="測定結果"/>
      <sheetName val="出力内容"/>
      <sheetName val="CFP値参照用シート"/>
      <sheetName val="改訂履歴"/>
    </sheetNames>
    <sheetDataSet>
      <sheetData sheetId="0"/>
      <sheetData sheetId="1"/>
      <sheetData sheetId="2"/>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 val="見積もり計算シート"/>
      <sheetName val="生産性定義"/>
      <sheetName val="生産性選定"/>
      <sheetName val="HMI画面設計の内訳"/>
      <sheetName val="規模の内訳と工数_仕様差分確認"/>
      <sheetName val="規模の内訳_画面仕様書作成"/>
      <sheetName val="補足_AUD画面統合"/>
      <sheetName val="補足_CSTM画面の最大項目数変更"/>
      <sheetName val="追加工数"/>
      <sheetName val="Sheet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改訂履歴_"/>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FormatHistory"/>
      <sheetName val="DB_TextAreaID_List"/>
      <sheetName val="DB_TextID_List"/>
      <sheetName val="DB_StateGroupID_List"/>
      <sheetName val="DB_StyleGroupID_List"/>
      <sheetName val="DB_StyleID_List"/>
      <sheetName val="FunctionSheet"/>
      <sheetName val="Parameter"/>
      <sheetName val="format"/>
    </sheetNames>
    <sheetDataSet>
      <sheetData sheetId="0"/>
      <sheetData sheetId="1"/>
      <sheetData sheetId="2"/>
      <sheetData sheetId="3"/>
      <sheetData sheetId="4"/>
      <sheetData sheetId="5"/>
      <sheetData sheetId="6"/>
      <sheetData sheetId="7"/>
      <sheetData sheetId="8"/>
      <sheetData sheetId="9">
        <row r="8">
          <cell r="AX8" t="str">
            <v>US</v>
          </cell>
        </row>
      </sheetData>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history"/>
      <sheetName val="★VarUsed"/>
      <sheetName val="rom map"/>
      <sheetName val="★Note(RomMap)"/>
      <sheetName val="★rom map_DevelopVar"/>
      <sheetName val="★rom map_DevelopVarSel"/>
      <sheetName val="★var-db"/>
      <sheetName val="★var-db_create"/>
      <sheetName val="【vardef.prm貼付用】"/>
      <sheetName val="【cfg.prm貼付用】"/>
      <sheetName val="st-belt"/>
      <sheetName val="st-bz"/>
      <sheetName val="st-cbest"/>
      <sheetName val="st-dest"/>
      <sheetName val="st-dimm"/>
      <sheetName val="st-disp"/>
      <sheetName val="st-drvmn"/>
      <sheetName val="st-gauge"/>
      <sheetName val="st-tx"/>
      <sheetName val="st-uzcst"/>
      <sheetName val="st-wrng"/>
      <sheetName val="★rom map_EngType"/>
      <sheetName val="★EngType"/>
      <sheetName val="★ENG-db"/>
      <sheetName val="st-eng"/>
      <sheetName val="_hog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基本部品一覧"/>
      <sheetName val="#仕様部品一覧"/>
      <sheetName val="#部品仕様書の見方"/>
      <sheetName val="#イメージ"/>
      <sheetName val="ラベル"/>
      <sheetName val="#セレクター"/>
      <sheetName val="#セレクター表示候補群仕様"/>
      <sheetName val="スクリーン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要素構成仕様"/>
      <sheetName val="拡張リスト"/>
      <sheetName val="#拡張リスト要素構成仕様"/>
      <sheetName val="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メーター部品"/>
      <sheetName val="#メーター角度設定"/>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編集用部品"/>
      <sheetName val="#電話番号ハイフン付加ルール"/>
      <sheetName val="アナログ時計部品"/>
      <sheetName val="可変行数表示部品"/>
      <sheetName val="タブ部品"/>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refreshError="1"/>
      <sheetData sheetId="7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周波数部品"/>
      <sheetName val="#×隠しコマンド部品"/>
      <sheetName val="#×隠しコマンド仕様"/>
      <sheetName val="#×Tab部品"/>
      <sheetName val="#×Tab部品仕様"/>
      <sheetName val="縮尺度表示部品"/>
      <sheetName val="円グラフ部品"/>
      <sheetName val="アナログ時計部品"/>
      <sheetName val="残距離表示部品"/>
      <sheetName val="可変行数表示部品"/>
      <sheetName val="排他部品"/>
      <sheetName val="#排他表示候補群仕様"/>
      <sheetName val="電話番号表示部品"/>
      <sheetName val="電話番号入力部品"/>
      <sheetName val="#電話番号ハイフン付加ルール"/>
      <sheetName val="英語用テキストボックス"/>
      <sheetName val="#英語用テキストボックスでの予測文字（列）追加"/>
      <sheetName val="タブ部品"/>
      <sheetName val="#部品仕様テンプレート(書き方)"/>
      <sheetName val="#部品仕様テンプレート A"/>
      <sheetName val="#部品仕様テンプレート C"/>
      <sheetName val="#部品仕様テンプレート 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要求仕様Ｑ＆Ａ"/>
      <sheetName val="Q&amp;ANo.3"/>
      <sheetName val="Q&amp;ANo.4"/>
      <sheetName val="Q&amp;ANo11"/>
      <sheetName val="Q&amp;ANo12"/>
      <sheetName val="Q&amp;ANo13"/>
      <sheetName val="Q&amp;ANo15"/>
      <sheetName val="Q&amp;ANo.17"/>
      <sheetName val="Q&amp;ANo.25"/>
      <sheetName val="Q&amp;ANo.28"/>
      <sheetName val="Q&amp;ANo.29"/>
      <sheetName val="Q&amp;ANo.30"/>
      <sheetName val="Q&amp;ANo.32"/>
      <sheetName val="Q&amp;ANo.33"/>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案件概要"/>
      <sheetName val="各種パス"/>
      <sheetName val="入力一覧"/>
      <sheetName val="課題・リスク"/>
      <sheetName val="アクティビティ（部品開発・PF開発・描画PF開発）"/>
      <sheetName val="BL管理"/>
      <sheetName val="計画"/>
      <sheetName val="設定"/>
      <sheetName val="計画の書き順(作業工数から決める)"/>
      <sheetName val="計画の書き順(作業日程から決める)"/>
      <sheetName val="Miles連携手順"/>
      <sheetName val="改定履歴"/>
      <sheetName val="プルダウンリスト"/>
      <sheetName val="リスト参照値"/>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コード表"/>
      <sheetName val="改定記録"/>
      <sheetName val="為替前提"/>
      <sheetName val="PCD"/>
      <sheetName val="matrix"/>
      <sheetName val="Loss Time"/>
      <sheetName val="Price range IT"/>
      <sheetName val="Avensis+d seg  in &amp; out of UK+F"/>
      <sheetName val="NAVI"/>
      <sheetName val="#ofclose .xl"/>
      <sheetName val="解説a"/>
      <sheetName val="従推"/>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PROFILE"/>
      <sheetName val="本修正_DIFF "/>
      <sheetName val="Sector Assignment"/>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CæÊ _x005f_x0015_ Op"/>
      <sheetName val="ƒƒCƒ“‰æ–Ê _x005f_x0015_ Op"/>
      <sheetName val="メイン画面 _x005f_x0015_ Op"/>
      <sheetName val="重量"/>
      <sheetName val="資料_700部品点数設定"/>
      <sheetName val="ROUTE"/>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s>
    <sheetDataSet>
      <sheetData sheetId="0" refreshError="1"/>
      <sheetData sheetId="1" refreshError="1"/>
      <sheetData sheetId="2" refreshError="1"/>
      <sheetData sheetId="3"/>
      <sheetData sheetId="4"/>
      <sheetData sheetId="5"/>
      <sheetData sheetId="6">
        <row r="1">
          <cell r="B1" t="str">
            <v>1</v>
          </cell>
        </row>
      </sheetData>
      <sheetData sheetId="7"/>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sheetData sheetId="19"/>
      <sheetData sheetId="20"/>
      <sheetData sheetId="21"/>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sheetData sheetId="312"/>
      <sheetData sheetId="313"/>
      <sheetData sheetId="314"/>
      <sheetData sheetId="315"/>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ow r="3">
          <cell r="B3" t="str">
            <v>TOYOTA   TSUSHO  PHILIPPINES CORPORATION</v>
          </cell>
        </row>
      </sheetData>
      <sheetData sheetId="440">
        <row r="3">
          <cell r="B3" t="str">
            <v>TOYOTA   TSUSHO  PHILIPPINES CORPORATION</v>
          </cell>
        </row>
      </sheetData>
      <sheetData sheetId="441">
        <row r="3">
          <cell r="B3" t="str">
            <v>TOYOTA   TSUSHO  PHILIPPINES CORPORATION</v>
          </cell>
        </row>
      </sheetData>
      <sheetData sheetId="442">
        <row r="3">
          <cell r="B3" t="str">
            <v>TOYOTA   TSUSHO  PHILIPPINES CORPORATION</v>
          </cell>
        </row>
      </sheetData>
      <sheetData sheetId="443">
        <row r="3">
          <cell r="B3" t="str">
            <v>TOYOTA   TSUSHO  PHILIPPINES CORPORATION</v>
          </cell>
        </row>
      </sheetData>
      <sheetData sheetId="444"/>
      <sheetData sheetId="445"/>
      <sheetData sheetId="446"/>
      <sheetData sheetId="447" refreshError="1"/>
      <sheetData sheetId="448" refreshError="1"/>
      <sheetData sheetId="449" refreshError="1"/>
      <sheetData sheetId="450" refreshError="1"/>
      <sheetData sheetId="451" refreshError="1"/>
      <sheetData sheetId="452" refreshError="1"/>
      <sheetData sheetId="453">
        <row r="3">
          <cell r="B3" t="str">
            <v>TOYOTA   TSUSHO  PHILIPPINES CORPORATION</v>
          </cell>
        </row>
      </sheetData>
      <sheetData sheetId="454">
        <row r="3">
          <cell r="B3" t="str">
            <v>TOYOTA   TSUSHO  PHILIPPINES CORPORATION</v>
          </cell>
        </row>
      </sheetData>
      <sheetData sheetId="455">
        <row r="3">
          <cell r="B3" t="str">
            <v>TOYOTA   TSUSHO  PHILIPPINES CORPORATION</v>
          </cell>
        </row>
      </sheetData>
      <sheetData sheetId="456">
        <row r="3">
          <cell r="B3" t="str">
            <v>TOYOTA   TSUSHO  PHILIPPINES CORPORATION</v>
          </cell>
        </row>
      </sheetData>
      <sheetData sheetId="457">
        <row r="3">
          <cell r="B3" t="str">
            <v>TOYOTA   TSUSHO  PHILIPPINES CORPORATION</v>
          </cell>
        </row>
      </sheetData>
      <sheetData sheetId="458">
        <row r="3">
          <cell r="B3" t="str">
            <v>TOYOTA   TSUSHO  PHILIPPINES CORPORATION</v>
          </cell>
        </row>
      </sheetData>
      <sheetData sheetId="459">
        <row r="3">
          <cell r="B3" t="str">
            <v>TOYOTA   TSUSHO  PHILIPPINES CORPORATION</v>
          </cell>
        </row>
      </sheetData>
      <sheetData sheetId="460">
        <row r="3">
          <cell r="B3" t="str">
            <v>TOYOTA   TSUSHO  PHILIPPINES CORPORATION</v>
          </cell>
        </row>
      </sheetData>
      <sheetData sheetId="461">
        <row r="3">
          <cell r="B3" t="str">
            <v>TOYOTA   TSUSHO  PHILIPPINES CORPORATION</v>
          </cell>
        </row>
      </sheetData>
      <sheetData sheetId="462">
        <row r="3">
          <cell r="B3" t="str">
            <v>TOYOTA   TSUSHO  PHILIPPINES CORPORATION</v>
          </cell>
        </row>
      </sheetData>
      <sheetData sheetId="463">
        <row r="3">
          <cell r="B3" t="str">
            <v>TOYOTA   TSUSHO  PHILIPPINES CORPORATION</v>
          </cell>
        </row>
      </sheetData>
      <sheetData sheetId="464">
        <row r="3">
          <cell r="B3" t="str">
            <v>TOYOTA   TSUSHO  PHILIPPINES CORPORATION</v>
          </cell>
        </row>
      </sheetData>
      <sheetData sheetId="465">
        <row r="3">
          <cell r="B3" t="str">
            <v>TOYOTA   TSUSHO  PHILIPPINES CORPORATION</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3">
          <cell r="B3" t="str">
            <v>TOYOTA   TSUSHO  PHILIPPINES CORPORATION</v>
          </cell>
        </row>
      </sheetData>
      <sheetData sheetId="491">
        <row r="3">
          <cell r="B3" t="str">
            <v>TOYOTA   TSUSHO  PHILIPPINES CORPORATION</v>
          </cell>
        </row>
      </sheetData>
      <sheetData sheetId="492">
        <row r="3">
          <cell r="B3" t="str">
            <v>TOYOTA   TSUSHO  PHILIPPINES CORPORATION</v>
          </cell>
        </row>
      </sheetData>
      <sheetData sheetId="493">
        <row r="3">
          <cell r="B3" t="str">
            <v>TOYOTA   TSUSHO  PHILIPPINES CORPORATION</v>
          </cell>
        </row>
      </sheetData>
      <sheetData sheetId="494">
        <row r="3">
          <cell r="B3" t="str">
            <v>TOYOTA   TSUSHO  PHILIPPINES CORPORATION</v>
          </cell>
        </row>
      </sheetData>
      <sheetData sheetId="495">
        <row r="3">
          <cell r="B3" t="str">
            <v>TOYOTA   TSUSHO  PHILIPPINES CORPORATION</v>
          </cell>
        </row>
      </sheetData>
      <sheetData sheetId="496">
        <row r="3">
          <cell r="B3" t="str">
            <v>TOYOTA   TSUSHO  PHILIPPINES CORPORATION</v>
          </cell>
        </row>
      </sheetData>
      <sheetData sheetId="497">
        <row r="3">
          <cell r="B3" t="str">
            <v>TOYOTA   TSUSHO  PHILIPPINES CORPORATION</v>
          </cell>
        </row>
      </sheetData>
      <sheetData sheetId="498">
        <row r="3">
          <cell r="B3" t="str">
            <v>TOYOTA   TSUSHO  PHILIPPINES CORPORATION</v>
          </cell>
        </row>
      </sheetData>
      <sheetData sheetId="499">
        <row r="3">
          <cell r="B3" t="str">
            <v>TOYOTA   TSUSHO  PHILIPPINES CORPORATION</v>
          </cell>
        </row>
      </sheetData>
      <sheetData sheetId="500">
        <row r="3">
          <cell r="B3" t="str">
            <v>TOYOTA   TSUSHO  PHILIPPINES CORPORATION</v>
          </cell>
        </row>
      </sheetData>
      <sheetData sheetId="501">
        <row r="3">
          <cell r="B3" t="str">
            <v>TOYOTA   TSUSHO  PHILIPPINES CORPORATION</v>
          </cell>
        </row>
      </sheetData>
      <sheetData sheetId="502">
        <row r="3">
          <cell r="B3" t="str">
            <v>TOYOTA   TSUSHO  PHILIPPINES CORPORATION</v>
          </cell>
        </row>
      </sheetData>
      <sheetData sheetId="503">
        <row r="3">
          <cell r="B3" t="str">
            <v>TOYOTA   TSUSHO  PHILIPPINES CORPORATION</v>
          </cell>
        </row>
      </sheetData>
      <sheetData sheetId="504">
        <row r="3">
          <cell r="B3" t="str">
            <v>TOYOTA   TSUSHO  PHILIPPINES CORPORATION</v>
          </cell>
        </row>
      </sheetData>
      <sheetData sheetId="505">
        <row r="3">
          <cell r="B3" t="str">
            <v>TOYOTA   TSUSHO  PHILIPPINES CORPORATION</v>
          </cell>
        </row>
      </sheetData>
      <sheetData sheetId="506">
        <row r="3">
          <cell r="B3" t="str">
            <v>TOYOTA   TSUSHO  PHILIPPINES CORPORATION</v>
          </cell>
        </row>
      </sheetData>
      <sheetData sheetId="507">
        <row r="3">
          <cell r="B3" t="str">
            <v>TOYOTA   TSUSHO  PHILIPPINES CORPORATION</v>
          </cell>
        </row>
      </sheetData>
      <sheetData sheetId="508">
        <row r="3">
          <cell r="B3" t="str">
            <v>TOYOTA   TSUSHO  PHILIPPINES CORPORATION</v>
          </cell>
        </row>
      </sheetData>
      <sheetData sheetId="509">
        <row r="3">
          <cell r="B3" t="str">
            <v>TOYOTA   TSUSHO  PHILIPPINES CORPORATION</v>
          </cell>
        </row>
      </sheetData>
      <sheetData sheetId="510">
        <row r="3">
          <cell r="B3" t="str">
            <v>TOYOTA   TSUSHO  PHILIPPINES CORPORATION</v>
          </cell>
        </row>
      </sheetData>
      <sheetData sheetId="511">
        <row r="3">
          <cell r="B3" t="str">
            <v>TOYOTA   TSUSHO  PHILIPPINES CORPORATION</v>
          </cell>
        </row>
      </sheetData>
      <sheetData sheetId="512">
        <row r="3">
          <cell r="B3" t="str">
            <v>TOYOTA   TSUSHO  PHILIPPINES CORPORATION</v>
          </cell>
        </row>
      </sheetData>
      <sheetData sheetId="513">
        <row r="3">
          <cell r="B3" t="str">
            <v>TOYOTA   TSUSHO  PHILIPPINES CORPORATION</v>
          </cell>
        </row>
      </sheetData>
      <sheetData sheetId="514">
        <row r="3">
          <cell r="B3" t="str">
            <v>TOYOTA   TSUSHO  PHILIPPINES CORPORATION</v>
          </cell>
        </row>
      </sheetData>
      <sheetData sheetId="515">
        <row r="3">
          <cell r="B3" t="str">
            <v>TOYOTA   TSUSHO  PHILIPPINES CORPORATION</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sheetData sheetId="679">
        <row r="1">
          <cell r="B1" t="str">
            <v>1</v>
          </cell>
        </row>
      </sheetData>
      <sheetData sheetId="680"/>
      <sheetData sheetId="681">
        <row r="1">
          <cell r="B1" t="str">
            <v>1</v>
          </cell>
        </row>
      </sheetData>
      <sheetData sheetId="682"/>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sheetData sheetId="692"/>
      <sheetData sheetId="693"/>
      <sheetData sheetId="694"/>
      <sheetData sheetId="695"/>
      <sheetData sheetId="696"/>
      <sheetData sheetId="697"/>
      <sheetData sheetId="698"/>
      <sheetData sheetId="699">
        <row r="1">
          <cell r="B1" t="str">
            <v>1</v>
          </cell>
        </row>
      </sheetData>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row r="1">
          <cell r="B1" t="str">
            <v>1</v>
          </cell>
        </row>
      </sheetData>
      <sheetData sheetId="714">
        <row r="1">
          <cell r="B1" t="str">
            <v>1</v>
          </cell>
        </row>
      </sheetData>
      <sheetData sheetId="715"/>
      <sheetData sheetId="716"/>
      <sheetData sheetId="717">
        <row r="1">
          <cell r="B1" t="str">
            <v>1</v>
          </cell>
        </row>
      </sheetData>
      <sheetData sheetId="718"/>
      <sheetData sheetId="719"/>
      <sheetData sheetId="720"/>
      <sheetData sheetId="721"/>
      <sheetData sheetId="722">
        <row r="1">
          <cell r="B1" t="str">
            <v>1</v>
          </cell>
        </row>
      </sheetData>
      <sheetData sheetId="723">
        <row r="1">
          <cell r="B1" t="str">
            <v>1</v>
          </cell>
        </row>
      </sheetData>
      <sheetData sheetId="724"/>
      <sheetData sheetId="725"/>
      <sheetData sheetId="726">
        <row r="1">
          <cell r="B1" t="str">
            <v>1</v>
          </cell>
        </row>
      </sheetData>
      <sheetData sheetId="727"/>
      <sheetData sheetId="728"/>
      <sheetData sheetId="729"/>
      <sheetData sheetId="730"/>
      <sheetData sheetId="731"/>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sheetData sheetId="737"/>
      <sheetData sheetId="738"/>
      <sheetData sheetId="739"/>
      <sheetData sheetId="740"/>
      <sheetData sheetId="741"/>
      <sheetData sheetId="742"/>
      <sheetData sheetId="743"/>
      <sheetData sheetId="744">
        <row r="1">
          <cell r="B1" t="str">
            <v>1</v>
          </cell>
        </row>
      </sheetData>
      <sheetData sheetId="745"/>
      <sheetData sheetId="746"/>
      <sheetData sheetId="747"/>
      <sheetData sheetId="748"/>
      <sheetData sheetId="749">
        <row r="1">
          <cell r="B1" t="str">
            <v>1</v>
          </cell>
        </row>
      </sheetData>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row r="1">
          <cell r="B1" t="str">
            <v>1</v>
          </cell>
        </row>
      </sheetData>
      <sheetData sheetId="777"/>
      <sheetData sheetId="778"/>
      <sheetData sheetId="779"/>
      <sheetData sheetId="780"/>
      <sheetData sheetId="781"/>
      <sheetData sheetId="782">
        <row r="1">
          <cell r="B1" t="str">
            <v>1</v>
          </cell>
        </row>
      </sheetData>
      <sheetData sheetId="783"/>
      <sheetData sheetId="784"/>
      <sheetData sheetId="785"/>
      <sheetData sheetId="786"/>
      <sheetData sheetId="787" refreshError="1"/>
      <sheetData sheetId="788" refreshError="1"/>
      <sheetData sheetId="789" refreshError="1"/>
      <sheetData sheetId="790" refreshError="1"/>
      <sheetData sheetId="791" refreshError="1"/>
      <sheetData sheetId="792"/>
      <sheetData sheetId="793"/>
      <sheetData sheetId="794"/>
      <sheetData sheetId="795"/>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sheetData sheetId="849"/>
      <sheetData sheetId="850"/>
      <sheetData sheetId="851"/>
      <sheetData sheetId="852"/>
      <sheetData sheetId="853">
        <row r="1">
          <cell r="B1" t="str">
            <v>1</v>
          </cell>
        </row>
      </sheetData>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sheetData sheetId="883"/>
      <sheetData sheetId="884"/>
      <sheetData sheetId="885"/>
      <sheetData sheetId="886"/>
      <sheetData sheetId="887"/>
      <sheetData sheetId="888"/>
      <sheetData sheetId="889"/>
      <sheetData sheetId="890"/>
      <sheetData sheetId="891"/>
      <sheetData sheetId="892"/>
      <sheetData sheetId="893"/>
      <sheetData sheetId="894"/>
      <sheetData sheetId="895"/>
      <sheetData sheetId="896"/>
      <sheetData sheetId="897"/>
      <sheetData sheetId="898"/>
      <sheetData sheetId="899"/>
      <sheetData sheetId="900"/>
      <sheetData sheetId="901"/>
      <sheetData sheetId="902"/>
      <sheetData sheetId="903"/>
      <sheetData sheetId="904"/>
      <sheetData sheetId="905"/>
      <sheetData sheetId="906"/>
      <sheetData sheetId="907"/>
      <sheetData sheetId="908"/>
      <sheetData sheetId="909"/>
      <sheetData sheetId="910"/>
      <sheetData sheetId="911"/>
      <sheetData sheetId="912"/>
      <sheetData sheetId="913">
        <row r="1">
          <cell r="B1" t="str">
            <v>1</v>
          </cell>
        </row>
      </sheetData>
      <sheetData sheetId="914"/>
      <sheetData sheetId="915"/>
      <sheetData sheetId="916"/>
      <sheetData sheetId="917"/>
      <sheetData sheetId="918"/>
      <sheetData sheetId="919"/>
      <sheetData sheetId="920"/>
      <sheetData sheetId="921"/>
      <sheetData sheetId="922"/>
      <sheetData sheetId="923"/>
      <sheetData sheetId="924"/>
      <sheetData sheetId="925"/>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row r="3">
          <cell r="B3" t="str">
            <v>TOYOTA   TSUSHO  PHILIPPINES CORPORATION</v>
          </cell>
        </row>
      </sheetData>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履歴"/>
      <sheetName val="改訂履歴_old"/>
      <sheetName val="ガイドライン・マニュアル一覧"/>
      <sheetName val="成果物テンプレート一覧"/>
      <sheetName val="成果物テンプレート一覧 (2)"/>
      <sheetName val="成果物一覧"/>
      <sheetName val="ロール定義"/>
      <sheetName val="PFD（部品開発・PF開発・描画PF開発)"/>
      <sheetName val="アクティビティ（部品開発・PF開発・描画PF開発）"/>
      <sheetName val="PFD（不具合対応）"/>
      <sheetName val="アクティビティ（不具合対応）"/>
      <sheetName val="oldアクティビティ（部品開発、PF開発）"/>
      <sheetName val="oldアクティビティ（部品開発）"/>
      <sheetName val="PFD（部品開発、PF開発）"/>
      <sheetName val="PFD（部品検討、PF検討）"/>
      <sheetName val="アクティビティ（部品検討）"/>
      <sheetName val="#アクティビティ（テンプレート）"/>
      <sheetName val="選択肢定義"/>
    </sheetNames>
    <sheetDataSet>
      <sheetData sheetId="0"/>
      <sheetData sheetId="1">
        <row r="4">
          <cell r="B4">
            <v>0.1</v>
          </cell>
        </row>
        <row r="5">
          <cell r="B5">
            <v>1</v>
          </cell>
        </row>
        <row r="7">
          <cell r="B7">
            <v>1.1000000000000001</v>
          </cell>
        </row>
        <row r="8">
          <cell r="B8">
            <v>1.2</v>
          </cell>
        </row>
        <row r="10">
          <cell r="B10">
            <v>1.3</v>
          </cell>
        </row>
        <row r="11">
          <cell r="B11">
            <v>1.4</v>
          </cell>
        </row>
        <row r="12">
          <cell r="B12">
            <v>1.5</v>
          </cell>
        </row>
        <row r="13">
          <cell r="B13">
            <v>1.6</v>
          </cell>
        </row>
        <row r="14">
          <cell r="B14">
            <v>1.7</v>
          </cell>
        </row>
        <row r="24">
          <cell r="B24">
            <v>1.8</v>
          </cell>
        </row>
        <row r="34">
          <cell r="B34">
            <v>1.9</v>
          </cell>
        </row>
        <row r="39">
          <cell r="B39">
            <v>2</v>
          </cell>
        </row>
        <row r="42">
          <cell r="B42">
            <v>2.0099999999999998</v>
          </cell>
        </row>
        <row r="44">
          <cell r="B44">
            <v>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書"/>
      <sheetName val="表紙"/>
      <sheetName val="不具合・指摘一覧"/>
      <sheetName val="不具合の定義 (2)"/>
      <sheetName val="集計"/>
      <sheetName val="選択肢定義"/>
      <sheetName val="ユーザー選択肢定義"/>
      <sheetName val="不具合の定義"/>
      <sheetName val="テンプレート改訂履歴"/>
    </sheetNames>
    <sheetDataSet>
      <sheetData sheetId="0"/>
      <sheetData sheetId="1">
        <row r="9">
          <cell r="D9" t="str">
            <v>案件不具合管理表</v>
          </cell>
        </row>
      </sheetData>
      <sheetData sheetId="2"/>
      <sheetData sheetId="3"/>
      <sheetData sheetId="4"/>
      <sheetData sheetId="5">
        <row r="3">
          <cell r="I3" t="str">
            <v>仕様理解・明確化</v>
          </cell>
        </row>
        <row r="4">
          <cell r="I4" t="str">
            <v>調査作業</v>
          </cell>
        </row>
        <row r="5">
          <cell r="I5" t="str">
            <v>機能設計</v>
          </cell>
        </row>
        <row r="6">
          <cell r="I6" t="str">
            <v>システム設計</v>
          </cell>
        </row>
        <row r="7">
          <cell r="I7" t="str">
            <v>基本設計</v>
          </cell>
        </row>
        <row r="8">
          <cell r="I8" t="str">
            <v>詳細設計</v>
          </cell>
        </row>
        <row r="9">
          <cell r="I9" t="str">
            <v>製作</v>
          </cell>
        </row>
        <row r="10">
          <cell r="I10" t="str">
            <v>単体テスト設計</v>
          </cell>
        </row>
        <row r="11">
          <cell r="I11" t="str">
            <v>単体テスト実施</v>
          </cell>
        </row>
        <row r="12">
          <cell r="I12" t="str">
            <v>基本テスト設計</v>
          </cell>
        </row>
        <row r="13">
          <cell r="I13" t="str">
            <v>基本テスト実施</v>
          </cell>
        </row>
        <row r="14">
          <cell r="I14" t="str">
            <v>システムテスト設計</v>
          </cell>
        </row>
        <row r="15">
          <cell r="I15" t="str">
            <v>システムテスト実施</v>
          </cell>
        </row>
        <row r="16">
          <cell r="I16" t="str">
            <v>機能テスト設計</v>
          </cell>
        </row>
        <row r="17">
          <cell r="I17" t="str">
            <v>機能テスト実施</v>
          </cell>
        </row>
        <row r="18">
          <cell r="I18" t="str">
            <v>外部検査&amp;インテグ</v>
          </cell>
        </row>
        <row r="19">
          <cell r="I19" t="str">
            <v>管理</v>
          </cell>
        </row>
        <row r="20">
          <cell r="I20" t="str">
            <v>統合リリース</v>
          </cell>
        </row>
      </sheetData>
      <sheetData sheetId="6">
        <row r="4">
          <cell r="E4" t="str">
            <v>共通</v>
          </cell>
          <cell r="G4" t="str">
            <v>DRBFM</v>
          </cell>
          <cell r="H4" t="str">
            <v>仕様理解・明確化</v>
          </cell>
        </row>
        <row r="5">
          <cell r="E5" t="str">
            <v>DESTItem002</v>
          </cell>
          <cell r="G5" t="str">
            <v>HMI対応表</v>
          </cell>
          <cell r="H5" t="str">
            <v>調査作業</v>
          </cell>
        </row>
        <row r="6">
          <cell r="E6" t="str">
            <v>DESTItem003</v>
          </cell>
          <cell r="G6" t="str">
            <v>HMI-API対応表</v>
          </cell>
          <cell r="H6" t="str">
            <v>機能設計</v>
          </cell>
        </row>
        <row r="7">
          <cell r="G7" t="str">
            <v>API対比表</v>
          </cell>
          <cell r="H7" t="str">
            <v>システム設計</v>
          </cell>
        </row>
        <row r="8">
          <cell r="G8" t="str">
            <v>シンボル定義</v>
          </cell>
          <cell r="H8" t="str">
            <v>基本設計</v>
          </cell>
        </row>
        <row r="9">
          <cell r="G9" t="str">
            <v>ソースコード</v>
          </cell>
          <cell r="H9" t="str">
            <v>詳細設計</v>
          </cell>
        </row>
        <row r="10">
          <cell r="G10" t="str">
            <v>テスト仕様書(テスト設計)</v>
          </cell>
          <cell r="H10" t="str">
            <v>製作</v>
          </cell>
        </row>
        <row r="11">
          <cell r="G11" t="str">
            <v>テストデータ</v>
          </cell>
          <cell r="H11" t="str">
            <v>単体テスト設計</v>
          </cell>
        </row>
        <row r="12">
          <cell r="G12" t="str">
            <v>テスト報告書</v>
          </cell>
          <cell r="H12" t="str">
            <v>単体テスト実施</v>
          </cell>
        </row>
        <row r="13">
          <cell r="G13" t="str">
            <v>HMI-Studio品質チェックシート</v>
          </cell>
          <cell r="H13" t="str">
            <v>基本テスト設計</v>
          </cell>
        </row>
        <row r="14">
          <cell r="G14" t="str">
            <v>DRチェックリスト</v>
          </cell>
          <cell r="H14" t="str">
            <v>基本テスト実施</v>
          </cell>
        </row>
        <row r="15">
          <cell r="G15" t="str">
            <v>不具合防止リスト</v>
          </cell>
          <cell r="H15" t="str">
            <v>システムテスト設計</v>
          </cell>
        </row>
        <row r="16">
          <cell r="G16" t="str">
            <v>エビテンス</v>
          </cell>
          <cell r="H16" t="str">
            <v>システムテスト実施</v>
          </cell>
        </row>
        <row r="17">
          <cell r="G17" t="str">
            <v>リリースノート</v>
          </cell>
          <cell r="H17" t="str">
            <v>機能テスト設計</v>
          </cell>
        </row>
        <row r="18">
          <cell r="H18" t="str">
            <v>機能テスト実施</v>
          </cell>
        </row>
        <row r="19">
          <cell r="H19" t="str">
            <v>外部検査&amp;インテグ</v>
          </cell>
        </row>
        <row r="20">
          <cell r="H20" t="str">
            <v>管理</v>
          </cell>
        </row>
        <row r="21">
          <cell r="H21" t="str">
            <v>統合リリース</v>
          </cell>
        </row>
        <row r="22">
          <cell r="H22" t="str">
            <v>ツール制限</v>
          </cell>
        </row>
        <row r="23">
          <cell r="H23" t="str">
            <v>HMI-C</v>
          </cell>
        </row>
        <row r="24">
          <cell r="H24" t="str">
            <v>PF（部品含む）</v>
          </cell>
        </row>
        <row r="25">
          <cell r="H25" t="str">
            <v>仮デザイン</v>
          </cell>
        </row>
        <row r="26">
          <cell r="H26" t="str">
            <v>環境（実装前評価）</v>
          </cell>
        </row>
        <row r="27">
          <cell r="H27" t="str">
            <v>環境（再現不可）</v>
          </cell>
        </row>
        <row r="28">
          <cell r="H28" t="str">
            <v>環境（対策不要）</v>
          </cell>
        </row>
        <row r="29">
          <cell r="H29" t="str">
            <v>環境（評価ミス）</v>
          </cell>
        </row>
        <row r="30">
          <cell r="H30" t="str">
            <v>環境（環境制限）</v>
          </cell>
        </row>
        <row r="31">
          <cell r="H31" t="str">
            <v>環境（既存不具合）</v>
          </cell>
        </row>
        <row r="32">
          <cell r="H32" t="str">
            <v>コア</v>
          </cell>
        </row>
        <row r="33">
          <cell r="H33" t="str">
            <v>他社（DT）</v>
          </cell>
        </row>
        <row r="34">
          <cell r="H34" t="str">
            <v>他社（NCOS）</v>
          </cell>
        </row>
        <row r="35">
          <cell r="H35" t="str">
            <v>仕様G（上位設計不足）</v>
          </cell>
        </row>
      </sheetData>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計画NAVI"/>
      <sheetName val="計画AUDIO"/>
      <sheetName val="計画その他"/>
    </sheetNames>
    <sheetDataSet>
      <sheetData sheetId="0"/>
      <sheetData sheetId="1"/>
      <sheetData sheetId="2"/>
      <sheetData sheetId="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果物一覧"/>
      <sheetName val="設定"/>
      <sheetName val="成果物一覧 (2)"/>
      <sheetName val="Sheet3"/>
    </sheetNames>
    <sheetDataSet>
      <sheetData sheetId="0"/>
      <sheetData sheetId="1">
        <row r="3">
          <cell r="B3" t="str">
            <v>画面</v>
          </cell>
          <cell r="C3" t="str">
            <v>1Q</v>
          </cell>
        </row>
        <row r="4">
          <cell r="B4" t="str">
            <v>コア</v>
          </cell>
          <cell r="C4" t="str">
            <v>2Q</v>
          </cell>
        </row>
        <row r="5">
          <cell r="B5" t="str">
            <v>ServiceBus</v>
          </cell>
        </row>
      </sheetData>
      <sheetData sheetId="2"/>
      <sheetData sheetId="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テンプレート改訂履歴"/>
      <sheetName val="表紙"/>
      <sheetName val="はじめに"/>
      <sheetName val="設計対象一覧"/>
      <sheetName val="設定値入力箇所一覧"/>
      <sheetName val="設定値定義"/>
      <sheetName val="ファイル出力"/>
      <sheetName val="System Setting"/>
      <sheetName val="Interrupt Setting"/>
      <sheetName val="Port Setting"/>
      <sheetName val="Table Setting"/>
      <sheetName val="Hand Coding Design"/>
      <sheetName val="（メモ）提供者変更内容"/>
      <sheetName val="(実装)AXSS_Mgr.prm"/>
      <sheetName val="(実装)AXSS_Usrcfg.prm"/>
      <sheetName val="(実装)AXSS_Intcfg.prm"/>
      <sheetName val="(実装)AXSS_Oemcfg.h"/>
      <sheetName val="(実装)AXSS_Oemcfg.prm"/>
      <sheetName val="(実装)AXSS_Pwrmgr.h"/>
      <sheetName val="(実装)AXSS_Pwrmgr.prm"/>
      <sheetName val="(実装)AXSS_Rsccfg.prm"/>
      <sheetName val="(実装)AXSS_Usrcfg.h"/>
      <sheetName val="ドメインリスト"/>
      <sheetName val="XSSマイコン依存部 (基本設定)"/>
      <sheetName val="Sheet1"/>
      <sheetName val="車両仕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定履歴"/>
      <sheetName val="概要・構成説明"/>
      <sheetName val="動作環境,インストール手順,設定手順,禁止事項,注意点"/>
      <sheetName val="設定サンプル(Common)"/>
      <sheetName val="設定サンプル(マイコン依存部)"/>
      <sheetName val="XSS_Common (基本設定)"/>
      <sheetName val="XSS_Common (フック設定,状態遷移要求設定)"/>
      <sheetName val="XSSマイコン依存部 (基本設定)"/>
      <sheetName val="XSSマイコン依存部 (フック設定,割り込み設定)"/>
      <sheetName val="テーブル"/>
      <sheetName val="コンフィグ定義"/>
      <sheetName val="選択肢定義"/>
      <sheetName val="設定値定義"/>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7">
          <cell r="K7" t="str">
            <v>MB91F777</v>
          </cell>
        </row>
      </sheetData>
      <sheetData sheetId="9" refreshError="1"/>
      <sheetData sheetId="10" refreshError="1"/>
      <sheetData sheetId="11" refreshError="1"/>
      <sheetData sheetId="12" refreshError="1"/>
      <sheetData sheetId="13"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目次"/>
      <sheetName val="変更履歴"/>
      <sheetName val="１．はじめに"/>
      <sheetName val="２．ミッション"/>
      <sheetName val="３．課題・問題・リスク"/>
      <sheetName val="３．体制"/>
      <sheetName val="４．開発プロセス"/>
      <sheetName val="５．プロセス定義"/>
      <sheetName val="６．ＷＢＳ＆スケジュール"/>
      <sheetName val="８．資源管理"/>
      <sheetName val="９．外注計画"/>
      <sheetName val="テンプレート変更履歴"/>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多言語翻訳リスト (2)"/>
      <sheetName val="多言語翻訳リスト"/>
      <sheetName val="レイヤインフォ_US"/>
      <sheetName val="レイヤインフォ_CN"/>
      <sheetName val="再確認"/>
      <sheetName val="XSSマイコン依存部 (基本設定)"/>
      <sheetName val="作_メータ多言語翻訳リスト(010-D)とPSDの差異"/>
    </sheetNames>
    <sheetDataSet>
      <sheetData sheetId="0"/>
      <sheetData sheetId="1">
        <row r="4">
          <cell r="M4" t="str">
            <v>戻るBack返回</v>
          </cell>
          <cell r="N4" t="str">
            <v>検証済み</v>
          </cell>
        </row>
        <row r="5">
          <cell r="M5" t="str">
            <v>T-TAB-024リセットReset重置</v>
          </cell>
          <cell r="N5" t="str">
            <v>検証済み</v>
          </cell>
        </row>
        <row r="6">
          <cell r="M6" t="str">
            <v>リストList列表</v>
          </cell>
          <cell r="N6" t="str">
            <v>検証済み</v>
          </cell>
        </row>
        <row r="7">
          <cell r="M7" t="str">
            <v>B_CURRENT_020◎長押しでリセットHold ◎ to Reset长按◎重置</v>
          </cell>
          <cell r="N7" t="str">
            <v>検証済み</v>
          </cell>
        </row>
        <row r="8">
          <cell r="M8" t="str">
            <v>B_SPDIST_021◎長押しでリセットHold ◎ to Reset长按◎重置</v>
          </cell>
          <cell r="N8" t="str">
            <v>検証済み</v>
          </cell>
        </row>
        <row r="9">
          <cell r="M9" t="str">
            <v>B_NEPI_021◎長押しでリセットHold ◎ to Reset长按◎重置</v>
          </cell>
          <cell r="N9" t="str">
            <v>検証済み</v>
          </cell>
        </row>
        <row r="10">
          <cell r="M10" t="str">
            <v>B_TIME_016◎長押しでリセットHold ◎ to Reset长按◎重置</v>
          </cell>
          <cell r="N10" t="str">
            <v>検証済み</v>
          </cell>
        </row>
        <row r="11">
          <cell r="M11" t="str">
            <v>C-TELL-028外気温Outside车外温度</v>
          </cell>
          <cell r="N11" t="str">
            <v>検証済み</v>
          </cell>
        </row>
        <row r="12">
          <cell r="M12" t="str">
            <v>T-OPN(NA)-***Welcome backWelcome back欢迎回来</v>
          </cell>
          <cell r="N12" t="str">
            <v>検証済み</v>
          </cell>
        </row>
        <row r="13">
          <cell r="M13" t="str">
            <v>B_ECO2_000項目選択後に実行Select Item and Press [Reset].选择项目后按[执行]</v>
          </cell>
          <cell r="N13" t="str">
            <v>検証済み</v>
          </cell>
        </row>
        <row r="14">
          <cell r="M14" t="str">
            <v>B_ECO2_003実行Reset执行</v>
          </cell>
          <cell r="N14" t="str">
            <v>検証済み</v>
          </cell>
        </row>
        <row r="15">
          <cell r="M15" t="str">
            <v>B_ECO2_004実行Reset执行</v>
          </cell>
          <cell r="N15" t="str">
            <v>検証済み</v>
          </cell>
        </row>
        <row r="16">
          <cell r="M16" t="str">
            <v>B_ECOB_000エコドライブインジケータEco Driving IndicatorECO驾驶指示器</v>
          </cell>
          <cell r="N16" t="str">
            <v>検証済み</v>
          </cell>
        </row>
        <row r="17">
          <cell r="M17" t="str">
            <v>B_TPMS_000タイヤ空気圧Tire Pressure轮胎压力</v>
          </cell>
          <cell r="N17" t="str">
            <v>検証済み</v>
          </cell>
        </row>
        <row r="18">
          <cell r="M18" t="str">
            <v>スペアタイヤSpare Tire备胎</v>
          </cell>
          <cell r="N18" t="str">
            <v>検証済み</v>
          </cell>
        </row>
        <row r="19">
          <cell r="M19" t="str">
            <v>B_ENEM_000エネルギーモニターEnergy Monitor能量监视器</v>
          </cell>
          <cell r="N19" t="str">
            <v>検証済み</v>
          </cell>
        </row>
        <row r="20">
          <cell r="M20" t="str">
            <v>B_CURRENT_000瞬間燃費Current瞬间油耗</v>
          </cell>
          <cell r="N20" t="str">
            <v>検証済み</v>
          </cell>
        </row>
        <row r="21">
          <cell r="M21" t="str">
            <v>B_NEPI_000瞬間燃費Current瞬间油耗</v>
          </cell>
          <cell r="N21" t="str">
            <v>検証済み</v>
          </cell>
        </row>
        <row r="22">
          <cell r="M22" t="str">
            <v>B_SETTING_GUIDE007瞬間燃費Current瞬间油耗</v>
          </cell>
          <cell r="N22" t="str">
            <v>検証済み</v>
          </cell>
        </row>
        <row r="23">
          <cell r="M23" t="str">
            <v>B_NEPI_001平均燃費Average平均油耗</v>
          </cell>
          <cell r="N23" t="str">
            <v>検証済み</v>
          </cell>
        </row>
        <row r="24">
          <cell r="M24" t="str">
            <v>B_NEPI_002始動後平均燃費Average启动后平均油耗</v>
          </cell>
          <cell r="N24" t="str">
            <v>検証済み</v>
          </cell>
        </row>
        <row r="25">
          <cell r="M25" t="str">
            <v>B_NEPI_023-～After Start～-</v>
          </cell>
          <cell r="N25" t="str">
            <v>検証済み</v>
          </cell>
        </row>
        <row r="26">
          <cell r="M26" t="str">
            <v>B_NEPI_003給油後平均燃費Average加油后平均油耗</v>
          </cell>
          <cell r="N26" t="str">
            <v>検証済み</v>
          </cell>
        </row>
        <row r="27">
          <cell r="M27" t="str">
            <v>B_NEPI_022-～After Refuel～-</v>
          </cell>
          <cell r="N27" t="str">
            <v>検証済み</v>
          </cell>
        </row>
        <row r="28">
          <cell r="M28" t="str">
            <v>B_SPDIST_002平均車速Average Speed平均车速</v>
          </cell>
          <cell r="N28" t="str">
            <v>検証済み</v>
          </cell>
        </row>
        <row r="29">
          <cell r="M29" t="str">
            <v>B_SPDIST_003始動後平均車速Average Speed启动后平均车速</v>
          </cell>
          <cell r="N29" t="str">
            <v>検証済み</v>
          </cell>
        </row>
        <row r="30">
          <cell r="M30" t="str">
            <v>B_SPDIST_022-～After Start～-</v>
          </cell>
          <cell r="N30" t="str">
            <v>検証済み</v>
          </cell>
        </row>
        <row r="31">
          <cell r="M31" t="str">
            <v>B_TIME_001走行時間Elapsed Time行驶时间</v>
          </cell>
          <cell r="N31" t="str">
            <v>検証済み</v>
          </cell>
        </row>
        <row r="32">
          <cell r="M32" t="str">
            <v>B_ECO2_LIST_002走行時間Elapsed Time行驶时间</v>
          </cell>
          <cell r="N32" t="str">
            <v>検証済み</v>
          </cell>
        </row>
        <row r="33">
          <cell r="M33" t="str">
            <v>B_ECO2_LIST_002_act走行時間Elapsed Time行驶时间</v>
          </cell>
          <cell r="N33" t="str">
            <v>検証済み</v>
          </cell>
        </row>
        <row r="34">
          <cell r="M34" t="str">
            <v>B_TIME_000始動後走行時間Elapsed Time启动后行驶时间</v>
          </cell>
          <cell r="N34" t="str">
            <v>検証済み</v>
          </cell>
        </row>
        <row r="35">
          <cell r="M35" t="str">
            <v>B_TIME_017-～After Start～-</v>
          </cell>
          <cell r="N35" t="str">
            <v>検証済み</v>
          </cell>
        </row>
        <row r="36">
          <cell r="M36" t="str">
            <v>B_SPDIST_001始動後走行距離Distance启动后行驶距离</v>
          </cell>
          <cell r="N36" t="str">
            <v>検証済み</v>
          </cell>
        </row>
        <row r="37">
          <cell r="M37" t="str">
            <v>B_SPDIST_022-～After Start～-</v>
          </cell>
          <cell r="N37" t="str">
            <v>検証済み</v>
          </cell>
        </row>
        <row r="38">
          <cell r="M38" t="str">
            <v>B_SPDIST_000航続可能距離Range可连续行驶里程</v>
          </cell>
          <cell r="N38" t="str">
            <v>検証済み</v>
          </cell>
        </row>
        <row r="39">
          <cell r="M39" t="str">
            <v>DisconnectNot Connected未连接</v>
          </cell>
          <cell r="N39" t="str">
            <v>検証済み</v>
          </cell>
        </row>
        <row r="40">
          <cell r="M40" t="str">
            <v>Not availableNot Available不可用</v>
          </cell>
          <cell r="N40" t="str">
            <v>検証済み</v>
          </cell>
        </row>
        <row r="41">
          <cell r="M41" t="str">
            <v>B_ACC_006Radar readyRadar ready雷达READY</v>
          </cell>
          <cell r="N41" t="str">
            <v>検証済み</v>
          </cell>
        </row>
        <row r="42">
          <cell r="M42" t="str">
            <v>B_ACC_049ブレーキ！BRAKE!制动！</v>
          </cell>
          <cell r="N42" t="str">
            <v>検証済み</v>
          </cell>
        </row>
        <row r="43">
          <cell r="M43" t="str">
            <v>B_WRN_000メッセージなしNo Messages无信息</v>
          </cell>
          <cell r="N43" t="str">
            <v>検証済み</v>
          </cell>
        </row>
        <row r="44">
          <cell r="M44" t="str">
            <v>T-TAB-038設定Settings设定</v>
          </cell>
          <cell r="N44" t="str">
            <v>検証済み</v>
          </cell>
        </row>
        <row r="45">
          <cell r="M45" t="str">
            <v>B_SETTING_000設定Settings设定</v>
          </cell>
          <cell r="N45" t="str">
            <v>検証済み</v>
          </cell>
        </row>
        <row r="46">
          <cell r="M46" t="str">
            <v>B_SETTING_001停車中に操作してくださいPlease Operate
while Vehicle
Is Stopped.请停车后操作</v>
          </cell>
          <cell r="N46" t="str">
            <v>検証済み</v>
          </cell>
        </row>
        <row r="47">
          <cell r="M47" t="str">
            <v>-メータカスタマイズMeter
Customization仪表自定义</v>
          </cell>
          <cell r="N47" t="str">
            <v>検証済み</v>
          </cell>
        </row>
        <row r="48">
          <cell r="M48" t="str">
            <v>-車両カスタマイズVehicle
Customization车辆自定义</v>
          </cell>
          <cell r="N48" t="str">
            <v>検証済み</v>
          </cell>
        </row>
        <row r="49">
          <cell r="M49" t="str">
            <v>T-TAB-039言語Language语言</v>
          </cell>
          <cell r="N49" t="str">
            <v>検証済み</v>
          </cell>
        </row>
        <row r="50">
          <cell r="M50" t="str">
            <v>B_SETTING_LIST0言語Language语言</v>
          </cell>
          <cell r="N50" t="str">
            <v>検証済み</v>
          </cell>
        </row>
        <row r="51">
          <cell r="M51" t="str">
            <v>B_SETTING_LIST1言語Language语言</v>
          </cell>
          <cell r="N51" t="str">
            <v>検証済み</v>
          </cell>
        </row>
        <row r="52">
          <cell r="M52" t="str">
            <v>T-TAB-040単位Units单位</v>
          </cell>
          <cell r="N52" t="str">
            <v>検証済み</v>
          </cell>
        </row>
        <row r="53">
          <cell r="M53" t="str">
            <v>B_SETTING_LIST2単位Units单位</v>
          </cell>
          <cell r="N53" t="str">
            <v>検証済み</v>
          </cell>
        </row>
        <row r="54">
          <cell r="M54" t="str">
            <v>B_SETTING_LIST3単位Units单位</v>
          </cell>
          <cell r="N54" t="str">
            <v>検証済み</v>
          </cell>
        </row>
        <row r="55">
          <cell r="M55" t="str">
            <v>T-TAB-041メンテナンスシステムMaintenance
System维护系统</v>
          </cell>
          <cell r="N55" t="str">
            <v>検証済み</v>
          </cell>
        </row>
        <row r="56">
          <cell r="M56" t="str">
            <v>B_SETTING_LIST4メンテナンスシステムMaintenance
System维护系统</v>
          </cell>
          <cell r="N56" t="str">
            <v>検証済み</v>
          </cell>
        </row>
        <row r="57">
          <cell r="M57" t="str">
            <v>B_SETTING_LIST5メンテナンスシステムMaintenance
System维护系统</v>
          </cell>
          <cell r="N57" t="str">
            <v>検証済み</v>
          </cell>
        </row>
        <row r="58">
          <cell r="M58" t="str">
            <v>B_SETTING_GUIDE000初期化しますか？
メンテナンス実施後に操作してくださいDo You Want
to Initialize?
Please Operate
after Performing
Maintenance.是否初始化？
请在实施维护后
进行操作。</v>
          </cell>
          <cell r="N58" t="str">
            <v>検証済み</v>
          </cell>
        </row>
        <row r="59">
          <cell r="M59" t="str">
            <v>B_SETTING_LIST34はいYes是</v>
          </cell>
          <cell r="N59" t="str">
            <v>検証済み</v>
          </cell>
        </row>
        <row r="60">
          <cell r="M60" t="str">
            <v>B_SETTING_LIST35はいYes是</v>
          </cell>
          <cell r="N60" t="str">
            <v>検証済み</v>
          </cell>
        </row>
        <row r="61">
          <cell r="M61" t="str">
            <v>B_SETTING_GUIDE004_ans1はいYes是</v>
          </cell>
          <cell r="N61" t="str">
            <v>検証済み</v>
          </cell>
        </row>
        <row r="62">
          <cell r="M62" t="str">
            <v>B_SETTING_GUIDE004_ans1_actはいYes是</v>
          </cell>
          <cell r="N62" t="str">
            <v>検証済み</v>
          </cell>
        </row>
        <row r="63">
          <cell r="M63" t="str">
            <v>B_SETTING_GUIDE018_ans1はいYes是</v>
          </cell>
          <cell r="N63" t="str">
            <v>検証済み</v>
          </cell>
        </row>
        <row r="64">
          <cell r="M64" t="str">
            <v>B_SETTING_GUIDE018_ans1_actはいYes是</v>
          </cell>
          <cell r="N64" t="str">
            <v>検証済み</v>
          </cell>
        </row>
        <row r="65">
          <cell r="M65" t="str">
            <v>B_SETTING_LIST37いいえNo否</v>
          </cell>
          <cell r="N65" t="str">
            <v>検証済み</v>
          </cell>
        </row>
        <row r="66">
          <cell r="M66" t="str">
            <v>B_SETTING_LIST36いいえNo否</v>
          </cell>
          <cell r="N66" t="str">
            <v>検証済み</v>
          </cell>
        </row>
        <row r="67">
          <cell r="M67" t="str">
            <v>B_SETTING_GUIDE004_ans2いいえNo否</v>
          </cell>
          <cell r="N67" t="str">
            <v>検証済み</v>
          </cell>
        </row>
        <row r="68">
          <cell r="M68" t="str">
            <v>B_SETTING_GUIDE004_ans2_actいいえNo否</v>
          </cell>
          <cell r="N68" t="str">
            <v>検証済み</v>
          </cell>
        </row>
        <row r="69">
          <cell r="M69" t="str">
            <v>B_SETTING_GUIDE018_ans2いいえNo否</v>
          </cell>
          <cell r="N69" t="str">
            <v>検証済み</v>
          </cell>
        </row>
        <row r="70">
          <cell r="M70" t="str">
            <v>B_SETTING_GUIDE018_ans2_actいいえNo否</v>
          </cell>
          <cell r="N70" t="str">
            <v>検証済み</v>
          </cell>
        </row>
        <row r="71">
          <cell r="M71" t="str">
            <v>B_SETTING_GUIDE000_ans2初期化失敗Initialization
Failed初始化失败。</v>
          </cell>
          <cell r="N71" t="str">
            <v>検証済み</v>
          </cell>
        </row>
        <row r="72">
          <cell r="M72" t="str">
            <v>B_SETTING_GUIDE000_ans1初期化完了Initialization
Completed初始化完毕。</v>
          </cell>
          <cell r="N72" t="str">
            <v>検証済み</v>
          </cell>
        </row>
        <row r="73">
          <cell r="M73" t="str">
            <v>T-TAB-049割込表示Interrupt
Display中断显示</v>
          </cell>
          <cell r="N73" t="str">
            <v>検証済み</v>
          </cell>
        </row>
        <row r="74">
          <cell r="M74" t="str">
            <v>B_SETTING_LIST20割込表示Interrupt
Display中断显示</v>
          </cell>
          <cell r="N74" t="str">
            <v>検証済み</v>
          </cell>
        </row>
        <row r="75">
          <cell r="M75" t="str">
            <v>B_SETTING_LIST21割込表示Interrupt
Display中断显示</v>
          </cell>
          <cell r="N75" t="str">
            <v>検証済み</v>
          </cell>
        </row>
        <row r="76">
          <cell r="M76" t="str">
            <v>B_SETTING_GUIDE003登録したい画面を表示して★を長押しDisplay Screen
to Be Registered
and Hold ★.显示想要登录的
画面，长按★。</v>
          </cell>
          <cell r="N76" t="str">
            <v>検証済み</v>
          </cell>
        </row>
        <row r="77">
          <cell r="M77" t="str">
            <v>B_SETTING_GUIDE006変更したい項目を選択してくださいSelect Item
to Change.请选择想要变更的
项目。</v>
          </cell>
          <cell r="N77" t="str">
            <v>検証済み</v>
          </cell>
        </row>
        <row r="78">
          <cell r="M78" t="str">
            <v>T-TAB-045ドライブインフォ1Drive Info 1驾驶信息1</v>
          </cell>
          <cell r="N78" t="str">
            <v>検証済み</v>
          </cell>
        </row>
        <row r="79">
          <cell r="M79" t="str">
            <v>B_SETTING_LIST12ドライブインフォ1Drive Info 1驾驶信息1</v>
          </cell>
          <cell r="N79" t="str">
            <v>検証済み</v>
          </cell>
        </row>
        <row r="80">
          <cell r="M80" t="str">
            <v>B_SETTING_LIST13ドライブインフォ1Drive Info 1驾驶信息1</v>
          </cell>
          <cell r="N80" t="str">
            <v>検証済み</v>
          </cell>
        </row>
        <row r="81">
          <cell r="M81" t="str">
            <v>T-TAB-046ドライブインフォ2Drive Info 2驾驶信息2</v>
          </cell>
          <cell r="N81" t="str">
            <v>検証済み</v>
          </cell>
        </row>
        <row r="82">
          <cell r="M82" t="str">
            <v>B_SETTING_LIST14ドライブインフォ2Drive Info 2驾驶信息2</v>
          </cell>
          <cell r="N82" t="str">
            <v>検証済み</v>
          </cell>
        </row>
        <row r="83">
          <cell r="M83" t="str">
            <v>B_SETTING_LIST15ドライブインフォ2Drive Info 2驾驶信息2</v>
          </cell>
          <cell r="N83" t="str">
            <v>検証済み</v>
          </cell>
        </row>
        <row r="84">
          <cell r="M84" t="str">
            <v>T-TAB-047ドライブインフォ3Drive Info 3驾驶信息3</v>
          </cell>
          <cell r="N84" t="str">
            <v>検証済み</v>
          </cell>
        </row>
        <row r="85">
          <cell r="M85" t="str">
            <v>B_SETTING_LIST16ドライブインフォ3Drive Info 3驾驶信息3</v>
          </cell>
          <cell r="N85" t="str">
            <v>検証済み</v>
          </cell>
        </row>
        <row r="86">
          <cell r="M86" t="str">
            <v>B_SETTING_LIST17ドライブインフォ3Drive Info 3驾驶信息3</v>
          </cell>
          <cell r="N86" t="str">
            <v>検証済み</v>
          </cell>
        </row>
        <row r="87">
          <cell r="M87" t="str">
            <v>T-TAB-048ドライブインフォ4Drive Info 4驾驶信息4</v>
          </cell>
          <cell r="N87" t="str">
            <v>検証済み</v>
          </cell>
        </row>
        <row r="88">
          <cell r="M88" t="str">
            <v>B_SETTING_LIST18ドライブインフォ4Drive Info 4驾驶信息4</v>
          </cell>
          <cell r="N88" t="str">
            <v>検証済み</v>
          </cell>
        </row>
        <row r="89">
          <cell r="M89" t="str">
            <v>B_SETTING_LIST19ドライブインフォ4Drive Info 4驾驶信息4</v>
          </cell>
          <cell r="N89" t="str">
            <v>検証済み</v>
          </cell>
        </row>
        <row r="90">
          <cell r="M90" t="str">
            <v>B_SETTING_GUIDE006_ans1瞬間燃費
バー表示Current 
Fuel Economy
Bar Type瞬间油耗
标尺显示</v>
          </cell>
          <cell r="N90" t="str">
            <v>検証済み</v>
          </cell>
        </row>
        <row r="91">
          <cell r="M91" t="str">
            <v>B_SETTING_GUIDE006_ans1_act瞬間燃費
バー表示Current 
Fuel Economy
Bar Type瞬间油耗
标尺显示</v>
          </cell>
          <cell r="N91" t="str">
            <v>検証済み</v>
          </cell>
        </row>
        <row r="92">
          <cell r="M92" t="str">
            <v>B_SETTING_GUIDE006_ans2瞬間燃費
数値表示Current 
Fuel Economy
Value Type瞬间油耗
数值显示</v>
          </cell>
          <cell r="N92" t="str">
            <v>検証済み</v>
          </cell>
        </row>
        <row r="93">
          <cell r="M93" t="str">
            <v>B_SETTING_GUIDE006_ans2_act瞬間燃費
数値表示Current 
Fuel Economy
Value Type瞬间油耗
数值显示</v>
          </cell>
          <cell r="N93" t="str">
            <v>検証済み</v>
          </cell>
        </row>
        <row r="94">
          <cell r="M94" t="str">
            <v>B_SETTING_GUIDE006_ans3平均燃費
リセット間Average 
Fuel Economy
After Reset平均油耗
重置后</v>
          </cell>
          <cell r="N94" t="str">
            <v>検証済み</v>
          </cell>
        </row>
        <row r="95">
          <cell r="M95" t="str">
            <v>B_SETTING_GUIDE006_ans3_act平均燃費
リセット間Average 
Fuel Economy
After Reset平均油耗
重置后</v>
          </cell>
          <cell r="N95" t="str">
            <v>検証済み</v>
          </cell>
        </row>
        <row r="96">
          <cell r="M96" t="str">
            <v>B_SETTING_GUIDE006_ans4平均燃費
始動後Average 
Fuel Economy
After Start平均油耗
启动后</v>
          </cell>
          <cell r="N96" t="str">
            <v>検証済み</v>
          </cell>
        </row>
        <row r="97">
          <cell r="M97" t="str">
            <v>B_SETTING_GUIDE006_ans4_act平均燃費
始動後Average 
Fuel Economy
After Start平均油耗
启动后</v>
          </cell>
          <cell r="N97" t="str">
            <v>検証済み</v>
          </cell>
        </row>
        <row r="98">
          <cell r="M98" t="str">
            <v>B_SETTING_GUIDE006_ans5平均燃費
給油後Average 
Fuel Economy
After Refueling平均油耗
加油后</v>
          </cell>
          <cell r="N98" t="str">
            <v>検証済み</v>
          </cell>
        </row>
        <row r="99">
          <cell r="M99" t="str">
            <v>B_SETTING_GUIDE006_ans5_act平均燃費
給油後Average 
Fuel Economy
After Refueling平均油耗
加油后</v>
          </cell>
          <cell r="N99" t="str">
            <v>検証済み</v>
          </cell>
        </row>
        <row r="100">
          <cell r="M100" t="str">
            <v>B_SETTING_GUIDE006_ans7平均車速
リセット間Average
Speed
After Reset平均车速
重置后</v>
          </cell>
          <cell r="N100" t="str">
            <v>検証済み</v>
          </cell>
        </row>
        <row r="101">
          <cell r="M101" t="str">
            <v>B_SETTING_GUIDE006_ans7_act平均車速
リセット間Average
Speed
After Reset平均车速
重置后</v>
          </cell>
          <cell r="N101" t="str">
            <v>検証済み</v>
          </cell>
        </row>
        <row r="102">
          <cell r="M102" t="str">
            <v>B_SETTING_GUIDE006_ans6平均車速
始動後Average
Speed
After Start平均车速
启动后</v>
          </cell>
          <cell r="N102" t="str">
            <v>検証済み</v>
          </cell>
        </row>
        <row r="103">
          <cell r="M103" t="str">
            <v>B_SETTING_GUIDE006_ans6_act平均車速
始動後Average
Speed
After Start平均车速
启动后</v>
          </cell>
          <cell r="N103" t="str">
            <v>検証済み</v>
          </cell>
        </row>
        <row r="104">
          <cell r="M104" t="str">
            <v>B_SETTING_GUIDE006_ans8距離
航続可能距離Distance
Range距离
可连续行驶里程</v>
          </cell>
          <cell r="N104" t="str">
            <v>検証済み</v>
          </cell>
        </row>
        <row r="105">
          <cell r="M105" t="str">
            <v>B_SETTING_GUIDE006_ans8_act距離
航続可能距離Distance
Range距离
可连续行驶里程</v>
          </cell>
          <cell r="N105" t="str">
            <v>検証済み</v>
          </cell>
        </row>
        <row r="106">
          <cell r="M106" t="str">
            <v>B_SETTING_GUIDE006_ans9距離
始動後Distance
After Start距离
启动后</v>
          </cell>
          <cell r="N106" t="str">
            <v>検証済み</v>
          </cell>
        </row>
        <row r="107">
          <cell r="M107" t="str">
            <v>B_SETTING_GUIDE006_ans9_act距離
始動後Distance
After Start距离
启动后</v>
          </cell>
          <cell r="N107" t="str">
            <v>検証済み</v>
          </cell>
        </row>
        <row r="108">
          <cell r="M108" t="str">
            <v>B_SETTING_GUIDE006_ans10走行時間
始動後Elapsed Time
After Start行驶时间
启动后</v>
          </cell>
          <cell r="N108" t="str">
            <v>検証済み</v>
          </cell>
        </row>
        <row r="109">
          <cell r="M109" t="str">
            <v>B_SETTING_GUIDE006_ans10_act走行時間
始動後Elapsed Time
After Start行驶时间
启动后</v>
          </cell>
          <cell r="N109" t="str">
            <v>検証済み</v>
          </cell>
        </row>
        <row r="110">
          <cell r="M110" t="str">
            <v>B_SETTING_GUIDE006_ans11走行時間
リセット間Elapsed Time
After Reset行驶时间
重置后</v>
          </cell>
          <cell r="N110" t="str">
            <v>検証済み</v>
          </cell>
        </row>
        <row r="111">
          <cell r="M111" t="str">
            <v>B_SETTING_GUIDE006_ans11_act走行時間
リセット間Elapsed Time
After Reset行驶时间
重置后</v>
          </cell>
          <cell r="N111" t="str">
            <v>検証済み</v>
          </cell>
        </row>
        <row r="112">
          <cell r="M112" t="str">
            <v>B_SETTING_GUIDE006_ans12その他
ブランクOther
Blank其他
空白</v>
          </cell>
          <cell r="N112" t="str">
            <v>検証済み</v>
          </cell>
        </row>
        <row r="113">
          <cell r="M113" t="str">
            <v>B_SETTING_GUIDE006_ans12_actその他
ブランクOther
Blank其他
空白</v>
          </cell>
          <cell r="N113" t="str">
            <v>検証済み</v>
          </cell>
        </row>
        <row r="114">
          <cell r="M114" t="str">
            <v>時計表示切替(12H/24H)12/24-hour Clock
Display Switch时钟显示切换
(12小时/24小时)</v>
          </cell>
          <cell r="N114" t="str">
            <v>検証済み</v>
          </cell>
        </row>
        <row r="115">
          <cell r="M115" t="str">
            <v>時刻調整Time Adjustment时间调整</v>
          </cell>
          <cell r="N115" t="str">
            <v>検証済み</v>
          </cell>
        </row>
        <row r="116">
          <cell r="M116" t="str">
            <v>インジェクタメンテナンスシステムFuel Injector
Maintenance
System喷油器维护系统</v>
          </cell>
          <cell r="N116" t="str">
            <v>検証済み</v>
          </cell>
        </row>
        <row r="117">
          <cell r="M117" t="str">
            <v>T-TAB-050アクセントカラーAccent Color强调色</v>
          </cell>
          <cell r="N117" t="str">
            <v>検証済み</v>
          </cell>
        </row>
        <row r="118">
          <cell r="M118" t="str">
            <v>B_SETTING_LIST22アクセントカラーAccent Color强调色</v>
          </cell>
          <cell r="N118" t="str">
            <v>検証済み</v>
          </cell>
        </row>
        <row r="119">
          <cell r="M119" t="str">
            <v>B_SETTING_LIST23アクセントカラーAccent Color强调色</v>
          </cell>
          <cell r="N119" t="str">
            <v>検証済み</v>
          </cell>
        </row>
        <row r="120">
          <cell r="M120" t="str">
            <v>-エコアンビエントEco lampECO 模式灯</v>
          </cell>
          <cell r="N120" t="str">
            <v>検証済み</v>
          </cell>
        </row>
        <row r="121">
          <cell r="M121" t="str">
            <v>T-TAB-042ECO表示Display ECO Mark.ECO指示灯显示</v>
          </cell>
          <cell r="N121" t="str">
            <v>検証済み</v>
          </cell>
        </row>
        <row r="122">
          <cell r="M122" t="str">
            <v>B_SETTING_LIST6ECO表示Display ECO Mark.ECO指示灯显示</v>
          </cell>
          <cell r="N122" t="str">
            <v>検証済み</v>
          </cell>
        </row>
        <row r="123">
          <cell r="M123" t="str">
            <v>B_SETTING_LIST7ECO表示Display ECO Mark.ECO指示灯显示</v>
          </cell>
          <cell r="N123" t="str">
            <v>検証済み</v>
          </cell>
        </row>
        <row r="124">
          <cell r="M124" t="str">
            <v>T-TAB-043EV表示Display EV Mark.EV指示灯显示</v>
          </cell>
          <cell r="N124" t="str">
            <v>検証済み</v>
          </cell>
        </row>
        <row r="125">
          <cell r="M125" t="str">
            <v>B_SETTING_LIST8EV表示Display EV Mark.EV指示灯显示</v>
          </cell>
          <cell r="N125" t="str">
            <v>検証済み</v>
          </cell>
        </row>
        <row r="126">
          <cell r="M126" t="str">
            <v>B_SETTING_LIST9EV表示Display EV Mark.EV指示灯显示</v>
          </cell>
          <cell r="N126" t="str">
            <v>検証済み</v>
          </cell>
        </row>
        <row r="127">
          <cell r="M127" t="str">
            <v>T-TAB-051初期化Initialization初始化</v>
          </cell>
          <cell r="N127" t="str">
            <v>検証済み</v>
          </cell>
        </row>
        <row r="128">
          <cell r="M128" t="str">
            <v>B_SETTING_LIST24初期化Initialization初始化</v>
          </cell>
          <cell r="N128" t="str">
            <v>検証済み</v>
          </cell>
        </row>
        <row r="129">
          <cell r="M129" t="str">
            <v>B_SETTING_LIST25初期化Initialization初始化</v>
          </cell>
          <cell r="N129" t="str">
            <v>検証済み</v>
          </cell>
        </row>
        <row r="130">
          <cell r="M130" t="str">
            <v>B_SETTING_GUIDE018出荷時の設定に戻しますか？Do You Want
to Return to
Factory
Settings?是否恢复至
出厂时的设定？</v>
          </cell>
          <cell r="N130" t="str">
            <v>検証済み</v>
          </cell>
        </row>
        <row r="131">
          <cell r="M131" t="str">
            <v>B_SETTING_CONT20ONON打开</v>
          </cell>
          <cell r="N131" t="str">
            <v>検証済み</v>
          </cell>
        </row>
        <row r="132">
          <cell r="M132" t="str">
            <v>B_SETTING_CONT21ONON打开</v>
          </cell>
          <cell r="N132" t="str">
            <v>検証済み</v>
          </cell>
        </row>
        <row r="133">
          <cell r="M133" t="str">
            <v>B_SETTING_GUIDE001_ans1ONON打开</v>
          </cell>
          <cell r="N133" t="str">
            <v>検証済み</v>
          </cell>
        </row>
        <row r="134">
          <cell r="M134" t="str">
            <v>B_SETTING_GUIDE001_ans1_actONON打开</v>
          </cell>
          <cell r="N134" t="str">
            <v>検証済み</v>
          </cell>
        </row>
        <row r="135">
          <cell r="M135" t="str">
            <v>B_SETTING_GUIDE002_ans1ONON打开</v>
          </cell>
          <cell r="N135" t="str">
            <v>検証済み</v>
          </cell>
        </row>
        <row r="136">
          <cell r="M136" t="str">
            <v>B_SETTING_GUIDE002_ans1_actONON打开</v>
          </cell>
          <cell r="N136" t="str">
            <v>検証済み</v>
          </cell>
        </row>
        <row r="137">
          <cell r="M137" t="str">
            <v>B_FOGSW_FOG_ONONON打开</v>
          </cell>
          <cell r="N137" t="str">
            <v>検証済み</v>
          </cell>
        </row>
        <row r="138">
          <cell r="M138" t="str">
            <v>B_SETTING_CONT22OFFOFF关闭</v>
          </cell>
          <cell r="N138" t="str">
            <v>検証済み</v>
          </cell>
        </row>
        <row r="139">
          <cell r="M139" t="str">
            <v>B_SETTING_CONT23OFFOFF关闭</v>
          </cell>
          <cell r="N139" t="str">
            <v>検証済み</v>
          </cell>
        </row>
        <row r="140">
          <cell r="M140" t="str">
            <v>B_SETTING_GUIDE001_ans2_actOFFOFF关闭</v>
          </cell>
          <cell r="N140" t="str">
            <v>検証済み</v>
          </cell>
        </row>
        <row r="141">
          <cell r="M141" t="str">
            <v>B_SETTING_GUIDE001_ans2OFFOFF关闭</v>
          </cell>
          <cell r="N141" t="str">
            <v>検証済み</v>
          </cell>
        </row>
        <row r="142">
          <cell r="M142" t="str">
            <v>B_SETTING_GUIDE002_ans2OFFOFF关闭</v>
          </cell>
          <cell r="N142" t="str">
            <v>検証済み</v>
          </cell>
        </row>
        <row r="143">
          <cell r="M143" t="str">
            <v>B_SETTING_GUIDE002_ans2_actOFFOFF关闭</v>
          </cell>
          <cell r="N143" t="str">
            <v>検証済み</v>
          </cell>
        </row>
        <row r="144">
          <cell r="M144" t="str">
            <v>B_ECOB_EARTH0OFFOFF关闭</v>
          </cell>
          <cell r="N144" t="str">
            <v>検証済み</v>
          </cell>
        </row>
        <row r="145">
          <cell r="M145" t="str">
            <v>B_FOGSW_OFFOFFOFF关闭</v>
          </cell>
          <cell r="N145" t="str">
            <v>検証済み</v>
          </cell>
        </row>
        <row r="146">
          <cell r="M146" t="str">
            <v>B_FOGSW_FOG_OFFOFFOFF关闭</v>
          </cell>
          <cell r="N146" t="str">
            <v>検証済み</v>
          </cell>
        </row>
        <row r="147">
          <cell r="M147" t="str">
            <v>B_DIM_000照度調整Instrument panel light仪表板照明灯</v>
          </cell>
          <cell r="N147" t="str">
            <v>検証済み</v>
          </cell>
        </row>
        <row r="148">
          <cell r="M148" t="str">
            <v>-明Bright亮</v>
          </cell>
          <cell r="N148" t="str">
            <v>検証済み</v>
          </cell>
        </row>
        <row r="149">
          <cell r="M149" t="str">
            <v>-暗Dark暗</v>
          </cell>
          <cell r="N149" t="str">
            <v>検証済み</v>
          </cell>
        </row>
        <row r="150">
          <cell r="M150" t="str">
            <v>B_DOOR_022ボンネットオープンOpen打开</v>
          </cell>
          <cell r="N150" t="str">
            <v>検証済み</v>
          </cell>
        </row>
        <row r="151">
          <cell r="M151" t="str">
            <v>-トランクオープンTrunk open行李箱打开</v>
          </cell>
          <cell r="N151" t="str">
            <v>検証済み</v>
          </cell>
        </row>
        <row r="152">
          <cell r="M152" t="str">
            <v>WiperWiper雨刮器</v>
          </cell>
          <cell r="N152" t="str">
            <v>検証済み</v>
          </cell>
        </row>
        <row r="153">
          <cell r="M153" t="str">
            <v>MISTMIST点动</v>
          </cell>
          <cell r="N153" t="str">
            <v>検証済み</v>
          </cell>
        </row>
        <row r="154">
          <cell r="M154" t="str">
            <v>LOWLOW低</v>
          </cell>
          <cell r="N154" t="str">
            <v>検証済み</v>
          </cell>
        </row>
        <row r="155">
          <cell r="M155" t="str">
            <v>HIGHHIGH高</v>
          </cell>
          <cell r="N155" t="str">
            <v>検証済み</v>
          </cell>
        </row>
        <row r="156">
          <cell r="M156" t="str">
            <v>OFFOFF关闭</v>
          </cell>
          <cell r="N156" t="str">
            <v>検証済み</v>
          </cell>
        </row>
        <row r="157">
          <cell r="M157" t="str">
            <v>AUTOAUTO自动</v>
          </cell>
          <cell r="N157" t="str">
            <v>検証済み</v>
          </cell>
        </row>
        <row r="158">
          <cell r="M158" t="str">
            <v>WASHERWASHER清洗器</v>
          </cell>
          <cell r="N158" t="str">
            <v>検証済み</v>
          </cell>
        </row>
        <row r="159">
          <cell r="M159" t="str">
            <v>INTINTERMITTENT间歇</v>
          </cell>
          <cell r="N159" t="str">
            <v>検証済み</v>
          </cell>
        </row>
        <row r="160">
          <cell r="M160" t="str">
            <v>B_LIGHTSW_AUTO_LEVEL_DISP_1感度SENSITIVITY灵敏度</v>
          </cell>
          <cell r="N160" t="str">
            <v>検証済み</v>
          </cell>
        </row>
        <row r="161">
          <cell r="M161" t="str">
            <v>B_LIGHTSW_AUTO_LEVEL_DISP_2感度SENSITIVITY灵敏度</v>
          </cell>
          <cell r="N161" t="str">
            <v>検証済み</v>
          </cell>
        </row>
        <row r="162">
          <cell r="M162" t="str">
            <v>B_LIGHTSW_AUTO_LEVEL_HI_1高HIGH高</v>
          </cell>
          <cell r="N162" t="str">
            <v>検証済み</v>
          </cell>
        </row>
        <row r="163">
          <cell r="M163" t="str">
            <v>B_LIGHTSW_AUTO_LEVEL_HI_2高HIGH高</v>
          </cell>
          <cell r="N163" t="str">
            <v>検証済み</v>
          </cell>
        </row>
        <row r="164">
          <cell r="M164" t="str">
            <v>B_LIGHTSW_AUTO_LEVEL_LO_1低LOW低</v>
          </cell>
          <cell r="N164" t="str">
            <v>検証済み</v>
          </cell>
        </row>
        <row r="165">
          <cell r="M165" t="str">
            <v>B_LIGHTSW_AUTO_LEVEL_LO_2低LOW低</v>
          </cell>
          <cell r="N165" t="str">
            <v>検証済み</v>
          </cell>
        </row>
        <row r="166">
          <cell r="M166" t="str">
            <v>頻度FREQUENTLY频率</v>
          </cell>
          <cell r="N166" t="str">
            <v>検証済み</v>
          </cell>
        </row>
        <row r="167">
          <cell r="M167" t="str">
            <v>速FAST快</v>
          </cell>
          <cell r="N167" t="str">
            <v>検証済み</v>
          </cell>
        </row>
        <row r="168">
          <cell r="M168" t="str">
            <v>遅SLOW慢</v>
          </cell>
          <cell r="N168" t="str">
            <v>検証済み</v>
          </cell>
        </row>
        <row r="169">
          <cell r="M169" t="str">
            <v>B_LIGHTSW_GUIDELightLight灯光</v>
          </cell>
          <cell r="N169" t="str">
            <v>検証済み</v>
          </cell>
        </row>
        <row r="170">
          <cell r="M170" t="str">
            <v>ライトポジションLamp Switch Position灯光开关位置</v>
          </cell>
          <cell r="N170" t="str">
            <v>検証済み</v>
          </cell>
        </row>
        <row r="171">
          <cell r="M171" t="str">
            <v>OFFOFF关闭</v>
          </cell>
          <cell r="N171" t="str">
            <v>検証済み</v>
          </cell>
        </row>
        <row r="172">
          <cell r="M172" t="str">
            <v>DRL OFFDRL OFF日间行车灯关闭</v>
          </cell>
          <cell r="N172" t="str">
            <v>検証済み</v>
          </cell>
        </row>
        <row r="173">
          <cell r="M173" t="str">
            <v>AUTOAUTO自动</v>
          </cell>
          <cell r="N173" t="str">
            <v>検証済み</v>
          </cell>
        </row>
        <row r="174">
          <cell r="M174" t="str">
            <v>DRLDRL日间行车灯</v>
          </cell>
          <cell r="N174" t="str">
            <v>検証済み</v>
          </cell>
        </row>
        <row r="175">
          <cell r="M175" t="str">
            <v>TAILTAIL尾灯</v>
          </cell>
          <cell r="N175" t="str">
            <v>検証済み</v>
          </cell>
        </row>
        <row r="176">
          <cell r="M176" t="str">
            <v>HEADHEAD前照灯</v>
          </cell>
          <cell r="N176" t="str">
            <v>検証済み</v>
          </cell>
        </row>
        <row r="177">
          <cell r="M177" t="str">
            <v>AHSAHSAHS</v>
          </cell>
          <cell r="N177" t="str">
            <v>検証済み</v>
          </cell>
        </row>
        <row r="178">
          <cell r="M178" t="str">
            <v>AHBAHBAHB</v>
          </cell>
          <cell r="N178" t="str">
            <v>検証済み</v>
          </cell>
        </row>
        <row r="179">
          <cell r="M179" t="str">
            <v>FogFog雾灯</v>
          </cell>
          <cell r="N179" t="str">
            <v>検証済み</v>
          </cell>
        </row>
        <row r="180">
          <cell r="M180" t="str">
            <v>フォグライトFog Lamp雾灯</v>
          </cell>
          <cell r="N180" t="str">
            <v>検証済み</v>
          </cell>
        </row>
        <row r="181">
          <cell r="M181" t="str">
            <v>OFFOFF关闭</v>
          </cell>
          <cell r="N181" t="str">
            <v>検証済み</v>
          </cell>
        </row>
        <row r="182">
          <cell r="M182" t="str">
            <v>B_FOGSW_LANG_FRONTフロントフォグFront Fog Light前雾灯</v>
          </cell>
          <cell r="N182" t="str">
            <v>検証済み</v>
          </cell>
        </row>
        <row r="183">
          <cell r="M183" t="str">
            <v>B_FOGSW_FFOG_LANGフロントフォグFront Fog Light前雾灯</v>
          </cell>
          <cell r="N183" t="str">
            <v>検証済み</v>
          </cell>
        </row>
        <row r="184">
          <cell r="M184" t="str">
            <v>B_FOGSW_LANG_REARリアフォグRear Fog Light后雾灯</v>
          </cell>
          <cell r="N184" t="str">
            <v>検証済み</v>
          </cell>
        </row>
        <row r="185">
          <cell r="M185" t="str">
            <v>B_FOGSW_RROG_LANGリアフォグRear Fog Light后雾灯</v>
          </cell>
          <cell r="N185" t="str">
            <v>検証済み</v>
          </cell>
        </row>
        <row r="186">
          <cell r="M186" t="str">
            <v>B_ACC_041加速Accelerate加速</v>
          </cell>
          <cell r="N186" t="str">
            <v>検証済み</v>
          </cell>
        </row>
        <row r="187">
          <cell r="M187" t="str">
            <v>B_ACC_042減速Decelerate减速</v>
          </cell>
          <cell r="N187" t="str">
            <v>検証済み</v>
          </cell>
        </row>
        <row r="188">
          <cell r="M188" t="str">
            <v>B_ACC_047クルーズシステムを使う場合は、ONしてください。Turn On to Activate Cruise Control.使用巡航系统时，
请打开。</v>
          </cell>
          <cell r="N188" t="str">
            <v>検証済み</v>
          </cell>
        </row>
        <row r="189">
          <cell r="M189" t="str">
            <v>ブレーキで解除Deactivate by Tapping Brake Pedal.踩制动踏板解除。</v>
          </cell>
          <cell r="N189" t="str">
            <v>検証済み</v>
          </cell>
        </row>
        <row r="190">
          <cell r="M190" t="str">
            <v>B_ACC_040解除Cancel解除</v>
          </cell>
          <cell r="N190" t="str">
            <v>検証済み</v>
          </cell>
        </row>
        <row r="191">
          <cell r="M191" t="str">
            <v>B_ACC_043定速モードConstant Speed Mode定速模式</v>
          </cell>
          <cell r="N191" t="str">
            <v>検証済み</v>
          </cell>
        </row>
        <row r="192">
          <cell r="M192" t="str">
            <v>B_ACC_044ｸﾙｰｽﾞOFFCruise OFF巡航关闭</v>
          </cell>
          <cell r="N192" t="str">
            <v>検証済み</v>
          </cell>
        </row>
        <row r="193">
          <cell r="M193" t="str">
            <v>B_ACC_041_2復帰Resume恢复</v>
          </cell>
          <cell r="N193" t="str">
            <v>検証済み</v>
          </cell>
        </row>
        <row r="194">
          <cell r="M194" t="str">
            <v>4WD4WD4WD</v>
          </cell>
          <cell r="N194" t="str">
            <v>検証済み</v>
          </cell>
        </row>
        <row r="195">
          <cell r="M195" t="str">
            <v>AWDAWDAWD</v>
          </cell>
          <cell r="N195" t="str">
            <v>検証済み</v>
          </cell>
        </row>
        <row r="196">
          <cell r="M196" t="str">
            <v>VGRSVGRSVGRS</v>
          </cell>
          <cell r="N196" t="str">
            <v>検証済み</v>
          </cell>
        </row>
        <row r="197">
          <cell r="M197" t="str">
            <v>DSS1DSS1DSS1</v>
          </cell>
          <cell r="N197" t="str">
            <v>検証済み</v>
          </cell>
        </row>
        <row r="198">
          <cell r="M198" t="str">
            <v>B_SETTING_GUIDE004★押下時はこの画面を表示するように変更しますか？Do You Want to Set So that Pressing ★ Will Return to this Screen?是否进行变更，使按下★时显示本画面？</v>
          </cell>
          <cell r="N198" t="str">
            <v>検証済み</v>
          </cell>
        </row>
        <row r="199">
          <cell r="M199" t="str">
            <v>B_SETTING_GUIDE005この画面は★に登録できませんThis Screen Cannot be Registered to ★.本画面无法登录到★。</v>
          </cell>
          <cell r="N199" t="str">
            <v>検証済み</v>
          </cell>
        </row>
        <row r="200">
          <cell r="M200" t="str">
            <v>車室内の設定を変更しましたVehicle Interior
Settings Changed已变更车厢内的设定。</v>
          </cell>
          <cell r="N200" t="str">
            <v>検証済み</v>
          </cell>
        </row>
        <row r="201">
          <cell r="M201" t="str">
            <v>T-TAB-044★スイッチ設定★ Switch
Settings★开关设定</v>
          </cell>
          <cell r="N201" t="str">
            <v>検証済み</v>
          </cell>
        </row>
        <row r="202">
          <cell r="M202" t="str">
            <v>B_SETTING_LIST10★スイッチ設定★ Switch
Settings★开关设定</v>
          </cell>
          <cell r="N202" t="str">
            <v>検証済み</v>
          </cell>
        </row>
        <row r="203">
          <cell r="M203" t="str">
            <v>B_SETTING_LIST11★スイッチ設定★ Switch
Settings★开关设定</v>
          </cell>
          <cell r="N203" t="str">
            <v>検証済み</v>
          </cell>
        </row>
        <row r="204">
          <cell r="M204" t="str">
            <v>B_SETTING_GUIDE003_GUIDE◎：現在の登録画面を表示◎: Display 
Current 
Registered
Screen◎：显示现在的
登录画面</v>
          </cell>
          <cell r="N204" t="str">
            <v>検証済み</v>
          </cell>
        </row>
        <row r="205">
          <cell r="M205" t="str">
            <v>B_SETTING_GUIDE013_guide1◎：ON/OFF設定◎: ON/OFF
Settings◎：打开/关闭
设定</v>
          </cell>
          <cell r="N205" t="str">
            <v>検証済み</v>
          </cell>
        </row>
        <row r="206">
          <cell r="M206" t="str">
            <v>B_SETTING_GUIDE014_guide◎：ON/OFF設定◎: ON/OFF
Settings◎：打开/关闭
设定</v>
          </cell>
          <cell r="N206" t="str">
            <v>検証済み</v>
          </cell>
        </row>
        <row r="207">
          <cell r="M207" t="str">
            <v>B_SETTING_GUIDE015_guide◎：ON/OFF設定◎: ON/OFF
Settings◎：打开/关闭
设定</v>
          </cell>
          <cell r="N207" t="str">
            <v>検証済み</v>
          </cell>
        </row>
        <row r="208">
          <cell r="M208" t="str">
            <v>B_SETTING_GUIDE016_guide◎：ON/OFF設定◎: ON/OFF
Settings◎：打开/关闭
设定</v>
          </cell>
          <cell r="N208" t="str">
            <v>検証済み</v>
          </cell>
        </row>
        <row r="209">
          <cell r="M209" t="str">
            <v>B_SETTING_GUIDE017_guide◎：ON/OFF設定◎: ON/OFF
Settings◎：打开/关闭
设定</v>
          </cell>
          <cell r="N209" t="str">
            <v>検証済み</v>
          </cell>
        </row>
        <row r="210">
          <cell r="M210" t="str">
            <v>A-ACC-001イグニッション ONIGNITION ON点火</v>
          </cell>
          <cell r="N210" t="str">
            <v>検証済み</v>
          </cell>
        </row>
        <row r="211">
          <cell r="M211" t="str">
            <v>A-ACC-000アクセサリーACCESSORY附件</v>
          </cell>
          <cell r="N211" t="str">
            <v>検証済み</v>
          </cell>
        </row>
        <row r="212">
          <cell r="M212" t="str">
            <v>B_CURRENT_017平均AVG平均</v>
          </cell>
          <cell r="N212" t="str">
            <v>検証済み</v>
          </cell>
        </row>
        <row r="213">
          <cell r="M213" t="str">
            <v>[Enter] モード選択Push [Enter] for Source按[Enter]进入模式选择</v>
          </cell>
          <cell r="N213" t="str">
            <v>検証済み</v>
          </cell>
        </row>
        <row r="214">
          <cell r="M214" t="str">
            <v>T-TAB-025モード選択Select Source模式选择</v>
          </cell>
          <cell r="N214" t="str">
            <v>検証済み</v>
          </cell>
        </row>
        <row r="215">
          <cell r="M215" t="str">
            <v>[Enter] 電話メニューPush [Enter] for
Telephone Menu.按[Enter]进入电话菜单</v>
          </cell>
          <cell r="N215" t="str">
            <v>検証済み</v>
          </cell>
        </row>
        <row r="216">
          <cell r="M216" t="str">
            <v>B_SETTING_002Push [Enter] to Customize</v>
          </cell>
          <cell r="N216" t="str">
            <v>検証済み</v>
          </cell>
        </row>
        <row r="217">
          <cell r="M217" t="str">
            <v>B_SPDIST_023給油してくださいRefuel</v>
          </cell>
          <cell r="N217" t="str">
            <v>検証済み</v>
          </cell>
        </row>
        <row r="218">
          <cell r="M218" t="str">
            <v>B_CRS_050ソナー故障Check Park Sonar System检查
驻车声纳系统</v>
          </cell>
          <cell r="N218" t="str">
            <v>検証済み</v>
          </cell>
        </row>
        <row r="219">
          <cell r="M219" t="str">
            <v>B_CRS_051ソナー汚れClean Park Sonar清洁驻车声纳</v>
          </cell>
          <cell r="N219" t="str">
            <v>検証済み</v>
          </cell>
        </row>
        <row r="220">
          <cell r="M220" t="str">
            <v>B_TPMS_028INCLUDE SPARE TIREINCLUDE SPARE TIRE未</v>
          </cell>
          <cell r="N220" t="str">
            <v>検証済み</v>
          </cell>
        </row>
        <row r="221">
          <cell r="M221" t="str">
            <v>B_GEAR_TITLEGear PositionGear Position齿轮位置</v>
          </cell>
          <cell r="N221" t="str">
            <v>検証済み</v>
          </cell>
        </row>
        <row r="222">
          <cell r="M222" t="str">
            <v>B_ECO2_LIST_001_act平均車速AVG. Speed平均车速</v>
          </cell>
          <cell r="N222" t="str">
            <v>検証済み</v>
          </cell>
        </row>
        <row r="223">
          <cell r="M223" t="str">
            <v>B_ECO2_LIST_001平均車速AVG. Speed平均车速</v>
          </cell>
          <cell r="N223" t="str">
            <v>検証済み</v>
          </cell>
        </row>
        <row r="224">
          <cell r="M224" t="str">
            <v>B_ECO2_LIST_000平均燃費AVG. Fuel Economy平均油耗</v>
          </cell>
          <cell r="N224" t="str">
            <v>検証済み</v>
          </cell>
        </row>
        <row r="225">
          <cell r="M225" t="str">
            <v>B_ECO2_LIST_000_act平均燃費AVG. Fuel Economy平均油耗</v>
          </cell>
          <cell r="N225" t="str">
            <v>検証済み</v>
          </cell>
        </row>
        <row r="226">
          <cell r="M226" t="str">
            <v>B_ACC_042_2SetSet安排</v>
          </cell>
          <cell r="N226" t="str">
            <v>検証済み</v>
          </cell>
        </row>
        <row r="227">
          <cell r="M227" t="str">
            <v>B_ACC_045クルーズ ONCruise ON巡航开</v>
          </cell>
          <cell r="N227" t="str">
            <v>検証済み</v>
          </cell>
        </row>
        <row r="228">
          <cell r="M228" t="str">
            <v>B_LIGHTSW_GUIDEライトガイド-</v>
          </cell>
          <cell r="N228" t="str">
            <v>検証済み</v>
          </cell>
        </row>
        <row r="229">
          <cell r="M229" t="str">
            <v>B_LIGHTSW_AUTOAUTO中
ＡＵＴＯAUTO 
activated自动方式</v>
          </cell>
          <cell r="N229" t="str">
            <v>検証済み</v>
          </cell>
        </row>
        <row r="230">
          <cell r="M230" t="str">
            <v>B_LIGHTSW_OTHERAUTO解除AUTO 
deactivated解除了自动方式</v>
          </cell>
          <cell r="N230" t="str">
            <v>検証済み</v>
          </cell>
        </row>
        <row r="231">
          <cell r="M231" t="str">
            <v>B_LIGHTSW_TURNONライト点灯Light ON灯光开</v>
          </cell>
          <cell r="N231" t="str">
            <v>検証済み</v>
          </cell>
        </row>
        <row r="232">
          <cell r="M232" t="str">
            <v>B_WIPERSW_GUIDE1ワイパをＡＵＴＯ制御に
切り替える場合は
ＯＮしてくださいTurn on Switch
to Change Wiper
into AUTOワイパをＡＵＴＯ制御に
切り替える場合は
スイッチをＯＮしてください</v>
          </cell>
          <cell r="N232" t="str">
            <v>検証済み</v>
          </cell>
        </row>
        <row r="233">
          <cell r="M233" t="str">
            <v>B_LIGHTSW_AUTO_1AUTO切替方法-</v>
          </cell>
          <cell r="N233" t="str">
            <v>検証済み</v>
          </cell>
        </row>
        <row r="234">
          <cell r="M234" t="str">
            <v>B_LIGHTSW_AUTO_2AUTO感度-</v>
          </cell>
          <cell r="N234" t="str">
            <v>検証済み</v>
          </cell>
        </row>
        <row r="235">
          <cell r="M235" t="str">
            <v xml:space="preserve">B_SETTING_GUIDE007瞬間燃費
Current 
Fuel Economy瞬间油耗
</v>
          </cell>
          <cell r="N235" t="str">
            <v>検証済み</v>
          </cell>
        </row>
        <row r="236">
          <cell r="M236" t="str">
            <v>B_SETTING_GUIDE008平均燃費Average 
Fuel Economy平均油耗</v>
          </cell>
          <cell r="N236" t="str">
            <v>検証済み</v>
          </cell>
        </row>
        <row r="237">
          <cell r="M237" t="str">
            <v>B_SETTING_GUIDE009平均車速Average
Speed平均车速</v>
          </cell>
          <cell r="N237" t="str">
            <v>検証済み</v>
          </cell>
        </row>
        <row r="238">
          <cell r="M238" t="str">
            <v xml:space="preserve">B_SETTING_GUIDE010距離
Distance
距离
</v>
          </cell>
          <cell r="N238" t="str">
            <v>検証済み</v>
          </cell>
        </row>
        <row r="239">
          <cell r="M239" t="str">
            <v xml:space="preserve">B_SETTING_GUIDE011走行時間
Elapsed Time
行驶时间
</v>
          </cell>
          <cell r="N239" t="str">
            <v>検証済み</v>
          </cell>
        </row>
        <row r="240">
          <cell r="M240" t="str">
            <v>B_SETTING_GUIDE012その他Other其他</v>
          </cell>
          <cell r="N240" t="str">
            <v>検証済み</v>
          </cell>
        </row>
        <row r="241">
          <cell r="M241" t="str">
            <v>B_SETTING_GUIDE007_ans1バー表示Bar Type标尺显示</v>
          </cell>
          <cell r="N241" t="str">
            <v>検証済み</v>
          </cell>
        </row>
        <row r="242">
          <cell r="M242" t="str">
            <v>B_SETTING_GUIDE007_ans1_actバー表示Bar Type标尺显示</v>
          </cell>
          <cell r="N242" t="str">
            <v>検証済み</v>
          </cell>
        </row>
        <row r="243">
          <cell r="M243" t="str">
            <v>B_SETTING_GUIDE007_ans1_nonバー表示Bar Type标尺显示</v>
          </cell>
          <cell r="N243" t="str">
            <v>検証済み</v>
          </cell>
        </row>
        <row r="244">
          <cell r="M244" t="str">
            <v>B_SETTING_GUIDE007_ans1_non_actバー表示Bar Type标尺显示</v>
          </cell>
          <cell r="N244" t="str">
            <v>検証済み</v>
          </cell>
        </row>
        <row r="245">
          <cell r="M245" t="str">
            <v>B_SETTING_GUIDE007_ans2数値表示Value Type数值显示</v>
          </cell>
          <cell r="N245" t="str">
            <v>検証済み</v>
          </cell>
        </row>
        <row r="246">
          <cell r="M246" t="str">
            <v>B_SETTING_GUIDE007_ans2_act数値表示Value Type数值显示</v>
          </cell>
          <cell r="N246" t="str">
            <v>検証済み</v>
          </cell>
        </row>
        <row r="247">
          <cell r="M247" t="str">
            <v>B_SETTING_GUIDE007_ans2_non数値表示Value Type数值显示</v>
          </cell>
          <cell r="N247" t="str">
            <v>検証済み</v>
          </cell>
        </row>
        <row r="248">
          <cell r="M248" t="str">
            <v>B_SETTING_GUIDE007_ans2_non_act数値表示Value Type数值显示</v>
          </cell>
          <cell r="N248" t="str">
            <v>検証済み</v>
          </cell>
        </row>
        <row r="249">
          <cell r="M249" t="str">
            <v>B_SETTING_GUIDE008_ans1リセット間After Reset重置后</v>
          </cell>
          <cell r="N249" t="str">
            <v>検証済み</v>
          </cell>
        </row>
        <row r="250">
          <cell r="M250" t="str">
            <v>B_SETTING_GUIDE008_ans1_actリセット間After Reset重置后</v>
          </cell>
          <cell r="N250" t="str">
            <v>検証済み</v>
          </cell>
        </row>
        <row r="251">
          <cell r="M251" t="str">
            <v>B_SETTING_GUIDE008_ans1_nonリセット間After Reset重置后</v>
          </cell>
          <cell r="N251" t="str">
            <v>検証済み</v>
          </cell>
        </row>
        <row r="252">
          <cell r="M252" t="str">
            <v>B_SETTING_GUIDE008_ans1_non_actリセット間After Reset重置后</v>
          </cell>
          <cell r="N252" t="str">
            <v>検証済み</v>
          </cell>
        </row>
        <row r="253">
          <cell r="M253" t="str">
            <v>B_SETTING_GUIDE008_ans3始動後After Start启动后</v>
          </cell>
          <cell r="N253" t="str">
            <v>検証済み</v>
          </cell>
        </row>
        <row r="254">
          <cell r="M254" t="str">
            <v>B_SETTING_GUIDE008_ans3_act始動後After Start启动后</v>
          </cell>
          <cell r="N254" t="str">
            <v>検証済み</v>
          </cell>
        </row>
        <row r="255">
          <cell r="M255" t="str">
            <v>B_SETTING_GUIDE008_ans3_non始動後After Start启动后</v>
          </cell>
          <cell r="N255" t="str">
            <v>検証済み</v>
          </cell>
        </row>
        <row r="256">
          <cell r="M256" t="str">
            <v>B_SETTING_GUIDE008_ans3_non_act始動後After Start启动后</v>
          </cell>
          <cell r="N256" t="str">
            <v>検証済み</v>
          </cell>
        </row>
        <row r="257">
          <cell r="M257" t="str">
            <v>B_SETTING_GUIDE008_ans2給油後After Refuel加油后</v>
          </cell>
          <cell r="N257" t="str">
            <v>検証済み</v>
          </cell>
        </row>
        <row r="258">
          <cell r="M258" t="str">
            <v>B_SETTING_GUIDE008_ans2_act給油後After Refueling加油后</v>
          </cell>
          <cell r="N258" t="str">
            <v>検証済み</v>
          </cell>
        </row>
        <row r="259">
          <cell r="M259" t="str">
            <v>B_SETTING_GUIDE008_ans2_non給油後After Refueling加油后</v>
          </cell>
          <cell r="N259" t="str">
            <v>検証済み</v>
          </cell>
        </row>
        <row r="260">
          <cell r="M260" t="str">
            <v>B_SETTING_GUIDE008_ans2_non_act給油後After Refueling加油后</v>
          </cell>
          <cell r="N260" t="str">
            <v>検証済み</v>
          </cell>
        </row>
        <row r="261">
          <cell r="M261" t="str">
            <v>B_SETTING_GUIDE012_ans1ブランクBlank空白</v>
          </cell>
          <cell r="N261" t="str">
            <v>検証済み</v>
          </cell>
        </row>
        <row r="262">
          <cell r="M262" t="str">
            <v>B_SETTING_GUIDE012_ans1_actブランクBlank空白</v>
          </cell>
          <cell r="N262" t="str">
            <v>検証済み</v>
          </cell>
        </row>
        <row r="263">
          <cell r="M263" t="str">
            <v>B_ACC_006RADAR
READYRADAR
READY雷达
READY</v>
          </cell>
          <cell r="N263" t="str">
            <v>検証済み</v>
          </cell>
        </row>
        <row r="264">
          <cell r="N264" t="str">
            <v>検証済み</v>
          </cell>
        </row>
      </sheetData>
      <sheetData sheetId="2"/>
      <sheetData sheetId="3"/>
      <sheetData sheetId="4"/>
      <sheetData sheetId="5" refreshError="1"/>
      <sheetData sheetId="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ラメータ一覧(AXSS.AXCS)"/>
      <sheetName val="パラメータ一覧(XSS.XCS)"/>
      <sheetName val="AXSS.h"/>
      <sheetName val="AXSS_Initram.h"/>
      <sheetName val="AXSS_Intcfg.h"/>
      <sheetName val="AXSS_Intcfg.prm"/>
      <sheetName val="AXSS_Mgr.h"/>
      <sheetName val="AXSS_Mgr.prm"/>
      <sheetName val="AXSS_Oemcfg.h"/>
      <sheetName val="AXSS_Oemcfg.prm"/>
      <sheetName val="AXSS_Pwrmgr.h"/>
      <sheetName val="AXSS_Pwrmgr.prm"/>
      <sheetName val="AXSS_Rsccfg.h"/>
      <sheetName val="AXSS_Rsccfg.prm"/>
      <sheetName val="AXSS_Usrcfg.h"/>
      <sheetName val="AXSS_Usrcfg.prm"/>
      <sheetName val="AXSS_XSS.h"/>
      <sheetName val="AXCS.h"/>
      <sheetName val="AXCS_Com.h"/>
      <sheetName val="AXCS_Diag.h"/>
      <sheetName val="AXCS_Nm.h"/>
      <sheetName val="AXCS_Usrcfg.h"/>
      <sheetName val="AXCS_Usrcfg.prm"/>
      <sheetName val="AXCS_XCS.h"/>
      <sheetName val="Config - dspmgr"/>
      <sheetName val="設定値定義"/>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取得"/>
      <sheetName val="文言描画サイズ計測"/>
      <sheetName val="Font"/>
      <sheetName val="TextStyle"/>
      <sheetName val="装飾(アイコン)"/>
      <sheetName val="装飾(反転)"/>
      <sheetName val="1byte文字"/>
      <sheetName val="使用方法"/>
      <sheetName val="例_データ取得設定 "/>
      <sheetName val="手作業一覧"/>
      <sheetName val="変更履歴"/>
      <sheetName val="Old_文言データ"/>
      <sheetName val="Old_デザインデータ_textarea"/>
      <sheetName val="Old_デザインデータ_icon"/>
    </sheetNames>
    <sheetDataSet>
      <sheetData sheetId="0">
        <row r="50">
          <cell r="B50" t="str">
            <v>日本語</v>
          </cell>
        </row>
        <row r="51">
          <cell r="B51" t="str">
            <v>英語（USA）</v>
          </cell>
        </row>
        <row r="52">
          <cell r="B52" t="str">
            <v>加仏語</v>
          </cell>
        </row>
        <row r="53">
          <cell r="B53" t="str">
            <v>メキシカンスパニッシュ語</v>
          </cell>
        </row>
        <row r="54">
          <cell r="B54" t="str">
            <v>英語（UK）</v>
          </cell>
        </row>
        <row r="55">
          <cell r="B55" t="str">
            <v xml:space="preserve">フランス語(欧) </v>
          </cell>
        </row>
        <row r="56">
          <cell r="B56" t="str">
            <v>スペイン語(欧)</v>
          </cell>
        </row>
        <row r="57">
          <cell r="B57" t="str">
            <v>ドイツ語</v>
          </cell>
        </row>
        <row r="58">
          <cell r="B58" t="str">
            <v xml:space="preserve">イタリア語 </v>
          </cell>
        </row>
        <row r="59">
          <cell r="B59" t="str">
            <v>ポルトガル語(欧)</v>
          </cell>
        </row>
        <row r="60">
          <cell r="B60" t="str">
            <v>オランダ語</v>
          </cell>
        </row>
        <row r="61">
          <cell r="B61" t="str">
            <v>スウェーデン語</v>
          </cell>
        </row>
        <row r="62">
          <cell r="B62" t="str">
            <v>ノルウェー語</v>
          </cell>
        </row>
        <row r="63">
          <cell r="B63" t="str">
            <v>デンマーク語</v>
          </cell>
        </row>
        <row r="64">
          <cell r="B64" t="str">
            <v>ロシア語</v>
          </cell>
        </row>
        <row r="65">
          <cell r="B65" t="str">
            <v>フィンランド語</v>
          </cell>
        </row>
        <row r="66">
          <cell r="B66" t="str">
            <v>ギリシャ語</v>
          </cell>
        </row>
        <row r="67">
          <cell r="B67" t="str">
            <v>ポーランド語</v>
          </cell>
        </row>
        <row r="68">
          <cell r="B68" t="str">
            <v>ウクライナ語</v>
          </cell>
        </row>
        <row r="69">
          <cell r="B69" t="str">
            <v>トルコ語</v>
          </cell>
        </row>
        <row r="70">
          <cell r="B70" t="str">
            <v>ハンガリー語</v>
          </cell>
        </row>
        <row r="71">
          <cell r="B71" t="str">
            <v>チェコ語</v>
          </cell>
        </row>
        <row r="72">
          <cell r="B72" t="str">
            <v>スロバキア語</v>
          </cell>
        </row>
        <row r="73">
          <cell r="B73" t="str">
            <v>ルーマニア語</v>
          </cell>
        </row>
        <row r="74">
          <cell r="B74" t="str">
            <v>バスク語</v>
          </cell>
        </row>
        <row r="75">
          <cell r="B75" t="str">
            <v>ブルガリア語</v>
          </cell>
        </row>
        <row r="76">
          <cell r="B76" t="str">
            <v>フラマン語</v>
          </cell>
        </row>
        <row r="77">
          <cell r="B77" t="str">
            <v>英語(AUST)</v>
          </cell>
        </row>
        <row r="78">
          <cell r="B78" t="str">
            <v>英語(中近東)</v>
          </cell>
        </row>
        <row r="79">
          <cell r="B79" t="str">
            <v>アラビア語</v>
          </cell>
        </row>
        <row r="80">
          <cell r="B80" t="str">
            <v>中国語(簡体)</v>
          </cell>
        </row>
        <row r="81">
          <cell r="B81" t="str">
            <v>中国語(繁体)</v>
          </cell>
        </row>
        <row r="82">
          <cell r="B82" t="str">
            <v>台湾国語</v>
          </cell>
        </row>
        <row r="83">
          <cell r="B83" t="str">
            <v>韓国語</v>
          </cell>
        </row>
        <row r="84">
          <cell r="B84" t="str">
            <v>タイ語</v>
          </cell>
        </row>
        <row r="85">
          <cell r="B85" t="str">
            <v>マレー語</v>
          </cell>
        </row>
        <row r="86">
          <cell r="B86" t="str">
            <v>インドネシア語</v>
          </cell>
        </row>
        <row r="87">
          <cell r="B87" t="str">
            <v>英語(インド)</v>
          </cell>
        </row>
        <row r="88">
          <cell r="B88" t="str">
            <v>ヒンディー語</v>
          </cell>
        </row>
        <row r="89">
          <cell r="B89" t="str">
            <v>市販英語</v>
          </cell>
        </row>
        <row r="90">
          <cell r="B90" t="str">
            <v>ベトナム語</v>
          </cell>
        </row>
        <row r="91">
          <cell r="B91" t="str">
            <v>フィリピン語</v>
          </cell>
        </row>
        <row r="92">
          <cell r="B92" t="str">
            <v>タミル語</v>
          </cell>
        </row>
        <row r="93">
          <cell r="B93" t="str">
            <v>ペルシャ語</v>
          </cell>
        </row>
        <row r="94">
          <cell r="B94" t="str">
            <v>ヘブライ語</v>
          </cell>
        </row>
        <row r="95">
          <cell r="B95" t="str">
            <v>イスラエル語</v>
          </cell>
        </row>
        <row r="96">
          <cell r="B96" t="str">
            <v>スペイン語(南米)</v>
          </cell>
        </row>
        <row r="97">
          <cell r="B97" t="str">
            <v>ブラジルポルトガル語</v>
          </cell>
        </row>
      </sheetData>
      <sheetData sheetId="1"/>
      <sheetData sheetId="2"/>
      <sheetData sheetId="3">
        <row r="3">
          <cell r="E3" t="str">
            <v>プロパティ</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list"/>
      <sheetName val="Config - dspmgr"/>
      <sheetName val="DataInputRule"/>
      <sheetName val="OverflowID"/>
      <sheetName val="Sheet1"/>
      <sheetName val="Item"/>
      <sheetName val="参考資料28"/>
      <sheetName val="評価対象"/>
      <sheetName val="パラメータ一覧(AXSS.AXCS)"/>
    </sheetNames>
    <sheetDataSet>
      <sheetData sheetId="0">
        <row r="2">
          <cell r="C2" t="str">
            <v>日本語</v>
          </cell>
        </row>
      </sheetData>
      <sheetData sheetId="1">
        <row r="2">
          <cell r="C2" t="str">
            <v>日本語</v>
          </cell>
          <cell r="G2">
            <v>8</v>
          </cell>
          <cell r="H2">
            <v>1</v>
          </cell>
        </row>
        <row r="3">
          <cell r="G3">
            <v>9</v>
          </cell>
          <cell r="H3">
            <v>2</v>
          </cell>
        </row>
        <row r="4">
          <cell r="G4">
            <v>10</v>
          </cell>
          <cell r="H4">
            <v>3</v>
          </cell>
        </row>
        <row r="5">
          <cell r="G5">
            <v>11</v>
          </cell>
          <cell r="H5">
            <v>4</v>
          </cell>
        </row>
        <row r="6">
          <cell r="G6">
            <v>12</v>
          </cell>
          <cell r="H6">
            <v>5</v>
          </cell>
        </row>
        <row r="7">
          <cell r="G7">
            <v>13</v>
          </cell>
          <cell r="H7">
            <v>6</v>
          </cell>
        </row>
        <row r="8">
          <cell r="G8">
            <v>14</v>
          </cell>
          <cell r="H8">
            <v>7</v>
          </cell>
        </row>
        <row r="9">
          <cell r="G9">
            <v>15</v>
          </cell>
          <cell r="H9">
            <v>8</v>
          </cell>
        </row>
        <row r="10">
          <cell r="G10">
            <v>16</v>
          </cell>
          <cell r="H10">
            <v>9</v>
          </cell>
        </row>
        <row r="11">
          <cell r="G11">
            <v>17</v>
          </cell>
        </row>
        <row r="12">
          <cell r="G12">
            <v>18</v>
          </cell>
        </row>
        <row r="13">
          <cell r="G13">
            <v>19</v>
          </cell>
        </row>
        <row r="14">
          <cell r="G14">
            <v>20</v>
          </cell>
        </row>
        <row r="15">
          <cell r="G15">
            <v>21</v>
          </cell>
        </row>
        <row r="16">
          <cell r="G16">
            <v>22</v>
          </cell>
        </row>
        <row r="17">
          <cell r="G17">
            <v>23</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エンジン型式"/>
      <sheetName val="停車時の減算1(L4HV)"/>
      <sheetName val="IG OFF給油"/>
      <sheetName val="学習燃費Cg(悪)"/>
      <sheetName val="学習燃費Cg(良)"/>
      <sheetName val="瞬間燃費"/>
      <sheetName val="平均燃費"/>
      <sheetName val="平均車速"/>
      <sheetName val="+B初回(km)"/>
      <sheetName val="Cg更新なし"/>
      <sheetName val="Sheet1 (3)"/>
      <sheetName val="抵抗値とAD値計算"/>
      <sheetName val="Cgリミット"/>
      <sheetName val="▲走行時減算"/>
      <sheetName val="▲停車減算"/>
      <sheetName val="Config - dspmgr"/>
      <sheetName val="ListWork"/>
      <sheetName val="ドメインリスト"/>
      <sheetName val="バグ票一覧（ORG）"/>
      <sheetName val="車両仕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はじめに"/>
      <sheetName val="用語集"/>
      <sheetName val="ワークフロー"/>
      <sheetName val="結合検査仕様書作成CS"/>
      <sheetName val="意匠表示検査の概要"/>
      <sheetName val="アニメーション検査の概要"/>
      <sheetName val="ライン検査の概要"/>
      <sheetName val="意匠置き換わり検査の概要"/>
      <sheetName val="画面切り替わり検査の概要"/>
      <sheetName val="フェードイン・フェードアウト検査の概要"/>
      <sheetName val="画質調整検査の概要"/>
      <sheetName val="パラメータ一覧(AXSS.AXCS)"/>
      <sheetName val="ListWork"/>
      <sheetName val="Config - dspmg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34925">
          <a:solidFill>
            <a:srgbClr val="FF0000"/>
          </a:solid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bitbucket/scm/AIP_TP_ABROAD/22-24fgm2.git" TargetMode="External"/><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svn/aip/tmcapp/sd/evidence/trunk/02_Design/01_Vom/Alert/03_Component/v5xx/alert_design.pptx" TargetMode="External"/><Relationship Id="rId1" Type="http://schemas.openxmlformats.org/officeDocument/2006/relationships/hyperlink" Target="https://aip01.dndev.net/wiki/display/MET631B/D1L1+and+R-Car+Local+Communication+Specificatio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B74D6-A343-46F3-B03C-3120492F9C2E}">
  <dimension ref="A1:AN42"/>
  <sheetViews>
    <sheetView tabSelected="1" view="pageBreakPreview" zoomScaleNormal="100" zoomScaleSheetLayoutView="100" workbookViewId="0">
      <selection activeCell="O22" sqref="O22"/>
    </sheetView>
  </sheetViews>
  <sheetFormatPr defaultColWidth="9" defaultRowHeight="15.75"/>
  <cols>
    <col min="1" max="40" width="2.25" style="274" customWidth="1"/>
    <col min="41" max="16384" width="9" style="274"/>
  </cols>
  <sheetData>
    <row r="1" spans="1:40" ht="13.5" customHeight="1">
      <c r="A1" s="271"/>
      <c r="B1" s="272"/>
      <c r="C1" s="272"/>
      <c r="D1" s="272"/>
      <c r="E1" s="272"/>
      <c r="F1" s="272"/>
      <c r="G1" s="272"/>
      <c r="H1" s="272"/>
      <c r="I1" s="272"/>
      <c r="J1" s="272"/>
      <c r="K1" s="272"/>
      <c r="L1" s="272"/>
      <c r="M1" s="272"/>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3"/>
    </row>
    <row r="2" spans="1:40" ht="13.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7"/>
    </row>
    <row r="3" spans="1:40" ht="13.5" customHeight="1">
      <c r="A3" s="275"/>
      <c r="B3" s="276"/>
      <c r="C3" s="276"/>
      <c r="D3" s="276"/>
      <c r="E3" s="276"/>
      <c r="F3" s="276"/>
      <c r="G3" s="276"/>
      <c r="H3" s="276"/>
      <c r="I3" s="276"/>
      <c r="J3" s="276"/>
      <c r="K3" s="276"/>
      <c r="L3" s="276"/>
      <c r="M3" s="276"/>
      <c r="N3" s="276"/>
      <c r="O3" s="276"/>
      <c r="P3" s="276"/>
      <c r="Q3" s="276"/>
      <c r="R3" s="276"/>
      <c r="S3" s="276"/>
      <c r="T3" s="276"/>
      <c r="U3" s="276"/>
      <c r="V3" s="276"/>
      <c r="W3" s="276"/>
      <c r="X3" s="276"/>
      <c r="Y3" s="276"/>
      <c r="Z3" s="276"/>
      <c r="AA3" s="276"/>
      <c r="AB3" s="276"/>
      <c r="AC3" s="276"/>
      <c r="AD3" s="276"/>
      <c r="AE3" s="276"/>
      <c r="AF3" s="276"/>
      <c r="AG3" s="276"/>
      <c r="AH3" s="276"/>
      <c r="AI3" s="276"/>
      <c r="AJ3" s="276"/>
      <c r="AK3" s="276"/>
      <c r="AL3" s="276"/>
      <c r="AM3" s="276"/>
      <c r="AN3" s="277"/>
    </row>
    <row r="4" spans="1:40" ht="13.5" customHeight="1">
      <c r="A4" s="275"/>
      <c r="B4" s="276"/>
      <c r="C4" s="276"/>
      <c r="D4" s="276"/>
      <c r="E4" s="276"/>
      <c r="F4" s="276"/>
      <c r="G4" s="276"/>
      <c r="H4" s="276"/>
      <c r="I4" s="276"/>
      <c r="J4" s="276"/>
      <c r="K4" s="276"/>
      <c r="L4" s="276"/>
      <c r="M4" s="276"/>
      <c r="N4" s="276"/>
      <c r="O4" s="276"/>
      <c r="P4" s="276"/>
      <c r="Q4" s="276"/>
      <c r="R4" s="276"/>
      <c r="S4" s="276"/>
      <c r="T4" s="276"/>
      <c r="U4" s="276"/>
      <c r="V4" s="276"/>
      <c r="W4" s="276"/>
      <c r="X4" s="276"/>
      <c r="Y4" s="276"/>
      <c r="Z4" s="276"/>
      <c r="AA4" s="276"/>
      <c r="AB4" s="276"/>
      <c r="AC4" s="276"/>
      <c r="AD4" s="276"/>
      <c r="AE4" s="276"/>
      <c r="AF4" s="276"/>
      <c r="AG4" s="276"/>
      <c r="AH4" s="276"/>
      <c r="AI4" s="276"/>
      <c r="AJ4" s="276"/>
      <c r="AK4" s="276"/>
      <c r="AL4" s="276"/>
      <c r="AM4" s="276"/>
      <c r="AN4" s="277"/>
    </row>
    <row r="5" spans="1:40" ht="13.5" customHeight="1">
      <c r="A5" s="275"/>
      <c r="B5" s="276"/>
      <c r="C5" s="276"/>
      <c r="D5" s="276"/>
      <c r="E5" s="276"/>
      <c r="F5" s="276"/>
      <c r="G5" s="276"/>
      <c r="H5" s="276"/>
      <c r="I5" s="276"/>
      <c r="J5" s="276"/>
      <c r="K5" s="276"/>
      <c r="L5" s="276"/>
      <c r="M5" s="276"/>
      <c r="N5" s="276"/>
      <c r="O5" s="276"/>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7"/>
    </row>
    <row r="6" spans="1:40" ht="13.5" customHeight="1">
      <c r="A6" s="275"/>
      <c r="B6" s="276"/>
      <c r="C6" s="276"/>
      <c r="D6" s="276"/>
      <c r="E6" s="276"/>
      <c r="F6" s="276"/>
      <c r="G6" s="276"/>
      <c r="H6" s="276"/>
      <c r="I6" s="276"/>
      <c r="J6" s="276"/>
      <c r="K6" s="276"/>
      <c r="L6" s="276"/>
      <c r="M6" s="276"/>
      <c r="N6" s="276"/>
      <c r="O6" s="276"/>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7"/>
    </row>
    <row r="7" spans="1:40" ht="13.5" customHeight="1">
      <c r="A7" s="275"/>
      <c r="B7" s="276"/>
      <c r="C7" s="276"/>
      <c r="D7" s="276"/>
      <c r="E7" s="276"/>
      <c r="F7" s="276"/>
      <c r="G7" s="276"/>
      <c r="H7" s="276"/>
      <c r="I7" s="276"/>
      <c r="J7" s="276"/>
      <c r="K7" s="276"/>
      <c r="L7" s="276"/>
      <c r="M7" s="276"/>
      <c r="N7" s="276"/>
      <c r="O7" s="276"/>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7"/>
    </row>
    <row r="8" spans="1:40" ht="13.5" customHeight="1">
      <c r="A8" s="275"/>
      <c r="B8" s="276"/>
      <c r="C8" s="276"/>
      <c r="D8" s="276"/>
      <c r="E8" s="276"/>
      <c r="F8" s="276"/>
      <c r="G8" s="276"/>
      <c r="H8" s="276"/>
      <c r="I8" s="276"/>
      <c r="J8" s="276"/>
      <c r="K8" s="276"/>
      <c r="L8" s="276"/>
      <c r="M8" s="276"/>
      <c r="N8" s="276"/>
      <c r="O8" s="276"/>
      <c r="P8" s="276"/>
      <c r="Q8" s="276"/>
      <c r="R8" s="276"/>
      <c r="S8" s="276"/>
      <c r="T8" s="276"/>
      <c r="U8" s="276"/>
      <c r="V8" s="276"/>
      <c r="W8" s="276"/>
      <c r="X8" s="276"/>
      <c r="Y8" s="276"/>
      <c r="Z8" s="276"/>
      <c r="AA8" s="276"/>
      <c r="AB8" s="276"/>
      <c r="AC8" s="276"/>
      <c r="AD8" s="276"/>
      <c r="AE8" s="276"/>
      <c r="AF8" s="276"/>
      <c r="AG8" s="276"/>
      <c r="AH8" s="276"/>
      <c r="AI8" s="276"/>
      <c r="AJ8" s="276"/>
      <c r="AK8" s="276"/>
      <c r="AL8" s="276"/>
      <c r="AM8" s="276"/>
      <c r="AN8" s="277"/>
    </row>
    <row r="9" spans="1:40" ht="28.5" customHeight="1">
      <c r="A9" s="299" t="str">
        <f ca="1">MID(CELL("filename",A1), FIND("[",CELL("filename",A1))+1, FIND("]",CELL("filename",A1))-FIND("[",CELL("filename",A1))-6)</f>
        <v>alert_S_LCA-CSTD-2-00-A-C0</v>
      </c>
      <c r="B9" s="300"/>
      <c r="C9" s="300"/>
      <c r="D9" s="300"/>
      <c r="E9" s="300"/>
      <c r="F9" s="300"/>
      <c r="G9" s="300"/>
      <c r="H9" s="300"/>
      <c r="I9" s="300"/>
      <c r="J9" s="300"/>
      <c r="K9" s="300"/>
      <c r="L9" s="300"/>
      <c r="M9" s="300"/>
      <c r="N9" s="300"/>
      <c r="O9" s="300"/>
      <c r="P9" s="300"/>
      <c r="Q9" s="300"/>
      <c r="R9" s="300"/>
      <c r="S9" s="300"/>
      <c r="T9" s="300"/>
      <c r="U9" s="300"/>
      <c r="V9" s="300"/>
      <c r="W9" s="300"/>
      <c r="X9" s="300"/>
      <c r="Y9" s="300"/>
      <c r="Z9" s="300"/>
      <c r="AA9" s="300"/>
      <c r="AB9" s="300"/>
      <c r="AC9" s="300"/>
      <c r="AD9" s="300"/>
      <c r="AE9" s="300"/>
      <c r="AF9" s="300"/>
      <c r="AG9" s="300"/>
      <c r="AH9" s="300"/>
      <c r="AI9" s="300"/>
      <c r="AJ9" s="300"/>
      <c r="AK9" s="300"/>
      <c r="AL9" s="300"/>
      <c r="AM9" s="300"/>
      <c r="AN9" s="301"/>
    </row>
    <row r="10" spans="1:40" ht="28.5" customHeight="1">
      <c r="A10" s="302"/>
      <c r="B10" s="303"/>
      <c r="C10" s="303"/>
      <c r="D10" s="303"/>
      <c r="E10" s="303"/>
      <c r="F10" s="303"/>
      <c r="G10" s="303"/>
      <c r="H10" s="303"/>
      <c r="I10" s="303"/>
      <c r="J10" s="303"/>
      <c r="K10" s="303"/>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4"/>
    </row>
    <row r="11" spans="1:40" ht="13.5" customHeight="1">
      <c r="A11" s="275"/>
      <c r="B11" s="276"/>
      <c r="C11" s="276"/>
      <c r="D11" s="276"/>
      <c r="E11" s="276"/>
      <c r="F11" s="276"/>
      <c r="G11" s="276"/>
      <c r="H11" s="276"/>
      <c r="I11" s="276"/>
      <c r="J11" s="276"/>
      <c r="K11" s="276"/>
      <c r="L11" s="276"/>
      <c r="M11" s="276"/>
      <c r="N11" s="276"/>
      <c r="O11" s="276"/>
      <c r="P11" s="276"/>
      <c r="Q11" s="276"/>
      <c r="R11" s="276"/>
      <c r="S11" s="276"/>
      <c r="T11" s="276"/>
      <c r="U11" s="276"/>
      <c r="V11" s="276"/>
      <c r="W11" s="276"/>
      <c r="X11" s="276"/>
      <c r="Y11" s="276"/>
      <c r="Z11" s="276"/>
      <c r="AA11" s="276"/>
      <c r="AB11" s="276"/>
      <c r="AC11" s="276"/>
      <c r="AD11" s="276"/>
      <c r="AE11" s="276"/>
      <c r="AF11" s="276"/>
      <c r="AG11" s="276"/>
      <c r="AH11" s="276"/>
      <c r="AI11" s="276"/>
      <c r="AJ11" s="276"/>
      <c r="AK11" s="276"/>
      <c r="AL11" s="276"/>
      <c r="AM11" s="276"/>
      <c r="AN11" s="277"/>
    </row>
    <row r="12" spans="1:40" ht="13.5" customHeight="1">
      <c r="A12" s="275"/>
      <c r="B12" s="276"/>
      <c r="C12" s="276"/>
      <c r="D12" s="276"/>
      <c r="E12" s="276"/>
      <c r="F12" s="276"/>
      <c r="G12" s="276"/>
      <c r="H12" s="276"/>
      <c r="I12" s="276"/>
      <c r="J12" s="276"/>
      <c r="K12" s="276"/>
      <c r="L12" s="276"/>
      <c r="M12" s="276"/>
      <c r="N12" s="276"/>
      <c r="O12" s="276"/>
      <c r="P12" s="276"/>
      <c r="Q12" s="276"/>
      <c r="R12" s="276"/>
      <c r="S12" s="276"/>
      <c r="T12" s="276"/>
      <c r="U12" s="276"/>
      <c r="V12" s="276"/>
      <c r="W12" s="276"/>
      <c r="X12" s="276"/>
      <c r="Y12" s="276"/>
      <c r="Z12" s="276"/>
      <c r="AA12" s="276"/>
      <c r="AB12" s="276"/>
      <c r="AC12" s="276"/>
      <c r="AD12" s="276"/>
      <c r="AE12" s="276"/>
      <c r="AF12" s="276"/>
      <c r="AG12" s="276"/>
      <c r="AH12" s="276"/>
      <c r="AI12" s="276"/>
      <c r="AJ12" s="276"/>
      <c r="AK12" s="276"/>
      <c r="AL12" s="276"/>
      <c r="AM12" s="276"/>
      <c r="AN12" s="277"/>
    </row>
    <row r="13" spans="1:40" ht="13.5" customHeight="1">
      <c r="A13" s="275"/>
      <c r="B13" s="276"/>
      <c r="C13" s="276"/>
      <c r="D13" s="276"/>
      <c r="E13" s="276"/>
      <c r="F13" s="276"/>
      <c r="G13" s="276"/>
      <c r="H13" s="276"/>
      <c r="I13" s="276"/>
      <c r="J13" s="276"/>
      <c r="K13" s="276"/>
      <c r="L13" s="276"/>
      <c r="M13" s="276"/>
      <c r="N13" s="276"/>
      <c r="O13" s="276"/>
      <c r="P13" s="276"/>
      <c r="Q13" s="276"/>
      <c r="R13" s="276"/>
      <c r="S13" s="276"/>
      <c r="T13" s="276"/>
      <c r="U13" s="276"/>
      <c r="V13" s="276"/>
      <c r="W13" s="276"/>
      <c r="X13" s="276"/>
      <c r="Y13" s="276"/>
      <c r="Z13" s="276"/>
      <c r="AA13" s="276"/>
      <c r="AB13" s="276"/>
      <c r="AC13" s="276"/>
      <c r="AD13" s="276"/>
      <c r="AE13" s="276"/>
      <c r="AF13" s="276"/>
      <c r="AG13" s="276"/>
      <c r="AH13" s="276"/>
      <c r="AI13" s="276"/>
      <c r="AJ13" s="276"/>
      <c r="AK13" s="276"/>
      <c r="AL13" s="276"/>
      <c r="AM13" s="276"/>
      <c r="AN13" s="277"/>
    </row>
    <row r="14" spans="1:40" ht="13.5" customHeight="1">
      <c r="A14" s="275"/>
      <c r="B14" s="276"/>
      <c r="C14" s="276"/>
      <c r="D14" s="276"/>
      <c r="E14" s="276"/>
      <c r="F14" s="276"/>
      <c r="G14" s="276"/>
      <c r="H14" s="276"/>
      <c r="I14" s="276"/>
      <c r="J14" s="276"/>
      <c r="K14" s="276"/>
      <c r="L14" s="276"/>
      <c r="M14" s="276"/>
      <c r="N14" s="276"/>
      <c r="O14" s="276"/>
      <c r="P14" s="276"/>
      <c r="Q14" s="276"/>
      <c r="R14" s="276"/>
      <c r="S14" s="276"/>
      <c r="T14" s="276"/>
      <c r="U14" s="276"/>
      <c r="V14" s="276"/>
      <c r="W14" s="276"/>
      <c r="X14" s="276"/>
      <c r="Y14" s="276"/>
      <c r="Z14" s="276"/>
      <c r="AA14" s="276"/>
      <c r="AB14" s="276"/>
      <c r="AC14" s="276"/>
      <c r="AD14" s="276"/>
      <c r="AE14" s="276"/>
      <c r="AF14" s="276"/>
      <c r="AG14" s="276"/>
      <c r="AH14" s="276"/>
      <c r="AI14" s="276"/>
      <c r="AJ14" s="276"/>
      <c r="AK14" s="276"/>
      <c r="AL14" s="276"/>
      <c r="AM14" s="276"/>
      <c r="AN14" s="277"/>
    </row>
    <row r="15" spans="1:40" ht="13.5" customHeight="1">
      <c r="A15" s="275"/>
      <c r="B15" s="276"/>
      <c r="C15" s="276"/>
      <c r="D15" s="276"/>
      <c r="E15" s="276"/>
      <c r="F15" s="276"/>
      <c r="G15" s="276"/>
      <c r="H15" s="276"/>
      <c r="I15" s="276"/>
      <c r="J15" s="276"/>
      <c r="K15" s="276"/>
      <c r="L15" s="276"/>
      <c r="M15" s="276"/>
      <c r="N15" s="276"/>
      <c r="O15" s="276"/>
      <c r="P15" s="276"/>
      <c r="Q15" s="276"/>
      <c r="R15" s="276"/>
      <c r="S15" s="276"/>
      <c r="T15" s="276"/>
      <c r="U15" s="276"/>
      <c r="V15" s="276"/>
      <c r="W15" s="276"/>
      <c r="X15" s="276"/>
      <c r="Y15" s="276"/>
      <c r="Z15" s="276"/>
      <c r="AA15" s="276"/>
      <c r="AB15" s="276"/>
      <c r="AC15" s="276"/>
      <c r="AD15" s="276"/>
      <c r="AE15" s="276"/>
      <c r="AF15" s="276"/>
      <c r="AG15" s="276"/>
      <c r="AH15" s="276"/>
      <c r="AI15" s="276"/>
      <c r="AJ15" s="276"/>
      <c r="AK15" s="276"/>
      <c r="AL15" s="276"/>
      <c r="AM15" s="276"/>
      <c r="AN15" s="277"/>
    </row>
    <row r="16" spans="1:40" ht="13.5" customHeight="1">
      <c r="A16" s="275"/>
      <c r="B16" s="276"/>
      <c r="C16" s="276"/>
      <c r="D16" s="276"/>
      <c r="E16" s="276"/>
      <c r="F16" s="276"/>
      <c r="G16" s="276"/>
      <c r="H16" s="276"/>
      <c r="I16" s="276"/>
      <c r="J16" s="276"/>
      <c r="K16" s="276"/>
      <c r="L16" s="276"/>
      <c r="M16" s="276"/>
      <c r="N16" s="276"/>
      <c r="O16" s="276"/>
      <c r="P16" s="276"/>
      <c r="Q16" s="276"/>
      <c r="R16" s="276"/>
      <c r="S16" s="276"/>
      <c r="T16" s="276"/>
      <c r="U16" s="276"/>
      <c r="V16" s="276"/>
      <c r="W16" s="276"/>
      <c r="X16" s="276"/>
      <c r="Y16" s="276"/>
      <c r="Z16" s="276"/>
      <c r="AA16" s="276"/>
      <c r="AB16" s="276"/>
      <c r="AC16" s="276"/>
      <c r="AD16" s="276"/>
      <c r="AE16" s="276"/>
      <c r="AF16" s="276"/>
      <c r="AG16" s="276"/>
      <c r="AH16" s="276"/>
      <c r="AI16" s="276"/>
      <c r="AJ16" s="276"/>
      <c r="AK16" s="276"/>
      <c r="AL16" s="276"/>
      <c r="AM16" s="276"/>
      <c r="AN16" s="277"/>
    </row>
    <row r="17" spans="1:40" ht="13.5" customHeight="1">
      <c r="A17" s="275"/>
      <c r="B17" s="276"/>
      <c r="C17" s="276"/>
      <c r="D17" s="276"/>
      <c r="E17" s="276"/>
      <c r="F17" s="276"/>
      <c r="G17" s="276"/>
      <c r="H17" s="276"/>
      <c r="I17" s="276"/>
      <c r="J17" s="276"/>
      <c r="K17" s="276"/>
      <c r="L17" s="276"/>
      <c r="M17" s="276"/>
      <c r="N17" s="276"/>
      <c r="O17" s="276"/>
      <c r="P17" s="276"/>
      <c r="Q17" s="276"/>
      <c r="R17" s="276"/>
      <c r="S17" s="276"/>
      <c r="T17" s="276"/>
      <c r="U17" s="276"/>
      <c r="V17" s="276"/>
      <c r="W17" s="276"/>
      <c r="X17" s="276"/>
      <c r="Y17" s="276"/>
      <c r="Z17" s="276"/>
      <c r="AA17" s="276"/>
      <c r="AB17" s="276"/>
      <c r="AC17" s="276"/>
      <c r="AD17" s="276"/>
      <c r="AE17" s="276"/>
      <c r="AF17" s="276"/>
      <c r="AG17" s="276"/>
      <c r="AH17" s="276"/>
      <c r="AI17" s="276"/>
      <c r="AJ17" s="276"/>
      <c r="AK17" s="276"/>
      <c r="AL17" s="276"/>
      <c r="AM17" s="276"/>
      <c r="AN17" s="277"/>
    </row>
    <row r="18" spans="1:40" ht="13.5" customHeight="1">
      <c r="A18" s="275"/>
      <c r="B18" s="276"/>
      <c r="C18" s="276"/>
      <c r="D18" s="276"/>
      <c r="E18" s="276"/>
      <c r="F18" s="276"/>
      <c r="G18" s="276"/>
      <c r="H18" s="276"/>
      <c r="I18" s="276"/>
      <c r="J18" s="276"/>
      <c r="K18" s="276"/>
      <c r="L18" s="276"/>
      <c r="M18" s="276"/>
      <c r="N18" s="276"/>
      <c r="O18" s="276"/>
      <c r="P18" s="276"/>
      <c r="Q18" s="276"/>
      <c r="R18" s="276"/>
      <c r="S18" s="276"/>
      <c r="T18" s="276"/>
      <c r="U18" s="276"/>
      <c r="V18" s="276"/>
      <c r="W18" s="276"/>
      <c r="X18" s="276"/>
      <c r="Y18" s="278" t="s">
        <v>535</v>
      </c>
      <c r="Z18" s="279"/>
      <c r="AA18" s="279"/>
      <c r="AB18" s="279"/>
      <c r="AC18" s="279"/>
      <c r="AD18" s="279"/>
      <c r="AE18" s="279"/>
      <c r="AF18" s="279"/>
      <c r="AG18" s="279"/>
      <c r="AH18" s="279"/>
      <c r="AI18" s="279"/>
      <c r="AJ18" s="279"/>
      <c r="AK18" s="279"/>
      <c r="AL18" s="279"/>
      <c r="AM18" s="279"/>
      <c r="AN18" s="277"/>
    </row>
    <row r="19" spans="1:40" ht="13.5" customHeight="1">
      <c r="A19" s="275"/>
      <c r="B19" s="276"/>
      <c r="C19" s="276"/>
      <c r="D19" s="276"/>
      <c r="E19" s="276"/>
      <c r="F19" s="276"/>
      <c r="G19" s="276"/>
      <c r="H19" s="276"/>
      <c r="I19" s="276"/>
      <c r="J19" s="276"/>
      <c r="K19" s="276"/>
      <c r="L19" s="276"/>
      <c r="M19" s="276"/>
      <c r="N19" s="276"/>
      <c r="O19" s="276"/>
      <c r="P19" s="276"/>
      <c r="Q19" s="276"/>
      <c r="R19" s="276"/>
      <c r="S19" s="276"/>
      <c r="T19" s="276"/>
      <c r="U19" s="276"/>
      <c r="V19" s="276"/>
      <c r="W19" s="276"/>
      <c r="X19" s="276"/>
      <c r="Y19" s="296" t="s">
        <v>536</v>
      </c>
      <c r="Z19" s="297"/>
      <c r="AA19" s="297"/>
      <c r="AB19" s="297"/>
      <c r="AC19" s="298"/>
      <c r="AD19" s="296" t="s">
        <v>537</v>
      </c>
      <c r="AE19" s="297"/>
      <c r="AF19" s="297"/>
      <c r="AG19" s="297"/>
      <c r="AH19" s="298"/>
      <c r="AI19" s="305" t="s">
        <v>538</v>
      </c>
      <c r="AJ19" s="297"/>
      <c r="AK19" s="297"/>
      <c r="AL19" s="297"/>
      <c r="AM19" s="298"/>
      <c r="AN19" s="277"/>
    </row>
    <row r="20" spans="1:40" ht="13.5" customHeight="1">
      <c r="A20" s="275"/>
      <c r="B20" s="276"/>
      <c r="C20" s="276"/>
      <c r="D20" s="276"/>
      <c r="E20" s="276"/>
      <c r="F20" s="276"/>
      <c r="G20" s="276"/>
      <c r="H20" s="276"/>
      <c r="I20" s="276"/>
      <c r="J20" s="276"/>
      <c r="K20" s="276"/>
      <c r="L20" s="276"/>
      <c r="M20" s="276"/>
      <c r="N20" s="276"/>
      <c r="O20" s="276"/>
      <c r="P20" s="276"/>
      <c r="Q20" s="276"/>
      <c r="R20" s="276"/>
      <c r="S20" s="276"/>
      <c r="T20" s="276"/>
      <c r="U20" s="276"/>
      <c r="V20" s="276"/>
      <c r="W20" s="276"/>
      <c r="X20" s="276"/>
      <c r="Y20" s="280"/>
      <c r="Z20" s="281"/>
      <c r="AA20" s="281"/>
      <c r="AB20" s="281"/>
      <c r="AC20" s="282"/>
      <c r="AD20" s="280"/>
      <c r="AE20" s="281"/>
      <c r="AF20" s="281"/>
      <c r="AG20" s="281"/>
      <c r="AH20" s="281"/>
      <c r="AI20" s="283"/>
      <c r="AJ20" s="281"/>
      <c r="AK20" s="281"/>
      <c r="AL20" s="281"/>
      <c r="AM20" s="282"/>
      <c r="AN20" s="277"/>
    </row>
    <row r="21" spans="1:40" ht="13.5" customHeight="1">
      <c r="A21" s="275"/>
      <c r="B21" s="276"/>
      <c r="C21" s="276"/>
      <c r="D21" s="276"/>
      <c r="E21" s="276"/>
      <c r="F21" s="276"/>
      <c r="G21" s="276"/>
      <c r="H21" s="276"/>
      <c r="I21" s="276"/>
      <c r="J21" s="276"/>
      <c r="K21" s="276"/>
      <c r="L21" s="276"/>
      <c r="M21" s="276"/>
      <c r="N21" s="276"/>
      <c r="O21" s="276"/>
      <c r="P21" s="276"/>
      <c r="Q21" s="276"/>
      <c r="R21" s="276"/>
      <c r="S21" s="276"/>
      <c r="T21" s="276"/>
      <c r="U21" s="276"/>
      <c r="V21" s="276"/>
      <c r="W21" s="276"/>
      <c r="X21" s="276"/>
      <c r="Y21" s="284"/>
      <c r="Z21" s="279"/>
      <c r="AA21" s="279"/>
      <c r="AB21" s="279"/>
      <c r="AC21" s="285"/>
      <c r="AD21" s="284"/>
      <c r="AE21" s="279"/>
      <c r="AF21" s="279"/>
      <c r="AG21" s="279"/>
      <c r="AH21" s="285"/>
      <c r="AI21" s="284"/>
      <c r="AJ21" s="286"/>
      <c r="AK21" s="279"/>
      <c r="AL21" s="279"/>
      <c r="AM21" s="285"/>
      <c r="AN21" s="277"/>
    </row>
    <row r="22" spans="1:40" ht="13.5" customHeight="1">
      <c r="A22" s="275"/>
      <c r="B22" s="276"/>
      <c r="C22" s="276"/>
      <c r="D22" s="276"/>
      <c r="E22" s="276"/>
      <c r="F22" s="276"/>
      <c r="G22" s="276"/>
      <c r="H22" s="276"/>
      <c r="I22" s="276"/>
      <c r="J22" s="276"/>
      <c r="K22" s="276"/>
      <c r="L22" s="276"/>
      <c r="M22" s="276"/>
      <c r="N22" s="276"/>
      <c r="O22" s="276"/>
      <c r="P22" s="276"/>
      <c r="Q22" s="276"/>
      <c r="R22" s="276"/>
      <c r="S22" s="276"/>
      <c r="T22" s="276"/>
      <c r="U22" s="276"/>
      <c r="V22" s="276"/>
      <c r="W22" s="276"/>
      <c r="X22" s="276"/>
      <c r="Y22" s="284"/>
      <c r="Z22" s="279"/>
      <c r="AA22" s="287" t="s">
        <v>539</v>
      </c>
      <c r="AB22" s="279"/>
      <c r="AC22" s="285"/>
      <c r="AD22" s="284"/>
      <c r="AE22" s="279"/>
      <c r="AF22" s="287" t="s">
        <v>540</v>
      </c>
      <c r="AG22" s="279"/>
      <c r="AH22" s="285"/>
      <c r="AI22" s="284"/>
      <c r="AJ22" s="279"/>
      <c r="AK22" s="286"/>
      <c r="AL22" s="279"/>
      <c r="AM22" s="285"/>
      <c r="AN22" s="277"/>
    </row>
    <row r="23" spans="1:40" ht="13.5" customHeight="1">
      <c r="A23" s="275"/>
      <c r="B23" s="276"/>
      <c r="C23" s="276"/>
      <c r="D23" s="276"/>
      <c r="E23" s="276"/>
      <c r="F23" s="276"/>
      <c r="G23" s="276"/>
      <c r="H23" s="276"/>
      <c r="I23" s="276"/>
      <c r="J23" s="276"/>
      <c r="K23" s="276"/>
      <c r="L23" s="276"/>
      <c r="M23" s="276"/>
      <c r="N23" s="276"/>
      <c r="O23" s="276"/>
      <c r="P23" s="276"/>
      <c r="Q23" s="276"/>
      <c r="R23" s="276"/>
      <c r="S23" s="276"/>
      <c r="T23" s="276"/>
      <c r="U23" s="276"/>
      <c r="V23" s="276"/>
      <c r="W23" s="276"/>
      <c r="X23" s="276"/>
      <c r="Y23" s="284"/>
      <c r="Z23" s="279"/>
      <c r="AA23" s="279"/>
      <c r="AB23" s="279"/>
      <c r="AC23" s="285"/>
      <c r="AD23" s="284"/>
      <c r="AE23" s="279"/>
      <c r="AF23" s="279"/>
      <c r="AG23" s="279"/>
      <c r="AH23" s="285"/>
      <c r="AI23" s="284"/>
      <c r="AJ23" s="279"/>
      <c r="AK23" s="279"/>
      <c r="AL23" s="286"/>
      <c r="AM23" s="285"/>
      <c r="AN23" s="277"/>
    </row>
    <row r="24" spans="1:40" ht="13.5" customHeight="1">
      <c r="A24" s="275"/>
      <c r="B24" s="276"/>
      <c r="C24" s="276"/>
      <c r="D24" s="276"/>
      <c r="E24" s="276"/>
      <c r="F24" s="276"/>
      <c r="G24" s="276"/>
      <c r="H24" s="276"/>
      <c r="I24" s="276"/>
      <c r="J24" s="276"/>
      <c r="K24" s="276"/>
      <c r="L24" s="276"/>
      <c r="M24" s="276"/>
      <c r="N24" s="276"/>
      <c r="O24" s="276"/>
      <c r="P24" s="276"/>
      <c r="Q24" s="276"/>
      <c r="R24" s="276"/>
      <c r="S24" s="276"/>
      <c r="T24" s="276"/>
      <c r="U24" s="276"/>
      <c r="V24" s="276"/>
      <c r="W24" s="276"/>
      <c r="X24" s="276"/>
      <c r="Y24" s="288"/>
      <c r="Z24" s="289"/>
      <c r="AA24" s="289"/>
      <c r="AB24" s="289"/>
      <c r="AC24" s="290"/>
      <c r="AD24" s="288"/>
      <c r="AE24" s="289"/>
      <c r="AF24" s="289"/>
      <c r="AG24" s="289"/>
      <c r="AH24" s="290"/>
      <c r="AI24" s="288"/>
      <c r="AJ24" s="289"/>
      <c r="AK24" s="289"/>
      <c r="AL24" s="289"/>
      <c r="AM24" s="291"/>
      <c r="AN24" s="277"/>
    </row>
    <row r="25" spans="1:40" ht="13.5" customHeight="1">
      <c r="A25" s="275"/>
      <c r="B25" s="276"/>
      <c r="C25" s="276"/>
      <c r="D25" s="276"/>
      <c r="E25" s="276"/>
      <c r="F25" s="276"/>
      <c r="G25" s="276"/>
      <c r="H25" s="276"/>
      <c r="I25" s="276"/>
      <c r="J25" s="276"/>
      <c r="K25" s="276"/>
      <c r="L25" s="276"/>
      <c r="M25" s="276"/>
      <c r="N25" s="276"/>
      <c r="O25" s="276"/>
      <c r="P25" s="276"/>
      <c r="Q25" s="276"/>
      <c r="R25" s="276"/>
      <c r="S25" s="276"/>
      <c r="T25" s="276"/>
      <c r="U25" s="276"/>
      <c r="V25" s="276"/>
      <c r="W25" s="276"/>
      <c r="X25" s="276"/>
      <c r="Y25" s="279"/>
      <c r="Z25" s="279"/>
      <c r="AA25" s="279"/>
      <c r="AB25" s="279"/>
      <c r="AC25" s="279"/>
      <c r="AD25" s="279"/>
      <c r="AE25" s="279"/>
      <c r="AF25" s="279"/>
      <c r="AG25" s="279"/>
      <c r="AH25" s="279"/>
      <c r="AI25" s="279"/>
      <c r="AJ25" s="279"/>
      <c r="AK25" s="279"/>
      <c r="AL25" s="279"/>
      <c r="AM25" s="279"/>
      <c r="AN25" s="277"/>
    </row>
    <row r="26" spans="1:40" ht="13.5" customHeight="1">
      <c r="A26" s="275"/>
      <c r="B26" s="276"/>
      <c r="C26" s="276"/>
      <c r="D26" s="276"/>
      <c r="E26" s="276"/>
      <c r="F26" s="276"/>
      <c r="G26" s="276"/>
      <c r="H26" s="276"/>
      <c r="I26" s="276"/>
      <c r="J26" s="276"/>
      <c r="K26" s="276"/>
      <c r="L26" s="276"/>
      <c r="M26" s="276"/>
      <c r="N26" s="276"/>
      <c r="O26" s="276"/>
      <c r="P26" s="276"/>
      <c r="Q26" s="276"/>
      <c r="R26" s="276"/>
      <c r="S26" s="276"/>
      <c r="T26" s="276"/>
      <c r="U26" s="276"/>
      <c r="V26" s="276"/>
      <c r="W26" s="276"/>
      <c r="X26" s="276"/>
      <c r="Y26" s="278" t="s">
        <v>541</v>
      </c>
      <c r="Z26" s="279"/>
      <c r="AA26" s="279"/>
      <c r="AB26" s="279"/>
      <c r="AC26" s="279"/>
      <c r="AD26" s="279"/>
      <c r="AE26" s="279"/>
      <c r="AF26" s="279"/>
      <c r="AG26" s="279"/>
      <c r="AH26" s="279"/>
      <c r="AI26" s="279"/>
      <c r="AJ26" s="279"/>
      <c r="AK26" s="279"/>
      <c r="AL26" s="279"/>
      <c r="AM26" s="279"/>
      <c r="AN26" s="277"/>
    </row>
    <row r="27" spans="1:40" ht="13.5" customHeight="1">
      <c r="A27" s="275"/>
      <c r="B27" s="276"/>
      <c r="C27" s="276"/>
      <c r="D27" s="276"/>
      <c r="E27" s="276"/>
      <c r="F27" s="276"/>
      <c r="G27" s="276"/>
      <c r="H27" s="276"/>
      <c r="I27" s="276"/>
      <c r="J27" s="276"/>
      <c r="K27" s="276"/>
      <c r="L27" s="276"/>
      <c r="M27" s="276"/>
      <c r="N27" s="276"/>
      <c r="O27" s="276"/>
      <c r="P27" s="276"/>
      <c r="Q27" s="276"/>
      <c r="R27" s="276"/>
      <c r="S27" s="276"/>
      <c r="T27" s="276"/>
      <c r="U27" s="276"/>
      <c r="V27" s="276"/>
      <c r="W27" s="276"/>
      <c r="X27" s="276"/>
      <c r="Y27" s="296" t="s">
        <v>536</v>
      </c>
      <c r="Z27" s="297"/>
      <c r="AA27" s="297"/>
      <c r="AB27" s="297"/>
      <c r="AC27" s="298"/>
      <c r="AD27" s="296" t="s">
        <v>537</v>
      </c>
      <c r="AE27" s="297"/>
      <c r="AF27" s="297"/>
      <c r="AG27" s="297"/>
      <c r="AH27" s="298"/>
      <c r="AI27" s="305" t="s">
        <v>538</v>
      </c>
      <c r="AJ27" s="297"/>
      <c r="AK27" s="297"/>
      <c r="AL27" s="297"/>
      <c r="AM27" s="298"/>
      <c r="AN27" s="277"/>
    </row>
    <row r="28" spans="1:40" ht="13.5" customHeight="1">
      <c r="A28" s="275"/>
      <c r="B28" s="276"/>
      <c r="C28" s="276"/>
      <c r="D28" s="276"/>
      <c r="E28" s="276"/>
      <c r="F28" s="276"/>
      <c r="G28" s="276"/>
      <c r="H28" s="276"/>
      <c r="I28" s="276"/>
      <c r="J28" s="276"/>
      <c r="K28" s="276"/>
      <c r="L28" s="276"/>
      <c r="M28" s="276"/>
      <c r="N28" s="276"/>
      <c r="O28" s="276"/>
      <c r="P28" s="276"/>
      <c r="Q28" s="276"/>
      <c r="R28" s="276"/>
      <c r="S28" s="276"/>
      <c r="T28" s="276"/>
      <c r="U28" s="276"/>
      <c r="V28" s="276"/>
      <c r="W28" s="276"/>
      <c r="X28" s="276"/>
      <c r="Y28" s="280"/>
      <c r="Z28" s="281"/>
      <c r="AA28" s="281"/>
      <c r="AB28" s="281"/>
      <c r="AC28" s="282"/>
      <c r="AD28" s="280"/>
      <c r="AE28" s="281"/>
      <c r="AF28" s="281"/>
      <c r="AG28" s="281"/>
      <c r="AH28" s="281"/>
      <c r="AI28" s="283"/>
      <c r="AJ28" s="281"/>
      <c r="AK28" s="281"/>
      <c r="AL28" s="281"/>
      <c r="AM28" s="282"/>
      <c r="AN28" s="277"/>
    </row>
    <row r="29" spans="1:40" ht="13.5" customHeight="1">
      <c r="A29" s="275"/>
      <c r="B29" s="276"/>
      <c r="C29" s="276"/>
      <c r="D29" s="276"/>
      <c r="E29" s="276"/>
      <c r="F29" s="276"/>
      <c r="G29" s="276"/>
      <c r="H29" s="276"/>
      <c r="I29" s="276"/>
      <c r="J29" s="276"/>
      <c r="K29" s="276"/>
      <c r="L29" s="276"/>
      <c r="M29" s="276"/>
      <c r="N29" s="276"/>
      <c r="O29" s="276"/>
      <c r="P29" s="276"/>
      <c r="Q29" s="276"/>
      <c r="R29" s="276"/>
      <c r="S29" s="276"/>
      <c r="T29" s="276"/>
      <c r="U29" s="276"/>
      <c r="V29" s="276"/>
      <c r="W29" s="276"/>
      <c r="X29" s="276"/>
      <c r="Y29" s="284"/>
      <c r="Z29" s="279"/>
      <c r="AA29" s="279"/>
      <c r="AB29" s="279"/>
      <c r="AC29" s="285"/>
      <c r="AD29" s="284"/>
      <c r="AE29" s="279"/>
      <c r="AF29" s="279"/>
      <c r="AG29" s="279"/>
      <c r="AH29" s="285"/>
      <c r="AI29" s="284"/>
      <c r="AJ29" s="286"/>
      <c r="AK29" s="279"/>
      <c r="AL29" s="279"/>
      <c r="AM29" s="285"/>
      <c r="AN29" s="277"/>
    </row>
    <row r="30" spans="1:40" ht="13.5" customHeight="1">
      <c r="A30" s="275"/>
      <c r="B30" s="276"/>
      <c r="C30" s="276"/>
      <c r="D30" s="276"/>
      <c r="E30" s="276"/>
      <c r="F30" s="276"/>
      <c r="G30" s="276"/>
      <c r="H30" s="276"/>
      <c r="I30" s="276"/>
      <c r="J30" s="276"/>
      <c r="K30" s="276"/>
      <c r="L30" s="276"/>
      <c r="M30" s="276"/>
      <c r="N30" s="276"/>
      <c r="O30" s="276"/>
      <c r="P30" s="276"/>
      <c r="Q30" s="276"/>
      <c r="R30" s="276"/>
      <c r="S30" s="276"/>
      <c r="T30" s="276"/>
      <c r="U30" s="276"/>
      <c r="V30" s="276"/>
      <c r="W30" s="276"/>
      <c r="X30" s="276"/>
      <c r="Y30" s="284"/>
      <c r="Z30" s="279"/>
      <c r="AA30" s="287" t="s">
        <v>542</v>
      </c>
      <c r="AB30" s="279"/>
      <c r="AC30" s="285"/>
      <c r="AD30" s="284"/>
      <c r="AE30" s="279"/>
      <c r="AF30" s="287" t="s">
        <v>543</v>
      </c>
      <c r="AG30" s="279"/>
      <c r="AH30" s="285"/>
      <c r="AI30" s="284"/>
      <c r="AJ30" s="279"/>
      <c r="AK30" s="286"/>
      <c r="AL30" s="279"/>
      <c r="AM30" s="285"/>
      <c r="AN30" s="277"/>
    </row>
    <row r="31" spans="1:40" ht="13.5" customHeight="1">
      <c r="A31" s="275"/>
      <c r="B31" s="276"/>
      <c r="C31" s="276"/>
      <c r="D31" s="276"/>
      <c r="E31" s="276"/>
      <c r="F31" s="276"/>
      <c r="G31" s="276"/>
      <c r="H31" s="276"/>
      <c r="I31" s="276"/>
      <c r="J31" s="276"/>
      <c r="K31" s="276"/>
      <c r="L31" s="276"/>
      <c r="M31" s="276"/>
      <c r="N31" s="276"/>
      <c r="O31" s="276"/>
      <c r="P31" s="276"/>
      <c r="Q31" s="276"/>
      <c r="R31" s="276"/>
      <c r="S31" s="276"/>
      <c r="T31" s="276"/>
      <c r="U31" s="276"/>
      <c r="V31" s="276"/>
      <c r="W31" s="276"/>
      <c r="X31" s="276"/>
      <c r="Y31" s="284"/>
      <c r="Z31" s="279"/>
      <c r="AA31" s="279"/>
      <c r="AB31" s="279"/>
      <c r="AC31" s="285"/>
      <c r="AD31" s="284"/>
      <c r="AE31" s="279"/>
      <c r="AF31" s="279"/>
      <c r="AG31" s="279"/>
      <c r="AH31" s="285"/>
      <c r="AI31" s="284"/>
      <c r="AJ31" s="279"/>
      <c r="AK31" s="279"/>
      <c r="AL31" s="286"/>
      <c r="AM31" s="285"/>
      <c r="AN31" s="277"/>
    </row>
    <row r="32" spans="1:40" ht="13.5" customHeight="1">
      <c r="A32" s="275"/>
      <c r="B32" s="276"/>
      <c r="C32" s="276"/>
      <c r="D32" s="276"/>
      <c r="E32" s="276"/>
      <c r="F32" s="276"/>
      <c r="G32" s="276"/>
      <c r="H32" s="276"/>
      <c r="I32" s="276"/>
      <c r="J32" s="276"/>
      <c r="K32" s="276"/>
      <c r="L32" s="276"/>
      <c r="M32" s="276"/>
      <c r="N32" s="276"/>
      <c r="O32" s="276"/>
      <c r="P32" s="276"/>
      <c r="Q32" s="276"/>
      <c r="R32" s="276"/>
      <c r="S32" s="276"/>
      <c r="T32" s="276"/>
      <c r="U32" s="276"/>
      <c r="V32" s="276"/>
      <c r="W32" s="276"/>
      <c r="X32" s="276"/>
      <c r="Y32" s="288"/>
      <c r="Z32" s="289"/>
      <c r="AA32" s="289"/>
      <c r="AB32" s="289"/>
      <c r="AC32" s="290"/>
      <c r="AD32" s="288"/>
      <c r="AE32" s="289"/>
      <c r="AF32" s="289"/>
      <c r="AG32" s="289"/>
      <c r="AH32" s="290"/>
      <c r="AI32" s="288"/>
      <c r="AJ32" s="289"/>
      <c r="AK32" s="289"/>
      <c r="AL32" s="289"/>
      <c r="AM32" s="291"/>
      <c r="AN32" s="277"/>
    </row>
    <row r="33" spans="1:40" ht="13.5" customHeight="1">
      <c r="A33" s="275"/>
      <c r="B33" s="276"/>
      <c r="C33" s="276"/>
      <c r="D33" s="276"/>
      <c r="E33" s="276"/>
      <c r="F33" s="276"/>
      <c r="G33" s="276"/>
      <c r="H33" s="276"/>
      <c r="I33" s="276"/>
      <c r="J33" s="276"/>
      <c r="K33" s="276"/>
      <c r="L33" s="276"/>
      <c r="M33" s="276"/>
      <c r="N33" s="276"/>
      <c r="O33" s="276"/>
      <c r="P33" s="276"/>
      <c r="Q33" s="276"/>
      <c r="R33" s="276"/>
      <c r="S33" s="276"/>
      <c r="T33" s="276"/>
      <c r="U33" s="276"/>
      <c r="V33" s="276"/>
      <c r="W33" s="276"/>
      <c r="X33" s="276"/>
      <c r="Y33" s="279"/>
      <c r="Z33" s="279"/>
      <c r="AA33" s="279"/>
      <c r="AB33" s="279"/>
      <c r="AC33" s="279"/>
      <c r="AD33" s="279"/>
      <c r="AE33" s="279"/>
      <c r="AF33" s="279"/>
      <c r="AG33" s="279"/>
      <c r="AH33" s="279"/>
      <c r="AI33" s="279"/>
      <c r="AJ33" s="279"/>
      <c r="AK33" s="279"/>
      <c r="AL33" s="279"/>
      <c r="AM33" s="279"/>
      <c r="AN33" s="277"/>
    </row>
    <row r="34" spans="1:40" ht="13.5" customHeight="1">
      <c r="A34" s="275"/>
      <c r="B34" s="276"/>
      <c r="C34" s="276"/>
      <c r="D34" s="276"/>
      <c r="E34" s="276"/>
      <c r="F34" s="276"/>
      <c r="G34" s="276"/>
      <c r="H34" s="276"/>
      <c r="I34" s="276"/>
      <c r="J34" s="276"/>
      <c r="K34" s="276"/>
      <c r="L34" s="276"/>
      <c r="M34" s="276"/>
      <c r="N34" s="276"/>
      <c r="O34" s="276"/>
      <c r="P34" s="276"/>
      <c r="Q34" s="276"/>
      <c r="R34" s="276"/>
      <c r="S34" s="276"/>
      <c r="T34" s="276"/>
      <c r="U34" s="276"/>
      <c r="V34" s="276"/>
      <c r="W34" s="276"/>
      <c r="X34" s="276"/>
      <c r="Y34" s="278" t="s">
        <v>544</v>
      </c>
      <c r="Z34" s="279"/>
      <c r="AA34" s="279"/>
      <c r="AB34" s="279"/>
      <c r="AC34" s="279"/>
      <c r="AD34" s="279"/>
      <c r="AE34" s="279"/>
      <c r="AF34" s="279"/>
      <c r="AG34" s="279"/>
      <c r="AH34" s="279"/>
      <c r="AI34" s="279"/>
      <c r="AJ34" s="279"/>
      <c r="AK34" s="279"/>
      <c r="AL34" s="279"/>
      <c r="AM34" s="279"/>
      <c r="AN34" s="277"/>
    </row>
    <row r="35" spans="1:40" ht="13.5" customHeight="1">
      <c r="A35" s="275"/>
      <c r="B35" s="276"/>
      <c r="C35" s="276"/>
      <c r="D35" s="276"/>
      <c r="E35" s="276"/>
      <c r="F35" s="276"/>
      <c r="G35" s="276"/>
      <c r="H35" s="276"/>
      <c r="I35" s="276"/>
      <c r="J35" s="276"/>
      <c r="K35" s="276"/>
      <c r="L35" s="276"/>
      <c r="M35" s="276"/>
      <c r="N35" s="276"/>
      <c r="O35" s="276"/>
      <c r="P35" s="276"/>
      <c r="Q35" s="276"/>
      <c r="R35" s="276"/>
      <c r="S35" s="276"/>
      <c r="T35" s="276"/>
      <c r="U35" s="276"/>
      <c r="V35" s="276"/>
      <c r="W35" s="276"/>
      <c r="X35" s="276"/>
      <c r="Y35" s="296" t="s">
        <v>536</v>
      </c>
      <c r="Z35" s="297"/>
      <c r="AA35" s="297"/>
      <c r="AB35" s="297"/>
      <c r="AC35" s="298"/>
      <c r="AD35" s="296" t="s">
        <v>537</v>
      </c>
      <c r="AE35" s="297"/>
      <c r="AF35" s="297"/>
      <c r="AG35" s="297"/>
      <c r="AH35" s="298"/>
      <c r="AI35" s="296" t="s">
        <v>538</v>
      </c>
      <c r="AJ35" s="297"/>
      <c r="AK35" s="297"/>
      <c r="AL35" s="297"/>
      <c r="AM35" s="298"/>
      <c r="AN35" s="277"/>
    </row>
    <row r="36" spans="1:40" ht="13.5" customHeight="1">
      <c r="A36" s="275"/>
      <c r="B36" s="276"/>
      <c r="C36" s="276"/>
      <c r="D36" s="276"/>
      <c r="E36" s="276"/>
      <c r="F36" s="276"/>
      <c r="G36" s="276"/>
      <c r="H36" s="276"/>
      <c r="I36" s="276"/>
      <c r="J36" s="276"/>
      <c r="K36" s="276"/>
      <c r="L36" s="276"/>
      <c r="M36" s="276"/>
      <c r="N36" s="276"/>
      <c r="O36" s="276"/>
      <c r="P36" s="276"/>
      <c r="Q36" s="276"/>
      <c r="R36" s="276"/>
      <c r="S36" s="276"/>
      <c r="T36" s="276"/>
      <c r="U36" s="276"/>
      <c r="V36" s="276"/>
      <c r="W36" s="276"/>
      <c r="X36" s="276"/>
      <c r="Y36" s="283"/>
      <c r="Z36" s="281"/>
      <c r="AA36" s="281"/>
      <c r="AB36" s="281"/>
      <c r="AC36" s="282"/>
      <c r="AD36" s="283"/>
      <c r="AE36" s="281"/>
      <c r="AF36" s="281"/>
      <c r="AG36" s="281"/>
      <c r="AH36" s="282"/>
      <c r="AI36" s="280"/>
      <c r="AJ36" s="281"/>
      <c r="AK36" s="281"/>
      <c r="AL36" s="281"/>
      <c r="AM36" s="282"/>
      <c r="AN36" s="277"/>
    </row>
    <row r="37" spans="1:40" ht="13.5" customHeight="1">
      <c r="A37" s="275"/>
      <c r="B37" s="276"/>
      <c r="C37" s="276"/>
      <c r="D37" s="276"/>
      <c r="E37" s="276"/>
      <c r="F37" s="276"/>
      <c r="G37" s="276"/>
      <c r="H37" s="276"/>
      <c r="I37" s="276"/>
      <c r="J37" s="276"/>
      <c r="K37" s="276"/>
      <c r="L37" s="276"/>
      <c r="M37" s="276"/>
      <c r="N37" s="276"/>
      <c r="O37" s="276"/>
      <c r="P37" s="276"/>
      <c r="Q37" s="276"/>
      <c r="R37" s="276"/>
      <c r="S37" s="276"/>
      <c r="T37" s="276"/>
      <c r="U37" s="276"/>
      <c r="V37" s="276"/>
      <c r="W37" s="276"/>
      <c r="X37" s="276"/>
      <c r="Y37" s="284"/>
      <c r="Z37" s="286"/>
      <c r="AA37" s="279"/>
      <c r="AB37" s="279"/>
      <c r="AC37" s="285"/>
      <c r="AD37" s="284"/>
      <c r="AE37" s="286"/>
      <c r="AF37" s="279"/>
      <c r="AG37" s="279"/>
      <c r="AH37" s="285"/>
      <c r="AI37" s="284"/>
      <c r="AJ37" s="295"/>
      <c r="AK37" s="295"/>
      <c r="AL37" s="295"/>
      <c r="AM37" s="285"/>
      <c r="AN37" s="277"/>
    </row>
    <row r="38" spans="1:40" ht="13.5" customHeight="1">
      <c r="A38" s="275"/>
      <c r="B38" s="276"/>
      <c r="C38" s="276"/>
      <c r="D38" s="276"/>
      <c r="E38" s="276"/>
      <c r="F38" s="276"/>
      <c r="G38" s="276"/>
      <c r="H38" s="276"/>
      <c r="I38" s="276"/>
      <c r="J38" s="276"/>
      <c r="K38" s="276"/>
      <c r="L38" s="276"/>
      <c r="M38" s="276"/>
      <c r="N38" s="276"/>
      <c r="O38" s="276"/>
      <c r="P38" s="276"/>
      <c r="Q38" s="276"/>
      <c r="R38" s="276"/>
      <c r="S38" s="276"/>
      <c r="T38" s="276"/>
      <c r="U38" s="276"/>
      <c r="V38" s="276"/>
      <c r="W38" s="276"/>
      <c r="X38" s="276"/>
      <c r="Y38" s="284"/>
      <c r="Z38" s="279"/>
      <c r="AA38" s="286"/>
      <c r="AB38" s="279"/>
      <c r="AC38" s="285"/>
      <c r="AD38" s="284"/>
      <c r="AE38" s="279"/>
      <c r="AF38" s="286"/>
      <c r="AG38" s="279"/>
      <c r="AH38" s="285"/>
      <c r="AI38" s="284"/>
      <c r="AJ38" s="295"/>
      <c r="AK38" s="295"/>
      <c r="AL38" s="295"/>
      <c r="AM38" s="285"/>
      <c r="AN38" s="277"/>
    </row>
    <row r="39" spans="1:40" ht="13.5" customHeight="1">
      <c r="A39" s="275"/>
      <c r="B39" s="276"/>
      <c r="C39" s="276"/>
      <c r="D39" s="276"/>
      <c r="E39" s="276"/>
      <c r="F39" s="276"/>
      <c r="G39" s="276"/>
      <c r="H39" s="276"/>
      <c r="I39" s="276"/>
      <c r="J39" s="276"/>
      <c r="K39" s="276"/>
      <c r="L39" s="276"/>
      <c r="M39" s="276"/>
      <c r="N39" s="276"/>
      <c r="O39" s="276"/>
      <c r="P39" s="276"/>
      <c r="Q39" s="276"/>
      <c r="R39" s="276"/>
      <c r="S39" s="276"/>
      <c r="T39" s="276"/>
      <c r="U39" s="276"/>
      <c r="V39" s="276"/>
      <c r="W39" s="276"/>
      <c r="X39" s="276"/>
      <c r="Y39" s="284"/>
      <c r="Z39" s="279"/>
      <c r="AA39" s="279"/>
      <c r="AB39" s="286"/>
      <c r="AC39" s="285"/>
      <c r="AD39" s="284"/>
      <c r="AE39" s="279"/>
      <c r="AF39" s="279"/>
      <c r="AG39" s="286"/>
      <c r="AH39" s="285"/>
      <c r="AI39" s="284"/>
      <c r="AJ39" s="295"/>
      <c r="AK39" s="295"/>
      <c r="AL39" s="295"/>
      <c r="AM39" s="285"/>
      <c r="AN39" s="277"/>
    </row>
    <row r="40" spans="1:40" ht="13.5" customHeight="1">
      <c r="A40" s="275"/>
      <c r="B40" s="276"/>
      <c r="C40" s="276"/>
      <c r="D40" s="276"/>
      <c r="E40" s="276"/>
      <c r="F40" s="276"/>
      <c r="G40" s="276"/>
      <c r="H40" s="276"/>
      <c r="I40" s="276"/>
      <c r="J40" s="276"/>
      <c r="K40" s="276"/>
      <c r="L40" s="276"/>
      <c r="M40" s="276"/>
      <c r="N40" s="276"/>
      <c r="O40" s="276"/>
      <c r="P40" s="276"/>
      <c r="Q40" s="276"/>
      <c r="R40" s="276"/>
      <c r="S40" s="276"/>
      <c r="T40" s="276"/>
      <c r="U40" s="276"/>
      <c r="V40" s="276"/>
      <c r="W40" s="276"/>
      <c r="X40" s="276"/>
      <c r="Y40" s="288"/>
      <c r="Z40" s="289"/>
      <c r="AA40" s="289"/>
      <c r="AB40" s="289"/>
      <c r="AC40" s="291"/>
      <c r="AD40" s="288"/>
      <c r="AE40" s="289"/>
      <c r="AF40" s="289"/>
      <c r="AG40" s="289"/>
      <c r="AH40" s="291"/>
      <c r="AI40" s="288"/>
      <c r="AJ40" s="289"/>
      <c r="AK40" s="289"/>
      <c r="AL40" s="289"/>
      <c r="AM40" s="290"/>
      <c r="AN40" s="277"/>
    </row>
    <row r="41" spans="1:40" ht="13.5" customHeight="1">
      <c r="A41" s="275"/>
      <c r="B41" s="276"/>
      <c r="C41" s="276"/>
      <c r="D41" s="276"/>
      <c r="E41" s="276"/>
      <c r="F41" s="276"/>
      <c r="G41" s="276"/>
      <c r="H41" s="276"/>
      <c r="I41" s="276"/>
      <c r="J41" s="276"/>
      <c r="K41" s="276"/>
      <c r="L41" s="276"/>
      <c r="M41" s="276"/>
      <c r="N41" s="276"/>
      <c r="O41" s="276"/>
      <c r="P41" s="276"/>
      <c r="Q41" s="276"/>
      <c r="R41" s="276"/>
      <c r="S41" s="276"/>
      <c r="T41" s="276"/>
      <c r="U41" s="276"/>
      <c r="V41" s="276"/>
      <c r="W41" s="276"/>
      <c r="X41" s="276"/>
      <c r="Y41" s="276"/>
      <c r="Z41" s="276"/>
      <c r="AA41" s="276"/>
      <c r="AB41" s="276"/>
      <c r="AC41" s="276"/>
      <c r="AD41" s="276"/>
      <c r="AE41" s="276"/>
      <c r="AF41" s="276"/>
      <c r="AG41" s="276"/>
      <c r="AH41" s="276"/>
      <c r="AI41" s="276"/>
      <c r="AJ41" s="276"/>
      <c r="AK41" s="276"/>
      <c r="AL41" s="276"/>
      <c r="AM41" s="276"/>
      <c r="AN41" s="277"/>
    </row>
    <row r="42" spans="1:40" ht="13.5" customHeight="1">
      <c r="A42" s="292"/>
      <c r="B42" s="293"/>
      <c r="C42" s="293"/>
      <c r="D42" s="293"/>
      <c r="E42" s="293"/>
      <c r="F42" s="293"/>
      <c r="G42" s="293"/>
      <c r="H42" s="293"/>
      <c r="I42" s="293"/>
      <c r="J42" s="293"/>
      <c r="K42" s="293"/>
      <c r="L42" s="293"/>
      <c r="M42" s="293"/>
      <c r="N42" s="293"/>
      <c r="O42" s="293"/>
      <c r="P42" s="293"/>
      <c r="Q42" s="293"/>
      <c r="R42" s="293"/>
      <c r="S42" s="293"/>
      <c r="T42" s="293"/>
      <c r="U42" s="293"/>
      <c r="V42" s="293"/>
      <c r="W42" s="293"/>
      <c r="X42" s="293"/>
      <c r="Y42" s="293"/>
      <c r="Z42" s="293"/>
      <c r="AA42" s="293"/>
      <c r="AB42" s="293"/>
      <c r="AC42" s="293"/>
      <c r="AD42" s="293"/>
      <c r="AE42" s="293"/>
      <c r="AF42" s="293"/>
      <c r="AG42" s="293"/>
      <c r="AH42" s="293"/>
      <c r="AI42" s="293"/>
      <c r="AJ42" s="293"/>
      <c r="AK42" s="293"/>
      <c r="AL42" s="293"/>
      <c r="AM42" s="293"/>
      <c r="AN42" s="294"/>
    </row>
  </sheetData>
  <mergeCells count="11">
    <mergeCell ref="Y35:AC35"/>
    <mergeCell ref="AD35:AH35"/>
    <mergeCell ref="AI35:AM35"/>
    <mergeCell ref="A9:AN9"/>
    <mergeCell ref="A10:AN10"/>
    <mergeCell ref="Y19:AC19"/>
    <mergeCell ref="AD19:AH19"/>
    <mergeCell ref="AI19:AM19"/>
    <mergeCell ref="Y27:AC27"/>
    <mergeCell ref="AD27:AH27"/>
    <mergeCell ref="AI27:AM27"/>
  </mergeCells>
  <phoneticPr fontId="2"/>
  <pageMargins left="0.7" right="0.7" top="0.75" bottom="0.75" header="0.3" footer="0.3"/>
  <pageSetup paperSize="9" scale="89" orientation="portrait" r:id="rId1"/>
  <drawing r:id="rId2"/>
  <legacyDrawing r:id="rId3"/>
  <oleObjects>
    <mc:AlternateContent xmlns:mc="http://schemas.openxmlformats.org/markup-compatibility/2006">
      <mc:Choice Requires="x14">
        <oleObject progId="Dstmp.StampObject.7" shapeId="28673" r:id="rId4">
          <objectPr defaultSize="0" r:id="rId5">
            <anchor>
              <from>
                <xdr:col>34</xdr:col>
                <xdr:colOff>85725</xdr:colOff>
                <xdr:row>35</xdr:row>
                <xdr:rowOff>66675</xdr:rowOff>
              </from>
              <to>
                <xdr:col>38</xdr:col>
                <xdr:colOff>85725</xdr:colOff>
                <xdr:row>39</xdr:row>
                <xdr:rowOff>66675</xdr:rowOff>
              </to>
            </anchor>
          </objectPr>
        </oleObject>
      </mc:Choice>
      <mc:Fallback>
        <oleObject progId="Dstmp.StampObject.7" shapeId="28673"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5"/>
  <sheetViews>
    <sheetView showGridLines="0" topLeftCell="A9" zoomScale="85" zoomScaleNormal="85" workbookViewId="0">
      <selection activeCell="C14" sqref="C14:R14"/>
    </sheetView>
  </sheetViews>
  <sheetFormatPr defaultRowHeight="13.5"/>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312" t="s">
        <v>14</v>
      </c>
      <c r="J2" s="312"/>
      <c r="K2" s="312"/>
      <c r="L2" s="312"/>
      <c r="M2" s="312"/>
      <c r="N2" s="312"/>
      <c r="O2" s="312"/>
      <c r="P2" s="312"/>
      <c r="Q2" s="312"/>
      <c r="R2" s="312"/>
    </row>
    <row r="3" spans="2:18" ht="25.5" customHeight="1">
      <c r="C3" s="6"/>
      <c r="D3" s="10" t="str">
        <f ca="1">REPLACE(LEFT(CELL("filename",$B$1),FIND(".xls",CELL("filename",$B$1))-1),1,FIND("[",CELL("filename",$B$1)),)</f>
        <v>alert_S_LCA-CSTD-2-00-A-C0</v>
      </c>
      <c r="E3" s="6"/>
      <c r="F3" s="6"/>
      <c r="H3" s="8" t="s">
        <v>171</v>
      </c>
      <c r="I3" s="313" t="s">
        <v>482</v>
      </c>
      <c r="J3" s="313"/>
      <c r="K3" s="313"/>
      <c r="L3" s="313"/>
      <c r="M3" s="313"/>
      <c r="N3" s="313"/>
      <c r="O3" s="313"/>
      <c r="P3" s="313"/>
      <c r="Q3" s="313"/>
      <c r="R3" s="313"/>
    </row>
    <row r="4" spans="2:18" ht="25.5" customHeight="1">
      <c r="C4" s="6"/>
      <c r="D4" s="6"/>
      <c r="E4" s="24" t="str">
        <f>DGET(B8:C16,"Ver.",H4:H5)</f>
        <v>1.5.0</v>
      </c>
      <c r="F4" s="6"/>
      <c r="H4" s="9" t="s">
        <v>15</v>
      </c>
    </row>
    <row r="5" spans="2:18" ht="25.5" customHeight="1">
      <c r="C5" s="6"/>
      <c r="D5" s="6"/>
      <c r="E5" s="6"/>
      <c r="F5" s="6"/>
      <c r="H5" s="11">
        <f>MAX(B9:B16)</f>
        <v>6</v>
      </c>
    </row>
    <row r="6" spans="2:18" ht="14.25" thickBot="1"/>
    <row r="7" spans="2:18">
      <c r="C7" s="306" t="s">
        <v>0</v>
      </c>
      <c r="D7" s="307"/>
      <c r="E7" s="308" t="s">
        <v>2</v>
      </c>
      <c r="F7" s="308"/>
      <c r="G7" s="309" t="s">
        <v>5</v>
      </c>
      <c r="H7" s="309"/>
      <c r="I7" s="309"/>
      <c r="J7" s="309"/>
      <c r="K7" s="309"/>
      <c r="L7" s="309"/>
      <c r="M7" s="310" t="s">
        <v>12</v>
      </c>
      <c r="N7" s="310"/>
      <c r="O7" s="310"/>
      <c r="P7" s="310"/>
      <c r="Q7" s="310"/>
      <c r="R7" s="311"/>
    </row>
    <row r="8" spans="2:18" ht="27.75" thickBot="1">
      <c r="B8" s="9" t="s">
        <v>92</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92" customHeight="1" thickTop="1">
      <c r="B9" s="9">
        <f>IF(C9=0,0,ROW()-ROW($B$8))</f>
        <v>1</v>
      </c>
      <c r="C9" s="12" t="s">
        <v>193</v>
      </c>
      <c r="D9" s="215" t="s">
        <v>455</v>
      </c>
      <c r="E9" s="13" t="s">
        <v>31</v>
      </c>
      <c r="F9" s="13" t="s">
        <v>194</v>
      </c>
      <c r="G9" s="13" t="s">
        <v>31</v>
      </c>
      <c r="H9" s="13" t="s">
        <v>31</v>
      </c>
      <c r="I9" s="13" t="s">
        <v>31</v>
      </c>
      <c r="J9" s="13" t="s">
        <v>31</v>
      </c>
      <c r="K9" s="13" t="s">
        <v>31</v>
      </c>
      <c r="L9" s="13" t="s">
        <v>31</v>
      </c>
      <c r="M9" s="13"/>
      <c r="N9" s="207"/>
      <c r="O9" s="13"/>
      <c r="P9" s="207"/>
      <c r="Q9" s="1" t="s">
        <v>453</v>
      </c>
      <c r="R9" s="216">
        <v>44365</v>
      </c>
    </row>
    <row r="10" spans="2:18" ht="162">
      <c r="B10" s="9">
        <f t="shared" ref="B10:B15" si="0">IF(C10=0,0,ROW()-ROW($B$8))</f>
        <v>2</v>
      </c>
      <c r="C10" s="12" t="s">
        <v>456</v>
      </c>
      <c r="D10" s="213" t="s">
        <v>459</v>
      </c>
      <c r="E10" s="13" t="s">
        <v>31</v>
      </c>
      <c r="F10" s="13" t="s">
        <v>194</v>
      </c>
      <c r="G10" s="13" t="s">
        <v>31</v>
      </c>
      <c r="H10" s="13" t="s">
        <v>31</v>
      </c>
      <c r="I10" s="13" t="s">
        <v>31</v>
      </c>
      <c r="J10" s="13" t="s">
        <v>31</v>
      </c>
      <c r="K10" s="13" t="s">
        <v>31</v>
      </c>
      <c r="L10" s="13" t="s">
        <v>31</v>
      </c>
      <c r="M10" s="13"/>
      <c r="N10" s="207"/>
      <c r="O10" s="13"/>
      <c r="P10" s="207"/>
      <c r="Q10" s="13" t="s">
        <v>457</v>
      </c>
      <c r="R10" s="196">
        <v>44557</v>
      </c>
    </row>
    <row r="11" spans="2:18" ht="108">
      <c r="B11" s="9">
        <f t="shared" si="0"/>
        <v>3</v>
      </c>
      <c r="C11" s="12" t="s">
        <v>458</v>
      </c>
      <c r="D11" s="213" t="s">
        <v>460</v>
      </c>
      <c r="E11" s="13" t="s">
        <v>31</v>
      </c>
      <c r="F11" s="13" t="s">
        <v>194</v>
      </c>
      <c r="G11" s="13" t="s">
        <v>31</v>
      </c>
      <c r="H11" s="13" t="s">
        <v>31</v>
      </c>
      <c r="I11" s="13" t="s">
        <v>31</v>
      </c>
      <c r="J11" s="13" t="s">
        <v>31</v>
      </c>
      <c r="K11" s="13" t="s">
        <v>31</v>
      </c>
      <c r="L11" s="13" t="s">
        <v>31</v>
      </c>
      <c r="M11" s="1"/>
      <c r="N11" s="1"/>
      <c r="O11" s="1"/>
      <c r="P11" s="1"/>
      <c r="Q11" s="1" t="s">
        <v>457</v>
      </c>
      <c r="R11" s="216">
        <v>44558</v>
      </c>
    </row>
    <row r="12" spans="2:18" ht="162">
      <c r="B12" s="9">
        <f t="shared" si="0"/>
        <v>4</v>
      </c>
      <c r="C12" s="2" t="s">
        <v>461</v>
      </c>
      <c r="D12" s="215" t="s">
        <v>477</v>
      </c>
      <c r="E12" s="13" t="s">
        <v>31</v>
      </c>
      <c r="F12" s="13" t="s">
        <v>194</v>
      </c>
      <c r="G12" s="13" t="s">
        <v>31</v>
      </c>
      <c r="H12" s="13" t="s">
        <v>31</v>
      </c>
      <c r="I12" s="13" t="s">
        <v>31</v>
      </c>
      <c r="J12" s="13" t="s">
        <v>31</v>
      </c>
      <c r="K12" s="13" t="s">
        <v>31</v>
      </c>
      <c r="L12" s="13" t="s">
        <v>31</v>
      </c>
      <c r="M12" s="1"/>
      <c r="N12" s="1"/>
      <c r="O12" s="1"/>
      <c r="P12" s="1"/>
      <c r="Q12" s="1" t="s">
        <v>462</v>
      </c>
      <c r="R12" s="216">
        <v>44749</v>
      </c>
    </row>
    <row r="13" spans="2:18" ht="108">
      <c r="B13" s="9">
        <f t="shared" ref="B13" si="1">IF(C13=0,0,ROW()-ROW($B$8))</f>
        <v>5</v>
      </c>
      <c r="C13" s="2" t="s">
        <v>478</v>
      </c>
      <c r="D13" s="215" t="s">
        <v>483</v>
      </c>
      <c r="E13" s="13" t="s">
        <v>31</v>
      </c>
      <c r="F13" s="13" t="s">
        <v>194</v>
      </c>
      <c r="G13" s="13" t="s">
        <v>31</v>
      </c>
      <c r="H13" s="13" t="s">
        <v>31</v>
      </c>
      <c r="I13" s="13" t="s">
        <v>31</v>
      </c>
      <c r="J13" s="13" t="s">
        <v>31</v>
      </c>
      <c r="K13" s="13" t="s">
        <v>31</v>
      </c>
      <c r="L13" s="13" t="s">
        <v>31</v>
      </c>
      <c r="M13" s="1" t="s">
        <v>485</v>
      </c>
      <c r="N13" s="258">
        <v>44848</v>
      </c>
      <c r="O13" s="1" t="s">
        <v>484</v>
      </c>
      <c r="P13" s="258">
        <v>44848</v>
      </c>
      <c r="Q13" s="1" t="s">
        <v>479</v>
      </c>
      <c r="R13" s="216">
        <v>44819</v>
      </c>
    </row>
    <row r="14" spans="2:18" ht="94.5">
      <c r="B14" s="9">
        <f t="shared" ref="B14" si="2">IF(C14=0,0,ROW()-ROW($B$8))</f>
        <v>6</v>
      </c>
      <c r="C14" s="268" t="s">
        <v>533</v>
      </c>
      <c r="D14" s="269" t="s">
        <v>534</v>
      </c>
      <c r="E14" s="270" t="s">
        <v>31</v>
      </c>
      <c r="F14" s="270" t="s">
        <v>194</v>
      </c>
      <c r="G14" s="270" t="s">
        <v>31</v>
      </c>
      <c r="H14" s="270" t="s">
        <v>31</v>
      </c>
      <c r="I14" s="270" t="s">
        <v>31</v>
      </c>
      <c r="J14" s="270" t="s">
        <v>31</v>
      </c>
      <c r="K14" s="270" t="s">
        <v>31</v>
      </c>
      <c r="L14" s="270" t="s">
        <v>31</v>
      </c>
      <c r="M14" s="270" t="s">
        <v>31</v>
      </c>
      <c r="N14" s="270" t="s">
        <v>31</v>
      </c>
      <c r="O14" s="270" t="s">
        <v>31</v>
      </c>
      <c r="P14" s="270" t="s">
        <v>31</v>
      </c>
      <c r="Q14" s="270" t="s">
        <v>31</v>
      </c>
      <c r="R14" s="270" t="s">
        <v>31</v>
      </c>
    </row>
    <row r="15" spans="2:18" ht="14.25" thickBot="1">
      <c r="B15" s="9">
        <f t="shared" si="0"/>
        <v>0</v>
      </c>
      <c r="C15" s="3"/>
      <c r="D15" s="4"/>
      <c r="E15" s="4"/>
      <c r="F15" s="4"/>
      <c r="G15" s="4"/>
      <c r="H15" s="4"/>
      <c r="I15" s="4"/>
      <c r="J15" s="4"/>
      <c r="K15" s="4"/>
      <c r="L15" s="4"/>
      <c r="M15" s="4"/>
      <c r="N15" s="4"/>
      <c r="O15" s="4"/>
      <c r="P15" s="4"/>
      <c r="Q15" s="4"/>
      <c r="R15" s="5"/>
    </row>
  </sheetData>
  <mergeCells count="6">
    <mergeCell ref="C7:D7"/>
    <mergeCell ref="E7:F7"/>
    <mergeCell ref="G7:L7"/>
    <mergeCell ref="M7:R7"/>
    <mergeCell ref="I2:R2"/>
    <mergeCell ref="I3:R3"/>
  </mergeCells>
  <phoneticPr fontId="2"/>
  <hyperlinks>
    <hyperlink ref="I3" r:id="rId1" display="https://aip01.dndev.net/bitbucket/scm/aip_tp/tmcapp_ict1_alert.git" xr:uid="{CDC58F19-14E7-4003-A4BF-4A3BC26C4FD1}"/>
    <hyperlink ref="I3:R3" r:id="rId2" display="https://aip01.dndev.net/bitbucket/scm/AIP_TP_ABROAD/22-24fgm2.git" xr:uid="{97EFED69-2C65-46A8-8244-B926B2130825}"/>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62" t="s">
        <v>129</v>
      </c>
    </row>
    <row r="3" spans="2:5">
      <c r="C3" t="s">
        <v>139</v>
      </c>
    </row>
    <row r="6" spans="2:5" ht="14.25" thickBot="1">
      <c r="B6" s="162" t="s">
        <v>130</v>
      </c>
      <c r="C6" s="162"/>
    </row>
    <row r="7" spans="2:5" ht="14.25" thickBot="1">
      <c r="C7" s="87" t="s">
        <v>132</v>
      </c>
      <c r="D7" s="95"/>
      <c r="E7" s="88" t="s">
        <v>140</v>
      </c>
    </row>
    <row r="8" spans="2:5" ht="20.25" customHeight="1" thickTop="1">
      <c r="C8" s="165">
        <v>0</v>
      </c>
      <c r="D8" s="96" t="s">
        <v>141</v>
      </c>
      <c r="E8" s="164" t="s">
        <v>465</v>
      </c>
    </row>
    <row r="9" spans="2:5">
      <c r="C9" s="171"/>
      <c r="D9" s="208"/>
      <c r="E9" s="172"/>
    </row>
    <row r="10" spans="2:5" ht="14.25" thickBot="1">
      <c r="C10" s="169"/>
      <c r="D10" s="98"/>
      <c r="E10" s="5"/>
    </row>
    <row r="11" spans="2:5">
      <c r="C11" s="167"/>
    </row>
    <row r="12" spans="2:5" ht="14.25" thickBot="1">
      <c r="B12" s="162" t="s">
        <v>131</v>
      </c>
      <c r="C12" s="94"/>
      <c r="D12" s="94"/>
    </row>
    <row r="13" spans="2:5" ht="14.25" thickBot="1">
      <c r="B13" s="163"/>
      <c r="C13" s="168" t="s">
        <v>132</v>
      </c>
      <c r="D13" s="95" t="s">
        <v>133</v>
      </c>
      <c r="E13" s="88" t="s">
        <v>134</v>
      </c>
    </row>
    <row r="14" spans="2:5" ht="14.25" thickTop="1">
      <c r="C14" s="165">
        <v>0</v>
      </c>
      <c r="D14" s="96" t="s">
        <v>146</v>
      </c>
      <c r="E14" s="170" t="s">
        <v>147</v>
      </c>
    </row>
    <row r="15" spans="2:5">
      <c r="C15" s="166">
        <v>1</v>
      </c>
      <c r="D15" s="97" t="s">
        <v>23</v>
      </c>
      <c r="E15" s="83" t="s">
        <v>135</v>
      </c>
    </row>
    <row r="16" spans="2:5">
      <c r="C16" s="166">
        <v>2</v>
      </c>
      <c r="D16" s="97" t="s">
        <v>24</v>
      </c>
      <c r="E16" s="83" t="s">
        <v>136</v>
      </c>
    </row>
    <row r="17" spans="2:5">
      <c r="C17" s="166">
        <v>3</v>
      </c>
      <c r="D17" s="97" t="s">
        <v>25</v>
      </c>
      <c r="E17" s="83" t="s">
        <v>137</v>
      </c>
    </row>
    <row r="18" spans="2:5">
      <c r="C18" s="166">
        <v>4</v>
      </c>
      <c r="D18" s="97" t="s">
        <v>26</v>
      </c>
      <c r="E18" s="83" t="s">
        <v>138</v>
      </c>
    </row>
    <row r="19" spans="2:5">
      <c r="C19" s="166">
        <v>5</v>
      </c>
      <c r="D19" s="97" t="s">
        <v>148</v>
      </c>
      <c r="E19" s="83" t="s">
        <v>150</v>
      </c>
    </row>
    <row r="20" spans="2:5">
      <c r="C20" s="166">
        <v>6</v>
      </c>
      <c r="D20" s="97" t="s">
        <v>154</v>
      </c>
      <c r="E20" s="83" t="s">
        <v>166</v>
      </c>
    </row>
    <row r="21" spans="2:5" ht="14.25" thickBot="1">
      <c r="C21" s="169"/>
      <c r="D21" s="98"/>
      <c r="E21" s="5"/>
    </row>
    <row r="24" spans="2:5" ht="14.25" thickBot="1">
      <c r="B24" s="162" t="s">
        <v>142</v>
      </c>
    </row>
    <row r="25" spans="2:5" ht="14.25" thickBot="1">
      <c r="C25" s="168" t="s">
        <v>132</v>
      </c>
      <c r="D25" s="95" t="s">
        <v>133</v>
      </c>
      <c r="E25" s="88" t="s">
        <v>134</v>
      </c>
    </row>
    <row r="26" spans="2:5" ht="30.75" customHeight="1" thickTop="1">
      <c r="C26" s="165">
        <v>0</v>
      </c>
      <c r="D26" s="96" t="s">
        <v>143</v>
      </c>
      <c r="E26" s="170" t="s">
        <v>151</v>
      </c>
    </row>
    <row r="27" spans="2:5" ht="120" customHeight="1">
      <c r="C27" s="166">
        <v>1</v>
      </c>
      <c r="D27" s="97" t="s">
        <v>168</v>
      </c>
      <c r="E27" s="99" t="s">
        <v>170</v>
      </c>
    </row>
    <row r="28" spans="2:5" ht="81" customHeight="1">
      <c r="C28" s="166">
        <v>2</v>
      </c>
      <c r="D28" s="97" t="s">
        <v>165</v>
      </c>
      <c r="E28" s="99" t="s">
        <v>175</v>
      </c>
    </row>
    <row r="29" spans="2:5" ht="45" customHeight="1">
      <c r="C29" s="166">
        <v>3</v>
      </c>
      <c r="D29" s="97" t="s">
        <v>149</v>
      </c>
      <c r="E29" s="99" t="s">
        <v>152</v>
      </c>
    </row>
    <row r="30" spans="2:5" ht="16.5" customHeight="1">
      <c r="C30" s="166">
        <v>4</v>
      </c>
      <c r="D30" s="97" t="s">
        <v>144</v>
      </c>
      <c r="E30" s="83" t="s">
        <v>158</v>
      </c>
    </row>
    <row r="31" spans="2:5" ht="16.5" customHeight="1">
      <c r="C31" s="166">
        <v>5</v>
      </c>
      <c r="D31" s="97" t="s">
        <v>145</v>
      </c>
      <c r="E31" s="83" t="s">
        <v>153</v>
      </c>
    </row>
    <row r="32" spans="2:5">
      <c r="C32" s="166"/>
      <c r="D32" s="97"/>
      <c r="E32" s="83"/>
    </row>
    <row r="33" spans="2:5">
      <c r="C33" s="166"/>
      <c r="D33" s="97"/>
      <c r="E33" s="83"/>
    </row>
    <row r="34" spans="2:5" ht="14.25" thickBot="1">
      <c r="C34" s="169"/>
      <c r="D34" s="98"/>
      <c r="E34" s="5"/>
    </row>
    <row r="37" spans="2:5" ht="14.25" thickBot="1">
      <c r="B37" s="162" t="s">
        <v>162</v>
      </c>
    </row>
    <row r="38" spans="2:5">
      <c r="C38" s="314"/>
      <c r="D38" s="315"/>
      <c r="E38" s="120" t="s">
        <v>118</v>
      </c>
    </row>
    <row r="39" spans="2:5" ht="14.25" thickBot="1">
      <c r="C39" s="316"/>
      <c r="D39" s="317"/>
      <c r="E39" s="5" t="s">
        <v>119</v>
      </c>
    </row>
  </sheetData>
  <mergeCells count="2">
    <mergeCell ref="C38:D38"/>
    <mergeCell ref="C39:D39"/>
  </mergeCells>
  <phoneticPr fontId="2"/>
  <hyperlinks>
    <hyperlink ref="E9" r:id="rId1" display="https://aip01.dndev.net/wiki/display/MET631B/D1L1+and+R-Car+Local+Communication+Specification" xr:uid="{CB56A07E-DA6B-4094-AD17-C7DD019126E8}"/>
    <hyperlink ref="E8" r:id="rId2" display="https://aip01.dndev.net/svn/aip/tmcapp/sd/evidence/trunk/02_Design/01_Vom/Alert/03_Component/v5xx/alert_design.pptx" xr:uid="{F7451528-EFBD-4FEF-B0E5-BEEDAB386911}"/>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D2" sqref="D2:H2"/>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18" t="s">
        <v>18</v>
      </c>
      <c r="C2" s="319"/>
      <c r="D2" s="324" t="s">
        <v>490</v>
      </c>
      <c r="E2" s="325"/>
      <c r="F2" s="325"/>
      <c r="G2" s="325"/>
      <c r="H2" s="326"/>
    </row>
    <row r="3" spans="2:14">
      <c r="B3" s="320" t="s">
        <v>116</v>
      </c>
      <c r="C3" s="321"/>
      <c r="D3" s="327" t="s">
        <v>491</v>
      </c>
      <c r="E3" s="328"/>
      <c r="F3" s="328"/>
      <c r="G3" s="328"/>
      <c r="H3" s="329"/>
    </row>
    <row r="4" spans="2:14" ht="14.25" thickBot="1">
      <c r="B4" s="322" t="s">
        <v>17</v>
      </c>
      <c r="C4" s="323"/>
      <c r="D4" s="330" t="str">
        <f ca="1">_表紙!D3&amp;".c"</f>
        <v>alert_S_LCA-CSTD-2-00-A-C0.c</v>
      </c>
      <c r="E4" s="331"/>
      <c r="F4" s="331"/>
      <c r="G4" s="331"/>
      <c r="H4" s="332"/>
    </row>
    <row r="5" spans="2:14" ht="14.25" thickBot="1">
      <c r="D5" t="str">
        <f ca="1">IF(LEN(_表紙!D3&amp;".c") = LENB(_表紙!D3&amp;".c"),"※モジュール名 全角チェックOK","※モジュール名 全角チェックNG：ファイル名に全角文字が使用されています！")</f>
        <v>※モジュール名 全角チェックOK</v>
      </c>
    </row>
    <row r="6" spans="2:14">
      <c r="B6" s="318" t="s">
        <v>39</v>
      </c>
      <c r="C6" s="319"/>
      <c r="D6" s="333" t="str">
        <f ca="1">MID(D4, LEN("alert_") + 1, FIND("-",D4,1) - LEN("alert_") - 1)</f>
        <v>S_LCA</v>
      </c>
      <c r="E6" s="334"/>
      <c r="F6" s="334"/>
      <c r="G6" s="334"/>
      <c r="H6" s="335"/>
    </row>
    <row r="7" spans="2:14">
      <c r="B7" s="320" t="s">
        <v>40</v>
      </c>
      <c r="C7" s="321"/>
      <c r="D7" s="336">
        <f>COUNTA($D$13:$D$37)</f>
        <v>7</v>
      </c>
      <c r="E7" s="337"/>
      <c r="F7" s="337"/>
      <c r="G7" s="337"/>
      <c r="H7" s="338"/>
    </row>
    <row r="8" spans="2:14">
      <c r="B8" s="320" t="s">
        <v>95</v>
      </c>
      <c r="C8" s="321"/>
      <c r="D8" s="336" t="str">
        <f ca="1">"st_gp_ALERT_"&amp;UPPER(D6)&amp;"_MTRX"</f>
        <v>st_gp_ALERT_S_LCA_MTRX</v>
      </c>
      <c r="E8" s="337"/>
      <c r="F8" s="337"/>
      <c r="G8" s="337"/>
      <c r="H8" s="338"/>
    </row>
    <row r="9" spans="2:14">
      <c r="B9" s="320" t="s">
        <v>41</v>
      </c>
      <c r="C9" s="321"/>
      <c r="D9" s="339" t="s">
        <v>195</v>
      </c>
      <c r="E9" s="340"/>
      <c r="F9" s="340"/>
      <c r="G9" s="340"/>
      <c r="H9" s="341"/>
    </row>
    <row r="10" spans="2:14" ht="14.25" thickBot="1">
      <c r="B10" s="322" t="s">
        <v>47</v>
      </c>
      <c r="C10" s="323"/>
      <c r="D10" s="342"/>
      <c r="E10" s="343"/>
      <c r="F10" s="343"/>
      <c r="G10" s="343"/>
      <c r="H10" s="344"/>
    </row>
    <row r="11" spans="2:14" ht="14.25" thickBot="1"/>
    <row r="12" spans="2:14" ht="14.25" thickBot="1">
      <c r="B12" s="153" t="s">
        <v>37</v>
      </c>
      <c r="C12" s="113" t="s">
        <v>46</v>
      </c>
      <c r="D12" s="114" t="s">
        <v>38</v>
      </c>
      <c r="E12" s="114" t="s">
        <v>42</v>
      </c>
      <c r="F12" s="114" t="s">
        <v>43</v>
      </c>
      <c r="G12" s="114" t="s">
        <v>44</v>
      </c>
      <c r="H12" s="115" t="s">
        <v>45</v>
      </c>
      <c r="I12" s="158" t="s">
        <v>54</v>
      </c>
      <c r="K12" t="s">
        <v>48</v>
      </c>
      <c r="L12" t="s">
        <v>41</v>
      </c>
      <c r="M12" t="s">
        <v>87</v>
      </c>
    </row>
    <row r="13" spans="2:14" ht="14.25" thickTop="1">
      <c r="B13" s="116">
        <v>1</v>
      </c>
      <c r="C13" s="118" t="s">
        <v>486</v>
      </c>
      <c r="D13" s="119" t="s">
        <v>51</v>
      </c>
      <c r="E13" s="119" t="s">
        <v>161</v>
      </c>
      <c r="F13" s="60" t="str">
        <f t="shared" ref="F13:F37" ca="1" si="0">IF($D13&lt;&gt;"","u4_s_Alert"&amp;UPPER(LEFT($D$6,1))&amp;LOWER(MID($D$6,2,100))&amp;IF($D$7=1,"",N13)&amp;"Srcchk","")</f>
        <v>u4_s_AlertS_lcaTtLSrcchk</v>
      </c>
      <c r="G13" s="60" t="str">
        <f t="shared" ref="G13:G37" si="1">IF($D13&lt;&gt;"",IF($E13="○","vd_s_Alert"&amp;UPPER(LEFT($D$6,1))&amp;LOWER(MID($D$6,2,100))&amp;IF($D$7=1,"",N13)&amp;"RwTx","NULL"),"")</f>
        <v>NULL</v>
      </c>
      <c r="H13" s="117" t="str">
        <f ca="1">IF($D13&lt;&gt;"","ALERT_CH_"&amp;UPPER($D$6)&amp;IF($D$7=1,"","_"&amp;UPPER($C13)),"")</f>
        <v>ALERT_CH_S_LCA_TT_L</v>
      </c>
      <c r="I13" s="159" t="str">
        <f ca="1">IF($D13&lt;&gt;"","ALERT_REQ_"&amp;UPPER($D$6)&amp;IF($D$7=1,"","_"&amp;UPPER($C13)),"")</f>
        <v>ALERT_REQ_S_LCA_TT_L</v>
      </c>
      <c r="K13" t="s">
        <v>49</v>
      </c>
      <c r="L13" t="s">
        <v>53</v>
      </c>
      <c r="M13">
        <f t="shared" ref="M13:M37" si="2">FIND("_",C13,1)</f>
        <v>3</v>
      </c>
      <c r="N13" t="str">
        <f t="shared" ref="N13:N37" si="3">IF(IFERROR(M13,0),UPPER(LEFT(C13,1))&amp;LOWER(MID(C13,2,M13-2))&amp;UPPER(MID(C13,M13+1,1))&amp;LOWER(MID(C13,M13+2,100)),UPPER(LEFT(C13,1))&amp;LOWER(MID(C13,2,100)))</f>
        <v>TtL</v>
      </c>
    </row>
    <row r="14" spans="2:14">
      <c r="B14" s="106">
        <v>2</v>
      </c>
      <c r="C14" s="156" t="s">
        <v>487</v>
      </c>
      <c r="D14" s="157" t="s">
        <v>51</v>
      </c>
      <c r="E14" s="157" t="s">
        <v>161</v>
      </c>
      <c r="F14" s="55" t="str">
        <f t="shared" ca="1" si="0"/>
        <v>u4_s_AlertS_lcaTtRSrcchk</v>
      </c>
      <c r="G14" s="55" t="str">
        <f t="shared" si="1"/>
        <v>NULL</v>
      </c>
      <c r="H14" s="75" t="str">
        <f t="shared" ref="H14:H37" ca="1" si="4">IF($D14&lt;&gt;"","ALERT_CH_"&amp;UPPER($D$6)&amp;IF($D$7=1,"","_"&amp;UPPER($C14)),"")</f>
        <v>ALERT_CH_S_LCA_TT_R</v>
      </c>
      <c r="I14" s="160" t="str">
        <f t="shared" ref="I14:I37" ca="1" si="5">IF($D14&lt;&gt;"","ALERT_REQ_"&amp;UPPER($D$6)&amp;IF($D$7=1,"","_"&amp;UPPER($C14)),"")</f>
        <v>ALERT_REQ_S_LCA_TT_R</v>
      </c>
      <c r="K14" t="s">
        <v>50</v>
      </c>
      <c r="L14" t="str">
        <f ca="1">"vd_g_Alert"&amp;UPPER(LEFT(D6,1))&amp;LOWER(MID(D6,2,100))&amp;"Init"</f>
        <v>vd_g_AlertS_lcaInit</v>
      </c>
      <c r="M14">
        <f t="shared" si="2"/>
        <v>3</v>
      </c>
      <c r="N14" t="str">
        <f t="shared" si="3"/>
        <v>TtR</v>
      </c>
    </row>
    <row r="15" spans="2:14">
      <c r="B15" s="106">
        <v>3</v>
      </c>
      <c r="C15" s="156" t="s">
        <v>319</v>
      </c>
      <c r="D15" s="157" t="s">
        <v>51</v>
      </c>
      <c r="E15" s="157" t="s">
        <v>161</v>
      </c>
      <c r="F15" s="55" t="str">
        <f t="shared" ca="1" si="0"/>
        <v>u4_s_AlertS_lcaBcRqSrcchk</v>
      </c>
      <c r="G15" s="55" t="str">
        <f t="shared" si="1"/>
        <v>NULL</v>
      </c>
      <c r="H15" s="75" t="str">
        <f t="shared" ca="1" si="4"/>
        <v>ALERT_CH_S_LCA_BC_RQ</v>
      </c>
      <c r="I15" s="160" t="str">
        <f t="shared" ca="1" si="5"/>
        <v>ALERT_REQ_S_LCA_BC_RQ</v>
      </c>
      <c r="K15" t="s">
        <v>120</v>
      </c>
      <c r="M15">
        <f t="shared" si="2"/>
        <v>3</v>
      </c>
      <c r="N15" t="str">
        <f t="shared" si="3"/>
        <v>BcRq</v>
      </c>
    </row>
    <row r="16" spans="2:14">
      <c r="B16" s="106">
        <v>4</v>
      </c>
      <c r="C16" s="156" t="s">
        <v>320</v>
      </c>
      <c r="D16" s="157" t="s">
        <v>51</v>
      </c>
      <c r="E16" s="157" t="s">
        <v>161</v>
      </c>
      <c r="F16" s="55" t="str">
        <f t="shared" ca="1" si="0"/>
        <v>u4_s_AlertS_lcaBcClSrcchk</v>
      </c>
      <c r="G16" s="55" t="str">
        <f t="shared" si="1"/>
        <v>NULL</v>
      </c>
      <c r="H16" s="75" t="str">
        <f t="shared" ca="1" si="4"/>
        <v>ALERT_CH_S_LCA_BC_CL</v>
      </c>
      <c r="I16" s="160" t="str">
        <f t="shared" ca="1" si="5"/>
        <v>ALERT_REQ_S_LCA_BC_CL</v>
      </c>
      <c r="K16" t="s">
        <v>121</v>
      </c>
      <c r="M16">
        <f t="shared" si="2"/>
        <v>3</v>
      </c>
      <c r="N16" t="str">
        <f t="shared" si="3"/>
        <v>BcCl</v>
      </c>
    </row>
    <row r="17" spans="2:14">
      <c r="B17" s="106">
        <v>5</v>
      </c>
      <c r="C17" s="156" t="s">
        <v>321</v>
      </c>
      <c r="D17" s="157" t="s">
        <v>51</v>
      </c>
      <c r="E17" s="157" t="s">
        <v>161</v>
      </c>
      <c r="F17" s="55" t="str">
        <f t="shared" ca="1" si="0"/>
        <v>u4_s_AlertS_lcaBcVcSrcchk</v>
      </c>
      <c r="G17" s="55" t="str">
        <f t="shared" si="1"/>
        <v>NULL</v>
      </c>
      <c r="H17" s="75" t="str">
        <f t="shared" ca="1" si="4"/>
        <v>ALERT_CH_S_LCA_BC_VC</v>
      </c>
      <c r="I17" s="160" t="str">
        <f t="shared" ca="1" si="5"/>
        <v>ALERT_REQ_S_LCA_BC_VC</v>
      </c>
      <c r="K17" t="s">
        <v>51</v>
      </c>
      <c r="M17">
        <f t="shared" si="2"/>
        <v>3</v>
      </c>
      <c r="N17" t="str">
        <f t="shared" si="3"/>
        <v>BcVc</v>
      </c>
    </row>
    <row r="18" spans="2:14">
      <c r="B18" s="106">
        <v>6</v>
      </c>
      <c r="C18" s="156" t="s">
        <v>402</v>
      </c>
      <c r="D18" s="157" t="s">
        <v>51</v>
      </c>
      <c r="E18" s="157" t="s">
        <v>161</v>
      </c>
      <c r="F18" s="55" t="str">
        <f t="shared" ca="1" si="0"/>
        <v>u4_s_AlertS_lcaPdMgSrcchk</v>
      </c>
      <c r="G18" s="55" t="str">
        <f t="shared" si="1"/>
        <v>NULL</v>
      </c>
      <c r="H18" s="75" t="str">
        <f t="shared" ca="1" si="4"/>
        <v>ALERT_CH_S_LCA_PD_MG</v>
      </c>
      <c r="I18" s="160" t="str">
        <f t="shared" ca="1" si="5"/>
        <v>ALERT_REQ_S_LCA_PD_MG</v>
      </c>
      <c r="K18" t="s">
        <v>52</v>
      </c>
      <c r="M18">
        <f t="shared" si="2"/>
        <v>3</v>
      </c>
      <c r="N18" t="str">
        <f t="shared" si="3"/>
        <v>PdMg</v>
      </c>
    </row>
    <row r="19" spans="2:14">
      <c r="B19" s="106">
        <v>7</v>
      </c>
      <c r="C19" s="156" t="s">
        <v>404</v>
      </c>
      <c r="D19" s="157" t="s">
        <v>51</v>
      </c>
      <c r="E19" s="157" t="s">
        <v>161</v>
      </c>
      <c r="F19" s="55" t="str">
        <f t="shared" ca="1" si="0"/>
        <v>u4_s_AlertS_lcaPdSgSrcchk</v>
      </c>
      <c r="G19" s="55" t="str">
        <f t="shared" si="1"/>
        <v>NULL</v>
      </c>
      <c r="H19" s="75" t="str">
        <f t="shared" ca="1" si="4"/>
        <v>ALERT_CH_S_LCA_PD_SG</v>
      </c>
      <c r="I19" s="160" t="str">
        <f t="shared" ca="1" si="5"/>
        <v>ALERT_REQ_S_LCA_PD_SG</v>
      </c>
      <c r="K19" t="s">
        <v>52</v>
      </c>
      <c r="M19">
        <f t="shared" si="2"/>
        <v>3</v>
      </c>
      <c r="N19" t="str">
        <f t="shared" si="3"/>
        <v>PdSg</v>
      </c>
    </row>
    <row r="20" spans="2:14">
      <c r="B20" s="106">
        <v>8</v>
      </c>
      <c r="C20" s="156"/>
      <c r="D20" s="157"/>
      <c r="E20" s="157"/>
      <c r="F20" s="55" t="str">
        <f t="shared" si="0"/>
        <v/>
      </c>
      <c r="G20" s="55" t="str">
        <f t="shared" si="1"/>
        <v/>
      </c>
      <c r="H20" s="75" t="str">
        <f t="shared" si="4"/>
        <v/>
      </c>
      <c r="I20" s="160" t="str">
        <f t="shared" si="5"/>
        <v/>
      </c>
      <c r="K20" t="s">
        <v>52</v>
      </c>
      <c r="M20" t="e">
        <f t="shared" si="2"/>
        <v>#VALUE!</v>
      </c>
      <c r="N20" t="str">
        <f t="shared" si="3"/>
        <v/>
      </c>
    </row>
    <row r="21" spans="2:14">
      <c r="B21" s="106">
        <v>9</v>
      </c>
      <c r="C21" s="156"/>
      <c r="D21" s="157"/>
      <c r="E21" s="157"/>
      <c r="F21" s="55" t="str">
        <f t="shared" si="0"/>
        <v/>
      </c>
      <c r="G21" s="55" t="str">
        <f t="shared" si="1"/>
        <v/>
      </c>
      <c r="H21" s="75" t="str">
        <f t="shared" si="4"/>
        <v/>
      </c>
      <c r="I21" s="160" t="str">
        <f t="shared" si="5"/>
        <v/>
      </c>
      <c r="K21" t="s">
        <v>52</v>
      </c>
      <c r="M21" t="e">
        <f t="shared" si="2"/>
        <v>#VALUE!</v>
      </c>
      <c r="N21" t="str">
        <f t="shared" si="3"/>
        <v/>
      </c>
    </row>
    <row r="22" spans="2:14">
      <c r="B22" s="106">
        <v>10</v>
      </c>
      <c r="C22" s="156"/>
      <c r="D22" s="157"/>
      <c r="E22" s="157"/>
      <c r="F22" s="55" t="str">
        <f t="shared" si="0"/>
        <v/>
      </c>
      <c r="G22" s="55" t="str">
        <f t="shared" si="1"/>
        <v/>
      </c>
      <c r="H22" s="75" t="str">
        <f t="shared" si="4"/>
        <v/>
      </c>
      <c r="I22" s="160" t="str">
        <f t="shared" si="5"/>
        <v/>
      </c>
      <c r="K22" t="s">
        <v>52</v>
      </c>
      <c r="M22" t="e">
        <f t="shared" si="2"/>
        <v>#VALUE!</v>
      </c>
      <c r="N22" t="str">
        <f t="shared" si="3"/>
        <v/>
      </c>
    </row>
    <row r="23" spans="2:14">
      <c r="B23" s="106">
        <v>11</v>
      </c>
      <c r="C23" s="156"/>
      <c r="D23" s="157"/>
      <c r="E23" s="157"/>
      <c r="F23" s="55" t="str">
        <f t="shared" si="0"/>
        <v/>
      </c>
      <c r="G23" s="55" t="str">
        <f t="shared" si="1"/>
        <v/>
      </c>
      <c r="H23" s="75" t="str">
        <f t="shared" si="4"/>
        <v/>
      </c>
      <c r="I23" s="160" t="str">
        <f t="shared" si="5"/>
        <v/>
      </c>
      <c r="K23" t="s">
        <v>52</v>
      </c>
      <c r="M23" t="e">
        <f t="shared" si="2"/>
        <v>#VALUE!</v>
      </c>
      <c r="N23" t="str">
        <f t="shared" si="3"/>
        <v/>
      </c>
    </row>
    <row r="24" spans="2:14">
      <c r="B24" s="106">
        <v>12</v>
      </c>
      <c r="C24" s="156"/>
      <c r="D24" s="157"/>
      <c r="E24" s="157"/>
      <c r="F24" s="55" t="str">
        <f t="shared" si="0"/>
        <v/>
      </c>
      <c r="G24" s="55" t="str">
        <f t="shared" si="1"/>
        <v/>
      </c>
      <c r="H24" s="75" t="str">
        <f t="shared" si="4"/>
        <v/>
      </c>
      <c r="I24" s="160" t="str">
        <f t="shared" si="5"/>
        <v/>
      </c>
      <c r="K24" t="s">
        <v>52</v>
      </c>
      <c r="M24" t="e">
        <f t="shared" si="2"/>
        <v>#VALUE!</v>
      </c>
      <c r="N24" t="str">
        <f t="shared" si="3"/>
        <v/>
      </c>
    </row>
    <row r="25" spans="2:14">
      <c r="B25" s="106">
        <v>13</v>
      </c>
      <c r="C25" s="156"/>
      <c r="D25" s="157"/>
      <c r="E25" s="157"/>
      <c r="F25" s="55" t="str">
        <f t="shared" si="0"/>
        <v/>
      </c>
      <c r="G25" s="55" t="str">
        <f t="shared" si="1"/>
        <v/>
      </c>
      <c r="H25" s="75" t="str">
        <f t="shared" si="4"/>
        <v/>
      </c>
      <c r="I25" s="160" t="str">
        <f t="shared" si="5"/>
        <v/>
      </c>
      <c r="K25" t="s">
        <v>52</v>
      </c>
      <c r="M25" t="e">
        <f t="shared" si="2"/>
        <v>#VALUE!</v>
      </c>
      <c r="N25" t="str">
        <f t="shared" si="3"/>
        <v/>
      </c>
    </row>
    <row r="26" spans="2:14">
      <c r="B26" s="106">
        <v>14</v>
      </c>
      <c r="C26" s="156"/>
      <c r="D26" s="157"/>
      <c r="E26" s="157"/>
      <c r="F26" s="55" t="str">
        <f t="shared" si="0"/>
        <v/>
      </c>
      <c r="G26" s="55" t="str">
        <f t="shared" si="1"/>
        <v/>
      </c>
      <c r="H26" s="75" t="str">
        <f t="shared" si="4"/>
        <v/>
      </c>
      <c r="I26" s="160" t="str">
        <f t="shared" si="5"/>
        <v/>
      </c>
      <c r="K26" t="s">
        <v>52</v>
      </c>
      <c r="M26" t="e">
        <f t="shared" si="2"/>
        <v>#VALUE!</v>
      </c>
      <c r="N26" t="str">
        <f t="shared" si="3"/>
        <v/>
      </c>
    </row>
    <row r="27" spans="2:14">
      <c r="B27" s="106">
        <v>15</v>
      </c>
      <c r="C27" s="156"/>
      <c r="D27" s="157"/>
      <c r="E27" s="157"/>
      <c r="F27" s="55" t="str">
        <f t="shared" si="0"/>
        <v/>
      </c>
      <c r="G27" s="55" t="str">
        <f t="shared" si="1"/>
        <v/>
      </c>
      <c r="H27" s="75" t="str">
        <f t="shared" si="4"/>
        <v/>
      </c>
      <c r="I27" s="160" t="str">
        <f t="shared" si="5"/>
        <v/>
      </c>
      <c r="K27" t="s">
        <v>52</v>
      </c>
      <c r="M27" t="e">
        <f t="shared" si="2"/>
        <v>#VALUE!</v>
      </c>
      <c r="N27" t="str">
        <f t="shared" si="3"/>
        <v/>
      </c>
    </row>
    <row r="28" spans="2:14">
      <c r="B28" s="106">
        <v>16</v>
      </c>
      <c r="C28" s="156"/>
      <c r="D28" s="157"/>
      <c r="E28" s="157"/>
      <c r="F28" s="55" t="str">
        <f t="shared" si="0"/>
        <v/>
      </c>
      <c r="G28" s="55" t="str">
        <f t="shared" si="1"/>
        <v/>
      </c>
      <c r="H28" s="75" t="str">
        <f t="shared" si="4"/>
        <v/>
      </c>
      <c r="I28" s="160" t="str">
        <f t="shared" si="5"/>
        <v/>
      </c>
      <c r="K28" t="s">
        <v>52</v>
      </c>
      <c r="M28" t="e">
        <f t="shared" si="2"/>
        <v>#VALUE!</v>
      </c>
      <c r="N28" t="str">
        <f t="shared" si="3"/>
        <v/>
      </c>
    </row>
    <row r="29" spans="2:14">
      <c r="B29" s="106">
        <v>17</v>
      </c>
      <c r="C29" s="156"/>
      <c r="D29" s="157"/>
      <c r="E29" s="157"/>
      <c r="F29" s="55" t="str">
        <f t="shared" si="0"/>
        <v/>
      </c>
      <c r="G29" s="55" t="str">
        <f t="shared" si="1"/>
        <v/>
      </c>
      <c r="H29" s="75" t="str">
        <f t="shared" si="4"/>
        <v/>
      </c>
      <c r="I29" s="160" t="str">
        <f t="shared" si="5"/>
        <v/>
      </c>
      <c r="K29" t="s">
        <v>52</v>
      </c>
      <c r="M29" t="e">
        <f t="shared" si="2"/>
        <v>#VALUE!</v>
      </c>
      <c r="N29" t="str">
        <f t="shared" si="3"/>
        <v/>
      </c>
    </row>
    <row r="30" spans="2:14">
      <c r="B30" s="106">
        <v>18</v>
      </c>
      <c r="C30" s="156"/>
      <c r="D30" s="157"/>
      <c r="E30" s="157"/>
      <c r="F30" s="55" t="str">
        <f t="shared" si="0"/>
        <v/>
      </c>
      <c r="G30" s="55" t="str">
        <f t="shared" si="1"/>
        <v/>
      </c>
      <c r="H30" s="75" t="str">
        <f t="shared" si="4"/>
        <v/>
      </c>
      <c r="I30" s="160" t="str">
        <f t="shared" si="5"/>
        <v/>
      </c>
      <c r="K30" t="s">
        <v>52</v>
      </c>
      <c r="M30" t="e">
        <f t="shared" si="2"/>
        <v>#VALUE!</v>
      </c>
      <c r="N30" t="str">
        <f t="shared" si="3"/>
        <v/>
      </c>
    </row>
    <row r="31" spans="2:14">
      <c r="B31" s="106">
        <v>19</v>
      </c>
      <c r="C31" s="156"/>
      <c r="D31" s="157"/>
      <c r="E31" s="157"/>
      <c r="F31" s="55" t="str">
        <f t="shared" si="0"/>
        <v/>
      </c>
      <c r="G31" s="55" t="str">
        <f t="shared" si="1"/>
        <v/>
      </c>
      <c r="H31" s="75" t="str">
        <f t="shared" si="4"/>
        <v/>
      </c>
      <c r="I31" s="160" t="str">
        <f t="shared" si="5"/>
        <v/>
      </c>
      <c r="K31" t="s">
        <v>52</v>
      </c>
      <c r="M31" t="e">
        <f t="shared" si="2"/>
        <v>#VALUE!</v>
      </c>
      <c r="N31" t="str">
        <f t="shared" si="3"/>
        <v/>
      </c>
    </row>
    <row r="32" spans="2:14">
      <c r="B32" s="106">
        <v>20</v>
      </c>
      <c r="C32" s="156"/>
      <c r="D32" s="157"/>
      <c r="E32" s="157"/>
      <c r="F32" s="55" t="str">
        <f t="shared" si="0"/>
        <v/>
      </c>
      <c r="G32" s="55" t="str">
        <f t="shared" si="1"/>
        <v/>
      </c>
      <c r="H32" s="75" t="str">
        <f t="shared" si="4"/>
        <v/>
      </c>
      <c r="I32" s="160" t="str">
        <f t="shared" si="5"/>
        <v/>
      </c>
      <c r="K32" t="s">
        <v>52</v>
      </c>
      <c r="M32" t="e">
        <f t="shared" si="2"/>
        <v>#VALUE!</v>
      </c>
      <c r="N32" t="str">
        <f t="shared" si="3"/>
        <v/>
      </c>
    </row>
    <row r="33" spans="2:14">
      <c r="B33" s="106">
        <v>21</v>
      </c>
      <c r="C33" s="156"/>
      <c r="D33" s="157"/>
      <c r="E33" s="157"/>
      <c r="F33" s="55" t="str">
        <f t="shared" si="0"/>
        <v/>
      </c>
      <c r="G33" s="55" t="str">
        <f t="shared" si="1"/>
        <v/>
      </c>
      <c r="H33" s="75" t="str">
        <f t="shared" si="4"/>
        <v/>
      </c>
      <c r="I33" s="160" t="str">
        <f t="shared" si="5"/>
        <v/>
      </c>
      <c r="K33" t="s">
        <v>52</v>
      </c>
      <c r="M33" t="e">
        <f t="shared" si="2"/>
        <v>#VALUE!</v>
      </c>
      <c r="N33" t="str">
        <f t="shared" si="3"/>
        <v/>
      </c>
    </row>
    <row r="34" spans="2:14">
      <c r="B34" s="106">
        <v>22</v>
      </c>
      <c r="C34" s="156"/>
      <c r="D34" s="157"/>
      <c r="E34" s="157"/>
      <c r="F34" s="55" t="str">
        <f t="shared" si="0"/>
        <v/>
      </c>
      <c r="G34" s="55" t="str">
        <f t="shared" si="1"/>
        <v/>
      </c>
      <c r="H34" s="75" t="str">
        <f t="shared" si="4"/>
        <v/>
      </c>
      <c r="I34" s="160" t="str">
        <f t="shared" si="5"/>
        <v/>
      </c>
      <c r="K34" t="s">
        <v>52</v>
      </c>
      <c r="M34" t="e">
        <f t="shared" si="2"/>
        <v>#VALUE!</v>
      </c>
      <c r="N34" t="str">
        <f t="shared" si="3"/>
        <v/>
      </c>
    </row>
    <row r="35" spans="2:14">
      <c r="B35" s="106">
        <v>23</v>
      </c>
      <c r="C35" s="156"/>
      <c r="D35" s="157"/>
      <c r="E35" s="157"/>
      <c r="F35" s="55" t="str">
        <f t="shared" si="0"/>
        <v/>
      </c>
      <c r="G35" s="55" t="str">
        <f t="shared" si="1"/>
        <v/>
      </c>
      <c r="H35" s="75" t="str">
        <f t="shared" si="4"/>
        <v/>
      </c>
      <c r="I35" s="160" t="str">
        <f t="shared" si="5"/>
        <v/>
      </c>
      <c r="K35" t="s">
        <v>52</v>
      </c>
      <c r="M35" t="e">
        <f t="shared" si="2"/>
        <v>#VALUE!</v>
      </c>
      <c r="N35" t="str">
        <f t="shared" si="3"/>
        <v/>
      </c>
    </row>
    <row r="36" spans="2:14">
      <c r="B36" s="106">
        <v>24</v>
      </c>
      <c r="C36" s="156"/>
      <c r="D36" s="157"/>
      <c r="E36" s="157"/>
      <c r="F36" s="55" t="str">
        <f t="shared" si="0"/>
        <v/>
      </c>
      <c r="G36" s="55" t="str">
        <f t="shared" si="1"/>
        <v/>
      </c>
      <c r="H36" s="75" t="str">
        <f t="shared" si="4"/>
        <v/>
      </c>
      <c r="I36" s="160" t="str">
        <f t="shared" si="5"/>
        <v/>
      </c>
      <c r="K36" t="s">
        <v>52</v>
      </c>
      <c r="M36" t="e">
        <f t="shared" si="2"/>
        <v>#VALUE!</v>
      </c>
      <c r="N36" t="str">
        <f t="shared" si="3"/>
        <v/>
      </c>
    </row>
    <row r="37" spans="2:14" ht="14.25" thickBot="1">
      <c r="B37" s="107">
        <v>25</v>
      </c>
      <c r="C37" s="154"/>
      <c r="D37" s="155"/>
      <c r="E37" s="155"/>
      <c r="F37" s="63" t="str">
        <f t="shared" si="0"/>
        <v/>
      </c>
      <c r="G37" s="63" t="str">
        <f t="shared" si="1"/>
        <v/>
      </c>
      <c r="H37" s="76" t="str">
        <f t="shared" si="4"/>
        <v/>
      </c>
      <c r="I37" s="161" t="str">
        <f t="shared" si="5"/>
        <v/>
      </c>
      <c r="K37" t="s">
        <v>52</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25" priority="4">
      <formula>14&lt;LEN($D$6)+LEN($C13)</formula>
    </cfRule>
  </conditionalFormatting>
  <conditionalFormatting sqref="D6">
    <cfRule type="expression" dxfId="24" priority="3">
      <formula>14 &lt; LEN($D$6)</formula>
    </cfRule>
  </conditionalFormatting>
  <conditionalFormatting sqref="D5">
    <cfRule type="containsText" dxfId="23"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187</v>
      </c>
      <c r="O2" t="s">
        <v>189</v>
      </c>
    </row>
    <row r="3" spans="2:18" ht="14.25" thickBot="1">
      <c r="B3" s="153" t="s">
        <v>37</v>
      </c>
      <c r="C3" s="114" t="s">
        <v>177</v>
      </c>
      <c r="D3" s="114" t="s">
        <v>183</v>
      </c>
      <c r="E3" s="115" t="s">
        <v>184</v>
      </c>
      <c r="F3" s="194" t="s">
        <v>179</v>
      </c>
      <c r="G3" s="191" t="s">
        <v>192</v>
      </c>
      <c r="O3" s="153" t="s">
        <v>37</v>
      </c>
      <c r="P3" s="190" t="s">
        <v>173</v>
      </c>
      <c r="Q3" s="190" t="s">
        <v>186</v>
      </c>
      <c r="R3" s="191" t="s">
        <v>179</v>
      </c>
    </row>
    <row r="4" spans="2:18" ht="14.25" hidden="1" thickTop="1">
      <c r="B4" s="182">
        <v>0</v>
      </c>
      <c r="C4" s="183" t="s">
        <v>163</v>
      </c>
      <c r="D4" s="183"/>
      <c r="E4" s="184"/>
      <c r="F4" s="195"/>
      <c r="G4" s="83"/>
      <c r="O4" s="192">
        <v>0</v>
      </c>
      <c r="P4" s="189" t="s">
        <v>163</v>
      </c>
      <c r="Q4" s="189" t="s">
        <v>163</v>
      </c>
      <c r="R4" s="147"/>
    </row>
    <row r="5" spans="2:18" ht="14.25" thickTop="1">
      <c r="B5" s="185">
        <v>1</v>
      </c>
      <c r="C5" s="157"/>
      <c r="D5" s="25"/>
      <c r="E5" s="75" t="str">
        <f>IF($C5&lt;&gt;"","ALERT_" &amp; D5 &amp; "_ID_"&amp;UPPER(Matrix!$D$6) &amp; "_" &amp; $C5,"")</f>
        <v/>
      </c>
      <c r="F5" s="124"/>
      <c r="G5" s="75" t="str">
        <f>IF(E5&lt;&gt;"",LEN(E5),"")</f>
        <v/>
      </c>
      <c r="O5" s="185">
        <v>1</v>
      </c>
      <c r="P5" s="157"/>
      <c r="Q5" s="157"/>
      <c r="R5" s="125"/>
    </row>
    <row r="6" spans="2:18">
      <c r="B6" s="185">
        <v>2</v>
      </c>
      <c r="C6" s="157"/>
      <c r="D6" s="25"/>
      <c r="E6" s="75" t="str">
        <f>IF($C6&lt;&gt;"","ALERT_" &amp; D6 &amp; "_ID_"&amp;UPPER(Matrix!$D$6) &amp; "_" &amp; $C6,"")</f>
        <v/>
      </c>
      <c r="F6" s="124"/>
      <c r="G6" s="75" t="str">
        <f t="shared" ref="G6:G29" si="0">IF(E6&lt;&gt;"",LEN(E6),"")</f>
        <v/>
      </c>
      <c r="O6" s="185">
        <v>2</v>
      </c>
      <c r="P6" s="157"/>
      <c r="Q6" s="157"/>
      <c r="R6" s="125"/>
    </row>
    <row r="7" spans="2:18">
      <c r="B7" s="185">
        <v>3</v>
      </c>
      <c r="C7" s="157"/>
      <c r="D7" s="25"/>
      <c r="E7" s="75" t="str">
        <f>IF($C7&lt;&gt;"","ALERT_" &amp; D7 &amp; "_ID_"&amp;UPPER(Matrix!$D$6) &amp; "_" &amp; $C7,"")</f>
        <v/>
      </c>
      <c r="F7" s="124"/>
      <c r="G7" s="75" t="str">
        <f t="shared" si="0"/>
        <v/>
      </c>
      <c r="O7" s="185">
        <v>3</v>
      </c>
      <c r="P7" s="157"/>
      <c r="Q7" s="157"/>
      <c r="R7" s="125"/>
    </row>
    <row r="8" spans="2:18">
      <c r="B8" s="185">
        <v>4</v>
      </c>
      <c r="C8" s="157"/>
      <c r="D8" s="25"/>
      <c r="E8" s="75" t="str">
        <f>IF($C8&lt;&gt;"","ALERT_" &amp; D8 &amp; "_ID_"&amp;UPPER(Matrix!$D$6) &amp; "_" &amp; $C8,"")</f>
        <v/>
      </c>
      <c r="F8" s="124"/>
      <c r="G8" s="75" t="str">
        <f t="shared" si="0"/>
        <v/>
      </c>
      <c r="O8" s="185">
        <v>4</v>
      </c>
      <c r="P8" s="157"/>
      <c r="Q8" s="157"/>
      <c r="R8" s="125"/>
    </row>
    <row r="9" spans="2:18">
      <c r="B9" s="185">
        <v>5</v>
      </c>
      <c r="C9" s="157"/>
      <c r="D9" s="25"/>
      <c r="E9" s="75" t="str">
        <f>IF($C9&lt;&gt;"","ALERT_" &amp; D9 &amp; "_ID_"&amp;UPPER(Matrix!$D$6) &amp; "_" &amp; $C9,"")</f>
        <v/>
      </c>
      <c r="F9" s="124"/>
      <c r="G9" s="75" t="str">
        <f t="shared" si="0"/>
        <v/>
      </c>
      <c r="O9" s="185">
        <v>5</v>
      </c>
      <c r="P9" s="157"/>
      <c r="Q9" s="157"/>
      <c r="R9" s="125"/>
    </row>
    <row r="10" spans="2:18">
      <c r="B10" s="185">
        <v>6</v>
      </c>
      <c r="C10" s="157"/>
      <c r="D10" s="25"/>
      <c r="E10" s="75" t="str">
        <f>IF($C10&lt;&gt;"","ALERT_" &amp; D10 &amp; "_ID_"&amp;UPPER(Matrix!$D$6) &amp; "_" &amp; $C10,"")</f>
        <v/>
      </c>
      <c r="F10" s="124"/>
      <c r="G10" s="75" t="str">
        <f t="shared" si="0"/>
        <v/>
      </c>
      <c r="O10" s="185">
        <v>6</v>
      </c>
      <c r="P10" s="157"/>
      <c r="Q10" s="157"/>
      <c r="R10" s="125"/>
    </row>
    <row r="11" spans="2:18">
      <c r="B11" s="185">
        <v>7</v>
      </c>
      <c r="C11" s="157"/>
      <c r="D11" s="25"/>
      <c r="E11" s="75" t="str">
        <f>IF($C11&lt;&gt;"","ALERT_" &amp; D11 &amp; "_ID_"&amp;UPPER(Matrix!$D$6) &amp; "_" &amp; $C11,"")</f>
        <v/>
      </c>
      <c r="F11" s="124"/>
      <c r="G11" s="75" t="str">
        <f t="shared" si="0"/>
        <v/>
      </c>
      <c r="O11" s="185">
        <v>7</v>
      </c>
      <c r="P11" s="157"/>
      <c r="Q11" s="157"/>
      <c r="R11" s="125"/>
    </row>
    <row r="12" spans="2:18">
      <c r="B12" s="185">
        <v>8</v>
      </c>
      <c r="C12" s="157"/>
      <c r="D12" s="25"/>
      <c r="E12" s="75" t="str">
        <f>IF($C12&lt;&gt;"","ALERT_" &amp; D12 &amp; "_ID_"&amp;UPPER(Matrix!$D$6) &amp; "_" &amp; $C12,"")</f>
        <v/>
      </c>
      <c r="F12" s="124"/>
      <c r="G12" s="75" t="str">
        <f t="shared" si="0"/>
        <v/>
      </c>
      <c r="O12" s="185">
        <v>8</v>
      </c>
      <c r="P12" s="157"/>
      <c r="Q12" s="157"/>
      <c r="R12" s="125"/>
    </row>
    <row r="13" spans="2:18">
      <c r="B13" s="185">
        <v>9</v>
      </c>
      <c r="C13" s="157"/>
      <c r="D13" s="25"/>
      <c r="E13" s="75" t="str">
        <f>IF($C13&lt;&gt;"","ALERT_" &amp; D13 &amp; "_ID_"&amp;UPPER(Matrix!$D$6) &amp; "_" &amp; $C13,"")</f>
        <v/>
      </c>
      <c r="F13" s="124"/>
      <c r="G13" s="75" t="str">
        <f t="shared" si="0"/>
        <v/>
      </c>
      <c r="O13" s="185">
        <v>9</v>
      </c>
      <c r="P13" s="157"/>
      <c r="Q13" s="157"/>
      <c r="R13" s="125"/>
    </row>
    <row r="14" spans="2:18">
      <c r="B14" s="185">
        <v>10</v>
      </c>
      <c r="C14" s="157"/>
      <c r="D14" s="25"/>
      <c r="E14" s="75" t="str">
        <f>IF($C14&lt;&gt;"","ALERT_" &amp; D14 &amp; "_ID_"&amp;UPPER(Matrix!$D$6) &amp; "_" &amp; $C14,"")</f>
        <v/>
      </c>
      <c r="F14" s="124"/>
      <c r="G14" s="75" t="str">
        <f t="shared" si="0"/>
        <v/>
      </c>
      <c r="O14" s="185">
        <v>10</v>
      </c>
      <c r="P14" s="157"/>
      <c r="Q14" s="157"/>
      <c r="R14" s="125"/>
    </row>
    <row r="15" spans="2:18">
      <c r="B15" s="185">
        <v>11</v>
      </c>
      <c r="C15" s="157"/>
      <c r="D15" s="25"/>
      <c r="E15" s="75" t="str">
        <f>IF($C15&lt;&gt;"","ALERT_" &amp; D15 &amp; "_ID_"&amp;UPPER(Matrix!$D$6) &amp; "_" &amp; $C15,"")</f>
        <v/>
      </c>
      <c r="F15" s="124"/>
      <c r="G15" s="75" t="str">
        <f t="shared" si="0"/>
        <v/>
      </c>
      <c r="O15" s="185">
        <v>11</v>
      </c>
      <c r="P15" s="157"/>
      <c r="Q15" s="157"/>
      <c r="R15" s="125"/>
    </row>
    <row r="16" spans="2:18">
      <c r="B16" s="185">
        <v>12</v>
      </c>
      <c r="C16" s="157"/>
      <c r="D16" s="25"/>
      <c r="E16" s="75" t="str">
        <f>IF($C16&lt;&gt;"","ALERT_" &amp; D16 &amp; "_ID_"&amp;UPPER(Matrix!$D$6) &amp; "_" &amp; $C16,"")</f>
        <v/>
      </c>
      <c r="F16" s="124"/>
      <c r="G16" s="75" t="str">
        <f t="shared" si="0"/>
        <v/>
      </c>
      <c r="O16" s="185">
        <v>12</v>
      </c>
      <c r="P16" s="157"/>
      <c r="Q16" s="157"/>
      <c r="R16" s="125"/>
    </row>
    <row r="17" spans="2:18">
      <c r="B17" s="185">
        <v>13</v>
      </c>
      <c r="C17" s="157"/>
      <c r="D17" s="25"/>
      <c r="E17" s="75" t="str">
        <f>IF($C17&lt;&gt;"","ALERT_" &amp; D17 &amp; "_ID_"&amp;UPPER(Matrix!$D$6) &amp; "_" &amp; $C17,"")</f>
        <v/>
      </c>
      <c r="F17" s="124"/>
      <c r="G17" s="75" t="str">
        <f t="shared" si="0"/>
        <v/>
      </c>
      <c r="O17" s="185">
        <v>13</v>
      </c>
      <c r="P17" s="157"/>
      <c r="Q17" s="157"/>
      <c r="R17" s="125"/>
    </row>
    <row r="18" spans="2:18">
      <c r="B18" s="185">
        <v>14</v>
      </c>
      <c r="C18" s="157"/>
      <c r="D18" s="25"/>
      <c r="E18" s="75" t="str">
        <f>IF($C18&lt;&gt;"","ALERT_" &amp; D18 &amp; "_ID_"&amp;UPPER(Matrix!$D$6) &amp; "_" &amp; $C18,"")</f>
        <v/>
      </c>
      <c r="F18" s="124"/>
      <c r="G18" s="75" t="str">
        <f t="shared" si="0"/>
        <v/>
      </c>
      <c r="O18" s="185">
        <v>14</v>
      </c>
      <c r="P18" s="157"/>
      <c r="Q18" s="157"/>
      <c r="R18" s="125"/>
    </row>
    <row r="19" spans="2:18">
      <c r="B19" s="185">
        <v>15</v>
      </c>
      <c r="C19" s="157"/>
      <c r="D19" s="25"/>
      <c r="E19" s="75" t="str">
        <f>IF($C19&lt;&gt;"","ALERT_" &amp; D19 &amp; "_ID_"&amp;UPPER(Matrix!$D$6) &amp; "_" &amp; $C19,"")</f>
        <v/>
      </c>
      <c r="F19" s="124"/>
      <c r="G19" s="75" t="str">
        <f t="shared" si="0"/>
        <v/>
      </c>
      <c r="O19" s="185">
        <v>15</v>
      </c>
      <c r="P19" s="157"/>
      <c r="Q19" s="157"/>
      <c r="R19" s="125"/>
    </row>
    <row r="20" spans="2:18">
      <c r="B20" s="185">
        <v>16</v>
      </c>
      <c r="C20" s="157"/>
      <c r="D20" s="25"/>
      <c r="E20" s="75" t="str">
        <f>IF($C20&lt;&gt;"","ALERT_" &amp; D20 &amp; "_ID_"&amp;UPPER(Matrix!$D$6) &amp; "_" &amp; $C20,"")</f>
        <v/>
      </c>
      <c r="F20" s="124"/>
      <c r="G20" s="75" t="str">
        <f t="shared" si="0"/>
        <v/>
      </c>
      <c r="O20" s="185">
        <v>16</v>
      </c>
      <c r="P20" s="157"/>
      <c r="Q20" s="157"/>
      <c r="R20" s="125"/>
    </row>
    <row r="21" spans="2:18">
      <c r="B21" s="185">
        <v>17</v>
      </c>
      <c r="C21" s="157"/>
      <c r="D21" s="25"/>
      <c r="E21" s="75" t="str">
        <f>IF($C21&lt;&gt;"","ALERT_" &amp; D21 &amp; "_ID_"&amp;UPPER(Matrix!$D$6) &amp; "_" &amp; $C21,"")</f>
        <v/>
      </c>
      <c r="F21" s="124"/>
      <c r="G21" s="75" t="str">
        <f t="shared" si="0"/>
        <v/>
      </c>
      <c r="O21" s="185">
        <v>17</v>
      </c>
      <c r="P21" s="157"/>
      <c r="Q21" s="157"/>
      <c r="R21" s="125"/>
    </row>
    <row r="22" spans="2:18">
      <c r="B22" s="185">
        <v>18</v>
      </c>
      <c r="C22" s="157"/>
      <c r="D22" s="25"/>
      <c r="E22" s="75" t="str">
        <f>IF($C22&lt;&gt;"","ALERT_" &amp; D22 &amp; "_ID_"&amp;UPPER(Matrix!$D$6) &amp; "_" &amp; $C22,"")</f>
        <v/>
      </c>
      <c r="F22" s="124"/>
      <c r="G22" s="75" t="str">
        <f t="shared" si="0"/>
        <v/>
      </c>
      <c r="O22" s="185">
        <v>18</v>
      </c>
      <c r="P22" s="157"/>
      <c r="Q22" s="157"/>
      <c r="R22" s="125"/>
    </row>
    <row r="23" spans="2:18">
      <c r="B23" s="185">
        <v>19</v>
      </c>
      <c r="C23" s="157"/>
      <c r="D23" s="25"/>
      <c r="E23" s="75" t="str">
        <f>IF($C23&lt;&gt;"","ALERT_" &amp; D23 &amp; "_ID_"&amp;UPPER(Matrix!$D$6) &amp; "_" &amp; $C23,"")</f>
        <v/>
      </c>
      <c r="F23" s="124"/>
      <c r="G23" s="75" t="str">
        <f t="shared" si="0"/>
        <v/>
      </c>
      <c r="O23" s="185">
        <v>19</v>
      </c>
      <c r="P23" s="157"/>
      <c r="Q23" s="157"/>
      <c r="R23" s="125"/>
    </row>
    <row r="24" spans="2:18">
      <c r="B24" s="185">
        <v>20</v>
      </c>
      <c r="C24" s="157"/>
      <c r="D24" s="25"/>
      <c r="E24" s="75" t="str">
        <f>IF($C24&lt;&gt;"","ALERT_" &amp; D24 &amp; "_ID_"&amp;UPPER(Matrix!$D$6) &amp; "_" &amp; $C24,"")</f>
        <v/>
      </c>
      <c r="F24" s="124"/>
      <c r="G24" s="75" t="str">
        <f t="shared" si="0"/>
        <v/>
      </c>
      <c r="O24" s="185">
        <v>20</v>
      </c>
      <c r="P24" s="157"/>
      <c r="Q24" s="157"/>
      <c r="R24" s="125"/>
    </row>
    <row r="25" spans="2:18">
      <c r="B25" s="185">
        <v>21</v>
      </c>
      <c r="C25" s="157"/>
      <c r="D25" s="25"/>
      <c r="E25" s="75" t="str">
        <f>IF($C25&lt;&gt;"","ALERT_" &amp; D25 &amp; "_ID_"&amp;UPPER(Matrix!$D$6) &amp; "_" &amp; $C25,"")</f>
        <v/>
      </c>
      <c r="F25" s="124"/>
      <c r="G25" s="75" t="str">
        <f t="shared" si="0"/>
        <v/>
      </c>
      <c r="O25" s="185">
        <v>21</v>
      </c>
      <c r="P25" s="157"/>
      <c r="Q25" s="157"/>
      <c r="R25" s="125"/>
    </row>
    <row r="26" spans="2:18">
      <c r="B26" s="185">
        <v>22</v>
      </c>
      <c r="C26" s="157"/>
      <c r="D26" s="25"/>
      <c r="E26" s="75" t="str">
        <f>IF($C26&lt;&gt;"","ALERT_" &amp; D26 &amp; "_ID_"&amp;UPPER(Matrix!$D$6) &amp; "_" &amp; $C26,"")</f>
        <v/>
      </c>
      <c r="F26" s="124"/>
      <c r="G26" s="75" t="str">
        <f t="shared" si="0"/>
        <v/>
      </c>
      <c r="O26" s="185">
        <v>22</v>
      </c>
      <c r="P26" s="157"/>
      <c r="Q26" s="157"/>
      <c r="R26" s="125"/>
    </row>
    <row r="27" spans="2:18">
      <c r="B27" s="185">
        <v>23</v>
      </c>
      <c r="C27" s="157"/>
      <c r="D27" s="25"/>
      <c r="E27" s="75" t="str">
        <f>IF($C27&lt;&gt;"","ALERT_" &amp; D27 &amp; "_ID_"&amp;UPPER(Matrix!$D$6) &amp; "_" &amp; $C27,"")</f>
        <v/>
      </c>
      <c r="F27" s="124"/>
      <c r="G27" s="75" t="str">
        <f t="shared" si="0"/>
        <v/>
      </c>
      <c r="O27" s="185">
        <v>23</v>
      </c>
      <c r="P27" s="157"/>
      <c r="Q27" s="157"/>
      <c r="R27" s="125"/>
    </row>
    <row r="28" spans="2:18">
      <c r="B28" s="185">
        <v>24</v>
      </c>
      <c r="C28" s="157"/>
      <c r="D28" s="25"/>
      <c r="E28" s="75" t="str">
        <f>IF($C28&lt;&gt;"","ALERT_" &amp; D28 &amp; "_ID_"&amp;UPPER(Matrix!$D$6) &amp; "_" &amp; $C28,"")</f>
        <v/>
      </c>
      <c r="F28" s="124"/>
      <c r="G28" s="75" t="str">
        <f t="shared" si="0"/>
        <v/>
      </c>
      <c r="O28" s="185">
        <v>24</v>
      </c>
      <c r="P28" s="157"/>
      <c r="Q28" s="157"/>
      <c r="R28" s="125"/>
    </row>
    <row r="29" spans="2:18" ht="14.25" thickBot="1">
      <c r="B29" s="186">
        <v>25</v>
      </c>
      <c r="C29" s="155"/>
      <c r="D29" s="62"/>
      <c r="E29" s="76" t="str">
        <f>IF($C29&lt;&gt;"","ALERT_" &amp; D29 &amp; "_ID_"&amp;UPPER(Matrix!$D$6) &amp; "_" &amp; $C29,"")</f>
        <v/>
      </c>
      <c r="F29" s="126"/>
      <c r="G29" s="76" t="str">
        <f t="shared" si="0"/>
        <v/>
      </c>
      <c r="O29" s="186">
        <v>25</v>
      </c>
      <c r="P29" s="155"/>
      <c r="Q29" s="155"/>
      <c r="R29" s="127"/>
    </row>
    <row r="32" spans="2:18" ht="14.25" thickBot="1">
      <c r="B32" t="s">
        <v>188</v>
      </c>
      <c r="O32" t="s">
        <v>185</v>
      </c>
    </row>
    <row r="33" spans="2:18" ht="14.25" thickBot="1">
      <c r="B33" s="153" t="s">
        <v>37</v>
      </c>
      <c r="C33" s="114" t="s">
        <v>177</v>
      </c>
      <c r="D33" s="114" t="s">
        <v>182</v>
      </c>
      <c r="E33" s="115" t="s">
        <v>180</v>
      </c>
      <c r="F33" s="191" t="s">
        <v>181</v>
      </c>
      <c r="G33" s="191" t="s">
        <v>192</v>
      </c>
      <c r="O33" s="153" t="s">
        <v>37</v>
      </c>
      <c r="P33" s="190" t="s">
        <v>174</v>
      </c>
      <c r="Q33" s="190" t="s">
        <v>190</v>
      </c>
      <c r="R33" s="191" t="s">
        <v>178</v>
      </c>
    </row>
    <row r="34" spans="2:18" ht="14.25" hidden="1" thickTop="1">
      <c r="B34" s="182">
        <v>0</v>
      </c>
      <c r="C34" s="183" t="s">
        <v>163</v>
      </c>
      <c r="D34" s="183"/>
      <c r="E34" s="184"/>
      <c r="F34" s="193" t="s">
        <v>163</v>
      </c>
      <c r="G34" s="83"/>
      <c r="O34" s="192">
        <v>0</v>
      </c>
      <c r="P34" s="189" t="s">
        <v>163</v>
      </c>
      <c r="Q34" s="189" t="s">
        <v>163</v>
      </c>
      <c r="R34" s="193" t="s">
        <v>163</v>
      </c>
    </row>
    <row r="35" spans="2:18" ht="14.25" thickTop="1">
      <c r="B35" s="185">
        <v>1</v>
      </c>
      <c r="C35" s="157"/>
      <c r="D35" s="25"/>
      <c r="E35" s="75" t="str">
        <f>IF($C35&lt;&gt;"","ALERT_" &amp; UPPER(Matrix!$D$6) &amp; "_" &amp; $C35,"")</f>
        <v/>
      </c>
      <c r="F35" s="187"/>
      <c r="G35" s="75" t="str">
        <f>IF(E35&lt;&gt;"",LEN(E35),"")</f>
        <v/>
      </c>
      <c r="O35" s="185">
        <v>1</v>
      </c>
      <c r="P35" s="157"/>
      <c r="Q35" s="157"/>
      <c r="R35" s="187"/>
    </row>
    <row r="36" spans="2:18">
      <c r="B36" s="185">
        <v>2</v>
      </c>
      <c r="C36" s="157"/>
      <c r="D36" s="25"/>
      <c r="E36" s="75" t="str">
        <f>IF($C36&lt;&gt;"","ALERT_" &amp; UPPER(Matrix!$D$6) &amp; "_" &amp; $C36,"")</f>
        <v/>
      </c>
      <c r="F36" s="187"/>
      <c r="G36" s="75" t="str">
        <f>IF(E36&lt;&gt;"",LEN(E36),"")</f>
        <v/>
      </c>
      <c r="O36" s="185">
        <v>2</v>
      </c>
      <c r="P36" s="157"/>
      <c r="Q36" s="157"/>
      <c r="R36" s="187"/>
    </row>
    <row r="37" spans="2:18">
      <c r="B37" s="185">
        <v>3</v>
      </c>
      <c r="C37" s="157"/>
      <c r="D37" s="25"/>
      <c r="E37" s="75" t="str">
        <f>IF($C37&lt;&gt;"","ALERT_" &amp; UPPER(Matrix!$D$6) &amp; "_" &amp; $C37,"")</f>
        <v/>
      </c>
      <c r="F37" s="187"/>
      <c r="G37" s="75" t="str">
        <f>IF(E37&lt;&gt;"",LEN(E37),"")</f>
        <v/>
      </c>
      <c r="O37" s="185">
        <v>3</v>
      </c>
      <c r="P37" s="157"/>
      <c r="Q37" s="157"/>
      <c r="R37" s="187"/>
    </row>
    <row r="38" spans="2:18">
      <c r="B38" s="185">
        <v>4</v>
      </c>
      <c r="C38" s="157"/>
      <c r="D38" s="25"/>
      <c r="E38" s="75" t="str">
        <f>IF($C38&lt;&gt;"","ALERT_" &amp; UPPER(Matrix!$D$6) &amp; "_" &amp; $C38,"")</f>
        <v/>
      </c>
      <c r="F38" s="187"/>
      <c r="G38" s="75" t="str">
        <f t="shared" ref="G38:G59" si="1">IF(E38&lt;&gt;"",LEN(E38),"")</f>
        <v/>
      </c>
      <c r="O38" s="185">
        <v>4</v>
      </c>
      <c r="P38" s="157"/>
      <c r="Q38" s="157"/>
      <c r="R38" s="187"/>
    </row>
    <row r="39" spans="2:18">
      <c r="B39" s="185">
        <v>5</v>
      </c>
      <c r="C39" s="157"/>
      <c r="D39" s="25"/>
      <c r="E39" s="75" t="str">
        <f>IF($C39&lt;&gt;"","ALERT_" &amp; UPPER(Matrix!$D$6) &amp; "_" &amp; $C39,"")</f>
        <v/>
      </c>
      <c r="F39" s="187"/>
      <c r="G39" s="75" t="str">
        <f t="shared" si="1"/>
        <v/>
      </c>
      <c r="O39" s="185">
        <v>5</v>
      </c>
      <c r="P39" s="157"/>
      <c r="Q39" s="157"/>
      <c r="R39" s="187"/>
    </row>
    <row r="40" spans="2:18">
      <c r="B40" s="185">
        <v>6</v>
      </c>
      <c r="C40" s="157"/>
      <c r="D40" s="25"/>
      <c r="E40" s="75" t="str">
        <f>IF($C40&lt;&gt;"","ALERT_" &amp; UPPER(Matrix!$D$6) &amp; "_" &amp; $C40,"")</f>
        <v/>
      </c>
      <c r="F40" s="187"/>
      <c r="G40" s="75" t="str">
        <f t="shared" si="1"/>
        <v/>
      </c>
      <c r="O40" s="185">
        <v>6</v>
      </c>
      <c r="P40" s="157"/>
      <c r="Q40" s="157"/>
      <c r="R40" s="187"/>
    </row>
    <row r="41" spans="2:18">
      <c r="B41" s="185">
        <v>7</v>
      </c>
      <c r="C41" s="157"/>
      <c r="D41" s="25"/>
      <c r="E41" s="75" t="str">
        <f>IF($C41&lt;&gt;"","ALERT_" &amp; UPPER(Matrix!$D$6) &amp; "_" &amp; $C41,"")</f>
        <v/>
      </c>
      <c r="F41" s="187"/>
      <c r="G41" s="75" t="str">
        <f t="shared" si="1"/>
        <v/>
      </c>
      <c r="O41" s="185">
        <v>7</v>
      </c>
      <c r="P41" s="157"/>
      <c r="Q41" s="157"/>
      <c r="R41" s="187"/>
    </row>
    <row r="42" spans="2:18">
      <c r="B42" s="185">
        <v>8</v>
      </c>
      <c r="C42" s="157"/>
      <c r="D42" s="25"/>
      <c r="E42" s="75" t="str">
        <f>IF($C42&lt;&gt;"","ALERT_" &amp; UPPER(Matrix!$D$6) &amp; "_" &amp; $C42,"")</f>
        <v/>
      </c>
      <c r="F42" s="187"/>
      <c r="G42" s="75" t="str">
        <f t="shared" si="1"/>
        <v/>
      </c>
      <c r="O42" s="185">
        <v>8</v>
      </c>
      <c r="P42" s="157"/>
      <c r="Q42" s="157"/>
      <c r="R42" s="187"/>
    </row>
    <row r="43" spans="2:18">
      <c r="B43" s="185">
        <v>9</v>
      </c>
      <c r="C43" s="157"/>
      <c r="D43" s="25"/>
      <c r="E43" s="75" t="str">
        <f>IF($C43&lt;&gt;"","ALERT_" &amp; UPPER(Matrix!$D$6) &amp; "_" &amp; $C43,"")</f>
        <v/>
      </c>
      <c r="F43" s="187"/>
      <c r="G43" s="75" t="str">
        <f t="shared" si="1"/>
        <v/>
      </c>
      <c r="O43" s="185">
        <v>9</v>
      </c>
      <c r="P43" s="157"/>
      <c r="Q43" s="157"/>
      <c r="R43" s="187"/>
    </row>
    <row r="44" spans="2:18">
      <c r="B44" s="185">
        <v>10</v>
      </c>
      <c r="C44" s="157"/>
      <c r="D44" s="25"/>
      <c r="E44" s="75" t="str">
        <f>IF($C44&lt;&gt;"","ALERT_" &amp; UPPER(Matrix!$D$6) &amp; "_" &amp; $C44,"")</f>
        <v/>
      </c>
      <c r="F44" s="187"/>
      <c r="G44" s="75" t="str">
        <f t="shared" si="1"/>
        <v/>
      </c>
      <c r="O44" s="185">
        <v>10</v>
      </c>
      <c r="P44" s="157"/>
      <c r="Q44" s="157"/>
      <c r="R44" s="187"/>
    </row>
    <row r="45" spans="2:18">
      <c r="B45" s="185">
        <v>11</v>
      </c>
      <c r="C45" s="157"/>
      <c r="D45" s="25"/>
      <c r="E45" s="75" t="str">
        <f>IF($C45&lt;&gt;"","ALERT_" &amp; UPPER(Matrix!$D$6) &amp; "_" &amp; $C45,"")</f>
        <v/>
      </c>
      <c r="F45" s="187"/>
      <c r="G45" s="75" t="str">
        <f t="shared" si="1"/>
        <v/>
      </c>
      <c r="O45" s="185">
        <v>11</v>
      </c>
      <c r="P45" s="157"/>
      <c r="Q45" s="157"/>
      <c r="R45" s="187"/>
    </row>
    <row r="46" spans="2:18">
      <c r="B46" s="185">
        <v>12</v>
      </c>
      <c r="C46" s="157"/>
      <c r="D46" s="25"/>
      <c r="E46" s="75" t="str">
        <f>IF($C46&lt;&gt;"","ALERT_" &amp; UPPER(Matrix!$D$6) &amp; "_" &amp; $C46,"")</f>
        <v/>
      </c>
      <c r="F46" s="187"/>
      <c r="G46" s="75" t="str">
        <f t="shared" si="1"/>
        <v/>
      </c>
      <c r="O46" s="185">
        <v>12</v>
      </c>
      <c r="P46" s="157"/>
      <c r="Q46" s="157"/>
      <c r="R46" s="187"/>
    </row>
    <row r="47" spans="2:18">
      <c r="B47" s="185">
        <v>13</v>
      </c>
      <c r="C47" s="157"/>
      <c r="D47" s="25"/>
      <c r="E47" s="75" t="str">
        <f>IF($C47&lt;&gt;"","ALERT_" &amp; UPPER(Matrix!$D$6) &amp; "_" &amp; $C47,"")</f>
        <v/>
      </c>
      <c r="F47" s="187"/>
      <c r="G47" s="75" t="str">
        <f t="shared" si="1"/>
        <v/>
      </c>
      <c r="O47" s="185">
        <v>13</v>
      </c>
      <c r="P47" s="157"/>
      <c r="Q47" s="157"/>
      <c r="R47" s="187"/>
    </row>
    <row r="48" spans="2:18">
      <c r="B48" s="185">
        <v>14</v>
      </c>
      <c r="C48" s="157"/>
      <c r="D48" s="25"/>
      <c r="E48" s="75" t="str">
        <f>IF($C48&lt;&gt;"","ALERT_" &amp; UPPER(Matrix!$D$6) &amp; "_" &amp; $C48,"")</f>
        <v/>
      </c>
      <c r="F48" s="187"/>
      <c r="G48" s="75" t="str">
        <f t="shared" si="1"/>
        <v/>
      </c>
      <c r="O48" s="185">
        <v>14</v>
      </c>
      <c r="P48" s="157"/>
      <c r="Q48" s="157"/>
      <c r="R48" s="187"/>
    </row>
    <row r="49" spans="2:18">
      <c r="B49" s="185">
        <v>15</v>
      </c>
      <c r="C49" s="157"/>
      <c r="D49" s="25"/>
      <c r="E49" s="75" t="str">
        <f>IF($C49&lt;&gt;"","ALERT_" &amp; UPPER(Matrix!$D$6) &amp; "_" &amp; $C49,"")</f>
        <v/>
      </c>
      <c r="F49" s="187"/>
      <c r="G49" s="75" t="str">
        <f t="shared" si="1"/>
        <v/>
      </c>
      <c r="O49" s="185">
        <v>15</v>
      </c>
      <c r="P49" s="157"/>
      <c r="Q49" s="157"/>
      <c r="R49" s="187"/>
    </row>
    <row r="50" spans="2:18">
      <c r="B50" s="185">
        <v>16</v>
      </c>
      <c r="C50" s="157"/>
      <c r="D50" s="25"/>
      <c r="E50" s="75" t="str">
        <f>IF($C50&lt;&gt;"","ALERT_" &amp; UPPER(Matrix!$D$6) &amp; "_" &amp; $C50,"")</f>
        <v/>
      </c>
      <c r="F50" s="187"/>
      <c r="G50" s="75" t="str">
        <f t="shared" si="1"/>
        <v/>
      </c>
      <c r="O50" s="185">
        <v>16</v>
      </c>
      <c r="P50" s="157"/>
      <c r="Q50" s="157"/>
      <c r="R50" s="187"/>
    </row>
    <row r="51" spans="2:18">
      <c r="B51" s="185">
        <v>17</v>
      </c>
      <c r="C51" s="157"/>
      <c r="D51" s="25"/>
      <c r="E51" s="75" t="str">
        <f>IF($C51&lt;&gt;"","ALERT_" &amp; UPPER(Matrix!$D$6) &amp; "_" &amp; $C51,"")</f>
        <v/>
      </c>
      <c r="F51" s="187"/>
      <c r="G51" s="75" t="str">
        <f t="shared" si="1"/>
        <v/>
      </c>
      <c r="O51" s="185">
        <v>17</v>
      </c>
      <c r="P51" s="157"/>
      <c r="Q51" s="157"/>
      <c r="R51" s="187"/>
    </row>
    <row r="52" spans="2:18">
      <c r="B52" s="185">
        <v>18</v>
      </c>
      <c r="C52" s="157"/>
      <c r="D52" s="25"/>
      <c r="E52" s="75" t="str">
        <f>IF($C52&lt;&gt;"","ALERT_" &amp; UPPER(Matrix!$D$6) &amp; "_" &amp; $C52,"")</f>
        <v/>
      </c>
      <c r="F52" s="187"/>
      <c r="G52" s="75" t="str">
        <f t="shared" si="1"/>
        <v/>
      </c>
      <c r="O52" s="185">
        <v>18</v>
      </c>
      <c r="P52" s="157"/>
      <c r="Q52" s="157"/>
      <c r="R52" s="187"/>
    </row>
    <row r="53" spans="2:18">
      <c r="B53" s="185">
        <v>19</v>
      </c>
      <c r="C53" s="157"/>
      <c r="D53" s="25"/>
      <c r="E53" s="75" t="str">
        <f>IF($C53&lt;&gt;"","ALERT_" &amp; UPPER(Matrix!$D$6) &amp; "_" &amp; $C53,"")</f>
        <v/>
      </c>
      <c r="F53" s="187"/>
      <c r="G53" s="75" t="str">
        <f t="shared" si="1"/>
        <v/>
      </c>
      <c r="O53" s="185">
        <v>19</v>
      </c>
      <c r="P53" s="157"/>
      <c r="Q53" s="157"/>
      <c r="R53" s="187"/>
    </row>
    <row r="54" spans="2:18">
      <c r="B54" s="185">
        <v>20</v>
      </c>
      <c r="C54" s="157"/>
      <c r="D54" s="25"/>
      <c r="E54" s="75" t="str">
        <f>IF($C54&lt;&gt;"","ALERT_" &amp; UPPER(Matrix!$D$6) &amp; "_" &amp; $C54,"")</f>
        <v/>
      </c>
      <c r="F54" s="187"/>
      <c r="G54" s="75" t="str">
        <f t="shared" si="1"/>
        <v/>
      </c>
      <c r="O54" s="185">
        <v>20</v>
      </c>
      <c r="P54" s="157"/>
      <c r="Q54" s="157"/>
      <c r="R54" s="187"/>
    </row>
    <row r="55" spans="2:18">
      <c r="B55" s="185">
        <v>21</v>
      </c>
      <c r="C55" s="157"/>
      <c r="D55" s="25"/>
      <c r="E55" s="75" t="str">
        <f>IF($C55&lt;&gt;"","ALERT_" &amp; UPPER(Matrix!$D$6) &amp; "_" &amp; $C55,"")</f>
        <v/>
      </c>
      <c r="F55" s="187"/>
      <c r="G55" s="75" t="str">
        <f t="shared" si="1"/>
        <v/>
      </c>
      <c r="O55" s="185">
        <v>21</v>
      </c>
      <c r="P55" s="157"/>
      <c r="Q55" s="157"/>
      <c r="R55" s="187"/>
    </row>
    <row r="56" spans="2:18">
      <c r="B56" s="185">
        <v>22</v>
      </c>
      <c r="C56" s="157"/>
      <c r="D56" s="25"/>
      <c r="E56" s="75" t="str">
        <f>IF($C56&lt;&gt;"","ALERT_" &amp; UPPER(Matrix!$D$6) &amp; "_" &amp; $C56,"")</f>
        <v/>
      </c>
      <c r="F56" s="187"/>
      <c r="G56" s="75" t="str">
        <f t="shared" si="1"/>
        <v/>
      </c>
      <c r="O56" s="185">
        <v>22</v>
      </c>
      <c r="P56" s="157"/>
      <c r="Q56" s="157"/>
      <c r="R56" s="187"/>
    </row>
    <row r="57" spans="2:18">
      <c r="B57" s="185">
        <v>23</v>
      </c>
      <c r="C57" s="157"/>
      <c r="D57" s="25"/>
      <c r="E57" s="75" t="str">
        <f>IF($C57&lt;&gt;"","ALERT_" &amp; UPPER(Matrix!$D$6) &amp; "_" &amp; $C57,"")</f>
        <v/>
      </c>
      <c r="F57" s="187"/>
      <c r="G57" s="75" t="str">
        <f t="shared" si="1"/>
        <v/>
      </c>
      <c r="O57" s="185">
        <v>23</v>
      </c>
      <c r="P57" s="157"/>
      <c r="Q57" s="157"/>
      <c r="R57" s="187"/>
    </row>
    <row r="58" spans="2:18">
      <c r="B58" s="185">
        <v>24</v>
      </c>
      <c r="C58" s="157"/>
      <c r="D58" s="25"/>
      <c r="E58" s="75" t="str">
        <f>IF($C58&lt;&gt;"","ALERT_" &amp; UPPER(Matrix!$D$6) &amp; "_" &amp; $C58,"")</f>
        <v/>
      </c>
      <c r="F58" s="187"/>
      <c r="G58" s="75" t="str">
        <f t="shared" si="1"/>
        <v/>
      </c>
      <c r="O58" s="185">
        <v>24</v>
      </c>
      <c r="P58" s="157"/>
      <c r="Q58" s="157"/>
      <c r="R58" s="187"/>
    </row>
    <row r="59" spans="2:18" ht="14.25" thickBot="1">
      <c r="B59" s="186">
        <v>25</v>
      </c>
      <c r="C59" s="155"/>
      <c r="D59" s="62"/>
      <c r="E59" s="76" t="str">
        <f>IF($C59&lt;&gt;"","ALERT_" &amp; UPPER(Matrix!$D$6) &amp; "_" &amp; $C59,"")</f>
        <v/>
      </c>
      <c r="F59" s="188"/>
      <c r="G59" s="76" t="str">
        <f t="shared" si="1"/>
        <v/>
      </c>
      <c r="O59" s="186">
        <v>25</v>
      </c>
      <c r="P59" s="155"/>
      <c r="Q59" s="155"/>
      <c r="R59" s="188"/>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opLeftCell="D1" zoomScale="85" zoomScaleNormal="85" workbookViewId="0">
      <pane ySplit="2" topLeftCell="A4" activePane="bottomLeft" state="frozen"/>
      <selection pane="bottomLeft" activeCell="N18" sqref="N18"/>
    </sheetView>
  </sheetViews>
  <sheetFormatPr defaultRowHeight="13.5"/>
  <cols>
    <col min="2" max="2" width="28.375" customWidth="1"/>
    <col min="3" max="3" width="15.875" customWidth="1"/>
    <col min="5" max="5" width="12.375" customWidth="1"/>
    <col min="6" max="6" width="19.75" customWidth="1"/>
    <col min="7" max="7" width="12.375" customWidth="1"/>
    <col min="8" max="8" width="34.875" customWidth="1"/>
    <col min="9" max="9" width="12.375" customWidth="1"/>
    <col min="10" max="10" width="69" customWidth="1"/>
    <col min="11" max="11" width="12.375" customWidth="1"/>
    <col min="12" max="12" width="16.125" customWidth="1"/>
    <col min="14" max="14" width="38.125" customWidth="1"/>
    <col min="15" max="15" width="57.125" hidden="1" customWidth="1"/>
    <col min="21" max="21" width="13" hidden="1" customWidth="1"/>
  </cols>
  <sheetData>
    <row r="1" spans="2:21" ht="14.25" thickBot="1">
      <c r="C1" s="100" t="s">
        <v>104</v>
      </c>
    </row>
    <row r="2" spans="2:21" ht="14.25" thickBot="1">
      <c r="B2" s="108" t="s">
        <v>61</v>
      </c>
      <c r="C2" s="109" t="s">
        <v>122</v>
      </c>
      <c r="D2" s="110" t="s">
        <v>55</v>
      </c>
      <c r="E2" s="111" t="s">
        <v>56</v>
      </c>
      <c r="F2" s="112" t="s">
        <v>23</v>
      </c>
      <c r="G2" s="111" t="s">
        <v>57</v>
      </c>
      <c r="H2" s="112" t="s">
        <v>25</v>
      </c>
      <c r="I2" s="111" t="s">
        <v>58</v>
      </c>
      <c r="J2" s="112" t="s">
        <v>160</v>
      </c>
      <c r="K2" s="111" t="s">
        <v>59</v>
      </c>
      <c r="L2" s="112" t="s">
        <v>26</v>
      </c>
      <c r="M2" s="109" t="s">
        <v>60</v>
      </c>
      <c r="N2" s="112" t="s">
        <v>117</v>
      </c>
      <c r="O2" s="128" t="s">
        <v>83</v>
      </c>
    </row>
    <row r="3" spans="2:21" ht="15" hidden="1" thickTop="1" thickBot="1">
      <c r="B3" s="26"/>
      <c r="C3" s="59" t="s">
        <v>108</v>
      </c>
      <c r="D3" s="121"/>
      <c r="E3" s="12"/>
      <c r="F3" s="14"/>
      <c r="G3" s="12"/>
      <c r="H3" s="14"/>
      <c r="I3" s="12"/>
      <c r="J3" s="14"/>
      <c r="K3" s="12"/>
      <c r="L3" s="14"/>
      <c r="M3" s="60"/>
      <c r="N3" s="117"/>
      <c r="O3" s="129"/>
      <c r="U3" s="104" t="s">
        <v>98</v>
      </c>
    </row>
    <row r="4" spans="2:21" ht="14.25" thickTop="1">
      <c r="B4" s="26" t="s">
        <v>488</v>
      </c>
      <c r="C4" s="59" t="s">
        <v>493</v>
      </c>
      <c r="D4" s="121">
        <v>0</v>
      </c>
      <c r="E4" s="122" t="s">
        <v>126</v>
      </c>
      <c r="F4" s="123" t="s">
        <v>494</v>
      </c>
      <c r="G4" s="122" t="s">
        <v>126</v>
      </c>
      <c r="H4" s="123" t="s">
        <v>31</v>
      </c>
      <c r="I4" s="122" t="s">
        <v>126</v>
      </c>
      <c r="J4" s="123" t="s">
        <v>31</v>
      </c>
      <c r="K4" s="122" t="s">
        <v>126</v>
      </c>
      <c r="L4" s="123" t="s">
        <v>31</v>
      </c>
      <c r="M4" s="60">
        <f ca="1">LEN(N4)</f>
        <v>26</v>
      </c>
      <c r="N4" s="117" t="str">
        <f ca="1">VLOOKUP($B4,Matrix!$H$13:$I$37,2,FALSE)&amp;"_"&amp;C4</f>
        <v>ALERT_REQ_S_LCA_TT_L_ON_GY</v>
      </c>
      <c r="O4" s="129" t="str">
        <f t="shared" ref="O4:O35" ca="1" si="0">"#define "&amp;N4&amp;REPT(" ",48-M4)&amp;"("&amp;D4&amp;"U)"</f>
        <v>#define ALERT_REQ_S_LCA_TT_L_ON_GY                      (0U)</v>
      </c>
      <c r="U4" s="104" t="s">
        <v>98</v>
      </c>
    </row>
    <row r="5" spans="2:21">
      <c r="B5" s="26" t="s">
        <v>488</v>
      </c>
      <c r="C5" s="25" t="s">
        <v>449</v>
      </c>
      <c r="D5" s="124">
        <v>1</v>
      </c>
      <c r="E5" s="26" t="s">
        <v>126</v>
      </c>
      <c r="F5" s="125" t="s">
        <v>196</v>
      </c>
      <c r="G5" s="26" t="s">
        <v>126</v>
      </c>
      <c r="H5" s="125" t="s">
        <v>31</v>
      </c>
      <c r="I5" s="26" t="s">
        <v>126</v>
      </c>
      <c r="J5" s="125" t="s">
        <v>31</v>
      </c>
      <c r="K5" s="26" t="s">
        <v>126</v>
      </c>
      <c r="L5" s="125" t="s">
        <v>31</v>
      </c>
      <c r="M5" s="55">
        <f t="shared" ref="M5:M68" ca="1" si="1">LEN(N5)</f>
        <v>25</v>
      </c>
      <c r="N5" s="117" t="str">
        <f ca="1">VLOOKUP($B5,Matrix!$H$13:$I$37,2,FALSE)&amp;"_"&amp;C5</f>
        <v>ALERT_REQ_S_LCA_TT_L_ON_W</v>
      </c>
      <c r="O5" s="130" t="str">
        <f t="shared" ca="1" si="0"/>
        <v>#define ALERT_REQ_S_LCA_TT_L_ON_W                       (1U)</v>
      </c>
      <c r="U5" s="102" t="s">
        <v>99</v>
      </c>
    </row>
    <row r="6" spans="2:21">
      <c r="B6" s="26" t="s">
        <v>488</v>
      </c>
      <c r="C6" s="59" t="s">
        <v>450</v>
      </c>
      <c r="D6" s="121">
        <v>2</v>
      </c>
      <c r="E6" s="26" t="s">
        <v>126</v>
      </c>
      <c r="F6" s="125" t="s">
        <v>197</v>
      </c>
      <c r="G6" s="26" t="s">
        <v>126</v>
      </c>
      <c r="H6" s="125" t="s">
        <v>31</v>
      </c>
      <c r="I6" s="26" t="s">
        <v>126</v>
      </c>
      <c r="J6" s="125" t="s">
        <v>31</v>
      </c>
      <c r="K6" s="26" t="s">
        <v>126</v>
      </c>
      <c r="L6" s="125" t="s">
        <v>31</v>
      </c>
      <c r="M6" s="55">
        <f t="shared" ca="1" si="1"/>
        <v>25</v>
      </c>
      <c r="N6" s="117" t="str">
        <f ca="1">VLOOKUP($B6,Matrix!$H$13:$I$37,2,FALSE)&amp;"_"&amp;C6</f>
        <v>ALERT_REQ_S_LCA_TT_L_ON_G</v>
      </c>
      <c r="O6" s="130" t="str">
        <f t="shared" ca="1" si="0"/>
        <v>#define ALERT_REQ_S_LCA_TT_L_ON_G                       (2U)</v>
      </c>
      <c r="U6" s="33" t="s">
        <v>100</v>
      </c>
    </row>
    <row r="7" spans="2:21">
      <c r="B7" s="26" t="s">
        <v>495</v>
      </c>
      <c r="C7" s="59" t="s">
        <v>493</v>
      </c>
      <c r="D7" s="124">
        <v>0</v>
      </c>
      <c r="E7" s="122" t="s">
        <v>126</v>
      </c>
      <c r="F7" s="123" t="s">
        <v>494</v>
      </c>
      <c r="G7" s="26" t="s">
        <v>126</v>
      </c>
      <c r="H7" s="125" t="s">
        <v>31</v>
      </c>
      <c r="I7" s="26" t="s">
        <v>126</v>
      </c>
      <c r="J7" s="125" t="s">
        <v>31</v>
      </c>
      <c r="K7" s="26" t="s">
        <v>126</v>
      </c>
      <c r="L7" s="125" t="s">
        <v>31</v>
      </c>
      <c r="M7" s="55">
        <f t="shared" ca="1" si="1"/>
        <v>26</v>
      </c>
      <c r="N7" s="117" t="str">
        <f ca="1">VLOOKUP($B7,Matrix!$H$13:$I$37,2,FALSE)&amp;"_"&amp;C7</f>
        <v>ALERT_REQ_S_LCA_TT_R_ON_GY</v>
      </c>
      <c r="O7" s="130" t="str">
        <f t="shared" ca="1" si="0"/>
        <v>#define ALERT_REQ_S_LCA_TT_R_ON_GY                      (0U)</v>
      </c>
      <c r="U7" s="33" t="s">
        <v>101</v>
      </c>
    </row>
    <row r="8" spans="2:21">
      <c r="B8" s="26" t="s">
        <v>495</v>
      </c>
      <c r="C8" s="25" t="s">
        <v>449</v>
      </c>
      <c r="D8" s="124">
        <v>1</v>
      </c>
      <c r="E8" s="26" t="s">
        <v>126</v>
      </c>
      <c r="F8" s="125" t="s">
        <v>196</v>
      </c>
      <c r="G8" s="26" t="s">
        <v>126</v>
      </c>
      <c r="H8" s="125" t="s">
        <v>31</v>
      </c>
      <c r="I8" s="26" t="s">
        <v>126</v>
      </c>
      <c r="J8" s="125" t="s">
        <v>31</v>
      </c>
      <c r="K8" s="26" t="s">
        <v>126</v>
      </c>
      <c r="L8" s="125" t="s">
        <v>31</v>
      </c>
      <c r="M8" s="55">
        <f t="shared" ca="1" si="1"/>
        <v>25</v>
      </c>
      <c r="N8" s="117" t="str">
        <f ca="1">VLOOKUP($B8,Matrix!$H$13:$I$37,2,FALSE)&amp;"_"&amp;C8</f>
        <v>ALERT_REQ_S_LCA_TT_R_ON_W</v>
      </c>
      <c r="O8" s="130" t="str">
        <f t="shared" ca="1" si="0"/>
        <v>#define ALERT_REQ_S_LCA_TT_R_ON_W                       (1U)</v>
      </c>
      <c r="U8" s="33" t="s">
        <v>102</v>
      </c>
    </row>
    <row r="9" spans="2:21">
      <c r="B9" s="26" t="s">
        <v>495</v>
      </c>
      <c r="C9" s="59" t="s">
        <v>450</v>
      </c>
      <c r="D9" s="124">
        <v>2</v>
      </c>
      <c r="E9" s="26" t="s">
        <v>126</v>
      </c>
      <c r="F9" s="125" t="s">
        <v>197</v>
      </c>
      <c r="G9" s="26" t="s">
        <v>126</v>
      </c>
      <c r="H9" s="125" t="s">
        <v>31</v>
      </c>
      <c r="I9" s="26" t="s">
        <v>126</v>
      </c>
      <c r="J9" s="125" t="s">
        <v>31</v>
      </c>
      <c r="K9" s="26" t="s">
        <v>126</v>
      </c>
      <c r="L9" s="125" t="s">
        <v>31</v>
      </c>
      <c r="M9" s="55">
        <f t="shared" ca="1" si="1"/>
        <v>25</v>
      </c>
      <c r="N9" s="117" t="str">
        <f ca="1">VLOOKUP($B9,Matrix!$H$13:$I$37,2,FALSE)&amp;"_"&amp;C9</f>
        <v>ALERT_REQ_S_LCA_TT_R_ON_G</v>
      </c>
      <c r="O9" s="130" t="str">
        <f t="shared" ca="1" si="0"/>
        <v>#define ALERT_REQ_S_LCA_TT_R_ON_G                       (2U)</v>
      </c>
      <c r="U9" s="33" t="s">
        <v>103</v>
      </c>
    </row>
    <row r="10" spans="2:21">
      <c r="B10" s="26" t="s">
        <v>297</v>
      </c>
      <c r="C10" s="25" t="s">
        <v>282</v>
      </c>
      <c r="D10" s="124">
        <v>0</v>
      </c>
      <c r="E10" s="26" t="s">
        <v>126</v>
      </c>
      <c r="F10" s="125" t="s">
        <v>31</v>
      </c>
      <c r="G10" s="26" t="s">
        <v>126</v>
      </c>
      <c r="H10" s="125" t="s">
        <v>529</v>
      </c>
      <c r="I10" s="26" t="s">
        <v>126</v>
      </c>
      <c r="J10" s="125" t="s">
        <v>31</v>
      </c>
      <c r="K10" s="26" t="s">
        <v>126</v>
      </c>
      <c r="L10" s="125" t="s">
        <v>31</v>
      </c>
      <c r="M10" s="55">
        <f t="shared" ca="1" si="1"/>
        <v>28</v>
      </c>
      <c r="N10" s="117" t="str">
        <f ca="1">VLOOKUP($B10,Matrix!$H$13:$I$37,2,FALSE)&amp;"_"&amp;C10</f>
        <v>ALERT_REQ_S_LCA_BC_RQ_SINGLE</v>
      </c>
      <c r="O10" s="130" t="str">
        <f t="shared" ca="1" si="0"/>
        <v>#define ALERT_REQ_S_LCA_BC_RQ_SINGLE                    (0U)</v>
      </c>
      <c r="U10" s="33"/>
    </row>
    <row r="11" spans="2:21">
      <c r="B11" s="26" t="s">
        <v>289</v>
      </c>
      <c r="C11" s="25" t="s">
        <v>287</v>
      </c>
      <c r="D11" s="124">
        <v>0</v>
      </c>
      <c r="E11" s="26" t="s">
        <v>126</v>
      </c>
      <c r="F11" s="125" t="s">
        <v>31</v>
      </c>
      <c r="G11" s="26" t="s">
        <v>126</v>
      </c>
      <c r="H11" s="125" t="s">
        <v>530</v>
      </c>
      <c r="I11" s="26" t="s">
        <v>126</v>
      </c>
      <c r="J11" s="125" t="s">
        <v>31</v>
      </c>
      <c r="K11" s="26" t="s">
        <v>126</v>
      </c>
      <c r="L11" s="125" t="s">
        <v>31</v>
      </c>
      <c r="M11" s="55">
        <f t="shared" ca="1" si="1"/>
        <v>28</v>
      </c>
      <c r="N11" s="117" t="str">
        <f ca="1">VLOOKUP($B11,Matrix!$H$13:$I$37,2,FALSE)&amp;"_"&amp;C11</f>
        <v>ALERT_REQ_S_LCA_BC_CL_DOUBLE</v>
      </c>
      <c r="O11" s="130" t="str">
        <f t="shared" ca="1" si="0"/>
        <v>#define ALERT_REQ_S_LCA_BC_CL_DOUBLE                    (0U)</v>
      </c>
      <c r="U11" s="33"/>
    </row>
    <row r="12" spans="2:21">
      <c r="B12" s="26" t="s">
        <v>292</v>
      </c>
      <c r="C12" s="25" t="s">
        <v>405</v>
      </c>
      <c r="D12" s="124">
        <v>0</v>
      </c>
      <c r="E12" s="26" t="s">
        <v>126</v>
      </c>
      <c r="F12" s="125" t="s">
        <v>31</v>
      </c>
      <c r="G12" s="26" t="s">
        <v>126</v>
      </c>
      <c r="H12" s="125" t="s">
        <v>531</v>
      </c>
      <c r="I12" s="26" t="s">
        <v>126</v>
      </c>
      <c r="J12" s="125" t="s">
        <v>31</v>
      </c>
      <c r="K12" s="26" t="s">
        <v>126</v>
      </c>
      <c r="L12" s="125" t="s">
        <v>31</v>
      </c>
      <c r="M12" s="55">
        <f t="shared" ca="1" si="1"/>
        <v>26</v>
      </c>
      <c r="N12" s="117" t="str">
        <f ca="1">VLOOKUP($B12,Matrix!$H$13:$I$37,2,FALSE)&amp;"_"&amp;C12</f>
        <v>ALERT_REQ_S_LCA_BC_VC_CYCL</v>
      </c>
      <c r="O12" s="130" t="str">
        <f t="shared" ca="1" si="0"/>
        <v>#define ALERT_REQ_S_LCA_BC_VC_CYCL                      (0U)</v>
      </c>
      <c r="U12" s="33"/>
    </row>
    <row r="13" spans="2:21" ht="14.25" thickBot="1">
      <c r="B13" s="26" t="s">
        <v>397</v>
      </c>
      <c r="C13" s="25" t="s">
        <v>451</v>
      </c>
      <c r="D13" s="124">
        <v>0</v>
      </c>
      <c r="E13" s="26" t="s">
        <v>126</v>
      </c>
      <c r="F13" s="125" t="s">
        <v>31</v>
      </c>
      <c r="G13" s="26" t="s">
        <v>126</v>
      </c>
      <c r="H13" s="125" t="s">
        <v>31</v>
      </c>
      <c r="I13" s="26" t="s">
        <v>126</v>
      </c>
      <c r="J13" s="125" t="s">
        <v>500</v>
      </c>
      <c r="K13" s="26" t="s">
        <v>126</v>
      </c>
      <c r="L13" s="125" t="s">
        <v>31</v>
      </c>
      <c r="M13" s="55">
        <f t="shared" ca="1" si="1"/>
        <v>28</v>
      </c>
      <c r="N13" s="117" t="str">
        <f ca="1">VLOOKUP($B13,Matrix!$H$13:$I$37,2,FALSE)&amp;"_"&amp;C13</f>
        <v>ALERT_REQ_S_LCA_PD_MG_CANCEL</v>
      </c>
      <c r="O13" s="130" t="str">
        <f t="shared" ca="1" si="0"/>
        <v>#define ALERT_REQ_S_LCA_PD_MG_CANCEL                    (0U)</v>
      </c>
      <c r="U13" s="103"/>
    </row>
    <row r="14" spans="2:21">
      <c r="B14" s="26" t="s">
        <v>397</v>
      </c>
      <c r="C14" s="25" t="s">
        <v>305</v>
      </c>
      <c r="D14" s="124">
        <v>1</v>
      </c>
      <c r="E14" s="26" t="s">
        <v>126</v>
      </c>
      <c r="F14" s="125" t="s">
        <v>31</v>
      </c>
      <c r="G14" s="26" t="s">
        <v>126</v>
      </c>
      <c r="H14" s="125" t="s">
        <v>31</v>
      </c>
      <c r="I14" s="26" t="s">
        <v>126</v>
      </c>
      <c r="J14" s="125" t="s">
        <v>501</v>
      </c>
      <c r="K14" s="26" t="s">
        <v>126</v>
      </c>
      <c r="L14" s="125" t="s">
        <v>31</v>
      </c>
      <c r="M14" s="55">
        <f t="shared" ca="1" si="1"/>
        <v>30</v>
      </c>
      <c r="N14" s="117" t="str">
        <f ca="1">VLOOKUP($B14,Matrix!$H$13:$I$37,2,FALSE)&amp;"_"&amp;C14</f>
        <v>ALERT_REQ_S_LCA_PD_MG_UNAVLBL1</v>
      </c>
      <c r="O14" s="130" t="str">
        <f t="shared" ca="1" si="0"/>
        <v>#define ALERT_REQ_S_LCA_PD_MG_UNAVLBL1                  (1U)</v>
      </c>
    </row>
    <row r="15" spans="2:21">
      <c r="B15" s="26" t="s">
        <v>397</v>
      </c>
      <c r="C15" s="25" t="s">
        <v>307</v>
      </c>
      <c r="D15" s="124">
        <v>2</v>
      </c>
      <c r="E15" s="26" t="s">
        <v>126</v>
      </c>
      <c r="F15" s="125" t="s">
        <v>31</v>
      </c>
      <c r="G15" s="26" t="s">
        <v>126</v>
      </c>
      <c r="H15" s="125" t="s">
        <v>31</v>
      </c>
      <c r="I15" s="26" t="s">
        <v>126</v>
      </c>
      <c r="J15" s="125" t="s">
        <v>502</v>
      </c>
      <c r="K15" s="26" t="s">
        <v>126</v>
      </c>
      <c r="L15" s="125" t="s">
        <v>31</v>
      </c>
      <c r="M15" s="55">
        <f t="shared" ca="1" si="1"/>
        <v>30</v>
      </c>
      <c r="N15" s="117" t="str">
        <f ca="1">VLOOKUP($B15,Matrix!$H$13:$I$37,2,FALSE)&amp;"_"&amp;C15</f>
        <v>ALERT_REQ_S_LCA_PD_MG_UNAVLBL2</v>
      </c>
      <c r="O15" s="130" t="str">
        <f t="shared" ca="1" si="0"/>
        <v>#define ALERT_REQ_S_LCA_PD_MG_UNAVLBL2                  (2U)</v>
      </c>
    </row>
    <row r="16" spans="2:21">
      <c r="B16" s="26" t="s">
        <v>397</v>
      </c>
      <c r="C16" s="25" t="s">
        <v>309</v>
      </c>
      <c r="D16" s="124">
        <v>3</v>
      </c>
      <c r="E16" s="26" t="s">
        <v>126</v>
      </c>
      <c r="F16" s="125" t="s">
        <v>31</v>
      </c>
      <c r="G16" s="26" t="s">
        <v>126</v>
      </c>
      <c r="H16" s="125" t="s">
        <v>31</v>
      </c>
      <c r="I16" s="26" t="s">
        <v>126</v>
      </c>
      <c r="J16" s="125" t="s">
        <v>503</v>
      </c>
      <c r="K16" s="26" t="s">
        <v>126</v>
      </c>
      <c r="L16" s="125" t="s">
        <v>31</v>
      </c>
      <c r="M16" s="55">
        <f t="shared" ca="1" si="1"/>
        <v>30</v>
      </c>
      <c r="N16" s="117" t="str">
        <f ca="1">VLOOKUP($B16,Matrix!$H$13:$I$37,2,FALSE)&amp;"_"&amp;C16</f>
        <v>ALERT_REQ_S_LCA_PD_MG_UNAVLBL3</v>
      </c>
      <c r="O16" s="130" t="str">
        <f t="shared" ca="1" si="0"/>
        <v>#define ALERT_REQ_S_LCA_PD_MG_UNAVLBL3                  (3U)</v>
      </c>
    </row>
    <row r="17" spans="2:15">
      <c r="B17" s="26" t="s">
        <v>397</v>
      </c>
      <c r="C17" s="25" t="s">
        <v>415</v>
      </c>
      <c r="D17" s="124">
        <v>4</v>
      </c>
      <c r="E17" s="26" t="s">
        <v>126</v>
      </c>
      <c r="F17" s="125" t="s">
        <v>31</v>
      </c>
      <c r="G17" s="26" t="s">
        <v>126</v>
      </c>
      <c r="H17" s="125" t="s">
        <v>31</v>
      </c>
      <c r="I17" s="26" t="s">
        <v>126</v>
      </c>
      <c r="J17" s="125" t="s">
        <v>532</v>
      </c>
      <c r="K17" s="26" t="s">
        <v>126</v>
      </c>
      <c r="L17" s="125" t="s">
        <v>31</v>
      </c>
      <c r="M17" s="55">
        <f t="shared" ca="1" si="1"/>
        <v>28</v>
      </c>
      <c r="N17" s="117" t="str">
        <f ca="1">VLOOKUP($B17,Matrix!$H$13:$I$37,2,FALSE)&amp;"_"&amp;C17</f>
        <v>ALERT_REQ_S_LCA_PD_MG_NTHOLD</v>
      </c>
      <c r="O17" s="130" t="str">
        <f t="shared" ca="1" si="0"/>
        <v>#define ALERT_REQ_S_LCA_PD_MG_NTHOLD                    (4U)</v>
      </c>
    </row>
    <row r="18" spans="2:15">
      <c r="B18" s="26" t="s">
        <v>397</v>
      </c>
      <c r="C18" s="25" t="s">
        <v>498</v>
      </c>
      <c r="D18" s="124">
        <v>5</v>
      </c>
      <c r="E18" s="26" t="s">
        <v>126</v>
      </c>
      <c r="F18" s="125" t="s">
        <v>31</v>
      </c>
      <c r="G18" s="26" t="s">
        <v>126</v>
      </c>
      <c r="H18" s="125" t="s">
        <v>31</v>
      </c>
      <c r="I18" s="26" t="s">
        <v>126</v>
      </c>
      <c r="J18" s="125" t="s">
        <v>499</v>
      </c>
      <c r="K18" s="26" t="s">
        <v>126</v>
      </c>
      <c r="L18" s="125" t="s">
        <v>31</v>
      </c>
      <c r="M18" s="55">
        <f t="shared" ca="1" si="1"/>
        <v>27</v>
      </c>
      <c r="N18" s="117" t="str">
        <f ca="1">VLOOKUP($B18,Matrix!$H$13:$I$37,2,FALSE)&amp;"_"&amp;C18</f>
        <v>ALERT_REQ_S_LCA_PD_MG_AVAIL</v>
      </c>
      <c r="O18" s="130" t="str">
        <f t="shared" ca="1" si="0"/>
        <v>#define ALERT_REQ_S_LCA_PD_MG_AVAIL                     (5U)</v>
      </c>
    </row>
    <row r="19" spans="2:15">
      <c r="B19" s="26" t="s">
        <v>398</v>
      </c>
      <c r="C19" s="25" t="s">
        <v>316</v>
      </c>
      <c r="D19" s="124">
        <v>0</v>
      </c>
      <c r="E19" s="26" t="s">
        <v>126</v>
      </c>
      <c r="F19" s="125" t="s">
        <v>31</v>
      </c>
      <c r="G19" s="26" t="s">
        <v>126</v>
      </c>
      <c r="H19" s="125" t="s">
        <v>31</v>
      </c>
      <c r="I19" s="26" t="s">
        <v>126</v>
      </c>
      <c r="J19" s="125" t="s">
        <v>504</v>
      </c>
      <c r="K19" s="26" t="s">
        <v>126</v>
      </c>
      <c r="L19" s="125" t="s">
        <v>31</v>
      </c>
      <c r="M19" s="55">
        <f t="shared" ca="1" si="1"/>
        <v>27</v>
      </c>
      <c r="N19" s="117" t="str">
        <f ca="1">VLOOKUP($B19,Matrix!$H$13:$I$37,2,FALSE)&amp;"_"&amp;C19</f>
        <v>ALERT_REQ_S_LCA_PD_SG_SGST1</v>
      </c>
      <c r="O19" s="130" t="str">
        <f t="shared" ca="1" si="0"/>
        <v>#define ALERT_REQ_S_LCA_PD_SG_SGST1                     (0U)</v>
      </c>
    </row>
    <row r="20" spans="2:15">
      <c r="B20" s="26" t="s">
        <v>398</v>
      </c>
      <c r="C20" s="25" t="s">
        <v>318</v>
      </c>
      <c r="D20" s="124">
        <v>1</v>
      </c>
      <c r="E20" s="26" t="s">
        <v>126</v>
      </c>
      <c r="F20" s="125" t="s">
        <v>31</v>
      </c>
      <c r="G20" s="26" t="s">
        <v>126</v>
      </c>
      <c r="H20" s="125" t="s">
        <v>31</v>
      </c>
      <c r="I20" s="26" t="s">
        <v>126</v>
      </c>
      <c r="J20" s="125" t="s">
        <v>505</v>
      </c>
      <c r="K20" s="26" t="s">
        <v>126</v>
      </c>
      <c r="L20" s="125" t="s">
        <v>31</v>
      </c>
      <c r="M20" s="55">
        <f t="shared" ca="1" si="1"/>
        <v>27</v>
      </c>
      <c r="N20" s="117" t="str">
        <f ca="1">VLOOKUP($B20,Matrix!$H$13:$I$37,2,FALSE)&amp;"_"&amp;C20</f>
        <v>ALERT_REQ_S_LCA_PD_SG_SGST2</v>
      </c>
      <c r="O20" s="130" t="str">
        <f t="shared" ca="1" si="0"/>
        <v>#define ALERT_REQ_S_LCA_PD_SG_SGST2                     (1U)</v>
      </c>
    </row>
    <row r="21" spans="2:15">
      <c r="B21" s="26" t="s">
        <v>398</v>
      </c>
      <c r="C21" s="25" t="s">
        <v>452</v>
      </c>
      <c r="D21" s="124">
        <v>2</v>
      </c>
      <c r="E21" s="26" t="s">
        <v>126</v>
      </c>
      <c r="F21" s="125" t="s">
        <v>31</v>
      </c>
      <c r="G21" s="26" t="s">
        <v>126</v>
      </c>
      <c r="H21" s="125" t="s">
        <v>31</v>
      </c>
      <c r="I21" s="26" t="s">
        <v>126</v>
      </c>
      <c r="J21" s="125" t="s">
        <v>506</v>
      </c>
      <c r="K21" s="26" t="s">
        <v>126</v>
      </c>
      <c r="L21" s="125" t="s">
        <v>31</v>
      </c>
      <c r="M21" s="55">
        <f t="shared" ca="1" si="1"/>
        <v>27</v>
      </c>
      <c r="N21" s="117" t="str">
        <f ca="1">VLOOKUP($B21,Matrix!$H$13:$I$37,2,FALSE)&amp;"_"&amp;C21</f>
        <v>ALERT_REQ_S_LCA_PD_SG_SGST3</v>
      </c>
      <c r="O21" s="130" t="str">
        <f t="shared" ca="1" si="0"/>
        <v>#define ALERT_REQ_S_LCA_PD_SG_SGST3                     (2U)</v>
      </c>
    </row>
    <row r="22" spans="2:15">
      <c r="B22" s="26"/>
      <c r="C22" s="25"/>
      <c r="D22" s="124"/>
      <c r="E22" s="26"/>
      <c r="F22" s="125"/>
      <c r="G22" s="26"/>
      <c r="H22" s="125"/>
      <c r="I22" s="26"/>
      <c r="J22" s="125"/>
      <c r="K22" s="26"/>
      <c r="L22" s="125"/>
      <c r="M22" s="55" t="e">
        <f t="shared" ca="1" si="1"/>
        <v>#N/A</v>
      </c>
      <c r="N22" s="117" t="e">
        <f ca="1">VLOOKUP($B22,Matrix!$H$13:$I$37,2,FALSE)&amp;"_"&amp;C22</f>
        <v>#N/A</v>
      </c>
      <c r="O22" s="130" t="e">
        <f t="shared" ca="1" si="0"/>
        <v>#N/A</v>
      </c>
    </row>
    <row r="23" spans="2:15">
      <c r="B23" s="26"/>
      <c r="C23" s="25"/>
      <c r="D23" s="124"/>
      <c r="E23" s="26"/>
      <c r="F23" s="125"/>
      <c r="G23" s="26"/>
      <c r="H23" s="125"/>
      <c r="I23" s="26"/>
      <c r="J23" s="125"/>
      <c r="K23" s="26"/>
      <c r="L23" s="125"/>
      <c r="M23" s="55" t="e">
        <f t="shared" ca="1" si="1"/>
        <v>#N/A</v>
      </c>
      <c r="N23" s="117" t="e">
        <f ca="1">VLOOKUP($B23,Matrix!$H$13:$I$37,2,FALSE)&amp;"_"&amp;C23</f>
        <v>#N/A</v>
      </c>
      <c r="O23" s="130" t="e">
        <f t="shared" ca="1" si="0"/>
        <v>#N/A</v>
      </c>
    </row>
    <row r="24" spans="2:15">
      <c r="B24" s="26"/>
      <c r="C24" s="25"/>
      <c r="D24" s="124"/>
      <c r="E24" s="26"/>
      <c r="F24" s="125"/>
      <c r="G24" s="26"/>
      <c r="H24" s="125"/>
      <c r="I24" s="26"/>
      <c r="J24" s="125"/>
      <c r="K24" s="26"/>
      <c r="L24" s="125"/>
      <c r="M24" s="55" t="e">
        <f t="shared" ca="1" si="1"/>
        <v>#N/A</v>
      </c>
      <c r="N24" s="117" t="e">
        <f ca="1">VLOOKUP($B24,Matrix!$H$13:$I$37,2,FALSE)&amp;"_"&amp;C24</f>
        <v>#N/A</v>
      </c>
      <c r="O24" s="130" t="e">
        <f t="shared" ca="1" si="0"/>
        <v>#N/A</v>
      </c>
    </row>
    <row r="25" spans="2:15">
      <c r="B25" s="26"/>
      <c r="C25" s="25"/>
      <c r="D25" s="124"/>
      <c r="E25" s="26"/>
      <c r="F25" s="125"/>
      <c r="G25" s="26"/>
      <c r="H25" s="125"/>
      <c r="I25" s="26"/>
      <c r="J25" s="125"/>
      <c r="K25" s="26"/>
      <c r="L25" s="125"/>
      <c r="M25" s="55" t="e">
        <f t="shared" ca="1" si="1"/>
        <v>#N/A</v>
      </c>
      <c r="N25" s="117" t="e">
        <f ca="1">VLOOKUP($B25,Matrix!$H$13:$I$37,2,FALSE)&amp;"_"&amp;C25</f>
        <v>#N/A</v>
      </c>
      <c r="O25" s="130" t="e">
        <f t="shared" ca="1" si="0"/>
        <v>#N/A</v>
      </c>
    </row>
    <row r="26" spans="2:15">
      <c r="B26" s="26"/>
      <c r="C26" s="25"/>
      <c r="D26" s="124"/>
      <c r="E26" s="26"/>
      <c r="F26" s="125"/>
      <c r="G26" s="26"/>
      <c r="H26" s="125"/>
      <c r="I26" s="26"/>
      <c r="J26" s="125"/>
      <c r="K26" s="26"/>
      <c r="L26" s="125"/>
      <c r="M26" s="55" t="e">
        <f t="shared" ca="1" si="1"/>
        <v>#N/A</v>
      </c>
      <c r="N26" s="117" t="e">
        <f ca="1">VLOOKUP($B26,Matrix!$H$13:$I$37,2,FALSE)&amp;"_"&amp;C26</f>
        <v>#N/A</v>
      </c>
      <c r="O26" s="130" t="e">
        <f t="shared" ca="1" si="0"/>
        <v>#N/A</v>
      </c>
    </row>
    <row r="27" spans="2:15">
      <c r="B27" s="26"/>
      <c r="C27" s="25"/>
      <c r="D27" s="124"/>
      <c r="E27" s="26"/>
      <c r="F27" s="125"/>
      <c r="G27" s="26"/>
      <c r="H27" s="125"/>
      <c r="I27" s="26"/>
      <c r="J27" s="125"/>
      <c r="K27" s="26"/>
      <c r="L27" s="125"/>
      <c r="M27" s="55" t="e">
        <f t="shared" ca="1" si="1"/>
        <v>#N/A</v>
      </c>
      <c r="N27" s="117" t="e">
        <f ca="1">VLOOKUP($B27,Matrix!$H$13:$I$37,2,FALSE)&amp;"_"&amp;C27</f>
        <v>#N/A</v>
      </c>
      <c r="O27" s="130" t="e">
        <f t="shared" ca="1" si="0"/>
        <v>#N/A</v>
      </c>
    </row>
    <row r="28" spans="2:15">
      <c r="B28" s="26"/>
      <c r="C28" s="25"/>
      <c r="D28" s="124"/>
      <c r="E28" s="26"/>
      <c r="F28" s="125"/>
      <c r="G28" s="26"/>
      <c r="H28" s="125"/>
      <c r="I28" s="26"/>
      <c r="J28" s="125"/>
      <c r="K28" s="26"/>
      <c r="L28" s="125"/>
      <c r="M28" s="55" t="e">
        <f t="shared" ca="1" si="1"/>
        <v>#N/A</v>
      </c>
      <c r="N28" s="117" t="e">
        <f ca="1">VLOOKUP($B28,Matrix!$H$13:$I$37,2,FALSE)&amp;"_"&amp;C28</f>
        <v>#N/A</v>
      </c>
      <c r="O28" s="130" t="e">
        <f t="shared" ca="1" si="0"/>
        <v>#N/A</v>
      </c>
    </row>
    <row r="29" spans="2:15">
      <c r="B29" s="26"/>
      <c r="C29" s="25"/>
      <c r="D29" s="124"/>
      <c r="E29" s="26"/>
      <c r="F29" s="125"/>
      <c r="G29" s="26"/>
      <c r="H29" s="125"/>
      <c r="I29" s="26"/>
      <c r="J29" s="125"/>
      <c r="K29" s="26"/>
      <c r="L29" s="125"/>
      <c r="M29" s="55" t="e">
        <f t="shared" ca="1" si="1"/>
        <v>#N/A</v>
      </c>
      <c r="N29" s="117" t="e">
        <f ca="1">VLOOKUP($B29,Matrix!$H$13:$I$37,2,FALSE)&amp;"_"&amp;C29</f>
        <v>#N/A</v>
      </c>
      <c r="O29" s="130" t="e">
        <f t="shared" ca="1" si="0"/>
        <v>#N/A</v>
      </c>
    </row>
    <row r="30" spans="2:15">
      <c r="B30" s="26"/>
      <c r="C30" s="25"/>
      <c r="D30" s="124"/>
      <c r="E30" s="26"/>
      <c r="F30" s="125"/>
      <c r="G30" s="26"/>
      <c r="H30" s="125"/>
      <c r="I30" s="26"/>
      <c r="J30" s="125"/>
      <c r="K30" s="26"/>
      <c r="L30" s="125"/>
      <c r="M30" s="55" t="e">
        <f t="shared" ca="1" si="1"/>
        <v>#N/A</v>
      </c>
      <c r="N30" s="117" t="e">
        <f ca="1">VLOOKUP($B30,Matrix!$H$13:$I$37,2,FALSE)&amp;"_"&amp;C30</f>
        <v>#N/A</v>
      </c>
      <c r="O30" s="130" t="e">
        <f t="shared" ca="1" si="0"/>
        <v>#N/A</v>
      </c>
    </row>
    <row r="31" spans="2:15">
      <c r="B31" s="26"/>
      <c r="C31" s="25"/>
      <c r="D31" s="124"/>
      <c r="E31" s="26"/>
      <c r="F31" s="125"/>
      <c r="G31" s="26"/>
      <c r="H31" s="125"/>
      <c r="I31" s="26"/>
      <c r="J31" s="125"/>
      <c r="K31" s="26"/>
      <c r="L31" s="125"/>
      <c r="M31" s="55" t="e">
        <f t="shared" ca="1" si="1"/>
        <v>#N/A</v>
      </c>
      <c r="N31" s="117" t="e">
        <f ca="1">VLOOKUP($B31,Matrix!$H$13:$I$37,2,FALSE)&amp;"_"&amp;C31</f>
        <v>#N/A</v>
      </c>
      <c r="O31" s="130" t="e">
        <f t="shared" ca="1" si="0"/>
        <v>#N/A</v>
      </c>
    </row>
    <row r="32" spans="2:15">
      <c r="B32" s="26"/>
      <c r="C32" s="25"/>
      <c r="D32" s="124"/>
      <c r="E32" s="26"/>
      <c r="F32" s="125"/>
      <c r="G32" s="26"/>
      <c r="H32" s="125"/>
      <c r="I32" s="26"/>
      <c r="J32" s="125"/>
      <c r="K32" s="26"/>
      <c r="L32" s="125"/>
      <c r="M32" s="55" t="e">
        <f t="shared" ca="1" si="1"/>
        <v>#N/A</v>
      </c>
      <c r="N32" s="117" t="e">
        <f ca="1">VLOOKUP($B32,Matrix!$H$13:$I$37,2,FALSE)&amp;"_"&amp;C32</f>
        <v>#N/A</v>
      </c>
      <c r="O32" s="130" t="e">
        <f t="shared" ca="1" si="0"/>
        <v>#N/A</v>
      </c>
    </row>
    <row r="33" spans="2:15">
      <c r="B33" s="26"/>
      <c r="C33" s="25"/>
      <c r="D33" s="124"/>
      <c r="E33" s="26"/>
      <c r="F33" s="125"/>
      <c r="G33" s="26"/>
      <c r="H33" s="125"/>
      <c r="I33" s="26"/>
      <c r="J33" s="125"/>
      <c r="K33" s="26"/>
      <c r="L33" s="125"/>
      <c r="M33" s="55" t="e">
        <f t="shared" ca="1" si="1"/>
        <v>#N/A</v>
      </c>
      <c r="N33" s="117" t="e">
        <f ca="1">VLOOKUP($B33,Matrix!$H$13:$I$37,2,FALSE)&amp;"_"&amp;C33</f>
        <v>#N/A</v>
      </c>
      <c r="O33" s="130" t="e">
        <f t="shared" ca="1" si="0"/>
        <v>#N/A</v>
      </c>
    </row>
    <row r="34" spans="2:15">
      <c r="B34" s="26"/>
      <c r="C34" s="25"/>
      <c r="D34" s="124"/>
      <c r="E34" s="26"/>
      <c r="F34" s="125"/>
      <c r="G34" s="26"/>
      <c r="H34" s="125"/>
      <c r="I34" s="26"/>
      <c r="J34" s="125"/>
      <c r="K34" s="26"/>
      <c r="L34" s="125"/>
      <c r="M34" s="55" t="e">
        <f t="shared" ca="1" si="1"/>
        <v>#N/A</v>
      </c>
      <c r="N34" s="117" t="e">
        <f ca="1">VLOOKUP($B34,Matrix!$H$13:$I$37,2,FALSE)&amp;"_"&amp;C34</f>
        <v>#N/A</v>
      </c>
      <c r="O34" s="130" t="e">
        <f t="shared" ca="1" si="0"/>
        <v>#N/A</v>
      </c>
    </row>
    <row r="35" spans="2:15">
      <c r="B35" s="26"/>
      <c r="C35" s="25"/>
      <c r="D35" s="124"/>
      <c r="E35" s="26"/>
      <c r="F35" s="125"/>
      <c r="G35" s="26"/>
      <c r="H35" s="125"/>
      <c r="I35" s="26"/>
      <c r="J35" s="125"/>
      <c r="K35" s="26"/>
      <c r="L35" s="125"/>
      <c r="M35" s="55" t="e">
        <f t="shared" ca="1" si="1"/>
        <v>#N/A</v>
      </c>
      <c r="N35" s="117" t="e">
        <f ca="1">VLOOKUP($B35,Matrix!$H$13:$I$37,2,FALSE)&amp;"_"&amp;C35</f>
        <v>#N/A</v>
      </c>
      <c r="O35" s="130" t="e">
        <f t="shared" ca="1" si="0"/>
        <v>#N/A</v>
      </c>
    </row>
    <row r="36" spans="2:15">
      <c r="B36" s="26"/>
      <c r="C36" s="25"/>
      <c r="D36" s="124"/>
      <c r="E36" s="26"/>
      <c r="F36" s="125"/>
      <c r="G36" s="26"/>
      <c r="H36" s="125"/>
      <c r="I36" s="26"/>
      <c r="J36" s="125"/>
      <c r="K36" s="26"/>
      <c r="L36" s="125"/>
      <c r="M36" s="55" t="e">
        <f t="shared" ca="1" si="1"/>
        <v>#N/A</v>
      </c>
      <c r="N36" s="117" t="e">
        <f ca="1">VLOOKUP($B36,Matrix!$H$13:$I$37,2,FALSE)&amp;"_"&amp;C36</f>
        <v>#N/A</v>
      </c>
      <c r="O36" s="130" t="e">
        <f t="shared" ref="O36:O67" ca="1" si="2">"#define "&amp;N36&amp;REPT(" ",48-M36)&amp;"("&amp;D36&amp;"U)"</f>
        <v>#N/A</v>
      </c>
    </row>
    <row r="37" spans="2:15">
      <c r="B37" s="26"/>
      <c r="C37" s="25"/>
      <c r="D37" s="124"/>
      <c r="E37" s="26"/>
      <c r="F37" s="125"/>
      <c r="G37" s="26"/>
      <c r="H37" s="125"/>
      <c r="I37" s="26"/>
      <c r="J37" s="125"/>
      <c r="K37" s="26"/>
      <c r="L37" s="125"/>
      <c r="M37" s="55" t="e">
        <f t="shared" ca="1" si="1"/>
        <v>#N/A</v>
      </c>
      <c r="N37" s="117" t="e">
        <f ca="1">VLOOKUP($B37,Matrix!$H$13:$I$37,2,FALSE)&amp;"_"&amp;C37</f>
        <v>#N/A</v>
      </c>
      <c r="O37" s="130" t="e">
        <f t="shared" ca="1" si="2"/>
        <v>#N/A</v>
      </c>
    </row>
    <row r="38" spans="2:15">
      <c r="B38" s="26"/>
      <c r="C38" s="25"/>
      <c r="D38" s="124"/>
      <c r="E38" s="26"/>
      <c r="F38" s="125"/>
      <c r="G38" s="26"/>
      <c r="H38" s="125"/>
      <c r="I38" s="26"/>
      <c r="J38" s="125"/>
      <c r="K38" s="26"/>
      <c r="L38" s="125"/>
      <c r="M38" s="55" t="e">
        <f t="shared" ca="1" si="1"/>
        <v>#N/A</v>
      </c>
      <c r="N38" s="117" t="e">
        <f ca="1">VLOOKUP($B38,Matrix!$H$13:$I$37,2,FALSE)&amp;"_"&amp;C38</f>
        <v>#N/A</v>
      </c>
      <c r="O38" s="130" t="e">
        <f t="shared" ca="1" si="2"/>
        <v>#N/A</v>
      </c>
    </row>
    <row r="39" spans="2:15">
      <c r="B39" s="26"/>
      <c r="C39" s="25"/>
      <c r="D39" s="124"/>
      <c r="E39" s="26"/>
      <c r="F39" s="125"/>
      <c r="G39" s="26"/>
      <c r="H39" s="125"/>
      <c r="I39" s="26"/>
      <c r="J39" s="125"/>
      <c r="K39" s="26"/>
      <c r="L39" s="125"/>
      <c r="M39" s="55" t="e">
        <f t="shared" ca="1" si="1"/>
        <v>#N/A</v>
      </c>
      <c r="N39" s="117" t="e">
        <f ca="1">VLOOKUP($B39,Matrix!$H$13:$I$37,2,FALSE)&amp;"_"&amp;C39</f>
        <v>#N/A</v>
      </c>
      <c r="O39" s="130" t="e">
        <f t="shared" ca="1" si="2"/>
        <v>#N/A</v>
      </c>
    </row>
    <row r="40" spans="2:15">
      <c r="B40" s="26"/>
      <c r="C40" s="25"/>
      <c r="D40" s="124"/>
      <c r="E40" s="26"/>
      <c r="F40" s="125"/>
      <c r="G40" s="26"/>
      <c r="H40" s="125"/>
      <c r="I40" s="26"/>
      <c r="J40" s="125"/>
      <c r="K40" s="26"/>
      <c r="L40" s="125"/>
      <c r="M40" s="55" t="e">
        <f t="shared" ca="1" si="1"/>
        <v>#N/A</v>
      </c>
      <c r="N40" s="117" t="e">
        <f ca="1">VLOOKUP($B40,Matrix!$H$13:$I$37,2,FALSE)&amp;"_"&amp;C40</f>
        <v>#N/A</v>
      </c>
      <c r="O40" s="130" t="e">
        <f t="shared" ca="1" si="2"/>
        <v>#N/A</v>
      </c>
    </row>
    <row r="41" spans="2:15">
      <c r="B41" s="26"/>
      <c r="C41" s="25"/>
      <c r="D41" s="124"/>
      <c r="E41" s="26"/>
      <c r="F41" s="125"/>
      <c r="G41" s="26"/>
      <c r="H41" s="125"/>
      <c r="I41" s="26"/>
      <c r="J41" s="125"/>
      <c r="K41" s="26"/>
      <c r="L41" s="125"/>
      <c r="M41" s="55" t="e">
        <f t="shared" ca="1" si="1"/>
        <v>#N/A</v>
      </c>
      <c r="N41" s="117" t="e">
        <f ca="1">VLOOKUP($B41,Matrix!$H$13:$I$37,2,FALSE)&amp;"_"&amp;C41</f>
        <v>#N/A</v>
      </c>
      <c r="O41" s="130" t="e">
        <f t="shared" ca="1" si="2"/>
        <v>#N/A</v>
      </c>
    </row>
    <row r="42" spans="2:15">
      <c r="B42" s="26"/>
      <c r="C42" s="25"/>
      <c r="D42" s="124"/>
      <c r="E42" s="26"/>
      <c r="F42" s="125"/>
      <c r="G42" s="26"/>
      <c r="H42" s="125"/>
      <c r="I42" s="26"/>
      <c r="J42" s="125"/>
      <c r="K42" s="26"/>
      <c r="L42" s="125"/>
      <c r="M42" s="55" t="e">
        <f t="shared" ca="1" si="1"/>
        <v>#N/A</v>
      </c>
      <c r="N42" s="117" t="e">
        <f ca="1">VLOOKUP($B42,Matrix!$H$13:$I$37,2,FALSE)&amp;"_"&amp;C42</f>
        <v>#N/A</v>
      </c>
      <c r="O42" s="130" t="e">
        <f t="shared" ca="1" si="2"/>
        <v>#N/A</v>
      </c>
    </row>
    <row r="43" spans="2:15">
      <c r="B43" s="26"/>
      <c r="C43" s="25"/>
      <c r="D43" s="124"/>
      <c r="E43" s="26"/>
      <c r="F43" s="125"/>
      <c r="G43" s="26"/>
      <c r="H43" s="125"/>
      <c r="I43" s="26"/>
      <c r="J43" s="125"/>
      <c r="K43" s="26"/>
      <c r="L43" s="125"/>
      <c r="M43" s="55" t="e">
        <f t="shared" ca="1" si="1"/>
        <v>#N/A</v>
      </c>
      <c r="N43" s="117" t="e">
        <f ca="1">VLOOKUP($B43,Matrix!$H$13:$I$37,2,FALSE)&amp;"_"&amp;C43</f>
        <v>#N/A</v>
      </c>
      <c r="O43" s="130" t="e">
        <f t="shared" ca="1" si="2"/>
        <v>#N/A</v>
      </c>
    </row>
    <row r="44" spans="2:15">
      <c r="B44" s="26"/>
      <c r="C44" s="25"/>
      <c r="D44" s="124"/>
      <c r="E44" s="26"/>
      <c r="F44" s="125"/>
      <c r="G44" s="26"/>
      <c r="H44" s="125"/>
      <c r="I44" s="26"/>
      <c r="J44" s="125"/>
      <c r="K44" s="26"/>
      <c r="L44" s="125"/>
      <c r="M44" s="55" t="e">
        <f t="shared" ca="1" si="1"/>
        <v>#N/A</v>
      </c>
      <c r="N44" s="117" t="e">
        <f ca="1">VLOOKUP($B44,Matrix!$H$13:$I$37,2,FALSE)&amp;"_"&amp;C44</f>
        <v>#N/A</v>
      </c>
      <c r="O44" s="130" t="e">
        <f t="shared" ca="1" si="2"/>
        <v>#N/A</v>
      </c>
    </row>
    <row r="45" spans="2:15">
      <c r="B45" s="26"/>
      <c r="C45" s="25"/>
      <c r="D45" s="124"/>
      <c r="E45" s="26"/>
      <c r="F45" s="125"/>
      <c r="G45" s="26"/>
      <c r="H45" s="125"/>
      <c r="I45" s="26"/>
      <c r="J45" s="125"/>
      <c r="K45" s="26"/>
      <c r="L45" s="125"/>
      <c r="M45" s="55" t="e">
        <f t="shared" ca="1" si="1"/>
        <v>#N/A</v>
      </c>
      <c r="N45" s="117" t="e">
        <f ca="1">VLOOKUP($B45,Matrix!$H$13:$I$37,2,FALSE)&amp;"_"&amp;C45</f>
        <v>#N/A</v>
      </c>
      <c r="O45" s="130" t="e">
        <f t="shared" ca="1" si="2"/>
        <v>#N/A</v>
      </c>
    </row>
    <row r="46" spans="2:15">
      <c r="B46" s="26"/>
      <c r="C46" s="25"/>
      <c r="D46" s="124"/>
      <c r="E46" s="26"/>
      <c r="F46" s="125"/>
      <c r="G46" s="26"/>
      <c r="H46" s="125"/>
      <c r="I46" s="26"/>
      <c r="J46" s="125"/>
      <c r="K46" s="26"/>
      <c r="L46" s="125"/>
      <c r="M46" s="55" t="e">
        <f t="shared" ca="1" si="1"/>
        <v>#N/A</v>
      </c>
      <c r="N46" s="117" t="e">
        <f ca="1">VLOOKUP($B46,Matrix!$H$13:$I$37,2,FALSE)&amp;"_"&amp;C46</f>
        <v>#N/A</v>
      </c>
      <c r="O46" s="130" t="e">
        <f t="shared" ca="1" si="2"/>
        <v>#N/A</v>
      </c>
    </row>
    <row r="47" spans="2:15">
      <c r="B47" s="26"/>
      <c r="C47" s="25"/>
      <c r="D47" s="124"/>
      <c r="E47" s="26"/>
      <c r="F47" s="125"/>
      <c r="G47" s="26"/>
      <c r="H47" s="125"/>
      <c r="I47" s="26"/>
      <c r="J47" s="125"/>
      <c r="K47" s="26"/>
      <c r="L47" s="125"/>
      <c r="M47" s="55" t="e">
        <f t="shared" ca="1" si="1"/>
        <v>#N/A</v>
      </c>
      <c r="N47" s="117" t="e">
        <f ca="1">VLOOKUP($B47,Matrix!$H$13:$I$37,2,FALSE)&amp;"_"&amp;C47</f>
        <v>#N/A</v>
      </c>
      <c r="O47" s="130" t="e">
        <f t="shared" ca="1" si="2"/>
        <v>#N/A</v>
      </c>
    </row>
    <row r="48" spans="2:15">
      <c r="B48" s="26"/>
      <c r="C48" s="25"/>
      <c r="D48" s="124"/>
      <c r="E48" s="26"/>
      <c r="F48" s="125"/>
      <c r="G48" s="26"/>
      <c r="H48" s="125"/>
      <c r="I48" s="26"/>
      <c r="J48" s="125"/>
      <c r="K48" s="26"/>
      <c r="L48" s="125"/>
      <c r="M48" s="55" t="e">
        <f t="shared" ca="1" si="1"/>
        <v>#N/A</v>
      </c>
      <c r="N48" s="117" t="e">
        <f ca="1">VLOOKUP($B48,Matrix!$H$13:$I$37,2,FALSE)&amp;"_"&amp;C48</f>
        <v>#N/A</v>
      </c>
      <c r="O48" s="130" t="e">
        <f t="shared" ca="1" si="2"/>
        <v>#N/A</v>
      </c>
    </row>
    <row r="49" spans="2:15">
      <c r="B49" s="26"/>
      <c r="C49" s="25"/>
      <c r="D49" s="124"/>
      <c r="E49" s="26"/>
      <c r="F49" s="125"/>
      <c r="G49" s="26"/>
      <c r="H49" s="125"/>
      <c r="I49" s="26"/>
      <c r="J49" s="125"/>
      <c r="K49" s="26"/>
      <c r="L49" s="125"/>
      <c r="M49" s="55" t="e">
        <f t="shared" ca="1" si="1"/>
        <v>#N/A</v>
      </c>
      <c r="N49" s="117" t="e">
        <f ca="1">VLOOKUP($B49,Matrix!$H$13:$I$37,2,FALSE)&amp;"_"&amp;C49</f>
        <v>#N/A</v>
      </c>
      <c r="O49" s="130" t="e">
        <f t="shared" ca="1" si="2"/>
        <v>#N/A</v>
      </c>
    </row>
    <row r="50" spans="2:15">
      <c r="B50" s="26"/>
      <c r="C50" s="25"/>
      <c r="D50" s="124"/>
      <c r="E50" s="26"/>
      <c r="F50" s="125"/>
      <c r="G50" s="26"/>
      <c r="H50" s="125"/>
      <c r="I50" s="26"/>
      <c r="J50" s="125"/>
      <c r="K50" s="26"/>
      <c r="L50" s="125"/>
      <c r="M50" s="55" t="e">
        <f t="shared" ca="1" si="1"/>
        <v>#N/A</v>
      </c>
      <c r="N50" s="117" t="e">
        <f ca="1">VLOOKUP($B50,Matrix!$H$13:$I$37,2,FALSE)&amp;"_"&amp;C50</f>
        <v>#N/A</v>
      </c>
      <c r="O50" s="130" t="e">
        <f t="shared" ca="1" si="2"/>
        <v>#N/A</v>
      </c>
    </row>
    <row r="51" spans="2:15">
      <c r="B51" s="26"/>
      <c r="C51" s="25"/>
      <c r="D51" s="124"/>
      <c r="E51" s="26"/>
      <c r="F51" s="125"/>
      <c r="G51" s="26"/>
      <c r="H51" s="125"/>
      <c r="I51" s="26"/>
      <c r="J51" s="125"/>
      <c r="K51" s="26"/>
      <c r="L51" s="125"/>
      <c r="M51" s="55" t="e">
        <f t="shared" ca="1" si="1"/>
        <v>#N/A</v>
      </c>
      <c r="N51" s="117" t="e">
        <f ca="1">VLOOKUP($B51,Matrix!$H$13:$I$37,2,FALSE)&amp;"_"&amp;C51</f>
        <v>#N/A</v>
      </c>
      <c r="O51" s="130" t="e">
        <f t="shared" ca="1" si="2"/>
        <v>#N/A</v>
      </c>
    </row>
    <row r="52" spans="2:15">
      <c r="B52" s="26"/>
      <c r="C52" s="25"/>
      <c r="D52" s="124"/>
      <c r="E52" s="26"/>
      <c r="F52" s="125"/>
      <c r="G52" s="26"/>
      <c r="H52" s="125"/>
      <c r="I52" s="26"/>
      <c r="J52" s="125"/>
      <c r="K52" s="26"/>
      <c r="L52" s="125"/>
      <c r="M52" s="55" t="e">
        <f t="shared" ca="1" si="1"/>
        <v>#N/A</v>
      </c>
      <c r="N52" s="117" t="e">
        <f ca="1">VLOOKUP($B52,Matrix!$H$13:$I$37,2,FALSE)&amp;"_"&amp;C52</f>
        <v>#N/A</v>
      </c>
      <c r="O52" s="130" t="e">
        <f t="shared" ca="1" si="2"/>
        <v>#N/A</v>
      </c>
    </row>
    <row r="53" spans="2:15">
      <c r="B53" s="26"/>
      <c r="C53" s="25"/>
      <c r="D53" s="124"/>
      <c r="E53" s="26"/>
      <c r="F53" s="125"/>
      <c r="G53" s="26"/>
      <c r="H53" s="125"/>
      <c r="I53" s="26"/>
      <c r="J53" s="125"/>
      <c r="K53" s="26"/>
      <c r="L53" s="125"/>
      <c r="M53" s="55" t="e">
        <f t="shared" ca="1" si="1"/>
        <v>#N/A</v>
      </c>
      <c r="N53" s="117" t="e">
        <f ca="1">VLOOKUP($B53,Matrix!$H$13:$I$37,2,FALSE)&amp;"_"&amp;C53</f>
        <v>#N/A</v>
      </c>
      <c r="O53" s="130" t="e">
        <f t="shared" ca="1" si="2"/>
        <v>#N/A</v>
      </c>
    </row>
    <row r="54" spans="2:15">
      <c r="B54" s="26"/>
      <c r="C54" s="25"/>
      <c r="D54" s="124"/>
      <c r="E54" s="26"/>
      <c r="F54" s="125"/>
      <c r="G54" s="26"/>
      <c r="H54" s="125"/>
      <c r="I54" s="26"/>
      <c r="J54" s="125"/>
      <c r="K54" s="26"/>
      <c r="L54" s="125"/>
      <c r="M54" s="55" t="e">
        <f t="shared" ca="1" si="1"/>
        <v>#N/A</v>
      </c>
      <c r="N54" s="117" t="e">
        <f ca="1">VLOOKUP($B54,Matrix!$H$13:$I$37,2,FALSE)&amp;"_"&amp;C54</f>
        <v>#N/A</v>
      </c>
      <c r="O54" s="130" t="e">
        <f t="shared" ca="1" si="2"/>
        <v>#N/A</v>
      </c>
    </row>
    <row r="55" spans="2:15">
      <c r="B55" s="26"/>
      <c r="C55" s="25"/>
      <c r="D55" s="124"/>
      <c r="E55" s="26"/>
      <c r="F55" s="125"/>
      <c r="G55" s="26"/>
      <c r="H55" s="125"/>
      <c r="I55" s="26"/>
      <c r="J55" s="125"/>
      <c r="K55" s="26"/>
      <c r="L55" s="125"/>
      <c r="M55" s="55" t="e">
        <f t="shared" ca="1" si="1"/>
        <v>#N/A</v>
      </c>
      <c r="N55" s="117" t="e">
        <f ca="1">VLOOKUP($B55,Matrix!$H$13:$I$37,2,FALSE)&amp;"_"&amp;C55</f>
        <v>#N/A</v>
      </c>
      <c r="O55" s="130" t="e">
        <f t="shared" ca="1" si="2"/>
        <v>#N/A</v>
      </c>
    </row>
    <row r="56" spans="2:15">
      <c r="B56" s="26"/>
      <c r="C56" s="25"/>
      <c r="D56" s="124"/>
      <c r="E56" s="26"/>
      <c r="F56" s="125"/>
      <c r="G56" s="26"/>
      <c r="H56" s="125"/>
      <c r="I56" s="26"/>
      <c r="J56" s="125"/>
      <c r="K56" s="26"/>
      <c r="L56" s="125"/>
      <c r="M56" s="55" t="e">
        <f t="shared" ca="1" si="1"/>
        <v>#N/A</v>
      </c>
      <c r="N56" s="117" t="e">
        <f ca="1">VLOOKUP($B56,Matrix!$H$13:$I$37,2,FALSE)&amp;"_"&amp;C56</f>
        <v>#N/A</v>
      </c>
      <c r="O56" s="130" t="e">
        <f t="shared" ca="1" si="2"/>
        <v>#N/A</v>
      </c>
    </row>
    <row r="57" spans="2:15">
      <c r="B57" s="26"/>
      <c r="C57" s="25"/>
      <c r="D57" s="124"/>
      <c r="E57" s="26"/>
      <c r="F57" s="125"/>
      <c r="G57" s="26"/>
      <c r="H57" s="125"/>
      <c r="I57" s="26"/>
      <c r="J57" s="125"/>
      <c r="K57" s="26"/>
      <c r="L57" s="125"/>
      <c r="M57" s="55" t="e">
        <f t="shared" ca="1" si="1"/>
        <v>#N/A</v>
      </c>
      <c r="N57" s="117" t="e">
        <f ca="1">VLOOKUP($B57,Matrix!$H$13:$I$37,2,FALSE)&amp;"_"&amp;C57</f>
        <v>#N/A</v>
      </c>
      <c r="O57" s="130" t="e">
        <f t="shared" ca="1" si="2"/>
        <v>#N/A</v>
      </c>
    </row>
    <row r="58" spans="2:15">
      <c r="B58" s="26"/>
      <c r="C58" s="25"/>
      <c r="D58" s="124"/>
      <c r="E58" s="26"/>
      <c r="F58" s="125"/>
      <c r="G58" s="26"/>
      <c r="H58" s="125"/>
      <c r="I58" s="26"/>
      <c r="J58" s="125"/>
      <c r="K58" s="26"/>
      <c r="L58" s="125"/>
      <c r="M58" s="55" t="e">
        <f t="shared" ca="1" si="1"/>
        <v>#N/A</v>
      </c>
      <c r="N58" s="117" t="e">
        <f ca="1">VLOOKUP($B58,Matrix!$H$13:$I$37,2,FALSE)&amp;"_"&amp;C58</f>
        <v>#N/A</v>
      </c>
      <c r="O58" s="130" t="e">
        <f t="shared" ca="1" si="2"/>
        <v>#N/A</v>
      </c>
    </row>
    <row r="59" spans="2:15">
      <c r="B59" s="26"/>
      <c r="C59" s="25"/>
      <c r="D59" s="124"/>
      <c r="E59" s="26"/>
      <c r="F59" s="125"/>
      <c r="G59" s="26"/>
      <c r="H59" s="125"/>
      <c r="I59" s="26"/>
      <c r="J59" s="125"/>
      <c r="K59" s="26"/>
      <c r="L59" s="125"/>
      <c r="M59" s="55" t="e">
        <f t="shared" ca="1" si="1"/>
        <v>#N/A</v>
      </c>
      <c r="N59" s="117" t="e">
        <f ca="1">VLOOKUP($B59,Matrix!$H$13:$I$37,2,FALSE)&amp;"_"&amp;C59</f>
        <v>#N/A</v>
      </c>
      <c r="O59" s="130" t="e">
        <f t="shared" ca="1" si="2"/>
        <v>#N/A</v>
      </c>
    </row>
    <row r="60" spans="2:15">
      <c r="B60" s="26"/>
      <c r="C60" s="25"/>
      <c r="D60" s="124"/>
      <c r="E60" s="26"/>
      <c r="F60" s="125"/>
      <c r="G60" s="26"/>
      <c r="H60" s="125"/>
      <c r="I60" s="26"/>
      <c r="J60" s="125"/>
      <c r="K60" s="26"/>
      <c r="L60" s="125"/>
      <c r="M60" s="55" t="e">
        <f t="shared" ca="1" si="1"/>
        <v>#N/A</v>
      </c>
      <c r="N60" s="117" t="e">
        <f ca="1">VLOOKUP($B60,Matrix!$H$13:$I$37,2,FALSE)&amp;"_"&amp;C60</f>
        <v>#N/A</v>
      </c>
      <c r="O60" s="130" t="e">
        <f t="shared" ca="1" si="2"/>
        <v>#N/A</v>
      </c>
    </row>
    <row r="61" spans="2:15">
      <c r="B61" s="26"/>
      <c r="C61" s="25"/>
      <c r="D61" s="124"/>
      <c r="E61" s="26"/>
      <c r="F61" s="125"/>
      <c r="G61" s="26"/>
      <c r="H61" s="125"/>
      <c r="I61" s="26"/>
      <c r="J61" s="125"/>
      <c r="K61" s="26"/>
      <c r="L61" s="125"/>
      <c r="M61" s="55" t="e">
        <f t="shared" ca="1" si="1"/>
        <v>#N/A</v>
      </c>
      <c r="N61" s="117" t="e">
        <f ca="1">VLOOKUP($B61,Matrix!$H$13:$I$37,2,FALSE)&amp;"_"&amp;C61</f>
        <v>#N/A</v>
      </c>
      <c r="O61" s="130" t="e">
        <f t="shared" ca="1" si="2"/>
        <v>#N/A</v>
      </c>
    </row>
    <row r="62" spans="2:15">
      <c r="B62" s="26"/>
      <c r="C62" s="25"/>
      <c r="D62" s="124"/>
      <c r="E62" s="26"/>
      <c r="F62" s="125"/>
      <c r="G62" s="26"/>
      <c r="H62" s="125"/>
      <c r="I62" s="26"/>
      <c r="J62" s="125"/>
      <c r="K62" s="26"/>
      <c r="L62" s="125"/>
      <c r="M62" s="55" t="e">
        <f t="shared" ca="1" si="1"/>
        <v>#N/A</v>
      </c>
      <c r="N62" s="117" t="e">
        <f ca="1">VLOOKUP($B62,Matrix!$H$13:$I$37,2,FALSE)&amp;"_"&amp;C62</f>
        <v>#N/A</v>
      </c>
      <c r="O62" s="130" t="e">
        <f t="shared" ca="1" si="2"/>
        <v>#N/A</v>
      </c>
    </row>
    <row r="63" spans="2:15">
      <c r="B63" s="26"/>
      <c r="C63" s="25"/>
      <c r="D63" s="124"/>
      <c r="E63" s="26"/>
      <c r="F63" s="125"/>
      <c r="G63" s="26"/>
      <c r="H63" s="125"/>
      <c r="I63" s="26"/>
      <c r="J63" s="125"/>
      <c r="K63" s="26"/>
      <c r="L63" s="125"/>
      <c r="M63" s="55" t="e">
        <f t="shared" ca="1" si="1"/>
        <v>#N/A</v>
      </c>
      <c r="N63" s="117" t="e">
        <f ca="1">VLOOKUP($B63,Matrix!$H$13:$I$37,2,FALSE)&amp;"_"&amp;C63</f>
        <v>#N/A</v>
      </c>
      <c r="O63" s="130" t="e">
        <f t="shared" ca="1" si="2"/>
        <v>#N/A</v>
      </c>
    </row>
    <row r="64" spans="2:15">
      <c r="B64" s="26"/>
      <c r="C64" s="25"/>
      <c r="D64" s="124"/>
      <c r="E64" s="26"/>
      <c r="F64" s="125"/>
      <c r="G64" s="26"/>
      <c r="H64" s="125"/>
      <c r="I64" s="26"/>
      <c r="J64" s="125"/>
      <c r="K64" s="26"/>
      <c r="L64" s="125"/>
      <c r="M64" s="55" t="e">
        <f t="shared" ca="1" si="1"/>
        <v>#N/A</v>
      </c>
      <c r="N64" s="117" t="e">
        <f ca="1">VLOOKUP($B64,Matrix!$H$13:$I$37,2,FALSE)&amp;"_"&amp;C64</f>
        <v>#N/A</v>
      </c>
      <c r="O64" s="130" t="e">
        <f t="shared" ca="1" si="2"/>
        <v>#N/A</v>
      </c>
    </row>
    <row r="65" spans="2:15">
      <c r="B65" s="26"/>
      <c r="C65" s="25"/>
      <c r="D65" s="124"/>
      <c r="E65" s="26"/>
      <c r="F65" s="125"/>
      <c r="G65" s="26"/>
      <c r="H65" s="125"/>
      <c r="I65" s="26"/>
      <c r="J65" s="125"/>
      <c r="K65" s="26"/>
      <c r="L65" s="125"/>
      <c r="M65" s="55" t="e">
        <f t="shared" ca="1" si="1"/>
        <v>#N/A</v>
      </c>
      <c r="N65" s="117" t="e">
        <f ca="1">VLOOKUP($B65,Matrix!$H$13:$I$37,2,FALSE)&amp;"_"&amp;C65</f>
        <v>#N/A</v>
      </c>
      <c r="O65" s="130" t="e">
        <f t="shared" ca="1" si="2"/>
        <v>#N/A</v>
      </c>
    </row>
    <row r="66" spans="2:15">
      <c r="B66" s="26"/>
      <c r="C66" s="25"/>
      <c r="D66" s="124"/>
      <c r="E66" s="26"/>
      <c r="F66" s="125"/>
      <c r="G66" s="26"/>
      <c r="H66" s="125"/>
      <c r="I66" s="26"/>
      <c r="J66" s="125"/>
      <c r="K66" s="26"/>
      <c r="L66" s="125"/>
      <c r="M66" s="55" t="e">
        <f t="shared" ca="1" si="1"/>
        <v>#N/A</v>
      </c>
      <c r="N66" s="117" t="e">
        <f ca="1">VLOOKUP($B66,Matrix!$H$13:$I$37,2,FALSE)&amp;"_"&amp;C66</f>
        <v>#N/A</v>
      </c>
      <c r="O66" s="130" t="e">
        <f t="shared" ca="1" si="2"/>
        <v>#N/A</v>
      </c>
    </row>
    <row r="67" spans="2:15">
      <c r="B67" s="26"/>
      <c r="C67" s="25"/>
      <c r="D67" s="124"/>
      <c r="E67" s="26"/>
      <c r="F67" s="125"/>
      <c r="G67" s="26"/>
      <c r="H67" s="125"/>
      <c r="I67" s="26"/>
      <c r="J67" s="125"/>
      <c r="K67" s="26"/>
      <c r="L67" s="125"/>
      <c r="M67" s="55" t="e">
        <f t="shared" ca="1" si="1"/>
        <v>#N/A</v>
      </c>
      <c r="N67" s="117" t="e">
        <f ca="1">VLOOKUP($B67,Matrix!$H$13:$I$37,2,FALSE)&amp;"_"&amp;C67</f>
        <v>#N/A</v>
      </c>
      <c r="O67" s="130" t="e">
        <f t="shared" ca="1" si="2"/>
        <v>#N/A</v>
      </c>
    </row>
    <row r="68" spans="2:15">
      <c r="B68" s="26"/>
      <c r="C68" s="25"/>
      <c r="D68" s="124"/>
      <c r="E68" s="26"/>
      <c r="F68" s="125"/>
      <c r="G68" s="26"/>
      <c r="H68" s="125"/>
      <c r="I68" s="26"/>
      <c r="J68" s="125"/>
      <c r="K68" s="26"/>
      <c r="L68" s="125"/>
      <c r="M68" s="55" t="e">
        <f t="shared" ca="1" si="1"/>
        <v>#N/A</v>
      </c>
      <c r="N68" s="117" t="e">
        <f ca="1">VLOOKUP($B68,Matrix!$H$13:$I$37,2,FALSE)&amp;"_"&amp;C68</f>
        <v>#N/A</v>
      </c>
      <c r="O68" s="130" t="e">
        <f t="shared" ref="O68:O99" ca="1" si="3">"#define "&amp;N68&amp;REPT(" ",48-M68)&amp;"("&amp;D68&amp;"U)"</f>
        <v>#N/A</v>
      </c>
    </row>
    <row r="69" spans="2:15">
      <c r="B69" s="26"/>
      <c r="C69" s="25"/>
      <c r="D69" s="124"/>
      <c r="E69" s="26"/>
      <c r="F69" s="125"/>
      <c r="G69" s="26"/>
      <c r="H69" s="125"/>
      <c r="I69" s="26"/>
      <c r="J69" s="125"/>
      <c r="K69" s="26"/>
      <c r="L69" s="125"/>
      <c r="M69" s="55" t="e">
        <f t="shared" ref="M69:M103" ca="1" si="4">LEN(N69)</f>
        <v>#N/A</v>
      </c>
      <c r="N69" s="117" t="e">
        <f ca="1">VLOOKUP($B69,Matrix!$H$13:$I$37,2,FALSE)&amp;"_"&amp;C69</f>
        <v>#N/A</v>
      </c>
      <c r="O69" s="130" t="e">
        <f t="shared" ca="1" si="3"/>
        <v>#N/A</v>
      </c>
    </row>
    <row r="70" spans="2:15">
      <c r="B70" s="26"/>
      <c r="C70" s="25"/>
      <c r="D70" s="124"/>
      <c r="E70" s="26"/>
      <c r="F70" s="125"/>
      <c r="G70" s="26"/>
      <c r="H70" s="125"/>
      <c r="I70" s="26"/>
      <c r="J70" s="125"/>
      <c r="K70" s="26"/>
      <c r="L70" s="125"/>
      <c r="M70" s="55" t="e">
        <f t="shared" ca="1" si="4"/>
        <v>#N/A</v>
      </c>
      <c r="N70" s="117" t="e">
        <f ca="1">VLOOKUP($B70,Matrix!$H$13:$I$37,2,FALSE)&amp;"_"&amp;C70</f>
        <v>#N/A</v>
      </c>
      <c r="O70" s="130" t="e">
        <f t="shared" ca="1" si="3"/>
        <v>#N/A</v>
      </c>
    </row>
    <row r="71" spans="2:15">
      <c r="B71" s="26"/>
      <c r="C71" s="25"/>
      <c r="D71" s="124"/>
      <c r="E71" s="26"/>
      <c r="F71" s="125"/>
      <c r="G71" s="26"/>
      <c r="H71" s="125"/>
      <c r="I71" s="26"/>
      <c r="J71" s="125"/>
      <c r="K71" s="26"/>
      <c r="L71" s="125"/>
      <c r="M71" s="55" t="e">
        <f t="shared" ca="1" si="4"/>
        <v>#N/A</v>
      </c>
      <c r="N71" s="117" t="e">
        <f ca="1">VLOOKUP($B71,Matrix!$H$13:$I$37,2,FALSE)&amp;"_"&amp;C71</f>
        <v>#N/A</v>
      </c>
      <c r="O71" s="130" t="e">
        <f t="shared" ca="1" si="3"/>
        <v>#N/A</v>
      </c>
    </row>
    <row r="72" spans="2:15">
      <c r="B72" s="26"/>
      <c r="C72" s="25"/>
      <c r="D72" s="124"/>
      <c r="E72" s="26"/>
      <c r="F72" s="125"/>
      <c r="G72" s="26"/>
      <c r="H72" s="125"/>
      <c r="I72" s="26"/>
      <c r="J72" s="125"/>
      <c r="K72" s="26"/>
      <c r="L72" s="125"/>
      <c r="M72" s="55" t="e">
        <f t="shared" ca="1" si="4"/>
        <v>#N/A</v>
      </c>
      <c r="N72" s="117" t="e">
        <f ca="1">VLOOKUP($B72,Matrix!$H$13:$I$37,2,FALSE)&amp;"_"&amp;C72</f>
        <v>#N/A</v>
      </c>
      <c r="O72" s="130" t="e">
        <f t="shared" ca="1" si="3"/>
        <v>#N/A</v>
      </c>
    </row>
    <row r="73" spans="2:15">
      <c r="B73" s="26"/>
      <c r="C73" s="25"/>
      <c r="D73" s="124"/>
      <c r="E73" s="26"/>
      <c r="F73" s="125"/>
      <c r="G73" s="26"/>
      <c r="H73" s="125"/>
      <c r="I73" s="26"/>
      <c r="J73" s="125"/>
      <c r="K73" s="26"/>
      <c r="L73" s="125"/>
      <c r="M73" s="55" t="e">
        <f t="shared" ca="1" si="4"/>
        <v>#N/A</v>
      </c>
      <c r="N73" s="117" t="e">
        <f ca="1">VLOOKUP($B73,Matrix!$H$13:$I$37,2,FALSE)&amp;"_"&amp;C73</f>
        <v>#N/A</v>
      </c>
      <c r="O73" s="130" t="e">
        <f t="shared" ca="1" si="3"/>
        <v>#N/A</v>
      </c>
    </row>
    <row r="74" spans="2:15">
      <c r="B74" s="26"/>
      <c r="C74" s="25"/>
      <c r="D74" s="124"/>
      <c r="E74" s="26"/>
      <c r="F74" s="125"/>
      <c r="G74" s="26"/>
      <c r="H74" s="125"/>
      <c r="I74" s="26"/>
      <c r="J74" s="125"/>
      <c r="K74" s="26"/>
      <c r="L74" s="125"/>
      <c r="M74" s="55" t="e">
        <f t="shared" ca="1" si="4"/>
        <v>#N/A</v>
      </c>
      <c r="N74" s="117" t="e">
        <f ca="1">VLOOKUP($B74,Matrix!$H$13:$I$37,2,FALSE)&amp;"_"&amp;C74</f>
        <v>#N/A</v>
      </c>
      <c r="O74" s="130" t="e">
        <f t="shared" ca="1" si="3"/>
        <v>#N/A</v>
      </c>
    </row>
    <row r="75" spans="2:15">
      <c r="B75" s="26"/>
      <c r="C75" s="25"/>
      <c r="D75" s="124"/>
      <c r="E75" s="26"/>
      <c r="F75" s="125"/>
      <c r="G75" s="26"/>
      <c r="H75" s="125"/>
      <c r="I75" s="26"/>
      <c r="J75" s="125"/>
      <c r="K75" s="26"/>
      <c r="L75" s="125"/>
      <c r="M75" s="55" t="e">
        <f t="shared" ca="1" si="4"/>
        <v>#N/A</v>
      </c>
      <c r="N75" s="117" t="e">
        <f ca="1">VLOOKUP($B75,Matrix!$H$13:$I$37,2,FALSE)&amp;"_"&amp;C75</f>
        <v>#N/A</v>
      </c>
      <c r="O75" s="130" t="e">
        <f t="shared" ca="1" si="3"/>
        <v>#N/A</v>
      </c>
    </row>
    <row r="76" spans="2:15">
      <c r="B76" s="26"/>
      <c r="C76" s="25"/>
      <c r="D76" s="124"/>
      <c r="E76" s="26"/>
      <c r="F76" s="125"/>
      <c r="G76" s="26"/>
      <c r="H76" s="125"/>
      <c r="I76" s="26"/>
      <c r="J76" s="125"/>
      <c r="K76" s="26"/>
      <c r="L76" s="125"/>
      <c r="M76" s="55" t="e">
        <f t="shared" ca="1" si="4"/>
        <v>#N/A</v>
      </c>
      <c r="N76" s="117" t="e">
        <f ca="1">VLOOKUP($B76,Matrix!$H$13:$I$37,2,FALSE)&amp;"_"&amp;C76</f>
        <v>#N/A</v>
      </c>
      <c r="O76" s="130" t="e">
        <f t="shared" ca="1" si="3"/>
        <v>#N/A</v>
      </c>
    </row>
    <row r="77" spans="2:15">
      <c r="B77" s="26"/>
      <c r="C77" s="25"/>
      <c r="D77" s="124"/>
      <c r="E77" s="26"/>
      <c r="F77" s="125"/>
      <c r="G77" s="26"/>
      <c r="H77" s="125"/>
      <c r="I77" s="26"/>
      <c r="J77" s="125"/>
      <c r="K77" s="26"/>
      <c r="L77" s="125"/>
      <c r="M77" s="55" t="e">
        <f t="shared" ca="1" si="4"/>
        <v>#N/A</v>
      </c>
      <c r="N77" s="117" t="e">
        <f ca="1">VLOOKUP($B77,Matrix!$H$13:$I$37,2,FALSE)&amp;"_"&amp;C77</f>
        <v>#N/A</v>
      </c>
      <c r="O77" s="130" t="e">
        <f t="shared" ca="1" si="3"/>
        <v>#N/A</v>
      </c>
    </row>
    <row r="78" spans="2:15">
      <c r="B78" s="26"/>
      <c r="C78" s="25"/>
      <c r="D78" s="124"/>
      <c r="E78" s="26"/>
      <c r="F78" s="125"/>
      <c r="G78" s="26"/>
      <c r="H78" s="125"/>
      <c r="I78" s="26"/>
      <c r="J78" s="125"/>
      <c r="K78" s="26"/>
      <c r="L78" s="125"/>
      <c r="M78" s="55" t="e">
        <f t="shared" ca="1" si="4"/>
        <v>#N/A</v>
      </c>
      <c r="N78" s="117" t="e">
        <f ca="1">VLOOKUP($B78,Matrix!$H$13:$I$37,2,FALSE)&amp;"_"&amp;C78</f>
        <v>#N/A</v>
      </c>
      <c r="O78" s="130" t="e">
        <f t="shared" ca="1" si="3"/>
        <v>#N/A</v>
      </c>
    </row>
    <row r="79" spans="2:15">
      <c r="B79" s="26"/>
      <c r="C79" s="25"/>
      <c r="D79" s="124"/>
      <c r="E79" s="26"/>
      <c r="F79" s="125"/>
      <c r="G79" s="26"/>
      <c r="H79" s="125"/>
      <c r="I79" s="26"/>
      <c r="J79" s="125"/>
      <c r="K79" s="26"/>
      <c r="L79" s="125"/>
      <c r="M79" s="55" t="e">
        <f t="shared" ca="1" si="4"/>
        <v>#N/A</v>
      </c>
      <c r="N79" s="117" t="e">
        <f ca="1">VLOOKUP($B79,Matrix!$H$13:$I$37,2,FALSE)&amp;"_"&amp;C79</f>
        <v>#N/A</v>
      </c>
      <c r="O79" s="130" t="e">
        <f t="shared" ca="1" si="3"/>
        <v>#N/A</v>
      </c>
    </row>
    <row r="80" spans="2:15">
      <c r="B80" s="26"/>
      <c r="C80" s="25"/>
      <c r="D80" s="124"/>
      <c r="E80" s="26"/>
      <c r="F80" s="125"/>
      <c r="G80" s="26"/>
      <c r="H80" s="125"/>
      <c r="I80" s="26"/>
      <c r="J80" s="125"/>
      <c r="K80" s="26"/>
      <c r="L80" s="125"/>
      <c r="M80" s="55" t="e">
        <f t="shared" ca="1" si="4"/>
        <v>#N/A</v>
      </c>
      <c r="N80" s="117" t="e">
        <f ca="1">VLOOKUP($B80,Matrix!$H$13:$I$37,2,FALSE)&amp;"_"&amp;C80</f>
        <v>#N/A</v>
      </c>
      <c r="O80" s="130" t="e">
        <f t="shared" ca="1" si="3"/>
        <v>#N/A</v>
      </c>
    </row>
    <row r="81" spans="2:15">
      <c r="B81" s="26"/>
      <c r="C81" s="25"/>
      <c r="D81" s="124"/>
      <c r="E81" s="26"/>
      <c r="F81" s="125"/>
      <c r="G81" s="26"/>
      <c r="H81" s="125"/>
      <c r="I81" s="26"/>
      <c r="J81" s="125"/>
      <c r="K81" s="26"/>
      <c r="L81" s="125"/>
      <c r="M81" s="55" t="e">
        <f t="shared" ca="1" si="4"/>
        <v>#N/A</v>
      </c>
      <c r="N81" s="117" t="e">
        <f ca="1">VLOOKUP($B81,Matrix!$H$13:$I$37,2,FALSE)&amp;"_"&amp;C81</f>
        <v>#N/A</v>
      </c>
      <c r="O81" s="130" t="e">
        <f t="shared" ca="1" si="3"/>
        <v>#N/A</v>
      </c>
    </row>
    <row r="82" spans="2:15">
      <c r="B82" s="26"/>
      <c r="C82" s="25"/>
      <c r="D82" s="124"/>
      <c r="E82" s="26"/>
      <c r="F82" s="125"/>
      <c r="G82" s="26"/>
      <c r="H82" s="125"/>
      <c r="I82" s="26"/>
      <c r="J82" s="125"/>
      <c r="K82" s="26"/>
      <c r="L82" s="125"/>
      <c r="M82" s="55" t="e">
        <f t="shared" ca="1" si="4"/>
        <v>#N/A</v>
      </c>
      <c r="N82" s="117" t="e">
        <f ca="1">VLOOKUP($B82,Matrix!$H$13:$I$37,2,FALSE)&amp;"_"&amp;C82</f>
        <v>#N/A</v>
      </c>
      <c r="O82" s="130" t="e">
        <f t="shared" ca="1" si="3"/>
        <v>#N/A</v>
      </c>
    </row>
    <row r="83" spans="2:15">
      <c r="B83" s="26"/>
      <c r="C83" s="25"/>
      <c r="D83" s="124"/>
      <c r="E83" s="26"/>
      <c r="F83" s="125"/>
      <c r="G83" s="26"/>
      <c r="H83" s="125"/>
      <c r="I83" s="26"/>
      <c r="J83" s="125"/>
      <c r="K83" s="26"/>
      <c r="L83" s="125"/>
      <c r="M83" s="55" t="e">
        <f t="shared" ca="1" si="4"/>
        <v>#N/A</v>
      </c>
      <c r="N83" s="117" t="e">
        <f ca="1">VLOOKUP($B83,Matrix!$H$13:$I$37,2,FALSE)&amp;"_"&amp;C83</f>
        <v>#N/A</v>
      </c>
      <c r="O83" s="130" t="e">
        <f t="shared" ca="1" si="3"/>
        <v>#N/A</v>
      </c>
    </row>
    <row r="84" spans="2:15">
      <c r="B84" s="26"/>
      <c r="C84" s="25"/>
      <c r="D84" s="124"/>
      <c r="E84" s="26"/>
      <c r="F84" s="125"/>
      <c r="G84" s="26"/>
      <c r="H84" s="125"/>
      <c r="I84" s="26"/>
      <c r="J84" s="125"/>
      <c r="K84" s="26"/>
      <c r="L84" s="125"/>
      <c r="M84" s="55" t="e">
        <f t="shared" ca="1" si="4"/>
        <v>#N/A</v>
      </c>
      <c r="N84" s="117" t="e">
        <f ca="1">VLOOKUP($B84,Matrix!$H$13:$I$37,2,FALSE)&amp;"_"&amp;C84</f>
        <v>#N/A</v>
      </c>
      <c r="O84" s="130" t="e">
        <f t="shared" ca="1" si="3"/>
        <v>#N/A</v>
      </c>
    </row>
    <row r="85" spans="2:15">
      <c r="B85" s="26"/>
      <c r="C85" s="25"/>
      <c r="D85" s="124"/>
      <c r="E85" s="26"/>
      <c r="F85" s="125"/>
      <c r="G85" s="26"/>
      <c r="H85" s="125"/>
      <c r="I85" s="26"/>
      <c r="J85" s="125"/>
      <c r="K85" s="26"/>
      <c r="L85" s="125"/>
      <c r="M85" s="55" t="e">
        <f t="shared" ca="1" si="4"/>
        <v>#N/A</v>
      </c>
      <c r="N85" s="117" t="e">
        <f ca="1">VLOOKUP($B85,Matrix!$H$13:$I$37,2,FALSE)&amp;"_"&amp;C85</f>
        <v>#N/A</v>
      </c>
      <c r="O85" s="130" t="e">
        <f t="shared" ca="1" si="3"/>
        <v>#N/A</v>
      </c>
    </row>
    <row r="86" spans="2:15">
      <c r="B86" s="26"/>
      <c r="C86" s="25"/>
      <c r="D86" s="124"/>
      <c r="E86" s="26"/>
      <c r="F86" s="125"/>
      <c r="G86" s="26"/>
      <c r="H86" s="125"/>
      <c r="I86" s="26"/>
      <c r="J86" s="125"/>
      <c r="K86" s="26"/>
      <c r="L86" s="125"/>
      <c r="M86" s="55" t="e">
        <f t="shared" ca="1" si="4"/>
        <v>#N/A</v>
      </c>
      <c r="N86" s="117" t="e">
        <f ca="1">VLOOKUP($B86,Matrix!$H$13:$I$37,2,FALSE)&amp;"_"&amp;C86</f>
        <v>#N/A</v>
      </c>
      <c r="O86" s="130" t="e">
        <f t="shared" ca="1" si="3"/>
        <v>#N/A</v>
      </c>
    </row>
    <row r="87" spans="2:15">
      <c r="B87" s="26"/>
      <c r="C87" s="25"/>
      <c r="D87" s="124"/>
      <c r="E87" s="26"/>
      <c r="F87" s="125"/>
      <c r="G87" s="26"/>
      <c r="H87" s="125"/>
      <c r="I87" s="26"/>
      <c r="J87" s="125"/>
      <c r="K87" s="26"/>
      <c r="L87" s="125"/>
      <c r="M87" s="55" t="e">
        <f t="shared" ca="1" si="4"/>
        <v>#N/A</v>
      </c>
      <c r="N87" s="75" t="e">
        <f ca="1">VLOOKUP($B87,Matrix!$H$13:$I$37,2,FALSE)&amp;"_"&amp;C87</f>
        <v>#N/A</v>
      </c>
      <c r="O87" s="130" t="e">
        <f t="shared" ca="1" si="3"/>
        <v>#N/A</v>
      </c>
    </row>
    <row r="88" spans="2:15">
      <c r="B88" s="26"/>
      <c r="C88" s="25"/>
      <c r="D88" s="124"/>
      <c r="E88" s="26"/>
      <c r="F88" s="125"/>
      <c r="G88" s="26"/>
      <c r="H88" s="125"/>
      <c r="I88" s="26"/>
      <c r="J88" s="125"/>
      <c r="K88" s="26"/>
      <c r="L88" s="125"/>
      <c r="M88" s="55" t="e">
        <f t="shared" ca="1" si="4"/>
        <v>#N/A</v>
      </c>
      <c r="N88" s="75" t="e">
        <f ca="1">VLOOKUP($B88,Matrix!$H$13:$I$37,2,FALSE)&amp;"_"&amp;C88</f>
        <v>#N/A</v>
      </c>
      <c r="O88" s="130" t="e">
        <f t="shared" ca="1" si="3"/>
        <v>#N/A</v>
      </c>
    </row>
    <row r="89" spans="2:15">
      <c r="B89" s="26"/>
      <c r="C89" s="25"/>
      <c r="D89" s="124"/>
      <c r="E89" s="26"/>
      <c r="F89" s="125"/>
      <c r="G89" s="26"/>
      <c r="H89" s="125"/>
      <c r="I89" s="26"/>
      <c r="J89" s="125"/>
      <c r="K89" s="26"/>
      <c r="L89" s="125"/>
      <c r="M89" s="55" t="e">
        <f t="shared" ca="1" si="4"/>
        <v>#N/A</v>
      </c>
      <c r="N89" s="75" t="e">
        <f ca="1">VLOOKUP($B89,Matrix!$H$13:$I$37,2,FALSE)&amp;"_"&amp;C89</f>
        <v>#N/A</v>
      </c>
      <c r="O89" s="130" t="e">
        <f t="shared" ca="1" si="3"/>
        <v>#N/A</v>
      </c>
    </row>
    <row r="90" spans="2:15">
      <c r="B90" s="26"/>
      <c r="C90" s="25"/>
      <c r="D90" s="124"/>
      <c r="E90" s="26"/>
      <c r="F90" s="125"/>
      <c r="G90" s="26"/>
      <c r="H90" s="125"/>
      <c r="I90" s="26"/>
      <c r="J90" s="125"/>
      <c r="K90" s="26"/>
      <c r="L90" s="125"/>
      <c r="M90" s="55" t="e">
        <f t="shared" ca="1" si="4"/>
        <v>#N/A</v>
      </c>
      <c r="N90" s="75" t="e">
        <f ca="1">VLOOKUP($B90,Matrix!$H$13:$I$37,2,FALSE)&amp;"_"&amp;C90</f>
        <v>#N/A</v>
      </c>
      <c r="O90" s="130" t="e">
        <f t="shared" ca="1" si="3"/>
        <v>#N/A</v>
      </c>
    </row>
    <row r="91" spans="2:15">
      <c r="B91" s="26"/>
      <c r="C91" s="25"/>
      <c r="D91" s="124"/>
      <c r="E91" s="26"/>
      <c r="F91" s="125"/>
      <c r="G91" s="26"/>
      <c r="H91" s="125"/>
      <c r="I91" s="26"/>
      <c r="J91" s="125"/>
      <c r="K91" s="26"/>
      <c r="L91" s="125"/>
      <c r="M91" s="55" t="e">
        <f t="shared" ca="1" si="4"/>
        <v>#N/A</v>
      </c>
      <c r="N91" s="75" t="e">
        <f ca="1">VLOOKUP($B91,Matrix!$H$13:$I$37,2,FALSE)&amp;"_"&amp;C91</f>
        <v>#N/A</v>
      </c>
      <c r="O91" s="130" t="e">
        <f t="shared" ca="1" si="3"/>
        <v>#N/A</v>
      </c>
    </row>
    <row r="92" spans="2:15">
      <c r="B92" s="26"/>
      <c r="C92" s="25"/>
      <c r="D92" s="124"/>
      <c r="E92" s="26"/>
      <c r="F92" s="125"/>
      <c r="G92" s="26"/>
      <c r="H92" s="125"/>
      <c r="I92" s="26"/>
      <c r="J92" s="125"/>
      <c r="K92" s="26"/>
      <c r="L92" s="125"/>
      <c r="M92" s="55" t="e">
        <f t="shared" ca="1" si="4"/>
        <v>#N/A</v>
      </c>
      <c r="N92" s="75" t="e">
        <f ca="1">VLOOKUP($B92,Matrix!$H$13:$I$37,2,FALSE)&amp;"_"&amp;C92</f>
        <v>#N/A</v>
      </c>
      <c r="O92" s="130" t="e">
        <f t="shared" ca="1" si="3"/>
        <v>#N/A</v>
      </c>
    </row>
    <row r="93" spans="2:15">
      <c r="B93" s="26"/>
      <c r="C93" s="25"/>
      <c r="D93" s="124"/>
      <c r="E93" s="26"/>
      <c r="F93" s="125"/>
      <c r="G93" s="26"/>
      <c r="H93" s="125"/>
      <c r="I93" s="26"/>
      <c r="J93" s="125"/>
      <c r="K93" s="26"/>
      <c r="L93" s="125"/>
      <c r="M93" s="55" t="e">
        <f t="shared" ca="1" si="4"/>
        <v>#N/A</v>
      </c>
      <c r="N93" s="75" t="e">
        <f ca="1">VLOOKUP($B93,Matrix!$H$13:$I$37,2,FALSE)&amp;"_"&amp;C93</f>
        <v>#N/A</v>
      </c>
      <c r="O93" s="130" t="e">
        <f t="shared" ca="1" si="3"/>
        <v>#N/A</v>
      </c>
    </row>
    <row r="94" spans="2:15">
      <c r="B94" s="26"/>
      <c r="C94" s="25"/>
      <c r="D94" s="124"/>
      <c r="E94" s="26"/>
      <c r="F94" s="125"/>
      <c r="G94" s="26"/>
      <c r="H94" s="125"/>
      <c r="I94" s="26"/>
      <c r="J94" s="125"/>
      <c r="K94" s="26"/>
      <c r="L94" s="125"/>
      <c r="M94" s="55" t="e">
        <f t="shared" ca="1" si="4"/>
        <v>#N/A</v>
      </c>
      <c r="N94" s="75" t="e">
        <f ca="1">VLOOKUP($B94,Matrix!$H$13:$I$37,2,FALSE)&amp;"_"&amp;C94</f>
        <v>#N/A</v>
      </c>
      <c r="O94" s="130" t="e">
        <f t="shared" ca="1" si="3"/>
        <v>#N/A</v>
      </c>
    </row>
    <row r="95" spans="2:15">
      <c r="B95" s="26"/>
      <c r="C95" s="25"/>
      <c r="D95" s="124"/>
      <c r="E95" s="26"/>
      <c r="F95" s="125"/>
      <c r="G95" s="26"/>
      <c r="H95" s="125"/>
      <c r="I95" s="26"/>
      <c r="J95" s="125"/>
      <c r="K95" s="26"/>
      <c r="L95" s="125"/>
      <c r="M95" s="55" t="e">
        <f t="shared" ca="1" si="4"/>
        <v>#N/A</v>
      </c>
      <c r="N95" s="75" t="e">
        <f ca="1">VLOOKUP($B95,Matrix!$H$13:$I$37,2,FALSE)&amp;"_"&amp;C95</f>
        <v>#N/A</v>
      </c>
      <c r="O95" s="130" t="e">
        <f t="shared" ca="1" si="3"/>
        <v>#N/A</v>
      </c>
    </row>
    <row r="96" spans="2:15">
      <c r="B96" s="26"/>
      <c r="C96" s="25"/>
      <c r="D96" s="124"/>
      <c r="E96" s="26"/>
      <c r="F96" s="125"/>
      <c r="G96" s="26"/>
      <c r="H96" s="125"/>
      <c r="I96" s="26"/>
      <c r="J96" s="125"/>
      <c r="K96" s="26"/>
      <c r="L96" s="125"/>
      <c r="M96" s="55" t="e">
        <f t="shared" ca="1" si="4"/>
        <v>#N/A</v>
      </c>
      <c r="N96" s="75" t="e">
        <f ca="1">VLOOKUP($B96,Matrix!$H$13:$I$37,2,FALSE)&amp;"_"&amp;C96</f>
        <v>#N/A</v>
      </c>
      <c r="O96" s="130" t="e">
        <f t="shared" ca="1" si="3"/>
        <v>#N/A</v>
      </c>
    </row>
    <row r="97" spans="2:15">
      <c r="B97" s="26"/>
      <c r="C97" s="25"/>
      <c r="D97" s="124"/>
      <c r="E97" s="26"/>
      <c r="F97" s="125"/>
      <c r="G97" s="26"/>
      <c r="H97" s="125"/>
      <c r="I97" s="26"/>
      <c r="J97" s="125"/>
      <c r="K97" s="26"/>
      <c r="L97" s="125"/>
      <c r="M97" s="55" t="e">
        <f t="shared" ca="1" si="4"/>
        <v>#N/A</v>
      </c>
      <c r="N97" s="75" t="e">
        <f ca="1">VLOOKUP($B97,Matrix!$H$13:$I$37,2,FALSE)&amp;"_"&amp;C97</f>
        <v>#N/A</v>
      </c>
      <c r="O97" s="130" t="e">
        <f t="shared" ca="1" si="3"/>
        <v>#N/A</v>
      </c>
    </row>
    <row r="98" spans="2:15">
      <c r="B98" s="26"/>
      <c r="C98" s="25"/>
      <c r="D98" s="124"/>
      <c r="E98" s="26"/>
      <c r="F98" s="125"/>
      <c r="G98" s="26"/>
      <c r="H98" s="125"/>
      <c r="I98" s="26"/>
      <c r="J98" s="125"/>
      <c r="K98" s="26"/>
      <c r="L98" s="125"/>
      <c r="M98" s="55" t="e">
        <f t="shared" ca="1" si="4"/>
        <v>#N/A</v>
      </c>
      <c r="N98" s="75" t="e">
        <f ca="1">VLOOKUP($B98,Matrix!$H$13:$I$37,2,FALSE)&amp;"_"&amp;C98</f>
        <v>#N/A</v>
      </c>
      <c r="O98" s="130" t="e">
        <f t="shared" ca="1" si="3"/>
        <v>#N/A</v>
      </c>
    </row>
    <row r="99" spans="2:15">
      <c r="B99" s="26"/>
      <c r="C99" s="25"/>
      <c r="D99" s="124"/>
      <c r="E99" s="26"/>
      <c r="F99" s="125"/>
      <c r="G99" s="26"/>
      <c r="H99" s="125"/>
      <c r="I99" s="26"/>
      <c r="J99" s="125"/>
      <c r="K99" s="26"/>
      <c r="L99" s="125"/>
      <c r="M99" s="55" t="e">
        <f t="shared" ca="1" si="4"/>
        <v>#N/A</v>
      </c>
      <c r="N99" s="75" t="e">
        <f ca="1">VLOOKUP($B99,Matrix!$H$13:$I$37,2,FALSE)&amp;"_"&amp;C99</f>
        <v>#N/A</v>
      </c>
      <c r="O99" s="130" t="e">
        <f t="shared" ca="1" si="3"/>
        <v>#N/A</v>
      </c>
    </row>
    <row r="100" spans="2:15">
      <c r="B100" s="26"/>
      <c r="C100" s="25"/>
      <c r="D100" s="124"/>
      <c r="E100" s="26"/>
      <c r="F100" s="125"/>
      <c r="G100" s="26"/>
      <c r="H100" s="125"/>
      <c r="I100" s="26"/>
      <c r="J100" s="125"/>
      <c r="K100" s="26"/>
      <c r="L100" s="125"/>
      <c r="M100" s="55" t="e">
        <f t="shared" ca="1" si="4"/>
        <v>#N/A</v>
      </c>
      <c r="N100" s="75" t="e">
        <f ca="1">VLOOKUP($B100,Matrix!$H$13:$I$37,2,FALSE)&amp;"_"&amp;C100</f>
        <v>#N/A</v>
      </c>
      <c r="O100" s="130" t="e">
        <f t="shared" ref="O100:O103" ca="1" si="5">"#define "&amp;N100&amp;REPT(" ",48-M100)&amp;"("&amp;D100&amp;"U)"</f>
        <v>#N/A</v>
      </c>
    </row>
    <row r="101" spans="2:15">
      <c r="B101" s="26"/>
      <c r="C101" s="25"/>
      <c r="D101" s="124"/>
      <c r="E101" s="26"/>
      <c r="F101" s="125"/>
      <c r="G101" s="26"/>
      <c r="H101" s="125"/>
      <c r="I101" s="26"/>
      <c r="J101" s="125"/>
      <c r="K101" s="26"/>
      <c r="L101" s="125"/>
      <c r="M101" s="55" t="e">
        <f t="shared" ca="1" si="4"/>
        <v>#N/A</v>
      </c>
      <c r="N101" s="75" t="e">
        <f ca="1">VLOOKUP($B101,Matrix!$H$13:$I$37,2,FALSE)&amp;"_"&amp;C101</f>
        <v>#N/A</v>
      </c>
      <c r="O101" s="130" t="e">
        <f t="shared" ca="1" si="5"/>
        <v>#N/A</v>
      </c>
    </row>
    <row r="102" spans="2:15">
      <c r="B102" s="26"/>
      <c r="C102" s="25"/>
      <c r="D102" s="124"/>
      <c r="E102" s="26"/>
      <c r="F102" s="125"/>
      <c r="G102" s="26"/>
      <c r="H102" s="125"/>
      <c r="I102" s="26"/>
      <c r="J102" s="125"/>
      <c r="K102" s="26"/>
      <c r="L102" s="125"/>
      <c r="M102" s="55" t="e">
        <f t="shared" ca="1" si="4"/>
        <v>#N/A</v>
      </c>
      <c r="N102" s="75" t="e">
        <f ca="1">VLOOKUP($B102,Matrix!$H$13:$I$37,2,FALSE)&amp;"_"&amp;C102</f>
        <v>#N/A</v>
      </c>
      <c r="O102" s="130" t="e">
        <f t="shared" ca="1" si="5"/>
        <v>#N/A</v>
      </c>
    </row>
    <row r="103" spans="2:15" ht="14.25" thickBot="1">
      <c r="B103" s="61"/>
      <c r="C103" s="62"/>
      <c r="D103" s="126"/>
      <c r="E103" s="61"/>
      <c r="F103" s="127"/>
      <c r="G103" s="61"/>
      <c r="H103" s="127"/>
      <c r="I103" s="61"/>
      <c r="J103" s="127"/>
      <c r="K103" s="61"/>
      <c r="L103" s="127"/>
      <c r="M103" s="63" t="e">
        <f t="shared" ca="1" si="4"/>
        <v>#N/A</v>
      </c>
      <c r="N103" s="76" t="e">
        <f ca="1">VLOOKUP($B103,Matrix!$H$13:$I$37,2,FALSE)&amp;"_"&amp;C103</f>
        <v>#N/A</v>
      </c>
      <c r="O103" s="131" t="e">
        <f t="shared" ca="1" si="5"/>
        <v>#N/A</v>
      </c>
    </row>
  </sheetData>
  <protectedRanges>
    <protectedRange sqref="B4:L103" name="範囲1"/>
  </protectedRanges>
  <phoneticPr fontId="2"/>
  <conditionalFormatting sqref="M4:M103">
    <cfRule type="cellIs" dxfId="22" priority="2" operator="greaterThan">
      <formula>32</formula>
    </cfRule>
  </conditionalFormatting>
  <conditionalFormatting sqref="M3">
    <cfRule type="cellIs" dxfId="2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G3" sqref="AG3:AI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2" t="s">
        <v>123</v>
      </c>
      <c r="C2" s="345" t="s">
        <v>84</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47" t="s">
        <v>155</v>
      </c>
    </row>
    <row r="3" spans="1:49" ht="213" customHeight="1" thickBot="1">
      <c r="B3" s="214" t="str">
        <f>IF(OR(IF(COUNTIF(D6:AC69,"0")&lt;&gt;0,TRUE,FALSE),IF(COUNTIF(D6:AC69,"1")&lt;&gt;0,TRUE,FALSE)),"Search Table","Index Table")</f>
        <v>Index Table</v>
      </c>
      <c r="C3" s="346"/>
      <c r="D3" s="134" t="s">
        <v>64</v>
      </c>
      <c r="E3" s="134" t="s">
        <v>69</v>
      </c>
      <c r="F3" s="134" t="s">
        <v>52</v>
      </c>
      <c r="G3" s="134" t="s">
        <v>51</v>
      </c>
      <c r="H3" s="134" t="s">
        <v>121</v>
      </c>
      <c r="I3" s="134" t="s">
        <v>120</v>
      </c>
      <c r="J3" s="134" t="s">
        <v>125</v>
      </c>
      <c r="K3" s="134" t="s">
        <v>124</v>
      </c>
      <c r="L3" s="135" t="s">
        <v>69</v>
      </c>
      <c r="M3" s="135" t="s">
        <v>65</v>
      </c>
      <c r="N3" s="135" t="s">
        <v>65</v>
      </c>
      <c r="O3" s="135" t="s">
        <v>65</v>
      </c>
      <c r="P3" s="135" t="s">
        <v>65</v>
      </c>
      <c r="Q3" s="135" t="s">
        <v>65</v>
      </c>
      <c r="R3" s="135" t="s">
        <v>65</v>
      </c>
      <c r="S3" s="135" t="s">
        <v>65</v>
      </c>
      <c r="T3" s="135" t="s">
        <v>65</v>
      </c>
      <c r="U3" s="135" t="s">
        <v>65</v>
      </c>
      <c r="V3" s="135" t="s">
        <v>65</v>
      </c>
      <c r="W3" s="135" t="s">
        <v>65</v>
      </c>
      <c r="X3" s="135" t="s">
        <v>65</v>
      </c>
      <c r="Y3" s="135" t="s">
        <v>65</v>
      </c>
      <c r="Z3" s="135" t="s">
        <v>65</v>
      </c>
      <c r="AA3" s="135" t="s">
        <v>65</v>
      </c>
      <c r="AB3" s="135" t="s">
        <v>157</v>
      </c>
      <c r="AC3" s="135" t="s">
        <v>65</v>
      </c>
      <c r="AD3" s="135" t="s">
        <v>157</v>
      </c>
      <c r="AE3" s="353" t="s">
        <v>216</v>
      </c>
      <c r="AF3" s="355"/>
      <c r="AG3" s="353" t="s">
        <v>489</v>
      </c>
      <c r="AH3" s="354"/>
      <c r="AI3" s="355"/>
      <c r="AJ3" s="348"/>
      <c r="AR3" s="101" t="s">
        <v>96</v>
      </c>
    </row>
    <row r="4" spans="1:49" ht="14.25" thickBot="1">
      <c r="A4" s="349" t="s">
        <v>66</v>
      </c>
      <c r="B4" s="350"/>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6"/>
      <c r="AR4" s="89" t="s">
        <v>82</v>
      </c>
      <c r="AS4" s="90"/>
      <c r="AT4" s="90"/>
      <c r="AU4" s="90"/>
      <c r="AV4" s="90"/>
      <c r="AW4" s="91"/>
    </row>
    <row r="5" spans="1:49" ht="14.25" thickBot="1">
      <c r="A5" s="351"/>
      <c r="B5" s="352"/>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7"/>
      <c r="AR5" s="92" t="str">
        <f ca="1">"static const U4  "&amp;AW8&amp;"["&amp;AW10&amp;"]"&amp;" = {"</f>
        <v>static const U4  u4_sp_ALERT_S_LCA_TT_L_CRIT[ALERT_S_LCA_TT_L_NUM_DST] = {</v>
      </c>
      <c r="AS5" s="92" t="str">
        <f ca="1">"static const U4  "&amp;$AW$9&amp;"["&amp;$AW$10&amp;"] = {"</f>
        <v>static const U4  u4_sp_ALERT_S_LCA_TT_L_MASK[ALERT_S_LCA_TT_L_NUM_DST] = {</v>
      </c>
      <c r="AT5" s="92" t="str">
        <f ca="1">"static const U1  "&amp;$AW$11&amp;"["&amp;$AW$10&amp;"] = {"</f>
        <v>static const U1  u1_sp_ALERT_S_LCA_TT_L_DST[ALERT_S_LCA_TT_L_NUM_DST] = {</v>
      </c>
      <c r="AU5" s="92" t="str">
        <f ca="1">"const ST_ALERT_MTRX "&amp;$AW$12&amp;" = {"</f>
        <v>const ST_ALERT_MTRX st_gp_ALERT_S_LCA_MTRX[7] = {</v>
      </c>
      <c r="AV5" s="72" t="str">
        <f ca="1">"#define "&amp;AW10&amp;REPT(" ",41-LEN(AW10))&amp;"("&amp;AW13&amp;"U)"</f>
        <v>#define ALERT_S_LCA_TT_L_NUM_DST                 (32U)</v>
      </c>
      <c r="AW5" s="73"/>
    </row>
    <row r="6" spans="1:49">
      <c r="B6" s="139" t="str">
        <f ca="1">"Table "&amp;$AW$6</f>
        <v>Table TT_L</v>
      </c>
      <c r="C6" s="60">
        <f>ROW()-ROW($C$6)</f>
        <v>0</v>
      </c>
      <c r="D6" s="39" t="s">
        <v>70</v>
      </c>
      <c r="E6" s="39" t="s">
        <v>70</v>
      </c>
      <c r="F6" s="39" t="s">
        <v>70</v>
      </c>
      <c r="G6" s="39" t="s">
        <v>70</v>
      </c>
      <c r="H6" s="39" t="s">
        <v>70</v>
      </c>
      <c r="I6" s="39" t="s">
        <v>70</v>
      </c>
      <c r="J6" s="39" t="s">
        <v>70</v>
      </c>
      <c r="K6" s="39" t="s">
        <v>410</v>
      </c>
      <c r="L6" s="39" t="s">
        <v>70</v>
      </c>
      <c r="M6" s="39" t="s">
        <v>70</v>
      </c>
      <c r="N6" s="39" t="s">
        <v>70</v>
      </c>
      <c r="O6" s="39" t="s">
        <v>70</v>
      </c>
      <c r="P6" s="39" t="s">
        <v>70</v>
      </c>
      <c r="Q6" s="39" t="s">
        <v>70</v>
      </c>
      <c r="R6" s="39" t="s">
        <v>70</v>
      </c>
      <c r="S6" s="39" t="s">
        <v>70</v>
      </c>
      <c r="T6" s="39" t="s">
        <v>70</v>
      </c>
      <c r="U6" s="39" t="s">
        <v>70</v>
      </c>
      <c r="V6" s="39" t="s">
        <v>70</v>
      </c>
      <c r="W6" s="39" t="s">
        <v>70</v>
      </c>
      <c r="X6" s="39" t="s">
        <v>70</v>
      </c>
      <c r="Y6" s="39" t="s">
        <v>70</v>
      </c>
      <c r="Z6" s="39" t="s">
        <v>70</v>
      </c>
      <c r="AA6" s="39" t="s">
        <v>70</v>
      </c>
      <c r="AB6" s="39" t="s">
        <v>70</v>
      </c>
      <c r="AC6" s="39" t="s">
        <v>70</v>
      </c>
      <c r="AD6" s="39" t="s">
        <v>70</v>
      </c>
      <c r="AE6" s="262">
        <v>0</v>
      </c>
      <c r="AF6" s="69">
        <v>0</v>
      </c>
      <c r="AG6" s="69">
        <v>0</v>
      </c>
      <c r="AH6" s="69">
        <v>0</v>
      </c>
      <c r="AI6" s="69">
        <v>0</v>
      </c>
      <c r="AJ6" s="59" t="s">
        <v>33</v>
      </c>
      <c r="AL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(U4)0x0000001FU,                                                           /* 00 UNKNOWN                                         */</v>
      </c>
      <c r="AT6" s="70" t="str">
        <f t="shared" ref="AT6:AT69" si="1">IF(AJ6&lt;&gt;"",AL6&amp;IF(AJ7&lt;&gt;"",","," ")&amp;REPT(" ",78-LEN(AL6))&amp;"/* "&amp;IF(C6&lt;10,"0"&amp;C6,C6)&amp;" "&amp;AJ6&amp;REPT(" ",48-LEN(AJ6))&amp;"*/",IF(AJ5&lt;&gt;"","};",""))</f>
        <v xml:space="preserve">    (U1)ALERT_REQ_UNKNOWN,                                                     /* 00 UNKNOWN                                         */</v>
      </c>
      <c r="AU6" s="70" t="s">
        <v>466</v>
      </c>
      <c r="AV6" s="56" t="s">
        <v>71</v>
      </c>
      <c r="AW6" s="74" t="str">
        <f ca="1">UPPER(RIGHT(CELL("filename",A1),LEN(CELL("filename",A1))-FIND("]",CELL("filename",A1))))</f>
        <v>TT_L</v>
      </c>
    </row>
    <row r="7" spans="1:49">
      <c r="B7" s="139"/>
      <c r="C7" s="55">
        <f t="shared" ref="C7:C69" si="2">ROW()-ROW($C$6)</f>
        <v>1</v>
      </c>
      <c r="D7" s="69" t="s">
        <v>70</v>
      </c>
      <c r="E7" s="69" t="s">
        <v>70</v>
      </c>
      <c r="F7" s="69" t="s">
        <v>70</v>
      </c>
      <c r="G7" s="69" t="s">
        <v>70</v>
      </c>
      <c r="H7" s="69" t="s">
        <v>70</v>
      </c>
      <c r="I7" s="69" t="s">
        <v>70</v>
      </c>
      <c r="J7" s="69" t="s">
        <v>70</v>
      </c>
      <c r="K7" s="69" t="s">
        <v>410</v>
      </c>
      <c r="L7" s="69" t="s">
        <v>70</v>
      </c>
      <c r="M7" s="69" t="s">
        <v>70</v>
      </c>
      <c r="N7" s="69" t="s">
        <v>70</v>
      </c>
      <c r="O7" s="69" t="s">
        <v>70</v>
      </c>
      <c r="P7" s="69" t="s">
        <v>70</v>
      </c>
      <c r="Q7" s="69" t="s">
        <v>70</v>
      </c>
      <c r="R7" s="69" t="s">
        <v>70</v>
      </c>
      <c r="S7" s="69" t="s">
        <v>70</v>
      </c>
      <c r="T7" s="69" t="s">
        <v>70</v>
      </c>
      <c r="U7" s="69" t="s">
        <v>70</v>
      </c>
      <c r="V7" s="69" t="s">
        <v>70</v>
      </c>
      <c r="W7" s="69" t="s">
        <v>70</v>
      </c>
      <c r="X7" s="69" t="s">
        <v>70</v>
      </c>
      <c r="Y7" s="69" t="s">
        <v>70</v>
      </c>
      <c r="Z7" s="69" t="s">
        <v>70</v>
      </c>
      <c r="AA7" s="69" t="s">
        <v>70</v>
      </c>
      <c r="AB7" s="69" t="s">
        <v>70</v>
      </c>
      <c r="AC7" s="69" t="s">
        <v>70</v>
      </c>
      <c r="AD7" s="39" t="s">
        <v>70</v>
      </c>
      <c r="AE7" s="262">
        <v>0</v>
      </c>
      <c r="AF7" s="69">
        <v>0</v>
      </c>
      <c r="AG7" s="69">
        <v>0</v>
      </c>
      <c r="AH7" s="69">
        <v>0</v>
      </c>
      <c r="AI7" s="69">
        <v>1</v>
      </c>
      <c r="AJ7" s="25" t="s">
        <v>421</v>
      </c>
      <c r="AL7" t="str">
        <f t="shared" ca="1" si="0"/>
        <v xml:space="preserve">    (U1)ALERT_REQ_S_LCA_TT_L_ON_G</v>
      </c>
      <c r="AR7" s="70" t="str">
        <f t="shared" ref="AR7:AR70" si="3">IF(AQ72&lt;&gt;"",AQ72,IF(AQ71&lt;&gt;"","};",""))</f>
        <v xml:space="preserve">    (U4)0x00000001U,                                                           /* 01 ON_G                                            */</v>
      </c>
      <c r="AS7" s="70" t="str">
        <f t="shared" ref="AS7:AS70" si="4">IF(AQ137&lt;&gt;"",AQ137,IF(AQ136&lt;&gt;"","};",""))</f>
        <v xml:space="preserve">    (U4)0x0000001FU,                                                           /* 01 ON_G                                            */</v>
      </c>
      <c r="AT7" s="70" t="str">
        <f t="shared" ca="1" si="1"/>
        <v xml:space="preserve">    (U1)ALERT_REQ_S_LCA_TT_L_ON_G,                                             /* 01 ON_G                                            */</v>
      </c>
      <c r="AU7" s="70" t="str">
        <f ca="1">"        &amp;"&amp;$AW$14&amp;","&amp;REPT(" ",69-LEN($AW$14))&amp;"/* fp_u4_SRC_CHK                                      */"</f>
        <v xml:space="preserve">        &amp;u4_s_AlertS_lcaTtLSrcchk,                                             /* fp_u4_SRC_CHK                                      */</v>
      </c>
      <c r="AV7" s="57" t="s">
        <v>72</v>
      </c>
      <c r="AW7" s="138">
        <f>IF(B3="Search Table",1,0)</f>
        <v>0</v>
      </c>
    </row>
    <row r="8" spans="1:49">
      <c r="B8" s="139"/>
      <c r="C8" s="55">
        <f t="shared" si="2"/>
        <v>2</v>
      </c>
      <c r="D8" s="69" t="s">
        <v>70</v>
      </c>
      <c r="E8" s="69" t="s">
        <v>70</v>
      </c>
      <c r="F8" s="69" t="s">
        <v>70</v>
      </c>
      <c r="G8" s="69" t="s">
        <v>70</v>
      </c>
      <c r="H8" s="69" t="s">
        <v>70</v>
      </c>
      <c r="I8" s="69" t="s">
        <v>70</v>
      </c>
      <c r="J8" s="69" t="s">
        <v>70</v>
      </c>
      <c r="K8" s="69" t="s">
        <v>410</v>
      </c>
      <c r="L8" s="69" t="s">
        <v>70</v>
      </c>
      <c r="M8" s="69" t="s">
        <v>70</v>
      </c>
      <c r="N8" s="69" t="s">
        <v>70</v>
      </c>
      <c r="O8" s="69" t="s">
        <v>70</v>
      </c>
      <c r="P8" s="69" t="s">
        <v>70</v>
      </c>
      <c r="Q8" s="69" t="s">
        <v>70</v>
      </c>
      <c r="R8" s="69" t="s">
        <v>70</v>
      </c>
      <c r="S8" s="69" t="s">
        <v>70</v>
      </c>
      <c r="T8" s="69" t="s">
        <v>70</v>
      </c>
      <c r="U8" s="69" t="s">
        <v>70</v>
      </c>
      <c r="V8" s="69" t="s">
        <v>70</v>
      </c>
      <c r="W8" s="69" t="s">
        <v>70</v>
      </c>
      <c r="X8" s="69" t="s">
        <v>70</v>
      </c>
      <c r="Y8" s="69" t="s">
        <v>70</v>
      </c>
      <c r="Z8" s="69" t="s">
        <v>70</v>
      </c>
      <c r="AA8" s="69" t="s">
        <v>70</v>
      </c>
      <c r="AB8" s="69" t="s">
        <v>70</v>
      </c>
      <c r="AC8" s="69" t="s">
        <v>70</v>
      </c>
      <c r="AD8" s="69" t="s">
        <v>70</v>
      </c>
      <c r="AE8" s="262">
        <v>0</v>
      </c>
      <c r="AF8" s="69">
        <v>0</v>
      </c>
      <c r="AG8" s="69">
        <v>0</v>
      </c>
      <c r="AH8" s="69">
        <v>1</v>
      </c>
      <c r="AI8" s="69">
        <v>0</v>
      </c>
      <c r="AJ8" s="25" t="s">
        <v>492</v>
      </c>
      <c r="AL8" t="str">
        <f t="shared" ca="1" si="0"/>
        <v xml:space="preserve">    (U1)ALERT_REQ_S_LCA_TT_L_ON_GY</v>
      </c>
      <c r="AR8" s="70" t="str">
        <f t="shared" si="3"/>
        <v xml:space="preserve">    (U4)0x00000002U,                                                           /* 02 ON_GY                                           */</v>
      </c>
      <c r="AS8" s="70" t="str">
        <f t="shared" si="4"/>
        <v xml:space="preserve">    (U4)0x0000001FU,                                                           /* 02 ON_GY                                           */</v>
      </c>
      <c r="AT8" s="70" t="str">
        <f ca="1">IF(AJ8&lt;&gt;"",AL8&amp;IF(AJ9&lt;&gt;"",","," ")&amp;REPT(" ",78-LEN(AL8))&amp;"/* "&amp;IF(C8&lt;10,"0"&amp;C8,C8)&amp;" "&amp;AJ8&amp;REPT(" ",48-LEN(AJ8))&amp;"*/",IF(AJ7&lt;&gt;"","};",""))</f>
        <v xml:space="preserve">    (U1)ALERT_REQ_S_LCA_TT_L_ON_GY,                                            /* 02 ON_GY                                           */</v>
      </c>
      <c r="AU8" s="70" t="str">
        <f ca="1">IF($AW$15&lt;&gt;"NULL","        &amp;"&amp;$AW$15&amp;","&amp;REPT(" ",69-LEN($AW$15))&amp;"/* fp_vd_XDST                                         */","        vdp_PTR_NA,                                                            /* fp_vd_XDST                                         */")</f>
        <v xml:space="preserve">        vdp_PTR_NA,                                                            /* fp_vd_XDST                                         */</v>
      </c>
      <c r="AV8" s="57" t="s">
        <v>73</v>
      </c>
      <c r="AW8" s="75" t="str">
        <f ca="1">"u4_sp_ALERT_"&amp;IF(AW6&lt;&gt;AW17,$AW$17&amp;"_"&amp;$AW$6,AW17)&amp;"_CRIT"</f>
        <v>u4_sp_ALERT_S_LCA_TT_L_CRIT</v>
      </c>
    </row>
    <row r="9" spans="1:49">
      <c r="B9" s="139"/>
      <c r="C9" s="55">
        <f t="shared" si="2"/>
        <v>3</v>
      </c>
      <c r="D9" s="69" t="s">
        <v>70</v>
      </c>
      <c r="E9" s="69" t="s">
        <v>70</v>
      </c>
      <c r="F9" s="69" t="s">
        <v>70</v>
      </c>
      <c r="G9" s="69" t="s">
        <v>70</v>
      </c>
      <c r="H9" s="69" t="s">
        <v>70</v>
      </c>
      <c r="I9" s="69" t="s">
        <v>70</v>
      </c>
      <c r="J9" s="69" t="s">
        <v>70</v>
      </c>
      <c r="K9" s="69" t="s">
        <v>70</v>
      </c>
      <c r="L9" s="69" t="s">
        <v>70</v>
      </c>
      <c r="M9" s="69" t="s">
        <v>70</v>
      </c>
      <c r="N9" s="69" t="s">
        <v>70</v>
      </c>
      <c r="O9" s="69" t="s">
        <v>70</v>
      </c>
      <c r="P9" s="69" t="s">
        <v>70</v>
      </c>
      <c r="Q9" s="69" t="s">
        <v>70</v>
      </c>
      <c r="R9" s="69" t="s">
        <v>70</v>
      </c>
      <c r="S9" s="69" t="s">
        <v>70</v>
      </c>
      <c r="T9" s="69" t="s">
        <v>70</v>
      </c>
      <c r="U9" s="69" t="s">
        <v>70</v>
      </c>
      <c r="V9" s="69" t="s">
        <v>70</v>
      </c>
      <c r="W9" s="69" t="s">
        <v>70</v>
      </c>
      <c r="X9" s="69" t="s">
        <v>70</v>
      </c>
      <c r="Y9" s="69" t="s">
        <v>70</v>
      </c>
      <c r="Z9" s="69" t="s">
        <v>70</v>
      </c>
      <c r="AA9" s="69" t="s">
        <v>70</v>
      </c>
      <c r="AB9" s="69" t="s">
        <v>70</v>
      </c>
      <c r="AC9" s="69" t="s">
        <v>70</v>
      </c>
      <c r="AD9" s="69" t="s">
        <v>70</v>
      </c>
      <c r="AE9" s="262">
        <v>0</v>
      </c>
      <c r="AF9" s="69">
        <v>0</v>
      </c>
      <c r="AG9" s="69">
        <v>0</v>
      </c>
      <c r="AH9" s="69">
        <v>1</v>
      </c>
      <c r="AI9" s="69">
        <v>1</v>
      </c>
      <c r="AJ9" s="25" t="s">
        <v>33</v>
      </c>
      <c r="AL9" t="str">
        <f t="shared" si="0"/>
        <v xml:space="preserve">    (U1)ALERT_REQ_UNKNOWN</v>
      </c>
      <c r="AR9" s="70" t="str">
        <f t="shared" si="3"/>
        <v xml:space="preserve">    (U4)0x00000003U,                                                           /* 03 UNKNOWN                                         */</v>
      </c>
      <c r="AS9" s="70" t="str">
        <f t="shared" si="4"/>
        <v xml:space="preserve">    (U4)0x0000001FU,                                                           /* 03 UNKNOWN                                         */</v>
      </c>
      <c r="AT9" s="70" t="str">
        <f t="shared" si="1"/>
        <v xml:space="preserve">    (U1)ALERT_REQ_UNKNOWN,                                                     /* 03 UNKNOWN                                         */</v>
      </c>
      <c r="AU9" s="70"/>
      <c r="AV9" s="57" t="s">
        <v>74</v>
      </c>
      <c r="AW9" s="75" t="str">
        <f ca="1">"u4_sp_ALERT_"&amp;IF(AW6&lt;&gt;AW17,$AW$17&amp;"_"&amp;$AW$6,AW17)&amp;"_MASK"</f>
        <v>u4_sp_ALERT_S_LCA_TT_L_MASK</v>
      </c>
    </row>
    <row r="10" spans="1:49">
      <c r="B10" s="139"/>
      <c r="C10" s="55">
        <f t="shared" si="2"/>
        <v>4</v>
      </c>
      <c r="D10" s="69" t="s">
        <v>70</v>
      </c>
      <c r="E10" s="69" t="s">
        <v>70</v>
      </c>
      <c r="F10" s="69" t="s">
        <v>70</v>
      </c>
      <c r="G10" s="69" t="s">
        <v>70</v>
      </c>
      <c r="H10" s="69" t="s">
        <v>70</v>
      </c>
      <c r="I10" s="69" t="s">
        <v>70</v>
      </c>
      <c r="J10" s="69" t="s">
        <v>70</v>
      </c>
      <c r="K10" s="69" t="s">
        <v>70</v>
      </c>
      <c r="L10" s="69" t="s">
        <v>70</v>
      </c>
      <c r="M10" s="69" t="s">
        <v>70</v>
      </c>
      <c r="N10" s="69" t="s">
        <v>70</v>
      </c>
      <c r="O10" s="69" t="s">
        <v>70</v>
      </c>
      <c r="P10" s="69" t="s">
        <v>70</v>
      </c>
      <c r="Q10" s="69" t="s">
        <v>70</v>
      </c>
      <c r="R10" s="69" t="s">
        <v>70</v>
      </c>
      <c r="S10" s="69" t="s">
        <v>70</v>
      </c>
      <c r="T10" s="69" t="s">
        <v>70</v>
      </c>
      <c r="U10" s="69" t="s">
        <v>70</v>
      </c>
      <c r="V10" s="69" t="s">
        <v>70</v>
      </c>
      <c r="W10" s="69" t="s">
        <v>70</v>
      </c>
      <c r="X10" s="69" t="s">
        <v>70</v>
      </c>
      <c r="Y10" s="69" t="s">
        <v>70</v>
      </c>
      <c r="Z10" s="69" t="s">
        <v>70</v>
      </c>
      <c r="AA10" s="69" t="s">
        <v>70</v>
      </c>
      <c r="AB10" s="69" t="s">
        <v>70</v>
      </c>
      <c r="AC10" s="69" t="s">
        <v>70</v>
      </c>
      <c r="AD10" s="69" t="s">
        <v>70</v>
      </c>
      <c r="AE10" s="262">
        <v>0</v>
      </c>
      <c r="AF10" s="69">
        <v>0</v>
      </c>
      <c r="AG10" s="69">
        <v>1</v>
      </c>
      <c r="AH10" s="69">
        <v>0</v>
      </c>
      <c r="AI10" s="69">
        <v>0</v>
      </c>
      <c r="AJ10" s="25" t="s">
        <v>33</v>
      </c>
      <c r="AL10" t="str">
        <f t="shared" si="0"/>
        <v xml:space="preserve">    (U1)ALERT_REQ_UNKNOWN</v>
      </c>
      <c r="AR10" s="70" t="str">
        <f t="shared" si="3"/>
        <v xml:space="preserve">    (U4)0x00000004U,                                                           /* 04 UNKNOWN                                         */</v>
      </c>
      <c r="AS10" s="70" t="str">
        <f t="shared" si="4"/>
        <v xml:space="preserve">    (U4)0x0000001FU,                                                           /* 04 UNKNOWN                                         */</v>
      </c>
      <c r="AT10" s="70" t="str">
        <f t="shared" si="1"/>
        <v xml:space="preserve">    (U1)ALERT_REQ_UNKNOWN,                                                     /* 04 UNKNOWN                                         */</v>
      </c>
      <c r="AU10" s="70" t="str">
        <f>IF($AW$7=1,"        &amp;"&amp;$AW$9&amp;"[0],"&amp;REPT(" ",66-LEN($AW$9))&amp;"/* u4p_MASK                                           */","        (const U4 *)vdp_PTR_NA,                                                /* u4p_MASK                                           */")</f>
        <v xml:space="preserve">        (const U4 *)vdp_PTR_NA,                                                /* u4p_MASK                                           */</v>
      </c>
      <c r="AV10" s="57" t="s">
        <v>75</v>
      </c>
      <c r="AW10" s="75" t="str">
        <f ca="1">"ALERT_"&amp;IF(AW6&lt;&gt;AW17,$AW$17&amp;"_"&amp;$AW$6,AW17)&amp;"_NUM_DST"</f>
        <v>ALERT_S_LCA_TT_L_NUM_DST</v>
      </c>
    </row>
    <row r="11" spans="1:49">
      <c r="B11" s="139"/>
      <c r="C11" s="55">
        <f t="shared" si="2"/>
        <v>5</v>
      </c>
      <c r="D11" s="69" t="s">
        <v>70</v>
      </c>
      <c r="E11" s="69" t="s">
        <v>70</v>
      </c>
      <c r="F11" s="69" t="s">
        <v>70</v>
      </c>
      <c r="G11" s="69" t="s">
        <v>70</v>
      </c>
      <c r="H11" s="69" t="s">
        <v>70</v>
      </c>
      <c r="I11" s="69" t="s">
        <v>70</v>
      </c>
      <c r="J11" s="69" t="s">
        <v>70</v>
      </c>
      <c r="K11" s="69" t="s">
        <v>70</v>
      </c>
      <c r="L11" s="69" t="s">
        <v>70</v>
      </c>
      <c r="M11" s="69" t="s">
        <v>70</v>
      </c>
      <c r="N11" s="69" t="s">
        <v>70</v>
      </c>
      <c r="O11" s="69" t="s">
        <v>70</v>
      </c>
      <c r="P11" s="69" t="s">
        <v>70</v>
      </c>
      <c r="Q11" s="69" t="s">
        <v>70</v>
      </c>
      <c r="R11" s="69" t="s">
        <v>70</v>
      </c>
      <c r="S11" s="69" t="s">
        <v>70</v>
      </c>
      <c r="T11" s="69" t="s">
        <v>70</v>
      </c>
      <c r="U11" s="69" t="s">
        <v>70</v>
      </c>
      <c r="V11" s="69" t="s">
        <v>70</v>
      </c>
      <c r="W11" s="69" t="s">
        <v>70</v>
      </c>
      <c r="X11" s="69" t="s">
        <v>70</v>
      </c>
      <c r="Y11" s="69" t="s">
        <v>70</v>
      </c>
      <c r="Z11" s="69" t="s">
        <v>70</v>
      </c>
      <c r="AA11" s="69" t="s">
        <v>70</v>
      </c>
      <c r="AB11" s="69" t="s">
        <v>70</v>
      </c>
      <c r="AC11" s="69" t="s">
        <v>70</v>
      </c>
      <c r="AD11" s="69" t="s">
        <v>70</v>
      </c>
      <c r="AE11" s="262">
        <v>0</v>
      </c>
      <c r="AF11" s="69">
        <v>0</v>
      </c>
      <c r="AG11" s="69">
        <v>1</v>
      </c>
      <c r="AH11" s="69">
        <v>0</v>
      </c>
      <c r="AI11" s="69">
        <v>1</v>
      </c>
      <c r="AJ11" s="25" t="s">
        <v>421</v>
      </c>
      <c r="AL11" t="str">
        <f t="shared" ca="1" si="0"/>
        <v xml:space="preserve">    (U1)ALERT_REQ_S_LCA_TT_L_ON_G</v>
      </c>
      <c r="AR11" s="70" t="str">
        <f t="shared" si="3"/>
        <v xml:space="preserve">    (U4)0x00000005U,                                                           /* 05 ON_G                                            */</v>
      </c>
      <c r="AS11" s="70" t="str">
        <f t="shared" si="4"/>
        <v xml:space="preserve">    (U4)0x0000001FU,                                                           /* 05 ON_G                                            */</v>
      </c>
      <c r="AT11" s="70" t="str">
        <f t="shared" ca="1" si="1"/>
        <v xml:space="preserve">    (U1)ALERT_REQ_S_LCA_TT_L_ON_G,                                             /* 05 ON_G                                            */</v>
      </c>
      <c r="AU11" s="70" t="str">
        <f>IF($AW$7=1,"        &amp;"&amp;$AW$8&amp;"[0],"&amp;REPT(" ",66-LEN($AW$8))&amp;"/* u4p_CRIT                                           */","        (const U4 *)vdp_PTR_NA,                                                /* u4p_CRIT                                           */")</f>
        <v xml:space="preserve">        (const U4 *)vdp_PTR_NA,                                                /* u4p_CRIT                                           */</v>
      </c>
      <c r="AV11" s="57" t="s">
        <v>76</v>
      </c>
      <c r="AW11" s="75" t="str">
        <f ca="1">"u1_sp_ALERT_"&amp;IF(AW6&lt;&gt;AW17,$AW$17&amp;"_"&amp;$AW$6,AW17)&amp;"_DST"</f>
        <v>u1_sp_ALERT_S_LCA_TT_L_DST</v>
      </c>
    </row>
    <row r="12" spans="1:49">
      <c r="B12" s="139"/>
      <c r="C12" s="55">
        <f t="shared" si="2"/>
        <v>6</v>
      </c>
      <c r="D12" s="69" t="s">
        <v>70</v>
      </c>
      <c r="E12" s="69" t="s">
        <v>70</v>
      </c>
      <c r="F12" s="69" t="s">
        <v>70</v>
      </c>
      <c r="G12" s="69" t="s">
        <v>70</v>
      </c>
      <c r="H12" s="69" t="s">
        <v>70</v>
      </c>
      <c r="I12" s="69" t="s">
        <v>70</v>
      </c>
      <c r="J12" s="69" t="s">
        <v>70</v>
      </c>
      <c r="K12" s="69" t="s">
        <v>70</v>
      </c>
      <c r="L12" s="69" t="s">
        <v>70</v>
      </c>
      <c r="M12" s="69" t="s">
        <v>70</v>
      </c>
      <c r="N12" s="69" t="s">
        <v>70</v>
      </c>
      <c r="O12" s="69" t="s">
        <v>70</v>
      </c>
      <c r="P12" s="69" t="s">
        <v>70</v>
      </c>
      <c r="Q12" s="69" t="s">
        <v>70</v>
      </c>
      <c r="R12" s="69" t="s">
        <v>70</v>
      </c>
      <c r="S12" s="69" t="s">
        <v>70</v>
      </c>
      <c r="T12" s="69" t="s">
        <v>70</v>
      </c>
      <c r="U12" s="69" t="s">
        <v>70</v>
      </c>
      <c r="V12" s="69" t="s">
        <v>70</v>
      </c>
      <c r="W12" s="69" t="s">
        <v>70</v>
      </c>
      <c r="X12" s="69" t="s">
        <v>70</v>
      </c>
      <c r="Y12" s="69" t="s">
        <v>70</v>
      </c>
      <c r="Z12" s="69" t="s">
        <v>70</v>
      </c>
      <c r="AA12" s="69" t="s">
        <v>70</v>
      </c>
      <c r="AB12" s="69" t="s">
        <v>70</v>
      </c>
      <c r="AC12" s="69" t="s">
        <v>70</v>
      </c>
      <c r="AD12" s="69" t="s">
        <v>70</v>
      </c>
      <c r="AE12" s="262">
        <v>0</v>
      </c>
      <c r="AF12" s="69">
        <v>0</v>
      </c>
      <c r="AG12" s="69">
        <v>1</v>
      </c>
      <c r="AH12" s="69">
        <v>1</v>
      </c>
      <c r="AI12" s="69">
        <v>0</v>
      </c>
      <c r="AJ12" s="25" t="s">
        <v>33</v>
      </c>
      <c r="AL12" t="str">
        <f t="shared" si="0"/>
        <v xml:space="preserve">    (U1)ALERT_REQ_UNKNOWN</v>
      </c>
      <c r="AR12" s="70" t="str">
        <f t="shared" si="3"/>
        <v xml:space="preserve">    (U4)0x00000006U,                                                           /* 06 UNKNOWN                                         */</v>
      </c>
      <c r="AS12" s="70" t="str">
        <f t="shared" si="4"/>
        <v xml:space="preserve">    (U4)0x0000001FU,                                                           /* 06 UNKNOWN                                         */</v>
      </c>
      <c r="AT12" s="70" t="str">
        <f t="shared" si="1"/>
        <v xml:space="preserve">    (U1)ALERT_REQ_UNKNOWN,                                                     /* 06 UNKNOWN                                         */</v>
      </c>
      <c r="AU12" s="70"/>
      <c r="AV12" s="57" t="s">
        <v>88</v>
      </c>
      <c r="AW12" s="75" t="str">
        <f ca="1">Matrix!D8&amp;"["&amp;Matrix!D7&amp;"]"</f>
        <v>st_gp_ALERT_S_LCA_MTRX[7]</v>
      </c>
    </row>
    <row r="13" spans="1:49">
      <c r="B13" s="139"/>
      <c r="C13" s="55">
        <f t="shared" si="2"/>
        <v>7</v>
      </c>
      <c r="D13" s="69" t="s">
        <v>70</v>
      </c>
      <c r="E13" s="69" t="s">
        <v>70</v>
      </c>
      <c r="F13" s="69" t="s">
        <v>70</v>
      </c>
      <c r="G13" s="69" t="s">
        <v>70</v>
      </c>
      <c r="H13" s="69" t="s">
        <v>70</v>
      </c>
      <c r="I13" s="69" t="s">
        <v>70</v>
      </c>
      <c r="J13" s="69" t="s">
        <v>70</v>
      </c>
      <c r="K13" s="69" t="s">
        <v>70</v>
      </c>
      <c r="L13" s="69" t="s">
        <v>70</v>
      </c>
      <c r="M13" s="69" t="s">
        <v>70</v>
      </c>
      <c r="N13" s="69" t="s">
        <v>70</v>
      </c>
      <c r="O13" s="69" t="s">
        <v>70</v>
      </c>
      <c r="P13" s="69" t="s">
        <v>70</v>
      </c>
      <c r="Q13" s="69" t="s">
        <v>70</v>
      </c>
      <c r="R13" s="69" t="s">
        <v>70</v>
      </c>
      <c r="S13" s="69" t="s">
        <v>70</v>
      </c>
      <c r="T13" s="69" t="s">
        <v>70</v>
      </c>
      <c r="U13" s="69" t="s">
        <v>70</v>
      </c>
      <c r="V13" s="69" t="s">
        <v>70</v>
      </c>
      <c r="W13" s="69" t="s">
        <v>70</v>
      </c>
      <c r="X13" s="69" t="s">
        <v>70</v>
      </c>
      <c r="Y13" s="69" t="s">
        <v>70</v>
      </c>
      <c r="Z13" s="69" t="s">
        <v>70</v>
      </c>
      <c r="AA13" s="69" t="s">
        <v>70</v>
      </c>
      <c r="AB13" s="69" t="s">
        <v>70</v>
      </c>
      <c r="AC13" s="69" t="s">
        <v>70</v>
      </c>
      <c r="AD13" s="69" t="s">
        <v>70</v>
      </c>
      <c r="AE13" s="262">
        <v>0</v>
      </c>
      <c r="AF13" s="69">
        <v>0</v>
      </c>
      <c r="AG13" s="69">
        <v>1</v>
      </c>
      <c r="AH13" s="69">
        <v>1</v>
      </c>
      <c r="AI13" s="69">
        <v>1</v>
      </c>
      <c r="AJ13" s="25" t="s">
        <v>419</v>
      </c>
      <c r="AL13" t="str">
        <f t="shared" ca="1" si="0"/>
        <v xml:space="preserve">    (U1)ALERT_REQ_S_LCA_TT_L_ON_W</v>
      </c>
      <c r="AR13" s="70" t="str">
        <f t="shared" si="3"/>
        <v xml:space="preserve">    (U4)0x00000007U,                                                           /* 07 ON_W                                            */</v>
      </c>
      <c r="AS13" s="70" t="str">
        <f t="shared" si="4"/>
        <v xml:space="preserve">    (U4)0x0000001FU,                                                           /* 07 ON_W                                            */</v>
      </c>
      <c r="AT13" s="70" t="str">
        <f t="shared" ca="1" si="1"/>
        <v xml:space="preserve">    (U1)ALERT_REQ_S_LCA_TT_L_ON_W,                                             /* 07 ON_W                                            */</v>
      </c>
      <c r="AU13" s="70" t="str">
        <f ca="1">"        &amp;"&amp;$AW$11&amp;"[0],"&amp;REPT(" ",66-LEN($AW$11))&amp;"/* u1p_DST                                            */"</f>
        <v xml:space="preserve">        &amp;u1_sp_ALERT_S_LCA_TT_L_DST[0],                                        /* u1p_DST                                            */</v>
      </c>
      <c r="AV13" s="57" t="s">
        <v>77</v>
      </c>
      <c r="AW13" s="138">
        <f>COUNTA($AJ$6:$AJ$69)</f>
        <v>32</v>
      </c>
    </row>
    <row r="14" spans="1:49">
      <c r="B14" s="139"/>
      <c r="C14" s="55">
        <f t="shared" si="2"/>
        <v>8</v>
      </c>
      <c r="D14" s="69" t="s">
        <v>70</v>
      </c>
      <c r="E14" s="69" t="s">
        <v>70</v>
      </c>
      <c r="F14" s="69" t="s">
        <v>70</v>
      </c>
      <c r="G14" s="69" t="s">
        <v>70</v>
      </c>
      <c r="H14" s="69" t="s">
        <v>70</v>
      </c>
      <c r="I14" s="69" t="s">
        <v>70</v>
      </c>
      <c r="J14" s="69" t="s">
        <v>70</v>
      </c>
      <c r="K14" s="69" t="s">
        <v>70</v>
      </c>
      <c r="L14" s="69" t="s">
        <v>70</v>
      </c>
      <c r="M14" s="69" t="s">
        <v>70</v>
      </c>
      <c r="N14" s="69" t="s">
        <v>70</v>
      </c>
      <c r="O14" s="69" t="s">
        <v>70</v>
      </c>
      <c r="P14" s="69" t="s">
        <v>70</v>
      </c>
      <c r="Q14" s="69" t="s">
        <v>70</v>
      </c>
      <c r="R14" s="69" t="s">
        <v>70</v>
      </c>
      <c r="S14" s="69" t="s">
        <v>70</v>
      </c>
      <c r="T14" s="69" t="s">
        <v>70</v>
      </c>
      <c r="U14" s="69" t="s">
        <v>70</v>
      </c>
      <c r="V14" s="69" t="s">
        <v>70</v>
      </c>
      <c r="W14" s="69" t="s">
        <v>70</v>
      </c>
      <c r="X14" s="69" t="s">
        <v>70</v>
      </c>
      <c r="Y14" s="69" t="s">
        <v>70</v>
      </c>
      <c r="Z14" s="69" t="s">
        <v>70</v>
      </c>
      <c r="AA14" s="69" t="s">
        <v>70</v>
      </c>
      <c r="AB14" s="69" t="s">
        <v>70</v>
      </c>
      <c r="AC14" s="69" t="s">
        <v>70</v>
      </c>
      <c r="AD14" s="69" t="s">
        <v>70</v>
      </c>
      <c r="AE14" s="262">
        <v>0</v>
      </c>
      <c r="AF14" s="69">
        <v>1</v>
      </c>
      <c r="AG14" s="262">
        <v>0</v>
      </c>
      <c r="AH14" s="262">
        <v>0</v>
      </c>
      <c r="AI14" s="262">
        <v>0</v>
      </c>
      <c r="AJ14" s="25" t="s">
        <v>33</v>
      </c>
      <c r="AL14" t="str">
        <f t="shared" si="0"/>
        <v xml:space="preserve">    (U1)ALERT_REQ_UNKNOWN</v>
      </c>
      <c r="AR14" s="70" t="str">
        <f t="shared" si="3"/>
        <v xml:space="preserve">    (U4)0x00000008U,                                                           /* 08 UNKNOWN                                         */</v>
      </c>
      <c r="AS14" s="70" t="str">
        <f t="shared" si="4"/>
        <v xml:space="preserve">    (U4)0x0000001FU,                                                           /* 08 UNKNOWN                                         */</v>
      </c>
      <c r="AT14" s="70" t="str">
        <f t="shared" si="1"/>
        <v xml:space="preserve">    (U1)ALERT_REQ_UNKNOWN,                                                     /* 08 UNKNOWN                                         */</v>
      </c>
      <c r="AU14" s="70" t="str">
        <f ca="1">"        (U2)"&amp;$AW$10&amp;","&amp;REPT(" ",66-LEN($AW$10))&amp;"/* u2_num_srch                                        */"</f>
        <v xml:space="preserve">        (U2)ALERT_S_LCA_TT_L_NUM_DST,                                          /* u2_num_srch                                        */</v>
      </c>
      <c r="AV14" s="57" t="s">
        <v>78</v>
      </c>
      <c r="AW14" s="75" t="str">
        <f ca="1">IF(AW6&lt;&gt;AW17,VLOOKUP(AW6,Matrix!$C$13:$G$37,4,FALSE),Matrix!F13)</f>
        <v>u4_s_AlertS_lcaTtLSrcchk</v>
      </c>
    </row>
    <row r="15" spans="1:49">
      <c r="B15" s="139"/>
      <c r="C15" s="55">
        <f t="shared" si="2"/>
        <v>9</v>
      </c>
      <c r="D15" s="69" t="s">
        <v>70</v>
      </c>
      <c r="E15" s="69" t="s">
        <v>70</v>
      </c>
      <c r="F15" s="69" t="s">
        <v>70</v>
      </c>
      <c r="G15" s="69" t="s">
        <v>70</v>
      </c>
      <c r="H15" s="69" t="s">
        <v>70</v>
      </c>
      <c r="I15" s="69" t="s">
        <v>70</v>
      </c>
      <c r="J15" s="69" t="s">
        <v>70</v>
      </c>
      <c r="K15" s="69" t="s">
        <v>70</v>
      </c>
      <c r="L15" s="69" t="s">
        <v>70</v>
      </c>
      <c r="M15" s="69" t="s">
        <v>70</v>
      </c>
      <c r="N15" s="69" t="s">
        <v>70</v>
      </c>
      <c r="O15" s="69" t="s">
        <v>70</v>
      </c>
      <c r="P15" s="69" t="s">
        <v>70</v>
      </c>
      <c r="Q15" s="69" t="s">
        <v>70</v>
      </c>
      <c r="R15" s="69" t="s">
        <v>70</v>
      </c>
      <c r="S15" s="69" t="s">
        <v>70</v>
      </c>
      <c r="T15" s="69" t="s">
        <v>70</v>
      </c>
      <c r="U15" s="69" t="s">
        <v>70</v>
      </c>
      <c r="V15" s="69" t="s">
        <v>70</v>
      </c>
      <c r="W15" s="69" t="s">
        <v>70</v>
      </c>
      <c r="X15" s="69" t="s">
        <v>70</v>
      </c>
      <c r="Y15" s="69" t="s">
        <v>70</v>
      </c>
      <c r="Z15" s="69" t="s">
        <v>70</v>
      </c>
      <c r="AA15" s="69" t="s">
        <v>70</v>
      </c>
      <c r="AB15" s="69" t="s">
        <v>70</v>
      </c>
      <c r="AC15" s="69" t="s">
        <v>70</v>
      </c>
      <c r="AD15" s="69" t="s">
        <v>70</v>
      </c>
      <c r="AE15" s="262">
        <v>0</v>
      </c>
      <c r="AF15" s="69">
        <v>1</v>
      </c>
      <c r="AG15" s="262">
        <v>0</v>
      </c>
      <c r="AH15" s="262">
        <v>0</v>
      </c>
      <c r="AI15" s="262">
        <v>1</v>
      </c>
      <c r="AJ15" s="25" t="s">
        <v>33</v>
      </c>
      <c r="AL15" t="str">
        <f t="shared" si="0"/>
        <v xml:space="preserve">    (U1)ALERT_REQ_UNKNOWN</v>
      </c>
      <c r="AR15" s="70" t="str">
        <f t="shared" si="3"/>
        <v xml:space="preserve">    (U4)0x00000009U,                                                           /* 09 UNKNOWN                                         */</v>
      </c>
      <c r="AS15" s="70" t="str">
        <f t="shared" si="4"/>
        <v xml:space="preserve">    (U4)0x0000001FU,                                                           /* 09 UNKNOWN                                         */</v>
      </c>
      <c r="AT15" s="70" t="str">
        <f t="shared" si="1"/>
        <v xml:space="preserve">    (U1)ALERT_REQ_UNKNOWN,                                                     /* 09 UNKNOWN                                         */</v>
      </c>
      <c r="AU15" s="70" t="str">
        <f ca="1">"        (U1)"&amp;$AW$16&amp;REPT(" ",67-LEN($AW$16))&amp;"/* u1_vom_act                                         */"</f>
        <v xml:space="preserve">        (U1)ALERT_VOM_IGN_ON                                                   /* u1_vom_act                                         */</v>
      </c>
      <c r="AV15" s="57" t="s">
        <v>81</v>
      </c>
      <c r="AW15" s="75" t="str">
        <f ca="1">IF(AW6&lt;&gt;AW17,VLOOKUP(AW6,Matrix!$C$13:$G$37,5,FALSE),Matrix!G13)</f>
        <v>NULL</v>
      </c>
    </row>
    <row r="16" spans="1:49">
      <c r="B16" s="139"/>
      <c r="C16" s="55">
        <f t="shared" si="2"/>
        <v>10</v>
      </c>
      <c r="D16" s="69" t="s">
        <v>70</v>
      </c>
      <c r="E16" s="69" t="s">
        <v>70</v>
      </c>
      <c r="F16" s="69" t="s">
        <v>70</v>
      </c>
      <c r="G16" s="69" t="s">
        <v>70</v>
      </c>
      <c r="H16" s="69" t="s">
        <v>70</v>
      </c>
      <c r="I16" s="69" t="s">
        <v>70</v>
      </c>
      <c r="J16" s="69" t="s">
        <v>70</v>
      </c>
      <c r="K16" s="69" t="s">
        <v>70</v>
      </c>
      <c r="L16" s="69" t="s">
        <v>70</v>
      </c>
      <c r="M16" s="69" t="s">
        <v>70</v>
      </c>
      <c r="N16" s="69" t="s">
        <v>70</v>
      </c>
      <c r="O16" s="69" t="s">
        <v>70</v>
      </c>
      <c r="P16" s="69" t="s">
        <v>70</v>
      </c>
      <c r="Q16" s="69" t="s">
        <v>70</v>
      </c>
      <c r="R16" s="69" t="s">
        <v>411</v>
      </c>
      <c r="S16" s="69" t="s">
        <v>70</v>
      </c>
      <c r="T16" s="69" t="s">
        <v>70</v>
      </c>
      <c r="U16" s="69" t="s">
        <v>70</v>
      </c>
      <c r="V16" s="69" t="s">
        <v>70</v>
      </c>
      <c r="W16" s="69" t="s">
        <v>70</v>
      </c>
      <c r="X16" s="69" t="s">
        <v>70</v>
      </c>
      <c r="Y16" s="69" t="s">
        <v>70</v>
      </c>
      <c r="Z16" s="69" t="s">
        <v>70</v>
      </c>
      <c r="AA16" s="69" t="s">
        <v>70</v>
      </c>
      <c r="AB16" s="69" t="s">
        <v>70</v>
      </c>
      <c r="AC16" s="69" t="s">
        <v>70</v>
      </c>
      <c r="AD16" s="69" t="s">
        <v>70</v>
      </c>
      <c r="AE16" s="262">
        <v>0</v>
      </c>
      <c r="AF16" s="69">
        <v>1</v>
      </c>
      <c r="AG16" s="262">
        <v>0</v>
      </c>
      <c r="AH16" s="262">
        <v>1</v>
      </c>
      <c r="AI16" s="262">
        <v>0</v>
      </c>
      <c r="AJ16" s="25" t="s">
        <v>33</v>
      </c>
      <c r="AL16" t="str">
        <f t="shared" si="0"/>
        <v xml:space="preserve">    (U1)ALERT_REQ_UNKNOWN</v>
      </c>
      <c r="AR16" s="70" t="str">
        <f t="shared" si="3"/>
        <v xml:space="preserve">    (U4)0x0000000AU,                                                           /* 10 UNKNOWN                                         */</v>
      </c>
      <c r="AS16" s="70" t="str">
        <f t="shared" si="4"/>
        <v xml:space="preserve">    (U4)0x0000001FU,                                                           /* 10 UNKNOWN                                         */</v>
      </c>
      <c r="AT16" s="70" t="str">
        <f t="shared" si="1"/>
        <v xml:space="preserve">    (U1)ALERT_REQ_UNKNOWN,                                                     /* 10 UNKNOWN                                         */</v>
      </c>
      <c r="AU16" s="70" t="s">
        <v>467</v>
      </c>
      <c r="AV16" s="57" t="s">
        <v>79</v>
      </c>
      <c r="AW16" s="75" t="str">
        <f ca="1">IF(AW6&lt;&gt;AW17,VLOOKUP(AW6,Matrix!$C$13:$G$37,2,FALSE),Matrix!D13)</f>
        <v>ALERT_VOM_IGN_ON</v>
      </c>
    </row>
    <row r="17" spans="2:49" ht="14.25" thickBot="1">
      <c r="B17" s="139"/>
      <c r="C17" s="55">
        <f t="shared" si="2"/>
        <v>11</v>
      </c>
      <c r="D17" s="69" t="s">
        <v>70</v>
      </c>
      <c r="E17" s="69" t="s">
        <v>70</v>
      </c>
      <c r="F17" s="69" t="s">
        <v>70</v>
      </c>
      <c r="G17" s="69" t="s">
        <v>70</v>
      </c>
      <c r="H17" s="69" t="s">
        <v>70</v>
      </c>
      <c r="I17" s="69" t="s">
        <v>70</v>
      </c>
      <c r="J17" s="69" t="s">
        <v>70</v>
      </c>
      <c r="K17" s="69" t="s">
        <v>70</v>
      </c>
      <c r="L17" s="69" t="s">
        <v>70</v>
      </c>
      <c r="M17" s="69" t="s">
        <v>70</v>
      </c>
      <c r="N17" s="69" t="s">
        <v>70</v>
      </c>
      <c r="O17" s="69" t="s">
        <v>70</v>
      </c>
      <c r="P17" s="69" t="s">
        <v>70</v>
      </c>
      <c r="Q17" s="69" t="s">
        <v>70</v>
      </c>
      <c r="R17" s="69" t="s">
        <v>70</v>
      </c>
      <c r="S17" s="69" t="s">
        <v>70</v>
      </c>
      <c r="T17" s="69" t="s">
        <v>70</v>
      </c>
      <c r="U17" s="69" t="s">
        <v>70</v>
      </c>
      <c r="V17" s="69" t="s">
        <v>70</v>
      </c>
      <c r="W17" s="69" t="s">
        <v>70</v>
      </c>
      <c r="X17" s="69" t="s">
        <v>70</v>
      </c>
      <c r="Y17" s="69" t="s">
        <v>70</v>
      </c>
      <c r="Z17" s="69" t="s">
        <v>70</v>
      </c>
      <c r="AA17" s="69" t="s">
        <v>70</v>
      </c>
      <c r="AB17" s="69" t="s">
        <v>70</v>
      </c>
      <c r="AC17" s="69" t="s">
        <v>70</v>
      </c>
      <c r="AD17" s="69" t="s">
        <v>70</v>
      </c>
      <c r="AE17" s="262">
        <v>0</v>
      </c>
      <c r="AF17" s="69">
        <v>1</v>
      </c>
      <c r="AG17" s="262">
        <v>0</v>
      </c>
      <c r="AH17" s="262">
        <v>1</v>
      </c>
      <c r="AI17" s="262">
        <v>1</v>
      </c>
      <c r="AJ17" s="25" t="s">
        <v>33</v>
      </c>
      <c r="AL17" t="str">
        <f t="shared" si="0"/>
        <v xml:space="preserve">    (U1)ALERT_REQ_UNKNOWN</v>
      </c>
      <c r="AR17" s="70" t="str">
        <f t="shared" si="3"/>
        <v xml:space="preserve">    (U4)0x0000000BU,                                                           /* 11 UNKNOWN                                         */</v>
      </c>
      <c r="AS17" s="70" t="str">
        <f t="shared" si="4"/>
        <v xml:space="preserve">    (U4)0x0000001FU,                                                           /* 11 UNKNOWN                                         */</v>
      </c>
      <c r="AT17" s="70" t="str">
        <f t="shared" si="1"/>
        <v xml:space="preserve">    (U1)ALERT_REQ_UNKNOWN,                                                     /* 11 UNKNOWN                                         */</v>
      </c>
      <c r="AU17" s="71" t="s">
        <v>468</v>
      </c>
      <c r="AV17" s="58" t="s">
        <v>80</v>
      </c>
      <c r="AW17" s="76" t="str">
        <f ca="1">UPPER(Matrix!$D$6)</f>
        <v>S_LCA</v>
      </c>
    </row>
    <row r="18" spans="2:49">
      <c r="B18" s="139"/>
      <c r="C18" s="55">
        <f t="shared" si="2"/>
        <v>12</v>
      </c>
      <c r="D18" s="69" t="s">
        <v>70</v>
      </c>
      <c r="E18" s="69" t="s">
        <v>70</v>
      </c>
      <c r="F18" s="69" t="s">
        <v>70</v>
      </c>
      <c r="G18" s="69" t="s">
        <v>70</v>
      </c>
      <c r="H18" s="69" t="s">
        <v>70</v>
      </c>
      <c r="I18" s="69" t="s">
        <v>70</v>
      </c>
      <c r="J18" s="69" t="s">
        <v>70</v>
      </c>
      <c r="K18" s="69" t="s">
        <v>70</v>
      </c>
      <c r="L18" s="69" t="s">
        <v>70</v>
      </c>
      <c r="M18" s="69" t="s">
        <v>70</v>
      </c>
      <c r="N18" s="69" t="s">
        <v>70</v>
      </c>
      <c r="O18" s="69" t="s">
        <v>70</v>
      </c>
      <c r="P18" s="69" t="s">
        <v>70</v>
      </c>
      <c r="Q18" s="69" t="s">
        <v>70</v>
      </c>
      <c r="R18" s="69" t="s">
        <v>70</v>
      </c>
      <c r="S18" s="69" t="s">
        <v>70</v>
      </c>
      <c r="T18" s="69" t="s">
        <v>70</v>
      </c>
      <c r="U18" s="69" t="s">
        <v>70</v>
      </c>
      <c r="V18" s="69" t="s">
        <v>70</v>
      </c>
      <c r="W18" s="69" t="s">
        <v>70</v>
      </c>
      <c r="X18" s="69" t="s">
        <v>70</v>
      </c>
      <c r="Y18" s="69" t="s">
        <v>70</v>
      </c>
      <c r="Z18" s="69" t="s">
        <v>70</v>
      </c>
      <c r="AA18" s="69" t="s">
        <v>70</v>
      </c>
      <c r="AB18" s="69" t="s">
        <v>70</v>
      </c>
      <c r="AC18" s="69" t="s">
        <v>70</v>
      </c>
      <c r="AD18" s="69" t="s">
        <v>70</v>
      </c>
      <c r="AE18" s="262">
        <v>0</v>
      </c>
      <c r="AF18" s="262">
        <v>1</v>
      </c>
      <c r="AG18" s="262">
        <v>1</v>
      </c>
      <c r="AH18" s="262">
        <v>0</v>
      </c>
      <c r="AI18" s="262">
        <v>0</v>
      </c>
      <c r="AJ18" s="25" t="s">
        <v>33</v>
      </c>
      <c r="AL18" t="str">
        <f t="shared" si="0"/>
        <v xml:space="preserve">    (U1)ALERT_REQ_UNKNOWN</v>
      </c>
      <c r="AR18" s="70" t="str">
        <f t="shared" si="3"/>
        <v xml:space="preserve">    (U4)0x0000000CU,                                                           /* 12 UNKNOWN                                         */</v>
      </c>
      <c r="AS18" s="70" t="str">
        <f t="shared" si="4"/>
        <v xml:space="preserve">    (U4)0x0000001FU,                                                           /* 12 UNKNOWN                                         */</v>
      </c>
      <c r="AT18" s="70" t="str">
        <f t="shared" si="1"/>
        <v xml:space="preserve">    (U1)ALERT_REQ_UNKNOWN,                                                     /* 12 UNKNOWN                                         */</v>
      </c>
    </row>
    <row r="19" spans="2:49">
      <c r="B19" s="139"/>
      <c r="C19" s="55">
        <f t="shared" si="2"/>
        <v>13</v>
      </c>
      <c r="D19" s="69" t="s">
        <v>70</v>
      </c>
      <c r="E19" s="69" t="s">
        <v>70</v>
      </c>
      <c r="F19" s="69" t="s">
        <v>70</v>
      </c>
      <c r="G19" s="69" t="s">
        <v>70</v>
      </c>
      <c r="H19" s="69" t="s">
        <v>70</v>
      </c>
      <c r="I19" s="69" t="s">
        <v>70</v>
      </c>
      <c r="J19" s="69" t="s">
        <v>70</v>
      </c>
      <c r="K19" s="69" t="s">
        <v>70</v>
      </c>
      <c r="L19" s="69" t="s">
        <v>70</v>
      </c>
      <c r="M19" s="69" t="s">
        <v>70</v>
      </c>
      <c r="N19" s="69" t="s">
        <v>70</v>
      </c>
      <c r="O19" s="69" t="s">
        <v>70</v>
      </c>
      <c r="P19" s="69" t="s">
        <v>70</v>
      </c>
      <c r="Q19" s="69" t="s">
        <v>70</v>
      </c>
      <c r="R19" s="69" t="s">
        <v>70</v>
      </c>
      <c r="S19" s="69" t="s">
        <v>70</v>
      </c>
      <c r="T19" s="69" t="s">
        <v>70</v>
      </c>
      <c r="U19" s="69" t="s">
        <v>70</v>
      </c>
      <c r="V19" s="69" t="s">
        <v>70</v>
      </c>
      <c r="W19" s="69" t="s">
        <v>70</v>
      </c>
      <c r="X19" s="69" t="s">
        <v>70</v>
      </c>
      <c r="Y19" s="69" t="s">
        <v>70</v>
      </c>
      <c r="Z19" s="69" t="s">
        <v>70</v>
      </c>
      <c r="AA19" s="69" t="s">
        <v>70</v>
      </c>
      <c r="AB19" s="69" t="s">
        <v>70</v>
      </c>
      <c r="AC19" s="69" t="s">
        <v>70</v>
      </c>
      <c r="AD19" s="69" t="s">
        <v>70</v>
      </c>
      <c r="AE19" s="262">
        <v>0</v>
      </c>
      <c r="AF19" s="262">
        <v>1</v>
      </c>
      <c r="AG19" s="262">
        <v>1</v>
      </c>
      <c r="AH19" s="262">
        <v>0</v>
      </c>
      <c r="AI19" s="262">
        <v>1</v>
      </c>
      <c r="AJ19" s="25" t="s">
        <v>33</v>
      </c>
      <c r="AL19" t="str">
        <f t="shared" si="0"/>
        <v xml:space="preserve">    (U1)ALERT_REQ_UNKNOWN</v>
      </c>
      <c r="AR19" s="70" t="str">
        <f t="shared" si="3"/>
        <v xml:space="preserve">    (U4)0x0000000DU,                                                           /* 13 UNKNOWN                                         */</v>
      </c>
      <c r="AS19" s="70" t="str">
        <f t="shared" si="4"/>
        <v xml:space="preserve">    (U4)0x0000001FU,                                                           /* 13 UNKNOWN                                         */</v>
      </c>
      <c r="AT19" s="70" t="str">
        <f t="shared" si="1"/>
        <v xml:space="preserve">    (U1)ALERT_REQ_UNKNOWN,                                                     /* 13 UNKNOWN                                         */</v>
      </c>
    </row>
    <row r="20" spans="2:49">
      <c r="B20" s="139"/>
      <c r="C20" s="55">
        <f t="shared" si="2"/>
        <v>14</v>
      </c>
      <c r="D20" s="69" t="s">
        <v>70</v>
      </c>
      <c r="E20" s="69" t="s">
        <v>70</v>
      </c>
      <c r="F20" s="69" t="s">
        <v>70</v>
      </c>
      <c r="G20" s="69" t="s">
        <v>70</v>
      </c>
      <c r="H20" s="69" t="s">
        <v>70</v>
      </c>
      <c r="I20" s="69" t="s">
        <v>70</v>
      </c>
      <c r="J20" s="69" t="s">
        <v>70</v>
      </c>
      <c r="K20" s="69" t="s">
        <v>70</v>
      </c>
      <c r="L20" s="69" t="s">
        <v>70</v>
      </c>
      <c r="M20" s="69" t="s">
        <v>70</v>
      </c>
      <c r="N20" s="69" t="s">
        <v>70</v>
      </c>
      <c r="O20" s="69" t="s">
        <v>70</v>
      </c>
      <c r="P20" s="69" t="s">
        <v>70</v>
      </c>
      <c r="Q20" s="69" t="s">
        <v>70</v>
      </c>
      <c r="R20" s="69" t="s">
        <v>70</v>
      </c>
      <c r="S20" s="69" t="s">
        <v>70</v>
      </c>
      <c r="T20" s="69" t="s">
        <v>70</v>
      </c>
      <c r="U20" s="69" t="s">
        <v>70</v>
      </c>
      <c r="V20" s="69" t="s">
        <v>70</v>
      </c>
      <c r="W20" s="69" t="s">
        <v>70</v>
      </c>
      <c r="X20" s="69" t="s">
        <v>70</v>
      </c>
      <c r="Y20" s="69" t="s">
        <v>70</v>
      </c>
      <c r="Z20" s="69" t="s">
        <v>70</v>
      </c>
      <c r="AA20" s="69" t="s">
        <v>70</v>
      </c>
      <c r="AB20" s="69" t="s">
        <v>70</v>
      </c>
      <c r="AC20" s="69" t="s">
        <v>70</v>
      </c>
      <c r="AD20" s="69" t="s">
        <v>70</v>
      </c>
      <c r="AE20" s="262">
        <v>0</v>
      </c>
      <c r="AF20" s="262">
        <v>1</v>
      </c>
      <c r="AG20" s="262">
        <v>1</v>
      </c>
      <c r="AH20" s="262">
        <v>1</v>
      </c>
      <c r="AI20" s="262">
        <v>0</v>
      </c>
      <c r="AJ20" s="25" t="s">
        <v>33</v>
      </c>
      <c r="AL20" t="str">
        <f t="shared" si="0"/>
        <v xml:space="preserve">    (U1)ALERT_REQ_UNKNOWN</v>
      </c>
      <c r="AR20" s="70" t="str">
        <f t="shared" si="3"/>
        <v xml:space="preserve">    (U4)0x0000000EU,                                                           /* 14 UNKNOWN                                         */</v>
      </c>
      <c r="AS20" s="70" t="str">
        <f t="shared" si="4"/>
        <v xml:space="preserve">    (U4)0x0000001FU,                                                           /* 14 UNKNOWN                                         */</v>
      </c>
      <c r="AT20" s="70" t="str">
        <f t="shared" si="1"/>
        <v xml:space="preserve">    (U1)ALERT_REQ_UNKNOWN,                                                     /* 14 UNKNOWN                                         */</v>
      </c>
    </row>
    <row r="21" spans="2:49">
      <c r="B21" s="139"/>
      <c r="C21" s="55">
        <f t="shared" si="2"/>
        <v>15</v>
      </c>
      <c r="D21" s="69" t="s">
        <v>70</v>
      </c>
      <c r="E21" s="69" t="s">
        <v>70</v>
      </c>
      <c r="F21" s="69" t="s">
        <v>70</v>
      </c>
      <c r="G21" s="69" t="s">
        <v>70</v>
      </c>
      <c r="H21" s="69" t="s">
        <v>70</v>
      </c>
      <c r="I21" s="69" t="s">
        <v>70</v>
      </c>
      <c r="J21" s="69" t="s">
        <v>70</v>
      </c>
      <c r="K21" s="69" t="s">
        <v>70</v>
      </c>
      <c r="L21" s="69" t="s">
        <v>70</v>
      </c>
      <c r="M21" s="69" t="s">
        <v>70</v>
      </c>
      <c r="N21" s="69" t="s">
        <v>70</v>
      </c>
      <c r="O21" s="69" t="s">
        <v>70</v>
      </c>
      <c r="P21" s="69" t="s">
        <v>70</v>
      </c>
      <c r="Q21" s="69" t="s">
        <v>70</v>
      </c>
      <c r="R21" s="69" t="s">
        <v>70</v>
      </c>
      <c r="S21" s="69" t="s">
        <v>70</v>
      </c>
      <c r="T21" s="69" t="s">
        <v>70</v>
      </c>
      <c r="U21" s="69" t="s">
        <v>70</v>
      </c>
      <c r="V21" s="69" t="s">
        <v>70</v>
      </c>
      <c r="W21" s="69" t="s">
        <v>70</v>
      </c>
      <c r="X21" s="69" t="s">
        <v>70</v>
      </c>
      <c r="Y21" s="69" t="s">
        <v>70</v>
      </c>
      <c r="Z21" s="69" t="s">
        <v>70</v>
      </c>
      <c r="AA21" s="69" t="s">
        <v>70</v>
      </c>
      <c r="AB21" s="69" t="s">
        <v>70</v>
      </c>
      <c r="AC21" s="69" t="s">
        <v>70</v>
      </c>
      <c r="AD21" s="69" t="s">
        <v>70</v>
      </c>
      <c r="AE21" s="262">
        <v>0</v>
      </c>
      <c r="AF21" s="262">
        <v>1</v>
      </c>
      <c r="AG21" s="262">
        <v>1</v>
      </c>
      <c r="AH21" s="262">
        <v>1</v>
      </c>
      <c r="AI21" s="262">
        <v>1</v>
      </c>
      <c r="AJ21" s="25" t="s">
        <v>33</v>
      </c>
      <c r="AL21" t="str">
        <f t="shared" si="0"/>
        <v xml:space="preserve">    (U1)ALERT_REQ_UNKNOWN</v>
      </c>
      <c r="AR21" s="70" t="str">
        <f t="shared" si="3"/>
        <v xml:space="preserve">    (U4)0x0000000FU,                                                           /* 15 UNKNOWN                                         */</v>
      </c>
      <c r="AS21" s="70" t="str">
        <f t="shared" si="4"/>
        <v xml:space="preserve">    (U4)0x0000001FU,                                                           /* 15 UNKNOWN                                         */</v>
      </c>
      <c r="AT21" s="70" t="str">
        <f t="shared" si="1"/>
        <v xml:space="preserve">    (U1)ALERT_REQ_UNKNOWN,                                                     /* 15 UNKNOWN                                         */</v>
      </c>
    </row>
    <row r="22" spans="2:49">
      <c r="B22" s="139"/>
      <c r="C22" s="55">
        <f t="shared" si="2"/>
        <v>16</v>
      </c>
      <c r="D22" s="69" t="s">
        <v>70</v>
      </c>
      <c r="E22" s="69" t="s">
        <v>70</v>
      </c>
      <c r="F22" s="69" t="s">
        <v>70</v>
      </c>
      <c r="G22" s="69" t="s">
        <v>70</v>
      </c>
      <c r="H22" s="69" t="s">
        <v>70</v>
      </c>
      <c r="I22" s="69" t="s">
        <v>70</v>
      </c>
      <c r="J22" s="69" t="s">
        <v>70</v>
      </c>
      <c r="K22" s="69" t="s">
        <v>70</v>
      </c>
      <c r="L22" s="69" t="s">
        <v>70</v>
      </c>
      <c r="M22" s="69" t="s">
        <v>70</v>
      </c>
      <c r="N22" s="69" t="s">
        <v>70</v>
      </c>
      <c r="O22" s="69" t="s">
        <v>70</v>
      </c>
      <c r="P22" s="69" t="s">
        <v>70</v>
      </c>
      <c r="Q22" s="69" t="s">
        <v>70</v>
      </c>
      <c r="R22" s="69" t="s">
        <v>70</v>
      </c>
      <c r="S22" s="69" t="s">
        <v>70</v>
      </c>
      <c r="T22" s="69" t="s">
        <v>70</v>
      </c>
      <c r="U22" s="69" t="s">
        <v>70</v>
      </c>
      <c r="V22" s="69" t="s">
        <v>70</v>
      </c>
      <c r="W22" s="69" t="s">
        <v>70</v>
      </c>
      <c r="X22" s="69" t="s">
        <v>70</v>
      </c>
      <c r="Y22" s="69" t="s">
        <v>70</v>
      </c>
      <c r="Z22" s="69" t="s">
        <v>70</v>
      </c>
      <c r="AA22" s="69" t="s">
        <v>70</v>
      </c>
      <c r="AB22" s="69" t="s">
        <v>70</v>
      </c>
      <c r="AC22" s="69" t="s">
        <v>70</v>
      </c>
      <c r="AD22" s="69" t="s">
        <v>70</v>
      </c>
      <c r="AE22" s="262">
        <v>1</v>
      </c>
      <c r="AF22" s="262">
        <v>0</v>
      </c>
      <c r="AG22" s="262">
        <v>0</v>
      </c>
      <c r="AH22" s="262">
        <v>0</v>
      </c>
      <c r="AI22" s="262">
        <v>0</v>
      </c>
      <c r="AJ22" s="25" t="s">
        <v>33</v>
      </c>
      <c r="AL22" t="str">
        <f t="shared" si="0"/>
        <v xml:space="preserve">    (U1)ALERT_REQ_UNKNOWN</v>
      </c>
      <c r="AR22" s="70" t="str">
        <f t="shared" si="3"/>
        <v xml:space="preserve">    (U4)0x00000010U,                                                           /* 16 UNKNOWN                                         */</v>
      </c>
      <c r="AS22" s="70" t="str">
        <f t="shared" si="4"/>
        <v xml:space="preserve">    (U4)0x0000001FU,                                                           /* 16 UNKNOWN                                         */</v>
      </c>
      <c r="AT22" s="70" t="str">
        <f t="shared" si="1"/>
        <v xml:space="preserve">    (U1)ALERT_REQ_UNKNOWN,                                                     /* 16 UNKNOWN                                         */</v>
      </c>
    </row>
    <row r="23" spans="2:49">
      <c r="B23" s="139"/>
      <c r="C23" s="55">
        <f t="shared" si="2"/>
        <v>17</v>
      </c>
      <c r="D23" s="69" t="s">
        <v>70</v>
      </c>
      <c r="E23" s="69" t="s">
        <v>70</v>
      </c>
      <c r="F23" s="69" t="s">
        <v>70</v>
      </c>
      <c r="G23" s="69" t="s">
        <v>70</v>
      </c>
      <c r="H23" s="69" t="s">
        <v>70</v>
      </c>
      <c r="I23" s="69" t="s">
        <v>70</v>
      </c>
      <c r="J23" s="69" t="s">
        <v>70</v>
      </c>
      <c r="K23" s="69" t="s">
        <v>70</v>
      </c>
      <c r="L23" s="69" t="s">
        <v>70</v>
      </c>
      <c r="M23" s="69" t="s">
        <v>70</v>
      </c>
      <c r="N23" s="69" t="s">
        <v>70</v>
      </c>
      <c r="O23" s="69" t="s">
        <v>70</v>
      </c>
      <c r="P23" s="69" t="s">
        <v>70</v>
      </c>
      <c r="Q23" s="69" t="s">
        <v>70</v>
      </c>
      <c r="R23" s="69" t="s">
        <v>70</v>
      </c>
      <c r="S23" s="69" t="s">
        <v>70</v>
      </c>
      <c r="T23" s="69" t="s">
        <v>70</v>
      </c>
      <c r="U23" s="69" t="s">
        <v>70</v>
      </c>
      <c r="V23" s="69" t="s">
        <v>70</v>
      </c>
      <c r="W23" s="69" t="s">
        <v>70</v>
      </c>
      <c r="X23" s="69" t="s">
        <v>70</v>
      </c>
      <c r="Y23" s="69" t="s">
        <v>70</v>
      </c>
      <c r="Z23" s="69" t="s">
        <v>70</v>
      </c>
      <c r="AA23" s="69" t="s">
        <v>70</v>
      </c>
      <c r="AB23" s="69" t="s">
        <v>70</v>
      </c>
      <c r="AC23" s="69" t="s">
        <v>70</v>
      </c>
      <c r="AD23" s="69" t="s">
        <v>70</v>
      </c>
      <c r="AE23" s="262">
        <v>1</v>
      </c>
      <c r="AF23" s="262">
        <v>0</v>
      </c>
      <c r="AG23" s="262">
        <v>0</v>
      </c>
      <c r="AH23" s="262">
        <v>0</v>
      </c>
      <c r="AI23" s="262">
        <v>1</v>
      </c>
      <c r="AJ23" s="25" t="s">
        <v>33</v>
      </c>
      <c r="AL23" t="str">
        <f t="shared" si="0"/>
        <v xml:space="preserve">    (U1)ALERT_REQ_UNKNOWN</v>
      </c>
      <c r="AR23" s="70" t="str">
        <f t="shared" si="3"/>
        <v xml:space="preserve">    (U4)0x00000011U,                                                           /* 17 UNKNOWN                                         */</v>
      </c>
      <c r="AS23" s="70" t="str">
        <f t="shared" si="4"/>
        <v xml:space="preserve">    (U4)0x0000001FU,                                                           /* 17 UNKNOWN                                         */</v>
      </c>
      <c r="AT23" s="70" t="str">
        <f t="shared" si="1"/>
        <v xml:space="preserve">    (U1)ALERT_REQ_UNKNOWN,                                                     /* 17 UNKNOWN                                         */</v>
      </c>
    </row>
    <row r="24" spans="2:49">
      <c r="B24" s="139"/>
      <c r="C24" s="55">
        <f t="shared" si="2"/>
        <v>18</v>
      </c>
      <c r="D24" s="69" t="s">
        <v>70</v>
      </c>
      <c r="E24" s="69" t="s">
        <v>70</v>
      </c>
      <c r="F24" s="69" t="s">
        <v>70</v>
      </c>
      <c r="G24" s="69" t="s">
        <v>70</v>
      </c>
      <c r="H24" s="69" t="s">
        <v>70</v>
      </c>
      <c r="I24" s="69" t="s">
        <v>70</v>
      </c>
      <c r="J24" s="69" t="s">
        <v>70</v>
      </c>
      <c r="K24" s="69" t="s">
        <v>70</v>
      </c>
      <c r="L24" s="69" t="s">
        <v>70</v>
      </c>
      <c r="M24" s="69" t="s">
        <v>70</v>
      </c>
      <c r="N24" s="69" t="s">
        <v>70</v>
      </c>
      <c r="O24" s="69" t="s">
        <v>70</v>
      </c>
      <c r="P24" s="69" t="s">
        <v>70</v>
      </c>
      <c r="Q24" s="69" t="s">
        <v>70</v>
      </c>
      <c r="R24" s="69" t="s">
        <v>70</v>
      </c>
      <c r="S24" s="69" t="s">
        <v>70</v>
      </c>
      <c r="T24" s="69" t="s">
        <v>70</v>
      </c>
      <c r="U24" s="69" t="s">
        <v>70</v>
      </c>
      <c r="V24" s="69" t="s">
        <v>70</v>
      </c>
      <c r="W24" s="69" t="s">
        <v>70</v>
      </c>
      <c r="X24" s="69" t="s">
        <v>70</v>
      </c>
      <c r="Y24" s="69" t="s">
        <v>70</v>
      </c>
      <c r="Z24" s="69" t="s">
        <v>70</v>
      </c>
      <c r="AA24" s="69" t="s">
        <v>70</v>
      </c>
      <c r="AB24" s="69" t="s">
        <v>70</v>
      </c>
      <c r="AC24" s="69" t="s">
        <v>70</v>
      </c>
      <c r="AD24" s="69" t="s">
        <v>70</v>
      </c>
      <c r="AE24" s="262">
        <v>1</v>
      </c>
      <c r="AF24" s="262">
        <v>0</v>
      </c>
      <c r="AG24" s="262">
        <v>0</v>
      </c>
      <c r="AH24" s="262">
        <v>1</v>
      </c>
      <c r="AI24" s="262">
        <v>0</v>
      </c>
      <c r="AJ24" s="25" t="s">
        <v>33</v>
      </c>
      <c r="AL24" t="str">
        <f t="shared" si="0"/>
        <v xml:space="preserve">    (U1)ALERT_REQ_UNKNOWN</v>
      </c>
      <c r="AR24" s="70" t="str">
        <f t="shared" si="3"/>
        <v xml:space="preserve">    (U4)0x00000012U,                                                           /* 18 UNKNOWN                                         */</v>
      </c>
      <c r="AS24" s="70" t="str">
        <f t="shared" si="4"/>
        <v xml:space="preserve">    (U4)0x0000001FU,                                                           /* 18 UNKNOWN                                         */</v>
      </c>
      <c r="AT24" s="70" t="str">
        <f t="shared" si="1"/>
        <v xml:space="preserve">    (U1)ALERT_REQ_UNKNOWN,                                                     /* 18 UNKNOWN                                         */</v>
      </c>
    </row>
    <row r="25" spans="2:49">
      <c r="B25" s="139"/>
      <c r="C25" s="55">
        <f t="shared" si="2"/>
        <v>19</v>
      </c>
      <c r="D25" s="69" t="s">
        <v>70</v>
      </c>
      <c r="E25" s="69" t="s">
        <v>70</v>
      </c>
      <c r="F25" s="69" t="s">
        <v>70</v>
      </c>
      <c r="G25" s="69" t="s">
        <v>70</v>
      </c>
      <c r="H25" s="69" t="s">
        <v>70</v>
      </c>
      <c r="I25" s="69" t="s">
        <v>70</v>
      </c>
      <c r="J25" s="69" t="s">
        <v>70</v>
      </c>
      <c r="K25" s="69" t="s">
        <v>70</v>
      </c>
      <c r="L25" s="69" t="s">
        <v>70</v>
      </c>
      <c r="M25" s="69" t="s">
        <v>70</v>
      </c>
      <c r="N25" s="69" t="s">
        <v>70</v>
      </c>
      <c r="O25" s="69" t="s">
        <v>70</v>
      </c>
      <c r="P25" s="69" t="s">
        <v>70</v>
      </c>
      <c r="Q25" s="69" t="s">
        <v>70</v>
      </c>
      <c r="R25" s="69" t="s">
        <v>70</v>
      </c>
      <c r="S25" s="69" t="s">
        <v>70</v>
      </c>
      <c r="T25" s="69" t="s">
        <v>70</v>
      </c>
      <c r="U25" s="69" t="s">
        <v>70</v>
      </c>
      <c r="V25" s="69" t="s">
        <v>70</v>
      </c>
      <c r="W25" s="69" t="s">
        <v>70</v>
      </c>
      <c r="X25" s="69" t="s">
        <v>70</v>
      </c>
      <c r="Y25" s="69" t="s">
        <v>70</v>
      </c>
      <c r="Z25" s="69" t="s">
        <v>70</v>
      </c>
      <c r="AA25" s="69" t="s">
        <v>70</v>
      </c>
      <c r="AB25" s="69" t="s">
        <v>70</v>
      </c>
      <c r="AC25" s="69" t="s">
        <v>70</v>
      </c>
      <c r="AD25" s="69" t="s">
        <v>70</v>
      </c>
      <c r="AE25" s="262">
        <v>1</v>
      </c>
      <c r="AF25" s="262">
        <v>0</v>
      </c>
      <c r="AG25" s="262">
        <v>0</v>
      </c>
      <c r="AH25" s="262">
        <v>1</v>
      </c>
      <c r="AI25" s="262">
        <v>1</v>
      </c>
      <c r="AJ25" s="25" t="s">
        <v>33</v>
      </c>
      <c r="AL25" t="str">
        <f t="shared" si="0"/>
        <v xml:space="preserve">    (U1)ALERT_REQ_UNKNOWN</v>
      </c>
      <c r="AR25" s="70" t="str">
        <f t="shared" si="3"/>
        <v xml:space="preserve">    (U4)0x00000013U,                                                           /* 19 UNKNOWN                                         */</v>
      </c>
      <c r="AS25" s="70" t="str">
        <f t="shared" si="4"/>
        <v xml:space="preserve">    (U4)0x0000001FU,                                                           /* 19 UNKNOWN                                         */</v>
      </c>
      <c r="AT25" s="70" t="str">
        <f t="shared" si="1"/>
        <v xml:space="preserve">    (U1)ALERT_REQ_UNKNOWN,                                                     /* 19 UNKNOWN                                         */</v>
      </c>
    </row>
    <row r="26" spans="2:49">
      <c r="B26" s="139"/>
      <c r="C26" s="55">
        <f t="shared" si="2"/>
        <v>20</v>
      </c>
      <c r="D26" s="69" t="s">
        <v>70</v>
      </c>
      <c r="E26" s="69" t="s">
        <v>70</v>
      </c>
      <c r="F26" s="69" t="s">
        <v>70</v>
      </c>
      <c r="G26" s="69" t="s">
        <v>70</v>
      </c>
      <c r="H26" s="69" t="s">
        <v>70</v>
      </c>
      <c r="I26" s="69" t="s">
        <v>70</v>
      </c>
      <c r="J26" s="69" t="s">
        <v>70</v>
      </c>
      <c r="K26" s="69" t="s">
        <v>70</v>
      </c>
      <c r="L26" s="69" t="s">
        <v>70</v>
      </c>
      <c r="M26" s="69" t="s">
        <v>70</v>
      </c>
      <c r="N26" s="69" t="s">
        <v>70</v>
      </c>
      <c r="O26" s="69" t="s">
        <v>70</v>
      </c>
      <c r="P26" s="69" t="s">
        <v>70</v>
      </c>
      <c r="Q26" s="69" t="s">
        <v>70</v>
      </c>
      <c r="R26" s="69" t="s">
        <v>70</v>
      </c>
      <c r="S26" s="69" t="s">
        <v>70</v>
      </c>
      <c r="T26" s="69" t="s">
        <v>70</v>
      </c>
      <c r="U26" s="69" t="s">
        <v>70</v>
      </c>
      <c r="V26" s="69" t="s">
        <v>70</v>
      </c>
      <c r="W26" s="69" t="s">
        <v>70</v>
      </c>
      <c r="X26" s="69" t="s">
        <v>70</v>
      </c>
      <c r="Y26" s="69" t="s">
        <v>70</v>
      </c>
      <c r="Z26" s="69" t="s">
        <v>70</v>
      </c>
      <c r="AA26" s="69" t="s">
        <v>70</v>
      </c>
      <c r="AB26" s="69" t="s">
        <v>70</v>
      </c>
      <c r="AC26" s="69" t="s">
        <v>70</v>
      </c>
      <c r="AD26" s="69" t="s">
        <v>70</v>
      </c>
      <c r="AE26" s="262">
        <v>1</v>
      </c>
      <c r="AF26" s="262">
        <v>0</v>
      </c>
      <c r="AG26" s="262">
        <v>1</v>
      </c>
      <c r="AH26" s="262">
        <v>0</v>
      </c>
      <c r="AI26" s="262">
        <v>0</v>
      </c>
      <c r="AJ26" s="25" t="s">
        <v>33</v>
      </c>
      <c r="AL26" t="str">
        <f t="shared" si="0"/>
        <v xml:space="preserve">    (U1)ALERT_REQ_UNKNOWN</v>
      </c>
      <c r="AR26" s="70" t="str">
        <f t="shared" si="3"/>
        <v xml:space="preserve">    (U4)0x00000014U,                                                           /* 20 UNKNOWN                                         */</v>
      </c>
      <c r="AS26" s="70" t="str">
        <f t="shared" si="4"/>
        <v xml:space="preserve">    (U4)0x0000001FU,                                                           /* 20 UNKNOWN                                         */</v>
      </c>
      <c r="AT26" s="70" t="str">
        <f t="shared" si="1"/>
        <v xml:space="preserve">    (U1)ALERT_REQ_UNKNOWN,                                                     /* 20 UNKNOWN                                         */</v>
      </c>
    </row>
    <row r="27" spans="2:49">
      <c r="B27" s="139"/>
      <c r="C27" s="55">
        <f t="shared" si="2"/>
        <v>21</v>
      </c>
      <c r="D27" s="69" t="s">
        <v>70</v>
      </c>
      <c r="E27" s="69" t="s">
        <v>70</v>
      </c>
      <c r="F27" s="69" t="s">
        <v>70</v>
      </c>
      <c r="G27" s="69" t="s">
        <v>70</v>
      </c>
      <c r="H27" s="69" t="s">
        <v>70</v>
      </c>
      <c r="I27" s="69" t="s">
        <v>70</v>
      </c>
      <c r="J27" s="69" t="s">
        <v>70</v>
      </c>
      <c r="K27" s="69" t="s">
        <v>70</v>
      </c>
      <c r="L27" s="69" t="s">
        <v>70</v>
      </c>
      <c r="M27" s="69" t="s">
        <v>70</v>
      </c>
      <c r="N27" s="69" t="s">
        <v>70</v>
      </c>
      <c r="O27" s="69" t="s">
        <v>70</v>
      </c>
      <c r="P27" s="69" t="s">
        <v>70</v>
      </c>
      <c r="Q27" s="69" t="s">
        <v>70</v>
      </c>
      <c r="R27" s="69" t="s">
        <v>70</v>
      </c>
      <c r="S27" s="69" t="s">
        <v>70</v>
      </c>
      <c r="T27" s="69" t="s">
        <v>70</v>
      </c>
      <c r="U27" s="69" t="s">
        <v>70</v>
      </c>
      <c r="V27" s="69" t="s">
        <v>70</v>
      </c>
      <c r="W27" s="69" t="s">
        <v>70</v>
      </c>
      <c r="X27" s="69" t="s">
        <v>70</v>
      </c>
      <c r="Y27" s="69" t="s">
        <v>70</v>
      </c>
      <c r="Z27" s="69" t="s">
        <v>70</v>
      </c>
      <c r="AA27" s="69" t="s">
        <v>70</v>
      </c>
      <c r="AB27" s="69" t="s">
        <v>70</v>
      </c>
      <c r="AC27" s="69" t="s">
        <v>70</v>
      </c>
      <c r="AD27" s="69" t="s">
        <v>70</v>
      </c>
      <c r="AE27" s="262">
        <v>1</v>
      </c>
      <c r="AF27" s="262">
        <v>0</v>
      </c>
      <c r="AG27" s="262">
        <v>1</v>
      </c>
      <c r="AH27" s="262">
        <v>0</v>
      </c>
      <c r="AI27" s="262">
        <v>1</v>
      </c>
      <c r="AJ27" s="25" t="s">
        <v>33</v>
      </c>
      <c r="AL27" t="str">
        <f t="shared" si="0"/>
        <v xml:space="preserve">    (U1)ALERT_REQ_UNKNOWN</v>
      </c>
      <c r="AR27" s="70" t="str">
        <f t="shared" si="3"/>
        <v xml:space="preserve">    (U4)0x00000015U,                                                           /* 21 UNKNOWN                                         */</v>
      </c>
      <c r="AS27" s="70" t="str">
        <f t="shared" si="4"/>
        <v xml:space="preserve">    (U4)0x0000001FU,                                                           /* 21 UNKNOWN                                         */</v>
      </c>
      <c r="AT27" s="70" t="str">
        <f t="shared" si="1"/>
        <v xml:space="preserve">    (U1)ALERT_REQ_UNKNOWN,                                                     /* 21 UNKNOWN                                         */</v>
      </c>
    </row>
    <row r="28" spans="2:49">
      <c r="B28" s="139"/>
      <c r="C28" s="55">
        <f t="shared" si="2"/>
        <v>22</v>
      </c>
      <c r="D28" s="69" t="s">
        <v>70</v>
      </c>
      <c r="E28" s="69" t="s">
        <v>70</v>
      </c>
      <c r="F28" s="69" t="s">
        <v>70</v>
      </c>
      <c r="G28" s="69" t="s">
        <v>70</v>
      </c>
      <c r="H28" s="69" t="s">
        <v>70</v>
      </c>
      <c r="I28" s="69" t="s">
        <v>70</v>
      </c>
      <c r="J28" s="69" t="s">
        <v>70</v>
      </c>
      <c r="K28" s="69" t="s">
        <v>70</v>
      </c>
      <c r="L28" s="69" t="s">
        <v>70</v>
      </c>
      <c r="M28" s="69" t="s">
        <v>70</v>
      </c>
      <c r="N28" s="69" t="s">
        <v>70</v>
      </c>
      <c r="O28" s="69" t="s">
        <v>70</v>
      </c>
      <c r="P28" s="69" t="s">
        <v>70</v>
      </c>
      <c r="Q28" s="69" t="s">
        <v>70</v>
      </c>
      <c r="R28" s="69" t="s">
        <v>70</v>
      </c>
      <c r="S28" s="69" t="s">
        <v>70</v>
      </c>
      <c r="T28" s="69" t="s">
        <v>70</v>
      </c>
      <c r="U28" s="69" t="s">
        <v>70</v>
      </c>
      <c r="V28" s="69" t="s">
        <v>70</v>
      </c>
      <c r="W28" s="69" t="s">
        <v>70</v>
      </c>
      <c r="X28" s="69" t="s">
        <v>70</v>
      </c>
      <c r="Y28" s="69" t="s">
        <v>70</v>
      </c>
      <c r="Z28" s="69" t="s">
        <v>70</v>
      </c>
      <c r="AA28" s="69" t="s">
        <v>70</v>
      </c>
      <c r="AB28" s="69" t="s">
        <v>70</v>
      </c>
      <c r="AC28" s="69" t="s">
        <v>70</v>
      </c>
      <c r="AD28" s="69" t="s">
        <v>70</v>
      </c>
      <c r="AE28" s="262">
        <v>1</v>
      </c>
      <c r="AF28" s="262">
        <v>0</v>
      </c>
      <c r="AG28" s="262">
        <v>1</v>
      </c>
      <c r="AH28" s="262">
        <v>1</v>
      </c>
      <c r="AI28" s="262">
        <v>0</v>
      </c>
      <c r="AJ28" s="25" t="s">
        <v>33</v>
      </c>
      <c r="AL28" t="str">
        <f t="shared" si="0"/>
        <v xml:space="preserve">    (U1)ALERT_REQ_UNKNOWN</v>
      </c>
      <c r="AR28" s="70" t="str">
        <f t="shared" si="3"/>
        <v xml:space="preserve">    (U4)0x00000016U,                                                           /* 22 UNKNOWN                                         */</v>
      </c>
      <c r="AS28" s="70" t="str">
        <f t="shared" si="4"/>
        <v xml:space="preserve">    (U4)0x0000001FU,                                                           /* 22 UNKNOWN                                         */</v>
      </c>
      <c r="AT28" s="70" t="str">
        <f t="shared" si="1"/>
        <v xml:space="preserve">    (U1)ALERT_REQ_UNKNOWN,                                                     /* 22 UNKNOWN                                         */</v>
      </c>
    </row>
    <row r="29" spans="2:49">
      <c r="B29" s="139"/>
      <c r="C29" s="55">
        <f t="shared" si="2"/>
        <v>23</v>
      </c>
      <c r="D29" s="69" t="s">
        <v>70</v>
      </c>
      <c r="E29" s="69" t="s">
        <v>70</v>
      </c>
      <c r="F29" s="69" t="s">
        <v>70</v>
      </c>
      <c r="G29" s="69" t="s">
        <v>70</v>
      </c>
      <c r="H29" s="69" t="s">
        <v>70</v>
      </c>
      <c r="I29" s="69" t="s">
        <v>70</v>
      </c>
      <c r="J29" s="69" t="s">
        <v>70</v>
      </c>
      <c r="K29" s="69" t="s">
        <v>70</v>
      </c>
      <c r="L29" s="69" t="s">
        <v>70</v>
      </c>
      <c r="M29" s="69" t="s">
        <v>70</v>
      </c>
      <c r="N29" s="69" t="s">
        <v>70</v>
      </c>
      <c r="O29" s="69" t="s">
        <v>70</v>
      </c>
      <c r="P29" s="69" t="s">
        <v>70</v>
      </c>
      <c r="Q29" s="69" t="s">
        <v>70</v>
      </c>
      <c r="R29" s="69" t="s">
        <v>70</v>
      </c>
      <c r="S29" s="69" t="s">
        <v>70</v>
      </c>
      <c r="T29" s="69" t="s">
        <v>70</v>
      </c>
      <c r="U29" s="69" t="s">
        <v>70</v>
      </c>
      <c r="V29" s="69" t="s">
        <v>70</v>
      </c>
      <c r="W29" s="69" t="s">
        <v>70</v>
      </c>
      <c r="X29" s="69" t="s">
        <v>70</v>
      </c>
      <c r="Y29" s="69" t="s">
        <v>70</v>
      </c>
      <c r="Z29" s="69" t="s">
        <v>70</v>
      </c>
      <c r="AA29" s="69" t="s">
        <v>70</v>
      </c>
      <c r="AB29" s="69" t="s">
        <v>70</v>
      </c>
      <c r="AC29" s="69" t="s">
        <v>70</v>
      </c>
      <c r="AD29" s="69" t="s">
        <v>70</v>
      </c>
      <c r="AE29" s="262">
        <v>1</v>
      </c>
      <c r="AF29" s="262">
        <v>0</v>
      </c>
      <c r="AG29" s="262">
        <v>1</v>
      </c>
      <c r="AH29" s="262">
        <v>1</v>
      </c>
      <c r="AI29" s="262">
        <v>1</v>
      </c>
      <c r="AJ29" s="25" t="s">
        <v>33</v>
      </c>
      <c r="AL29" t="str">
        <f t="shared" si="0"/>
        <v xml:space="preserve">    (U1)ALERT_REQ_UNKNOWN</v>
      </c>
      <c r="AR29" s="70" t="str">
        <f t="shared" si="3"/>
        <v xml:space="preserve">    (U4)0x00000017U,                                                           /* 23 UNKNOWN                                         */</v>
      </c>
      <c r="AS29" s="70" t="str">
        <f t="shared" si="4"/>
        <v xml:space="preserve">    (U4)0x0000001FU,                                                           /* 23 UNKNOWN                                         */</v>
      </c>
      <c r="AT29" s="70" t="str">
        <f t="shared" si="1"/>
        <v xml:space="preserve">    (U1)ALERT_REQ_UNKNOWN,                                                     /* 23 UNKNOWN                                         */</v>
      </c>
    </row>
    <row r="30" spans="2:49">
      <c r="B30" s="139"/>
      <c r="C30" s="55">
        <f t="shared" si="2"/>
        <v>24</v>
      </c>
      <c r="D30" s="69" t="s">
        <v>70</v>
      </c>
      <c r="E30" s="69" t="s">
        <v>70</v>
      </c>
      <c r="F30" s="69" t="s">
        <v>70</v>
      </c>
      <c r="G30" s="69" t="s">
        <v>70</v>
      </c>
      <c r="H30" s="69" t="s">
        <v>70</v>
      </c>
      <c r="I30" s="69" t="s">
        <v>70</v>
      </c>
      <c r="J30" s="69" t="s">
        <v>70</v>
      </c>
      <c r="K30" s="69" t="s">
        <v>70</v>
      </c>
      <c r="L30" s="69" t="s">
        <v>70</v>
      </c>
      <c r="M30" s="69" t="s">
        <v>70</v>
      </c>
      <c r="N30" s="69" t="s">
        <v>70</v>
      </c>
      <c r="O30" s="69" t="s">
        <v>70</v>
      </c>
      <c r="P30" s="69" t="s">
        <v>70</v>
      </c>
      <c r="Q30" s="69" t="s">
        <v>70</v>
      </c>
      <c r="R30" s="69" t="s">
        <v>70</v>
      </c>
      <c r="S30" s="69" t="s">
        <v>70</v>
      </c>
      <c r="T30" s="69" t="s">
        <v>70</v>
      </c>
      <c r="U30" s="69" t="s">
        <v>70</v>
      </c>
      <c r="V30" s="69" t="s">
        <v>70</v>
      </c>
      <c r="W30" s="69" t="s">
        <v>70</v>
      </c>
      <c r="X30" s="69" t="s">
        <v>70</v>
      </c>
      <c r="Y30" s="69" t="s">
        <v>70</v>
      </c>
      <c r="Z30" s="69" t="s">
        <v>70</v>
      </c>
      <c r="AA30" s="69" t="s">
        <v>70</v>
      </c>
      <c r="AB30" s="69" t="s">
        <v>70</v>
      </c>
      <c r="AC30" s="69" t="s">
        <v>70</v>
      </c>
      <c r="AD30" s="69" t="s">
        <v>70</v>
      </c>
      <c r="AE30" s="262">
        <v>1</v>
      </c>
      <c r="AF30" s="262">
        <v>1</v>
      </c>
      <c r="AG30" s="262">
        <v>0</v>
      </c>
      <c r="AH30" s="262">
        <v>0</v>
      </c>
      <c r="AI30" s="262">
        <v>0</v>
      </c>
      <c r="AJ30" s="25" t="s">
        <v>33</v>
      </c>
      <c r="AL30" t="str">
        <f t="shared" si="0"/>
        <v xml:space="preserve">    (U1)ALERT_REQ_UNKNOWN</v>
      </c>
      <c r="AR30" s="70" t="str">
        <f t="shared" si="3"/>
        <v xml:space="preserve">    (U4)0x00000018U,                                                           /* 24 UNKNOWN                                         */</v>
      </c>
      <c r="AS30" s="70" t="str">
        <f t="shared" si="4"/>
        <v xml:space="preserve">    (U4)0x0000001FU,                                                           /* 24 UNKNOWN                                         */</v>
      </c>
      <c r="AT30" s="70" t="str">
        <f t="shared" si="1"/>
        <v xml:space="preserve">    (U1)ALERT_REQ_UNKNOWN,                                                     /* 24 UNKNOWN                                         */</v>
      </c>
    </row>
    <row r="31" spans="2:49">
      <c r="B31" s="139"/>
      <c r="C31" s="55">
        <f t="shared" si="2"/>
        <v>25</v>
      </c>
      <c r="D31" s="69" t="s">
        <v>70</v>
      </c>
      <c r="E31" s="69" t="s">
        <v>70</v>
      </c>
      <c r="F31" s="69" t="s">
        <v>70</v>
      </c>
      <c r="G31" s="69" t="s">
        <v>70</v>
      </c>
      <c r="H31" s="69" t="s">
        <v>70</v>
      </c>
      <c r="I31" s="69" t="s">
        <v>70</v>
      </c>
      <c r="J31" s="69" t="s">
        <v>70</v>
      </c>
      <c r="K31" s="69" t="s">
        <v>70</v>
      </c>
      <c r="L31" s="69" t="s">
        <v>70</v>
      </c>
      <c r="M31" s="69" t="s">
        <v>70</v>
      </c>
      <c r="N31" s="69" t="s">
        <v>70</v>
      </c>
      <c r="O31" s="69" t="s">
        <v>70</v>
      </c>
      <c r="P31" s="69" t="s">
        <v>70</v>
      </c>
      <c r="Q31" s="69" t="s">
        <v>70</v>
      </c>
      <c r="R31" s="69" t="s">
        <v>70</v>
      </c>
      <c r="S31" s="69" t="s">
        <v>70</v>
      </c>
      <c r="T31" s="69" t="s">
        <v>70</v>
      </c>
      <c r="U31" s="69" t="s">
        <v>70</v>
      </c>
      <c r="V31" s="69" t="s">
        <v>70</v>
      </c>
      <c r="W31" s="69" t="s">
        <v>70</v>
      </c>
      <c r="X31" s="69" t="s">
        <v>70</v>
      </c>
      <c r="Y31" s="69" t="s">
        <v>70</v>
      </c>
      <c r="Z31" s="69" t="s">
        <v>70</v>
      </c>
      <c r="AA31" s="69" t="s">
        <v>70</v>
      </c>
      <c r="AB31" s="69" t="s">
        <v>70</v>
      </c>
      <c r="AC31" s="69" t="s">
        <v>70</v>
      </c>
      <c r="AD31" s="69" t="s">
        <v>70</v>
      </c>
      <c r="AE31" s="262">
        <v>1</v>
      </c>
      <c r="AF31" s="262">
        <v>1</v>
      </c>
      <c r="AG31" s="262">
        <v>0</v>
      </c>
      <c r="AH31" s="262">
        <v>0</v>
      </c>
      <c r="AI31" s="262">
        <v>1</v>
      </c>
      <c r="AJ31" s="25" t="s">
        <v>33</v>
      </c>
      <c r="AL31" t="str">
        <f t="shared" si="0"/>
        <v xml:space="preserve">    (U1)ALERT_REQ_UNKNOWN</v>
      </c>
      <c r="AR31" s="70" t="str">
        <f t="shared" si="3"/>
        <v xml:space="preserve">    (U4)0x00000019U,                                                           /* 25 UNKNOWN                                         */</v>
      </c>
      <c r="AS31" s="70" t="str">
        <f t="shared" si="4"/>
        <v xml:space="preserve">    (U4)0x0000001FU,                                                           /* 25 UNKNOWN                                         */</v>
      </c>
      <c r="AT31" s="70" t="str">
        <f t="shared" si="1"/>
        <v xml:space="preserve">    (U1)ALERT_REQ_UNKNOWN,                                                     /* 25 UNKNOWN                                         */</v>
      </c>
    </row>
    <row r="32" spans="2:49">
      <c r="B32" s="139"/>
      <c r="C32" s="55">
        <f t="shared" si="2"/>
        <v>26</v>
      </c>
      <c r="D32" s="69" t="s">
        <v>70</v>
      </c>
      <c r="E32" s="69" t="s">
        <v>70</v>
      </c>
      <c r="F32" s="69" t="s">
        <v>70</v>
      </c>
      <c r="G32" s="69" t="s">
        <v>70</v>
      </c>
      <c r="H32" s="69" t="s">
        <v>70</v>
      </c>
      <c r="I32" s="69" t="s">
        <v>70</v>
      </c>
      <c r="J32" s="69" t="s">
        <v>70</v>
      </c>
      <c r="K32" s="69" t="s">
        <v>70</v>
      </c>
      <c r="L32" s="69" t="s">
        <v>70</v>
      </c>
      <c r="M32" s="69" t="s">
        <v>70</v>
      </c>
      <c r="N32" s="69" t="s">
        <v>70</v>
      </c>
      <c r="O32" s="69" t="s">
        <v>70</v>
      </c>
      <c r="P32" s="69" t="s">
        <v>70</v>
      </c>
      <c r="Q32" s="69" t="s">
        <v>70</v>
      </c>
      <c r="R32" s="69" t="s">
        <v>70</v>
      </c>
      <c r="S32" s="69" t="s">
        <v>70</v>
      </c>
      <c r="T32" s="69" t="s">
        <v>70</v>
      </c>
      <c r="U32" s="69" t="s">
        <v>70</v>
      </c>
      <c r="V32" s="69" t="s">
        <v>70</v>
      </c>
      <c r="W32" s="69" t="s">
        <v>70</v>
      </c>
      <c r="X32" s="69" t="s">
        <v>70</v>
      </c>
      <c r="Y32" s="69" t="s">
        <v>70</v>
      </c>
      <c r="Z32" s="69" t="s">
        <v>70</v>
      </c>
      <c r="AA32" s="69" t="s">
        <v>70</v>
      </c>
      <c r="AB32" s="69" t="s">
        <v>70</v>
      </c>
      <c r="AC32" s="69" t="s">
        <v>70</v>
      </c>
      <c r="AD32" s="69" t="s">
        <v>70</v>
      </c>
      <c r="AE32" s="262">
        <v>1</v>
      </c>
      <c r="AF32" s="262">
        <v>1</v>
      </c>
      <c r="AG32" s="262">
        <v>0</v>
      </c>
      <c r="AH32" s="262">
        <v>1</v>
      </c>
      <c r="AI32" s="262">
        <v>0</v>
      </c>
      <c r="AJ32" s="25" t="s">
        <v>33</v>
      </c>
      <c r="AL32" t="str">
        <f t="shared" si="0"/>
        <v xml:space="preserve">    (U1)ALERT_REQ_UNKNOWN</v>
      </c>
      <c r="AR32" s="70" t="str">
        <f t="shared" si="3"/>
        <v xml:space="preserve">    (U4)0x0000001AU,                                                           /* 26 UNKNOWN                                         */</v>
      </c>
      <c r="AS32" s="70" t="str">
        <f t="shared" si="4"/>
        <v xml:space="preserve">    (U4)0x0000001FU,                                                           /* 26 UNKNOWN                                         */</v>
      </c>
      <c r="AT32" s="70" t="str">
        <f t="shared" si="1"/>
        <v xml:space="preserve">    (U1)ALERT_REQ_UNKNOWN,                                                     /* 26 UNKNOWN                                         */</v>
      </c>
    </row>
    <row r="33" spans="2:46">
      <c r="B33" s="139"/>
      <c r="C33" s="55">
        <f t="shared" si="2"/>
        <v>27</v>
      </c>
      <c r="D33" s="69" t="s">
        <v>70</v>
      </c>
      <c r="E33" s="69" t="s">
        <v>70</v>
      </c>
      <c r="F33" s="69" t="s">
        <v>70</v>
      </c>
      <c r="G33" s="69" t="s">
        <v>70</v>
      </c>
      <c r="H33" s="69" t="s">
        <v>70</v>
      </c>
      <c r="I33" s="69" t="s">
        <v>70</v>
      </c>
      <c r="J33" s="69" t="s">
        <v>70</v>
      </c>
      <c r="K33" s="69" t="s">
        <v>70</v>
      </c>
      <c r="L33" s="69" t="s">
        <v>70</v>
      </c>
      <c r="M33" s="69" t="s">
        <v>70</v>
      </c>
      <c r="N33" s="69" t="s">
        <v>70</v>
      </c>
      <c r="O33" s="69" t="s">
        <v>70</v>
      </c>
      <c r="P33" s="69" t="s">
        <v>70</v>
      </c>
      <c r="Q33" s="69" t="s">
        <v>70</v>
      </c>
      <c r="R33" s="69" t="s">
        <v>70</v>
      </c>
      <c r="S33" s="69" t="s">
        <v>70</v>
      </c>
      <c r="T33" s="69" t="s">
        <v>70</v>
      </c>
      <c r="U33" s="69" t="s">
        <v>70</v>
      </c>
      <c r="V33" s="69" t="s">
        <v>70</v>
      </c>
      <c r="W33" s="69" t="s">
        <v>70</v>
      </c>
      <c r="X33" s="69" t="s">
        <v>70</v>
      </c>
      <c r="Y33" s="69" t="s">
        <v>70</v>
      </c>
      <c r="Z33" s="69" t="s">
        <v>70</v>
      </c>
      <c r="AA33" s="69" t="s">
        <v>70</v>
      </c>
      <c r="AB33" s="69" t="s">
        <v>70</v>
      </c>
      <c r="AC33" s="69" t="s">
        <v>70</v>
      </c>
      <c r="AD33" s="69" t="s">
        <v>70</v>
      </c>
      <c r="AE33" s="262">
        <v>1</v>
      </c>
      <c r="AF33" s="262">
        <v>1</v>
      </c>
      <c r="AG33" s="262">
        <v>0</v>
      </c>
      <c r="AH33" s="262">
        <v>1</v>
      </c>
      <c r="AI33" s="262">
        <v>1</v>
      </c>
      <c r="AJ33" s="25" t="s">
        <v>33</v>
      </c>
      <c r="AL33" t="str">
        <f t="shared" si="0"/>
        <v xml:space="preserve">    (U1)ALERT_REQ_UNKNOWN</v>
      </c>
      <c r="AR33" s="70" t="str">
        <f t="shared" si="3"/>
        <v xml:space="preserve">    (U4)0x0000001BU,                                                           /* 27 UNKNOWN                                         */</v>
      </c>
      <c r="AS33" s="70" t="str">
        <f t="shared" si="4"/>
        <v xml:space="preserve">    (U4)0x0000001FU,                                                           /* 27 UNKNOWN                                         */</v>
      </c>
      <c r="AT33" s="70" t="str">
        <f t="shared" si="1"/>
        <v xml:space="preserve">    (U1)ALERT_REQ_UNKNOWN,                                                     /* 27 UNKNOWN                                         */</v>
      </c>
    </row>
    <row r="34" spans="2:46">
      <c r="B34" s="139"/>
      <c r="C34" s="55">
        <f t="shared" si="2"/>
        <v>28</v>
      </c>
      <c r="D34" s="69" t="s">
        <v>70</v>
      </c>
      <c r="E34" s="69" t="s">
        <v>70</v>
      </c>
      <c r="F34" s="69" t="s">
        <v>70</v>
      </c>
      <c r="G34" s="69" t="s">
        <v>70</v>
      </c>
      <c r="H34" s="69" t="s">
        <v>70</v>
      </c>
      <c r="I34" s="69" t="s">
        <v>70</v>
      </c>
      <c r="J34" s="69" t="s">
        <v>70</v>
      </c>
      <c r="K34" s="69" t="s">
        <v>70</v>
      </c>
      <c r="L34" s="69" t="s">
        <v>70</v>
      </c>
      <c r="M34" s="69" t="s">
        <v>70</v>
      </c>
      <c r="N34" s="69" t="s">
        <v>70</v>
      </c>
      <c r="O34" s="69" t="s">
        <v>70</v>
      </c>
      <c r="P34" s="69" t="s">
        <v>70</v>
      </c>
      <c r="Q34" s="69" t="s">
        <v>70</v>
      </c>
      <c r="R34" s="69" t="s">
        <v>70</v>
      </c>
      <c r="S34" s="69" t="s">
        <v>70</v>
      </c>
      <c r="T34" s="69" t="s">
        <v>70</v>
      </c>
      <c r="U34" s="69" t="s">
        <v>70</v>
      </c>
      <c r="V34" s="69" t="s">
        <v>70</v>
      </c>
      <c r="W34" s="69" t="s">
        <v>70</v>
      </c>
      <c r="X34" s="69" t="s">
        <v>70</v>
      </c>
      <c r="Y34" s="69" t="s">
        <v>70</v>
      </c>
      <c r="Z34" s="69" t="s">
        <v>70</v>
      </c>
      <c r="AA34" s="69" t="s">
        <v>70</v>
      </c>
      <c r="AB34" s="69" t="s">
        <v>70</v>
      </c>
      <c r="AC34" s="69" t="s">
        <v>70</v>
      </c>
      <c r="AD34" s="69" t="s">
        <v>70</v>
      </c>
      <c r="AE34" s="262">
        <v>1</v>
      </c>
      <c r="AF34" s="262">
        <v>1</v>
      </c>
      <c r="AG34" s="262">
        <v>1</v>
      </c>
      <c r="AH34" s="262">
        <v>0</v>
      </c>
      <c r="AI34" s="262">
        <v>0</v>
      </c>
      <c r="AJ34" s="25" t="s">
        <v>33</v>
      </c>
      <c r="AL34" t="str">
        <f t="shared" si="0"/>
        <v xml:space="preserve">    (U1)ALERT_REQ_UNKNOWN</v>
      </c>
      <c r="AR34" s="70" t="str">
        <f t="shared" si="3"/>
        <v xml:space="preserve">    (U4)0x0000001CU,                                                           /* 28 UNKNOWN                                         */</v>
      </c>
      <c r="AS34" s="70" t="str">
        <f t="shared" si="4"/>
        <v xml:space="preserve">    (U4)0x0000001FU,                                                           /* 28 UNKNOWN                                         */</v>
      </c>
      <c r="AT34" s="70" t="str">
        <f t="shared" si="1"/>
        <v xml:space="preserve">    (U1)ALERT_REQ_UNKNOWN,                                                     /* 28 UNKNOWN                                         */</v>
      </c>
    </row>
    <row r="35" spans="2:46">
      <c r="B35" s="139"/>
      <c r="C35" s="55">
        <f t="shared" si="2"/>
        <v>29</v>
      </c>
      <c r="D35" s="69" t="s">
        <v>70</v>
      </c>
      <c r="E35" s="69" t="s">
        <v>70</v>
      </c>
      <c r="F35" s="69" t="s">
        <v>70</v>
      </c>
      <c r="G35" s="69" t="s">
        <v>70</v>
      </c>
      <c r="H35" s="69" t="s">
        <v>70</v>
      </c>
      <c r="I35" s="69" t="s">
        <v>70</v>
      </c>
      <c r="J35" s="69" t="s">
        <v>70</v>
      </c>
      <c r="K35" s="69" t="s">
        <v>70</v>
      </c>
      <c r="L35" s="69" t="s">
        <v>70</v>
      </c>
      <c r="M35" s="69" t="s">
        <v>70</v>
      </c>
      <c r="N35" s="69" t="s">
        <v>70</v>
      </c>
      <c r="O35" s="69" t="s">
        <v>70</v>
      </c>
      <c r="P35" s="69" t="s">
        <v>70</v>
      </c>
      <c r="Q35" s="69" t="s">
        <v>70</v>
      </c>
      <c r="R35" s="69" t="s">
        <v>70</v>
      </c>
      <c r="S35" s="69" t="s">
        <v>70</v>
      </c>
      <c r="T35" s="69" t="s">
        <v>70</v>
      </c>
      <c r="U35" s="69" t="s">
        <v>70</v>
      </c>
      <c r="V35" s="69" t="s">
        <v>70</v>
      </c>
      <c r="W35" s="69" t="s">
        <v>70</v>
      </c>
      <c r="X35" s="69" t="s">
        <v>70</v>
      </c>
      <c r="Y35" s="69" t="s">
        <v>70</v>
      </c>
      <c r="Z35" s="69" t="s">
        <v>70</v>
      </c>
      <c r="AA35" s="69" t="s">
        <v>70</v>
      </c>
      <c r="AB35" s="69" t="s">
        <v>70</v>
      </c>
      <c r="AC35" s="69" t="s">
        <v>70</v>
      </c>
      <c r="AD35" s="69" t="s">
        <v>70</v>
      </c>
      <c r="AE35" s="262">
        <v>1</v>
      </c>
      <c r="AF35" s="262">
        <v>1</v>
      </c>
      <c r="AG35" s="262">
        <v>1</v>
      </c>
      <c r="AH35" s="262">
        <v>0</v>
      </c>
      <c r="AI35" s="262">
        <v>1</v>
      </c>
      <c r="AJ35" s="25" t="s">
        <v>33</v>
      </c>
      <c r="AL35" t="str">
        <f t="shared" si="0"/>
        <v xml:space="preserve">    (U1)ALERT_REQ_UNKNOWN</v>
      </c>
      <c r="AR35" s="70" t="str">
        <f t="shared" si="3"/>
        <v xml:space="preserve">    (U4)0x0000001DU,                                                           /* 29 UNKNOWN                                         */</v>
      </c>
      <c r="AS35" s="70" t="str">
        <f t="shared" si="4"/>
        <v xml:space="preserve">    (U4)0x0000001FU,                                                           /* 29 UNKNOWN                                         */</v>
      </c>
      <c r="AT35" s="70" t="str">
        <f t="shared" si="1"/>
        <v xml:space="preserve">    (U1)ALERT_REQ_UNKNOWN,                                                     /* 29 UNKNOWN                                         */</v>
      </c>
    </row>
    <row r="36" spans="2:46">
      <c r="B36" s="139"/>
      <c r="C36" s="55">
        <f t="shared" si="2"/>
        <v>30</v>
      </c>
      <c r="D36" s="69" t="s">
        <v>70</v>
      </c>
      <c r="E36" s="69" t="s">
        <v>70</v>
      </c>
      <c r="F36" s="69" t="s">
        <v>70</v>
      </c>
      <c r="G36" s="69" t="s">
        <v>70</v>
      </c>
      <c r="H36" s="69" t="s">
        <v>70</v>
      </c>
      <c r="I36" s="69" t="s">
        <v>70</v>
      </c>
      <c r="J36" s="69" t="s">
        <v>70</v>
      </c>
      <c r="K36" s="69" t="s">
        <v>70</v>
      </c>
      <c r="L36" s="69" t="s">
        <v>70</v>
      </c>
      <c r="M36" s="69" t="s">
        <v>70</v>
      </c>
      <c r="N36" s="69" t="s">
        <v>70</v>
      </c>
      <c r="O36" s="69" t="s">
        <v>70</v>
      </c>
      <c r="P36" s="69" t="s">
        <v>70</v>
      </c>
      <c r="Q36" s="69" t="s">
        <v>70</v>
      </c>
      <c r="R36" s="69" t="s">
        <v>70</v>
      </c>
      <c r="S36" s="69" t="s">
        <v>70</v>
      </c>
      <c r="T36" s="69" t="s">
        <v>70</v>
      </c>
      <c r="U36" s="69" t="s">
        <v>70</v>
      </c>
      <c r="V36" s="69" t="s">
        <v>70</v>
      </c>
      <c r="W36" s="69" t="s">
        <v>70</v>
      </c>
      <c r="X36" s="69" t="s">
        <v>70</v>
      </c>
      <c r="Y36" s="69" t="s">
        <v>70</v>
      </c>
      <c r="Z36" s="69" t="s">
        <v>70</v>
      </c>
      <c r="AA36" s="69" t="s">
        <v>70</v>
      </c>
      <c r="AB36" s="69" t="s">
        <v>70</v>
      </c>
      <c r="AC36" s="69" t="s">
        <v>70</v>
      </c>
      <c r="AD36" s="69" t="s">
        <v>70</v>
      </c>
      <c r="AE36" s="262">
        <v>1</v>
      </c>
      <c r="AF36" s="262">
        <v>1</v>
      </c>
      <c r="AG36" s="262">
        <v>1</v>
      </c>
      <c r="AH36" s="262">
        <v>1</v>
      </c>
      <c r="AI36" s="262">
        <v>0</v>
      </c>
      <c r="AJ36" s="25" t="s">
        <v>33</v>
      </c>
      <c r="AL36" t="str">
        <f t="shared" si="0"/>
        <v xml:space="preserve">    (U1)ALERT_REQ_UNKNOWN</v>
      </c>
      <c r="AR36" s="70" t="str">
        <f t="shared" si="3"/>
        <v xml:space="preserve">    (U4)0x0000001EU,                                                           /* 30 UNKNOWN                                         */</v>
      </c>
      <c r="AS36" s="70" t="str">
        <f t="shared" si="4"/>
        <v xml:space="preserve">    (U4)0x0000001FU,                                                           /* 30 UNKNOWN                                         */</v>
      </c>
      <c r="AT36" s="70" t="str">
        <f t="shared" si="1"/>
        <v xml:space="preserve">    (U1)ALERT_REQ_UNKNOWN,                                                     /* 30 UNKNOWN                                         */</v>
      </c>
    </row>
    <row r="37" spans="2:46">
      <c r="B37" s="139"/>
      <c r="C37" s="55">
        <f t="shared" si="2"/>
        <v>31</v>
      </c>
      <c r="D37" s="69" t="s">
        <v>70</v>
      </c>
      <c r="E37" s="69" t="s">
        <v>70</v>
      </c>
      <c r="F37" s="69" t="s">
        <v>70</v>
      </c>
      <c r="G37" s="69" t="s">
        <v>70</v>
      </c>
      <c r="H37" s="69" t="s">
        <v>70</v>
      </c>
      <c r="I37" s="69" t="s">
        <v>70</v>
      </c>
      <c r="J37" s="69" t="s">
        <v>70</v>
      </c>
      <c r="K37" s="69" t="s">
        <v>70</v>
      </c>
      <c r="L37" s="69" t="s">
        <v>70</v>
      </c>
      <c r="M37" s="69" t="s">
        <v>70</v>
      </c>
      <c r="N37" s="69" t="s">
        <v>70</v>
      </c>
      <c r="O37" s="69" t="s">
        <v>70</v>
      </c>
      <c r="P37" s="69" t="s">
        <v>70</v>
      </c>
      <c r="Q37" s="69" t="s">
        <v>70</v>
      </c>
      <c r="R37" s="69" t="s">
        <v>70</v>
      </c>
      <c r="S37" s="69" t="s">
        <v>70</v>
      </c>
      <c r="T37" s="69" t="s">
        <v>70</v>
      </c>
      <c r="U37" s="69" t="s">
        <v>70</v>
      </c>
      <c r="V37" s="69" t="s">
        <v>70</v>
      </c>
      <c r="W37" s="69" t="s">
        <v>70</v>
      </c>
      <c r="X37" s="69" t="s">
        <v>70</v>
      </c>
      <c r="Y37" s="69" t="s">
        <v>70</v>
      </c>
      <c r="Z37" s="69" t="s">
        <v>70</v>
      </c>
      <c r="AA37" s="69" t="s">
        <v>70</v>
      </c>
      <c r="AB37" s="69" t="s">
        <v>70</v>
      </c>
      <c r="AC37" s="69" t="s">
        <v>70</v>
      </c>
      <c r="AD37" s="69" t="s">
        <v>70</v>
      </c>
      <c r="AE37" s="262">
        <v>1</v>
      </c>
      <c r="AF37" s="262">
        <v>1</v>
      </c>
      <c r="AG37" s="262">
        <v>1</v>
      </c>
      <c r="AH37" s="262">
        <v>1</v>
      </c>
      <c r="AI37" s="262">
        <v>1</v>
      </c>
      <c r="AJ37" s="25" t="s">
        <v>33</v>
      </c>
      <c r="AL37" t="str">
        <f t="shared" si="0"/>
        <v xml:space="preserve">    (U1)ALERT_REQ_UNKNOWN</v>
      </c>
      <c r="AR37" s="70" t="str">
        <f t="shared" si="3"/>
        <v xml:space="preserve">    (U4)0x0000001FU                                                            /* 31 UNKNOWN                                         */</v>
      </c>
      <c r="AS37" s="70" t="str">
        <f t="shared" si="4"/>
        <v xml:space="preserve">    (U4)0x0000001FU                                                            /* 31 UNKNOWN                                         */</v>
      </c>
      <c r="AT37" s="70" t="str">
        <f t="shared" si="1"/>
        <v xml:space="preserve">    (U1)ALERT_REQ_UNKNOWN                                                      /* 31 UNKNOWN                                         */</v>
      </c>
    </row>
    <row r="38" spans="2:46">
      <c r="B38" s="139"/>
      <c r="C38" s="55">
        <f t="shared" si="2"/>
        <v>32</v>
      </c>
      <c r="D38" s="69" t="s">
        <v>70</v>
      </c>
      <c r="E38" s="69" t="s">
        <v>70</v>
      </c>
      <c r="F38" s="69" t="s">
        <v>70</v>
      </c>
      <c r="G38" s="69" t="s">
        <v>70</v>
      </c>
      <c r="H38" s="69" t="s">
        <v>70</v>
      </c>
      <c r="I38" s="69" t="s">
        <v>70</v>
      </c>
      <c r="J38" s="69" t="s">
        <v>70</v>
      </c>
      <c r="K38" s="69" t="s">
        <v>70</v>
      </c>
      <c r="L38" s="69" t="s">
        <v>70</v>
      </c>
      <c r="M38" s="69" t="s">
        <v>70</v>
      </c>
      <c r="N38" s="69" t="s">
        <v>70</v>
      </c>
      <c r="O38" s="69" t="s">
        <v>70</v>
      </c>
      <c r="P38" s="69" t="s">
        <v>70</v>
      </c>
      <c r="Q38" s="69" t="s">
        <v>70</v>
      </c>
      <c r="R38" s="69" t="s">
        <v>70</v>
      </c>
      <c r="S38" s="69" t="s">
        <v>70</v>
      </c>
      <c r="T38" s="69" t="s">
        <v>70</v>
      </c>
      <c r="U38" s="69" t="s">
        <v>70</v>
      </c>
      <c r="V38" s="69" t="s">
        <v>70</v>
      </c>
      <c r="W38" s="69" t="s">
        <v>70</v>
      </c>
      <c r="X38" s="69" t="s">
        <v>70</v>
      </c>
      <c r="Y38" s="69" t="s">
        <v>70</v>
      </c>
      <c r="Z38" s="69" t="s">
        <v>70</v>
      </c>
      <c r="AA38" s="69" t="s">
        <v>70</v>
      </c>
      <c r="AB38" s="69" t="s">
        <v>70</v>
      </c>
      <c r="AC38" s="69" t="s">
        <v>70</v>
      </c>
      <c r="AD38" s="69" t="s">
        <v>70</v>
      </c>
      <c r="AE38" s="69" t="s">
        <v>70</v>
      </c>
      <c r="AF38" s="69" t="s">
        <v>70</v>
      </c>
      <c r="AG38" s="69" t="s">
        <v>70</v>
      </c>
      <c r="AH38" s="69" t="s">
        <v>70</v>
      </c>
      <c r="AI38" s="69" t="s">
        <v>70</v>
      </c>
      <c r="AJ38" s="25"/>
      <c r="AL38" t="str">
        <f t="shared" ca="1" si="0"/>
        <v xml:space="preserve">    (U1)ALERT_REQ_S_LCA_TT_L_</v>
      </c>
      <c r="AR38" s="70" t="str">
        <f t="shared" si="3"/>
        <v>};</v>
      </c>
      <c r="AS38" s="70" t="str">
        <f t="shared" si="4"/>
        <v>};</v>
      </c>
      <c r="AT38" s="70" t="str">
        <f t="shared" si="1"/>
        <v>};</v>
      </c>
    </row>
    <row r="39" spans="2:46">
      <c r="B39" s="139"/>
      <c r="C39" s="55">
        <f t="shared" si="2"/>
        <v>33</v>
      </c>
      <c r="D39" s="69" t="s">
        <v>70</v>
      </c>
      <c r="E39" s="69" t="s">
        <v>70</v>
      </c>
      <c r="F39" s="69" t="s">
        <v>70</v>
      </c>
      <c r="G39" s="69" t="s">
        <v>70</v>
      </c>
      <c r="H39" s="69" t="s">
        <v>70</v>
      </c>
      <c r="I39" s="69" t="s">
        <v>70</v>
      </c>
      <c r="J39" s="69" t="s">
        <v>70</v>
      </c>
      <c r="K39" s="69" t="s">
        <v>70</v>
      </c>
      <c r="L39" s="69" t="s">
        <v>70</v>
      </c>
      <c r="M39" s="69" t="s">
        <v>70</v>
      </c>
      <c r="N39" s="69" t="s">
        <v>70</v>
      </c>
      <c r="O39" s="69" t="s">
        <v>70</v>
      </c>
      <c r="P39" s="69" t="s">
        <v>70</v>
      </c>
      <c r="Q39" s="69" t="s">
        <v>70</v>
      </c>
      <c r="R39" s="69" t="s">
        <v>70</v>
      </c>
      <c r="S39" s="69" t="s">
        <v>70</v>
      </c>
      <c r="T39" s="69" t="s">
        <v>70</v>
      </c>
      <c r="U39" s="69" t="s">
        <v>70</v>
      </c>
      <c r="V39" s="69" t="s">
        <v>70</v>
      </c>
      <c r="W39" s="69" t="s">
        <v>70</v>
      </c>
      <c r="X39" s="69" t="s">
        <v>70</v>
      </c>
      <c r="Y39" s="69" t="s">
        <v>70</v>
      </c>
      <c r="Z39" s="69" t="s">
        <v>70</v>
      </c>
      <c r="AA39" s="69" t="s">
        <v>70</v>
      </c>
      <c r="AB39" s="69" t="s">
        <v>70</v>
      </c>
      <c r="AC39" s="69" t="s">
        <v>70</v>
      </c>
      <c r="AD39" s="69" t="s">
        <v>70</v>
      </c>
      <c r="AE39" s="69" t="s">
        <v>70</v>
      </c>
      <c r="AF39" s="69" t="s">
        <v>70</v>
      </c>
      <c r="AG39" s="69" t="s">
        <v>70</v>
      </c>
      <c r="AH39" s="69" t="s">
        <v>70</v>
      </c>
      <c r="AI39" s="69" t="s">
        <v>70</v>
      </c>
      <c r="AJ39" s="25"/>
      <c r="AL39" t="str">
        <f t="shared" ca="1" si="0"/>
        <v xml:space="preserve">    (U1)ALERT_REQ_S_LCA_TT_L_</v>
      </c>
      <c r="AR39" s="70" t="str">
        <f t="shared" si="3"/>
        <v/>
      </c>
      <c r="AS39" s="70" t="str">
        <f t="shared" si="4"/>
        <v/>
      </c>
      <c r="AT39" s="70" t="str">
        <f t="shared" si="1"/>
        <v/>
      </c>
    </row>
    <row r="40" spans="2:46">
      <c r="B40" s="139"/>
      <c r="C40" s="55">
        <f t="shared" si="2"/>
        <v>34</v>
      </c>
      <c r="D40" s="69" t="s">
        <v>70</v>
      </c>
      <c r="E40" s="69" t="s">
        <v>70</v>
      </c>
      <c r="F40" s="69" t="s">
        <v>70</v>
      </c>
      <c r="G40" s="69" t="s">
        <v>70</v>
      </c>
      <c r="H40" s="69" t="s">
        <v>70</v>
      </c>
      <c r="I40" s="69" t="s">
        <v>70</v>
      </c>
      <c r="J40" s="69" t="s">
        <v>70</v>
      </c>
      <c r="K40" s="69" t="s">
        <v>70</v>
      </c>
      <c r="L40" s="69" t="s">
        <v>70</v>
      </c>
      <c r="M40" s="69" t="s">
        <v>70</v>
      </c>
      <c r="N40" s="69" t="s">
        <v>70</v>
      </c>
      <c r="O40" s="69" t="s">
        <v>70</v>
      </c>
      <c r="P40" s="69" t="s">
        <v>70</v>
      </c>
      <c r="Q40" s="69" t="s">
        <v>70</v>
      </c>
      <c r="R40" s="69" t="s">
        <v>70</v>
      </c>
      <c r="S40" s="69" t="s">
        <v>70</v>
      </c>
      <c r="T40" s="69" t="s">
        <v>70</v>
      </c>
      <c r="U40" s="69" t="s">
        <v>70</v>
      </c>
      <c r="V40" s="69" t="s">
        <v>70</v>
      </c>
      <c r="W40" s="69" t="s">
        <v>70</v>
      </c>
      <c r="X40" s="69" t="s">
        <v>70</v>
      </c>
      <c r="Y40" s="69" t="s">
        <v>70</v>
      </c>
      <c r="Z40" s="69" t="s">
        <v>70</v>
      </c>
      <c r="AA40" s="69" t="s">
        <v>70</v>
      </c>
      <c r="AB40" s="69" t="s">
        <v>70</v>
      </c>
      <c r="AC40" s="69" t="s">
        <v>70</v>
      </c>
      <c r="AD40" s="69" t="s">
        <v>70</v>
      </c>
      <c r="AE40" s="69" t="s">
        <v>70</v>
      </c>
      <c r="AF40" s="69" t="s">
        <v>70</v>
      </c>
      <c r="AG40" s="69" t="s">
        <v>70</v>
      </c>
      <c r="AH40" s="69" t="s">
        <v>70</v>
      </c>
      <c r="AI40" s="69" t="s">
        <v>70</v>
      </c>
      <c r="AJ40" s="25"/>
      <c r="AL40" t="str">
        <f t="shared" ca="1" si="0"/>
        <v xml:space="preserve">    (U1)ALERT_REQ_S_LCA_TT_L_</v>
      </c>
      <c r="AR40" s="70" t="str">
        <f t="shared" si="3"/>
        <v/>
      </c>
      <c r="AS40" s="70" t="str">
        <f t="shared" si="4"/>
        <v/>
      </c>
      <c r="AT40" s="70" t="str">
        <f t="shared" si="1"/>
        <v/>
      </c>
    </row>
    <row r="41" spans="2:46">
      <c r="B41" s="139"/>
      <c r="C41" s="55">
        <f t="shared" si="2"/>
        <v>35</v>
      </c>
      <c r="D41" s="69" t="s">
        <v>70</v>
      </c>
      <c r="E41" s="69" t="s">
        <v>70</v>
      </c>
      <c r="F41" s="69" t="s">
        <v>70</v>
      </c>
      <c r="G41" s="69" t="s">
        <v>70</v>
      </c>
      <c r="H41" s="69" t="s">
        <v>70</v>
      </c>
      <c r="I41" s="69" t="s">
        <v>70</v>
      </c>
      <c r="J41" s="69" t="s">
        <v>70</v>
      </c>
      <c r="K41" s="69" t="s">
        <v>70</v>
      </c>
      <c r="L41" s="69" t="s">
        <v>70</v>
      </c>
      <c r="M41" s="69" t="s">
        <v>70</v>
      </c>
      <c r="N41" s="69" t="s">
        <v>70</v>
      </c>
      <c r="O41" s="69" t="s">
        <v>70</v>
      </c>
      <c r="P41" s="69" t="s">
        <v>70</v>
      </c>
      <c r="Q41" s="69" t="s">
        <v>70</v>
      </c>
      <c r="R41" s="69" t="s">
        <v>70</v>
      </c>
      <c r="S41" s="69" t="s">
        <v>70</v>
      </c>
      <c r="T41" s="69" t="s">
        <v>70</v>
      </c>
      <c r="U41" s="69" t="s">
        <v>70</v>
      </c>
      <c r="V41" s="69" t="s">
        <v>70</v>
      </c>
      <c r="W41" s="69" t="s">
        <v>70</v>
      </c>
      <c r="X41" s="69" t="s">
        <v>70</v>
      </c>
      <c r="Y41" s="69" t="s">
        <v>70</v>
      </c>
      <c r="Z41" s="69" t="s">
        <v>70</v>
      </c>
      <c r="AA41" s="69" t="s">
        <v>70</v>
      </c>
      <c r="AB41" s="69" t="s">
        <v>70</v>
      </c>
      <c r="AC41" s="69" t="s">
        <v>70</v>
      </c>
      <c r="AD41" s="69" t="s">
        <v>70</v>
      </c>
      <c r="AE41" s="69" t="s">
        <v>70</v>
      </c>
      <c r="AF41" s="69" t="s">
        <v>70</v>
      </c>
      <c r="AG41" s="69" t="s">
        <v>70</v>
      </c>
      <c r="AH41" s="69" t="s">
        <v>70</v>
      </c>
      <c r="AI41" s="69" t="s">
        <v>70</v>
      </c>
      <c r="AJ41" s="25"/>
      <c r="AL41" t="str">
        <f t="shared" ca="1" si="0"/>
        <v xml:space="preserve">    (U1)ALERT_REQ_S_LCA_TT_L_</v>
      </c>
      <c r="AR41" s="70" t="str">
        <f t="shared" si="3"/>
        <v/>
      </c>
      <c r="AS41" s="70" t="str">
        <f t="shared" si="4"/>
        <v/>
      </c>
      <c r="AT41" s="70" t="str">
        <f t="shared" si="1"/>
        <v/>
      </c>
    </row>
    <row r="42" spans="2:46">
      <c r="B42" s="139"/>
      <c r="C42" s="55">
        <f t="shared" si="2"/>
        <v>36</v>
      </c>
      <c r="D42" s="69" t="s">
        <v>70</v>
      </c>
      <c r="E42" s="69" t="s">
        <v>70</v>
      </c>
      <c r="F42" s="69" t="s">
        <v>70</v>
      </c>
      <c r="G42" s="69" t="s">
        <v>70</v>
      </c>
      <c r="H42" s="69" t="s">
        <v>70</v>
      </c>
      <c r="I42" s="69" t="s">
        <v>70</v>
      </c>
      <c r="J42" s="69" t="s">
        <v>70</v>
      </c>
      <c r="K42" s="69" t="s">
        <v>70</v>
      </c>
      <c r="L42" s="69" t="s">
        <v>70</v>
      </c>
      <c r="M42" s="69" t="s">
        <v>70</v>
      </c>
      <c r="N42" s="69" t="s">
        <v>70</v>
      </c>
      <c r="O42" s="69" t="s">
        <v>70</v>
      </c>
      <c r="P42" s="69" t="s">
        <v>70</v>
      </c>
      <c r="Q42" s="69" t="s">
        <v>70</v>
      </c>
      <c r="R42" s="69" t="s">
        <v>70</v>
      </c>
      <c r="S42" s="69" t="s">
        <v>70</v>
      </c>
      <c r="T42" s="69" t="s">
        <v>70</v>
      </c>
      <c r="U42" s="69" t="s">
        <v>70</v>
      </c>
      <c r="V42" s="69" t="s">
        <v>70</v>
      </c>
      <c r="W42" s="69" t="s">
        <v>70</v>
      </c>
      <c r="X42" s="69" t="s">
        <v>70</v>
      </c>
      <c r="Y42" s="69" t="s">
        <v>70</v>
      </c>
      <c r="Z42" s="69" t="s">
        <v>70</v>
      </c>
      <c r="AA42" s="69" t="s">
        <v>70</v>
      </c>
      <c r="AB42" s="69" t="s">
        <v>70</v>
      </c>
      <c r="AC42" s="69" t="s">
        <v>70</v>
      </c>
      <c r="AD42" s="69" t="s">
        <v>70</v>
      </c>
      <c r="AE42" s="69" t="s">
        <v>70</v>
      </c>
      <c r="AF42" s="69" t="s">
        <v>70</v>
      </c>
      <c r="AG42" s="69" t="s">
        <v>70</v>
      </c>
      <c r="AH42" s="69" t="s">
        <v>70</v>
      </c>
      <c r="AI42" s="69" t="s">
        <v>70</v>
      </c>
      <c r="AJ42" s="25"/>
      <c r="AL42" t="str">
        <f t="shared" ca="1" si="0"/>
        <v xml:space="preserve">    (U1)ALERT_REQ_S_LCA_TT_L_</v>
      </c>
      <c r="AR42" s="70" t="str">
        <f t="shared" si="3"/>
        <v/>
      </c>
      <c r="AS42" s="70" t="str">
        <f t="shared" si="4"/>
        <v/>
      </c>
      <c r="AT42" s="70" t="str">
        <f t="shared" si="1"/>
        <v/>
      </c>
    </row>
    <row r="43" spans="2:46">
      <c r="B43" s="139"/>
      <c r="C43" s="55">
        <f t="shared" si="2"/>
        <v>37</v>
      </c>
      <c r="D43" s="69" t="s">
        <v>70</v>
      </c>
      <c r="E43" s="69" t="s">
        <v>70</v>
      </c>
      <c r="F43" s="69" t="s">
        <v>70</v>
      </c>
      <c r="G43" s="69" t="s">
        <v>70</v>
      </c>
      <c r="H43" s="69" t="s">
        <v>70</v>
      </c>
      <c r="I43" s="69" t="s">
        <v>70</v>
      </c>
      <c r="J43" s="69" t="s">
        <v>70</v>
      </c>
      <c r="K43" s="69" t="s">
        <v>70</v>
      </c>
      <c r="L43" s="69" t="s">
        <v>70</v>
      </c>
      <c r="M43" s="69" t="s">
        <v>70</v>
      </c>
      <c r="N43" s="69" t="s">
        <v>70</v>
      </c>
      <c r="O43" s="69" t="s">
        <v>70</v>
      </c>
      <c r="P43" s="69" t="s">
        <v>70</v>
      </c>
      <c r="Q43" s="69" t="s">
        <v>70</v>
      </c>
      <c r="R43" s="69" t="s">
        <v>70</v>
      </c>
      <c r="S43" s="69" t="s">
        <v>70</v>
      </c>
      <c r="T43" s="69" t="s">
        <v>70</v>
      </c>
      <c r="U43" s="69" t="s">
        <v>70</v>
      </c>
      <c r="V43" s="69" t="s">
        <v>70</v>
      </c>
      <c r="W43" s="69" t="s">
        <v>70</v>
      </c>
      <c r="X43" s="69" t="s">
        <v>70</v>
      </c>
      <c r="Y43" s="69" t="s">
        <v>70</v>
      </c>
      <c r="Z43" s="69" t="s">
        <v>70</v>
      </c>
      <c r="AA43" s="69" t="s">
        <v>70</v>
      </c>
      <c r="AB43" s="69" t="s">
        <v>70</v>
      </c>
      <c r="AC43" s="69" t="s">
        <v>70</v>
      </c>
      <c r="AD43" s="69" t="s">
        <v>70</v>
      </c>
      <c r="AE43" s="69" t="s">
        <v>70</v>
      </c>
      <c r="AF43" s="69" t="s">
        <v>70</v>
      </c>
      <c r="AG43" s="69" t="s">
        <v>70</v>
      </c>
      <c r="AH43" s="69" t="s">
        <v>70</v>
      </c>
      <c r="AI43" s="69" t="s">
        <v>70</v>
      </c>
      <c r="AJ43" s="25"/>
      <c r="AL43" t="str">
        <f t="shared" ca="1" si="0"/>
        <v xml:space="preserve">    (U1)ALERT_REQ_S_LCA_TT_L_</v>
      </c>
      <c r="AR43" s="70" t="str">
        <f t="shared" si="3"/>
        <v/>
      </c>
      <c r="AS43" s="70" t="str">
        <f t="shared" si="4"/>
        <v/>
      </c>
      <c r="AT43" s="70" t="str">
        <f t="shared" si="1"/>
        <v/>
      </c>
    </row>
    <row r="44" spans="2:46">
      <c r="B44" s="139"/>
      <c r="C44" s="55">
        <f t="shared" si="2"/>
        <v>38</v>
      </c>
      <c r="D44" s="69" t="s">
        <v>70</v>
      </c>
      <c r="E44" s="69" t="s">
        <v>70</v>
      </c>
      <c r="F44" s="69" t="s">
        <v>70</v>
      </c>
      <c r="G44" s="69" t="s">
        <v>70</v>
      </c>
      <c r="H44" s="69" t="s">
        <v>70</v>
      </c>
      <c r="I44" s="69" t="s">
        <v>70</v>
      </c>
      <c r="J44" s="69" t="s">
        <v>70</v>
      </c>
      <c r="K44" s="69" t="s">
        <v>70</v>
      </c>
      <c r="L44" s="69" t="s">
        <v>70</v>
      </c>
      <c r="M44" s="69" t="s">
        <v>70</v>
      </c>
      <c r="N44" s="69" t="s">
        <v>70</v>
      </c>
      <c r="O44" s="69" t="s">
        <v>70</v>
      </c>
      <c r="P44" s="69" t="s">
        <v>70</v>
      </c>
      <c r="Q44" s="69" t="s">
        <v>70</v>
      </c>
      <c r="R44" s="69" t="s">
        <v>70</v>
      </c>
      <c r="S44" s="69" t="s">
        <v>70</v>
      </c>
      <c r="T44" s="69" t="s">
        <v>70</v>
      </c>
      <c r="U44" s="69" t="s">
        <v>70</v>
      </c>
      <c r="V44" s="69" t="s">
        <v>70</v>
      </c>
      <c r="W44" s="69" t="s">
        <v>70</v>
      </c>
      <c r="X44" s="69" t="s">
        <v>70</v>
      </c>
      <c r="Y44" s="69" t="s">
        <v>70</v>
      </c>
      <c r="Z44" s="69" t="s">
        <v>70</v>
      </c>
      <c r="AA44" s="69" t="s">
        <v>70</v>
      </c>
      <c r="AB44" s="69" t="s">
        <v>70</v>
      </c>
      <c r="AC44" s="69" t="s">
        <v>70</v>
      </c>
      <c r="AD44" s="69" t="s">
        <v>70</v>
      </c>
      <c r="AE44" s="69" t="s">
        <v>70</v>
      </c>
      <c r="AF44" s="69" t="s">
        <v>70</v>
      </c>
      <c r="AG44" s="69" t="s">
        <v>70</v>
      </c>
      <c r="AH44" s="69" t="s">
        <v>70</v>
      </c>
      <c r="AI44" s="69" t="s">
        <v>70</v>
      </c>
      <c r="AJ44" s="25"/>
      <c r="AL44" t="str">
        <f t="shared" ca="1" si="0"/>
        <v xml:space="preserve">    (U1)ALERT_REQ_S_LCA_TT_L_</v>
      </c>
      <c r="AR44" s="70" t="str">
        <f t="shared" si="3"/>
        <v/>
      </c>
      <c r="AS44" s="70" t="str">
        <f t="shared" si="4"/>
        <v/>
      </c>
      <c r="AT44" s="70" t="str">
        <f t="shared" si="1"/>
        <v/>
      </c>
    </row>
    <row r="45" spans="2:46">
      <c r="B45" s="139"/>
      <c r="C45" s="55">
        <f t="shared" si="2"/>
        <v>39</v>
      </c>
      <c r="D45" s="69" t="s">
        <v>70</v>
      </c>
      <c r="E45" s="69" t="s">
        <v>70</v>
      </c>
      <c r="F45" s="69" t="s">
        <v>70</v>
      </c>
      <c r="G45" s="69" t="s">
        <v>70</v>
      </c>
      <c r="H45" s="69" t="s">
        <v>70</v>
      </c>
      <c r="I45" s="69" t="s">
        <v>70</v>
      </c>
      <c r="J45" s="69" t="s">
        <v>70</v>
      </c>
      <c r="K45" s="69" t="s">
        <v>70</v>
      </c>
      <c r="L45" s="69" t="s">
        <v>70</v>
      </c>
      <c r="M45" s="69" t="s">
        <v>70</v>
      </c>
      <c r="N45" s="69" t="s">
        <v>70</v>
      </c>
      <c r="O45" s="69" t="s">
        <v>70</v>
      </c>
      <c r="P45" s="69" t="s">
        <v>70</v>
      </c>
      <c r="Q45" s="69" t="s">
        <v>70</v>
      </c>
      <c r="R45" s="69" t="s">
        <v>70</v>
      </c>
      <c r="S45" s="69" t="s">
        <v>70</v>
      </c>
      <c r="T45" s="69" t="s">
        <v>70</v>
      </c>
      <c r="U45" s="69" t="s">
        <v>70</v>
      </c>
      <c r="V45" s="69" t="s">
        <v>70</v>
      </c>
      <c r="W45" s="69" t="s">
        <v>70</v>
      </c>
      <c r="X45" s="69" t="s">
        <v>70</v>
      </c>
      <c r="Y45" s="69" t="s">
        <v>70</v>
      </c>
      <c r="Z45" s="69" t="s">
        <v>70</v>
      </c>
      <c r="AA45" s="69" t="s">
        <v>70</v>
      </c>
      <c r="AB45" s="69" t="s">
        <v>70</v>
      </c>
      <c r="AC45" s="69" t="s">
        <v>70</v>
      </c>
      <c r="AD45" s="69" t="s">
        <v>70</v>
      </c>
      <c r="AE45" s="69" t="s">
        <v>70</v>
      </c>
      <c r="AF45" s="69" t="s">
        <v>70</v>
      </c>
      <c r="AG45" s="69" t="s">
        <v>70</v>
      </c>
      <c r="AH45" s="69" t="s">
        <v>70</v>
      </c>
      <c r="AI45" s="69" t="s">
        <v>70</v>
      </c>
      <c r="AJ45" s="25"/>
      <c r="AL45" t="str">
        <f t="shared" ca="1" si="0"/>
        <v xml:space="preserve">    (U1)ALERT_REQ_S_LCA_TT_L_</v>
      </c>
      <c r="AR45" s="70" t="str">
        <f t="shared" si="3"/>
        <v/>
      </c>
      <c r="AS45" s="70" t="str">
        <f t="shared" si="4"/>
        <v/>
      </c>
      <c r="AT45" s="70" t="str">
        <f t="shared" si="1"/>
        <v/>
      </c>
    </row>
    <row r="46" spans="2:46">
      <c r="B46" s="139"/>
      <c r="C46" s="55">
        <f t="shared" si="2"/>
        <v>40</v>
      </c>
      <c r="D46" s="69" t="s">
        <v>70</v>
      </c>
      <c r="E46" s="69" t="s">
        <v>70</v>
      </c>
      <c r="F46" s="69" t="s">
        <v>70</v>
      </c>
      <c r="G46" s="69" t="s">
        <v>70</v>
      </c>
      <c r="H46" s="69" t="s">
        <v>70</v>
      </c>
      <c r="I46" s="69" t="s">
        <v>70</v>
      </c>
      <c r="J46" s="69" t="s">
        <v>70</v>
      </c>
      <c r="K46" s="69" t="s">
        <v>70</v>
      </c>
      <c r="L46" s="69" t="s">
        <v>70</v>
      </c>
      <c r="M46" s="69" t="s">
        <v>70</v>
      </c>
      <c r="N46" s="69" t="s">
        <v>70</v>
      </c>
      <c r="O46" s="69" t="s">
        <v>70</v>
      </c>
      <c r="P46" s="69" t="s">
        <v>70</v>
      </c>
      <c r="Q46" s="69" t="s">
        <v>70</v>
      </c>
      <c r="R46" s="69" t="s">
        <v>70</v>
      </c>
      <c r="S46" s="69" t="s">
        <v>70</v>
      </c>
      <c r="T46" s="69" t="s">
        <v>70</v>
      </c>
      <c r="U46" s="69" t="s">
        <v>70</v>
      </c>
      <c r="V46" s="69" t="s">
        <v>70</v>
      </c>
      <c r="W46" s="69" t="s">
        <v>70</v>
      </c>
      <c r="X46" s="69" t="s">
        <v>70</v>
      </c>
      <c r="Y46" s="69" t="s">
        <v>70</v>
      </c>
      <c r="Z46" s="69" t="s">
        <v>70</v>
      </c>
      <c r="AA46" s="69" t="s">
        <v>70</v>
      </c>
      <c r="AB46" s="69" t="s">
        <v>70</v>
      </c>
      <c r="AC46" s="69" t="s">
        <v>70</v>
      </c>
      <c r="AD46" s="69" t="s">
        <v>70</v>
      </c>
      <c r="AE46" s="69" t="s">
        <v>70</v>
      </c>
      <c r="AF46" s="69" t="s">
        <v>70</v>
      </c>
      <c r="AG46" s="69" t="s">
        <v>70</v>
      </c>
      <c r="AH46" s="69" t="s">
        <v>70</v>
      </c>
      <c r="AI46" s="69" t="s">
        <v>70</v>
      </c>
      <c r="AJ46" s="25"/>
      <c r="AL46" t="str">
        <f t="shared" ca="1" si="0"/>
        <v xml:space="preserve">    (U1)ALERT_REQ_S_LCA_TT_L_</v>
      </c>
      <c r="AR46" s="70" t="str">
        <f t="shared" si="3"/>
        <v/>
      </c>
      <c r="AS46" s="70" t="str">
        <f t="shared" si="4"/>
        <v/>
      </c>
      <c r="AT46" s="70" t="str">
        <f t="shared" si="1"/>
        <v/>
      </c>
    </row>
    <row r="47" spans="2:46">
      <c r="B47" s="139"/>
      <c r="C47" s="55">
        <f t="shared" si="2"/>
        <v>41</v>
      </c>
      <c r="D47" s="69" t="s">
        <v>70</v>
      </c>
      <c r="E47" s="69" t="s">
        <v>70</v>
      </c>
      <c r="F47" s="69" t="s">
        <v>70</v>
      </c>
      <c r="G47" s="69" t="s">
        <v>70</v>
      </c>
      <c r="H47" s="69" t="s">
        <v>70</v>
      </c>
      <c r="I47" s="69" t="s">
        <v>70</v>
      </c>
      <c r="J47" s="69" t="s">
        <v>70</v>
      </c>
      <c r="K47" s="69" t="s">
        <v>70</v>
      </c>
      <c r="L47" s="69" t="s">
        <v>70</v>
      </c>
      <c r="M47" s="69" t="s">
        <v>70</v>
      </c>
      <c r="N47" s="69" t="s">
        <v>70</v>
      </c>
      <c r="O47" s="69" t="s">
        <v>70</v>
      </c>
      <c r="P47" s="69" t="s">
        <v>70</v>
      </c>
      <c r="Q47" s="69" t="s">
        <v>70</v>
      </c>
      <c r="R47" s="69" t="s">
        <v>70</v>
      </c>
      <c r="S47" s="69" t="s">
        <v>70</v>
      </c>
      <c r="T47" s="69" t="s">
        <v>70</v>
      </c>
      <c r="U47" s="69" t="s">
        <v>70</v>
      </c>
      <c r="V47" s="69" t="s">
        <v>70</v>
      </c>
      <c r="W47" s="69" t="s">
        <v>70</v>
      </c>
      <c r="X47" s="69" t="s">
        <v>70</v>
      </c>
      <c r="Y47" s="69" t="s">
        <v>70</v>
      </c>
      <c r="Z47" s="69" t="s">
        <v>70</v>
      </c>
      <c r="AA47" s="69" t="s">
        <v>70</v>
      </c>
      <c r="AB47" s="69" t="s">
        <v>70</v>
      </c>
      <c r="AC47" s="69" t="s">
        <v>70</v>
      </c>
      <c r="AD47" s="69" t="s">
        <v>70</v>
      </c>
      <c r="AE47" s="69" t="s">
        <v>70</v>
      </c>
      <c r="AF47" s="69" t="s">
        <v>70</v>
      </c>
      <c r="AG47" s="69" t="s">
        <v>70</v>
      </c>
      <c r="AH47" s="69" t="s">
        <v>70</v>
      </c>
      <c r="AI47" s="69" t="s">
        <v>70</v>
      </c>
      <c r="AJ47" s="25"/>
      <c r="AL47" t="str">
        <f t="shared" ca="1" si="0"/>
        <v xml:space="preserve">    (U1)ALERT_REQ_S_LCA_TT_L_</v>
      </c>
      <c r="AR47" s="70" t="str">
        <f t="shared" si="3"/>
        <v/>
      </c>
      <c r="AS47" s="70" t="str">
        <f t="shared" si="4"/>
        <v/>
      </c>
      <c r="AT47" s="70" t="str">
        <f t="shared" si="1"/>
        <v/>
      </c>
    </row>
    <row r="48" spans="2:46">
      <c r="B48" s="139"/>
      <c r="C48" s="55">
        <f t="shared" si="2"/>
        <v>42</v>
      </c>
      <c r="D48" s="69" t="s">
        <v>70</v>
      </c>
      <c r="E48" s="69" t="s">
        <v>70</v>
      </c>
      <c r="F48" s="69" t="s">
        <v>70</v>
      </c>
      <c r="G48" s="69" t="s">
        <v>70</v>
      </c>
      <c r="H48" s="69" t="s">
        <v>70</v>
      </c>
      <c r="I48" s="69" t="s">
        <v>70</v>
      </c>
      <c r="J48" s="69" t="s">
        <v>70</v>
      </c>
      <c r="K48" s="69" t="s">
        <v>70</v>
      </c>
      <c r="L48" s="69" t="s">
        <v>70</v>
      </c>
      <c r="M48" s="69" t="s">
        <v>70</v>
      </c>
      <c r="N48" s="69" t="s">
        <v>70</v>
      </c>
      <c r="O48" s="69" t="s">
        <v>70</v>
      </c>
      <c r="P48" s="69" t="s">
        <v>70</v>
      </c>
      <c r="Q48" s="69" t="s">
        <v>70</v>
      </c>
      <c r="R48" s="69" t="s">
        <v>70</v>
      </c>
      <c r="S48" s="69" t="s">
        <v>70</v>
      </c>
      <c r="T48" s="69" t="s">
        <v>70</v>
      </c>
      <c r="U48" s="69" t="s">
        <v>70</v>
      </c>
      <c r="V48" s="69" t="s">
        <v>70</v>
      </c>
      <c r="W48" s="69" t="s">
        <v>70</v>
      </c>
      <c r="X48" s="69" t="s">
        <v>70</v>
      </c>
      <c r="Y48" s="69" t="s">
        <v>70</v>
      </c>
      <c r="Z48" s="69" t="s">
        <v>70</v>
      </c>
      <c r="AA48" s="69" t="s">
        <v>70</v>
      </c>
      <c r="AB48" s="69" t="s">
        <v>70</v>
      </c>
      <c r="AC48" s="69" t="s">
        <v>70</v>
      </c>
      <c r="AD48" s="69" t="s">
        <v>70</v>
      </c>
      <c r="AE48" s="69" t="s">
        <v>70</v>
      </c>
      <c r="AF48" s="69" t="s">
        <v>70</v>
      </c>
      <c r="AG48" s="69" t="s">
        <v>70</v>
      </c>
      <c r="AH48" s="69" t="s">
        <v>70</v>
      </c>
      <c r="AI48" s="69" t="s">
        <v>70</v>
      </c>
      <c r="AJ48" s="25"/>
      <c r="AL48" t="str">
        <f t="shared" ca="1" si="0"/>
        <v xml:space="preserve">    (U1)ALERT_REQ_S_LCA_TT_L_</v>
      </c>
      <c r="AR48" s="70" t="str">
        <f t="shared" si="3"/>
        <v/>
      </c>
      <c r="AS48" s="70" t="str">
        <f t="shared" si="4"/>
        <v/>
      </c>
      <c r="AT48" s="70" t="str">
        <f t="shared" si="1"/>
        <v/>
      </c>
    </row>
    <row r="49" spans="2:46">
      <c r="B49" s="139"/>
      <c r="C49" s="55">
        <f t="shared" si="2"/>
        <v>43</v>
      </c>
      <c r="D49" s="69" t="s">
        <v>70</v>
      </c>
      <c r="E49" s="69" t="s">
        <v>70</v>
      </c>
      <c r="F49" s="69" t="s">
        <v>70</v>
      </c>
      <c r="G49" s="69" t="s">
        <v>70</v>
      </c>
      <c r="H49" s="69" t="s">
        <v>70</v>
      </c>
      <c r="I49" s="69" t="s">
        <v>70</v>
      </c>
      <c r="J49" s="69" t="s">
        <v>70</v>
      </c>
      <c r="K49" s="69" t="s">
        <v>70</v>
      </c>
      <c r="L49" s="69" t="s">
        <v>70</v>
      </c>
      <c r="M49" s="69" t="s">
        <v>70</v>
      </c>
      <c r="N49" s="69" t="s">
        <v>70</v>
      </c>
      <c r="O49" s="69" t="s">
        <v>70</v>
      </c>
      <c r="P49" s="69" t="s">
        <v>70</v>
      </c>
      <c r="Q49" s="69" t="s">
        <v>70</v>
      </c>
      <c r="R49" s="69" t="s">
        <v>70</v>
      </c>
      <c r="S49" s="69" t="s">
        <v>70</v>
      </c>
      <c r="T49" s="69" t="s">
        <v>70</v>
      </c>
      <c r="U49" s="69" t="s">
        <v>70</v>
      </c>
      <c r="V49" s="69" t="s">
        <v>70</v>
      </c>
      <c r="W49" s="69" t="s">
        <v>70</v>
      </c>
      <c r="X49" s="69" t="s">
        <v>70</v>
      </c>
      <c r="Y49" s="69" t="s">
        <v>70</v>
      </c>
      <c r="Z49" s="69" t="s">
        <v>70</v>
      </c>
      <c r="AA49" s="69" t="s">
        <v>70</v>
      </c>
      <c r="AB49" s="69" t="s">
        <v>70</v>
      </c>
      <c r="AC49" s="69" t="s">
        <v>70</v>
      </c>
      <c r="AD49" s="69" t="s">
        <v>70</v>
      </c>
      <c r="AE49" s="69" t="s">
        <v>70</v>
      </c>
      <c r="AF49" s="69" t="s">
        <v>70</v>
      </c>
      <c r="AG49" s="69" t="s">
        <v>70</v>
      </c>
      <c r="AH49" s="69" t="s">
        <v>70</v>
      </c>
      <c r="AI49" s="69" t="s">
        <v>70</v>
      </c>
      <c r="AJ49" s="25"/>
      <c r="AL49" t="str">
        <f t="shared" ca="1" si="0"/>
        <v xml:space="preserve">    (U1)ALERT_REQ_S_LCA_TT_L_</v>
      </c>
      <c r="AR49" s="70" t="str">
        <f t="shared" si="3"/>
        <v/>
      </c>
      <c r="AS49" s="70" t="str">
        <f t="shared" si="4"/>
        <v/>
      </c>
      <c r="AT49" s="70" t="str">
        <f t="shared" si="1"/>
        <v/>
      </c>
    </row>
    <row r="50" spans="2:46">
      <c r="B50" s="139"/>
      <c r="C50" s="55">
        <f t="shared" si="2"/>
        <v>44</v>
      </c>
      <c r="D50" s="69" t="s">
        <v>70</v>
      </c>
      <c r="E50" s="69" t="s">
        <v>70</v>
      </c>
      <c r="F50" s="69" t="s">
        <v>70</v>
      </c>
      <c r="G50" s="69" t="s">
        <v>70</v>
      </c>
      <c r="H50" s="69" t="s">
        <v>70</v>
      </c>
      <c r="I50" s="69" t="s">
        <v>70</v>
      </c>
      <c r="J50" s="69" t="s">
        <v>70</v>
      </c>
      <c r="K50" s="69" t="s">
        <v>70</v>
      </c>
      <c r="L50" s="69" t="s">
        <v>70</v>
      </c>
      <c r="M50" s="69" t="s">
        <v>70</v>
      </c>
      <c r="N50" s="69" t="s">
        <v>70</v>
      </c>
      <c r="O50" s="69" t="s">
        <v>70</v>
      </c>
      <c r="P50" s="69" t="s">
        <v>70</v>
      </c>
      <c r="Q50" s="69" t="s">
        <v>70</v>
      </c>
      <c r="R50" s="69" t="s">
        <v>70</v>
      </c>
      <c r="S50" s="69" t="s">
        <v>70</v>
      </c>
      <c r="T50" s="69" t="s">
        <v>70</v>
      </c>
      <c r="U50" s="69" t="s">
        <v>70</v>
      </c>
      <c r="V50" s="69" t="s">
        <v>70</v>
      </c>
      <c r="W50" s="69" t="s">
        <v>70</v>
      </c>
      <c r="X50" s="69" t="s">
        <v>70</v>
      </c>
      <c r="Y50" s="69" t="s">
        <v>70</v>
      </c>
      <c r="Z50" s="69" t="s">
        <v>70</v>
      </c>
      <c r="AA50" s="69" t="s">
        <v>70</v>
      </c>
      <c r="AB50" s="69" t="s">
        <v>70</v>
      </c>
      <c r="AC50" s="69" t="s">
        <v>70</v>
      </c>
      <c r="AD50" s="69" t="s">
        <v>70</v>
      </c>
      <c r="AE50" s="69" t="s">
        <v>70</v>
      </c>
      <c r="AF50" s="69" t="s">
        <v>70</v>
      </c>
      <c r="AG50" s="69" t="s">
        <v>70</v>
      </c>
      <c r="AH50" s="69" t="s">
        <v>70</v>
      </c>
      <c r="AI50" s="69" t="s">
        <v>70</v>
      </c>
      <c r="AJ50" s="25"/>
      <c r="AL50" t="str">
        <f t="shared" ca="1" si="0"/>
        <v xml:space="preserve">    (U1)ALERT_REQ_S_LCA_TT_L_</v>
      </c>
      <c r="AR50" s="70" t="str">
        <f t="shared" si="3"/>
        <v/>
      </c>
      <c r="AS50" s="70" t="str">
        <f t="shared" si="4"/>
        <v/>
      </c>
      <c r="AT50" s="70" t="str">
        <f t="shared" si="1"/>
        <v/>
      </c>
    </row>
    <row r="51" spans="2:46">
      <c r="B51" s="139"/>
      <c r="C51" s="55">
        <f t="shared" si="2"/>
        <v>45</v>
      </c>
      <c r="D51" s="69" t="s">
        <v>70</v>
      </c>
      <c r="E51" s="69" t="s">
        <v>70</v>
      </c>
      <c r="F51" s="69" t="s">
        <v>70</v>
      </c>
      <c r="G51" s="69" t="s">
        <v>70</v>
      </c>
      <c r="H51" s="69" t="s">
        <v>70</v>
      </c>
      <c r="I51" s="69" t="s">
        <v>70</v>
      </c>
      <c r="J51" s="69" t="s">
        <v>70</v>
      </c>
      <c r="K51" s="69" t="s">
        <v>70</v>
      </c>
      <c r="L51" s="69" t="s">
        <v>70</v>
      </c>
      <c r="M51" s="69" t="s">
        <v>70</v>
      </c>
      <c r="N51" s="69" t="s">
        <v>70</v>
      </c>
      <c r="O51" s="69" t="s">
        <v>70</v>
      </c>
      <c r="P51" s="69" t="s">
        <v>70</v>
      </c>
      <c r="Q51" s="69" t="s">
        <v>70</v>
      </c>
      <c r="R51" s="69" t="s">
        <v>70</v>
      </c>
      <c r="S51" s="69" t="s">
        <v>70</v>
      </c>
      <c r="T51" s="69" t="s">
        <v>70</v>
      </c>
      <c r="U51" s="69" t="s">
        <v>70</v>
      </c>
      <c r="V51" s="69" t="s">
        <v>70</v>
      </c>
      <c r="W51" s="69" t="s">
        <v>70</v>
      </c>
      <c r="X51" s="69" t="s">
        <v>70</v>
      </c>
      <c r="Y51" s="69" t="s">
        <v>70</v>
      </c>
      <c r="Z51" s="69" t="s">
        <v>70</v>
      </c>
      <c r="AA51" s="69" t="s">
        <v>70</v>
      </c>
      <c r="AB51" s="69" t="s">
        <v>70</v>
      </c>
      <c r="AC51" s="69" t="s">
        <v>70</v>
      </c>
      <c r="AD51" s="69" t="s">
        <v>70</v>
      </c>
      <c r="AE51" s="69" t="s">
        <v>70</v>
      </c>
      <c r="AF51" s="69" t="s">
        <v>70</v>
      </c>
      <c r="AG51" s="69" t="s">
        <v>70</v>
      </c>
      <c r="AH51" s="69" t="s">
        <v>70</v>
      </c>
      <c r="AI51" s="69" t="s">
        <v>70</v>
      </c>
      <c r="AJ51" s="25"/>
      <c r="AL51" t="str">
        <f t="shared" ca="1" si="0"/>
        <v xml:space="preserve">    (U1)ALERT_REQ_S_LCA_TT_L_</v>
      </c>
      <c r="AR51" s="70" t="str">
        <f t="shared" si="3"/>
        <v/>
      </c>
      <c r="AS51" s="70" t="str">
        <f t="shared" si="4"/>
        <v/>
      </c>
      <c r="AT51" s="70" t="str">
        <f t="shared" si="1"/>
        <v/>
      </c>
    </row>
    <row r="52" spans="2:46">
      <c r="B52" s="139"/>
      <c r="C52" s="55">
        <f t="shared" si="2"/>
        <v>46</v>
      </c>
      <c r="D52" s="69" t="s">
        <v>70</v>
      </c>
      <c r="E52" s="69" t="s">
        <v>70</v>
      </c>
      <c r="F52" s="69" t="s">
        <v>70</v>
      </c>
      <c r="G52" s="69" t="s">
        <v>70</v>
      </c>
      <c r="H52" s="69" t="s">
        <v>70</v>
      </c>
      <c r="I52" s="69" t="s">
        <v>70</v>
      </c>
      <c r="J52" s="69" t="s">
        <v>70</v>
      </c>
      <c r="K52" s="69" t="s">
        <v>70</v>
      </c>
      <c r="L52" s="69" t="s">
        <v>70</v>
      </c>
      <c r="M52" s="69" t="s">
        <v>70</v>
      </c>
      <c r="N52" s="69" t="s">
        <v>70</v>
      </c>
      <c r="O52" s="69" t="s">
        <v>70</v>
      </c>
      <c r="P52" s="69" t="s">
        <v>70</v>
      </c>
      <c r="Q52" s="69" t="s">
        <v>70</v>
      </c>
      <c r="R52" s="69" t="s">
        <v>70</v>
      </c>
      <c r="S52" s="69" t="s">
        <v>70</v>
      </c>
      <c r="T52" s="69" t="s">
        <v>70</v>
      </c>
      <c r="U52" s="69" t="s">
        <v>70</v>
      </c>
      <c r="V52" s="69" t="s">
        <v>70</v>
      </c>
      <c r="W52" s="69" t="s">
        <v>70</v>
      </c>
      <c r="X52" s="69" t="s">
        <v>70</v>
      </c>
      <c r="Y52" s="69" t="s">
        <v>70</v>
      </c>
      <c r="Z52" s="69" t="s">
        <v>70</v>
      </c>
      <c r="AA52" s="69" t="s">
        <v>70</v>
      </c>
      <c r="AB52" s="69" t="s">
        <v>70</v>
      </c>
      <c r="AC52" s="69" t="s">
        <v>70</v>
      </c>
      <c r="AD52" s="69" t="s">
        <v>70</v>
      </c>
      <c r="AE52" s="69" t="s">
        <v>70</v>
      </c>
      <c r="AF52" s="69" t="s">
        <v>70</v>
      </c>
      <c r="AG52" s="69" t="s">
        <v>70</v>
      </c>
      <c r="AH52" s="69" t="s">
        <v>70</v>
      </c>
      <c r="AI52" s="69" t="s">
        <v>70</v>
      </c>
      <c r="AJ52" s="25"/>
      <c r="AL52" t="str">
        <f t="shared" ca="1" si="0"/>
        <v xml:space="preserve">    (U1)ALERT_REQ_S_LCA_TT_L_</v>
      </c>
      <c r="AR52" s="70" t="str">
        <f t="shared" si="3"/>
        <v/>
      </c>
      <c r="AS52" s="70" t="str">
        <f t="shared" si="4"/>
        <v/>
      </c>
      <c r="AT52" s="70" t="str">
        <f t="shared" si="1"/>
        <v/>
      </c>
    </row>
    <row r="53" spans="2:46">
      <c r="B53" s="139"/>
      <c r="C53" s="55">
        <f t="shared" si="2"/>
        <v>47</v>
      </c>
      <c r="D53" s="69" t="s">
        <v>70</v>
      </c>
      <c r="E53" s="69" t="s">
        <v>70</v>
      </c>
      <c r="F53" s="69" t="s">
        <v>70</v>
      </c>
      <c r="G53" s="69" t="s">
        <v>70</v>
      </c>
      <c r="H53" s="69" t="s">
        <v>70</v>
      </c>
      <c r="I53" s="69" t="s">
        <v>70</v>
      </c>
      <c r="J53" s="69" t="s">
        <v>70</v>
      </c>
      <c r="K53" s="69" t="s">
        <v>70</v>
      </c>
      <c r="L53" s="69" t="s">
        <v>70</v>
      </c>
      <c r="M53" s="69" t="s">
        <v>70</v>
      </c>
      <c r="N53" s="69" t="s">
        <v>70</v>
      </c>
      <c r="O53" s="69" t="s">
        <v>70</v>
      </c>
      <c r="P53" s="69" t="s">
        <v>70</v>
      </c>
      <c r="Q53" s="69" t="s">
        <v>70</v>
      </c>
      <c r="R53" s="69" t="s">
        <v>70</v>
      </c>
      <c r="S53" s="69" t="s">
        <v>70</v>
      </c>
      <c r="T53" s="69" t="s">
        <v>70</v>
      </c>
      <c r="U53" s="69" t="s">
        <v>70</v>
      </c>
      <c r="V53" s="69" t="s">
        <v>70</v>
      </c>
      <c r="W53" s="69" t="s">
        <v>70</v>
      </c>
      <c r="X53" s="69" t="s">
        <v>70</v>
      </c>
      <c r="Y53" s="69" t="s">
        <v>70</v>
      </c>
      <c r="Z53" s="69" t="s">
        <v>70</v>
      </c>
      <c r="AA53" s="69" t="s">
        <v>70</v>
      </c>
      <c r="AB53" s="69" t="s">
        <v>70</v>
      </c>
      <c r="AC53" s="69" t="s">
        <v>70</v>
      </c>
      <c r="AD53" s="69" t="s">
        <v>70</v>
      </c>
      <c r="AE53" s="69" t="s">
        <v>70</v>
      </c>
      <c r="AF53" s="69" t="s">
        <v>70</v>
      </c>
      <c r="AG53" s="69" t="s">
        <v>70</v>
      </c>
      <c r="AH53" s="69" t="s">
        <v>70</v>
      </c>
      <c r="AI53" s="69" t="s">
        <v>70</v>
      </c>
      <c r="AJ53" s="25"/>
      <c r="AL53" t="str">
        <f t="shared" ca="1" si="0"/>
        <v xml:space="preserve">    (U1)ALERT_REQ_S_LCA_TT_L_</v>
      </c>
      <c r="AR53" s="70" t="str">
        <f t="shared" si="3"/>
        <v/>
      </c>
      <c r="AS53" s="70" t="str">
        <f t="shared" si="4"/>
        <v/>
      </c>
      <c r="AT53" s="70" t="str">
        <f t="shared" si="1"/>
        <v/>
      </c>
    </row>
    <row r="54" spans="2:46">
      <c r="B54" s="139"/>
      <c r="C54" s="55">
        <f t="shared" si="2"/>
        <v>48</v>
      </c>
      <c r="D54" s="69" t="s">
        <v>70</v>
      </c>
      <c r="E54" s="69" t="s">
        <v>70</v>
      </c>
      <c r="F54" s="69" t="s">
        <v>70</v>
      </c>
      <c r="G54" s="69" t="s">
        <v>70</v>
      </c>
      <c r="H54" s="69" t="s">
        <v>70</v>
      </c>
      <c r="I54" s="69" t="s">
        <v>70</v>
      </c>
      <c r="J54" s="69" t="s">
        <v>70</v>
      </c>
      <c r="K54" s="69" t="s">
        <v>70</v>
      </c>
      <c r="L54" s="69" t="s">
        <v>70</v>
      </c>
      <c r="M54" s="69" t="s">
        <v>70</v>
      </c>
      <c r="N54" s="69" t="s">
        <v>70</v>
      </c>
      <c r="O54" s="69" t="s">
        <v>70</v>
      </c>
      <c r="P54" s="69" t="s">
        <v>70</v>
      </c>
      <c r="Q54" s="69" t="s">
        <v>70</v>
      </c>
      <c r="R54" s="69" t="s">
        <v>70</v>
      </c>
      <c r="S54" s="69" t="s">
        <v>70</v>
      </c>
      <c r="T54" s="69" t="s">
        <v>70</v>
      </c>
      <c r="U54" s="69" t="s">
        <v>70</v>
      </c>
      <c r="V54" s="69" t="s">
        <v>70</v>
      </c>
      <c r="W54" s="69" t="s">
        <v>70</v>
      </c>
      <c r="X54" s="69" t="s">
        <v>70</v>
      </c>
      <c r="Y54" s="69" t="s">
        <v>70</v>
      </c>
      <c r="Z54" s="69" t="s">
        <v>70</v>
      </c>
      <c r="AA54" s="69" t="s">
        <v>70</v>
      </c>
      <c r="AB54" s="69" t="s">
        <v>70</v>
      </c>
      <c r="AC54" s="69" t="s">
        <v>70</v>
      </c>
      <c r="AD54" s="69" t="s">
        <v>70</v>
      </c>
      <c r="AE54" s="69" t="s">
        <v>70</v>
      </c>
      <c r="AF54" s="69" t="s">
        <v>70</v>
      </c>
      <c r="AG54" s="69" t="s">
        <v>70</v>
      </c>
      <c r="AH54" s="69" t="s">
        <v>70</v>
      </c>
      <c r="AI54" s="69" t="s">
        <v>70</v>
      </c>
      <c r="AJ54" s="25"/>
      <c r="AL54" t="str">
        <f t="shared" ca="1" si="0"/>
        <v xml:space="preserve">    (U1)ALERT_REQ_S_LCA_TT_L_</v>
      </c>
      <c r="AR54" s="70" t="str">
        <f t="shared" si="3"/>
        <v/>
      </c>
      <c r="AS54" s="70" t="str">
        <f t="shared" si="4"/>
        <v/>
      </c>
      <c r="AT54" s="70" t="str">
        <f t="shared" si="1"/>
        <v/>
      </c>
    </row>
    <row r="55" spans="2:46">
      <c r="B55" s="139"/>
      <c r="C55" s="55">
        <f t="shared" si="2"/>
        <v>49</v>
      </c>
      <c r="D55" s="69" t="s">
        <v>70</v>
      </c>
      <c r="E55" s="69" t="s">
        <v>70</v>
      </c>
      <c r="F55" s="69" t="s">
        <v>70</v>
      </c>
      <c r="G55" s="69" t="s">
        <v>70</v>
      </c>
      <c r="H55" s="69" t="s">
        <v>70</v>
      </c>
      <c r="I55" s="69" t="s">
        <v>70</v>
      </c>
      <c r="J55" s="69" t="s">
        <v>70</v>
      </c>
      <c r="K55" s="69" t="s">
        <v>70</v>
      </c>
      <c r="L55" s="69" t="s">
        <v>70</v>
      </c>
      <c r="M55" s="69" t="s">
        <v>70</v>
      </c>
      <c r="N55" s="69" t="s">
        <v>70</v>
      </c>
      <c r="O55" s="69" t="s">
        <v>70</v>
      </c>
      <c r="P55" s="69" t="s">
        <v>70</v>
      </c>
      <c r="Q55" s="69" t="s">
        <v>70</v>
      </c>
      <c r="R55" s="69" t="s">
        <v>70</v>
      </c>
      <c r="S55" s="69" t="s">
        <v>70</v>
      </c>
      <c r="T55" s="69" t="s">
        <v>70</v>
      </c>
      <c r="U55" s="69" t="s">
        <v>70</v>
      </c>
      <c r="V55" s="69" t="s">
        <v>70</v>
      </c>
      <c r="W55" s="69" t="s">
        <v>70</v>
      </c>
      <c r="X55" s="69" t="s">
        <v>70</v>
      </c>
      <c r="Y55" s="69" t="s">
        <v>70</v>
      </c>
      <c r="Z55" s="69" t="s">
        <v>70</v>
      </c>
      <c r="AA55" s="69" t="s">
        <v>70</v>
      </c>
      <c r="AB55" s="69" t="s">
        <v>70</v>
      </c>
      <c r="AC55" s="69" t="s">
        <v>70</v>
      </c>
      <c r="AD55" s="69" t="s">
        <v>70</v>
      </c>
      <c r="AE55" s="69" t="s">
        <v>70</v>
      </c>
      <c r="AF55" s="69" t="s">
        <v>70</v>
      </c>
      <c r="AG55" s="69" t="s">
        <v>70</v>
      </c>
      <c r="AH55" s="69" t="s">
        <v>70</v>
      </c>
      <c r="AI55" s="69" t="s">
        <v>70</v>
      </c>
      <c r="AJ55" s="25"/>
      <c r="AL55" t="str">
        <f t="shared" ca="1" si="0"/>
        <v xml:space="preserve">    (U1)ALERT_REQ_S_LCA_TT_L_</v>
      </c>
      <c r="AR55" s="70" t="str">
        <f t="shared" si="3"/>
        <v/>
      </c>
      <c r="AS55" s="70" t="str">
        <f t="shared" si="4"/>
        <v/>
      </c>
      <c r="AT55" s="70" t="str">
        <f t="shared" si="1"/>
        <v/>
      </c>
    </row>
    <row r="56" spans="2:46">
      <c r="B56" s="139"/>
      <c r="C56" s="55">
        <f t="shared" si="2"/>
        <v>50</v>
      </c>
      <c r="D56" s="69" t="s">
        <v>70</v>
      </c>
      <c r="E56" s="69" t="s">
        <v>70</v>
      </c>
      <c r="F56" s="69" t="s">
        <v>70</v>
      </c>
      <c r="G56" s="69" t="s">
        <v>70</v>
      </c>
      <c r="H56" s="69" t="s">
        <v>70</v>
      </c>
      <c r="I56" s="69" t="s">
        <v>70</v>
      </c>
      <c r="J56" s="69" t="s">
        <v>70</v>
      </c>
      <c r="K56" s="69" t="s">
        <v>70</v>
      </c>
      <c r="L56" s="69" t="s">
        <v>70</v>
      </c>
      <c r="M56" s="69" t="s">
        <v>70</v>
      </c>
      <c r="N56" s="69" t="s">
        <v>70</v>
      </c>
      <c r="O56" s="69" t="s">
        <v>70</v>
      </c>
      <c r="P56" s="69" t="s">
        <v>70</v>
      </c>
      <c r="Q56" s="69" t="s">
        <v>70</v>
      </c>
      <c r="R56" s="69" t="s">
        <v>70</v>
      </c>
      <c r="S56" s="69" t="s">
        <v>70</v>
      </c>
      <c r="T56" s="69" t="s">
        <v>70</v>
      </c>
      <c r="U56" s="69" t="s">
        <v>70</v>
      </c>
      <c r="V56" s="69" t="s">
        <v>70</v>
      </c>
      <c r="W56" s="69" t="s">
        <v>70</v>
      </c>
      <c r="X56" s="69" t="s">
        <v>70</v>
      </c>
      <c r="Y56" s="69" t="s">
        <v>70</v>
      </c>
      <c r="Z56" s="69" t="s">
        <v>70</v>
      </c>
      <c r="AA56" s="69" t="s">
        <v>70</v>
      </c>
      <c r="AB56" s="69" t="s">
        <v>70</v>
      </c>
      <c r="AC56" s="69" t="s">
        <v>70</v>
      </c>
      <c r="AD56" s="69" t="s">
        <v>70</v>
      </c>
      <c r="AE56" s="69" t="s">
        <v>70</v>
      </c>
      <c r="AF56" s="69" t="s">
        <v>70</v>
      </c>
      <c r="AG56" s="69" t="s">
        <v>70</v>
      </c>
      <c r="AH56" s="69" t="s">
        <v>70</v>
      </c>
      <c r="AI56" s="69" t="s">
        <v>70</v>
      </c>
      <c r="AJ56" s="25"/>
      <c r="AL56" t="str">
        <f t="shared" ca="1" si="0"/>
        <v xml:space="preserve">    (U1)ALERT_REQ_S_LCA_TT_L_</v>
      </c>
      <c r="AR56" s="70" t="str">
        <f t="shared" si="3"/>
        <v/>
      </c>
      <c r="AS56" s="70" t="str">
        <f t="shared" si="4"/>
        <v/>
      </c>
      <c r="AT56" s="70" t="str">
        <f t="shared" si="1"/>
        <v/>
      </c>
    </row>
    <row r="57" spans="2:46">
      <c r="B57" s="139"/>
      <c r="C57" s="55">
        <f t="shared" si="2"/>
        <v>51</v>
      </c>
      <c r="D57" s="69" t="s">
        <v>70</v>
      </c>
      <c r="E57" s="69" t="s">
        <v>70</v>
      </c>
      <c r="F57" s="69" t="s">
        <v>70</v>
      </c>
      <c r="G57" s="69" t="s">
        <v>70</v>
      </c>
      <c r="H57" s="69" t="s">
        <v>70</v>
      </c>
      <c r="I57" s="69" t="s">
        <v>70</v>
      </c>
      <c r="J57" s="69" t="s">
        <v>70</v>
      </c>
      <c r="K57" s="69" t="s">
        <v>70</v>
      </c>
      <c r="L57" s="69" t="s">
        <v>70</v>
      </c>
      <c r="M57" s="69" t="s">
        <v>70</v>
      </c>
      <c r="N57" s="69" t="s">
        <v>70</v>
      </c>
      <c r="O57" s="69" t="s">
        <v>70</v>
      </c>
      <c r="P57" s="69" t="s">
        <v>70</v>
      </c>
      <c r="Q57" s="69" t="s">
        <v>70</v>
      </c>
      <c r="R57" s="69" t="s">
        <v>70</v>
      </c>
      <c r="S57" s="69" t="s">
        <v>70</v>
      </c>
      <c r="T57" s="69" t="s">
        <v>70</v>
      </c>
      <c r="U57" s="69" t="s">
        <v>70</v>
      </c>
      <c r="V57" s="69" t="s">
        <v>70</v>
      </c>
      <c r="W57" s="69" t="s">
        <v>70</v>
      </c>
      <c r="X57" s="69" t="s">
        <v>70</v>
      </c>
      <c r="Y57" s="69" t="s">
        <v>70</v>
      </c>
      <c r="Z57" s="69" t="s">
        <v>70</v>
      </c>
      <c r="AA57" s="69" t="s">
        <v>70</v>
      </c>
      <c r="AB57" s="69" t="s">
        <v>70</v>
      </c>
      <c r="AC57" s="69" t="s">
        <v>70</v>
      </c>
      <c r="AD57" s="69" t="s">
        <v>70</v>
      </c>
      <c r="AE57" s="69" t="s">
        <v>70</v>
      </c>
      <c r="AF57" s="69" t="s">
        <v>70</v>
      </c>
      <c r="AG57" s="69" t="s">
        <v>70</v>
      </c>
      <c r="AH57" s="69" t="s">
        <v>70</v>
      </c>
      <c r="AI57" s="69" t="s">
        <v>70</v>
      </c>
      <c r="AJ57" s="25"/>
      <c r="AL57" t="str">
        <f t="shared" ca="1" si="0"/>
        <v xml:space="preserve">    (U1)ALERT_REQ_S_LCA_TT_L_</v>
      </c>
      <c r="AR57" s="70" t="str">
        <f t="shared" si="3"/>
        <v/>
      </c>
      <c r="AS57" s="70" t="str">
        <f t="shared" si="4"/>
        <v/>
      </c>
      <c r="AT57" s="70" t="str">
        <f t="shared" si="1"/>
        <v/>
      </c>
    </row>
    <row r="58" spans="2:46">
      <c r="B58" s="139"/>
      <c r="C58" s="55">
        <f t="shared" si="2"/>
        <v>52</v>
      </c>
      <c r="D58" s="69" t="s">
        <v>70</v>
      </c>
      <c r="E58" s="69" t="s">
        <v>70</v>
      </c>
      <c r="F58" s="69" t="s">
        <v>70</v>
      </c>
      <c r="G58" s="69" t="s">
        <v>70</v>
      </c>
      <c r="H58" s="69" t="s">
        <v>70</v>
      </c>
      <c r="I58" s="69" t="s">
        <v>70</v>
      </c>
      <c r="J58" s="69" t="s">
        <v>70</v>
      </c>
      <c r="K58" s="69" t="s">
        <v>70</v>
      </c>
      <c r="L58" s="69" t="s">
        <v>70</v>
      </c>
      <c r="M58" s="69" t="s">
        <v>70</v>
      </c>
      <c r="N58" s="69" t="s">
        <v>70</v>
      </c>
      <c r="O58" s="69" t="s">
        <v>70</v>
      </c>
      <c r="P58" s="69" t="s">
        <v>70</v>
      </c>
      <c r="Q58" s="69" t="s">
        <v>70</v>
      </c>
      <c r="R58" s="69" t="s">
        <v>70</v>
      </c>
      <c r="S58" s="69" t="s">
        <v>70</v>
      </c>
      <c r="T58" s="69" t="s">
        <v>70</v>
      </c>
      <c r="U58" s="69" t="s">
        <v>70</v>
      </c>
      <c r="V58" s="69" t="s">
        <v>70</v>
      </c>
      <c r="W58" s="69" t="s">
        <v>70</v>
      </c>
      <c r="X58" s="69" t="s">
        <v>70</v>
      </c>
      <c r="Y58" s="69" t="s">
        <v>70</v>
      </c>
      <c r="Z58" s="69" t="s">
        <v>70</v>
      </c>
      <c r="AA58" s="69" t="s">
        <v>70</v>
      </c>
      <c r="AB58" s="69" t="s">
        <v>70</v>
      </c>
      <c r="AC58" s="69" t="s">
        <v>70</v>
      </c>
      <c r="AD58" s="69" t="s">
        <v>70</v>
      </c>
      <c r="AE58" s="69" t="s">
        <v>70</v>
      </c>
      <c r="AF58" s="69" t="s">
        <v>70</v>
      </c>
      <c r="AG58" s="69" t="s">
        <v>70</v>
      </c>
      <c r="AH58" s="69" t="s">
        <v>70</v>
      </c>
      <c r="AI58" s="69" t="s">
        <v>70</v>
      </c>
      <c r="AJ58" s="25"/>
      <c r="AL58" t="str">
        <f t="shared" ca="1" si="0"/>
        <v xml:space="preserve">    (U1)ALERT_REQ_S_LCA_TT_L_</v>
      </c>
      <c r="AR58" s="70" t="str">
        <f t="shared" si="3"/>
        <v/>
      </c>
      <c r="AS58" s="70" t="str">
        <f t="shared" si="4"/>
        <v/>
      </c>
      <c r="AT58" s="70" t="str">
        <f t="shared" si="1"/>
        <v/>
      </c>
    </row>
    <row r="59" spans="2:46">
      <c r="B59" s="139"/>
      <c r="C59" s="55">
        <f t="shared" si="2"/>
        <v>53</v>
      </c>
      <c r="D59" s="69" t="s">
        <v>70</v>
      </c>
      <c r="E59" s="69" t="s">
        <v>70</v>
      </c>
      <c r="F59" s="69" t="s">
        <v>70</v>
      </c>
      <c r="G59" s="69" t="s">
        <v>70</v>
      </c>
      <c r="H59" s="69" t="s">
        <v>70</v>
      </c>
      <c r="I59" s="69" t="s">
        <v>70</v>
      </c>
      <c r="J59" s="69" t="s">
        <v>70</v>
      </c>
      <c r="K59" s="69" t="s">
        <v>70</v>
      </c>
      <c r="L59" s="69" t="s">
        <v>70</v>
      </c>
      <c r="M59" s="69" t="s">
        <v>70</v>
      </c>
      <c r="N59" s="69" t="s">
        <v>70</v>
      </c>
      <c r="O59" s="69" t="s">
        <v>70</v>
      </c>
      <c r="P59" s="69" t="s">
        <v>70</v>
      </c>
      <c r="Q59" s="69" t="s">
        <v>70</v>
      </c>
      <c r="R59" s="69" t="s">
        <v>70</v>
      </c>
      <c r="S59" s="69" t="s">
        <v>70</v>
      </c>
      <c r="T59" s="69" t="s">
        <v>70</v>
      </c>
      <c r="U59" s="69" t="s">
        <v>70</v>
      </c>
      <c r="V59" s="69" t="s">
        <v>70</v>
      </c>
      <c r="W59" s="69" t="s">
        <v>70</v>
      </c>
      <c r="X59" s="69" t="s">
        <v>70</v>
      </c>
      <c r="Y59" s="69" t="s">
        <v>70</v>
      </c>
      <c r="Z59" s="69" t="s">
        <v>70</v>
      </c>
      <c r="AA59" s="69" t="s">
        <v>70</v>
      </c>
      <c r="AB59" s="69" t="s">
        <v>70</v>
      </c>
      <c r="AC59" s="69" t="s">
        <v>70</v>
      </c>
      <c r="AD59" s="69" t="s">
        <v>70</v>
      </c>
      <c r="AE59" s="69" t="s">
        <v>70</v>
      </c>
      <c r="AF59" s="69" t="s">
        <v>70</v>
      </c>
      <c r="AG59" s="69" t="s">
        <v>70</v>
      </c>
      <c r="AH59" s="69" t="s">
        <v>70</v>
      </c>
      <c r="AI59" s="69" t="s">
        <v>70</v>
      </c>
      <c r="AJ59" s="25"/>
      <c r="AL59" t="str">
        <f t="shared" ca="1" si="0"/>
        <v xml:space="preserve">    (U1)ALERT_REQ_S_LCA_TT_L_</v>
      </c>
      <c r="AR59" s="70" t="str">
        <f t="shared" si="3"/>
        <v/>
      </c>
      <c r="AS59" s="70" t="str">
        <f t="shared" si="4"/>
        <v/>
      </c>
      <c r="AT59" s="70" t="str">
        <f t="shared" si="1"/>
        <v/>
      </c>
    </row>
    <row r="60" spans="2:46">
      <c r="B60" s="139"/>
      <c r="C60" s="55">
        <f t="shared" si="2"/>
        <v>54</v>
      </c>
      <c r="D60" s="69" t="s">
        <v>70</v>
      </c>
      <c r="E60" s="69" t="s">
        <v>70</v>
      </c>
      <c r="F60" s="69" t="s">
        <v>70</v>
      </c>
      <c r="G60" s="69" t="s">
        <v>70</v>
      </c>
      <c r="H60" s="69" t="s">
        <v>70</v>
      </c>
      <c r="I60" s="69" t="s">
        <v>70</v>
      </c>
      <c r="J60" s="69" t="s">
        <v>70</v>
      </c>
      <c r="K60" s="69" t="s">
        <v>70</v>
      </c>
      <c r="L60" s="69" t="s">
        <v>70</v>
      </c>
      <c r="M60" s="69" t="s">
        <v>70</v>
      </c>
      <c r="N60" s="69" t="s">
        <v>70</v>
      </c>
      <c r="O60" s="69" t="s">
        <v>70</v>
      </c>
      <c r="P60" s="69" t="s">
        <v>70</v>
      </c>
      <c r="Q60" s="69" t="s">
        <v>70</v>
      </c>
      <c r="R60" s="69" t="s">
        <v>70</v>
      </c>
      <c r="S60" s="69" t="s">
        <v>70</v>
      </c>
      <c r="T60" s="69" t="s">
        <v>70</v>
      </c>
      <c r="U60" s="69" t="s">
        <v>70</v>
      </c>
      <c r="V60" s="69" t="s">
        <v>70</v>
      </c>
      <c r="W60" s="69" t="s">
        <v>70</v>
      </c>
      <c r="X60" s="69" t="s">
        <v>70</v>
      </c>
      <c r="Y60" s="69" t="s">
        <v>70</v>
      </c>
      <c r="Z60" s="69" t="s">
        <v>70</v>
      </c>
      <c r="AA60" s="69" t="s">
        <v>70</v>
      </c>
      <c r="AB60" s="69" t="s">
        <v>70</v>
      </c>
      <c r="AC60" s="69" t="s">
        <v>70</v>
      </c>
      <c r="AD60" s="69" t="s">
        <v>70</v>
      </c>
      <c r="AE60" s="69" t="s">
        <v>70</v>
      </c>
      <c r="AF60" s="69" t="s">
        <v>70</v>
      </c>
      <c r="AG60" s="69" t="s">
        <v>70</v>
      </c>
      <c r="AH60" s="69" t="s">
        <v>70</v>
      </c>
      <c r="AI60" s="69" t="s">
        <v>70</v>
      </c>
      <c r="AJ60" s="25"/>
      <c r="AL60" t="str">
        <f t="shared" ca="1" si="0"/>
        <v xml:space="preserve">    (U1)ALERT_REQ_S_LCA_TT_L_</v>
      </c>
      <c r="AR60" s="70" t="str">
        <f t="shared" si="3"/>
        <v/>
      </c>
      <c r="AS60" s="70" t="str">
        <f t="shared" si="4"/>
        <v/>
      </c>
      <c r="AT60" s="70" t="str">
        <f t="shared" si="1"/>
        <v/>
      </c>
    </row>
    <row r="61" spans="2:46">
      <c r="B61" s="139"/>
      <c r="C61" s="55">
        <f t="shared" si="2"/>
        <v>55</v>
      </c>
      <c r="D61" s="69" t="s">
        <v>70</v>
      </c>
      <c r="E61" s="69" t="s">
        <v>70</v>
      </c>
      <c r="F61" s="69" t="s">
        <v>70</v>
      </c>
      <c r="G61" s="69" t="s">
        <v>70</v>
      </c>
      <c r="H61" s="69" t="s">
        <v>70</v>
      </c>
      <c r="I61" s="69" t="s">
        <v>70</v>
      </c>
      <c r="J61" s="69" t="s">
        <v>70</v>
      </c>
      <c r="K61" s="69" t="s">
        <v>70</v>
      </c>
      <c r="L61" s="69" t="s">
        <v>70</v>
      </c>
      <c r="M61" s="69" t="s">
        <v>70</v>
      </c>
      <c r="N61" s="69" t="s">
        <v>70</v>
      </c>
      <c r="O61" s="69" t="s">
        <v>70</v>
      </c>
      <c r="P61" s="69" t="s">
        <v>70</v>
      </c>
      <c r="Q61" s="69" t="s">
        <v>70</v>
      </c>
      <c r="R61" s="69" t="s">
        <v>70</v>
      </c>
      <c r="S61" s="69" t="s">
        <v>70</v>
      </c>
      <c r="T61" s="69" t="s">
        <v>70</v>
      </c>
      <c r="U61" s="69" t="s">
        <v>70</v>
      </c>
      <c r="V61" s="69" t="s">
        <v>70</v>
      </c>
      <c r="W61" s="69" t="s">
        <v>70</v>
      </c>
      <c r="X61" s="69" t="s">
        <v>70</v>
      </c>
      <c r="Y61" s="69" t="s">
        <v>70</v>
      </c>
      <c r="Z61" s="69" t="s">
        <v>70</v>
      </c>
      <c r="AA61" s="69" t="s">
        <v>70</v>
      </c>
      <c r="AB61" s="69" t="s">
        <v>70</v>
      </c>
      <c r="AC61" s="69" t="s">
        <v>70</v>
      </c>
      <c r="AD61" s="69" t="s">
        <v>70</v>
      </c>
      <c r="AE61" s="69" t="s">
        <v>70</v>
      </c>
      <c r="AF61" s="69" t="s">
        <v>70</v>
      </c>
      <c r="AG61" s="69" t="s">
        <v>70</v>
      </c>
      <c r="AH61" s="69" t="s">
        <v>70</v>
      </c>
      <c r="AI61" s="69" t="s">
        <v>70</v>
      </c>
      <c r="AJ61" s="25"/>
      <c r="AL61" t="str">
        <f t="shared" ca="1" si="0"/>
        <v xml:space="preserve">    (U1)ALERT_REQ_S_LCA_TT_L_</v>
      </c>
      <c r="AR61" s="70" t="str">
        <f t="shared" si="3"/>
        <v/>
      </c>
      <c r="AS61" s="70" t="str">
        <f t="shared" si="4"/>
        <v/>
      </c>
      <c r="AT61" s="70" t="str">
        <f t="shared" si="1"/>
        <v/>
      </c>
    </row>
    <row r="62" spans="2:46">
      <c r="B62" s="139"/>
      <c r="C62" s="55">
        <f t="shared" si="2"/>
        <v>56</v>
      </c>
      <c r="D62" s="69" t="s">
        <v>70</v>
      </c>
      <c r="E62" s="69" t="s">
        <v>70</v>
      </c>
      <c r="F62" s="69" t="s">
        <v>70</v>
      </c>
      <c r="G62" s="69" t="s">
        <v>70</v>
      </c>
      <c r="H62" s="69" t="s">
        <v>70</v>
      </c>
      <c r="I62" s="69" t="s">
        <v>70</v>
      </c>
      <c r="J62" s="69" t="s">
        <v>70</v>
      </c>
      <c r="K62" s="69" t="s">
        <v>70</v>
      </c>
      <c r="L62" s="69" t="s">
        <v>70</v>
      </c>
      <c r="M62" s="69" t="s">
        <v>70</v>
      </c>
      <c r="N62" s="69" t="s">
        <v>70</v>
      </c>
      <c r="O62" s="69" t="s">
        <v>70</v>
      </c>
      <c r="P62" s="69" t="s">
        <v>70</v>
      </c>
      <c r="Q62" s="69" t="s">
        <v>70</v>
      </c>
      <c r="R62" s="69" t="s">
        <v>70</v>
      </c>
      <c r="S62" s="69" t="s">
        <v>70</v>
      </c>
      <c r="T62" s="69" t="s">
        <v>70</v>
      </c>
      <c r="U62" s="69" t="s">
        <v>70</v>
      </c>
      <c r="V62" s="69" t="s">
        <v>70</v>
      </c>
      <c r="W62" s="69" t="s">
        <v>70</v>
      </c>
      <c r="X62" s="69" t="s">
        <v>70</v>
      </c>
      <c r="Y62" s="69" t="s">
        <v>70</v>
      </c>
      <c r="Z62" s="69" t="s">
        <v>70</v>
      </c>
      <c r="AA62" s="69" t="s">
        <v>70</v>
      </c>
      <c r="AB62" s="69" t="s">
        <v>70</v>
      </c>
      <c r="AC62" s="69" t="s">
        <v>70</v>
      </c>
      <c r="AD62" s="69" t="s">
        <v>70</v>
      </c>
      <c r="AE62" s="69" t="s">
        <v>70</v>
      </c>
      <c r="AF62" s="69" t="s">
        <v>70</v>
      </c>
      <c r="AG62" s="69" t="s">
        <v>70</v>
      </c>
      <c r="AH62" s="69" t="s">
        <v>70</v>
      </c>
      <c r="AI62" s="69" t="s">
        <v>70</v>
      </c>
      <c r="AJ62" s="25"/>
      <c r="AL62" t="str">
        <f t="shared" ca="1" si="0"/>
        <v xml:space="preserve">    (U1)ALERT_REQ_S_LCA_TT_L_</v>
      </c>
      <c r="AR62" s="70" t="str">
        <f t="shared" si="3"/>
        <v/>
      </c>
      <c r="AS62" s="70" t="str">
        <f t="shared" si="4"/>
        <v/>
      </c>
      <c r="AT62" s="70" t="str">
        <f t="shared" si="1"/>
        <v/>
      </c>
    </row>
    <row r="63" spans="2:46">
      <c r="B63" s="139"/>
      <c r="C63" s="55">
        <f t="shared" si="2"/>
        <v>57</v>
      </c>
      <c r="D63" s="69" t="s">
        <v>70</v>
      </c>
      <c r="E63" s="69" t="s">
        <v>70</v>
      </c>
      <c r="F63" s="69" t="s">
        <v>70</v>
      </c>
      <c r="G63" s="69" t="s">
        <v>70</v>
      </c>
      <c r="H63" s="69" t="s">
        <v>70</v>
      </c>
      <c r="I63" s="69" t="s">
        <v>70</v>
      </c>
      <c r="J63" s="69" t="s">
        <v>70</v>
      </c>
      <c r="K63" s="69" t="s">
        <v>70</v>
      </c>
      <c r="L63" s="69" t="s">
        <v>70</v>
      </c>
      <c r="M63" s="69" t="s">
        <v>70</v>
      </c>
      <c r="N63" s="69" t="s">
        <v>70</v>
      </c>
      <c r="O63" s="69" t="s">
        <v>70</v>
      </c>
      <c r="P63" s="69" t="s">
        <v>70</v>
      </c>
      <c r="Q63" s="69" t="s">
        <v>70</v>
      </c>
      <c r="R63" s="69" t="s">
        <v>70</v>
      </c>
      <c r="S63" s="69" t="s">
        <v>70</v>
      </c>
      <c r="T63" s="69" t="s">
        <v>70</v>
      </c>
      <c r="U63" s="69" t="s">
        <v>70</v>
      </c>
      <c r="V63" s="69" t="s">
        <v>70</v>
      </c>
      <c r="W63" s="69" t="s">
        <v>70</v>
      </c>
      <c r="X63" s="69" t="s">
        <v>70</v>
      </c>
      <c r="Y63" s="69" t="s">
        <v>70</v>
      </c>
      <c r="Z63" s="69" t="s">
        <v>70</v>
      </c>
      <c r="AA63" s="69" t="s">
        <v>70</v>
      </c>
      <c r="AB63" s="69" t="s">
        <v>70</v>
      </c>
      <c r="AC63" s="69" t="s">
        <v>70</v>
      </c>
      <c r="AD63" s="69" t="s">
        <v>70</v>
      </c>
      <c r="AE63" s="69" t="s">
        <v>70</v>
      </c>
      <c r="AF63" s="69" t="s">
        <v>70</v>
      </c>
      <c r="AG63" s="69" t="s">
        <v>70</v>
      </c>
      <c r="AH63" s="69" t="s">
        <v>70</v>
      </c>
      <c r="AI63" s="69" t="s">
        <v>70</v>
      </c>
      <c r="AJ63" s="25"/>
      <c r="AL63" t="str">
        <f t="shared" ca="1" si="0"/>
        <v xml:space="preserve">    (U1)ALERT_REQ_S_LCA_TT_L_</v>
      </c>
      <c r="AR63" s="70" t="str">
        <f t="shared" si="3"/>
        <v/>
      </c>
      <c r="AS63" s="70" t="str">
        <f t="shared" si="4"/>
        <v/>
      </c>
      <c r="AT63" s="70" t="str">
        <f t="shared" si="1"/>
        <v/>
      </c>
    </row>
    <row r="64" spans="2:46">
      <c r="B64" s="139"/>
      <c r="C64" s="55">
        <f t="shared" si="2"/>
        <v>58</v>
      </c>
      <c r="D64" s="69" t="s">
        <v>70</v>
      </c>
      <c r="E64" s="69" t="s">
        <v>70</v>
      </c>
      <c r="F64" s="69" t="s">
        <v>70</v>
      </c>
      <c r="G64" s="69" t="s">
        <v>70</v>
      </c>
      <c r="H64" s="69" t="s">
        <v>70</v>
      </c>
      <c r="I64" s="69" t="s">
        <v>70</v>
      </c>
      <c r="J64" s="69" t="s">
        <v>70</v>
      </c>
      <c r="K64" s="69" t="s">
        <v>70</v>
      </c>
      <c r="L64" s="69" t="s">
        <v>70</v>
      </c>
      <c r="M64" s="69" t="s">
        <v>70</v>
      </c>
      <c r="N64" s="69" t="s">
        <v>70</v>
      </c>
      <c r="O64" s="69" t="s">
        <v>70</v>
      </c>
      <c r="P64" s="69" t="s">
        <v>70</v>
      </c>
      <c r="Q64" s="69" t="s">
        <v>70</v>
      </c>
      <c r="R64" s="69" t="s">
        <v>70</v>
      </c>
      <c r="S64" s="69" t="s">
        <v>70</v>
      </c>
      <c r="T64" s="69" t="s">
        <v>70</v>
      </c>
      <c r="U64" s="69" t="s">
        <v>70</v>
      </c>
      <c r="V64" s="69" t="s">
        <v>70</v>
      </c>
      <c r="W64" s="69" t="s">
        <v>70</v>
      </c>
      <c r="X64" s="69" t="s">
        <v>70</v>
      </c>
      <c r="Y64" s="69" t="s">
        <v>70</v>
      </c>
      <c r="Z64" s="69" t="s">
        <v>70</v>
      </c>
      <c r="AA64" s="69" t="s">
        <v>70</v>
      </c>
      <c r="AB64" s="69" t="s">
        <v>70</v>
      </c>
      <c r="AC64" s="69" t="s">
        <v>70</v>
      </c>
      <c r="AD64" s="69" t="s">
        <v>70</v>
      </c>
      <c r="AE64" s="69" t="s">
        <v>70</v>
      </c>
      <c r="AF64" s="69" t="s">
        <v>70</v>
      </c>
      <c r="AG64" s="69" t="s">
        <v>70</v>
      </c>
      <c r="AH64" s="69" t="s">
        <v>70</v>
      </c>
      <c r="AI64" s="69" t="s">
        <v>70</v>
      </c>
      <c r="AJ64" s="25"/>
      <c r="AL64" t="str">
        <f t="shared" ca="1" si="0"/>
        <v xml:space="preserve">    (U1)ALERT_REQ_S_LCA_TT_L_</v>
      </c>
      <c r="AR64" s="70" t="str">
        <f t="shared" si="3"/>
        <v/>
      </c>
      <c r="AS64" s="70" t="str">
        <f t="shared" si="4"/>
        <v/>
      </c>
      <c r="AT64" s="70" t="str">
        <f t="shared" si="1"/>
        <v/>
      </c>
    </row>
    <row r="65" spans="1:46">
      <c r="B65" s="139"/>
      <c r="C65" s="55">
        <f t="shared" si="2"/>
        <v>59</v>
      </c>
      <c r="D65" s="69" t="s">
        <v>70</v>
      </c>
      <c r="E65" s="69" t="s">
        <v>70</v>
      </c>
      <c r="F65" s="69" t="s">
        <v>70</v>
      </c>
      <c r="G65" s="69" t="s">
        <v>70</v>
      </c>
      <c r="H65" s="69" t="s">
        <v>70</v>
      </c>
      <c r="I65" s="69" t="s">
        <v>70</v>
      </c>
      <c r="J65" s="69" t="s">
        <v>70</v>
      </c>
      <c r="K65" s="69" t="s">
        <v>70</v>
      </c>
      <c r="L65" s="69" t="s">
        <v>70</v>
      </c>
      <c r="M65" s="69" t="s">
        <v>70</v>
      </c>
      <c r="N65" s="69" t="s">
        <v>70</v>
      </c>
      <c r="O65" s="69" t="s">
        <v>70</v>
      </c>
      <c r="P65" s="69" t="s">
        <v>70</v>
      </c>
      <c r="Q65" s="69" t="s">
        <v>70</v>
      </c>
      <c r="R65" s="69" t="s">
        <v>70</v>
      </c>
      <c r="S65" s="69" t="s">
        <v>70</v>
      </c>
      <c r="T65" s="69" t="s">
        <v>70</v>
      </c>
      <c r="U65" s="69" t="s">
        <v>70</v>
      </c>
      <c r="V65" s="69" t="s">
        <v>70</v>
      </c>
      <c r="W65" s="69" t="s">
        <v>70</v>
      </c>
      <c r="X65" s="69" t="s">
        <v>70</v>
      </c>
      <c r="Y65" s="69" t="s">
        <v>70</v>
      </c>
      <c r="Z65" s="69" t="s">
        <v>70</v>
      </c>
      <c r="AA65" s="69" t="s">
        <v>70</v>
      </c>
      <c r="AB65" s="69" t="s">
        <v>70</v>
      </c>
      <c r="AC65" s="69" t="s">
        <v>70</v>
      </c>
      <c r="AD65" s="69" t="s">
        <v>70</v>
      </c>
      <c r="AE65" s="69" t="s">
        <v>70</v>
      </c>
      <c r="AF65" s="69" t="s">
        <v>70</v>
      </c>
      <c r="AG65" s="69" t="s">
        <v>70</v>
      </c>
      <c r="AH65" s="69" t="s">
        <v>70</v>
      </c>
      <c r="AI65" s="69" t="s">
        <v>70</v>
      </c>
      <c r="AJ65" s="25"/>
      <c r="AL65" t="str">
        <f t="shared" ca="1" si="0"/>
        <v xml:space="preserve">    (U1)ALERT_REQ_S_LCA_TT_L_</v>
      </c>
      <c r="AR65" s="70" t="str">
        <f t="shared" si="3"/>
        <v/>
      </c>
      <c r="AS65" s="70" t="str">
        <f t="shared" si="4"/>
        <v/>
      </c>
      <c r="AT65" s="70" t="str">
        <f t="shared" si="1"/>
        <v/>
      </c>
    </row>
    <row r="66" spans="1:46">
      <c r="B66" s="139"/>
      <c r="C66" s="55">
        <f t="shared" si="2"/>
        <v>60</v>
      </c>
      <c r="D66" s="69" t="s">
        <v>70</v>
      </c>
      <c r="E66" s="69" t="s">
        <v>70</v>
      </c>
      <c r="F66" s="69" t="s">
        <v>70</v>
      </c>
      <c r="G66" s="69" t="s">
        <v>70</v>
      </c>
      <c r="H66" s="69" t="s">
        <v>70</v>
      </c>
      <c r="I66" s="69" t="s">
        <v>70</v>
      </c>
      <c r="J66" s="69" t="s">
        <v>70</v>
      </c>
      <c r="K66" s="69" t="s">
        <v>70</v>
      </c>
      <c r="L66" s="69" t="s">
        <v>70</v>
      </c>
      <c r="M66" s="69" t="s">
        <v>70</v>
      </c>
      <c r="N66" s="69" t="s">
        <v>70</v>
      </c>
      <c r="O66" s="69" t="s">
        <v>70</v>
      </c>
      <c r="P66" s="69" t="s">
        <v>70</v>
      </c>
      <c r="Q66" s="69" t="s">
        <v>70</v>
      </c>
      <c r="R66" s="69" t="s">
        <v>70</v>
      </c>
      <c r="S66" s="69" t="s">
        <v>70</v>
      </c>
      <c r="T66" s="69" t="s">
        <v>70</v>
      </c>
      <c r="U66" s="69" t="s">
        <v>70</v>
      </c>
      <c r="V66" s="69" t="s">
        <v>70</v>
      </c>
      <c r="W66" s="69" t="s">
        <v>70</v>
      </c>
      <c r="X66" s="69" t="s">
        <v>70</v>
      </c>
      <c r="Y66" s="69" t="s">
        <v>70</v>
      </c>
      <c r="Z66" s="69" t="s">
        <v>70</v>
      </c>
      <c r="AA66" s="69" t="s">
        <v>70</v>
      </c>
      <c r="AB66" s="69" t="s">
        <v>70</v>
      </c>
      <c r="AC66" s="69" t="s">
        <v>70</v>
      </c>
      <c r="AD66" s="69" t="s">
        <v>70</v>
      </c>
      <c r="AE66" s="69" t="s">
        <v>70</v>
      </c>
      <c r="AF66" s="69" t="s">
        <v>70</v>
      </c>
      <c r="AG66" s="69" t="s">
        <v>70</v>
      </c>
      <c r="AH66" s="69" t="s">
        <v>70</v>
      </c>
      <c r="AI66" s="69" t="s">
        <v>70</v>
      </c>
      <c r="AJ66" s="25"/>
      <c r="AL66" t="str">
        <f t="shared" ca="1" si="0"/>
        <v xml:space="preserve">    (U1)ALERT_REQ_S_LCA_TT_L_</v>
      </c>
      <c r="AR66" s="70" t="str">
        <f t="shared" si="3"/>
        <v/>
      </c>
      <c r="AS66" s="70" t="str">
        <f t="shared" si="4"/>
        <v/>
      </c>
      <c r="AT66" s="70" t="str">
        <f t="shared" si="1"/>
        <v/>
      </c>
    </row>
    <row r="67" spans="1:46">
      <c r="B67" s="139"/>
      <c r="C67" s="55">
        <f t="shared" si="2"/>
        <v>61</v>
      </c>
      <c r="D67" s="69" t="s">
        <v>70</v>
      </c>
      <c r="E67" s="69" t="s">
        <v>70</v>
      </c>
      <c r="F67" s="69" t="s">
        <v>70</v>
      </c>
      <c r="G67" s="69" t="s">
        <v>70</v>
      </c>
      <c r="H67" s="69" t="s">
        <v>70</v>
      </c>
      <c r="I67" s="69" t="s">
        <v>70</v>
      </c>
      <c r="J67" s="69" t="s">
        <v>70</v>
      </c>
      <c r="K67" s="69" t="s">
        <v>70</v>
      </c>
      <c r="L67" s="69" t="s">
        <v>70</v>
      </c>
      <c r="M67" s="69" t="s">
        <v>70</v>
      </c>
      <c r="N67" s="69" t="s">
        <v>70</v>
      </c>
      <c r="O67" s="69" t="s">
        <v>70</v>
      </c>
      <c r="P67" s="69" t="s">
        <v>70</v>
      </c>
      <c r="Q67" s="69" t="s">
        <v>70</v>
      </c>
      <c r="R67" s="69" t="s">
        <v>70</v>
      </c>
      <c r="S67" s="69" t="s">
        <v>70</v>
      </c>
      <c r="T67" s="69" t="s">
        <v>70</v>
      </c>
      <c r="U67" s="69" t="s">
        <v>70</v>
      </c>
      <c r="V67" s="69" t="s">
        <v>70</v>
      </c>
      <c r="W67" s="69" t="s">
        <v>70</v>
      </c>
      <c r="X67" s="69" t="s">
        <v>70</v>
      </c>
      <c r="Y67" s="69" t="s">
        <v>70</v>
      </c>
      <c r="Z67" s="69" t="s">
        <v>70</v>
      </c>
      <c r="AA67" s="69" t="s">
        <v>70</v>
      </c>
      <c r="AB67" s="69" t="s">
        <v>70</v>
      </c>
      <c r="AC67" s="69" t="s">
        <v>70</v>
      </c>
      <c r="AD67" s="69" t="s">
        <v>70</v>
      </c>
      <c r="AE67" s="69" t="s">
        <v>70</v>
      </c>
      <c r="AF67" s="69" t="s">
        <v>70</v>
      </c>
      <c r="AG67" s="69" t="s">
        <v>70</v>
      </c>
      <c r="AH67" s="69" t="s">
        <v>70</v>
      </c>
      <c r="AI67" s="69" t="s">
        <v>70</v>
      </c>
      <c r="AJ67" s="25"/>
      <c r="AL67" t="str">
        <f t="shared" ca="1" si="0"/>
        <v xml:space="preserve">    (U1)ALERT_REQ_S_LCA_TT_L_</v>
      </c>
      <c r="AR67" s="70" t="str">
        <f t="shared" si="3"/>
        <v/>
      </c>
      <c r="AS67" s="70" t="str">
        <f t="shared" si="4"/>
        <v/>
      </c>
      <c r="AT67" s="70" t="str">
        <f t="shared" si="1"/>
        <v/>
      </c>
    </row>
    <row r="68" spans="1:46">
      <c r="B68" s="139"/>
      <c r="C68" s="55">
        <f t="shared" si="2"/>
        <v>62</v>
      </c>
      <c r="D68" s="69" t="s">
        <v>70</v>
      </c>
      <c r="E68" s="69" t="s">
        <v>70</v>
      </c>
      <c r="F68" s="69" t="s">
        <v>70</v>
      </c>
      <c r="G68" s="69" t="s">
        <v>70</v>
      </c>
      <c r="H68" s="69" t="s">
        <v>70</v>
      </c>
      <c r="I68" s="69" t="s">
        <v>70</v>
      </c>
      <c r="J68" s="69" t="s">
        <v>70</v>
      </c>
      <c r="K68" s="69" t="s">
        <v>70</v>
      </c>
      <c r="L68" s="69" t="s">
        <v>70</v>
      </c>
      <c r="M68" s="69" t="s">
        <v>70</v>
      </c>
      <c r="N68" s="69" t="s">
        <v>70</v>
      </c>
      <c r="O68" s="69" t="s">
        <v>70</v>
      </c>
      <c r="P68" s="69" t="s">
        <v>70</v>
      </c>
      <c r="Q68" s="69" t="s">
        <v>70</v>
      </c>
      <c r="R68" s="69" t="s">
        <v>70</v>
      </c>
      <c r="S68" s="69" t="s">
        <v>70</v>
      </c>
      <c r="T68" s="69" t="s">
        <v>70</v>
      </c>
      <c r="U68" s="69" t="s">
        <v>70</v>
      </c>
      <c r="V68" s="69" t="s">
        <v>70</v>
      </c>
      <c r="W68" s="69" t="s">
        <v>70</v>
      </c>
      <c r="X68" s="69" t="s">
        <v>70</v>
      </c>
      <c r="Y68" s="69" t="s">
        <v>70</v>
      </c>
      <c r="Z68" s="69" t="s">
        <v>70</v>
      </c>
      <c r="AA68" s="69" t="s">
        <v>70</v>
      </c>
      <c r="AB68" s="69" t="s">
        <v>70</v>
      </c>
      <c r="AC68" s="69" t="s">
        <v>70</v>
      </c>
      <c r="AD68" s="69" t="s">
        <v>70</v>
      </c>
      <c r="AE68" s="69" t="s">
        <v>70</v>
      </c>
      <c r="AF68" s="69" t="s">
        <v>70</v>
      </c>
      <c r="AG68" s="69" t="s">
        <v>70</v>
      </c>
      <c r="AH68" s="69" t="s">
        <v>70</v>
      </c>
      <c r="AI68" s="69" t="s">
        <v>70</v>
      </c>
      <c r="AJ68" s="25"/>
      <c r="AL68" t="str">
        <f t="shared" ca="1" si="0"/>
        <v xml:space="preserve">    (U1)ALERT_REQ_S_LCA_TT_L_</v>
      </c>
      <c r="AR68" s="70" t="str">
        <f t="shared" si="3"/>
        <v/>
      </c>
      <c r="AS68" s="70" t="str">
        <f t="shared" si="4"/>
        <v/>
      </c>
      <c r="AT68" s="70" t="str">
        <f t="shared" si="1"/>
        <v/>
      </c>
    </row>
    <row r="69" spans="1:46">
      <c r="B69" s="140"/>
      <c r="C69" s="55">
        <f t="shared" si="2"/>
        <v>63</v>
      </c>
      <c r="D69" s="69" t="s">
        <v>70</v>
      </c>
      <c r="E69" s="69" t="s">
        <v>70</v>
      </c>
      <c r="F69" s="69" t="s">
        <v>70</v>
      </c>
      <c r="G69" s="69" t="s">
        <v>70</v>
      </c>
      <c r="H69" s="69" t="s">
        <v>70</v>
      </c>
      <c r="I69" s="69" t="s">
        <v>70</v>
      </c>
      <c r="J69" s="69" t="s">
        <v>70</v>
      </c>
      <c r="K69" s="69" t="s">
        <v>70</v>
      </c>
      <c r="L69" s="69" t="s">
        <v>70</v>
      </c>
      <c r="M69" s="69" t="s">
        <v>70</v>
      </c>
      <c r="N69" s="69" t="s">
        <v>70</v>
      </c>
      <c r="O69" s="69" t="s">
        <v>70</v>
      </c>
      <c r="P69" s="69" t="s">
        <v>70</v>
      </c>
      <c r="Q69" s="69" t="s">
        <v>70</v>
      </c>
      <c r="R69" s="69" t="s">
        <v>70</v>
      </c>
      <c r="S69" s="69" t="s">
        <v>70</v>
      </c>
      <c r="T69" s="69" t="s">
        <v>70</v>
      </c>
      <c r="U69" s="69" t="s">
        <v>70</v>
      </c>
      <c r="V69" s="69" t="s">
        <v>70</v>
      </c>
      <c r="W69" s="69" t="s">
        <v>70</v>
      </c>
      <c r="X69" s="69" t="s">
        <v>70</v>
      </c>
      <c r="Y69" s="69" t="s">
        <v>70</v>
      </c>
      <c r="Z69" s="69" t="s">
        <v>70</v>
      </c>
      <c r="AA69" s="69" t="s">
        <v>70</v>
      </c>
      <c r="AB69" s="69" t="s">
        <v>70</v>
      </c>
      <c r="AC69" s="69" t="s">
        <v>70</v>
      </c>
      <c r="AD69" s="69" t="s">
        <v>70</v>
      </c>
      <c r="AE69" s="69" t="s">
        <v>70</v>
      </c>
      <c r="AF69" s="69" t="s">
        <v>70</v>
      </c>
      <c r="AG69" s="69" t="s">
        <v>70</v>
      </c>
      <c r="AH69" s="69" t="s">
        <v>70</v>
      </c>
      <c r="AI69" s="69" t="s">
        <v>70</v>
      </c>
      <c r="AJ69" s="25"/>
      <c r="AL69" t="str">
        <f t="shared" ca="1" si="0"/>
        <v xml:space="preserve">    (U1)ALERT_REQ_S_LCA_TT_L_</v>
      </c>
      <c r="AR69" s="70" t="str">
        <f t="shared" si="3"/>
        <v/>
      </c>
      <c r="AS69" s="70" t="str">
        <f t="shared" si="4"/>
        <v/>
      </c>
      <c r="AT69" s="70" t="str">
        <f t="shared" si="1"/>
        <v/>
      </c>
    </row>
    <row r="70" spans="1:46" ht="14.25" thickBot="1">
      <c r="A70" s="64" t="s">
        <v>67</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1" t="str">
        <f t="shared" si="3"/>
        <v/>
      </c>
      <c r="AS70" s="71" t="str">
        <f t="shared" si="4"/>
        <v/>
      </c>
      <c r="AT70" s="71" t="str">
        <f t="shared" ref="AT70" si="5">IF(AJ70&lt;&gt;"",AL70&amp;IF(AJ71&lt;&gt;"",","," ")&amp;REPT(" ",78-LEN(AL70))&amp;"/* "&amp;IF(C70&lt;10,"0"&amp;C70,C70)&amp;" "&amp;AJ70&amp;REPT(" ",48-LEN(AJ70))&amp;"*/",IF(AJ69&lt;&gt;"","};",""))</f>
        <v/>
      </c>
    </row>
    <row r="71" spans="1:46">
      <c r="B71" s="141" t="str">
        <f ca="1">IF(B6&lt;&gt;"",B6,"")</f>
        <v>Table TT_L</v>
      </c>
      <c r="C71" s="55">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55" t="str">
        <f t="shared" ref="AJ71:AJ134" si="7">IF(AJ6&lt;&gt;"",AJ6,"")</f>
        <v>UNKNOWN</v>
      </c>
      <c r="AK71" s="68"/>
      <c r="AL71" s="68"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55">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55" t="str">
        <f t="shared" si="7"/>
        <v>ON_G</v>
      </c>
      <c r="AK72" s="68"/>
      <c r="AL72" s="68"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ON_G                                            */</v>
      </c>
    </row>
    <row r="73" spans="1:46">
      <c r="B73" s="139"/>
      <c r="C73" s="55">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55" t="str">
        <f t="shared" si="7"/>
        <v>ON_GY</v>
      </c>
      <c r="AK73" s="68"/>
      <c r="AL73" s="68" t="str">
        <f t="shared" si="10"/>
        <v>02</v>
      </c>
      <c r="AM73" s="68" t="str">
        <f t="shared" si="11"/>
        <v>00</v>
      </c>
      <c r="AN73" s="68" t="str">
        <f t="shared" si="12"/>
        <v>00</v>
      </c>
      <c r="AO73" s="68" t="str">
        <f t="shared" si="13"/>
        <v>00</v>
      </c>
      <c r="AQ73" t="str">
        <f t="shared" si="8"/>
        <v xml:space="preserve">    (U4)0x00000002U,                                                           /* 02 ON_GY                                           */</v>
      </c>
    </row>
    <row r="74" spans="1:46">
      <c r="B74" s="139"/>
      <c r="C74" s="55">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55" t="str">
        <f t="shared" si="7"/>
        <v>UNKNOWN</v>
      </c>
      <c r="AK74" s="68"/>
      <c r="AL74" s="68" t="str">
        <f t="shared" si="10"/>
        <v>03</v>
      </c>
      <c r="AM74" s="68" t="str">
        <f t="shared" si="11"/>
        <v>00</v>
      </c>
      <c r="AN74" s="68" t="str">
        <f t="shared" si="12"/>
        <v>00</v>
      </c>
      <c r="AO74" s="68" t="str">
        <f t="shared" si="13"/>
        <v>00</v>
      </c>
      <c r="AQ74" t="str">
        <f t="shared" si="8"/>
        <v xml:space="preserve">    (U4)0x00000003U,                                                           /* 03 UNKNOWN                                         */</v>
      </c>
    </row>
    <row r="75" spans="1:46">
      <c r="B75" s="139"/>
      <c r="C75" s="55">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1</v>
      </c>
      <c r="AH75" s="133">
        <f t="shared" si="6"/>
        <v>0</v>
      </c>
      <c r="AI75" s="133">
        <f t="shared" si="6"/>
        <v>0</v>
      </c>
      <c r="AJ75" s="55" t="str">
        <f t="shared" si="7"/>
        <v>UNKNOWN</v>
      </c>
      <c r="AK75" s="68"/>
      <c r="AL75" s="68" t="str">
        <f t="shared" si="10"/>
        <v>04</v>
      </c>
      <c r="AM75" s="68" t="str">
        <f t="shared" si="11"/>
        <v>00</v>
      </c>
      <c r="AN75" s="68" t="str">
        <f t="shared" si="12"/>
        <v>00</v>
      </c>
      <c r="AO75" s="68" t="str">
        <f t="shared" si="13"/>
        <v>00</v>
      </c>
      <c r="AQ75" t="str">
        <f t="shared" si="8"/>
        <v xml:space="preserve">    (U4)0x00000004U,                                                           /* 04 UNKNOWN                                         */</v>
      </c>
    </row>
    <row r="76" spans="1:46">
      <c r="B76" s="139"/>
      <c r="C76" s="55">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1</v>
      </c>
      <c r="AH76" s="133">
        <f t="shared" si="6"/>
        <v>0</v>
      </c>
      <c r="AI76" s="133">
        <f t="shared" si="6"/>
        <v>1</v>
      </c>
      <c r="AJ76" s="55" t="str">
        <f t="shared" si="7"/>
        <v>ON_G</v>
      </c>
      <c r="AK76" s="68"/>
      <c r="AL76" s="68" t="str">
        <f t="shared" si="10"/>
        <v>05</v>
      </c>
      <c r="AM76" s="68" t="str">
        <f t="shared" si="11"/>
        <v>00</v>
      </c>
      <c r="AN76" s="68" t="str">
        <f t="shared" si="12"/>
        <v>00</v>
      </c>
      <c r="AO76" s="68" t="str">
        <f t="shared" si="13"/>
        <v>00</v>
      </c>
      <c r="AQ76" t="str">
        <f t="shared" si="8"/>
        <v xml:space="preserve">    (U4)0x00000005U,                                                           /* 05 ON_G                                            */</v>
      </c>
    </row>
    <row r="77" spans="1:46">
      <c r="B77" s="139"/>
      <c r="C77" s="55">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1</v>
      </c>
      <c r="AH77" s="133">
        <f t="shared" si="6"/>
        <v>1</v>
      </c>
      <c r="AI77" s="133">
        <f t="shared" si="6"/>
        <v>0</v>
      </c>
      <c r="AJ77" s="55" t="str">
        <f t="shared" si="7"/>
        <v>UNKNOWN</v>
      </c>
      <c r="AK77" s="68"/>
      <c r="AL77" s="68" t="str">
        <f t="shared" si="10"/>
        <v>06</v>
      </c>
      <c r="AM77" s="68" t="str">
        <f t="shared" si="11"/>
        <v>00</v>
      </c>
      <c r="AN77" s="68" t="str">
        <f t="shared" si="12"/>
        <v>00</v>
      </c>
      <c r="AO77" s="68" t="str">
        <f t="shared" si="13"/>
        <v>00</v>
      </c>
      <c r="AQ77" t="str">
        <f t="shared" si="8"/>
        <v xml:space="preserve">    (U4)0x00000006U,                                                           /* 06 UNKNOWN                                         */</v>
      </c>
    </row>
    <row r="78" spans="1:46">
      <c r="B78" s="139"/>
      <c r="C78" s="55">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1</v>
      </c>
      <c r="AH78" s="133">
        <f t="shared" si="6"/>
        <v>1</v>
      </c>
      <c r="AI78" s="133">
        <f t="shared" ref="AI78" si="14">IF(AI13=1,1,0)</f>
        <v>1</v>
      </c>
      <c r="AJ78" s="55" t="str">
        <f t="shared" si="7"/>
        <v>ON_W</v>
      </c>
      <c r="AK78" s="68"/>
      <c r="AL78" s="68" t="str">
        <f t="shared" si="10"/>
        <v>07</v>
      </c>
      <c r="AM78" s="68" t="str">
        <f t="shared" si="11"/>
        <v>00</v>
      </c>
      <c r="AN78" s="68" t="str">
        <f t="shared" si="12"/>
        <v>00</v>
      </c>
      <c r="AO78" s="68" t="str">
        <f t="shared" si="13"/>
        <v>00</v>
      </c>
      <c r="AQ78" t="str">
        <f t="shared" si="8"/>
        <v xml:space="preserve">    (U4)0x00000007U,                                                           /* 07 ON_W                                            */</v>
      </c>
    </row>
    <row r="79" spans="1:46">
      <c r="B79" s="139"/>
      <c r="C79" s="55">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1</v>
      </c>
      <c r="AG79" s="133">
        <f t="shared" si="15"/>
        <v>0</v>
      </c>
      <c r="AH79" s="133">
        <f t="shared" si="15"/>
        <v>0</v>
      </c>
      <c r="AI79" s="133">
        <f t="shared" si="15"/>
        <v>0</v>
      </c>
      <c r="AJ79" s="55" t="str">
        <f t="shared" si="7"/>
        <v>UNKNOWN</v>
      </c>
      <c r="AK79" s="68"/>
      <c r="AL79" s="68" t="str">
        <f t="shared" si="10"/>
        <v>08</v>
      </c>
      <c r="AM79" s="68" t="str">
        <f t="shared" si="11"/>
        <v>00</v>
      </c>
      <c r="AN79" s="68" t="str">
        <f t="shared" si="12"/>
        <v>00</v>
      </c>
      <c r="AO79" s="68" t="str">
        <f t="shared" si="13"/>
        <v>00</v>
      </c>
      <c r="AQ79" t="str">
        <f t="shared" si="8"/>
        <v xml:space="preserve">    (U4)0x00000008U,                                                           /* 08 UNKNOWN                                         */</v>
      </c>
    </row>
    <row r="80" spans="1:46">
      <c r="B80" s="139"/>
      <c r="C80" s="55">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1</v>
      </c>
      <c r="AG80" s="133">
        <f t="shared" si="15"/>
        <v>0</v>
      </c>
      <c r="AH80" s="133">
        <f t="shared" si="15"/>
        <v>0</v>
      </c>
      <c r="AI80" s="133">
        <f t="shared" si="15"/>
        <v>1</v>
      </c>
      <c r="AJ80" s="55" t="str">
        <f t="shared" si="7"/>
        <v>UNKNOWN</v>
      </c>
      <c r="AK80" s="68"/>
      <c r="AL80" s="68" t="str">
        <f t="shared" si="10"/>
        <v>09</v>
      </c>
      <c r="AM80" s="68" t="str">
        <f t="shared" si="11"/>
        <v>00</v>
      </c>
      <c r="AN80" s="68" t="str">
        <f t="shared" si="12"/>
        <v>00</v>
      </c>
      <c r="AO80" s="68" t="str">
        <f t="shared" si="13"/>
        <v>00</v>
      </c>
      <c r="AQ80" t="str">
        <f t="shared" si="8"/>
        <v xml:space="preserve">    (U4)0x00000009U,                                                           /* 09 UNKNOWN                                         */</v>
      </c>
    </row>
    <row r="81" spans="2:43">
      <c r="B81" s="139"/>
      <c r="C81" s="55">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1</v>
      </c>
      <c r="AG81" s="133">
        <f t="shared" si="15"/>
        <v>0</v>
      </c>
      <c r="AH81" s="133">
        <f t="shared" si="15"/>
        <v>1</v>
      </c>
      <c r="AI81" s="133">
        <f t="shared" si="15"/>
        <v>0</v>
      </c>
      <c r="AJ81" s="55" t="str">
        <f t="shared" si="7"/>
        <v>UNKNOWN</v>
      </c>
      <c r="AK81" s="68"/>
      <c r="AL81" s="68" t="str">
        <f t="shared" si="10"/>
        <v>0A</v>
      </c>
      <c r="AM81" s="68" t="str">
        <f t="shared" si="11"/>
        <v>00</v>
      </c>
      <c r="AN81" s="68" t="str">
        <f t="shared" si="12"/>
        <v>00</v>
      </c>
      <c r="AO81" s="68" t="str">
        <f t="shared" si="13"/>
        <v>00</v>
      </c>
      <c r="AQ81" t="str">
        <f t="shared" si="8"/>
        <v xml:space="preserve">    (U4)0x0000000AU,                                                           /* 10 UNKNOWN                                         */</v>
      </c>
    </row>
    <row r="82" spans="2:43">
      <c r="B82" s="139"/>
      <c r="C82" s="55">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1</v>
      </c>
      <c r="AG82" s="133">
        <f t="shared" si="15"/>
        <v>0</v>
      </c>
      <c r="AH82" s="133">
        <f t="shared" si="15"/>
        <v>1</v>
      </c>
      <c r="AI82" s="133">
        <f t="shared" si="15"/>
        <v>1</v>
      </c>
      <c r="AJ82" s="55" t="str">
        <f t="shared" si="7"/>
        <v>UNKNOWN</v>
      </c>
      <c r="AK82" s="68"/>
      <c r="AL82" s="68" t="str">
        <f t="shared" si="10"/>
        <v>0B</v>
      </c>
      <c r="AM82" s="68" t="str">
        <f t="shared" si="11"/>
        <v>00</v>
      </c>
      <c r="AN82" s="68" t="str">
        <f t="shared" si="12"/>
        <v>00</v>
      </c>
      <c r="AO82" s="68" t="str">
        <f t="shared" si="13"/>
        <v>00</v>
      </c>
      <c r="AQ82" t="str">
        <f t="shared" si="8"/>
        <v xml:space="preserve">    (U4)0x0000000BU,                                                           /* 11 UNKNOWN                                         */</v>
      </c>
    </row>
    <row r="83" spans="2:43">
      <c r="B83" s="139"/>
      <c r="C83" s="55">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1</v>
      </c>
      <c r="AG83" s="133">
        <f t="shared" si="15"/>
        <v>1</v>
      </c>
      <c r="AH83" s="133">
        <f t="shared" si="15"/>
        <v>0</v>
      </c>
      <c r="AI83" s="133">
        <f t="shared" si="15"/>
        <v>0</v>
      </c>
      <c r="AJ83" s="55" t="str">
        <f t="shared" si="7"/>
        <v>UNKNOWN</v>
      </c>
      <c r="AK83" s="68"/>
      <c r="AL83" s="68" t="str">
        <f t="shared" si="10"/>
        <v>0C</v>
      </c>
      <c r="AM83" s="68" t="str">
        <f t="shared" si="11"/>
        <v>00</v>
      </c>
      <c r="AN83" s="68" t="str">
        <f t="shared" si="12"/>
        <v>00</v>
      </c>
      <c r="AO83" s="68" t="str">
        <f t="shared" si="13"/>
        <v>00</v>
      </c>
      <c r="AQ83" t="str">
        <f t="shared" si="8"/>
        <v xml:space="preserve">    (U4)0x0000000CU,                                                           /* 12 UNKNOWN                                         */</v>
      </c>
    </row>
    <row r="84" spans="2:43">
      <c r="B84" s="139"/>
      <c r="C84" s="55">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1</v>
      </c>
      <c r="AG84" s="133">
        <f t="shared" si="15"/>
        <v>1</v>
      </c>
      <c r="AH84" s="133">
        <f t="shared" si="15"/>
        <v>0</v>
      </c>
      <c r="AI84" s="133">
        <f t="shared" si="15"/>
        <v>1</v>
      </c>
      <c r="AJ84" s="55" t="str">
        <f t="shared" si="7"/>
        <v>UNKNOWN</v>
      </c>
      <c r="AK84" s="68"/>
      <c r="AL84" s="68" t="str">
        <f t="shared" si="10"/>
        <v>0D</v>
      </c>
      <c r="AM84" s="68" t="str">
        <f t="shared" si="11"/>
        <v>00</v>
      </c>
      <c r="AN84" s="68" t="str">
        <f t="shared" si="12"/>
        <v>00</v>
      </c>
      <c r="AO84" s="68" t="str">
        <f t="shared" si="13"/>
        <v>00</v>
      </c>
      <c r="AQ84" t="str">
        <f t="shared" si="8"/>
        <v xml:space="preserve">    (U4)0x0000000DU,                                                           /* 13 UNKNOWN                                         */</v>
      </c>
    </row>
    <row r="85" spans="2:43">
      <c r="B85" s="139"/>
      <c r="C85" s="55">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1</v>
      </c>
      <c r="AG85" s="133">
        <f t="shared" si="15"/>
        <v>1</v>
      </c>
      <c r="AH85" s="133">
        <f t="shared" si="15"/>
        <v>1</v>
      </c>
      <c r="AI85" s="133">
        <f t="shared" si="15"/>
        <v>0</v>
      </c>
      <c r="AJ85" s="55" t="str">
        <f t="shared" si="7"/>
        <v>UNKNOWN</v>
      </c>
      <c r="AK85" s="68"/>
      <c r="AL85" s="68" t="str">
        <f t="shared" si="10"/>
        <v>0E</v>
      </c>
      <c r="AM85" s="68" t="str">
        <f t="shared" si="11"/>
        <v>00</v>
      </c>
      <c r="AN85" s="68" t="str">
        <f t="shared" si="12"/>
        <v>00</v>
      </c>
      <c r="AO85" s="68" t="str">
        <f t="shared" si="13"/>
        <v>00</v>
      </c>
      <c r="AQ85" t="str">
        <f t="shared" si="8"/>
        <v xml:space="preserve">    (U4)0x0000000EU,                                                           /* 14 UNKNOWN                                         */</v>
      </c>
    </row>
    <row r="86" spans="2:43">
      <c r="B86" s="139"/>
      <c r="C86" s="55">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1</v>
      </c>
      <c r="AG86" s="133">
        <f t="shared" si="15"/>
        <v>1</v>
      </c>
      <c r="AH86" s="133">
        <f t="shared" si="15"/>
        <v>1</v>
      </c>
      <c r="AI86" s="133">
        <f t="shared" ref="AI86" si="16">IF(AI21=1,1,0)</f>
        <v>1</v>
      </c>
      <c r="AJ86" s="55" t="str">
        <f t="shared" si="7"/>
        <v>UNKNOWN</v>
      </c>
      <c r="AK86" s="68"/>
      <c r="AL86" s="68" t="str">
        <f t="shared" si="10"/>
        <v>0F</v>
      </c>
      <c r="AM86" s="68" t="str">
        <f t="shared" si="11"/>
        <v>00</v>
      </c>
      <c r="AN86" s="68" t="str">
        <f t="shared" si="12"/>
        <v>00</v>
      </c>
      <c r="AO86" s="68" t="str">
        <f t="shared" si="13"/>
        <v>00</v>
      </c>
      <c r="AQ86" t="str">
        <f t="shared" si="8"/>
        <v xml:space="preserve">    (U4)0x0000000FU,                                                           /* 15 UNKNOWN                                         */</v>
      </c>
    </row>
    <row r="87" spans="2:43">
      <c r="B87" s="139"/>
      <c r="C87" s="55">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1</v>
      </c>
      <c r="AF87" s="133">
        <f t="shared" si="17"/>
        <v>0</v>
      </c>
      <c r="AG87" s="133">
        <f t="shared" si="17"/>
        <v>0</v>
      </c>
      <c r="AH87" s="133">
        <f t="shared" si="17"/>
        <v>0</v>
      </c>
      <c r="AI87" s="133">
        <f t="shared" si="17"/>
        <v>0</v>
      </c>
      <c r="AJ87" s="55" t="str">
        <f t="shared" si="7"/>
        <v>UNKNOWN</v>
      </c>
      <c r="AK87" s="68"/>
      <c r="AL87" s="68" t="str">
        <f t="shared" si="10"/>
        <v>10</v>
      </c>
      <c r="AM87" s="68" t="str">
        <f t="shared" si="11"/>
        <v>00</v>
      </c>
      <c r="AN87" s="68" t="str">
        <f t="shared" si="12"/>
        <v>00</v>
      </c>
      <c r="AO87" s="68" t="str">
        <f t="shared" si="13"/>
        <v>00</v>
      </c>
      <c r="AQ87" t="str">
        <f t="shared" si="8"/>
        <v xml:space="preserve">    (U4)0x00000010U,                                                           /* 16 UNKNOWN                                         */</v>
      </c>
    </row>
    <row r="88" spans="2:43">
      <c r="B88" s="139"/>
      <c r="C88" s="55">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1</v>
      </c>
      <c r="AF88" s="133">
        <f t="shared" si="17"/>
        <v>0</v>
      </c>
      <c r="AG88" s="133">
        <f t="shared" si="17"/>
        <v>0</v>
      </c>
      <c r="AH88" s="133">
        <f t="shared" si="17"/>
        <v>0</v>
      </c>
      <c r="AI88" s="133">
        <f t="shared" si="17"/>
        <v>1</v>
      </c>
      <c r="AJ88" s="55" t="str">
        <f t="shared" si="7"/>
        <v>UNKNOWN</v>
      </c>
      <c r="AK88" s="68"/>
      <c r="AL88" s="68" t="str">
        <f t="shared" si="10"/>
        <v>11</v>
      </c>
      <c r="AM88" s="68" t="str">
        <f t="shared" si="11"/>
        <v>00</v>
      </c>
      <c r="AN88" s="68" t="str">
        <f t="shared" si="12"/>
        <v>00</v>
      </c>
      <c r="AO88" s="68" t="str">
        <f t="shared" si="13"/>
        <v>00</v>
      </c>
      <c r="AQ88" t="str">
        <f t="shared" si="8"/>
        <v xml:space="preserve">    (U4)0x00000011U,                                                           /* 17 UNKNOWN                                         */</v>
      </c>
    </row>
    <row r="89" spans="2:43">
      <c r="B89" s="139"/>
      <c r="C89" s="55">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1</v>
      </c>
      <c r="AF89" s="133">
        <f t="shared" si="17"/>
        <v>0</v>
      </c>
      <c r="AG89" s="133">
        <f t="shared" si="17"/>
        <v>0</v>
      </c>
      <c r="AH89" s="133">
        <f t="shared" si="17"/>
        <v>1</v>
      </c>
      <c r="AI89" s="133">
        <f t="shared" si="17"/>
        <v>0</v>
      </c>
      <c r="AJ89" s="55" t="str">
        <f t="shared" si="7"/>
        <v>UNKNOWN</v>
      </c>
      <c r="AK89" s="68"/>
      <c r="AL89" s="68" t="str">
        <f t="shared" si="10"/>
        <v>12</v>
      </c>
      <c r="AM89" s="68" t="str">
        <f t="shared" si="11"/>
        <v>00</v>
      </c>
      <c r="AN89" s="68" t="str">
        <f t="shared" si="12"/>
        <v>00</v>
      </c>
      <c r="AO89" s="68" t="str">
        <f t="shared" si="13"/>
        <v>00</v>
      </c>
      <c r="AQ89" t="str">
        <f t="shared" si="8"/>
        <v xml:space="preserve">    (U4)0x00000012U,                                                           /* 18 UNKNOWN                                         */</v>
      </c>
    </row>
    <row r="90" spans="2:43">
      <c r="B90" s="139"/>
      <c r="C90" s="55">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1</v>
      </c>
      <c r="AF90" s="133">
        <f t="shared" si="17"/>
        <v>0</v>
      </c>
      <c r="AG90" s="133">
        <f t="shared" si="17"/>
        <v>0</v>
      </c>
      <c r="AH90" s="133">
        <f t="shared" si="17"/>
        <v>1</v>
      </c>
      <c r="AI90" s="133">
        <f t="shared" si="17"/>
        <v>1</v>
      </c>
      <c r="AJ90" s="55" t="str">
        <f t="shared" si="7"/>
        <v>UNKNOWN</v>
      </c>
      <c r="AK90" s="68"/>
      <c r="AL90" s="68" t="str">
        <f t="shared" si="10"/>
        <v>13</v>
      </c>
      <c r="AM90" s="68" t="str">
        <f t="shared" si="11"/>
        <v>00</v>
      </c>
      <c r="AN90" s="68" t="str">
        <f t="shared" si="12"/>
        <v>00</v>
      </c>
      <c r="AO90" s="68" t="str">
        <f t="shared" si="13"/>
        <v>00</v>
      </c>
      <c r="AQ90" t="str">
        <f t="shared" si="8"/>
        <v xml:space="preserve">    (U4)0x00000013U,                                                           /* 19 UNKNOWN                                         */</v>
      </c>
    </row>
    <row r="91" spans="2:43">
      <c r="B91" s="139"/>
      <c r="C91" s="55">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1</v>
      </c>
      <c r="AF91" s="133">
        <f t="shared" si="17"/>
        <v>0</v>
      </c>
      <c r="AG91" s="133">
        <f t="shared" si="17"/>
        <v>1</v>
      </c>
      <c r="AH91" s="133">
        <f t="shared" si="17"/>
        <v>0</v>
      </c>
      <c r="AI91" s="133">
        <f t="shared" si="17"/>
        <v>0</v>
      </c>
      <c r="AJ91" s="55" t="str">
        <f t="shared" si="7"/>
        <v>UNKNOWN</v>
      </c>
      <c r="AK91" s="68"/>
      <c r="AL91" s="68" t="str">
        <f t="shared" si="10"/>
        <v>14</v>
      </c>
      <c r="AM91" s="68" t="str">
        <f t="shared" si="11"/>
        <v>00</v>
      </c>
      <c r="AN91" s="68" t="str">
        <f t="shared" si="12"/>
        <v>00</v>
      </c>
      <c r="AO91" s="68" t="str">
        <f t="shared" si="13"/>
        <v>00</v>
      </c>
      <c r="AQ91" t="str">
        <f t="shared" si="8"/>
        <v xml:space="preserve">    (U4)0x00000014U,                                                           /* 20 UNKNOWN                                         */</v>
      </c>
    </row>
    <row r="92" spans="2:43">
      <c r="B92" s="139"/>
      <c r="C92" s="55">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1</v>
      </c>
      <c r="AF92" s="133">
        <f t="shared" si="17"/>
        <v>0</v>
      </c>
      <c r="AG92" s="133">
        <f t="shared" si="17"/>
        <v>1</v>
      </c>
      <c r="AH92" s="133">
        <f t="shared" si="17"/>
        <v>0</v>
      </c>
      <c r="AI92" s="133">
        <f t="shared" si="17"/>
        <v>1</v>
      </c>
      <c r="AJ92" s="55" t="str">
        <f t="shared" si="7"/>
        <v>UNKNOWN</v>
      </c>
      <c r="AK92" s="68"/>
      <c r="AL92" s="68" t="str">
        <f t="shared" si="10"/>
        <v>15</v>
      </c>
      <c r="AM92" s="68" t="str">
        <f t="shared" si="11"/>
        <v>00</v>
      </c>
      <c r="AN92" s="68" t="str">
        <f t="shared" si="12"/>
        <v>00</v>
      </c>
      <c r="AO92" s="68" t="str">
        <f t="shared" si="13"/>
        <v>00</v>
      </c>
      <c r="AQ92" t="str">
        <f t="shared" si="8"/>
        <v xml:space="preserve">    (U4)0x00000015U,                                                           /* 21 UNKNOWN                                         */</v>
      </c>
    </row>
    <row r="93" spans="2:43">
      <c r="B93" s="139"/>
      <c r="C93" s="55">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1</v>
      </c>
      <c r="AF93" s="133">
        <f t="shared" si="17"/>
        <v>0</v>
      </c>
      <c r="AG93" s="133">
        <f t="shared" si="17"/>
        <v>1</v>
      </c>
      <c r="AH93" s="133">
        <f t="shared" si="17"/>
        <v>1</v>
      </c>
      <c r="AI93" s="133">
        <f t="shared" si="17"/>
        <v>0</v>
      </c>
      <c r="AJ93" s="55" t="str">
        <f t="shared" si="7"/>
        <v>UNKNOWN</v>
      </c>
      <c r="AK93" s="68"/>
      <c r="AL93" s="68" t="str">
        <f t="shared" si="10"/>
        <v>16</v>
      </c>
      <c r="AM93" s="68" t="str">
        <f t="shared" si="11"/>
        <v>00</v>
      </c>
      <c r="AN93" s="68" t="str">
        <f t="shared" si="12"/>
        <v>00</v>
      </c>
      <c r="AO93" s="68" t="str">
        <f t="shared" si="13"/>
        <v>00</v>
      </c>
      <c r="AQ93" t="str">
        <f t="shared" si="8"/>
        <v xml:space="preserve">    (U4)0x00000016U,                                                           /* 22 UNKNOWN                                         */</v>
      </c>
    </row>
    <row r="94" spans="2:43">
      <c r="B94" s="139"/>
      <c r="C94" s="55">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1</v>
      </c>
      <c r="AF94" s="133">
        <f t="shared" si="17"/>
        <v>0</v>
      </c>
      <c r="AG94" s="133">
        <f t="shared" si="17"/>
        <v>1</v>
      </c>
      <c r="AH94" s="133">
        <f t="shared" si="17"/>
        <v>1</v>
      </c>
      <c r="AI94" s="133">
        <f t="shared" ref="AI94" si="18">IF(AI29=1,1,0)</f>
        <v>1</v>
      </c>
      <c r="AJ94" s="55" t="str">
        <f t="shared" si="7"/>
        <v>UNKNOWN</v>
      </c>
      <c r="AK94" s="68"/>
      <c r="AL94" s="68" t="str">
        <f t="shared" si="10"/>
        <v>17</v>
      </c>
      <c r="AM94" s="68" t="str">
        <f t="shared" si="11"/>
        <v>00</v>
      </c>
      <c r="AN94" s="68" t="str">
        <f t="shared" si="12"/>
        <v>00</v>
      </c>
      <c r="AO94" s="68" t="str">
        <f t="shared" si="13"/>
        <v>00</v>
      </c>
      <c r="AQ94" t="str">
        <f t="shared" si="8"/>
        <v xml:space="preserve">    (U4)0x00000017U,                                                           /* 23 UNKNOWN                                         */</v>
      </c>
    </row>
    <row r="95" spans="2:43">
      <c r="B95" s="139"/>
      <c r="C95" s="55">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1</v>
      </c>
      <c r="AF95" s="133">
        <f t="shared" si="19"/>
        <v>1</v>
      </c>
      <c r="AG95" s="133">
        <f t="shared" si="19"/>
        <v>0</v>
      </c>
      <c r="AH95" s="133">
        <f t="shared" si="19"/>
        <v>0</v>
      </c>
      <c r="AI95" s="133">
        <f t="shared" si="19"/>
        <v>0</v>
      </c>
      <c r="AJ95" s="55" t="str">
        <f t="shared" si="7"/>
        <v>UNKNOWN</v>
      </c>
      <c r="AK95" s="68"/>
      <c r="AL95" s="68" t="str">
        <f t="shared" si="10"/>
        <v>18</v>
      </c>
      <c r="AM95" s="68" t="str">
        <f t="shared" si="11"/>
        <v>00</v>
      </c>
      <c r="AN95" s="68" t="str">
        <f t="shared" si="12"/>
        <v>00</v>
      </c>
      <c r="AO95" s="68" t="str">
        <f t="shared" si="13"/>
        <v>00</v>
      </c>
      <c r="AQ95" t="str">
        <f t="shared" si="8"/>
        <v xml:space="preserve">    (U4)0x00000018U,                                                           /* 24 UNKNOWN                                         */</v>
      </c>
    </row>
    <row r="96" spans="2:43">
      <c r="B96" s="139"/>
      <c r="C96" s="55">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1</v>
      </c>
      <c r="AF96" s="133">
        <f t="shared" si="19"/>
        <v>1</v>
      </c>
      <c r="AG96" s="133">
        <f t="shared" si="19"/>
        <v>0</v>
      </c>
      <c r="AH96" s="133">
        <f t="shared" si="19"/>
        <v>0</v>
      </c>
      <c r="AI96" s="133">
        <f t="shared" si="19"/>
        <v>1</v>
      </c>
      <c r="AJ96" s="55" t="str">
        <f t="shared" si="7"/>
        <v>UNKNOWN</v>
      </c>
      <c r="AK96" s="68"/>
      <c r="AL96" s="68" t="str">
        <f t="shared" si="10"/>
        <v>19</v>
      </c>
      <c r="AM96" s="68" t="str">
        <f t="shared" si="11"/>
        <v>00</v>
      </c>
      <c r="AN96" s="68" t="str">
        <f t="shared" si="12"/>
        <v>00</v>
      </c>
      <c r="AO96" s="68" t="str">
        <f t="shared" si="13"/>
        <v>00</v>
      </c>
      <c r="AQ96" t="str">
        <f t="shared" si="8"/>
        <v xml:space="preserve">    (U4)0x00000019U,                                                           /* 25 UNKNOWN                                         */</v>
      </c>
    </row>
    <row r="97" spans="2:43">
      <c r="B97" s="139"/>
      <c r="C97" s="55">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1</v>
      </c>
      <c r="AF97" s="133">
        <f t="shared" si="19"/>
        <v>1</v>
      </c>
      <c r="AG97" s="133">
        <f t="shared" si="19"/>
        <v>0</v>
      </c>
      <c r="AH97" s="133">
        <f t="shared" si="19"/>
        <v>1</v>
      </c>
      <c r="AI97" s="133">
        <f t="shared" si="19"/>
        <v>0</v>
      </c>
      <c r="AJ97" s="55" t="str">
        <f t="shared" si="7"/>
        <v>UNKNOWN</v>
      </c>
      <c r="AK97" s="68"/>
      <c r="AL97" s="68" t="str">
        <f t="shared" si="10"/>
        <v>1A</v>
      </c>
      <c r="AM97" s="68" t="str">
        <f t="shared" si="11"/>
        <v>00</v>
      </c>
      <c r="AN97" s="68" t="str">
        <f t="shared" si="12"/>
        <v>00</v>
      </c>
      <c r="AO97" s="68" t="str">
        <f t="shared" si="13"/>
        <v>00</v>
      </c>
      <c r="AQ97" t="str">
        <f t="shared" si="8"/>
        <v xml:space="preserve">    (U4)0x0000001AU,                                                           /* 26 UNKNOWN                                         */</v>
      </c>
    </row>
    <row r="98" spans="2:43">
      <c r="B98" s="139"/>
      <c r="C98" s="55">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1</v>
      </c>
      <c r="AF98" s="133">
        <f t="shared" si="19"/>
        <v>1</v>
      </c>
      <c r="AG98" s="133">
        <f t="shared" si="19"/>
        <v>0</v>
      </c>
      <c r="AH98" s="133">
        <f t="shared" si="19"/>
        <v>1</v>
      </c>
      <c r="AI98" s="133">
        <f t="shared" si="19"/>
        <v>1</v>
      </c>
      <c r="AJ98" s="55" t="str">
        <f t="shared" si="7"/>
        <v>UNKNOWN</v>
      </c>
      <c r="AK98" s="68"/>
      <c r="AL98" s="68" t="str">
        <f t="shared" si="10"/>
        <v>1B</v>
      </c>
      <c r="AM98" s="68" t="str">
        <f t="shared" si="11"/>
        <v>00</v>
      </c>
      <c r="AN98" s="68" t="str">
        <f t="shared" si="12"/>
        <v>00</v>
      </c>
      <c r="AO98" s="68" t="str">
        <f t="shared" si="13"/>
        <v>00</v>
      </c>
      <c r="AQ98" t="str">
        <f t="shared" si="8"/>
        <v xml:space="preserve">    (U4)0x0000001BU,                                                           /* 27 UNKNOWN                                         */</v>
      </c>
    </row>
    <row r="99" spans="2:43">
      <c r="B99" s="139"/>
      <c r="C99" s="55">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1</v>
      </c>
      <c r="AF99" s="133">
        <f t="shared" si="19"/>
        <v>1</v>
      </c>
      <c r="AG99" s="133">
        <f t="shared" si="19"/>
        <v>1</v>
      </c>
      <c r="AH99" s="133">
        <f t="shared" si="19"/>
        <v>0</v>
      </c>
      <c r="AI99" s="133">
        <f t="shared" si="19"/>
        <v>0</v>
      </c>
      <c r="AJ99" s="55" t="str">
        <f t="shared" si="7"/>
        <v>UNKNOWN</v>
      </c>
      <c r="AK99" s="68"/>
      <c r="AL99" s="68" t="str">
        <f t="shared" si="10"/>
        <v>1C</v>
      </c>
      <c r="AM99" s="68" t="str">
        <f t="shared" si="11"/>
        <v>00</v>
      </c>
      <c r="AN99" s="68" t="str">
        <f t="shared" si="12"/>
        <v>00</v>
      </c>
      <c r="AO99" s="68" t="str">
        <f t="shared" si="13"/>
        <v>00</v>
      </c>
      <c r="AQ99" t="str">
        <f t="shared" si="8"/>
        <v xml:space="preserve">    (U4)0x0000001CU,                                                           /* 28 UNKNOWN                                         */</v>
      </c>
    </row>
    <row r="100" spans="2:43">
      <c r="B100" s="139"/>
      <c r="C100" s="55">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1</v>
      </c>
      <c r="AF100" s="133">
        <f t="shared" si="19"/>
        <v>1</v>
      </c>
      <c r="AG100" s="133">
        <f t="shared" si="19"/>
        <v>1</v>
      </c>
      <c r="AH100" s="133">
        <f t="shared" si="19"/>
        <v>0</v>
      </c>
      <c r="AI100" s="133">
        <f t="shared" si="19"/>
        <v>1</v>
      </c>
      <c r="AJ100" s="55" t="str">
        <f t="shared" si="7"/>
        <v>UNKNOWN</v>
      </c>
      <c r="AK100" s="68"/>
      <c r="AL100" s="68" t="str">
        <f t="shared" si="10"/>
        <v>1D</v>
      </c>
      <c r="AM100" s="68" t="str">
        <f t="shared" si="11"/>
        <v>00</v>
      </c>
      <c r="AN100" s="68" t="str">
        <f t="shared" si="12"/>
        <v>00</v>
      </c>
      <c r="AO100" s="68" t="str">
        <f t="shared" si="13"/>
        <v>00</v>
      </c>
      <c r="AQ100" t="str">
        <f t="shared" si="8"/>
        <v xml:space="preserve">    (U4)0x0000001DU,                                                           /* 29 UNKNOWN                                         */</v>
      </c>
    </row>
    <row r="101" spans="2:43">
      <c r="B101" s="139"/>
      <c r="C101" s="55">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1</v>
      </c>
      <c r="AF101" s="133">
        <f t="shared" si="19"/>
        <v>1</v>
      </c>
      <c r="AG101" s="133">
        <f t="shared" si="19"/>
        <v>1</v>
      </c>
      <c r="AH101" s="133">
        <f t="shared" si="19"/>
        <v>1</v>
      </c>
      <c r="AI101" s="133">
        <f t="shared" si="19"/>
        <v>0</v>
      </c>
      <c r="AJ101" s="55" t="str">
        <f t="shared" si="7"/>
        <v>UNKNOWN</v>
      </c>
      <c r="AK101" s="68"/>
      <c r="AL101" s="68" t="str">
        <f t="shared" si="10"/>
        <v>1E</v>
      </c>
      <c r="AM101" s="68" t="str">
        <f t="shared" si="11"/>
        <v>00</v>
      </c>
      <c r="AN101" s="68" t="str">
        <f t="shared" si="12"/>
        <v>00</v>
      </c>
      <c r="AO101" s="68" t="str">
        <f t="shared" si="13"/>
        <v>00</v>
      </c>
      <c r="AQ101" t="str">
        <f t="shared" si="8"/>
        <v xml:space="preserve">    (U4)0x0000001EU,                                                           /* 30 UNKNOWN                                         */</v>
      </c>
    </row>
    <row r="102" spans="2:43">
      <c r="B102" s="139"/>
      <c r="C102" s="55">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1</v>
      </c>
      <c r="AF102" s="133">
        <f t="shared" si="19"/>
        <v>1</v>
      </c>
      <c r="AG102" s="133">
        <f t="shared" si="19"/>
        <v>1</v>
      </c>
      <c r="AH102" s="133">
        <f t="shared" si="19"/>
        <v>1</v>
      </c>
      <c r="AI102" s="133">
        <f t="shared" ref="AI102" si="20">IF(AI37=1,1,0)</f>
        <v>1</v>
      </c>
      <c r="AJ102" s="55" t="str">
        <f t="shared" si="7"/>
        <v>UNKNOWN</v>
      </c>
      <c r="AK102" s="68"/>
      <c r="AL102" s="68" t="str">
        <f t="shared" si="10"/>
        <v>1F</v>
      </c>
      <c r="AM102" s="68" t="str">
        <f t="shared" si="11"/>
        <v>00</v>
      </c>
      <c r="AN102" s="68" t="str">
        <f t="shared" si="12"/>
        <v>00</v>
      </c>
      <c r="AO102" s="68" t="str">
        <f t="shared" si="13"/>
        <v>00</v>
      </c>
      <c r="AQ102" t="str">
        <f t="shared" si="8"/>
        <v xml:space="preserve">    (U4)0x0000001FU                                                            /* 31 UNKNOWN                                         */</v>
      </c>
    </row>
    <row r="103" spans="2:43">
      <c r="B103" s="139"/>
      <c r="C103" s="55">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0</v>
      </c>
      <c r="AE103" s="133">
        <f t="shared" si="21"/>
        <v>0</v>
      </c>
      <c r="AF103" s="133">
        <f t="shared" si="21"/>
        <v>0</v>
      </c>
      <c r="AG103" s="133">
        <f t="shared" si="21"/>
        <v>0</v>
      </c>
      <c r="AH103" s="133">
        <f t="shared" si="21"/>
        <v>0</v>
      </c>
      <c r="AI103" s="133">
        <f t="shared" si="21"/>
        <v>0</v>
      </c>
      <c r="AJ103" s="55" t="str">
        <f t="shared" si="7"/>
        <v/>
      </c>
      <c r="AK103" s="68"/>
      <c r="AL103" s="68" t="str">
        <f t="shared" si="10"/>
        <v>00</v>
      </c>
      <c r="AM103" s="68" t="str">
        <f t="shared" si="11"/>
        <v>00</v>
      </c>
      <c r="AN103" s="68" t="str">
        <f t="shared" si="12"/>
        <v>00</v>
      </c>
      <c r="AO103" s="68" t="str">
        <f t="shared" si="13"/>
        <v>00</v>
      </c>
      <c r="AQ103" t="str">
        <f t="shared" si="8"/>
        <v/>
      </c>
    </row>
    <row r="104" spans="2:43">
      <c r="B104" s="139"/>
      <c r="C104" s="55">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0</v>
      </c>
      <c r="AE104" s="133">
        <f t="shared" si="21"/>
        <v>0</v>
      </c>
      <c r="AF104" s="133">
        <f t="shared" si="21"/>
        <v>0</v>
      </c>
      <c r="AG104" s="133">
        <f t="shared" si="21"/>
        <v>0</v>
      </c>
      <c r="AH104" s="133">
        <f t="shared" si="21"/>
        <v>0</v>
      </c>
      <c r="AI104" s="133">
        <f t="shared" si="21"/>
        <v>0</v>
      </c>
      <c r="AJ104" s="55" t="str">
        <f t="shared" si="7"/>
        <v/>
      </c>
      <c r="AK104" s="68"/>
      <c r="AL104" s="68" t="str">
        <f t="shared" si="10"/>
        <v>00</v>
      </c>
      <c r="AM104" s="68" t="str">
        <f t="shared" si="11"/>
        <v>00</v>
      </c>
      <c r="AN104" s="68" t="str">
        <f t="shared" si="12"/>
        <v>00</v>
      </c>
      <c r="AO104" s="68" t="str">
        <f t="shared" si="13"/>
        <v>00</v>
      </c>
      <c r="AQ104" t="str">
        <f t="shared" si="8"/>
        <v/>
      </c>
    </row>
    <row r="105" spans="2:43">
      <c r="B105" s="139"/>
      <c r="C105" s="55">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0</v>
      </c>
      <c r="AE105" s="133">
        <f t="shared" si="21"/>
        <v>0</v>
      </c>
      <c r="AF105" s="133">
        <f t="shared" si="21"/>
        <v>0</v>
      </c>
      <c r="AG105" s="133">
        <f t="shared" si="21"/>
        <v>0</v>
      </c>
      <c r="AH105" s="133">
        <f t="shared" si="21"/>
        <v>0</v>
      </c>
      <c r="AI105" s="133">
        <f t="shared" si="21"/>
        <v>0</v>
      </c>
      <c r="AJ105" s="55" t="str">
        <f t="shared" si="7"/>
        <v/>
      </c>
      <c r="AK105" s="68"/>
      <c r="AL105" s="68" t="str">
        <f t="shared" si="10"/>
        <v>00</v>
      </c>
      <c r="AM105" s="68" t="str">
        <f t="shared" si="11"/>
        <v>00</v>
      </c>
      <c r="AN105" s="68" t="str">
        <f t="shared" si="12"/>
        <v>00</v>
      </c>
      <c r="AO105" s="68" t="str">
        <f t="shared" si="13"/>
        <v>00</v>
      </c>
      <c r="AQ105" t="str">
        <f t="shared" si="8"/>
        <v/>
      </c>
    </row>
    <row r="106" spans="2:43">
      <c r="B106" s="139"/>
      <c r="C106" s="55">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0</v>
      </c>
      <c r="AE106" s="133">
        <f t="shared" si="21"/>
        <v>0</v>
      </c>
      <c r="AF106" s="133">
        <f t="shared" si="21"/>
        <v>0</v>
      </c>
      <c r="AG106" s="133">
        <f t="shared" si="21"/>
        <v>0</v>
      </c>
      <c r="AH106" s="133">
        <f t="shared" si="21"/>
        <v>0</v>
      </c>
      <c r="AI106" s="133">
        <f t="shared" si="21"/>
        <v>0</v>
      </c>
      <c r="AJ106" s="55" t="str">
        <f t="shared" si="7"/>
        <v/>
      </c>
      <c r="AK106" s="68"/>
      <c r="AL106" s="68" t="str">
        <f t="shared" si="10"/>
        <v>00</v>
      </c>
      <c r="AM106" s="68" t="str">
        <f t="shared" si="11"/>
        <v>00</v>
      </c>
      <c r="AN106" s="68" t="str">
        <f t="shared" si="12"/>
        <v>00</v>
      </c>
      <c r="AO106" s="68" t="str">
        <f t="shared" si="13"/>
        <v>00</v>
      </c>
      <c r="AQ106" t="str">
        <f t="shared" si="8"/>
        <v/>
      </c>
    </row>
    <row r="107" spans="2:43">
      <c r="B107" s="139"/>
      <c r="C107" s="55">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0</v>
      </c>
      <c r="AE107" s="133">
        <f t="shared" si="21"/>
        <v>0</v>
      </c>
      <c r="AF107" s="133">
        <f t="shared" si="21"/>
        <v>0</v>
      </c>
      <c r="AG107" s="133">
        <f t="shared" si="21"/>
        <v>0</v>
      </c>
      <c r="AH107" s="133">
        <f t="shared" si="21"/>
        <v>0</v>
      </c>
      <c r="AI107" s="133">
        <f t="shared" si="21"/>
        <v>0</v>
      </c>
      <c r="AJ107" s="55" t="str">
        <f t="shared" si="7"/>
        <v/>
      </c>
      <c r="AK107" s="68"/>
      <c r="AL107" s="68" t="str">
        <f t="shared" si="10"/>
        <v>00</v>
      </c>
      <c r="AM107" s="68" t="str">
        <f t="shared" si="11"/>
        <v>00</v>
      </c>
      <c r="AN107" s="68" t="str">
        <f t="shared" si="12"/>
        <v>00</v>
      </c>
      <c r="AO107" s="68" t="str">
        <f t="shared" si="13"/>
        <v>00</v>
      </c>
      <c r="AQ107" t="str">
        <f t="shared" si="8"/>
        <v/>
      </c>
    </row>
    <row r="108" spans="2:43">
      <c r="B108" s="139"/>
      <c r="C108" s="55">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0</v>
      </c>
      <c r="AE108" s="133">
        <f t="shared" si="21"/>
        <v>0</v>
      </c>
      <c r="AF108" s="133">
        <f t="shared" si="21"/>
        <v>0</v>
      </c>
      <c r="AG108" s="133">
        <f t="shared" si="21"/>
        <v>0</v>
      </c>
      <c r="AH108" s="133">
        <f t="shared" si="21"/>
        <v>0</v>
      </c>
      <c r="AI108" s="133">
        <f t="shared" si="21"/>
        <v>0</v>
      </c>
      <c r="AJ108" s="55" t="str">
        <f t="shared" si="7"/>
        <v/>
      </c>
      <c r="AK108" s="68"/>
      <c r="AL108" s="68" t="str">
        <f t="shared" si="10"/>
        <v>00</v>
      </c>
      <c r="AM108" s="68" t="str">
        <f t="shared" si="11"/>
        <v>00</v>
      </c>
      <c r="AN108" s="68" t="str">
        <f t="shared" si="12"/>
        <v>00</v>
      </c>
      <c r="AO108" s="68" t="str">
        <f t="shared" si="13"/>
        <v>00</v>
      </c>
      <c r="AQ108" t="str">
        <f t="shared" si="8"/>
        <v/>
      </c>
    </row>
    <row r="109" spans="2:43">
      <c r="B109" s="139"/>
      <c r="C109" s="55">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0</v>
      </c>
      <c r="AE109" s="133">
        <f t="shared" si="21"/>
        <v>0</v>
      </c>
      <c r="AF109" s="133">
        <f t="shared" si="21"/>
        <v>0</v>
      </c>
      <c r="AG109" s="133">
        <f t="shared" si="21"/>
        <v>0</v>
      </c>
      <c r="AH109" s="133">
        <f t="shared" si="21"/>
        <v>0</v>
      </c>
      <c r="AI109" s="133">
        <f t="shared" si="21"/>
        <v>0</v>
      </c>
      <c r="AJ109" s="55" t="str">
        <f t="shared" si="7"/>
        <v/>
      </c>
      <c r="AK109" s="68"/>
      <c r="AL109" s="68" t="str">
        <f t="shared" si="10"/>
        <v>00</v>
      </c>
      <c r="AM109" s="68" t="str">
        <f t="shared" si="11"/>
        <v>00</v>
      </c>
      <c r="AN109" s="68" t="str">
        <f t="shared" si="12"/>
        <v>00</v>
      </c>
      <c r="AO109" s="68" t="str">
        <f t="shared" si="13"/>
        <v>00</v>
      </c>
      <c r="AQ109" t="str">
        <f t="shared" si="8"/>
        <v/>
      </c>
    </row>
    <row r="110" spans="2:43">
      <c r="B110" s="139"/>
      <c r="C110" s="55">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0</v>
      </c>
      <c r="AE110" s="133">
        <f t="shared" si="21"/>
        <v>0</v>
      </c>
      <c r="AF110" s="133">
        <f t="shared" si="21"/>
        <v>0</v>
      </c>
      <c r="AG110" s="133">
        <f t="shared" si="21"/>
        <v>0</v>
      </c>
      <c r="AH110" s="133">
        <f t="shared" si="21"/>
        <v>0</v>
      </c>
      <c r="AI110" s="133">
        <f t="shared" ref="AI110" si="22">IF(AI45=1,1,0)</f>
        <v>0</v>
      </c>
      <c r="AJ110" s="55" t="str">
        <f t="shared" si="7"/>
        <v/>
      </c>
      <c r="AK110" s="68"/>
      <c r="AL110" s="68" t="str">
        <f t="shared" si="10"/>
        <v>00</v>
      </c>
      <c r="AM110" s="68" t="str">
        <f t="shared" si="11"/>
        <v>00</v>
      </c>
      <c r="AN110" s="68" t="str">
        <f t="shared" si="12"/>
        <v>00</v>
      </c>
      <c r="AO110" s="68" t="str">
        <f t="shared" si="13"/>
        <v>00</v>
      </c>
      <c r="AQ110" t="str">
        <f t="shared" si="8"/>
        <v/>
      </c>
    </row>
    <row r="111" spans="2:43">
      <c r="B111" s="139"/>
      <c r="C111" s="55">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0</v>
      </c>
      <c r="AE111" s="133">
        <f t="shared" si="23"/>
        <v>0</v>
      </c>
      <c r="AF111" s="133">
        <f t="shared" si="23"/>
        <v>0</v>
      </c>
      <c r="AG111" s="133">
        <f t="shared" si="23"/>
        <v>0</v>
      </c>
      <c r="AH111" s="133">
        <f t="shared" si="23"/>
        <v>0</v>
      </c>
      <c r="AI111" s="133">
        <f t="shared" si="23"/>
        <v>0</v>
      </c>
      <c r="AJ111" s="55" t="str">
        <f t="shared" si="7"/>
        <v/>
      </c>
      <c r="AK111" s="68"/>
      <c r="AL111" s="68" t="str">
        <f t="shared" si="10"/>
        <v>00</v>
      </c>
      <c r="AM111" s="68" t="str">
        <f t="shared" si="11"/>
        <v>00</v>
      </c>
      <c r="AN111" s="68" t="str">
        <f t="shared" si="12"/>
        <v>00</v>
      </c>
      <c r="AO111" s="68" t="str">
        <f t="shared" si="13"/>
        <v>00</v>
      </c>
      <c r="AQ111" t="str">
        <f t="shared" si="8"/>
        <v/>
      </c>
    </row>
    <row r="112" spans="2:43">
      <c r="B112" s="139"/>
      <c r="C112" s="55">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0</v>
      </c>
      <c r="AE112" s="133">
        <f t="shared" si="23"/>
        <v>0</v>
      </c>
      <c r="AF112" s="133">
        <f t="shared" si="23"/>
        <v>0</v>
      </c>
      <c r="AG112" s="133">
        <f t="shared" si="23"/>
        <v>0</v>
      </c>
      <c r="AH112" s="133">
        <f t="shared" si="23"/>
        <v>0</v>
      </c>
      <c r="AI112" s="133">
        <f t="shared" si="23"/>
        <v>0</v>
      </c>
      <c r="AJ112" s="55" t="str">
        <f t="shared" si="7"/>
        <v/>
      </c>
      <c r="AK112" s="68"/>
      <c r="AL112" s="68" t="str">
        <f t="shared" si="10"/>
        <v>00</v>
      </c>
      <c r="AM112" s="68" t="str">
        <f t="shared" si="11"/>
        <v>00</v>
      </c>
      <c r="AN112" s="68" t="str">
        <f t="shared" si="12"/>
        <v>00</v>
      </c>
      <c r="AO112" s="68" t="str">
        <f t="shared" si="13"/>
        <v>00</v>
      </c>
      <c r="AQ112" t="str">
        <f t="shared" si="8"/>
        <v/>
      </c>
    </row>
    <row r="113" spans="2:43">
      <c r="B113" s="139"/>
      <c r="C113" s="55">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0</v>
      </c>
      <c r="AE113" s="133">
        <f t="shared" si="23"/>
        <v>0</v>
      </c>
      <c r="AF113" s="133">
        <f t="shared" si="23"/>
        <v>0</v>
      </c>
      <c r="AG113" s="133">
        <f t="shared" si="23"/>
        <v>0</v>
      </c>
      <c r="AH113" s="133">
        <f t="shared" si="23"/>
        <v>0</v>
      </c>
      <c r="AI113" s="133">
        <f t="shared" si="23"/>
        <v>0</v>
      </c>
      <c r="AJ113" s="55" t="str">
        <f t="shared" si="7"/>
        <v/>
      </c>
      <c r="AK113" s="68"/>
      <c r="AL113" s="68" t="str">
        <f t="shared" si="10"/>
        <v>00</v>
      </c>
      <c r="AM113" s="68" t="str">
        <f t="shared" si="11"/>
        <v>00</v>
      </c>
      <c r="AN113" s="68" t="str">
        <f t="shared" si="12"/>
        <v>00</v>
      </c>
      <c r="AO113" s="68" t="str">
        <f t="shared" si="13"/>
        <v>00</v>
      </c>
      <c r="AQ113" t="str">
        <f t="shared" si="8"/>
        <v/>
      </c>
    </row>
    <row r="114" spans="2:43">
      <c r="B114" s="139"/>
      <c r="C114" s="55">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0</v>
      </c>
      <c r="AE114" s="133">
        <f t="shared" si="23"/>
        <v>0</v>
      </c>
      <c r="AF114" s="133">
        <f t="shared" si="23"/>
        <v>0</v>
      </c>
      <c r="AG114" s="133">
        <f t="shared" si="23"/>
        <v>0</v>
      </c>
      <c r="AH114" s="133">
        <f t="shared" si="23"/>
        <v>0</v>
      </c>
      <c r="AI114" s="133">
        <f t="shared" si="23"/>
        <v>0</v>
      </c>
      <c r="AJ114" s="55" t="str">
        <f t="shared" si="7"/>
        <v/>
      </c>
      <c r="AK114" s="68"/>
      <c r="AL114" s="68" t="str">
        <f t="shared" si="10"/>
        <v>00</v>
      </c>
      <c r="AM114" s="68" t="str">
        <f t="shared" si="11"/>
        <v>00</v>
      </c>
      <c r="AN114" s="68" t="str">
        <f t="shared" si="12"/>
        <v>00</v>
      </c>
      <c r="AO114" s="68" t="str">
        <f t="shared" si="13"/>
        <v>00</v>
      </c>
      <c r="AQ114" t="str">
        <f t="shared" si="8"/>
        <v/>
      </c>
    </row>
    <row r="115" spans="2:43">
      <c r="B115" s="139"/>
      <c r="C115" s="55">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0</v>
      </c>
      <c r="AE115" s="133">
        <f t="shared" si="23"/>
        <v>0</v>
      </c>
      <c r="AF115" s="133">
        <f t="shared" si="23"/>
        <v>0</v>
      </c>
      <c r="AG115" s="133">
        <f t="shared" si="23"/>
        <v>0</v>
      </c>
      <c r="AH115" s="133">
        <f t="shared" si="23"/>
        <v>0</v>
      </c>
      <c r="AI115" s="133">
        <f t="shared" si="23"/>
        <v>0</v>
      </c>
      <c r="AJ115" s="55" t="str">
        <f t="shared" si="7"/>
        <v/>
      </c>
      <c r="AK115" s="68"/>
      <c r="AL115" s="68" t="str">
        <f t="shared" si="10"/>
        <v>00</v>
      </c>
      <c r="AM115" s="68" t="str">
        <f t="shared" si="11"/>
        <v>00</v>
      </c>
      <c r="AN115" s="68" t="str">
        <f t="shared" si="12"/>
        <v>00</v>
      </c>
      <c r="AO115" s="68" t="str">
        <f t="shared" si="13"/>
        <v>00</v>
      </c>
      <c r="AQ115" t="str">
        <f t="shared" si="8"/>
        <v/>
      </c>
    </row>
    <row r="116" spans="2:43">
      <c r="B116" s="139"/>
      <c r="C116" s="55">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0</v>
      </c>
      <c r="AE116" s="133">
        <f t="shared" si="23"/>
        <v>0</v>
      </c>
      <c r="AF116" s="133">
        <f t="shared" si="23"/>
        <v>0</v>
      </c>
      <c r="AG116" s="133">
        <f t="shared" si="23"/>
        <v>0</v>
      </c>
      <c r="AH116" s="133">
        <f t="shared" si="23"/>
        <v>0</v>
      </c>
      <c r="AI116" s="133">
        <f t="shared" si="23"/>
        <v>0</v>
      </c>
      <c r="AJ116" s="55" t="str">
        <f t="shared" si="7"/>
        <v/>
      </c>
      <c r="AK116" s="68"/>
      <c r="AL116" s="68" t="str">
        <f t="shared" si="10"/>
        <v>00</v>
      </c>
      <c r="AM116" s="68" t="str">
        <f t="shared" si="11"/>
        <v>00</v>
      </c>
      <c r="AN116" s="68" t="str">
        <f t="shared" si="12"/>
        <v>00</v>
      </c>
      <c r="AO116" s="68" t="str">
        <f t="shared" si="13"/>
        <v>00</v>
      </c>
      <c r="AQ116" t="str">
        <f t="shared" si="8"/>
        <v/>
      </c>
    </row>
    <row r="117" spans="2:43">
      <c r="B117" s="139"/>
      <c r="C117" s="55">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0</v>
      </c>
      <c r="AE117" s="133">
        <f t="shared" si="23"/>
        <v>0</v>
      </c>
      <c r="AF117" s="133">
        <f t="shared" si="23"/>
        <v>0</v>
      </c>
      <c r="AG117" s="133">
        <f t="shared" si="23"/>
        <v>0</v>
      </c>
      <c r="AH117" s="133">
        <f t="shared" si="23"/>
        <v>0</v>
      </c>
      <c r="AI117" s="133">
        <f t="shared" si="23"/>
        <v>0</v>
      </c>
      <c r="AJ117" s="55" t="str">
        <f t="shared" si="7"/>
        <v/>
      </c>
      <c r="AK117" s="68"/>
      <c r="AL117" s="68" t="str">
        <f t="shared" si="10"/>
        <v>00</v>
      </c>
      <c r="AM117" s="68" t="str">
        <f t="shared" si="11"/>
        <v>00</v>
      </c>
      <c r="AN117" s="68" t="str">
        <f t="shared" si="12"/>
        <v>00</v>
      </c>
      <c r="AO117" s="68" t="str">
        <f t="shared" si="13"/>
        <v>00</v>
      </c>
      <c r="AQ117" t="str">
        <f t="shared" si="8"/>
        <v/>
      </c>
    </row>
    <row r="118" spans="2:43">
      <c r="B118" s="139"/>
      <c r="C118" s="55">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0</v>
      </c>
      <c r="AE118" s="133">
        <f t="shared" si="23"/>
        <v>0</v>
      </c>
      <c r="AF118" s="133">
        <f t="shared" si="23"/>
        <v>0</v>
      </c>
      <c r="AG118" s="133">
        <f t="shared" si="23"/>
        <v>0</v>
      </c>
      <c r="AH118" s="133">
        <f t="shared" si="23"/>
        <v>0</v>
      </c>
      <c r="AI118" s="133">
        <f t="shared" ref="AI118" si="24">IF(AI53=1,1,0)</f>
        <v>0</v>
      </c>
      <c r="AJ118" s="55" t="str">
        <f t="shared" si="7"/>
        <v/>
      </c>
      <c r="AK118" s="68"/>
      <c r="AL118" s="68" t="str">
        <f t="shared" si="10"/>
        <v>00</v>
      </c>
      <c r="AM118" s="68" t="str">
        <f t="shared" si="11"/>
        <v>00</v>
      </c>
      <c r="AN118" s="68" t="str">
        <f t="shared" si="12"/>
        <v>00</v>
      </c>
      <c r="AO118" s="68" t="str">
        <f t="shared" si="13"/>
        <v>00</v>
      </c>
      <c r="AQ118" t="str">
        <f t="shared" si="8"/>
        <v/>
      </c>
    </row>
    <row r="119" spans="2:43">
      <c r="B119" s="139"/>
      <c r="C119" s="55">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0</v>
      </c>
      <c r="AE119" s="133">
        <f t="shared" si="25"/>
        <v>0</v>
      </c>
      <c r="AF119" s="133">
        <f t="shared" si="25"/>
        <v>0</v>
      </c>
      <c r="AG119" s="133">
        <f t="shared" si="25"/>
        <v>0</v>
      </c>
      <c r="AH119" s="133">
        <f t="shared" si="25"/>
        <v>0</v>
      </c>
      <c r="AI119" s="133">
        <f t="shared" si="25"/>
        <v>0</v>
      </c>
      <c r="AJ119" s="55" t="str">
        <f t="shared" si="7"/>
        <v/>
      </c>
      <c r="AK119" s="68"/>
      <c r="AL119" s="68" t="str">
        <f t="shared" si="10"/>
        <v>00</v>
      </c>
      <c r="AM119" s="68" t="str">
        <f t="shared" si="11"/>
        <v>00</v>
      </c>
      <c r="AN119" s="68" t="str">
        <f t="shared" si="12"/>
        <v>00</v>
      </c>
      <c r="AO119" s="68" t="str">
        <f t="shared" si="13"/>
        <v>00</v>
      </c>
      <c r="AQ119" t="str">
        <f t="shared" si="8"/>
        <v/>
      </c>
    </row>
    <row r="120" spans="2:43">
      <c r="B120" s="139"/>
      <c r="C120" s="55">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0</v>
      </c>
      <c r="AE120" s="133">
        <f t="shared" si="25"/>
        <v>0</v>
      </c>
      <c r="AF120" s="133">
        <f t="shared" si="25"/>
        <v>0</v>
      </c>
      <c r="AG120" s="133">
        <f t="shared" si="25"/>
        <v>0</v>
      </c>
      <c r="AH120" s="133">
        <f t="shared" si="25"/>
        <v>0</v>
      </c>
      <c r="AI120" s="133">
        <f t="shared" si="25"/>
        <v>0</v>
      </c>
      <c r="AJ120" s="55" t="str">
        <f t="shared" si="7"/>
        <v/>
      </c>
      <c r="AK120" s="68"/>
      <c r="AL120" s="68" t="str">
        <f t="shared" si="10"/>
        <v>00</v>
      </c>
      <c r="AM120" s="68" t="str">
        <f t="shared" si="11"/>
        <v>00</v>
      </c>
      <c r="AN120" s="68" t="str">
        <f t="shared" si="12"/>
        <v>00</v>
      </c>
      <c r="AO120" s="68" t="str">
        <f t="shared" si="13"/>
        <v>00</v>
      </c>
      <c r="AQ120" t="str">
        <f t="shared" si="8"/>
        <v/>
      </c>
    </row>
    <row r="121" spans="2:43">
      <c r="B121" s="139"/>
      <c r="C121" s="55">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0</v>
      </c>
      <c r="AE121" s="133">
        <f t="shared" si="25"/>
        <v>0</v>
      </c>
      <c r="AF121" s="133">
        <f t="shared" si="25"/>
        <v>0</v>
      </c>
      <c r="AG121" s="133">
        <f t="shared" si="25"/>
        <v>0</v>
      </c>
      <c r="AH121" s="133">
        <f t="shared" si="25"/>
        <v>0</v>
      </c>
      <c r="AI121" s="133">
        <f t="shared" si="25"/>
        <v>0</v>
      </c>
      <c r="AJ121" s="55" t="str">
        <f t="shared" si="7"/>
        <v/>
      </c>
      <c r="AK121" s="68"/>
      <c r="AL121" s="68" t="str">
        <f t="shared" si="10"/>
        <v>00</v>
      </c>
      <c r="AM121" s="68" t="str">
        <f t="shared" si="11"/>
        <v>00</v>
      </c>
      <c r="AN121" s="68" t="str">
        <f t="shared" si="12"/>
        <v>00</v>
      </c>
      <c r="AO121" s="68" t="str">
        <f t="shared" si="13"/>
        <v>00</v>
      </c>
      <c r="AQ121" t="str">
        <f t="shared" si="8"/>
        <v/>
      </c>
    </row>
    <row r="122" spans="2:43">
      <c r="B122" s="139"/>
      <c r="C122" s="55">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0</v>
      </c>
      <c r="AE122" s="133">
        <f t="shared" si="25"/>
        <v>0</v>
      </c>
      <c r="AF122" s="133">
        <f t="shared" si="25"/>
        <v>0</v>
      </c>
      <c r="AG122" s="133">
        <f t="shared" si="25"/>
        <v>0</v>
      </c>
      <c r="AH122" s="133">
        <f t="shared" si="25"/>
        <v>0</v>
      </c>
      <c r="AI122" s="133">
        <f t="shared" si="25"/>
        <v>0</v>
      </c>
      <c r="AJ122" s="55" t="str">
        <f t="shared" si="7"/>
        <v/>
      </c>
      <c r="AK122" s="68"/>
      <c r="AL122" s="68" t="str">
        <f t="shared" si="10"/>
        <v>00</v>
      </c>
      <c r="AM122" s="68" t="str">
        <f t="shared" si="11"/>
        <v>00</v>
      </c>
      <c r="AN122" s="68" t="str">
        <f t="shared" si="12"/>
        <v>00</v>
      </c>
      <c r="AO122" s="68" t="str">
        <f t="shared" si="13"/>
        <v>00</v>
      </c>
      <c r="AQ122" t="str">
        <f t="shared" si="8"/>
        <v/>
      </c>
    </row>
    <row r="123" spans="2:43">
      <c r="B123" s="139"/>
      <c r="C123" s="55">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0</v>
      </c>
      <c r="AE123" s="133">
        <f t="shared" si="25"/>
        <v>0</v>
      </c>
      <c r="AF123" s="133">
        <f t="shared" si="25"/>
        <v>0</v>
      </c>
      <c r="AG123" s="133">
        <f t="shared" si="25"/>
        <v>0</v>
      </c>
      <c r="AH123" s="133">
        <f t="shared" si="25"/>
        <v>0</v>
      </c>
      <c r="AI123" s="133">
        <f t="shared" si="25"/>
        <v>0</v>
      </c>
      <c r="AJ123" s="55" t="str">
        <f t="shared" si="7"/>
        <v/>
      </c>
      <c r="AK123" s="68"/>
      <c r="AL123" s="68" t="str">
        <f t="shared" si="10"/>
        <v>00</v>
      </c>
      <c r="AM123" s="68" t="str">
        <f t="shared" si="11"/>
        <v>00</v>
      </c>
      <c r="AN123" s="68" t="str">
        <f t="shared" si="12"/>
        <v>00</v>
      </c>
      <c r="AO123" s="68" t="str">
        <f t="shared" si="13"/>
        <v>00</v>
      </c>
      <c r="AQ123" t="str">
        <f t="shared" si="8"/>
        <v/>
      </c>
    </row>
    <row r="124" spans="2:43">
      <c r="B124" s="139"/>
      <c r="C124" s="55">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0</v>
      </c>
      <c r="AE124" s="133">
        <f t="shared" si="25"/>
        <v>0</v>
      </c>
      <c r="AF124" s="133">
        <f t="shared" si="25"/>
        <v>0</v>
      </c>
      <c r="AG124" s="133">
        <f t="shared" si="25"/>
        <v>0</v>
      </c>
      <c r="AH124" s="133">
        <f t="shared" si="25"/>
        <v>0</v>
      </c>
      <c r="AI124" s="133">
        <f t="shared" si="25"/>
        <v>0</v>
      </c>
      <c r="AJ124" s="55" t="str">
        <f t="shared" si="7"/>
        <v/>
      </c>
      <c r="AK124" s="68"/>
      <c r="AL124" s="68" t="str">
        <f t="shared" si="10"/>
        <v>00</v>
      </c>
      <c r="AM124" s="68" t="str">
        <f t="shared" si="11"/>
        <v>00</v>
      </c>
      <c r="AN124" s="68" t="str">
        <f t="shared" si="12"/>
        <v>00</v>
      </c>
      <c r="AO124" s="68" t="str">
        <f t="shared" si="13"/>
        <v>00</v>
      </c>
      <c r="AQ124" t="str">
        <f t="shared" si="8"/>
        <v/>
      </c>
    </row>
    <row r="125" spans="2:43">
      <c r="B125" s="139"/>
      <c r="C125" s="55">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0</v>
      </c>
      <c r="AE125" s="133">
        <f t="shared" si="25"/>
        <v>0</v>
      </c>
      <c r="AF125" s="133">
        <f t="shared" si="25"/>
        <v>0</v>
      </c>
      <c r="AG125" s="133">
        <f t="shared" si="25"/>
        <v>0</v>
      </c>
      <c r="AH125" s="133">
        <f t="shared" si="25"/>
        <v>0</v>
      </c>
      <c r="AI125" s="133">
        <f t="shared" si="25"/>
        <v>0</v>
      </c>
      <c r="AJ125" s="55" t="str">
        <f t="shared" si="7"/>
        <v/>
      </c>
      <c r="AK125" s="68"/>
      <c r="AL125" s="68" t="str">
        <f t="shared" si="10"/>
        <v>00</v>
      </c>
      <c r="AM125" s="68" t="str">
        <f t="shared" si="11"/>
        <v>00</v>
      </c>
      <c r="AN125" s="68" t="str">
        <f t="shared" si="12"/>
        <v>00</v>
      </c>
      <c r="AO125" s="68" t="str">
        <f t="shared" si="13"/>
        <v>00</v>
      </c>
      <c r="AQ125" t="str">
        <f t="shared" si="8"/>
        <v/>
      </c>
    </row>
    <row r="126" spans="2:43">
      <c r="B126" s="139"/>
      <c r="C126" s="55">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0</v>
      </c>
      <c r="AE126" s="133">
        <f t="shared" si="25"/>
        <v>0</v>
      </c>
      <c r="AF126" s="133">
        <f t="shared" si="25"/>
        <v>0</v>
      </c>
      <c r="AG126" s="133">
        <f t="shared" si="25"/>
        <v>0</v>
      </c>
      <c r="AH126" s="133">
        <f t="shared" si="25"/>
        <v>0</v>
      </c>
      <c r="AI126" s="133">
        <f t="shared" ref="AI126" si="26">IF(AI61=1,1,0)</f>
        <v>0</v>
      </c>
      <c r="AJ126" s="55" t="str">
        <f t="shared" si="7"/>
        <v/>
      </c>
      <c r="AK126" s="68"/>
      <c r="AL126" s="68" t="str">
        <f t="shared" si="10"/>
        <v>00</v>
      </c>
      <c r="AM126" s="68" t="str">
        <f t="shared" si="11"/>
        <v>00</v>
      </c>
      <c r="AN126" s="68" t="str">
        <f t="shared" si="12"/>
        <v>00</v>
      </c>
      <c r="AO126" s="68" t="str">
        <f t="shared" si="13"/>
        <v>00</v>
      </c>
      <c r="AQ126" t="str">
        <f t="shared" si="8"/>
        <v/>
      </c>
    </row>
    <row r="127" spans="2:43">
      <c r="B127" s="139"/>
      <c r="C127" s="55">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0</v>
      </c>
      <c r="AE127" s="133">
        <f t="shared" si="27"/>
        <v>0</v>
      </c>
      <c r="AF127" s="133">
        <f t="shared" si="27"/>
        <v>0</v>
      </c>
      <c r="AG127" s="133">
        <f t="shared" si="27"/>
        <v>0</v>
      </c>
      <c r="AH127" s="133">
        <f t="shared" si="27"/>
        <v>0</v>
      </c>
      <c r="AI127" s="133">
        <f t="shared" si="27"/>
        <v>0</v>
      </c>
      <c r="AJ127" s="55" t="str">
        <f t="shared" si="7"/>
        <v/>
      </c>
      <c r="AK127" s="68"/>
      <c r="AL127" s="68" t="str">
        <f t="shared" si="10"/>
        <v>00</v>
      </c>
      <c r="AM127" s="68" t="str">
        <f t="shared" si="11"/>
        <v>00</v>
      </c>
      <c r="AN127" s="68" t="str">
        <f t="shared" si="12"/>
        <v>00</v>
      </c>
      <c r="AO127" s="68" t="str">
        <f t="shared" si="13"/>
        <v>00</v>
      </c>
      <c r="AQ127" t="str">
        <f t="shared" si="8"/>
        <v/>
      </c>
    </row>
    <row r="128" spans="2:43">
      <c r="B128" s="139"/>
      <c r="C128" s="55">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0</v>
      </c>
      <c r="AE128" s="133">
        <f t="shared" si="27"/>
        <v>0</v>
      </c>
      <c r="AF128" s="133">
        <f t="shared" si="27"/>
        <v>0</v>
      </c>
      <c r="AG128" s="133">
        <f t="shared" si="27"/>
        <v>0</v>
      </c>
      <c r="AH128" s="133">
        <f t="shared" si="27"/>
        <v>0</v>
      </c>
      <c r="AI128" s="133">
        <f t="shared" si="27"/>
        <v>0</v>
      </c>
      <c r="AJ128" s="55" t="str">
        <f t="shared" si="7"/>
        <v/>
      </c>
      <c r="AK128" s="68"/>
      <c r="AL128" s="68" t="str">
        <f t="shared" si="10"/>
        <v>00</v>
      </c>
      <c r="AM128" s="68" t="str">
        <f t="shared" si="11"/>
        <v>00</v>
      </c>
      <c r="AN128" s="68" t="str">
        <f t="shared" si="12"/>
        <v>00</v>
      </c>
      <c r="AO128" s="68" t="str">
        <f t="shared" si="13"/>
        <v>00</v>
      </c>
      <c r="AQ128" t="str">
        <f t="shared" si="8"/>
        <v/>
      </c>
    </row>
    <row r="129" spans="1:43">
      <c r="B129" s="139"/>
      <c r="C129" s="55">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0</v>
      </c>
      <c r="AE129" s="133">
        <f t="shared" si="27"/>
        <v>0</v>
      </c>
      <c r="AF129" s="133">
        <f t="shared" si="27"/>
        <v>0</v>
      </c>
      <c r="AG129" s="133">
        <f t="shared" si="27"/>
        <v>0</v>
      </c>
      <c r="AH129" s="133">
        <f t="shared" si="27"/>
        <v>0</v>
      </c>
      <c r="AI129" s="133">
        <f t="shared" si="27"/>
        <v>0</v>
      </c>
      <c r="AJ129" s="55" t="str">
        <f t="shared" si="7"/>
        <v/>
      </c>
      <c r="AK129" s="68"/>
      <c r="AL129" s="68" t="str">
        <f t="shared" si="10"/>
        <v>00</v>
      </c>
      <c r="AM129" s="68" t="str">
        <f t="shared" si="11"/>
        <v>00</v>
      </c>
      <c r="AN129" s="68" t="str">
        <f t="shared" si="12"/>
        <v>00</v>
      </c>
      <c r="AO129" s="68" t="str">
        <f t="shared" si="13"/>
        <v>00</v>
      </c>
      <c r="AQ129" t="str">
        <f t="shared" si="8"/>
        <v/>
      </c>
    </row>
    <row r="130" spans="1:43">
      <c r="B130" s="139"/>
      <c r="C130" s="55">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0</v>
      </c>
      <c r="AE130" s="133">
        <f t="shared" si="27"/>
        <v>0</v>
      </c>
      <c r="AF130" s="133">
        <f t="shared" si="27"/>
        <v>0</v>
      </c>
      <c r="AG130" s="133">
        <f t="shared" si="27"/>
        <v>0</v>
      </c>
      <c r="AH130" s="133">
        <f t="shared" si="27"/>
        <v>0</v>
      </c>
      <c r="AI130" s="133">
        <f t="shared" si="27"/>
        <v>0</v>
      </c>
      <c r="AJ130" s="55" t="str">
        <f t="shared" si="7"/>
        <v/>
      </c>
      <c r="AK130" s="68"/>
      <c r="AL130" s="68" t="str">
        <f t="shared" si="10"/>
        <v>00</v>
      </c>
      <c r="AM130" s="68" t="str">
        <f t="shared" si="11"/>
        <v>00</v>
      </c>
      <c r="AN130" s="68" t="str">
        <f t="shared" si="12"/>
        <v>00</v>
      </c>
      <c r="AO130" s="68" t="str">
        <f t="shared" si="13"/>
        <v>00</v>
      </c>
      <c r="AQ130" t="str">
        <f t="shared" si="8"/>
        <v/>
      </c>
    </row>
    <row r="131" spans="1:43">
      <c r="B131" s="139"/>
      <c r="C131" s="55">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0</v>
      </c>
      <c r="AE131" s="133">
        <f t="shared" si="27"/>
        <v>0</v>
      </c>
      <c r="AF131" s="133">
        <f t="shared" si="27"/>
        <v>0</v>
      </c>
      <c r="AG131" s="133">
        <f t="shared" si="27"/>
        <v>0</v>
      </c>
      <c r="AH131" s="133">
        <f t="shared" si="27"/>
        <v>0</v>
      </c>
      <c r="AI131" s="133">
        <f t="shared" si="27"/>
        <v>0</v>
      </c>
      <c r="AJ131" s="55" t="str">
        <f t="shared" si="7"/>
        <v/>
      </c>
      <c r="AK131" s="68"/>
      <c r="AL131" s="68" t="str">
        <f t="shared" si="10"/>
        <v>00</v>
      </c>
      <c r="AM131" s="68" t="str">
        <f t="shared" si="11"/>
        <v>00</v>
      </c>
      <c r="AN131" s="68" t="str">
        <f t="shared" si="12"/>
        <v>00</v>
      </c>
      <c r="AO131" s="68" t="str">
        <f t="shared" si="13"/>
        <v>00</v>
      </c>
      <c r="AQ131" t="str">
        <f t="shared" si="8"/>
        <v/>
      </c>
    </row>
    <row r="132" spans="1:43">
      <c r="B132" s="139"/>
      <c r="C132" s="55">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0</v>
      </c>
      <c r="AE132" s="133">
        <f t="shared" si="27"/>
        <v>0</v>
      </c>
      <c r="AF132" s="133">
        <f t="shared" si="27"/>
        <v>0</v>
      </c>
      <c r="AG132" s="133">
        <f t="shared" si="27"/>
        <v>0</v>
      </c>
      <c r="AH132" s="133">
        <f t="shared" si="27"/>
        <v>0</v>
      </c>
      <c r="AI132" s="133">
        <f t="shared" si="27"/>
        <v>0</v>
      </c>
      <c r="AJ132" s="55" t="str">
        <f t="shared" si="7"/>
        <v/>
      </c>
      <c r="AK132" s="68"/>
      <c r="AL132" s="68" t="str">
        <f t="shared" si="10"/>
        <v>00</v>
      </c>
      <c r="AM132" s="68" t="str">
        <f t="shared" si="11"/>
        <v>00</v>
      </c>
      <c r="AN132" s="68" t="str">
        <f t="shared" si="12"/>
        <v>00</v>
      </c>
      <c r="AO132" s="68" t="str">
        <f t="shared" si="13"/>
        <v>00</v>
      </c>
      <c r="AQ132" t="str">
        <f t="shared" si="8"/>
        <v/>
      </c>
    </row>
    <row r="133" spans="1:43">
      <c r="B133" s="139"/>
      <c r="C133" s="55">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0</v>
      </c>
      <c r="AE133" s="133">
        <f t="shared" si="27"/>
        <v>0</v>
      </c>
      <c r="AF133" s="133">
        <f t="shared" si="27"/>
        <v>0</v>
      </c>
      <c r="AG133" s="133">
        <f t="shared" si="27"/>
        <v>0</v>
      </c>
      <c r="AH133" s="133">
        <f t="shared" si="27"/>
        <v>0</v>
      </c>
      <c r="AI133" s="133">
        <f t="shared" si="27"/>
        <v>0</v>
      </c>
      <c r="AJ133" s="55" t="str">
        <f t="shared" si="7"/>
        <v/>
      </c>
      <c r="AK133" s="68"/>
      <c r="AL133" s="68" t="str">
        <f t="shared" si="10"/>
        <v>00</v>
      </c>
      <c r="AM133" s="68" t="str">
        <f t="shared" si="11"/>
        <v>00</v>
      </c>
      <c r="AN133" s="68" t="str">
        <f t="shared" si="12"/>
        <v>00</v>
      </c>
      <c r="AO133" s="68" t="str">
        <f t="shared" si="13"/>
        <v>00</v>
      </c>
      <c r="AQ133" t="str">
        <f t="shared" si="8"/>
        <v/>
      </c>
    </row>
    <row r="134" spans="1:43">
      <c r="B134" s="140"/>
      <c r="C134" s="55">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0</v>
      </c>
      <c r="AE134" s="133">
        <f t="shared" si="27"/>
        <v>0</v>
      </c>
      <c r="AF134" s="133">
        <f t="shared" si="27"/>
        <v>0</v>
      </c>
      <c r="AG134" s="133">
        <f t="shared" si="27"/>
        <v>0</v>
      </c>
      <c r="AH134" s="133">
        <f t="shared" si="27"/>
        <v>0</v>
      </c>
      <c r="AI134" s="133">
        <f t="shared" ref="AI134" si="28">IF(AI69=1,1,0)</f>
        <v>0</v>
      </c>
      <c r="AJ134" s="55" t="str">
        <f t="shared" si="7"/>
        <v/>
      </c>
      <c r="AK134" s="68"/>
      <c r="AL134" s="68" t="str">
        <f t="shared" si="10"/>
        <v>00</v>
      </c>
      <c r="AM134" s="68" t="str">
        <f t="shared" si="11"/>
        <v>00</v>
      </c>
      <c r="AN134" s="68" t="str">
        <f t="shared" si="12"/>
        <v>00</v>
      </c>
      <c r="AO134" s="68" t="str">
        <f t="shared" si="13"/>
        <v>00</v>
      </c>
      <c r="AQ134" t="str">
        <f t="shared" si="8"/>
        <v/>
      </c>
    </row>
    <row r="135" spans="1:43">
      <c r="A135" s="64" t="s">
        <v>68</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1" t="str">
        <f ca="1">IF(B6&lt;&gt;"",B6,"")</f>
        <v>Table TT_L</v>
      </c>
      <c r="C136" s="55">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0</v>
      </c>
      <c r="AE136" s="133">
        <f t="shared" si="29"/>
        <v>1</v>
      </c>
      <c r="AF136" s="133">
        <f t="shared" si="29"/>
        <v>1</v>
      </c>
      <c r="AG136" s="133">
        <f t="shared" si="29"/>
        <v>1</v>
      </c>
      <c r="AH136" s="133">
        <f t="shared" si="29"/>
        <v>1</v>
      </c>
      <c r="AI136" s="133">
        <f t="shared" si="29"/>
        <v>1</v>
      </c>
      <c r="AJ136" s="55" t="str">
        <f t="shared" ref="AJ136:AJ199" si="30">IF(AJ6&lt;&gt;"",AJ6,"")</f>
        <v>UNKNOWN</v>
      </c>
      <c r="AK136" s="68"/>
      <c r="AL136" s="68" t="str">
        <f>BIN2HEX(AB136&amp;AC136&amp;AD136&amp;AE136&amp;AF136&amp;AG136&amp;AH136&amp;AI136,2)</f>
        <v>1F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9"/>
      <c r="C137" s="55">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0</v>
      </c>
      <c r="AE137" s="133">
        <f t="shared" si="29"/>
        <v>1</v>
      </c>
      <c r="AF137" s="133">
        <f t="shared" si="29"/>
        <v>1</v>
      </c>
      <c r="AG137" s="133">
        <f t="shared" si="29"/>
        <v>1</v>
      </c>
      <c r="AH137" s="133">
        <f t="shared" si="29"/>
        <v>1</v>
      </c>
      <c r="AI137" s="133">
        <f t="shared" si="29"/>
        <v>1</v>
      </c>
      <c r="AJ137" s="55" t="str">
        <f t="shared" si="30"/>
        <v>ON_G</v>
      </c>
      <c r="AK137" s="68"/>
      <c r="AL137" s="68" t="str">
        <f t="shared" ref="AL137:AL199" si="33">BIN2HEX(AB137&amp;AC137&amp;AD137&amp;AE137&amp;AF137&amp;AG137&amp;AH137&amp;AI137,2)</f>
        <v>1F</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(U4)0x0000001FU,                                                           /* 01 ON_G                                            */</v>
      </c>
    </row>
    <row r="138" spans="1:43">
      <c r="B138" s="139"/>
      <c r="C138" s="55">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0</v>
      </c>
      <c r="AE138" s="133">
        <f t="shared" si="29"/>
        <v>1</v>
      </c>
      <c r="AF138" s="133">
        <f t="shared" si="29"/>
        <v>1</v>
      </c>
      <c r="AG138" s="133">
        <f t="shared" si="29"/>
        <v>1</v>
      </c>
      <c r="AH138" s="133">
        <f t="shared" si="29"/>
        <v>1</v>
      </c>
      <c r="AI138" s="133">
        <f t="shared" si="29"/>
        <v>1</v>
      </c>
      <c r="AJ138" s="55" t="str">
        <f t="shared" si="30"/>
        <v>ON_GY</v>
      </c>
      <c r="AK138" s="68"/>
      <c r="AL138" s="68" t="str">
        <f t="shared" si="33"/>
        <v>1F</v>
      </c>
      <c r="AM138" s="68" t="str">
        <f t="shared" si="34"/>
        <v>00</v>
      </c>
      <c r="AN138" s="68" t="str">
        <f t="shared" si="35"/>
        <v>00</v>
      </c>
      <c r="AO138" s="68" t="str">
        <f t="shared" si="36"/>
        <v>00</v>
      </c>
      <c r="AQ138" t="str">
        <f t="shared" si="31"/>
        <v xml:space="preserve">    (U4)0x0000001FU,                                                           /* 02 ON_GY                                           */</v>
      </c>
    </row>
    <row r="139" spans="1:43">
      <c r="B139" s="139"/>
      <c r="C139" s="55">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0</v>
      </c>
      <c r="AE139" s="133">
        <f t="shared" si="29"/>
        <v>1</v>
      </c>
      <c r="AF139" s="133">
        <f t="shared" si="29"/>
        <v>1</v>
      </c>
      <c r="AG139" s="133">
        <f t="shared" si="29"/>
        <v>1</v>
      </c>
      <c r="AH139" s="133">
        <f t="shared" si="29"/>
        <v>1</v>
      </c>
      <c r="AI139" s="133">
        <f t="shared" si="29"/>
        <v>1</v>
      </c>
      <c r="AJ139" s="55" t="str">
        <f t="shared" si="30"/>
        <v>UNKNOWN</v>
      </c>
      <c r="AK139" s="68"/>
      <c r="AL139" s="68" t="str">
        <f t="shared" si="33"/>
        <v>1F</v>
      </c>
      <c r="AM139" s="68" t="str">
        <f t="shared" si="34"/>
        <v>00</v>
      </c>
      <c r="AN139" s="68" t="str">
        <f t="shared" si="35"/>
        <v>00</v>
      </c>
      <c r="AO139" s="68" t="str">
        <f t="shared" si="36"/>
        <v>00</v>
      </c>
      <c r="AQ139" t="str">
        <f t="shared" si="31"/>
        <v xml:space="preserve">    (U4)0x0000001FU,                                                           /* 03 UNKNOWN                                         */</v>
      </c>
    </row>
    <row r="140" spans="1:43">
      <c r="B140" s="139"/>
      <c r="C140" s="55">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0</v>
      </c>
      <c r="AE140" s="133">
        <f t="shared" si="29"/>
        <v>1</v>
      </c>
      <c r="AF140" s="133">
        <f t="shared" si="29"/>
        <v>1</v>
      </c>
      <c r="AG140" s="133">
        <f t="shared" si="29"/>
        <v>1</v>
      </c>
      <c r="AH140" s="133">
        <f t="shared" si="29"/>
        <v>1</v>
      </c>
      <c r="AI140" s="133">
        <f t="shared" si="29"/>
        <v>1</v>
      </c>
      <c r="AJ140" s="55" t="str">
        <f t="shared" si="30"/>
        <v>UNKNOWN</v>
      </c>
      <c r="AK140" s="68"/>
      <c r="AL140" s="68" t="str">
        <f t="shared" si="33"/>
        <v>1F</v>
      </c>
      <c r="AM140" s="68" t="str">
        <f t="shared" si="34"/>
        <v>00</v>
      </c>
      <c r="AN140" s="68" t="str">
        <f t="shared" si="35"/>
        <v>00</v>
      </c>
      <c r="AO140" s="68" t="str">
        <f t="shared" si="36"/>
        <v>00</v>
      </c>
      <c r="AQ140" t="str">
        <f t="shared" si="31"/>
        <v xml:space="preserve">    (U4)0x0000001FU,                                                           /* 04 UNKNOWN                                         */</v>
      </c>
    </row>
    <row r="141" spans="1:43">
      <c r="B141" s="139"/>
      <c r="C141" s="55">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0</v>
      </c>
      <c r="AE141" s="133">
        <f t="shared" si="29"/>
        <v>1</v>
      </c>
      <c r="AF141" s="133">
        <f t="shared" si="29"/>
        <v>1</v>
      </c>
      <c r="AG141" s="133">
        <f t="shared" si="29"/>
        <v>1</v>
      </c>
      <c r="AH141" s="133">
        <f t="shared" si="29"/>
        <v>1</v>
      </c>
      <c r="AI141" s="133">
        <f t="shared" si="29"/>
        <v>1</v>
      </c>
      <c r="AJ141" s="55" t="str">
        <f t="shared" si="30"/>
        <v>ON_G</v>
      </c>
      <c r="AK141" s="68"/>
      <c r="AL141" s="68" t="str">
        <f t="shared" si="33"/>
        <v>1F</v>
      </c>
      <c r="AM141" s="68" t="str">
        <f t="shared" si="34"/>
        <v>00</v>
      </c>
      <c r="AN141" s="68" t="str">
        <f t="shared" si="35"/>
        <v>00</v>
      </c>
      <c r="AO141" s="68" t="str">
        <f t="shared" si="36"/>
        <v>00</v>
      </c>
      <c r="AQ141" t="str">
        <f t="shared" si="31"/>
        <v xml:space="preserve">    (U4)0x0000001FU,                                                           /* 05 ON_G                                            */</v>
      </c>
    </row>
    <row r="142" spans="1:43">
      <c r="B142" s="139"/>
      <c r="C142" s="55">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0</v>
      </c>
      <c r="AE142" s="133">
        <f t="shared" si="29"/>
        <v>1</v>
      </c>
      <c r="AF142" s="133">
        <f t="shared" si="29"/>
        <v>1</v>
      </c>
      <c r="AG142" s="133">
        <f t="shared" si="29"/>
        <v>1</v>
      </c>
      <c r="AH142" s="133">
        <f t="shared" si="29"/>
        <v>1</v>
      </c>
      <c r="AI142" s="133">
        <f t="shared" si="29"/>
        <v>1</v>
      </c>
      <c r="AJ142" s="55" t="str">
        <f t="shared" si="30"/>
        <v>UNKNOWN</v>
      </c>
      <c r="AK142" s="68"/>
      <c r="AL142" s="68" t="str">
        <f t="shared" si="33"/>
        <v>1F</v>
      </c>
      <c r="AM142" s="68" t="str">
        <f t="shared" si="34"/>
        <v>00</v>
      </c>
      <c r="AN142" s="68" t="str">
        <f t="shared" si="35"/>
        <v>00</v>
      </c>
      <c r="AO142" s="68" t="str">
        <f t="shared" si="36"/>
        <v>00</v>
      </c>
      <c r="AQ142" t="str">
        <f t="shared" si="31"/>
        <v xml:space="preserve">    (U4)0x0000001FU,                                                           /* 06 UNKNOWN                                         */</v>
      </c>
    </row>
    <row r="143" spans="1:43">
      <c r="B143" s="139"/>
      <c r="C143" s="55">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0</v>
      </c>
      <c r="AE143" s="133">
        <f t="shared" si="29"/>
        <v>1</v>
      </c>
      <c r="AF143" s="133">
        <f t="shared" si="29"/>
        <v>1</v>
      </c>
      <c r="AG143" s="133">
        <f t="shared" si="29"/>
        <v>1</v>
      </c>
      <c r="AH143" s="133">
        <f t="shared" si="29"/>
        <v>1</v>
      </c>
      <c r="AI143" s="133">
        <f t="shared" ref="AI143" si="37">IF(OR(AI13=0,AI13=1),1,0)</f>
        <v>1</v>
      </c>
      <c r="AJ143" s="55" t="str">
        <f t="shared" si="30"/>
        <v>ON_W</v>
      </c>
      <c r="AK143" s="68"/>
      <c r="AL143" s="68" t="str">
        <f t="shared" si="33"/>
        <v>1F</v>
      </c>
      <c r="AM143" s="68" t="str">
        <f t="shared" si="34"/>
        <v>00</v>
      </c>
      <c r="AN143" s="68" t="str">
        <f t="shared" si="35"/>
        <v>00</v>
      </c>
      <c r="AO143" s="68" t="str">
        <f t="shared" si="36"/>
        <v>00</v>
      </c>
      <c r="AQ143" t="str">
        <f t="shared" si="31"/>
        <v xml:space="preserve">    (U4)0x0000001FU,                                                           /* 07 ON_W                                            */</v>
      </c>
    </row>
    <row r="144" spans="1:43">
      <c r="B144" s="139"/>
      <c r="C144" s="55">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0</v>
      </c>
      <c r="AE144" s="133">
        <f t="shared" si="38"/>
        <v>1</v>
      </c>
      <c r="AF144" s="133">
        <f t="shared" si="38"/>
        <v>1</v>
      </c>
      <c r="AG144" s="133">
        <f t="shared" si="38"/>
        <v>1</v>
      </c>
      <c r="AH144" s="133">
        <f t="shared" si="38"/>
        <v>1</v>
      </c>
      <c r="AI144" s="133">
        <f t="shared" si="38"/>
        <v>1</v>
      </c>
      <c r="AJ144" s="55" t="str">
        <f t="shared" si="30"/>
        <v>UNKNOWN</v>
      </c>
      <c r="AK144" s="68"/>
      <c r="AL144" s="68" t="str">
        <f t="shared" si="33"/>
        <v>1F</v>
      </c>
      <c r="AM144" s="68" t="str">
        <f t="shared" si="34"/>
        <v>00</v>
      </c>
      <c r="AN144" s="68" t="str">
        <f t="shared" si="35"/>
        <v>00</v>
      </c>
      <c r="AO144" s="68" t="str">
        <f t="shared" si="36"/>
        <v>00</v>
      </c>
      <c r="AQ144" t="str">
        <f t="shared" si="31"/>
        <v xml:space="preserve">    (U4)0x0000001FU,                                                           /* 08 UNKNOWN                                         */</v>
      </c>
    </row>
    <row r="145" spans="2:43">
      <c r="B145" s="139"/>
      <c r="C145" s="55">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0</v>
      </c>
      <c r="AE145" s="133">
        <f t="shared" si="38"/>
        <v>1</v>
      </c>
      <c r="AF145" s="133">
        <f t="shared" si="38"/>
        <v>1</v>
      </c>
      <c r="AG145" s="133">
        <f t="shared" si="38"/>
        <v>1</v>
      </c>
      <c r="AH145" s="133">
        <f t="shared" si="38"/>
        <v>1</v>
      </c>
      <c r="AI145" s="133">
        <f t="shared" si="38"/>
        <v>1</v>
      </c>
      <c r="AJ145" s="55" t="str">
        <f t="shared" si="30"/>
        <v>UNKNOWN</v>
      </c>
      <c r="AK145" s="68"/>
      <c r="AL145" s="68" t="str">
        <f t="shared" si="33"/>
        <v>1F</v>
      </c>
      <c r="AM145" s="68" t="str">
        <f t="shared" si="34"/>
        <v>00</v>
      </c>
      <c r="AN145" s="68" t="str">
        <f t="shared" si="35"/>
        <v>00</v>
      </c>
      <c r="AO145" s="68" t="str">
        <f t="shared" si="36"/>
        <v>00</v>
      </c>
      <c r="AQ145" t="str">
        <f t="shared" si="31"/>
        <v xml:space="preserve">    (U4)0x0000001FU,                                                           /* 09 UNKNOWN                                         */</v>
      </c>
    </row>
    <row r="146" spans="2:43">
      <c r="B146" s="139"/>
      <c r="C146" s="55">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0</v>
      </c>
      <c r="AE146" s="133">
        <f t="shared" si="38"/>
        <v>1</v>
      </c>
      <c r="AF146" s="133">
        <f t="shared" si="38"/>
        <v>1</v>
      </c>
      <c r="AG146" s="133">
        <f t="shared" si="38"/>
        <v>1</v>
      </c>
      <c r="AH146" s="133">
        <f t="shared" si="38"/>
        <v>1</v>
      </c>
      <c r="AI146" s="133">
        <f t="shared" si="38"/>
        <v>1</v>
      </c>
      <c r="AJ146" s="55" t="str">
        <f t="shared" si="30"/>
        <v>UNKNOWN</v>
      </c>
      <c r="AK146" s="68"/>
      <c r="AL146" s="68" t="str">
        <f t="shared" si="33"/>
        <v>1F</v>
      </c>
      <c r="AM146" s="68" t="str">
        <f t="shared" si="34"/>
        <v>00</v>
      </c>
      <c r="AN146" s="68" t="str">
        <f t="shared" si="35"/>
        <v>00</v>
      </c>
      <c r="AO146" s="68" t="str">
        <f t="shared" si="36"/>
        <v>00</v>
      </c>
      <c r="AQ146" t="str">
        <f t="shared" si="31"/>
        <v xml:space="preserve">    (U4)0x0000001FU,                                                           /* 10 UNKNOWN                                         */</v>
      </c>
    </row>
    <row r="147" spans="2:43">
      <c r="B147" s="139"/>
      <c r="C147" s="55">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0</v>
      </c>
      <c r="AE147" s="133">
        <f t="shared" si="38"/>
        <v>1</v>
      </c>
      <c r="AF147" s="133">
        <f t="shared" si="38"/>
        <v>1</v>
      </c>
      <c r="AG147" s="133">
        <f t="shared" si="38"/>
        <v>1</v>
      </c>
      <c r="AH147" s="133">
        <f t="shared" si="38"/>
        <v>1</v>
      </c>
      <c r="AI147" s="133">
        <f t="shared" si="38"/>
        <v>1</v>
      </c>
      <c r="AJ147" s="55" t="str">
        <f t="shared" si="30"/>
        <v>UNKNOWN</v>
      </c>
      <c r="AK147" s="68"/>
      <c r="AL147" s="68" t="str">
        <f t="shared" si="33"/>
        <v>1F</v>
      </c>
      <c r="AM147" s="68" t="str">
        <f t="shared" si="34"/>
        <v>00</v>
      </c>
      <c r="AN147" s="68" t="str">
        <f t="shared" si="35"/>
        <v>00</v>
      </c>
      <c r="AO147" s="68" t="str">
        <f t="shared" si="36"/>
        <v>00</v>
      </c>
      <c r="AQ147" t="str">
        <f t="shared" si="31"/>
        <v xml:space="preserve">    (U4)0x0000001FU,                                                           /* 11 UNKNOWN                                         */</v>
      </c>
    </row>
    <row r="148" spans="2:43">
      <c r="B148" s="139"/>
      <c r="C148" s="55">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0</v>
      </c>
      <c r="AE148" s="133">
        <f t="shared" si="38"/>
        <v>1</v>
      </c>
      <c r="AF148" s="133">
        <f t="shared" si="38"/>
        <v>1</v>
      </c>
      <c r="AG148" s="133">
        <f t="shared" si="38"/>
        <v>1</v>
      </c>
      <c r="AH148" s="133">
        <f t="shared" si="38"/>
        <v>1</v>
      </c>
      <c r="AI148" s="133">
        <f t="shared" si="38"/>
        <v>1</v>
      </c>
      <c r="AJ148" s="55" t="str">
        <f t="shared" si="30"/>
        <v>UNKNOWN</v>
      </c>
      <c r="AK148" s="68"/>
      <c r="AL148" s="68" t="str">
        <f t="shared" si="33"/>
        <v>1F</v>
      </c>
      <c r="AM148" s="68" t="str">
        <f t="shared" si="34"/>
        <v>00</v>
      </c>
      <c r="AN148" s="68" t="str">
        <f t="shared" si="35"/>
        <v>00</v>
      </c>
      <c r="AO148" s="68" t="str">
        <f t="shared" si="36"/>
        <v>00</v>
      </c>
      <c r="AQ148" t="str">
        <f t="shared" si="31"/>
        <v xml:space="preserve">    (U4)0x0000001FU,                                                           /* 12 UNKNOWN                                         */</v>
      </c>
    </row>
    <row r="149" spans="2:43">
      <c r="B149" s="139"/>
      <c r="C149" s="55">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0</v>
      </c>
      <c r="AE149" s="133">
        <f t="shared" si="38"/>
        <v>1</v>
      </c>
      <c r="AF149" s="133">
        <f t="shared" si="38"/>
        <v>1</v>
      </c>
      <c r="AG149" s="133">
        <f t="shared" si="38"/>
        <v>1</v>
      </c>
      <c r="AH149" s="133">
        <f t="shared" si="38"/>
        <v>1</v>
      </c>
      <c r="AI149" s="133">
        <f t="shared" si="38"/>
        <v>1</v>
      </c>
      <c r="AJ149" s="55" t="str">
        <f t="shared" si="30"/>
        <v>UNKNOWN</v>
      </c>
      <c r="AK149" s="68"/>
      <c r="AL149" s="68" t="str">
        <f t="shared" si="33"/>
        <v>1F</v>
      </c>
      <c r="AM149" s="68" t="str">
        <f t="shared" si="34"/>
        <v>00</v>
      </c>
      <c r="AN149" s="68" t="str">
        <f t="shared" si="35"/>
        <v>00</v>
      </c>
      <c r="AO149" s="68" t="str">
        <f t="shared" si="36"/>
        <v>00</v>
      </c>
      <c r="AQ149" t="str">
        <f t="shared" si="31"/>
        <v xml:space="preserve">    (U4)0x0000001FU,                                                           /* 13 UNKNOWN                                         */</v>
      </c>
    </row>
    <row r="150" spans="2:43">
      <c r="B150" s="139"/>
      <c r="C150" s="55">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0</v>
      </c>
      <c r="AE150" s="133">
        <f t="shared" si="38"/>
        <v>1</v>
      </c>
      <c r="AF150" s="133">
        <f t="shared" si="38"/>
        <v>1</v>
      </c>
      <c r="AG150" s="133">
        <f t="shared" si="38"/>
        <v>1</v>
      </c>
      <c r="AH150" s="133">
        <f t="shared" si="38"/>
        <v>1</v>
      </c>
      <c r="AI150" s="133">
        <f t="shared" si="38"/>
        <v>1</v>
      </c>
      <c r="AJ150" s="55" t="str">
        <f t="shared" si="30"/>
        <v>UNKNOWN</v>
      </c>
      <c r="AK150" s="68"/>
      <c r="AL150" s="68" t="str">
        <f t="shared" si="33"/>
        <v>1F</v>
      </c>
      <c r="AM150" s="68" t="str">
        <f t="shared" si="34"/>
        <v>00</v>
      </c>
      <c r="AN150" s="68" t="str">
        <f t="shared" si="35"/>
        <v>00</v>
      </c>
      <c r="AO150" s="68" t="str">
        <f t="shared" si="36"/>
        <v>00</v>
      </c>
      <c r="AQ150" t="str">
        <f t="shared" si="31"/>
        <v xml:space="preserve">    (U4)0x0000001FU,                                                           /* 14 UNKNOWN                                         */</v>
      </c>
    </row>
    <row r="151" spans="2:43">
      <c r="B151" s="139"/>
      <c r="C151" s="55">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0</v>
      </c>
      <c r="AE151" s="133">
        <f t="shared" si="38"/>
        <v>1</v>
      </c>
      <c r="AF151" s="133">
        <f t="shared" si="38"/>
        <v>1</v>
      </c>
      <c r="AG151" s="133">
        <f t="shared" si="38"/>
        <v>1</v>
      </c>
      <c r="AH151" s="133">
        <f t="shared" si="38"/>
        <v>1</v>
      </c>
      <c r="AI151" s="133">
        <f t="shared" ref="AI151" si="39">IF(OR(AI21=0,AI21=1),1,0)</f>
        <v>1</v>
      </c>
      <c r="AJ151" s="55" t="str">
        <f t="shared" si="30"/>
        <v>UNKNOWN</v>
      </c>
      <c r="AK151" s="68"/>
      <c r="AL151" s="68" t="str">
        <f t="shared" si="33"/>
        <v>1F</v>
      </c>
      <c r="AM151" s="68" t="str">
        <f t="shared" si="34"/>
        <v>00</v>
      </c>
      <c r="AN151" s="68" t="str">
        <f t="shared" si="35"/>
        <v>00</v>
      </c>
      <c r="AO151" s="68" t="str">
        <f t="shared" si="36"/>
        <v>00</v>
      </c>
      <c r="AQ151" t="str">
        <f t="shared" si="31"/>
        <v xml:space="preserve">    (U4)0x0000001FU,                                                           /* 15 UNKNOWN                                         */</v>
      </c>
    </row>
    <row r="152" spans="2:43">
      <c r="B152" s="139"/>
      <c r="C152" s="55">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0</v>
      </c>
      <c r="AE152" s="133">
        <f t="shared" si="40"/>
        <v>1</v>
      </c>
      <c r="AF152" s="133">
        <f t="shared" si="40"/>
        <v>1</v>
      </c>
      <c r="AG152" s="133">
        <f t="shared" si="40"/>
        <v>1</v>
      </c>
      <c r="AH152" s="133">
        <f t="shared" si="40"/>
        <v>1</v>
      </c>
      <c r="AI152" s="133">
        <f t="shared" si="40"/>
        <v>1</v>
      </c>
      <c r="AJ152" s="55" t="str">
        <f t="shared" si="30"/>
        <v>UNKNOWN</v>
      </c>
      <c r="AK152" s="68"/>
      <c r="AL152" s="68" t="str">
        <f t="shared" si="33"/>
        <v>1F</v>
      </c>
      <c r="AM152" s="68" t="str">
        <f t="shared" si="34"/>
        <v>00</v>
      </c>
      <c r="AN152" s="68" t="str">
        <f t="shared" si="35"/>
        <v>00</v>
      </c>
      <c r="AO152" s="68" t="str">
        <f t="shared" si="36"/>
        <v>00</v>
      </c>
      <c r="AQ152" t="str">
        <f t="shared" si="31"/>
        <v xml:space="preserve">    (U4)0x0000001FU,                                                           /* 16 UNKNOWN                                         */</v>
      </c>
    </row>
    <row r="153" spans="2:43">
      <c r="B153" s="139"/>
      <c r="C153" s="55">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0</v>
      </c>
      <c r="AE153" s="133">
        <f t="shared" si="40"/>
        <v>1</v>
      </c>
      <c r="AF153" s="133">
        <f t="shared" si="40"/>
        <v>1</v>
      </c>
      <c r="AG153" s="133">
        <f t="shared" si="40"/>
        <v>1</v>
      </c>
      <c r="AH153" s="133">
        <f t="shared" si="40"/>
        <v>1</v>
      </c>
      <c r="AI153" s="133">
        <f t="shared" si="40"/>
        <v>1</v>
      </c>
      <c r="AJ153" s="55" t="str">
        <f t="shared" si="30"/>
        <v>UNKNOWN</v>
      </c>
      <c r="AK153" s="68"/>
      <c r="AL153" s="68" t="str">
        <f t="shared" si="33"/>
        <v>1F</v>
      </c>
      <c r="AM153" s="68" t="str">
        <f t="shared" si="34"/>
        <v>00</v>
      </c>
      <c r="AN153" s="68" t="str">
        <f t="shared" si="35"/>
        <v>00</v>
      </c>
      <c r="AO153" s="68" t="str">
        <f t="shared" si="36"/>
        <v>00</v>
      </c>
      <c r="AQ153" t="str">
        <f t="shared" si="31"/>
        <v xml:space="preserve">    (U4)0x0000001FU,                                                           /* 17 UNKNOWN                                         */</v>
      </c>
    </row>
    <row r="154" spans="2:43">
      <c r="B154" s="139"/>
      <c r="C154" s="55">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0</v>
      </c>
      <c r="AE154" s="133">
        <f t="shared" si="40"/>
        <v>1</v>
      </c>
      <c r="AF154" s="133">
        <f t="shared" si="40"/>
        <v>1</v>
      </c>
      <c r="AG154" s="133">
        <f t="shared" si="40"/>
        <v>1</v>
      </c>
      <c r="AH154" s="133">
        <f t="shared" si="40"/>
        <v>1</v>
      </c>
      <c r="AI154" s="133">
        <f t="shared" si="40"/>
        <v>1</v>
      </c>
      <c r="AJ154" s="55" t="str">
        <f t="shared" si="30"/>
        <v>UNKNOWN</v>
      </c>
      <c r="AK154" s="68"/>
      <c r="AL154" s="68" t="str">
        <f t="shared" si="33"/>
        <v>1F</v>
      </c>
      <c r="AM154" s="68" t="str">
        <f t="shared" si="34"/>
        <v>00</v>
      </c>
      <c r="AN154" s="68" t="str">
        <f t="shared" si="35"/>
        <v>00</v>
      </c>
      <c r="AO154" s="68" t="str">
        <f t="shared" si="36"/>
        <v>00</v>
      </c>
      <c r="AQ154" t="str">
        <f t="shared" si="31"/>
        <v xml:space="preserve">    (U4)0x0000001FU,                                                           /* 18 UNKNOWN                                         */</v>
      </c>
    </row>
    <row r="155" spans="2:43">
      <c r="B155" s="139"/>
      <c r="C155" s="55">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0</v>
      </c>
      <c r="AE155" s="133">
        <f t="shared" si="40"/>
        <v>1</v>
      </c>
      <c r="AF155" s="133">
        <f t="shared" si="40"/>
        <v>1</v>
      </c>
      <c r="AG155" s="133">
        <f t="shared" si="40"/>
        <v>1</v>
      </c>
      <c r="AH155" s="133">
        <f t="shared" si="40"/>
        <v>1</v>
      </c>
      <c r="AI155" s="133">
        <f t="shared" si="40"/>
        <v>1</v>
      </c>
      <c r="AJ155" s="55" t="str">
        <f t="shared" si="30"/>
        <v>UNKNOWN</v>
      </c>
      <c r="AK155" s="68"/>
      <c r="AL155" s="68" t="str">
        <f t="shared" si="33"/>
        <v>1F</v>
      </c>
      <c r="AM155" s="68" t="str">
        <f t="shared" si="34"/>
        <v>00</v>
      </c>
      <c r="AN155" s="68" t="str">
        <f t="shared" si="35"/>
        <v>00</v>
      </c>
      <c r="AO155" s="68" t="str">
        <f t="shared" si="36"/>
        <v>00</v>
      </c>
      <c r="AQ155" t="str">
        <f t="shared" si="31"/>
        <v xml:space="preserve">    (U4)0x0000001FU,                                                           /* 19 UNKNOWN                                         */</v>
      </c>
    </row>
    <row r="156" spans="2:43">
      <c r="B156" s="139"/>
      <c r="C156" s="55">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0</v>
      </c>
      <c r="AE156" s="133">
        <f t="shared" si="40"/>
        <v>1</v>
      </c>
      <c r="AF156" s="133">
        <f t="shared" si="40"/>
        <v>1</v>
      </c>
      <c r="AG156" s="133">
        <f t="shared" si="40"/>
        <v>1</v>
      </c>
      <c r="AH156" s="133">
        <f t="shared" si="40"/>
        <v>1</v>
      </c>
      <c r="AI156" s="133">
        <f t="shared" si="40"/>
        <v>1</v>
      </c>
      <c r="AJ156" s="55" t="str">
        <f t="shared" si="30"/>
        <v>UNKNOWN</v>
      </c>
      <c r="AK156" s="68"/>
      <c r="AL156" s="68" t="str">
        <f t="shared" si="33"/>
        <v>1F</v>
      </c>
      <c r="AM156" s="68" t="str">
        <f t="shared" si="34"/>
        <v>00</v>
      </c>
      <c r="AN156" s="68" t="str">
        <f t="shared" si="35"/>
        <v>00</v>
      </c>
      <c r="AO156" s="68" t="str">
        <f t="shared" si="36"/>
        <v>00</v>
      </c>
      <c r="AQ156" t="str">
        <f t="shared" si="31"/>
        <v xml:space="preserve">    (U4)0x0000001FU,                                                           /* 20 UNKNOWN                                         */</v>
      </c>
    </row>
    <row r="157" spans="2:43">
      <c r="B157" s="139"/>
      <c r="C157" s="55">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0</v>
      </c>
      <c r="AE157" s="133">
        <f t="shared" si="40"/>
        <v>1</v>
      </c>
      <c r="AF157" s="133">
        <f t="shared" si="40"/>
        <v>1</v>
      </c>
      <c r="AG157" s="133">
        <f t="shared" si="40"/>
        <v>1</v>
      </c>
      <c r="AH157" s="133">
        <f t="shared" si="40"/>
        <v>1</v>
      </c>
      <c r="AI157" s="133">
        <f t="shared" si="40"/>
        <v>1</v>
      </c>
      <c r="AJ157" s="55" t="str">
        <f t="shared" si="30"/>
        <v>UNKNOWN</v>
      </c>
      <c r="AK157" s="68"/>
      <c r="AL157" s="68" t="str">
        <f t="shared" si="33"/>
        <v>1F</v>
      </c>
      <c r="AM157" s="68" t="str">
        <f t="shared" si="34"/>
        <v>00</v>
      </c>
      <c r="AN157" s="68" t="str">
        <f t="shared" si="35"/>
        <v>00</v>
      </c>
      <c r="AO157" s="68" t="str">
        <f t="shared" si="36"/>
        <v>00</v>
      </c>
      <c r="AQ157" t="str">
        <f t="shared" si="31"/>
        <v xml:space="preserve">    (U4)0x0000001FU,                                                           /* 21 UNKNOWN                                         */</v>
      </c>
    </row>
    <row r="158" spans="2:43">
      <c r="B158" s="139"/>
      <c r="C158" s="55">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0</v>
      </c>
      <c r="AE158" s="133">
        <f t="shared" si="40"/>
        <v>1</v>
      </c>
      <c r="AF158" s="133">
        <f t="shared" si="40"/>
        <v>1</v>
      </c>
      <c r="AG158" s="133">
        <f t="shared" si="40"/>
        <v>1</v>
      </c>
      <c r="AH158" s="133">
        <f t="shared" si="40"/>
        <v>1</v>
      </c>
      <c r="AI158" s="133">
        <f t="shared" si="40"/>
        <v>1</v>
      </c>
      <c r="AJ158" s="55" t="str">
        <f t="shared" si="30"/>
        <v>UNKNOWN</v>
      </c>
      <c r="AK158" s="68"/>
      <c r="AL158" s="68" t="str">
        <f t="shared" si="33"/>
        <v>1F</v>
      </c>
      <c r="AM158" s="68" t="str">
        <f t="shared" si="34"/>
        <v>00</v>
      </c>
      <c r="AN158" s="68" t="str">
        <f t="shared" si="35"/>
        <v>00</v>
      </c>
      <c r="AO158" s="68" t="str">
        <f t="shared" si="36"/>
        <v>00</v>
      </c>
      <c r="AQ158" t="str">
        <f t="shared" si="31"/>
        <v xml:space="preserve">    (U4)0x0000001FU,                                                           /* 22 UNKNOWN                                         */</v>
      </c>
    </row>
    <row r="159" spans="2:43">
      <c r="B159" s="139"/>
      <c r="C159" s="55">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0</v>
      </c>
      <c r="AE159" s="133">
        <f t="shared" si="40"/>
        <v>1</v>
      </c>
      <c r="AF159" s="133">
        <f t="shared" si="40"/>
        <v>1</v>
      </c>
      <c r="AG159" s="133">
        <f t="shared" si="40"/>
        <v>1</v>
      </c>
      <c r="AH159" s="133">
        <f t="shared" si="40"/>
        <v>1</v>
      </c>
      <c r="AI159" s="133">
        <f t="shared" ref="AI159" si="41">IF(OR(AI29=0,AI29=1),1,0)</f>
        <v>1</v>
      </c>
      <c r="AJ159" s="55" t="str">
        <f t="shared" si="30"/>
        <v>UNKNOWN</v>
      </c>
      <c r="AK159" s="68"/>
      <c r="AL159" s="68" t="str">
        <f t="shared" si="33"/>
        <v>1F</v>
      </c>
      <c r="AM159" s="68" t="str">
        <f t="shared" si="34"/>
        <v>00</v>
      </c>
      <c r="AN159" s="68" t="str">
        <f t="shared" si="35"/>
        <v>00</v>
      </c>
      <c r="AO159" s="68" t="str">
        <f t="shared" si="36"/>
        <v>00</v>
      </c>
      <c r="AQ159" t="str">
        <f t="shared" si="31"/>
        <v xml:space="preserve">    (U4)0x0000001FU,                                                           /* 23 UNKNOWN                                         */</v>
      </c>
    </row>
    <row r="160" spans="2:43">
      <c r="B160" s="139"/>
      <c r="C160" s="55">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0</v>
      </c>
      <c r="AE160" s="133">
        <f t="shared" si="42"/>
        <v>1</v>
      </c>
      <c r="AF160" s="133">
        <f t="shared" si="42"/>
        <v>1</v>
      </c>
      <c r="AG160" s="133">
        <f t="shared" si="42"/>
        <v>1</v>
      </c>
      <c r="AH160" s="133">
        <f t="shared" si="42"/>
        <v>1</v>
      </c>
      <c r="AI160" s="133">
        <f t="shared" si="42"/>
        <v>1</v>
      </c>
      <c r="AJ160" s="55" t="str">
        <f t="shared" si="30"/>
        <v>UNKNOWN</v>
      </c>
      <c r="AK160" s="68"/>
      <c r="AL160" s="68" t="str">
        <f t="shared" si="33"/>
        <v>1F</v>
      </c>
      <c r="AM160" s="68" t="str">
        <f t="shared" si="34"/>
        <v>00</v>
      </c>
      <c r="AN160" s="68" t="str">
        <f t="shared" si="35"/>
        <v>00</v>
      </c>
      <c r="AO160" s="68" t="str">
        <f t="shared" si="36"/>
        <v>00</v>
      </c>
      <c r="AQ160" t="str">
        <f t="shared" si="31"/>
        <v xml:space="preserve">    (U4)0x0000001FU,                                                           /* 24 UNKNOWN                                         */</v>
      </c>
    </row>
    <row r="161" spans="2:43">
      <c r="B161" s="139"/>
      <c r="C161" s="55">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0</v>
      </c>
      <c r="AE161" s="133">
        <f t="shared" si="42"/>
        <v>1</v>
      </c>
      <c r="AF161" s="133">
        <f t="shared" si="42"/>
        <v>1</v>
      </c>
      <c r="AG161" s="133">
        <f t="shared" si="42"/>
        <v>1</v>
      </c>
      <c r="AH161" s="133">
        <f t="shared" si="42"/>
        <v>1</v>
      </c>
      <c r="AI161" s="133">
        <f t="shared" si="42"/>
        <v>1</v>
      </c>
      <c r="AJ161" s="55" t="str">
        <f t="shared" si="30"/>
        <v>UNKNOWN</v>
      </c>
      <c r="AK161" s="68"/>
      <c r="AL161" s="68" t="str">
        <f t="shared" si="33"/>
        <v>1F</v>
      </c>
      <c r="AM161" s="68" t="str">
        <f t="shared" si="34"/>
        <v>00</v>
      </c>
      <c r="AN161" s="68" t="str">
        <f t="shared" si="35"/>
        <v>00</v>
      </c>
      <c r="AO161" s="68" t="str">
        <f t="shared" si="36"/>
        <v>00</v>
      </c>
      <c r="AQ161" t="str">
        <f t="shared" si="31"/>
        <v xml:space="preserve">    (U4)0x0000001FU,                                                           /* 25 UNKNOWN                                         */</v>
      </c>
    </row>
    <row r="162" spans="2:43">
      <c r="B162" s="139"/>
      <c r="C162" s="55">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0</v>
      </c>
      <c r="AE162" s="133">
        <f t="shared" si="42"/>
        <v>1</v>
      </c>
      <c r="AF162" s="133">
        <f t="shared" si="42"/>
        <v>1</v>
      </c>
      <c r="AG162" s="133">
        <f t="shared" si="42"/>
        <v>1</v>
      </c>
      <c r="AH162" s="133">
        <f t="shared" si="42"/>
        <v>1</v>
      </c>
      <c r="AI162" s="133">
        <f t="shared" si="42"/>
        <v>1</v>
      </c>
      <c r="AJ162" s="55" t="str">
        <f t="shared" si="30"/>
        <v>UNKNOWN</v>
      </c>
      <c r="AK162" s="68"/>
      <c r="AL162" s="68" t="str">
        <f t="shared" si="33"/>
        <v>1F</v>
      </c>
      <c r="AM162" s="68" t="str">
        <f t="shared" si="34"/>
        <v>00</v>
      </c>
      <c r="AN162" s="68" t="str">
        <f t="shared" si="35"/>
        <v>00</v>
      </c>
      <c r="AO162" s="68" t="str">
        <f t="shared" si="36"/>
        <v>00</v>
      </c>
      <c r="AQ162" t="str">
        <f t="shared" si="31"/>
        <v xml:space="preserve">    (U4)0x0000001FU,                                                           /* 26 UNKNOWN                                         */</v>
      </c>
    </row>
    <row r="163" spans="2:43">
      <c r="B163" s="139"/>
      <c r="C163" s="55">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0</v>
      </c>
      <c r="AE163" s="133">
        <f t="shared" si="42"/>
        <v>1</v>
      </c>
      <c r="AF163" s="133">
        <f t="shared" si="42"/>
        <v>1</v>
      </c>
      <c r="AG163" s="133">
        <f t="shared" si="42"/>
        <v>1</v>
      </c>
      <c r="AH163" s="133">
        <f t="shared" si="42"/>
        <v>1</v>
      </c>
      <c r="AI163" s="133">
        <f t="shared" si="42"/>
        <v>1</v>
      </c>
      <c r="AJ163" s="55" t="str">
        <f t="shared" si="30"/>
        <v>UNKNOWN</v>
      </c>
      <c r="AK163" s="68"/>
      <c r="AL163" s="68" t="str">
        <f t="shared" si="33"/>
        <v>1F</v>
      </c>
      <c r="AM163" s="68" t="str">
        <f t="shared" si="34"/>
        <v>00</v>
      </c>
      <c r="AN163" s="68" t="str">
        <f t="shared" si="35"/>
        <v>00</v>
      </c>
      <c r="AO163" s="68" t="str">
        <f t="shared" si="36"/>
        <v>00</v>
      </c>
      <c r="AQ163" t="str">
        <f t="shared" si="31"/>
        <v xml:space="preserve">    (U4)0x0000001FU,                                                           /* 27 UNKNOWN                                         */</v>
      </c>
    </row>
    <row r="164" spans="2:43">
      <c r="B164" s="139"/>
      <c r="C164" s="55">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0</v>
      </c>
      <c r="AE164" s="133">
        <f t="shared" si="42"/>
        <v>1</v>
      </c>
      <c r="AF164" s="133">
        <f t="shared" si="42"/>
        <v>1</v>
      </c>
      <c r="AG164" s="133">
        <f t="shared" si="42"/>
        <v>1</v>
      </c>
      <c r="AH164" s="133">
        <f t="shared" si="42"/>
        <v>1</v>
      </c>
      <c r="AI164" s="133">
        <f t="shared" si="42"/>
        <v>1</v>
      </c>
      <c r="AJ164" s="55" t="str">
        <f t="shared" si="30"/>
        <v>UNKNOWN</v>
      </c>
      <c r="AK164" s="68"/>
      <c r="AL164" s="68" t="str">
        <f t="shared" si="33"/>
        <v>1F</v>
      </c>
      <c r="AM164" s="68" t="str">
        <f t="shared" si="34"/>
        <v>00</v>
      </c>
      <c r="AN164" s="68" t="str">
        <f t="shared" si="35"/>
        <v>00</v>
      </c>
      <c r="AO164" s="68" t="str">
        <f t="shared" si="36"/>
        <v>00</v>
      </c>
      <c r="AQ164" t="str">
        <f t="shared" si="31"/>
        <v xml:space="preserve">    (U4)0x0000001FU,                                                           /* 28 UNKNOWN                                         */</v>
      </c>
    </row>
    <row r="165" spans="2:43">
      <c r="B165" s="139"/>
      <c r="C165" s="55">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0</v>
      </c>
      <c r="AE165" s="133">
        <f t="shared" si="42"/>
        <v>1</v>
      </c>
      <c r="AF165" s="133">
        <f t="shared" si="42"/>
        <v>1</v>
      </c>
      <c r="AG165" s="133">
        <f t="shared" si="42"/>
        <v>1</v>
      </c>
      <c r="AH165" s="133">
        <f t="shared" si="42"/>
        <v>1</v>
      </c>
      <c r="AI165" s="133">
        <f t="shared" si="42"/>
        <v>1</v>
      </c>
      <c r="AJ165" s="55" t="str">
        <f t="shared" si="30"/>
        <v>UNKNOWN</v>
      </c>
      <c r="AK165" s="68"/>
      <c r="AL165" s="68" t="str">
        <f t="shared" si="33"/>
        <v>1F</v>
      </c>
      <c r="AM165" s="68" t="str">
        <f t="shared" si="34"/>
        <v>00</v>
      </c>
      <c r="AN165" s="68" t="str">
        <f t="shared" si="35"/>
        <v>00</v>
      </c>
      <c r="AO165" s="68" t="str">
        <f t="shared" si="36"/>
        <v>00</v>
      </c>
      <c r="AQ165" t="str">
        <f t="shared" si="31"/>
        <v xml:space="preserve">    (U4)0x0000001FU,                                                           /* 29 UNKNOWN                                         */</v>
      </c>
    </row>
    <row r="166" spans="2:43">
      <c r="B166" s="139"/>
      <c r="C166" s="55">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0</v>
      </c>
      <c r="AE166" s="133">
        <f t="shared" si="42"/>
        <v>1</v>
      </c>
      <c r="AF166" s="133">
        <f t="shared" si="42"/>
        <v>1</v>
      </c>
      <c r="AG166" s="133">
        <f t="shared" si="42"/>
        <v>1</v>
      </c>
      <c r="AH166" s="133">
        <f t="shared" si="42"/>
        <v>1</v>
      </c>
      <c r="AI166" s="133">
        <f t="shared" si="42"/>
        <v>1</v>
      </c>
      <c r="AJ166" s="55" t="str">
        <f t="shared" si="30"/>
        <v>UNKNOWN</v>
      </c>
      <c r="AK166" s="68"/>
      <c r="AL166" s="68" t="str">
        <f t="shared" si="33"/>
        <v>1F</v>
      </c>
      <c r="AM166" s="68" t="str">
        <f t="shared" si="34"/>
        <v>00</v>
      </c>
      <c r="AN166" s="68" t="str">
        <f t="shared" si="35"/>
        <v>00</v>
      </c>
      <c r="AO166" s="68" t="str">
        <f t="shared" si="36"/>
        <v>00</v>
      </c>
      <c r="AQ166" t="str">
        <f t="shared" si="31"/>
        <v xml:space="preserve">    (U4)0x0000001FU,                                                           /* 30 UNKNOWN                                         */</v>
      </c>
    </row>
    <row r="167" spans="2:43">
      <c r="B167" s="139"/>
      <c r="C167" s="55">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0</v>
      </c>
      <c r="AE167" s="133">
        <f t="shared" si="42"/>
        <v>1</v>
      </c>
      <c r="AF167" s="133">
        <f t="shared" si="42"/>
        <v>1</v>
      </c>
      <c r="AG167" s="133">
        <f t="shared" si="42"/>
        <v>1</v>
      </c>
      <c r="AH167" s="133">
        <f t="shared" si="42"/>
        <v>1</v>
      </c>
      <c r="AI167" s="133">
        <f t="shared" ref="AI167" si="43">IF(OR(AI37=0,AI37=1),1,0)</f>
        <v>1</v>
      </c>
      <c r="AJ167" s="55" t="str">
        <f t="shared" si="30"/>
        <v>UNKNOWN</v>
      </c>
      <c r="AK167" s="68"/>
      <c r="AL167" s="68" t="str">
        <f t="shared" si="33"/>
        <v>1F</v>
      </c>
      <c r="AM167" s="68" t="str">
        <f t="shared" si="34"/>
        <v>00</v>
      </c>
      <c r="AN167" s="68" t="str">
        <f t="shared" si="35"/>
        <v>00</v>
      </c>
      <c r="AO167" s="68" t="str">
        <f t="shared" si="36"/>
        <v>00</v>
      </c>
      <c r="AQ167" t="str">
        <f t="shared" si="31"/>
        <v xml:space="preserve">    (U4)0x0000001FU                                                            /* 31 UNKNOWN                                         */</v>
      </c>
    </row>
    <row r="168" spans="2:43">
      <c r="B168" s="139"/>
      <c r="C168" s="55">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0</v>
      </c>
      <c r="AE168" s="133">
        <f t="shared" si="44"/>
        <v>0</v>
      </c>
      <c r="AF168" s="133">
        <f t="shared" si="44"/>
        <v>0</v>
      </c>
      <c r="AG168" s="133">
        <f t="shared" si="44"/>
        <v>0</v>
      </c>
      <c r="AH168" s="133">
        <f t="shared" si="44"/>
        <v>0</v>
      </c>
      <c r="AI168" s="133">
        <f t="shared" si="44"/>
        <v>0</v>
      </c>
      <c r="AJ168" s="55" t="str">
        <f t="shared" si="30"/>
        <v/>
      </c>
      <c r="AK168" s="68"/>
      <c r="AL168" s="68" t="str">
        <f t="shared" si="33"/>
        <v>00</v>
      </c>
      <c r="AM168" s="68" t="str">
        <f t="shared" si="34"/>
        <v>00</v>
      </c>
      <c r="AN168" s="68" t="str">
        <f t="shared" si="35"/>
        <v>00</v>
      </c>
      <c r="AO168" s="68" t="str">
        <f t="shared" si="36"/>
        <v>00</v>
      </c>
      <c r="AQ168" t="str">
        <f t="shared" si="31"/>
        <v/>
      </c>
    </row>
    <row r="169" spans="2:43">
      <c r="B169" s="139"/>
      <c r="C169" s="55">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0</v>
      </c>
      <c r="AE169" s="133">
        <f t="shared" si="44"/>
        <v>0</v>
      </c>
      <c r="AF169" s="133">
        <f t="shared" si="44"/>
        <v>0</v>
      </c>
      <c r="AG169" s="133">
        <f t="shared" si="44"/>
        <v>0</v>
      </c>
      <c r="AH169" s="133">
        <f t="shared" si="44"/>
        <v>0</v>
      </c>
      <c r="AI169" s="133">
        <f t="shared" si="44"/>
        <v>0</v>
      </c>
      <c r="AJ169" s="55" t="str">
        <f t="shared" si="30"/>
        <v/>
      </c>
      <c r="AK169" s="68"/>
      <c r="AL169" s="68" t="str">
        <f t="shared" si="33"/>
        <v>00</v>
      </c>
      <c r="AM169" s="68" t="str">
        <f t="shared" si="34"/>
        <v>00</v>
      </c>
      <c r="AN169" s="68" t="str">
        <f t="shared" si="35"/>
        <v>00</v>
      </c>
      <c r="AO169" s="68" t="str">
        <f t="shared" si="36"/>
        <v>00</v>
      </c>
      <c r="AQ169" t="str">
        <f t="shared" si="31"/>
        <v/>
      </c>
    </row>
    <row r="170" spans="2:43">
      <c r="B170" s="139"/>
      <c r="C170" s="55">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0</v>
      </c>
      <c r="AE170" s="133">
        <f t="shared" si="44"/>
        <v>0</v>
      </c>
      <c r="AF170" s="133">
        <f t="shared" si="44"/>
        <v>0</v>
      </c>
      <c r="AG170" s="133">
        <f t="shared" si="44"/>
        <v>0</v>
      </c>
      <c r="AH170" s="133">
        <f t="shared" si="44"/>
        <v>0</v>
      </c>
      <c r="AI170" s="133">
        <f t="shared" si="44"/>
        <v>0</v>
      </c>
      <c r="AJ170" s="55" t="str">
        <f t="shared" si="30"/>
        <v/>
      </c>
      <c r="AK170" s="68"/>
      <c r="AL170" s="68" t="str">
        <f t="shared" si="33"/>
        <v>00</v>
      </c>
      <c r="AM170" s="68" t="str">
        <f t="shared" si="34"/>
        <v>00</v>
      </c>
      <c r="AN170" s="68" t="str">
        <f t="shared" si="35"/>
        <v>00</v>
      </c>
      <c r="AO170" s="68" t="str">
        <f t="shared" si="36"/>
        <v>00</v>
      </c>
      <c r="AQ170" t="str">
        <f t="shared" si="31"/>
        <v/>
      </c>
    </row>
    <row r="171" spans="2:43">
      <c r="B171" s="139"/>
      <c r="C171" s="55">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0</v>
      </c>
      <c r="AE171" s="133">
        <f t="shared" si="44"/>
        <v>0</v>
      </c>
      <c r="AF171" s="133">
        <f t="shared" si="44"/>
        <v>0</v>
      </c>
      <c r="AG171" s="133">
        <f t="shared" si="44"/>
        <v>0</v>
      </c>
      <c r="AH171" s="133">
        <f t="shared" si="44"/>
        <v>0</v>
      </c>
      <c r="AI171" s="133">
        <f t="shared" si="44"/>
        <v>0</v>
      </c>
      <c r="AJ171" s="55" t="str">
        <f t="shared" si="30"/>
        <v/>
      </c>
      <c r="AK171" s="68"/>
      <c r="AL171" s="68" t="str">
        <f t="shared" si="33"/>
        <v>00</v>
      </c>
      <c r="AM171" s="68" t="str">
        <f t="shared" si="34"/>
        <v>00</v>
      </c>
      <c r="AN171" s="68" t="str">
        <f t="shared" si="35"/>
        <v>00</v>
      </c>
      <c r="AO171" s="68" t="str">
        <f t="shared" si="36"/>
        <v>00</v>
      </c>
      <c r="AQ171" t="str">
        <f t="shared" si="31"/>
        <v/>
      </c>
    </row>
    <row r="172" spans="2:43">
      <c r="B172" s="139"/>
      <c r="C172" s="55">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0</v>
      </c>
      <c r="AE172" s="133">
        <f t="shared" si="44"/>
        <v>0</v>
      </c>
      <c r="AF172" s="133">
        <f t="shared" si="44"/>
        <v>0</v>
      </c>
      <c r="AG172" s="133">
        <f t="shared" si="44"/>
        <v>0</v>
      </c>
      <c r="AH172" s="133">
        <f t="shared" si="44"/>
        <v>0</v>
      </c>
      <c r="AI172" s="133">
        <f t="shared" si="44"/>
        <v>0</v>
      </c>
      <c r="AJ172" s="55" t="str">
        <f t="shared" si="30"/>
        <v/>
      </c>
      <c r="AK172" s="68"/>
      <c r="AL172" s="68" t="str">
        <f t="shared" si="33"/>
        <v>00</v>
      </c>
      <c r="AM172" s="68" t="str">
        <f t="shared" si="34"/>
        <v>00</v>
      </c>
      <c r="AN172" s="68" t="str">
        <f t="shared" si="35"/>
        <v>00</v>
      </c>
      <c r="AO172" s="68" t="str">
        <f t="shared" si="36"/>
        <v>00</v>
      </c>
      <c r="AQ172" t="str">
        <f t="shared" si="31"/>
        <v/>
      </c>
    </row>
    <row r="173" spans="2:43">
      <c r="B173" s="139"/>
      <c r="C173" s="55">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0</v>
      </c>
      <c r="AE173" s="133">
        <f t="shared" si="44"/>
        <v>0</v>
      </c>
      <c r="AF173" s="133">
        <f t="shared" si="44"/>
        <v>0</v>
      </c>
      <c r="AG173" s="133">
        <f t="shared" si="44"/>
        <v>0</v>
      </c>
      <c r="AH173" s="133">
        <f t="shared" si="44"/>
        <v>0</v>
      </c>
      <c r="AI173" s="133">
        <f t="shared" si="44"/>
        <v>0</v>
      </c>
      <c r="AJ173" s="55" t="str">
        <f t="shared" si="30"/>
        <v/>
      </c>
      <c r="AK173" s="68"/>
      <c r="AL173" s="68" t="str">
        <f t="shared" si="33"/>
        <v>00</v>
      </c>
      <c r="AM173" s="68" t="str">
        <f t="shared" si="34"/>
        <v>00</v>
      </c>
      <c r="AN173" s="68" t="str">
        <f t="shared" si="35"/>
        <v>00</v>
      </c>
      <c r="AO173" s="68" t="str">
        <f t="shared" si="36"/>
        <v>00</v>
      </c>
      <c r="AQ173" t="str">
        <f t="shared" si="31"/>
        <v/>
      </c>
    </row>
    <row r="174" spans="2:43">
      <c r="B174" s="139"/>
      <c r="C174" s="55">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0</v>
      </c>
      <c r="AE174" s="133">
        <f t="shared" si="44"/>
        <v>0</v>
      </c>
      <c r="AF174" s="133">
        <f t="shared" si="44"/>
        <v>0</v>
      </c>
      <c r="AG174" s="133">
        <f t="shared" si="44"/>
        <v>0</v>
      </c>
      <c r="AH174" s="133">
        <f t="shared" si="44"/>
        <v>0</v>
      </c>
      <c r="AI174" s="133">
        <f t="shared" si="44"/>
        <v>0</v>
      </c>
      <c r="AJ174" s="55" t="str">
        <f t="shared" si="30"/>
        <v/>
      </c>
      <c r="AK174" s="68"/>
      <c r="AL174" s="68" t="str">
        <f t="shared" si="33"/>
        <v>00</v>
      </c>
      <c r="AM174" s="68" t="str">
        <f t="shared" si="34"/>
        <v>00</v>
      </c>
      <c r="AN174" s="68" t="str">
        <f t="shared" si="35"/>
        <v>00</v>
      </c>
      <c r="AO174" s="68" t="str">
        <f t="shared" si="36"/>
        <v>00</v>
      </c>
      <c r="AQ174" t="str">
        <f t="shared" si="31"/>
        <v/>
      </c>
    </row>
    <row r="175" spans="2:43">
      <c r="B175" s="139"/>
      <c r="C175" s="55">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0</v>
      </c>
      <c r="AE175" s="133">
        <f t="shared" si="44"/>
        <v>0</v>
      </c>
      <c r="AF175" s="133">
        <f t="shared" si="44"/>
        <v>0</v>
      </c>
      <c r="AG175" s="133">
        <f t="shared" si="44"/>
        <v>0</v>
      </c>
      <c r="AH175" s="133">
        <f t="shared" si="44"/>
        <v>0</v>
      </c>
      <c r="AI175" s="133">
        <f t="shared" ref="AI175" si="45">IF(OR(AI45=0,AI45=1),1,0)</f>
        <v>0</v>
      </c>
      <c r="AJ175" s="55" t="str">
        <f t="shared" si="30"/>
        <v/>
      </c>
      <c r="AK175" s="68"/>
      <c r="AL175" s="68" t="str">
        <f t="shared" si="33"/>
        <v>00</v>
      </c>
      <c r="AM175" s="68" t="str">
        <f t="shared" si="34"/>
        <v>00</v>
      </c>
      <c r="AN175" s="68" t="str">
        <f t="shared" si="35"/>
        <v>00</v>
      </c>
      <c r="AO175" s="68" t="str">
        <f t="shared" si="36"/>
        <v>00</v>
      </c>
      <c r="AQ175" t="str">
        <f t="shared" si="31"/>
        <v/>
      </c>
    </row>
    <row r="176" spans="2:43">
      <c r="B176" s="139"/>
      <c r="C176" s="55">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0</v>
      </c>
      <c r="AE176" s="133">
        <f t="shared" si="46"/>
        <v>0</v>
      </c>
      <c r="AF176" s="133">
        <f t="shared" si="46"/>
        <v>0</v>
      </c>
      <c r="AG176" s="133">
        <f t="shared" si="46"/>
        <v>0</v>
      </c>
      <c r="AH176" s="133">
        <f t="shared" si="46"/>
        <v>0</v>
      </c>
      <c r="AI176" s="133">
        <f t="shared" si="46"/>
        <v>0</v>
      </c>
      <c r="AJ176" s="55" t="str">
        <f t="shared" si="30"/>
        <v/>
      </c>
      <c r="AK176" s="68"/>
      <c r="AL176" s="68" t="str">
        <f t="shared" si="33"/>
        <v>00</v>
      </c>
      <c r="AM176" s="68" t="str">
        <f t="shared" si="34"/>
        <v>00</v>
      </c>
      <c r="AN176" s="68" t="str">
        <f t="shared" si="35"/>
        <v>00</v>
      </c>
      <c r="AO176" s="68" t="str">
        <f t="shared" si="36"/>
        <v>00</v>
      </c>
      <c r="AQ176" t="str">
        <f t="shared" si="31"/>
        <v/>
      </c>
    </row>
    <row r="177" spans="2:43">
      <c r="B177" s="139"/>
      <c r="C177" s="55">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0</v>
      </c>
      <c r="AE177" s="133">
        <f t="shared" si="46"/>
        <v>0</v>
      </c>
      <c r="AF177" s="133">
        <f t="shared" si="46"/>
        <v>0</v>
      </c>
      <c r="AG177" s="133">
        <f t="shared" si="46"/>
        <v>0</v>
      </c>
      <c r="AH177" s="133">
        <f t="shared" si="46"/>
        <v>0</v>
      </c>
      <c r="AI177" s="133">
        <f t="shared" si="46"/>
        <v>0</v>
      </c>
      <c r="AJ177" s="55" t="str">
        <f t="shared" si="30"/>
        <v/>
      </c>
      <c r="AK177" s="68"/>
      <c r="AL177" s="68" t="str">
        <f t="shared" si="33"/>
        <v>00</v>
      </c>
      <c r="AM177" s="68" t="str">
        <f t="shared" si="34"/>
        <v>00</v>
      </c>
      <c r="AN177" s="68" t="str">
        <f t="shared" si="35"/>
        <v>00</v>
      </c>
      <c r="AO177" s="68" t="str">
        <f t="shared" si="36"/>
        <v>00</v>
      </c>
      <c r="AQ177" t="str">
        <f t="shared" si="31"/>
        <v/>
      </c>
    </row>
    <row r="178" spans="2:43">
      <c r="B178" s="139"/>
      <c r="C178" s="55">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0</v>
      </c>
      <c r="AE178" s="133">
        <f t="shared" si="46"/>
        <v>0</v>
      </c>
      <c r="AF178" s="133">
        <f t="shared" si="46"/>
        <v>0</v>
      </c>
      <c r="AG178" s="133">
        <f t="shared" si="46"/>
        <v>0</v>
      </c>
      <c r="AH178" s="133">
        <f t="shared" si="46"/>
        <v>0</v>
      </c>
      <c r="AI178" s="133">
        <f t="shared" si="46"/>
        <v>0</v>
      </c>
      <c r="AJ178" s="55" t="str">
        <f t="shared" si="30"/>
        <v/>
      </c>
      <c r="AK178" s="68"/>
      <c r="AL178" s="68" t="str">
        <f t="shared" si="33"/>
        <v>00</v>
      </c>
      <c r="AM178" s="68" t="str">
        <f t="shared" si="34"/>
        <v>00</v>
      </c>
      <c r="AN178" s="68" t="str">
        <f t="shared" si="35"/>
        <v>00</v>
      </c>
      <c r="AO178" s="68" t="str">
        <f t="shared" si="36"/>
        <v>00</v>
      </c>
      <c r="AQ178" t="str">
        <f t="shared" si="31"/>
        <v/>
      </c>
    </row>
    <row r="179" spans="2:43">
      <c r="B179" s="139"/>
      <c r="C179" s="55">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0</v>
      </c>
      <c r="AE179" s="133">
        <f t="shared" si="46"/>
        <v>0</v>
      </c>
      <c r="AF179" s="133">
        <f t="shared" si="46"/>
        <v>0</v>
      </c>
      <c r="AG179" s="133">
        <f t="shared" si="46"/>
        <v>0</v>
      </c>
      <c r="AH179" s="133">
        <f t="shared" si="46"/>
        <v>0</v>
      </c>
      <c r="AI179" s="133">
        <f t="shared" si="46"/>
        <v>0</v>
      </c>
      <c r="AJ179" s="55" t="str">
        <f t="shared" si="30"/>
        <v/>
      </c>
      <c r="AK179" s="68"/>
      <c r="AL179" s="68" t="str">
        <f t="shared" si="33"/>
        <v>00</v>
      </c>
      <c r="AM179" s="68" t="str">
        <f t="shared" si="34"/>
        <v>00</v>
      </c>
      <c r="AN179" s="68" t="str">
        <f t="shared" si="35"/>
        <v>00</v>
      </c>
      <c r="AO179" s="68" t="str">
        <f t="shared" si="36"/>
        <v>00</v>
      </c>
      <c r="AQ179" t="str">
        <f t="shared" si="31"/>
        <v/>
      </c>
    </row>
    <row r="180" spans="2:43">
      <c r="B180" s="139"/>
      <c r="C180" s="55">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0</v>
      </c>
      <c r="AE180" s="133">
        <f t="shared" si="46"/>
        <v>0</v>
      </c>
      <c r="AF180" s="133">
        <f t="shared" si="46"/>
        <v>0</v>
      </c>
      <c r="AG180" s="133">
        <f t="shared" si="46"/>
        <v>0</v>
      </c>
      <c r="AH180" s="133">
        <f t="shared" si="46"/>
        <v>0</v>
      </c>
      <c r="AI180" s="133">
        <f t="shared" si="46"/>
        <v>0</v>
      </c>
      <c r="AJ180" s="55" t="str">
        <f t="shared" si="30"/>
        <v/>
      </c>
      <c r="AK180" s="68"/>
      <c r="AL180" s="68" t="str">
        <f t="shared" si="33"/>
        <v>00</v>
      </c>
      <c r="AM180" s="68" t="str">
        <f t="shared" si="34"/>
        <v>00</v>
      </c>
      <c r="AN180" s="68" t="str">
        <f t="shared" si="35"/>
        <v>00</v>
      </c>
      <c r="AO180" s="68" t="str">
        <f t="shared" si="36"/>
        <v>00</v>
      </c>
      <c r="AQ180" t="str">
        <f t="shared" si="31"/>
        <v/>
      </c>
    </row>
    <row r="181" spans="2:43">
      <c r="B181" s="139"/>
      <c r="C181" s="55">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0</v>
      </c>
      <c r="AE181" s="133">
        <f t="shared" si="46"/>
        <v>0</v>
      </c>
      <c r="AF181" s="133">
        <f t="shared" si="46"/>
        <v>0</v>
      </c>
      <c r="AG181" s="133">
        <f t="shared" si="46"/>
        <v>0</v>
      </c>
      <c r="AH181" s="133">
        <f t="shared" si="46"/>
        <v>0</v>
      </c>
      <c r="AI181" s="133">
        <f t="shared" si="46"/>
        <v>0</v>
      </c>
      <c r="AJ181" s="55" t="str">
        <f t="shared" si="30"/>
        <v/>
      </c>
      <c r="AK181" s="68"/>
      <c r="AL181" s="68" t="str">
        <f t="shared" si="33"/>
        <v>00</v>
      </c>
      <c r="AM181" s="68" t="str">
        <f t="shared" si="34"/>
        <v>00</v>
      </c>
      <c r="AN181" s="68" t="str">
        <f t="shared" si="35"/>
        <v>00</v>
      </c>
      <c r="AO181" s="68" t="str">
        <f t="shared" si="36"/>
        <v>00</v>
      </c>
      <c r="AQ181" t="str">
        <f t="shared" si="31"/>
        <v/>
      </c>
    </row>
    <row r="182" spans="2:43">
      <c r="B182" s="139"/>
      <c r="C182" s="55">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0</v>
      </c>
      <c r="AE182" s="133">
        <f t="shared" si="46"/>
        <v>0</v>
      </c>
      <c r="AF182" s="133">
        <f t="shared" si="46"/>
        <v>0</v>
      </c>
      <c r="AG182" s="133">
        <f t="shared" si="46"/>
        <v>0</v>
      </c>
      <c r="AH182" s="133">
        <f t="shared" si="46"/>
        <v>0</v>
      </c>
      <c r="AI182" s="133">
        <f t="shared" si="46"/>
        <v>0</v>
      </c>
      <c r="AJ182" s="55" t="str">
        <f t="shared" si="30"/>
        <v/>
      </c>
      <c r="AK182" s="68"/>
      <c r="AL182" s="68" t="str">
        <f t="shared" si="33"/>
        <v>00</v>
      </c>
      <c r="AM182" s="68" t="str">
        <f t="shared" si="34"/>
        <v>00</v>
      </c>
      <c r="AN182" s="68" t="str">
        <f t="shared" si="35"/>
        <v>00</v>
      </c>
      <c r="AO182" s="68" t="str">
        <f t="shared" si="36"/>
        <v>00</v>
      </c>
      <c r="AQ182" t="str">
        <f t="shared" si="31"/>
        <v/>
      </c>
    </row>
    <row r="183" spans="2:43">
      <c r="B183" s="139"/>
      <c r="C183" s="55">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0</v>
      </c>
      <c r="AE183" s="133">
        <f t="shared" si="46"/>
        <v>0</v>
      </c>
      <c r="AF183" s="133">
        <f t="shared" si="46"/>
        <v>0</v>
      </c>
      <c r="AG183" s="133">
        <f t="shared" si="46"/>
        <v>0</v>
      </c>
      <c r="AH183" s="133">
        <f t="shared" si="46"/>
        <v>0</v>
      </c>
      <c r="AI183" s="133">
        <f t="shared" ref="AI183" si="47">IF(OR(AI53=0,AI53=1),1,0)</f>
        <v>0</v>
      </c>
      <c r="AJ183" s="55" t="str">
        <f t="shared" si="30"/>
        <v/>
      </c>
      <c r="AK183" s="68"/>
      <c r="AL183" s="68" t="str">
        <f t="shared" si="33"/>
        <v>00</v>
      </c>
      <c r="AM183" s="68" t="str">
        <f t="shared" si="34"/>
        <v>00</v>
      </c>
      <c r="AN183" s="68" t="str">
        <f t="shared" si="35"/>
        <v>00</v>
      </c>
      <c r="AO183" s="68" t="str">
        <f t="shared" si="36"/>
        <v>00</v>
      </c>
      <c r="AQ183" t="str">
        <f t="shared" si="31"/>
        <v/>
      </c>
    </row>
    <row r="184" spans="2:43">
      <c r="B184" s="139"/>
      <c r="C184" s="55">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0</v>
      </c>
      <c r="AE184" s="133">
        <f t="shared" si="48"/>
        <v>0</v>
      </c>
      <c r="AF184" s="133">
        <f t="shared" si="48"/>
        <v>0</v>
      </c>
      <c r="AG184" s="133">
        <f t="shared" si="48"/>
        <v>0</v>
      </c>
      <c r="AH184" s="133">
        <f t="shared" si="48"/>
        <v>0</v>
      </c>
      <c r="AI184" s="133">
        <f t="shared" si="48"/>
        <v>0</v>
      </c>
      <c r="AJ184" s="55" t="str">
        <f t="shared" si="30"/>
        <v/>
      </c>
      <c r="AK184" s="68"/>
      <c r="AL184" s="68" t="str">
        <f t="shared" si="33"/>
        <v>00</v>
      </c>
      <c r="AM184" s="68" t="str">
        <f t="shared" si="34"/>
        <v>00</v>
      </c>
      <c r="AN184" s="68" t="str">
        <f t="shared" si="35"/>
        <v>00</v>
      </c>
      <c r="AO184" s="68" t="str">
        <f t="shared" si="36"/>
        <v>00</v>
      </c>
      <c r="AQ184" t="str">
        <f t="shared" si="31"/>
        <v/>
      </c>
    </row>
    <row r="185" spans="2:43">
      <c r="B185" s="139"/>
      <c r="C185" s="55">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0</v>
      </c>
      <c r="AE185" s="133">
        <f t="shared" si="48"/>
        <v>0</v>
      </c>
      <c r="AF185" s="133">
        <f t="shared" si="48"/>
        <v>0</v>
      </c>
      <c r="AG185" s="133">
        <f t="shared" si="48"/>
        <v>0</v>
      </c>
      <c r="AH185" s="133">
        <f t="shared" si="48"/>
        <v>0</v>
      </c>
      <c r="AI185" s="133">
        <f t="shared" si="48"/>
        <v>0</v>
      </c>
      <c r="AJ185" s="55" t="str">
        <f t="shared" si="30"/>
        <v/>
      </c>
      <c r="AK185" s="68"/>
      <c r="AL185" s="68" t="str">
        <f t="shared" si="33"/>
        <v>00</v>
      </c>
      <c r="AM185" s="68" t="str">
        <f t="shared" si="34"/>
        <v>00</v>
      </c>
      <c r="AN185" s="68" t="str">
        <f t="shared" si="35"/>
        <v>00</v>
      </c>
      <c r="AO185" s="68" t="str">
        <f t="shared" si="36"/>
        <v>00</v>
      </c>
      <c r="AQ185" t="str">
        <f t="shared" si="31"/>
        <v/>
      </c>
    </row>
    <row r="186" spans="2:43">
      <c r="B186" s="139"/>
      <c r="C186" s="55">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0</v>
      </c>
      <c r="AE186" s="133">
        <f t="shared" si="48"/>
        <v>0</v>
      </c>
      <c r="AF186" s="133">
        <f t="shared" si="48"/>
        <v>0</v>
      </c>
      <c r="AG186" s="133">
        <f t="shared" si="48"/>
        <v>0</v>
      </c>
      <c r="AH186" s="133">
        <f t="shared" si="48"/>
        <v>0</v>
      </c>
      <c r="AI186" s="133">
        <f t="shared" si="48"/>
        <v>0</v>
      </c>
      <c r="AJ186" s="55" t="str">
        <f t="shared" si="30"/>
        <v/>
      </c>
      <c r="AK186" s="68"/>
      <c r="AL186" s="68" t="str">
        <f t="shared" si="33"/>
        <v>00</v>
      </c>
      <c r="AM186" s="68" t="str">
        <f t="shared" si="34"/>
        <v>00</v>
      </c>
      <c r="AN186" s="68" t="str">
        <f t="shared" si="35"/>
        <v>00</v>
      </c>
      <c r="AO186" s="68" t="str">
        <f t="shared" si="36"/>
        <v>00</v>
      </c>
      <c r="AQ186" t="str">
        <f t="shared" si="31"/>
        <v/>
      </c>
    </row>
    <row r="187" spans="2:43">
      <c r="B187" s="139"/>
      <c r="C187" s="55">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0</v>
      </c>
      <c r="AE187" s="133">
        <f t="shared" si="48"/>
        <v>0</v>
      </c>
      <c r="AF187" s="133">
        <f t="shared" si="48"/>
        <v>0</v>
      </c>
      <c r="AG187" s="133">
        <f t="shared" si="48"/>
        <v>0</v>
      </c>
      <c r="AH187" s="133">
        <f t="shared" si="48"/>
        <v>0</v>
      </c>
      <c r="AI187" s="133">
        <f t="shared" si="48"/>
        <v>0</v>
      </c>
      <c r="AJ187" s="55" t="str">
        <f t="shared" si="30"/>
        <v/>
      </c>
      <c r="AK187" s="68"/>
      <c r="AL187" s="68" t="str">
        <f t="shared" si="33"/>
        <v>00</v>
      </c>
      <c r="AM187" s="68" t="str">
        <f t="shared" si="34"/>
        <v>00</v>
      </c>
      <c r="AN187" s="68" t="str">
        <f t="shared" si="35"/>
        <v>00</v>
      </c>
      <c r="AO187" s="68" t="str">
        <f t="shared" si="36"/>
        <v>00</v>
      </c>
      <c r="AQ187" t="str">
        <f t="shared" si="31"/>
        <v/>
      </c>
    </row>
    <row r="188" spans="2:43">
      <c r="B188" s="139"/>
      <c r="C188" s="55">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0</v>
      </c>
      <c r="AE188" s="133">
        <f t="shared" si="48"/>
        <v>0</v>
      </c>
      <c r="AF188" s="133">
        <f t="shared" si="48"/>
        <v>0</v>
      </c>
      <c r="AG188" s="133">
        <f t="shared" si="48"/>
        <v>0</v>
      </c>
      <c r="AH188" s="133">
        <f t="shared" si="48"/>
        <v>0</v>
      </c>
      <c r="AI188" s="133">
        <f t="shared" si="48"/>
        <v>0</v>
      </c>
      <c r="AJ188" s="55" t="str">
        <f t="shared" si="30"/>
        <v/>
      </c>
      <c r="AK188" s="68"/>
      <c r="AL188" s="68" t="str">
        <f t="shared" si="33"/>
        <v>00</v>
      </c>
      <c r="AM188" s="68" t="str">
        <f t="shared" si="34"/>
        <v>00</v>
      </c>
      <c r="AN188" s="68" t="str">
        <f t="shared" si="35"/>
        <v>00</v>
      </c>
      <c r="AO188" s="68" t="str">
        <f t="shared" si="36"/>
        <v>00</v>
      </c>
      <c r="AQ188" t="str">
        <f t="shared" si="31"/>
        <v/>
      </c>
    </row>
    <row r="189" spans="2:43">
      <c r="B189" s="139"/>
      <c r="C189" s="55">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0</v>
      </c>
      <c r="AE189" s="133">
        <f t="shared" si="48"/>
        <v>0</v>
      </c>
      <c r="AF189" s="133">
        <f t="shared" si="48"/>
        <v>0</v>
      </c>
      <c r="AG189" s="133">
        <f t="shared" si="48"/>
        <v>0</v>
      </c>
      <c r="AH189" s="133">
        <f t="shared" si="48"/>
        <v>0</v>
      </c>
      <c r="AI189" s="133">
        <f t="shared" si="48"/>
        <v>0</v>
      </c>
      <c r="AJ189" s="55" t="str">
        <f t="shared" si="30"/>
        <v/>
      </c>
      <c r="AK189" s="68"/>
      <c r="AL189" s="68" t="str">
        <f t="shared" si="33"/>
        <v>00</v>
      </c>
      <c r="AM189" s="68" t="str">
        <f t="shared" si="34"/>
        <v>00</v>
      </c>
      <c r="AN189" s="68" t="str">
        <f t="shared" si="35"/>
        <v>00</v>
      </c>
      <c r="AO189" s="68" t="str">
        <f t="shared" si="36"/>
        <v>00</v>
      </c>
      <c r="AQ189" t="str">
        <f t="shared" si="31"/>
        <v/>
      </c>
    </row>
    <row r="190" spans="2:43">
      <c r="B190" s="139"/>
      <c r="C190" s="55">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0</v>
      </c>
      <c r="AE190" s="133">
        <f t="shared" si="48"/>
        <v>0</v>
      </c>
      <c r="AF190" s="133">
        <f t="shared" si="48"/>
        <v>0</v>
      </c>
      <c r="AG190" s="133">
        <f t="shared" si="48"/>
        <v>0</v>
      </c>
      <c r="AH190" s="133">
        <f t="shared" si="48"/>
        <v>0</v>
      </c>
      <c r="AI190" s="133">
        <f t="shared" si="48"/>
        <v>0</v>
      </c>
      <c r="AJ190" s="55" t="str">
        <f t="shared" si="30"/>
        <v/>
      </c>
      <c r="AK190" s="68"/>
      <c r="AL190" s="68" t="str">
        <f t="shared" si="33"/>
        <v>00</v>
      </c>
      <c r="AM190" s="68" t="str">
        <f t="shared" si="34"/>
        <v>00</v>
      </c>
      <c r="AN190" s="68" t="str">
        <f t="shared" si="35"/>
        <v>00</v>
      </c>
      <c r="AO190" s="68" t="str">
        <f t="shared" si="36"/>
        <v>00</v>
      </c>
      <c r="AQ190" t="str">
        <f t="shared" si="31"/>
        <v/>
      </c>
    </row>
    <row r="191" spans="2:43">
      <c r="B191" s="139"/>
      <c r="C191" s="55">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0</v>
      </c>
      <c r="AE191" s="133">
        <f t="shared" si="48"/>
        <v>0</v>
      </c>
      <c r="AF191" s="133">
        <f t="shared" si="48"/>
        <v>0</v>
      </c>
      <c r="AG191" s="133">
        <f t="shared" si="48"/>
        <v>0</v>
      </c>
      <c r="AH191" s="133">
        <f t="shared" si="48"/>
        <v>0</v>
      </c>
      <c r="AI191" s="133">
        <f t="shared" ref="AI191" si="49">IF(OR(AI61=0,AI61=1),1,0)</f>
        <v>0</v>
      </c>
      <c r="AJ191" s="55" t="str">
        <f t="shared" si="30"/>
        <v/>
      </c>
      <c r="AK191" s="68"/>
      <c r="AL191" s="68" t="str">
        <f t="shared" si="33"/>
        <v>00</v>
      </c>
      <c r="AM191" s="68" t="str">
        <f t="shared" si="34"/>
        <v>00</v>
      </c>
      <c r="AN191" s="68" t="str">
        <f t="shared" si="35"/>
        <v>00</v>
      </c>
      <c r="AO191" s="68" t="str">
        <f t="shared" si="36"/>
        <v>00</v>
      </c>
      <c r="AQ191" t="str">
        <f t="shared" si="31"/>
        <v/>
      </c>
    </row>
    <row r="192" spans="2:43">
      <c r="B192" s="139"/>
      <c r="C192" s="55">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0</v>
      </c>
      <c r="AE192" s="133">
        <f t="shared" si="50"/>
        <v>0</v>
      </c>
      <c r="AF192" s="133">
        <f t="shared" si="50"/>
        <v>0</v>
      </c>
      <c r="AG192" s="133">
        <f t="shared" si="50"/>
        <v>0</v>
      </c>
      <c r="AH192" s="133">
        <f t="shared" si="50"/>
        <v>0</v>
      </c>
      <c r="AI192" s="133">
        <f t="shared" si="50"/>
        <v>0</v>
      </c>
      <c r="AJ192" s="55" t="str">
        <f t="shared" si="30"/>
        <v/>
      </c>
      <c r="AK192" s="68"/>
      <c r="AL192" s="68" t="str">
        <f t="shared" si="33"/>
        <v>00</v>
      </c>
      <c r="AM192" s="68" t="str">
        <f t="shared" si="34"/>
        <v>00</v>
      </c>
      <c r="AN192" s="68" t="str">
        <f t="shared" si="35"/>
        <v>00</v>
      </c>
      <c r="AO192" s="68" t="str">
        <f t="shared" si="36"/>
        <v>00</v>
      </c>
      <c r="AQ192" t="str">
        <f t="shared" si="31"/>
        <v/>
      </c>
    </row>
    <row r="193" spans="2:43">
      <c r="B193" s="139"/>
      <c r="C193" s="55">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0</v>
      </c>
      <c r="AE193" s="133">
        <f t="shared" si="50"/>
        <v>0</v>
      </c>
      <c r="AF193" s="133">
        <f t="shared" si="50"/>
        <v>0</v>
      </c>
      <c r="AG193" s="133">
        <f t="shared" si="50"/>
        <v>0</v>
      </c>
      <c r="AH193" s="133">
        <f t="shared" si="50"/>
        <v>0</v>
      </c>
      <c r="AI193" s="133">
        <f t="shared" si="50"/>
        <v>0</v>
      </c>
      <c r="AJ193" s="55" t="str">
        <f t="shared" si="30"/>
        <v/>
      </c>
      <c r="AK193" s="68"/>
      <c r="AL193" s="68" t="str">
        <f t="shared" si="33"/>
        <v>00</v>
      </c>
      <c r="AM193" s="68" t="str">
        <f t="shared" si="34"/>
        <v>00</v>
      </c>
      <c r="AN193" s="68" t="str">
        <f t="shared" si="35"/>
        <v>00</v>
      </c>
      <c r="AO193" s="68" t="str">
        <f t="shared" si="36"/>
        <v>00</v>
      </c>
      <c r="AQ193" t="str">
        <f t="shared" si="31"/>
        <v/>
      </c>
    </row>
    <row r="194" spans="2:43">
      <c r="B194" s="139"/>
      <c r="C194" s="55">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0</v>
      </c>
      <c r="AE194" s="133">
        <f t="shared" si="50"/>
        <v>0</v>
      </c>
      <c r="AF194" s="133">
        <f t="shared" si="50"/>
        <v>0</v>
      </c>
      <c r="AG194" s="133">
        <f t="shared" si="50"/>
        <v>0</v>
      </c>
      <c r="AH194" s="133">
        <f t="shared" si="50"/>
        <v>0</v>
      </c>
      <c r="AI194" s="133">
        <f t="shared" si="50"/>
        <v>0</v>
      </c>
      <c r="AJ194" s="55" t="str">
        <f t="shared" si="30"/>
        <v/>
      </c>
      <c r="AK194" s="68"/>
      <c r="AL194" s="68" t="str">
        <f t="shared" si="33"/>
        <v>00</v>
      </c>
      <c r="AM194" s="68" t="str">
        <f t="shared" si="34"/>
        <v>00</v>
      </c>
      <c r="AN194" s="68" t="str">
        <f t="shared" si="35"/>
        <v>00</v>
      </c>
      <c r="AO194" s="68" t="str">
        <f t="shared" si="36"/>
        <v>00</v>
      </c>
      <c r="AQ194" t="str">
        <f t="shared" si="31"/>
        <v/>
      </c>
    </row>
    <row r="195" spans="2:43">
      <c r="B195" s="139"/>
      <c r="C195" s="55">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0</v>
      </c>
      <c r="AE195" s="133">
        <f t="shared" si="50"/>
        <v>0</v>
      </c>
      <c r="AF195" s="133">
        <f t="shared" si="50"/>
        <v>0</v>
      </c>
      <c r="AG195" s="133">
        <f t="shared" si="50"/>
        <v>0</v>
      </c>
      <c r="AH195" s="133">
        <f t="shared" si="50"/>
        <v>0</v>
      </c>
      <c r="AI195" s="133">
        <f t="shared" si="50"/>
        <v>0</v>
      </c>
      <c r="AJ195" s="55" t="str">
        <f t="shared" si="30"/>
        <v/>
      </c>
      <c r="AK195" s="68"/>
      <c r="AL195" s="68" t="str">
        <f t="shared" si="33"/>
        <v>00</v>
      </c>
      <c r="AM195" s="68" t="str">
        <f t="shared" si="34"/>
        <v>00</v>
      </c>
      <c r="AN195" s="68" t="str">
        <f t="shared" si="35"/>
        <v>00</v>
      </c>
      <c r="AO195" s="68" t="str">
        <f t="shared" si="36"/>
        <v>00</v>
      </c>
      <c r="AQ195" t="str">
        <f t="shared" si="31"/>
        <v/>
      </c>
    </row>
    <row r="196" spans="2:43">
      <c r="B196" s="139"/>
      <c r="C196" s="55">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0</v>
      </c>
      <c r="AE196" s="133">
        <f t="shared" si="50"/>
        <v>0</v>
      </c>
      <c r="AF196" s="133">
        <f t="shared" si="50"/>
        <v>0</v>
      </c>
      <c r="AG196" s="133">
        <f t="shared" si="50"/>
        <v>0</v>
      </c>
      <c r="AH196" s="133">
        <f t="shared" si="50"/>
        <v>0</v>
      </c>
      <c r="AI196" s="133">
        <f t="shared" si="50"/>
        <v>0</v>
      </c>
      <c r="AJ196" s="55" t="str">
        <f t="shared" si="30"/>
        <v/>
      </c>
      <c r="AK196" s="68"/>
      <c r="AL196" s="68" t="str">
        <f t="shared" si="33"/>
        <v>00</v>
      </c>
      <c r="AM196" s="68" t="str">
        <f t="shared" si="34"/>
        <v>00</v>
      </c>
      <c r="AN196" s="68" t="str">
        <f t="shared" si="35"/>
        <v>00</v>
      </c>
      <c r="AO196" s="68" t="str">
        <f t="shared" si="36"/>
        <v>00</v>
      </c>
      <c r="AQ196" t="str">
        <f t="shared" si="31"/>
        <v/>
      </c>
    </row>
    <row r="197" spans="2:43">
      <c r="B197" s="139"/>
      <c r="C197" s="55">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0</v>
      </c>
      <c r="AE197" s="133">
        <f t="shared" si="50"/>
        <v>0</v>
      </c>
      <c r="AF197" s="133">
        <f t="shared" si="50"/>
        <v>0</v>
      </c>
      <c r="AG197" s="133">
        <f t="shared" si="50"/>
        <v>0</v>
      </c>
      <c r="AH197" s="133">
        <f t="shared" si="50"/>
        <v>0</v>
      </c>
      <c r="AI197" s="133">
        <f t="shared" si="50"/>
        <v>0</v>
      </c>
      <c r="AJ197" s="55" t="str">
        <f t="shared" si="30"/>
        <v/>
      </c>
      <c r="AK197" s="68"/>
      <c r="AL197" s="68" t="str">
        <f t="shared" si="33"/>
        <v>00</v>
      </c>
      <c r="AM197" s="68" t="str">
        <f t="shared" si="34"/>
        <v>00</v>
      </c>
      <c r="AN197" s="68" t="str">
        <f t="shared" si="35"/>
        <v>00</v>
      </c>
      <c r="AO197" s="68" t="str">
        <f t="shared" si="36"/>
        <v>00</v>
      </c>
      <c r="AQ197" t="str">
        <f t="shared" si="31"/>
        <v/>
      </c>
    </row>
    <row r="198" spans="2:43">
      <c r="B198" s="139"/>
      <c r="C198" s="55">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0</v>
      </c>
      <c r="AE198" s="133">
        <f t="shared" si="50"/>
        <v>0</v>
      </c>
      <c r="AF198" s="133">
        <f t="shared" si="50"/>
        <v>0</v>
      </c>
      <c r="AG198" s="133">
        <f t="shared" si="50"/>
        <v>0</v>
      </c>
      <c r="AH198" s="133">
        <f t="shared" si="50"/>
        <v>0</v>
      </c>
      <c r="AI198" s="133">
        <f t="shared" si="50"/>
        <v>0</v>
      </c>
      <c r="AJ198" s="55" t="str">
        <f t="shared" si="30"/>
        <v/>
      </c>
      <c r="AK198" s="68"/>
      <c r="AL198" s="68" t="str">
        <f t="shared" si="33"/>
        <v>00</v>
      </c>
      <c r="AM198" s="68" t="str">
        <f t="shared" si="34"/>
        <v>00</v>
      </c>
      <c r="AN198" s="68" t="str">
        <f t="shared" si="35"/>
        <v>00</v>
      </c>
      <c r="AO198" s="68" t="str">
        <f t="shared" si="36"/>
        <v>00</v>
      </c>
      <c r="AQ198" t="str">
        <f t="shared" si="31"/>
        <v/>
      </c>
    </row>
    <row r="199" spans="2:43">
      <c r="B199" s="140"/>
      <c r="C199" s="55">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0</v>
      </c>
      <c r="AE199" s="133">
        <f t="shared" si="50"/>
        <v>0</v>
      </c>
      <c r="AF199" s="133">
        <f t="shared" si="50"/>
        <v>0</v>
      </c>
      <c r="AG199" s="133">
        <f t="shared" si="50"/>
        <v>0</v>
      </c>
      <c r="AH199" s="133">
        <f t="shared" si="50"/>
        <v>0</v>
      </c>
      <c r="AI199" s="133">
        <f t="shared" ref="AI199" si="51">IF(OR(AI69=0,AI69=1),1,0)</f>
        <v>0</v>
      </c>
      <c r="AJ199" s="55" t="str">
        <f t="shared" si="30"/>
        <v/>
      </c>
      <c r="AK199" s="68"/>
      <c r="AL199" s="68" t="str">
        <f t="shared" si="33"/>
        <v>00</v>
      </c>
      <c r="AM199" s="68" t="str">
        <f t="shared" si="34"/>
        <v>00</v>
      </c>
      <c r="AN199" s="68" t="str">
        <f t="shared" si="35"/>
        <v>00</v>
      </c>
      <c r="AO199" s="68" t="str">
        <f t="shared" si="36"/>
        <v>00</v>
      </c>
      <c r="AQ199" t="str">
        <f t="shared" si="31"/>
        <v/>
      </c>
    </row>
  </sheetData>
  <protectedRanges>
    <protectedRange sqref="AI3 L3:AG3 D6:AJ69" name="Table作成編集範囲"/>
    <protectedRange sqref="B3" name="Table作成編集範囲_2"/>
  </protectedRanges>
  <mergeCells count="5">
    <mergeCell ref="C2:C3"/>
    <mergeCell ref="AJ2:AJ3"/>
    <mergeCell ref="A4:B5"/>
    <mergeCell ref="AG3:AI3"/>
    <mergeCell ref="AE3:AF3"/>
  </mergeCells>
  <phoneticPr fontId="2"/>
  <conditionalFormatting sqref="D6:AI69">
    <cfRule type="cellIs" dxfId="20" priority="2" operator="equal">
      <formula>1</formula>
    </cfRule>
    <cfRule type="cellIs" dxfId="19" priority="3" operator="equal">
      <formula>"×"</formula>
    </cfRule>
  </conditionalFormatting>
  <conditionalFormatting sqref="AR5:AS70">
    <cfRule type="expression" dxfId="18"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B33F9-A6C6-424D-97D8-0C6015FBB394}">
  <sheetPr>
    <tabColor rgb="FFCCECFF"/>
  </sheetPr>
  <dimension ref="A1:AW199"/>
  <sheetViews>
    <sheetView zoomScale="85" zoomScaleNormal="85" workbookViewId="0">
      <pane ySplit="3" topLeftCell="A4" activePane="bottomLeft" state="frozen"/>
      <selection pane="bottomLeft" activeCell="AJ15" sqref="AJ1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2" t="s">
        <v>123</v>
      </c>
      <c r="C2" s="345" t="s">
        <v>84</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47" t="s">
        <v>54</v>
      </c>
    </row>
    <row r="3" spans="1:49" ht="213" customHeight="1" thickBot="1">
      <c r="B3" s="214" t="str">
        <f>IF(OR(IF(COUNTIF(D6:AC69,"0")&lt;&gt;0,TRUE,FALSE),IF(COUNTIF(D6:AC69,"1")&lt;&gt;0,TRUE,FALSE)),"Search Table","Index Table")</f>
        <v>Index Table</v>
      </c>
      <c r="C3" s="346"/>
      <c r="D3" s="134" t="s">
        <v>64</v>
      </c>
      <c r="E3" s="134" t="s">
        <v>69</v>
      </c>
      <c r="F3" s="134" t="s">
        <v>52</v>
      </c>
      <c r="G3" s="134" t="s">
        <v>51</v>
      </c>
      <c r="H3" s="134" t="s">
        <v>121</v>
      </c>
      <c r="I3" s="134" t="s">
        <v>120</v>
      </c>
      <c r="J3" s="134" t="s">
        <v>125</v>
      </c>
      <c r="K3" s="134" t="s">
        <v>124</v>
      </c>
      <c r="L3" s="135" t="s">
        <v>69</v>
      </c>
      <c r="M3" s="135" t="s">
        <v>65</v>
      </c>
      <c r="N3" s="135" t="s">
        <v>65</v>
      </c>
      <c r="O3" s="135" t="s">
        <v>65</v>
      </c>
      <c r="P3" s="135" t="s">
        <v>65</v>
      </c>
      <c r="Q3" s="135" t="s">
        <v>65</v>
      </c>
      <c r="R3" s="135" t="s">
        <v>65</v>
      </c>
      <c r="S3" s="135" t="s">
        <v>65</v>
      </c>
      <c r="T3" s="135" t="s">
        <v>65</v>
      </c>
      <c r="U3" s="135" t="s">
        <v>65</v>
      </c>
      <c r="V3" s="135" t="s">
        <v>65</v>
      </c>
      <c r="W3" s="135" t="s">
        <v>65</v>
      </c>
      <c r="X3" s="135" t="s">
        <v>65</v>
      </c>
      <c r="Y3" s="135" t="s">
        <v>65</v>
      </c>
      <c r="Z3" s="135" t="s">
        <v>65</v>
      </c>
      <c r="AA3" s="135" t="s">
        <v>65</v>
      </c>
      <c r="AB3" s="135" t="s">
        <v>69</v>
      </c>
      <c r="AC3" s="135" t="s">
        <v>65</v>
      </c>
      <c r="AD3" s="135" t="s">
        <v>69</v>
      </c>
      <c r="AE3" s="353" t="s">
        <v>216</v>
      </c>
      <c r="AF3" s="355"/>
      <c r="AG3" s="353" t="s">
        <v>496</v>
      </c>
      <c r="AH3" s="354"/>
      <c r="AI3" s="355"/>
      <c r="AJ3" s="348"/>
      <c r="AR3" s="101" t="s">
        <v>96</v>
      </c>
    </row>
    <row r="4" spans="1:49" ht="14.25" thickBot="1">
      <c r="A4" s="349" t="s">
        <v>66</v>
      </c>
      <c r="B4" s="350"/>
      <c r="C4" s="260"/>
      <c r="D4" s="260"/>
      <c r="E4" s="260"/>
      <c r="F4" s="260"/>
      <c r="G4" s="260"/>
      <c r="H4" s="260"/>
      <c r="I4" s="260"/>
      <c r="J4" s="260"/>
      <c r="K4" s="260"/>
      <c r="L4" s="260"/>
      <c r="M4" s="260"/>
      <c r="N4" s="260"/>
      <c r="O4" s="260"/>
      <c r="P4" s="260"/>
      <c r="Q4" s="260"/>
      <c r="R4" s="260"/>
      <c r="S4" s="260"/>
      <c r="T4" s="260"/>
      <c r="U4" s="260"/>
      <c r="V4" s="260"/>
      <c r="W4" s="260"/>
      <c r="X4" s="260"/>
      <c r="Y4" s="260"/>
      <c r="Z4" s="260"/>
      <c r="AA4" s="260"/>
      <c r="AB4" s="260"/>
      <c r="AC4" s="260"/>
      <c r="AD4" s="260"/>
      <c r="AE4" s="260"/>
      <c r="AF4" s="260"/>
      <c r="AG4" s="260"/>
      <c r="AH4" s="260"/>
      <c r="AI4" s="260"/>
      <c r="AJ4" s="136"/>
      <c r="AR4" s="89" t="s">
        <v>82</v>
      </c>
      <c r="AS4" s="90"/>
      <c r="AT4" s="90"/>
      <c r="AU4" s="90"/>
      <c r="AV4" s="90"/>
      <c r="AW4" s="91"/>
    </row>
    <row r="5" spans="1:49" ht="14.25" thickBot="1">
      <c r="A5" s="351"/>
      <c r="B5" s="352"/>
      <c r="C5" s="261"/>
      <c r="D5" s="261"/>
      <c r="E5" s="261"/>
      <c r="F5" s="261"/>
      <c r="G5" s="261"/>
      <c r="H5" s="261"/>
      <c r="I5" s="261"/>
      <c r="J5" s="261"/>
      <c r="K5" s="261"/>
      <c r="L5" s="261"/>
      <c r="M5" s="261"/>
      <c r="N5" s="261"/>
      <c r="O5" s="261"/>
      <c r="P5" s="261"/>
      <c r="Q5" s="261"/>
      <c r="R5" s="261"/>
      <c r="S5" s="261"/>
      <c r="T5" s="261"/>
      <c r="U5" s="261"/>
      <c r="V5" s="261"/>
      <c r="W5" s="261"/>
      <c r="X5" s="261"/>
      <c r="Y5" s="261"/>
      <c r="Z5" s="261"/>
      <c r="AA5" s="261"/>
      <c r="AB5" s="261"/>
      <c r="AC5" s="261"/>
      <c r="AD5" s="261"/>
      <c r="AE5" s="261"/>
      <c r="AF5" s="261"/>
      <c r="AG5" s="261"/>
      <c r="AH5" s="261"/>
      <c r="AI5" s="261"/>
      <c r="AJ5" s="137"/>
      <c r="AR5" s="92" t="str">
        <f ca="1">"static const U4  "&amp;AW8&amp;"["&amp;AW10&amp;"]"&amp;" = {"</f>
        <v>static const U4  u4_sp_ALERT_S_LCA_TT_R_CRIT[ALERT_S_LCA_TT_R_NUM_DST] = {</v>
      </c>
      <c r="AS5" s="92" t="str">
        <f ca="1">"static const U4  "&amp;$AW$9&amp;"["&amp;$AW$10&amp;"] = {"</f>
        <v>static const U4  u4_sp_ALERT_S_LCA_TT_R_MASK[ALERT_S_LCA_TT_R_NUM_DST] = {</v>
      </c>
      <c r="AT5" s="92" t="str">
        <f ca="1">"static const U1  "&amp;$AW$11&amp;"["&amp;$AW$10&amp;"] = {"</f>
        <v>static const U1  u1_sp_ALERT_S_LCA_TT_R_DST[ALERT_S_LCA_TT_R_NUM_DST] = {</v>
      </c>
      <c r="AU5" s="92" t="str">
        <f ca="1">"const ST_ALERT_MTRX "&amp;$AW$12&amp;" = {"</f>
        <v>const ST_ALERT_MTRX st_gp_ALERT_S_LCA_MTRX[7] = {</v>
      </c>
      <c r="AV5" s="72" t="str">
        <f ca="1">"#define "&amp;AW10&amp;REPT(" ",41-LEN(AW10))&amp;"("&amp;AW13&amp;"U)"</f>
        <v>#define ALERT_S_LCA_TT_R_NUM_DST                 (32U)</v>
      </c>
      <c r="AW5" s="73"/>
    </row>
    <row r="6" spans="1:49">
      <c r="B6" s="139" t="str">
        <f ca="1">"Table "&amp;$AW$6</f>
        <v>Table TT_R</v>
      </c>
      <c r="C6" s="60">
        <f>ROW()-ROW($C$6)</f>
        <v>0</v>
      </c>
      <c r="D6" s="39" t="s">
        <v>70</v>
      </c>
      <c r="E6" s="39" t="s">
        <v>70</v>
      </c>
      <c r="F6" s="39" t="s">
        <v>70</v>
      </c>
      <c r="G6" s="39" t="s">
        <v>70</v>
      </c>
      <c r="H6" s="39" t="s">
        <v>70</v>
      </c>
      <c r="I6" s="39" t="s">
        <v>70</v>
      </c>
      <c r="J6" s="39" t="s">
        <v>70</v>
      </c>
      <c r="K6" s="39" t="s">
        <v>410</v>
      </c>
      <c r="L6" s="39" t="s">
        <v>70</v>
      </c>
      <c r="M6" s="39" t="s">
        <v>70</v>
      </c>
      <c r="N6" s="39" t="s">
        <v>70</v>
      </c>
      <c r="O6" s="39" t="s">
        <v>70</v>
      </c>
      <c r="P6" s="39" t="s">
        <v>70</v>
      </c>
      <c r="Q6" s="39" t="s">
        <v>70</v>
      </c>
      <c r="R6" s="39" t="s">
        <v>70</v>
      </c>
      <c r="S6" s="39" t="s">
        <v>70</v>
      </c>
      <c r="T6" s="39" t="s">
        <v>70</v>
      </c>
      <c r="U6" s="39" t="s">
        <v>70</v>
      </c>
      <c r="V6" s="39" t="s">
        <v>70</v>
      </c>
      <c r="W6" s="39" t="s">
        <v>70</v>
      </c>
      <c r="X6" s="39" t="s">
        <v>70</v>
      </c>
      <c r="Y6" s="39" t="s">
        <v>70</v>
      </c>
      <c r="Z6" s="39" t="s">
        <v>70</v>
      </c>
      <c r="AA6" s="39" t="s">
        <v>70</v>
      </c>
      <c r="AB6" s="39" t="s">
        <v>70</v>
      </c>
      <c r="AC6" s="39" t="s">
        <v>70</v>
      </c>
      <c r="AD6" s="39" t="s">
        <v>70</v>
      </c>
      <c r="AE6" s="262">
        <v>0</v>
      </c>
      <c r="AF6" s="259">
        <v>0</v>
      </c>
      <c r="AG6" s="259">
        <v>0</v>
      </c>
      <c r="AH6" s="259">
        <v>0</v>
      </c>
      <c r="AI6" s="259">
        <v>0</v>
      </c>
      <c r="AJ6" s="59" t="s">
        <v>33</v>
      </c>
      <c r="AL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(U4)0x0000001FU,                                                           /* 00 UNKNOWN                                         */</v>
      </c>
      <c r="AT6" s="70" t="str">
        <f t="shared" ref="AT6:AT69" si="1">IF(AJ6&lt;&gt;"",AL6&amp;IF(AJ7&lt;&gt;"",","," ")&amp;REPT(" ",78-LEN(AL6))&amp;"/* "&amp;IF(C6&lt;10,"0"&amp;C6,C6)&amp;" "&amp;AJ6&amp;REPT(" ",48-LEN(AJ6))&amp;"*/",IF(AJ5&lt;&gt;"","};",""))</f>
        <v xml:space="preserve">    (U1)ALERT_REQ_UNKNOWN,                                                     /* 00 UNKNOWN                                         */</v>
      </c>
      <c r="AU6" s="70" t="s">
        <v>466</v>
      </c>
      <c r="AV6" s="56" t="s">
        <v>71</v>
      </c>
      <c r="AW6" s="74" t="str">
        <f ca="1">UPPER(RIGHT(CELL("filename",A1),LEN(CELL("filename",A1))-FIND("]",CELL("filename",A1))))</f>
        <v>TT_R</v>
      </c>
    </row>
    <row r="7" spans="1:49">
      <c r="B7" s="139"/>
      <c r="C7" s="55">
        <f t="shared" ref="C7:C69" si="2">ROW()-ROW($C$6)</f>
        <v>1</v>
      </c>
      <c r="D7" s="259" t="s">
        <v>70</v>
      </c>
      <c r="E7" s="259" t="s">
        <v>70</v>
      </c>
      <c r="F7" s="259" t="s">
        <v>70</v>
      </c>
      <c r="G7" s="259" t="s">
        <v>70</v>
      </c>
      <c r="H7" s="259" t="s">
        <v>70</v>
      </c>
      <c r="I7" s="259" t="s">
        <v>70</v>
      </c>
      <c r="J7" s="259" t="s">
        <v>70</v>
      </c>
      <c r="K7" s="259" t="s">
        <v>410</v>
      </c>
      <c r="L7" s="259" t="s">
        <v>70</v>
      </c>
      <c r="M7" s="259" t="s">
        <v>70</v>
      </c>
      <c r="N7" s="259" t="s">
        <v>70</v>
      </c>
      <c r="O7" s="259" t="s">
        <v>70</v>
      </c>
      <c r="P7" s="259" t="s">
        <v>70</v>
      </c>
      <c r="Q7" s="259" t="s">
        <v>70</v>
      </c>
      <c r="R7" s="259" t="s">
        <v>70</v>
      </c>
      <c r="S7" s="259" t="s">
        <v>70</v>
      </c>
      <c r="T7" s="259" t="s">
        <v>70</v>
      </c>
      <c r="U7" s="259" t="s">
        <v>70</v>
      </c>
      <c r="V7" s="259" t="s">
        <v>70</v>
      </c>
      <c r="W7" s="259" t="s">
        <v>70</v>
      </c>
      <c r="X7" s="259" t="s">
        <v>70</v>
      </c>
      <c r="Y7" s="259" t="s">
        <v>70</v>
      </c>
      <c r="Z7" s="259" t="s">
        <v>70</v>
      </c>
      <c r="AA7" s="259" t="s">
        <v>70</v>
      </c>
      <c r="AB7" s="259" t="s">
        <v>70</v>
      </c>
      <c r="AC7" s="259" t="s">
        <v>70</v>
      </c>
      <c r="AD7" s="39" t="s">
        <v>70</v>
      </c>
      <c r="AE7" s="262">
        <v>0</v>
      </c>
      <c r="AF7" s="259">
        <v>0</v>
      </c>
      <c r="AG7" s="259">
        <v>0</v>
      </c>
      <c r="AH7" s="259">
        <v>0</v>
      </c>
      <c r="AI7" s="259">
        <v>1</v>
      </c>
      <c r="AJ7" s="25" t="s">
        <v>421</v>
      </c>
      <c r="AL7" t="str">
        <f t="shared" ca="1" si="0"/>
        <v xml:space="preserve">    (U1)ALERT_REQ_S_LCA_TT_R_ON_G</v>
      </c>
      <c r="AR7" s="70" t="str">
        <f t="shared" ref="AR7:AR70" si="3">IF(AQ72&lt;&gt;"",AQ72,IF(AQ71&lt;&gt;"","};",""))</f>
        <v xml:space="preserve">    (U4)0x00000001U,                                                           /* 01 ON_G                                            */</v>
      </c>
      <c r="AS7" s="70" t="str">
        <f t="shared" ref="AS7:AS70" si="4">IF(AQ137&lt;&gt;"",AQ137,IF(AQ136&lt;&gt;"","};",""))</f>
        <v xml:space="preserve">    (U4)0x0000001FU,                                                           /* 01 ON_G                                            */</v>
      </c>
      <c r="AT7" s="70" t="str">
        <f t="shared" ca="1" si="1"/>
        <v xml:space="preserve">    (U1)ALERT_REQ_S_LCA_TT_R_ON_G,                                             /* 01 ON_G                                            */</v>
      </c>
      <c r="AU7" s="70" t="str">
        <f ca="1">"        &amp;"&amp;$AW$14&amp;","&amp;REPT(" ",69-LEN($AW$14))&amp;"/* fp_u4_SRC_CHK                                      */"</f>
        <v xml:space="preserve">        &amp;u4_s_AlertS_lcaTtRSrcchk,                                             /* fp_u4_SRC_CHK                                      */</v>
      </c>
      <c r="AV7" s="57" t="s">
        <v>72</v>
      </c>
      <c r="AW7" s="138">
        <f>IF(B3="Search Table",1,0)</f>
        <v>0</v>
      </c>
    </row>
    <row r="8" spans="1:49">
      <c r="B8" s="139"/>
      <c r="C8" s="55">
        <f t="shared" si="2"/>
        <v>2</v>
      </c>
      <c r="D8" s="259" t="s">
        <v>70</v>
      </c>
      <c r="E8" s="259" t="s">
        <v>70</v>
      </c>
      <c r="F8" s="259" t="s">
        <v>70</v>
      </c>
      <c r="G8" s="259" t="s">
        <v>70</v>
      </c>
      <c r="H8" s="259" t="s">
        <v>70</v>
      </c>
      <c r="I8" s="259" t="s">
        <v>70</v>
      </c>
      <c r="J8" s="259" t="s">
        <v>70</v>
      </c>
      <c r="K8" s="259" t="s">
        <v>410</v>
      </c>
      <c r="L8" s="259" t="s">
        <v>70</v>
      </c>
      <c r="M8" s="259" t="s">
        <v>70</v>
      </c>
      <c r="N8" s="259" t="s">
        <v>70</v>
      </c>
      <c r="O8" s="259" t="s">
        <v>70</v>
      </c>
      <c r="P8" s="259" t="s">
        <v>70</v>
      </c>
      <c r="Q8" s="259" t="s">
        <v>70</v>
      </c>
      <c r="R8" s="259" t="s">
        <v>70</v>
      </c>
      <c r="S8" s="259" t="s">
        <v>70</v>
      </c>
      <c r="T8" s="259" t="s">
        <v>70</v>
      </c>
      <c r="U8" s="259" t="s">
        <v>70</v>
      </c>
      <c r="V8" s="259" t="s">
        <v>70</v>
      </c>
      <c r="W8" s="259" t="s">
        <v>70</v>
      </c>
      <c r="X8" s="259" t="s">
        <v>70</v>
      </c>
      <c r="Y8" s="259" t="s">
        <v>70</v>
      </c>
      <c r="Z8" s="259" t="s">
        <v>70</v>
      </c>
      <c r="AA8" s="259" t="s">
        <v>70</v>
      </c>
      <c r="AB8" s="259" t="s">
        <v>70</v>
      </c>
      <c r="AC8" s="259" t="s">
        <v>70</v>
      </c>
      <c r="AD8" s="259" t="s">
        <v>70</v>
      </c>
      <c r="AE8" s="262">
        <v>0</v>
      </c>
      <c r="AF8" s="259">
        <v>0</v>
      </c>
      <c r="AG8" s="259">
        <v>0</v>
      </c>
      <c r="AH8" s="259">
        <v>1</v>
      </c>
      <c r="AI8" s="259">
        <v>0</v>
      </c>
      <c r="AJ8" s="25" t="s">
        <v>492</v>
      </c>
      <c r="AL8" t="str">
        <f t="shared" ca="1" si="0"/>
        <v xml:space="preserve">    (U1)ALERT_REQ_S_LCA_TT_R_ON_GY</v>
      </c>
      <c r="AR8" s="70" t="str">
        <f t="shared" si="3"/>
        <v xml:space="preserve">    (U4)0x00000002U,                                                           /* 02 ON_GY                                           */</v>
      </c>
      <c r="AS8" s="70" t="str">
        <f t="shared" si="4"/>
        <v xml:space="preserve">    (U4)0x0000001FU,                                                           /* 02 ON_GY                                           */</v>
      </c>
      <c r="AT8" s="70" t="str">
        <f ca="1">IF(AJ8&lt;&gt;"",AL8&amp;IF(AJ9&lt;&gt;"",","," ")&amp;REPT(" ",78-LEN(AL8))&amp;"/* "&amp;IF(C8&lt;10,"0"&amp;C8,C8)&amp;" "&amp;AJ8&amp;REPT(" ",48-LEN(AJ8))&amp;"*/",IF(AJ7&lt;&gt;"","};",""))</f>
        <v xml:space="preserve">    (U1)ALERT_REQ_S_LCA_TT_R_ON_GY,                                            /* 02 ON_GY                                           */</v>
      </c>
      <c r="AU8" s="70" t="str">
        <f ca="1">IF($AW$15&lt;&gt;"NULL","        &amp;"&amp;$AW$15&amp;","&amp;REPT(" ",69-LEN($AW$15))&amp;"/* fp_vd_XDST                                         */","        vdp_PTR_NA,                                                            /* fp_vd_XDST                                         */")</f>
        <v xml:space="preserve">        vdp_PTR_NA,                                                            /* fp_vd_XDST                                         */</v>
      </c>
      <c r="AV8" s="57" t="s">
        <v>73</v>
      </c>
      <c r="AW8" s="75" t="str">
        <f ca="1">"u4_sp_ALERT_"&amp;IF(AW6&lt;&gt;AW17,$AW$17&amp;"_"&amp;$AW$6,AW17)&amp;"_CRIT"</f>
        <v>u4_sp_ALERT_S_LCA_TT_R_CRIT</v>
      </c>
    </row>
    <row r="9" spans="1:49">
      <c r="B9" s="139"/>
      <c r="C9" s="55">
        <f t="shared" si="2"/>
        <v>3</v>
      </c>
      <c r="D9" s="259" t="s">
        <v>70</v>
      </c>
      <c r="E9" s="259" t="s">
        <v>70</v>
      </c>
      <c r="F9" s="259" t="s">
        <v>70</v>
      </c>
      <c r="G9" s="259" t="s">
        <v>70</v>
      </c>
      <c r="H9" s="259" t="s">
        <v>70</v>
      </c>
      <c r="I9" s="259" t="s">
        <v>70</v>
      </c>
      <c r="J9" s="259" t="s">
        <v>70</v>
      </c>
      <c r="K9" s="259" t="s">
        <v>70</v>
      </c>
      <c r="L9" s="259" t="s">
        <v>70</v>
      </c>
      <c r="M9" s="259" t="s">
        <v>70</v>
      </c>
      <c r="N9" s="259" t="s">
        <v>70</v>
      </c>
      <c r="O9" s="259" t="s">
        <v>70</v>
      </c>
      <c r="P9" s="259" t="s">
        <v>70</v>
      </c>
      <c r="Q9" s="259" t="s">
        <v>70</v>
      </c>
      <c r="R9" s="259" t="s">
        <v>70</v>
      </c>
      <c r="S9" s="259" t="s">
        <v>70</v>
      </c>
      <c r="T9" s="259" t="s">
        <v>70</v>
      </c>
      <c r="U9" s="259" t="s">
        <v>70</v>
      </c>
      <c r="V9" s="259" t="s">
        <v>70</v>
      </c>
      <c r="W9" s="259" t="s">
        <v>70</v>
      </c>
      <c r="X9" s="259" t="s">
        <v>70</v>
      </c>
      <c r="Y9" s="259" t="s">
        <v>70</v>
      </c>
      <c r="Z9" s="259" t="s">
        <v>70</v>
      </c>
      <c r="AA9" s="259" t="s">
        <v>70</v>
      </c>
      <c r="AB9" s="259" t="s">
        <v>70</v>
      </c>
      <c r="AC9" s="259" t="s">
        <v>70</v>
      </c>
      <c r="AD9" s="259" t="s">
        <v>70</v>
      </c>
      <c r="AE9" s="262">
        <v>0</v>
      </c>
      <c r="AF9" s="259">
        <v>0</v>
      </c>
      <c r="AG9" s="259">
        <v>0</v>
      </c>
      <c r="AH9" s="259">
        <v>1</v>
      </c>
      <c r="AI9" s="259">
        <v>1</v>
      </c>
      <c r="AJ9" s="25" t="s">
        <v>33</v>
      </c>
      <c r="AL9" t="str">
        <f t="shared" si="0"/>
        <v xml:space="preserve">    (U1)ALERT_REQ_UNKNOWN</v>
      </c>
      <c r="AR9" s="70" t="str">
        <f t="shared" si="3"/>
        <v xml:space="preserve">    (U4)0x00000003U,                                                           /* 03 UNKNOWN                                         */</v>
      </c>
      <c r="AS9" s="70" t="str">
        <f t="shared" si="4"/>
        <v xml:space="preserve">    (U4)0x0000001FU,                                                           /* 03 UNKNOWN                                         */</v>
      </c>
      <c r="AT9" s="70" t="str">
        <f t="shared" si="1"/>
        <v xml:space="preserve">    (U1)ALERT_REQ_UNKNOWN,                                                     /* 03 UNKNOWN                                         */</v>
      </c>
      <c r="AU9" s="70"/>
      <c r="AV9" s="57" t="s">
        <v>74</v>
      </c>
      <c r="AW9" s="75" t="str">
        <f ca="1">"u4_sp_ALERT_"&amp;IF(AW6&lt;&gt;AW17,$AW$17&amp;"_"&amp;$AW$6,AW17)&amp;"_MASK"</f>
        <v>u4_sp_ALERT_S_LCA_TT_R_MASK</v>
      </c>
    </row>
    <row r="10" spans="1:49">
      <c r="B10" s="139"/>
      <c r="C10" s="55">
        <f t="shared" si="2"/>
        <v>4</v>
      </c>
      <c r="D10" s="259" t="s">
        <v>70</v>
      </c>
      <c r="E10" s="259" t="s">
        <v>70</v>
      </c>
      <c r="F10" s="259" t="s">
        <v>70</v>
      </c>
      <c r="G10" s="259" t="s">
        <v>70</v>
      </c>
      <c r="H10" s="259" t="s">
        <v>70</v>
      </c>
      <c r="I10" s="259" t="s">
        <v>70</v>
      </c>
      <c r="J10" s="259" t="s">
        <v>70</v>
      </c>
      <c r="K10" s="259" t="s">
        <v>70</v>
      </c>
      <c r="L10" s="259" t="s">
        <v>70</v>
      </c>
      <c r="M10" s="259" t="s">
        <v>70</v>
      </c>
      <c r="N10" s="259" t="s">
        <v>70</v>
      </c>
      <c r="O10" s="259" t="s">
        <v>70</v>
      </c>
      <c r="P10" s="259" t="s">
        <v>70</v>
      </c>
      <c r="Q10" s="259" t="s">
        <v>70</v>
      </c>
      <c r="R10" s="259" t="s">
        <v>70</v>
      </c>
      <c r="S10" s="259" t="s">
        <v>70</v>
      </c>
      <c r="T10" s="259" t="s">
        <v>70</v>
      </c>
      <c r="U10" s="259" t="s">
        <v>70</v>
      </c>
      <c r="V10" s="259" t="s">
        <v>70</v>
      </c>
      <c r="W10" s="259" t="s">
        <v>70</v>
      </c>
      <c r="X10" s="259" t="s">
        <v>70</v>
      </c>
      <c r="Y10" s="259" t="s">
        <v>70</v>
      </c>
      <c r="Z10" s="259" t="s">
        <v>70</v>
      </c>
      <c r="AA10" s="259" t="s">
        <v>70</v>
      </c>
      <c r="AB10" s="259" t="s">
        <v>70</v>
      </c>
      <c r="AC10" s="259" t="s">
        <v>70</v>
      </c>
      <c r="AD10" s="259" t="s">
        <v>70</v>
      </c>
      <c r="AE10" s="262">
        <v>0</v>
      </c>
      <c r="AF10" s="259">
        <v>0</v>
      </c>
      <c r="AG10" s="259">
        <v>1</v>
      </c>
      <c r="AH10" s="259">
        <v>0</v>
      </c>
      <c r="AI10" s="259">
        <v>0</v>
      </c>
      <c r="AJ10" s="25" t="s">
        <v>33</v>
      </c>
      <c r="AL10" t="str">
        <f t="shared" si="0"/>
        <v xml:space="preserve">    (U1)ALERT_REQ_UNKNOWN</v>
      </c>
      <c r="AR10" s="70" t="str">
        <f t="shared" si="3"/>
        <v xml:space="preserve">    (U4)0x00000004U,                                                           /* 04 UNKNOWN                                         */</v>
      </c>
      <c r="AS10" s="70" t="str">
        <f t="shared" si="4"/>
        <v xml:space="preserve">    (U4)0x0000001FU,                                                           /* 04 UNKNOWN                                         */</v>
      </c>
      <c r="AT10" s="70" t="str">
        <f t="shared" si="1"/>
        <v xml:space="preserve">    (U1)ALERT_REQ_UNKNOWN,                                                     /* 04 UNKNOWN                                         */</v>
      </c>
      <c r="AU10" s="70" t="str">
        <f>IF($AW$7=1,"        &amp;"&amp;$AW$9&amp;"[0],"&amp;REPT(" ",66-LEN($AW$9))&amp;"/* u4p_MASK                                           */","        (const U4 *)vdp_PTR_NA,                                                /* u4p_MASK                                           */")</f>
        <v xml:space="preserve">        (const U4 *)vdp_PTR_NA,                                                /* u4p_MASK                                           */</v>
      </c>
      <c r="AV10" s="57" t="s">
        <v>75</v>
      </c>
      <c r="AW10" s="75" t="str">
        <f ca="1">"ALERT_"&amp;IF(AW6&lt;&gt;AW17,$AW$17&amp;"_"&amp;$AW$6,AW17)&amp;"_NUM_DST"</f>
        <v>ALERT_S_LCA_TT_R_NUM_DST</v>
      </c>
    </row>
    <row r="11" spans="1:49">
      <c r="B11" s="139"/>
      <c r="C11" s="55">
        <f t="shared" si="2"/>
        <v>5</v>
      </c>
      <c r="D11" s="259" t="s">
        <v>70</v>
      </c>
      <c r="E11" s="259" t="s">
        <v>70</v>
      </c>
      <c r="F11" s="259" t="s">
        <v>70</v>
      </c>
      <c r="G11" s="259" t="s">
        <v>70</v>
      </c>
      <c r="H11" s="259" t="s">
        <v>70</v>
      </c>
      <c r="I11" s="259" t="s">
        <v>70</v>
      </c>
      <c r="J11" s="259" t="s">
        <v>70</v>
      </c>
      <c r="K11" s="259" t="s">
        <v>70</v>
      </c>
      <c r="L11" s="259" t="s">
        <v>70</v>
      </c>
      <c r="M11" s="259" t="s">
        <v>70</v>
      </c>
      <c r="N11" s="259" t="s">
        <v>70</v>
      </c>
      <c r="O11" s="259" t="s">
        <v>70</v>
      </c>
      <c r="P11" s="259" t="s">
        <v>70</v>
      </c>
      <c r="Q11" s="259" t="s">
        <v>70</v>
      </c>
      <c r="R11" s="259" t="s">
        <v>70</v>
      </c>
      <c r="S11" s="259" t="s">
        <v>70</v>
      </c>
      <c r="T11" s="259" t="s">
        <v>70</v>
      </c>
      <c r="U11" s="259" t="s">
        <v>70</v>
      </c>
      <c r="V11" s="259" t="s">
        <v>70</v>
      </c>
      <c r="W11" s="259" t="s">
        <v>70</v>
      </c>
      <c r="X11" s="259" t="s">
        <v>70</v>
      </c>
      <c r="Y11" s="259" t="s">
        <v>70</v>
      </c>
      <c r="Z11" s="259" t="s">
        <v>70</v>
      </c>
      <c r="AA11" s="259" t="s">
        <v>70</v>
      </c>
      <c r="AB11" s="259" t="s">
        <v>70</v>
      </c>
      <c r="AC11" s="259" t="s">
        <v>70</v>
      </c>
      <c r="AD11" s="259" t="s">
        <v>70</v>
      </c>
      <c r="AE11" s="262">
        <v>0</v>
      </c>
      <c r="AF11" s="259">
        <v>0</v>
      </c>
      <c r="AG11" s="259">
        <v>1</v>
      </c>
      <c r="AH11" s="259">
        <v>0</v>
      </c>
      <c r="AI11" s="259">
        <v>1</v>
      </c>
      <c r="AJ11" s="25" t="s">
        <v>421</v>
      </c>
      <c r="AL11" t="str">
        <f t="shared" ca="1" si="0"/>
        <v xml:space="preserve">    (U1)ALERT_REQ_S_LCA_TT_R_ON_G</v>
      </c>
      <c r="AR11" s="70" t="str">
        <f t="shared" si="3"/>
        <v xml:space="preserve">    (U4)0x00000005U,                                                           /* 05 ON_G                                            */</v>
      </c>
      <c r="AS11" s="70" t="str">
        <f t="shared" si="4"/>
        <v xml:space="preserve">    (U4)0x0000001FU,                                                           /* 05 ON_G                                            */</v>
      </c>
      <c r="AT11" s="70" t="str">
        <f t="shared" ca="1" si="1"/>
        <v xml:space="preserve">    (U1)ALERT_REQ_S_LCA_TT_R_ON_G,                                             /* 05 ON_G                                            */</v>
      </c>
      <c r="AU11" s="70" t="str">
        <f>IF($AW$7=1,"        &amp;"&amp;$AW$8&amp;"[0],"&amp;REPT(" ",66-LEN($AW$8))&amp;"/* u4p_CRIT                                           */","        (const U4 *)vdp_PTR_NA,                                                /* u4p_CRIT                                           */")</f>
        <v xml:space="preserve">        (const U4 *)vdp_PTR_NA,                                                /* u4p_CRIT                                           */</v>
      </c>
      <c r="AV11" s="57" t="s">
        <v>76</v>
      </c>
      <c r="AW11" s="75" t="str">
        <f ca="1">"u1_sp_ALERT_"&amp;IF(AW6&lt;&gt;AW17,$AW$17&amp;"_"&amp;$AW$6,AW17)&amp;"_DST"</f>
        <v>u1_sp_ALERT_S_LCA_TT_R_DST</v>
      </c>
    </row>
    <row r="12" spans="1:49">
      <c r="B12" s="139"/>
      <c r="C12" s="55">
        <f t="shared" si="2"/>
        <v>6</v>
      </c>
      <c r="D12" s="259" t="s">
        <v>70</v>
      </c>
      <c r="E12" s="259" t="s">
        <v>70</v>
      </c>
      <c r="F12" s="259" t="s">
        <v>70</v>
      </c>
      <c r="G12" s="259" t="s">
        <v>70</v>
      </c>
      <c r="H12" s="259" t="s">
        <v>70</v>
      </c>
      <c r="I12" s="259" t="s">
        <v>70</v>
      </c>
      <c r="J12" s="259" t="s">
        <v>70</v>
      </c>
      <c r="K12" s="259" t="s">
        <v>70</v>
      </c>
      <c r="L12" s="259" t="s">
        <v>70</v>
      </c>
      <c r="M12" s="259" t="s">
        <v>70</v>
      </c>
      <c r="N12" s="259" t="s">
        <v>70</v>
      </c>
      <c r="O12" s="259" t="s">
        <v>70</v>
      </c>
      <c r="P12" s="259" t="s">
        <v>70</v>
      </c>
      <c r="Q12" s="259" t="s">
        <v>70</v>
      </c>
      <c r="R12" s="259" t="s">
        <v>70</v>
      </c>
      <c r="S12" s="259" t="s">
        <v>70</v>
      </c>
      <c r="T12" s="259" t="s">
        <v>70</v>
      </c>
      <c r="U12" s="259" t="s">
        <v>70</v>
      </c>
      <c r="V12" s="259" t="s">
        <v>70</v>
      </c>
      <c r="W12" s="259" t="s">
        <v>70</v>
      </c>
      <c r="X12" s="259" t="s">
        <v>70</v>
      </c>
      <c r="Y12" s="259" t="s">
        <v>70</v>
      </c>
      <c r="Z12" s="259" t="s">
        <v>70</v>
      </c>
      <c r="AA12" s="259" t="s">
        <v>70</v>
      </c>
      <c r="AB12" s="259" t="s">
        <v>70</v>
      </c>
      <c r="AC12" s="259" t="s">
        <v>70</v>
      </c>
      <c r="AD12" s="259" t="s">
        <v>70</v>
      </c>
      <c r="AE12" s="262">
        <v>0</v>
      </c>
      <c r="AF12" s="259">
        <v>0</v>
      </c>
      <c r="AG12" s="259">
        <v>1</v>
      </c>
      <c r="AH12" s="259">
        <v>1</v>
      </c>
      <c r="AI12" s="259">
        <v>0</v>
      </c>
      <c r="AJ12" s="25" t="s">
        <v>33</v>
      </c>
      <c r="AL12" t="str">
        <f t="shared" si="0"/>
        <v xml:space="preserve">    (U1)ALERT_REQ_UNKNOWN</v>
      </c>
      <c r="AR12" s="70" t="str">
        <f t="shared" si="3"/>
        <v xml:space="preserve">    (U4)0x00000006U,                                                           /* 06 UNKNOWN                                         */</v>
      </c>
      <c r="AS12" s="70" t="str">
        <f t="shared" si="4"/>
        <v xml:space="preserve">    (U4)0x0000001FU,                                                           /* 06 UNKNOWN                                         */</v>
      </c>
      <c r="AT12" s="70" t="str">
        <f t="shared" si="1"/>
        <v xml:space="preserve">    (U1)ALERT_REQ_UNKNOWN,                                                     /* 06 UNKNOWN                                         */</v>
      </c>
      <c r="AU12" s="70"/>
      <c r="AV12" s="57" t="s">
        <v>88</v>
      </c>
      <c r="AW12" s="75" t="str">
        <f ca="1">Matrix!D8&amp;"["&amp;Matrix!D7&amp;"]"</f>
        <v>st_gp_ALERT_S_LCA_MTRX[7]</v>
      </c>
    </row>
    <row r="13" spans="1:49">
      <c r="B13" s="139"/>
      <c r="C13" s="55">
        <f t="shared" si="2"/>
        <v>7</v>
      </c>
      <c r="D13" s="259" t="s">
        <v>70</v>
      </c>
      <c r="E13" s="259" t="s">
        <v>70</v>
      </c>
      <c r="F13" s="259" t="s">
        <v>70</v>
      </c>
      <c r="G13" s="259" t="s">
        <v>70</v>
      </c>
      <c r="H13" s="259" t="s">
        <v>70</v>
      </c>
      <c r="I13" s="259" t="s">
        <v>70</v>
      </c>
      <c r="J13" s="259" t="s">
        <v>70</v>
      </c>
      <c r="K13" s="259" t="s">
        <v>70</v>
      </c>
      <c r="L13" s="259" t="s">
        <v>70</v>
      </c>
      <c r="M13" s="259" t="s">
        <v>70</v>
      </c>
      <c r="N13" s="259" t="s">
        <v>70</v>
      </c>
      <c r="O13" s="259" t="s">
        <v>70</v>
      </c>
      <c r="P13" s="259" t="s">
        <v>70</v>
      </c>
      <c r="Q13" s="259" t="s">
        <v>70</v>
      </c>
      <c r="R13" s="259" t="s">
        <v>70</v>
      </c>
      <c r="S13" s="259" t="s">
        <v>70</v>
      </c>
      <c r="T13" s="259" t="s">
        <v>70</v>
      </c>
      <c r="U13" s="259" t="s">
        <v>70</v>
      </c>
      <c r="V13" s="259" t="s">
        <v>70</v>
      </c>
      <c r="W13" s="259" t="s">
        <v>70</v>
      </c>
      <c r="X13" s="259" t="s">
        <v>70</v>
      </c>
      <c r="Y13" s="259" t="s">
        <v>70</v>
      </c>
      <c r="Z13" s="259" t="s">
        <v>70</v>
      </c>
      <c r="AA13" s="259" t="s">
        <v>70</v>
      </c>
      <c r="AB13" s="259" t="s">
        <v>70</v>
      </c>
      <c r="AC13" s="259" t="s">
        <v>70</v>
      </c>
      <c r="AD13" s="259" t="s">
        <v>70</v>
      </c>
      <c r="AE13" s="262">
        <v>0</v>
      </c>
      <c r="AF13" s="259">
        <v>0</v>
      </c>
      <c r="AG13" s="259">
        <v>1</v>
      </c>
      <c r="AH13" s="259">
        <v>1</v>
      </c>
      <c r="AI13" s="259">
        <v>1</v>
      </c>
      <c r="AJ13" s="25" t="s">
        <v>419</v>
      </c>
      <c r="AL13" t="str">
        <f t="shared" ca="1" si="0"/>
        <v xml:space="preserve">    (U1)ALERT_REQ_S_LCA_TT_R_ON_W</v>
      </c>
      <c r="AR13" s="70" t="str">
        <f t="shared" si="3"/>
        <v xml:space="preserve">    (U4)0x00000007U,                                                           /* 07 ON_W                                            */</v>
      </c>
      <c r="AS13" s="70" t="str">
        <f t="shared" si="4"/>
        <v xml:space="preserve">    (U4)0x0000001FU,                                                           /* 07 ON_W                                            */</v>
      </c>
      <c r="AT13" s="70" t="str">
        <f t="shared" ca="1" si="1"/>
        <v xml:space="preserve">    (U1)ALERT_REQ_S_LCA_TT_R_ON_W,                                             /* 07 ON_W                                            */</v>
      </c>
      <c r="AU13" s="70" t="str">
        <f ca="1">"        &amp;"&amp;$AW$11&amp;"[0],"&amp;REPT(" ",66-LEN($AW$11))&amp;"/* u1p_DST                                            */"</f>
        <v xml:space="preserve">        &amp;u1_sp_ALERT_S_LCA_TT_R_DST[0],                                        /* u1p_DST                                            */</v>
      </c>
      <c r="AV13" s="57" t="s">
        <v>77</v>
      </c>
      <c r="AW13" s="138">
        <f>COUNTA($AJ$6:$AJ$69)</f>
        <v>32</v>
      </c>
    </row>
    <row r="14" spans="1:49">
      <c r="B14" s="139"/>
      <c r="C14" s="55">
        <f t="shared" si="2"/>
        <v>8</v>
      </c>
      <c r="D14" s="259" t="s">
        <v>70</v>
      </c>
      <c r="E14" s="259" t="s">
        <v>70</v>
      </c>
      <c r="F14" s="259" t="s">
        <v>70</v>
      </c>
      <c r="G14" s="259" t="s">
        <v>70</v>
      </c>
      <c r="H14" s="259" t="s">
        <v>70</v>
      </c>
      <c r="I14" s="259" t="s">
        <v>70</v>
      </c>
      <c r="J14" s="259" t="s">
        <v>70</v>
      </c>
      <c r="K14" s="259" t="s">
        <v>70</v>
      </c>
      <c r="L14" s="259" t="s">
        <v>70</v>
      </c>
      <c r="M14" s="259" t="s">
        <v>70</v>
      </c>
      <c r="N14" s="259" t="s">
        <v>70</v>
      </c>
      <c r="O14" s="259" t="s">
        <v>70</v>
      </c>
      <c r="P14" s="259" t="s">
        <v>70</v>
      </c>
      <c r="Q14" s="259" t="s">
        <v>70</v>
      </c>
      <c r="R14" s="259" t="s">
        <v>70</v>
      </c>
      <c r="S14" s="259" t="s">
        <v>70</v>
      </c>
      <c r="T14" s="259" t="s">
        <v>70</v>
      </c>
      <c r="U14" s="259" t="s">
        <v>70</v>
      </c>
      <c r="V14" s="259" t="s">
        <v>70</v>
      </c>
      <c r="W14" s="259" t="s">
        <v>70</v>
      </c>
      <c r="X14" s="259" t="s">
        <v>70</v>
      </c>
      <c r="Y14" s="259" t="s">
        <v>70</v>
      </c>
      <c r="Z14" s="259" t="s">
        <v>70</v>
      </c>
      <c r="AA14" s="259" t="s">
        <v>70</v>
      </c>
      <c r="AB14" s="259" t="s">
        <v>70</v>
      </c>
      <c r="AC14" s="259" t="s">
        <v>70</v>
      </c>
      <c r="AD14" s="259" t="s">
        <v>70</v>
      </c>
      <c r="AE14" s="262">
        <v>0</v>
      </c>
      <c r="AF14" s="259">
        <v>1</v>
      </c>
      <c r="AG14" s="259">
        <v>0</v>
      </c>
      <c r="AH14" s="259">
        <v>0</v>
      </c>
      <c r="AI14" s="259">
        <v>0</v>
      </c>
      <c r="AJ14" s="25" t="s">
        <v>33</v>
      </c>
      <c r="AL14" t="str">
        <f t="shared" si="0"/>
        <v xml:space="preserve">    (U1)ALERT_REQ_UNKNOWN</v>
      </c>
      <c r="AR14" s="70" t="str">
        <f t="shared" si="3"/>
        <v xml:space="preserve">    (U4)0x00000008U,                                                           /* 08 UNKNOWN                                         */</v>
      </c>
      <c r="AS14" s="70" t="str">
        <f t="shared" si="4"/>
        <v xml:space="preserve">    (U4)0x0000001FU,                                                           /* 08 UNKNOWN                                         */</v>
      </c>
      <c r="AT14" s="70" t="str">
        <f t="shared" si="1"/>
        <v xml:space="preserve">    (U1)ALERT_REQ_UNKNOWN,                                                     /* 08 UNKNOWN                                         */</v>
      </c>
      <c r="AU14" s="70" t="str">
        <f ca="1">"        (U2)"&amp;$AW$10&amp;","&amp;REPT(" ",66-LEN($AW$10))&amp;"/* u2_num_srch                                        */"</f>
        <v xml:space="preserve">        (U2)ALERT_S_LCA_TT_R_NUM_DST,                                          /* u2_num_srch                                        */</v>
      </c>
      <c r="AV14" s="57" t="s">
        <v>78</v>
      </c>
      <c r="AW14" s="75" t="str">
        <f ca="1">IF(AW6&lt;&gt;AW17,VLOOKUP(AW6,Matrix!$C$13:$G$37,4,FALSE),Matrix!F13)</f>
        <v>u4_s_AlertS_lcaTtRSrcchk</v>
      </c>
    </row>
    <row r="15" spans="1:49">
      <c r="B15" s="139"/>
      <c r="C15" s="55">
        <f t="shared" si="2"/>
        <v>9</v>
      </c>
      <c r="D15" s="259" t="s">
        <v>70</v>
      </c>
      <c r="E15" s="259" t="s">
        <v>70</v>
      </c>
      <c r="F15" s="259" t="s">
        <v>70</v>
      </c>
      <c r="G15" s="259" t="s">
        <v>70</v>
      </c>
      <c r="H15" s="259" t="s">
        <v>70</v>
      </c>
      <c r="I15" s="259" t="s">
        <v>70</v>
      </c>
      <c r="J15" s="259" t="s">
        <v>70</v>
      </c>
      <c r="K15" s="259" t="s">
        <v>70</v>
      </c>
      <c r="L15" s="259" t="s">
        <v>70</v>
      </c>
      <c r="M15" s="259" t="s">
        <v>70</v>
      </c>
      <c r="N15" s="259" t="s">
        <v>70</v>
      </c>
      <c r="O15" s="259" t="s">
        <v>70</v>
      </c>
      <c r="P15" s="259" t="s">
        <v>70</v>
      </c>
      <c r="Q15" s="259" t="s">
        <v>70</v>
      </c>
      <c r="R15" s="259" t="s">
        <v>70</v>
      </c>
      <c r="S15" s="259" t="s">
        <v>70</v>
      </c>
      <c r="T15" s="259" t="s">
        <v>70</v>
      </c>
      <c r="U15" s="259" t="s">
        <v>70</v>
      </c>
      <c r="V15" s="259" t="s">
        <v>70</v>
      </c>
      <c r="W15" s="259" t="s">
        <v>70</v>
      </c>
      <c r="X15" s="259" t="s">
        <v>70</v>
      </c>
      <c r="Y15" s="259" t="s">
        <v>70</v>
      </c>
      <c r="Z15" s="259" t="s">
        <v>70</v>
      </c>
      <c r="AA15" s="259" t="s">
        <v>70</v>
      </c>
      <c r="AB15" s="259" t="s">
        <v>70</v>
      </c>
      <c r="AC15" s="259" t="s">
        <v>70</v>
      </c>
      <c r="AD15" s="259" t="s">
        <v>70</v>
      </c>
      <c r="AE15" s="262">
        <v>0</v>
      </c>
      <c r="AF15" s="259">
        <v>1</v>
      </c>
      <c r="AG15" s="259">
        <v>0</v>
      </c>
      <c r="AH15" s="259">
        <v>0</v>
      </c>
      <c r="AI15" s="259">
        <v>1</v>
      </c>
      <c r="AJ15" s="25" t="s">
        <v>33</v>
      </c>
      <c r="AL15" t="str">
        <f t="shared" si="0"/>
        <v xml:space="preserve">    (U1)ALERT_REQ_UNKNOWN</v>
      </c>
      <c r="AR15" s="70" t="str">
        <f t="shared" si="3"/>
        <v xml:space="preserve">    (U4)0x00000009U,                                                           /* 09 UNKNOWN                                         */</v>
      </c>
      <c r="AS15" s="70" t="str">
        <f t="shared" si="4"/>
        <v xml:space="preserve">    (U4)0x0000001FU,                                                           /* 09 UNKNOWN                                         */</v>
      </c>
      <c r="AT15" s="70" t="str">
        <f t="shared" si="1"/>
        <v xml:space="preserve">    (U1)ALERT_REQ_UNKNOWN,                                                     /* 09 UNKNOWN                                         */</v>
      </c>
      <c r="AU15" s="70" t="str">
        <f ca="1">"        (U1)"&amp;$AW$16&amp;REPT(" ",67-LEN($AW$16))&amp;"/* u1_vom_act                                         */"</f>
        <v xml:space="preserve">        (U1)ALERT_VOM_IGN_ON                                                   /* u1_vom_act                                         */</v>
      </c>
      <c r="AV15" s="57" t="s">
        <v>81</v>
      </c>
      <c r="AW15" s="75" t="str">
        <f ca="1">IF(AW6&lt;&gt;AW17,VLOOKUP(AW6,Matrix!$C$13:$G$37,5,FALSE),Matrix!G13)</f>
        <v>NULL</v>
      </c>
    </row>
    <row r="16" spans="1:49">
      <c r="B16" s="139"/>
      <c r="C16" s="55">
        <f t="shared" si="2"/>
        <v>10</v>
      </c>
      <c r="D16" s="259" t="s">
        <v>70</v>
      </c>
      <c r="E16" s="259" t="s">
        <v>70</v>
      </c>
      <c r="F16" s="259" t="s">
        <v>70</v>
      </c>
      <c r="G16" s="259" t="s">
        <v>70</v>
      </c>
      <c r="H16" s="259" t="s">
        <v>70</v>
      </c>
      <c r="I16" s="259" t="s">
        <v>70</v>
      </c>
      <c r="J16" s="259" t="s">
        <v>70</v>
      </c>
      <c r="K16" s="259" t="s">
        <v>70</v>
      </c>
      <c r="L16" s="259" t="s">
        <v>70</v>
      </c>
      <c r="M16" s="259" t="s">
        <v>70</v>
      </c>
      <c r="N16" s="259" t="s">
        <v>70</v>
      </c>
      <c r="O16" s="259" t="s">
        <v>70</v>
      </c>
      <c r="P16" s="259" t="s">
        <v>70</v>
      </c>
      <c r="Q16" s="259" t="s">
        <v>70</v>
      </c>
      <c r="R16" s="259" t="s">
        <v>70</v>
      </c>
      <c r="S16" s="259" t="s">
        <v>70</v>
      </c>
      <c r="T16" s="259" t="s">
        <v>70</v>
      </c>
      <c r="U16" s="259" t="s">
        <v>70</v>
      </c>
      <c r="V16" s="259" t="s">
        <v>70</v>
      </c>
      <c r="W16" s="259" t="s">
        <v>70</v>
      </c>
      <c r="X16" s="259" t="s">
        <v>70</v>
      </c>
      <c r="Y16" s="259" t="s">
        <v>70</v>
      </c>
      <c r="Z16" s="259" t="s">
        <v>70</v>
      </c>
      <c r="AA16" s="259" t="s">
        <v>70</v>
      </c>
      <c r="AB16" s="259" t="s">
        <v>70</v>
      </c>
      <c r="AC16" s="259" t="s">
        <v>70</v>
      </c>
      <c r="AD16" s="259" t="s">
        <v>70</v>
      </c>
      <c r="AE16" s="262">
        <v>0</v>
      </c>
      <c r="AF16" s="259">
        <v>1</v>
      </c>
      <c r="AG16" s="259">
        <v>0</v>
      </c>
      <c r="AH16" s="259">
        <v>1</v>
      </c>
      <c r="AI16" s="259">
        <v>0</v>
      </c>
      <c r="AJ16" s="25" t="s">
        <v>33</v>
      </c>
      <c r="AL16" t="str">
        <f t="shared" si="0"/>
        <v xml:space="preserve">    (U1)ALERT_REQ_UNKNOWN</v>
      </c>
      <c r="AR16" s="70" t="str">
        <f t="shared" si="3"/>
        <v xml:space="preserve">    (U4)0x0000000AU,                                                           /* 10 UNKNOWN                                         */</v>
      </c>
      <c r="AS16" s="70" t="str">
        <f t="shared" si="4"/>
        <v xml:space="preserve">    (U4)0x0000001FU,                                                           /* 10 UNKNOWN                                         */</v>
      </c>
      <c r="AT16" s="70" t="str">
        <f t="shared" si="1"/>
        <v xml:space="preserve">    (U1)ALERT_REQ_UNKNOWN,                                                     /* 10 UNKNOWN                                         */</v>
      </c>
      <c r="AU16" s="70" t="s">
        <v>467</v>
      </c>
      <c r="AV16" s="57" t="s">
        <v>79</v>
      </c>
      <c r="AW16" s="75" t="str">
        <f ca="1">IF(AW6&lt;&gt;AW17,VLOOKUP(AW6,Matrix!$C$13:$G$37,2,FALSE),Matrix!D13)</f>
        <v>ALERT_VOM_IGN_ON</v>
      </c>
    </row>
    <row r="17" spans="2:49" ht="14.25" thickBot="1">
      <c r="B17" s="139"/>
      <c r="C17" s="55">
        <f t="shared" si="2"/>
        <v>11</v>
      </c>
      <c r="D17" s="259" t="s">
        <v>70</v>
      </c>
      <c r="E17" s="259" t="s">
        <v>70</v>
      </c>
      <c r="F17" s="259" t="s">
        <v>70</v>
      </c>
      <c r="G17" s="259" t="s">
        <v>70</v>
      </c>
      <c r="H17" s="259" t="s">
        <v>70</v>
      </c>
      <c r="I17" s="259" t="s">
        <v>70</v>
      </c>
      <c r="J17" s="259" t="s">
        <v>70</v>
      </c>
      <c r="K17" s="259" t="s">
        <v>70</v>
      </c>
      <c r="L17" s="259" t="s">
        <v>70</v>
      </c>
      <c r="M17" s="259" t="s">
        <v>70</v>
      </c>
      <c r="N17" s="259" t="s">
        <v>70</v>
      </c>
      <c r="O17" s="259" t="s">
        <v>70</v>
      </c>
      <c r="P17" s="259" t="s">
        <v>70</v>
      </c>
      <c r="Q17" s="259" t="s">
        <v>70</v>
      </c>
      <c r="R17" s="259" t="s">
        <v>70</v>
      </c>
      <c r="S17" s="259" t="s">
        <v>70</v>
      </c>
      <c r="T17" s="259" t="s">
        <v>70</v>
      </c>
      <c r="U17" s="259" t="s">
        <v>70</v>
      </c>
      <c r="V17" s="259" t="s">
        <v>70</v>
      </c>
      <c r="W17" s="259" t="s">
        <v>70</v>
      </c>
      <c r="X17" s="259" t="s">
        <v>70</v>
      </c>
      <c r="Y17" s="259" t="s">
        <v>70</v>
      </c>
      <c r="Z17" s="259" t="s">
        <v>70</v>
      </c>
      <c r="AA17" s="259" t="s">
        <v>70</v>
      </c>
      <c r="AB17" s="259" t="s">
        <v>70</v>
      </c>
      <c r="AC17" s="259" t="s">
        <v>70</v>
      </c>
      <c r="AD17" s="259" t="s">
        <v>70</v>
      </c>
      <c r="AE17" s="262">
        <v>0</v>
      </c>
      <c r="AF17" s="259">
        <v>1</v>
      </c>
      <c r="AG17" s="259">
        <v>0</v>
      </c>
      <c r="AH17" s="259">
        <v>1</v>
      </c>
      <c r="AI17" s="259">
        <v>1</v>
      </c>
      <c r="AJ17" s="25" t="s">
        <v>33</v>
      </c>
      <c r="AL17" t="str">
        <f t="shared" si="0"/>
        <v xml:space="preserve">    (U1)ALERT_REQ_UNKNOWN</v>
      </c>
      <c r="AR17" s="70" t="str">
        <f t="shared" si="3"/>
        <v xml:space="preserve">    (U4)0x0000000BU,                                                           /* 11 UNKNOWN                                         */</v>
      </c>
      <c r="AS17" s="70" t="str">
        <f t="shared" si="4"/>
        <v xml:space="preserve">    (U4)0x0000001FU,                                                           /* 11 UNKNOWN                                         */</v>
      </c>
      <c r="AT17" s="70" t="str">
        <f t="shared" si="1"/>
        <v xml:space="preserve">    (U1)ALERT_REQ_UNKNOWN,                                                     /* 11 UNKNOWN                                         */</v>
      </c>
      <c r="AU17" s="71" t="s">
        <v>468</v>
      </c>
      <c r="AV17" s="58" t="s">
        <v>80</v>
      </c>
      <c r="AW17" s="76" t="str">
        <f ca="1">UPPER(Matrix!$D$6)</f>
        <v>S_LCA</v>
      </c>
    </row>
    <row r="18" spans="2:49">
      <c r="B18" s="139"/>
      <c r="C18" s="55">
        <f t="shared" si="2"/>
        <v>12</v>
      </c>
      <c r="D18" s="259" t="s">
        <v>70</v>
      </c>
      <c r="E18" s="259" t="s">
        <v>70</v>
      </c>
      <c r="F18" s="259" t="s">
        <v>70</v>
      </c>
      <c r="G18" s="259" t="s">
        <v>70</v>
      </c>
      <c r="H18" s="259" t="s">
        <v>70</v>
      </c>
      <c r="I18" s="259" t="s">
        <v>70</v>
      </c>
      <c r="J18" s="259" t="s">
        <v>70</v>
      </c>
      <c r="K18" s="259" t="s">
        <v>70</v>
      </c>
      <c r="L18" s="259" t="s">
        <v>70</v>
      </c>
      <c r="M18" s="259" t="s">
        <v>70</v>
      </c>
      <c r="N18" s="259" t="s">
        <v>70</v>
      </c>
      <c r="O18" s="259" t="s">
        <v>70</v>
      </c>
      <c r="P18" s="259" t="s">
        <v>70</v>
      </c>
      <c r="Q18" s="259" t="s">
        <v>70</v>
      </c>
      <c r="R18" s="259" t="s">
        <v>70</v>
      </c>
      <c r="S18" s="259" t="s">
        <v>70</v>
      </c>
      <c r="T18" s="259" t="s">
        <v>70</v>
      </c>
      <c r="U18" s="259" t="s">
        <v>70</v>
      </c>
      <c r="V18" s="259" t="s">
        <v>70</v>
      </c>
      <c r="W18" s="259" t="s">
        <v>70</v>
      </c>
      <c r="X18" s="259" t="s">
        <v>70</v>
      </c>
      <c r="Y18" s="259" t="s">
        <v>70</v>
      </c>
      <c r="Z18" s="259" t="s">
        <v>70</v>
      </c>
      <c r="AA18" s="259" t="s">
        <v>70</v>
      </c>
      <c r="AB18" s="259" t="s">
        <v>70</v>
      </c>
      <c r="AC18" s="259" t="s">
        <v>70</v>
      </c>
      <c r="AD18" s="259" t="s">
        <v>70</v>
      </c>
      <c r="AE18" s="262">
        <v>0</v>
      </c>
      <c r="AF18" s="259">
        <v>1</v>
      </c>
      <c r="AG18" s="259">
        <v>1</v>
      </c>
      <c r="AH18" s="259">
        <v>0</v>
      </c>
      <c r="AI18" s="259">
        <v>0</v>
      </c>
      <c r="AJ18" s="25" t="s">
        <v>33</v>
      </c>
      <c r="AL18" t="str">
        <f t="shared" si="0"/>
        <v xml:space="preserve">    (U1)ALERT_REQ_UNKNOWN</v>
      </c>
      <c r="AR18" s="70" t="str">
        <f t="shared" si="3"/>
        <v xml:space="preserve">    (U4)0x0000000CU,                                                           /* 12 UNKNOWN                                         */</v>
      </c>
      <c r="AS18" s="70" t="str">
        <f t="shared" si="4"/>
        <v xml:space="preserve">    (U4)0x0000001FU,                                                           /* 12 UNKNOWN                                         */</v>
      </c>
      <c r="AT18" s="70" t="str">
        <f t="shared" si="1"/>
        <v xml:space="preserve">    (U1)ALERT_REQ_UNKNOWN,                                                     /* 12 UNKNOWN                                         */</v>
      </c>
    </row>
    <row r="19" spans="2:49">
      <c r="B19" s="139"/>
      <c r="C19" s="55">
        <f t="shared" si="2"/>
        <v>13</v>
      </c>
      <c r="D19" s="259" t="s">
        <v>70</v>
      </c>
      <c r="E19" s="259" t="s">
        <v>70</v>
      </c>
      <c r="F19" s="259" t="s">
        <v>70</v>
      </c>
      <c r="G19" s="259" t="s">
        <v>70</v>
      </c>
      <c r="H19" s="259" t="s">
        <v>70</v>
      </c>
      <c r="I19" s="259" t="s">
        <v>70</v>
      </c>
      <c r="J19" s="259" t="s">
        <v>70</v>
      </c>
      <c r="K19" s="259" t="s">
        <v>70</v>
      </c>
      <c r="L19" s="259" t="s">
        <v>70</v>
      </c>
      <c r="M19" s="259" t="s">
        <v>70</v>
      </c>
      <c r="N19" s="259" t="s">
        <v>70</v>
      </c>
      <c r="O19" s="259" t="s">
        <v>70</v>
      </c>
      <c r="P19" s="259" t="s">
        <v>70</v>
      </c>
      <c r="Q19" s="259" t="s">
        <v>70</v>
      </c>
      <c r="R19" s="259" t="s">
        <v>70</v>
      </c>
      <c r="S19" s="259" t="s">
        <v>70</v>
      </c>
      <c r="T19" s="259" t="s">
        <v>70</v>
      </c>
      <c r="U19" s="259" t="s">
        <v>70</v>
      </c>
      <c r="V19" s="259" t="s">
        <v>70</v>
      </c>
      <c r="W19" s="259" t="s">
        <v>70</v>
      </c>
      <c r="X19" s="259" t="s">
        <v>70</v>
      </c>
      <c r="Y19" s="259" t="s">
        <v>70</v>
      </c>
      <c r="Z19" s="259" t="s">
        <v>70</v>
      </c>
      <c r="AA19" s="259" t="s">
        <v>70</v>
      </c>
      <c r="AB19" s="259" t="s">
        <v>70</v>
      </c>
      <c r="AC19" s="259" t="s">
        <v>70</v>
      </c>
      <c r="AD19" s="259" t="s">
        <v>70</v>
      </c>
      <c r="AE19" s="262">
        <v>0</v>
      </c>
      <c r="AF19" s="259">
        <v>1</v>
      </c>
      <c r="AG19" s="259">
        <v>1</v>
      </c>
      <c r="AH19" s="259">
        <v>0</v>
      </c>
      <c r="AI19" s="259">
        <v>1</v>
      </c>
      <c r="AJ19" s="25" t="s">
        <v>33</v>
      </c>
      <c r="AL19" t="str">
        <f t="shared" si="0"/>
        <v xml:space="preserve">    (U1)ALERT_REQ_UNKNOWN</v>
      </c>
      <c r="AR19" s="70" t="str">
        <f t="shared" si="3"/>
        <v xml:space="preserve">    (U4)0x0000000DU,                                                           /* 13 UNKNOWN                                         */</v>
      </c>
      <c r="AS19" s="70" t="str">
        <f t="shared" si="4"/>
        <v xml:space="preserve">    (U4)0x0000001FU,                                                           /* 13 UNKNOWN                                         */</v>
      </c>
      <c r="AT19" s="70" t="str">
        <f t="shared" si="1"/>
        <v xml:space="preserve">    (U1)ALERT_REQ_UNKNOWN,                                                     /* 13 UNKNOWN                                         */</v>
      </c>
    </row>
    <row r="20" spans="2:49">
      <c r="B20" s="139"/>
      <c r="C20" s="55">
        <f t="shared" si="2"/>
        <v>14</v>
      </c>
      <c r="D20" s="259" t="s">
        <v>70</v>
      </c>
      <c r="E20" s="259" t="s">
        <v>70</v>
      </c>
      <c r="F20" s="259" t="s">
        <v>70</v>
      </c>
      <c r="G20" s="259" t="s">
        <v>70</v>
      </c>
      <c r="H20" s="259" t="s">
        <v>70</v>
      </c>
      <c r="I20" s="259" t="s">
        <v>70</v>
      </c>
      <c r="J20" s="259" t="s">
        <v>70</v>
      </c>
      <c r="K20" s="259" t="s">
        <v>70</v>
      </c>
      <c r="L20" s="259" t="s">
        <v>70</v>
      </c>
      <c r="M20" s="259" t="s">
        <v>70</v>
      </c>
      <c r="N20" s="259" t="s">
        <v>70</v>
      </c>
      <c r="O20" s="259" t="s">
        <v>70</v>
      </c>
      <c r="P20" s="259" t="s">
        <v>70</v>
      </c>
      <c r="Q20" s="259" t="s">
        <v>70</v>
      </c>
      <c r="R20" s="259" t="s">
        <v>70</v>
      </c>
      <c r="S20" s="259" t="s">
        <v>70</v>
      </c>
      <c r="T20" s="259" t="s">
        <v>70</v>
      </c>
      <c r="U20" s="259" t="s">
        <v>70</v>
      </c>
      <c r="V20" s="259" t="s">
        <v>70</v>
      </c>
      <c r="W20" s="259" t="s">
        <v>70</v>
      </c>
      <c r="X20" s="259" t="s">
        <v>70</v>
      </c>
      <c r="Y20" s="259" t="s">
        <v>70</v>
      </c>
      <c r="Z20" s="259" t="s">
        <v>70</v>
      </c>
      <c r="AA20" s="259" t="s">
        <v>70</v>
      </c>
      <c r="AB20" s="259" t="s">
        <v>70</v>
      </c>
      <c r="AC20" s="259" t="s">
        <v>70</v>
      </c>
      <c r="AD20" s="259" t="s">
        <v>70</v>
      </c>
      <c r="AE20" s="262">
        <v>0</v>
      </c>
      <c r="AF20" s="259">
        <v>1</v>
      </c>
      <c r="AG20" s="259">
        <v>1</v>
      </c>
      <c r="AH20" s="259">
        <v>1</v>
      </c>
      <c r="AI20" s="259">
        <v>0</v>
      </c>
      <c r="AJ20" s="25" t="s">
        <v>33</v>
      </c>
      <c r="AL20" t="str">
        <f t="shared" si="0"/>
        <v xml:space="preserve">    (U1)ALERT_REQ_UNKNOWN</v>
      </c>
      <c r="AR20" s="70" t="str">
        <f t="shared" si="3"/>
        <v xml:space="preserve">    (U4)0x0000000EU,                                                           /* 14 UNKNOWN                                         */</v>
      </c>
      <c r="AS20" s="70" t="str">
        <f t="shared" si="4"/>
        <v xml:space="preserve">    (U4)0x0000001FU,                                                           /* 14 UNKNOWN                                         */</v>
      </c>
      <c r="AT20" s="70" t="str">
        <f t="shared" si="1"/>
        <v xml:space="preserve">    (U1)ALERT_REQ_UNKNOWN,                                                     /* 14 UNKNOWN                                         */</v>
      </c>
    </row>
    <row r="21" spans="2:49">
      <c r="B21" s="139"/>
      <c r="C21" s="55">
        <f t="shared" si="2"/>
        <v>15</v>
      </c>
      <c r="D21" s="259" t="s">
        <v>70</v>
      </c>
      <c r="E21" s="259" t="s">
        <v>70</v>
      </c>
      <c r="F21" s="259" t="s">
        <v>70</v>
      </c>
      <c r="G21" s="259" t="s">
        <v>70</v>
      </c>
      <c r="H21" s="259" t="s">
        <v>70</v>
      </c>
      <c r="I21" s="259" t="s">
        <v>70</v>
      </c>
      <c r="J21" s="259" t="s">
        <v>70</v>
      </c>
      <c r="K21" s="259" t="s">
        <v>70</v>
      </c>
      <c r="L21" s="259" t="s">
        <v>70</v>
      </c>
      <c r="M21" s="259" t="s">
        <v>70</v>
      </c>
      <c r="N21" s="259" t="s">
        <v>70</v>
      </c>
      <c r="O21" s="259" t="s">
        <v>70</v>
      </c>
      <c r="P21" s="259" t="s">
        <v>70</v>
      </c>
      <c r="Q21" s="259" t="s">
        <v>70</v>
      </c>
      <c r="R21" s="259" t="s">
        <v>70</v>
      </c>
      <c r="S21" s="259" t="s">
        <v>70</v>
      </c>
      <c r="T21" s="259" t="s">
        <v>70</v>
      </c>
      <c r="U21" s="259" t="s">
        <v>70</v>
      </c>
      <c r="V21" s="259" t="s">
        <v>70</v>
      </c>
      <c r="W21" s="259" t="s">
        <v>70</v>
      </c>
      <c r="X21" s="259" t="s">
        <v>70</v>
      </c>
      <c r="Y21" s="259" t="s">
        <v>70</v>
      </c>
      <c r="Z21" s="259" t="s">
        <v>70</v>
      </c>
      <c r="AA21" s="259" t="s">
        <v>70</v>
      </c>
      <c r="AB21" s="259" t="s">
        <v>70</v>
      </c>
      <c r="AC21" s="259" t="s">
        <v>70</v>
      </c>
      <c r="AD21" s="259" t="s">
        <v>70</v>
      </c>
      <c r="AE21" s="262">
        <v>0</v>
      </c>
      <c r="AF21" s="259">
        <v>1</v>
      </c>
      <c r="AG21" s="259">
        <v>1</v>
      </c>
      <c r="AH21" s="259">
        <v>1</v>
      </c>
      <c r="AI21" s="259">
        <v>1</v>
      </c>
      <c r="AJ21" s="25" t="s">
        <v>33</v>
      </c>
      <c r="AL21" t="str">
        <f t="shared" si="0"/>
        <v xml:space="preserve">    (U1)ALERT_REQ_UNKNOWN</v>
      </c>
      <c r="AR21" s="70" t="str">
        <f t="shared" si="3"/>
        <v xml:space="preserve">    (U4)0x0000000FU,                                                           /* 15 UNKNOWN                                         */</v>
      </c>
      <c r="AS21" s="70" t="str">
        <f t="shared" si="4"/>
        <v xml:space="preserve">    (U4)0x0000001FU,                                                           /* 15 UNKNOWN                                         */</v>
      </c>
      <c r="AT21" s="70" t="str">
        <f t="shared" si="1"/>
        <v xml:space="preserve">    (U1)ALERT_REQ_UNKNOWN,                                                     /* 15 UNKNOWN                                         */</v>
      </c>
    </row>
    <row r="22" spans="2:49">
      <c r="B22" s="139"/>
      <c r="C22" s="55">
        <f t="shared" si="2"/>
        <v>16</v>
      </c>
      <c r="D22" s="259" t="s">
        <v>70</v>
      </c>
      <c r="E22" s="259" t="s">
        <v>70</v>
      </c>
      <c r="F22" s="259" t="s">
        <v>70</v>
      </c>
      <c r="G22" s="259" t="s">
        <v>70</v>
      </c>
      <c r="H22" s="259" t="s">
        <v>70</v>
      </c>
      <c r="I22" s="259" t="s">
        <v>70</v>
      </c>
      <c r="J22" s="259" t="s">
        <v>70</v>
      </c>
      <c r="K22" s="259" t="s">
        <v>70</v>
      </c>
      <c r="L22" s="259" t="s">
        <v>70</v>
      </c>
      <c r="M22" s="259" t="s">
        <v>70</v>
      </c>
      <c r="N22" s="259" t="s">
        <v>70</v>
      </c>
      <c r="O22" s="259" t="s">
        <v>70</v>
      </c>
      <c r="P22" s="259" t="s">
        <v>70</v>
      </c>
      <c r="Q22" s="259" t="s">
        <v>70</v>
      </c>
      <c r="R22" s="259" t="s">
        <v>70</v>
      </c>
      <c r="S22" s="259" t="s">
        <v>70</v>
      </c>
      <c r="T22" s="259" t="s">
        <v>70</v>
      </c>
      <c r="U22" s="259" t="s">
        <v>70</v>
      </c>
      <c r="V22" s="259" t="s">
        <v>70</v>
      </c>
      <c r="W22" s="259" t="s">
        <v>70</v>
      </c>
      <c r="X22" s="259" t="s">
        <v>70</v>
      </c>
      <c r="Y22" s="259" t="s">
        <v>70</v>
      </c>
      <c r="Z22" s="259" t="s">
        <v>70</v>
      </c>
      <c r="AA22" s="259" t="s">
        <v>70</v>
      </c>
      <c r="AB22" s="259" t="s">
        <v>70</v>
      </c>
      <c r="AC22" s="259" t="s">
        <v>70</v>
      </c>
      <c r="AD22" s="259" t="s">
        <v>70</v>
      </c>
      <c r="AE22" s="262">
        <v>1</v>
      </c>
      <c r="AF22" s="262">
        <v>0</v>
      </c>
      <c r="AG22" s="262">
        <v>0</v>
      </c>
      <c r="AH22" s="262">
        <v>0</v>
      </c>
      <c r="AI22" s="262">
        <v>0</v>
      </c>
      <c r="AJ22" s="25" t="s">
        <v>33</v>
      </c>
      <c r="AL22" t="str">
        <f t="shared" si="0"/>
        <v xml:space="preserve">    (U1)ALERT_REQ_UNKNOWN</v>
      </c>
      <c r="AR22" s="70" t="str">
        <f t="shared" si="3"/>
        <v xml:space="preserve">    (U4)0x00000010U,                                                           /* 16 UNKNOWN                                         */</v>
      </c>
      <c r="AS22" s="70" t="str">
        <f t="shared" si="4"/>
        <v xml:space="preserve">    (U4)0x0000001FU,                                                           /* 16 UNKNOWN                                         */</v>
      </c>
      <c r="AT22" s="70" t="str">
        <f t="shared" si="1"/>
        <v xml:space="preserve">    (U1)ALERT_REQ_UNKNOWN,                                                     /* 16 UNKNOWN                                         */</v>
      </c>
    </row>
    <row r="23" spans="2:49">
      <c r="B23" s="139"/>
      <c r="C23" s="55">
        <f t="shared" si="2"/>
        <v>17</v>
      </c>
      <c r="D23" s="259" t="s">
        <v>70</v>
      </c>
      <c r="E23" s="259" t="s">
        <v>70</v>
      </c>
      <c r="F23" s="259" t="s">
        <v>70</v>
      </c>
      <c r="G23" s="259" t="s">
        <v>70</v>
      </c>
      <c r="H23" s="259" t="s">
        <v>70</v>
      </c>
      <c r="I23" s="259" t="s">
        <v>70</v>
      </c>
      <c r="J23" s="259" t="s">
        <v>70</v>
      </c>
      <c r="K23" s="259" t="s">
        <v>70</v>
      </c>
      <c r="L23" s="259" t="s">
        <v>70</v>
      </c>
      <c r="M23" s="259" t="s">
        <v>70</v>
      </c>
      <c r="N23" s="259" t="s">
        <v>70</v>
      </c>
      <c r="O23" s="259" t="s">
        <v>70</v>
      </c>
      <c r="P23" s="259" t="s">
        <v>70</v>
      </c>
      <c r="Q23" s="259" t="s">
        <v>70</v>
      </c>
      <c r="R23" s="259" t="s">
        <v>70</v>
      </c>
      <c r="S23" s="259" t="s">
        <v>70</v>
      </c>
      <c r="T23" s="259" t="s">
        <v>70</v>
      </c>
      <c r="U23" s="259" t="s">
        <v>70</v>
      </c>
      <c r="V23" s="259" t="s">
        <v>70</v>
      </c>
      <c r="W23" s="259" t="s">
        <v>70</v>
      </c>
      <c r="X23" s="259" t="s">
        <v>70</v>
      </c>
      <c r="Y23" s="259" t="s">
        <v>70</v>
      </c>
      <c r="Z23" s="259" t="s">
        <v>70</v>
      </c>
      <c r="AA23" s="259" t="s">
        <v>70</v>
      </c>
      <c r="AB23" s="259" t="s">
        <v>70</v>
      </c>
      <c r="AC23" s="259" t="s">
        <v>70</v>
      </c>
      <c r="AD23" s="259" t="s">
        <v>70</v>
      </c>
      <c r="AE23" s="262">
        <v>1</v>
      </c>
      <c r="AF23" s="262">
        <v>0</v>
      </c>
      <c r="AG23" s="262">
        <v>0</v>
      </c>
      <c r="AH23" s="262">
        <v>0</v>
      </c>
      <c r="AI23" s="262">
        <v>1</v>
      </c>
      <c r="AJ23" s="25" t="s">
        <v>33</v>
      </c>
      <c r="AL23" t="str">
        <f t="shared" si="0"/>
        <v xml:space="preserve">    (U1)ALERT_REQ_UNKNOWN</v>
      </c>
      <c r="AR23" s="70" t="str">
        <f t="shared" si="3"/>
        <v xml:space="preserve">    (U4)0x00000011U,                                                           /* 17 UNKNOWN                                         */</v>
      </c>
      <c r="AS23" s="70" t="str">
        <f t="shared" si="4"/>
        <v xml:space="preserve">    (U4)0x0000001FU,                                                           /* 17 UNKNOWN                                         */</v>
      </c>
      <c r="AT23" s="70" t="str">
        <f t="shared" si="1"/>
        <v xml:space="preserve">    (U1)ALERT_REQ_UNKNOWN,                                                     /* 17 UNKNOWN                                         */</v>
      </c>
    </row>
    <row r="24" spans="2:49">
      <c r="B24" s="139"/>
      <c r="C24" s="55">
        <f t="shared" si="2"/>
        <v>18</v>
      </c>
      <c r="D24" s="259" t="s">
        <v>70</v>
      </c>
      <c r="E24" s="259" t="s">
        <v>70</v>
      </c>
      <c r="F24" s="259" t="s">
        <v>70</v>
      </c>
      <c r="G24" s="259" t="s">
        <v>70</v>
      </c>
      <c r="H24" s="259" t="s">
        <v>70</v>
      </c>
      <c r="I24" s="259" t="s">
        <v>70</v>
      </c>
      <c r="J24" s="259" t="s">
        <v>70</v>
      </c>
      <c r="K24" s="259" t="s">
        <v>70</v>
      </c>
      <c r="L24" s="259" t="s">
        <v>70</v>
      </c>
      <c r="M24" s="259" t="s">
        <v>70</v>
      </c>
      <c r="N24" s="259" t="s">
        <v>70</v>
      </c>
      <c r="O24" s="259" t="s">
        <v>70</v>
      </c>
      <c r="P24" s="259" t="s">
        <v>70</v>
      </c>
      <c r="Q24" s="259" t="s">
        <v>70</v>
      </c>
      <c r="R24" s="259" t="s">
        <v>70</v>
      </c>
      <c r="S24" s="259" t="s">
        <v>70</v>
      </c>
      <c r="T24" s="259" t="s">
        <v>70</v>
      </c>
      <c r="U24" s="259" t="s">
        <v>70</v>
      </c>
      <c r="V24" s="259" t="s">
        <v>70</v>
      </c>
      <c r="W24" s="259" t="s">
        <v>70</v>
      </c>
      <c r="X24" s="259" t="s">
        <v>70</v>
      </c>
      <c r="Y24" s="259" t="s">
        <v>70</v>
      </c>
      <c r="Z24" s="259" t="s">
        <v>70</v>
      </c>
      <c r="AA24" s="259" t="s">
        <v>70</v>
      </c>
      <c r="AB24" s="259" t="s">
        <v>70</v>
      </c>
      <c r="AC24" s="259" t="s">
        <v>70</v>
      </c>
      <c r="AD24" s="259" t="s">
        <v>70</v>
      </c>
      <c r="AE24" s="262">
        <v>1</v>
      </c>
      <c r="AF24" s="262">
        <v>0</v>
      </c>
      <c r="AG24" s="262">
        <v>0</v>
      </c>
      <c r="AH24" s="262">
        <v>1</v>
      </c>
      <c r="AI24" s="262">
        <v>0</v>
      </c>
      <c r="AJ24" s="25" t="s">
        <v>33</v>
      </c>
      <c r="AL24" t="str">
        <f t="shared" si="0"/>
        <v xml:space="preserve">    (U1)ALERT_REQ_UNKNOWN</v>
      </c>
      <c r="AR24" s="70" t="str">
        <f t="shared" si="3"/>
        <v xml:space="preserve">    (U4)0x00000012U,                                                           /* 18 UNKNOWN                                         */</v>
      </c>
      <c r="AS24" s="70" t="str">
        <f t="shared" si="4"/>
        <v xml:space="preserve">    (U4)0x0000001FU,                                                           /* 18 UNKNOWN                                         */</v>
      </c>
      <c r="AT24" s="70" t="str">
        <f t="shared" si="1"/>
        <v xml:space="preserve">    (U1)ALERT_REQ_UNKNOWN,                                                     /* 18 UNKNOWN                                         */</v>
      </c>
    </row>
    <row r="25" spans="2:49">
      <c r="B25" s="139"/>
      <c r="C25" s="55">
        <f t="shared" si="2"/>
        <v>19</v>
      </c>
      <c r="D25" s="259" t="s">
        <v>70</v>
      </c>
      <c r="E25" s="259" t="s">
        <v>70</v>
      </c>
      <c r="F25" s="259" t="s">
        <v>70</v>
      </c>
      <c r="G25" s="259" t="s">
        <v>70</v>
      </c>
      <c r="H25" s="259" t="s">
        <v>70</v>
      </c>
      <c r="I25" s="259" t="s">
        <v>70</v>
      </c>
      <c r="J25" s="259" t="s">
        <v>70</v>
      </c>
      <c r="K25" s="259" t="s">
        <v>70</v>
      </c>
      <c r="L25" s="259" t="s">
        <v>70</v>
      </c>
      <c r="M25" s="259" t="s">
        <v>70</v>
      </c>
      <c r="N25" s="259" t="s">
        <v>70</v>
      </c>
      <c r="O25" s="259" t="s">
        <v>70</v>
      </c>
      <c r="P25" s="259" t="s">
        <v>70</v>
      </c>
      <c r="Q25" s="259" t="s">
        <v>70</v>
      </c>
      <c r="R25" s="259" t="s">
        <v>70</v>
      </c>
      <c r="S25" s="259" t="s">
        <v>70</v>
      </c>
      <c r="T25" s="259" t="s">
        <v>70</v>
      </c>
      <c r="U25" s="259" t="s">
        <v>70</v>
      </c>
      <c r="V25" s="259" t="s">
        <v>70</v>
      </c>
      <c r="W25" s="259" t="s">
        <v>70</v>
      </c>
      <c r="X25" s="259" t="s">
        <v>70</v>
      </c>
      <c r="Y25" s="259" t="s">
        <v>70</v>
      </c>
      <c r="Z25" s="259" t="s">
        <v>70</v>
      </c>
      <c r="AA25" s="259" t="s">
        <v>70</v>
      </c>
      <c r="AB25" s="259" t="s">
        <v>70</v>
      </c>
      <c r="AC25" s="259" t="s">
        <v>70</v>
      </c>
      <c r="AD25" s="259" t="s">
        <v>70</v>
      </c>
      <c r="AE25" s="262">
        <v>1</v>
      </c>
      <c r="AF25" s="262">
        <v>0</v>
      </c>
      <c r="AG25" s="262">
        <v>0</v>
      </c>
      <c r="AH25" s="262">
        <v>1</v>
      </c>
      <c r="AI25" s="262">
        <v>1</v>
      </c>
      <c r="AJ25" s="25" t="s">
        <v>33</v>
      </c>
      <c r="AL25" t="str">
        <f t="shared" si="0"/>
        <v xml:space="preserve">    (U1)ALERT_REQ_UNKNOWN</v>
      </c>
      <c r="AR25" s="70" t="str">
        <f t="shared" si="3"/>
        <v xml:space="preserve">    (U4)0x00000013U,                                                           /* 19 UNKNOWN                                         */</v>
      </c>
      <c r="AS25" s="70" t="str">
        <f t="shared" si="4"/>
        <v xml:space="preserve">    (U4)0x0000001FU,                                                           /* 19 UNKNOWN                                         */</v>
      </c>
      <c r="AT25" s="70" t="str">
        <f t="shared" si="1"/>
        <v xml:space="preserve">    (U1)ALERT_REQ_UNKNOWN,                                                     /* 19 UNKNOWN                                         */</v>
      </c>
    </row>
    <row r="26" spans="2:49">
      <c r="B26" s="139"/>
      <c r="C26" s="55">
        <f t="shared" si="2"/>
        <v>20</v>
      </c>
      <c r="D26" s="259" t="s">
        <v>70</v>
      </c>
      <c r="E26" s="259" t="s">
        <v>70</v>
      </c>
      <c r="F26" s="259" t="s">
        <v>70</v>
      </c>
      <c r="G26" s="259" t="s">
        <v>70</v>
      </c>
      <c r="H26" s="259" t="s">
        <v>70</v>
      </c>
      <c r="I26" s="259" t="s">
        <v>70</v>
      </c>
      <c r="J26" s="259" t="s">
        <v>70</v>
      </c>
      <c r="K26" s="259" t="s">
        <v>70</v>
      </c>
      <c r="L26" s="259" t="s">
        <v>70</v>
      </c>
      <c r="M26" s="259" t="s">
        <v>70</v>
      </c>
      <c r="N26" s="259" t="s">
        <v>70</v>
      </c>
      <c r="O26" s="259" t="s">
        <v>70</v>
      </c>
      <c r="P26" s="259" t="s">
        <v>70</v>
      </c>
      <c r="Q26" s="259" t="s">
        <v>70</v>
      </c>
      <c r="R26" s="259" t="s">
        <v>70</v>
      </c>
      <c r="S26" s="259" t="s">
        <v>70</v>
      </c>
      <c r="T26" s="259" t="s">
        <v>70</v>
      </c>
      <c r="U26" s="259" t="s">
        <v>70</v>
      </c>
      <c r="V26" s="259" t="s">
        <v>70</v>
      </c>
      <c r="W26" s="259" t="s">
        <v>70</v>
      </c>
      <c r="X26" s="259" t="s">
        <v>70</v>
      </c>
      <c r="Y26" s="259" t="s">
        <v>70</v>
      </c>
      <c r="Z26" s="259" t="s">
        <v>70</v>
      </c>
      <c r="AA26" s="259" t="s">
        <v>70</v>
      </c>
      <c r="AB26" s="259" t="s">
        <v>70</v>
      </c>
      <c r="AC26" s="259" t="s">
        <v>70</v>
      </c>
      <c r="AD26" s="259" t="s">
        <v>70</v>
      </c>
      <c r="AE26" s="262">
        <v>1</v>
      </c>
      <c r="AF26" s="262">
        <v>0</v>
      </c>
      <c r="AG26" s="262">
        <v>1</v>
      </c>
      <c r="AH26" s="262">
        <v>0</v>
      </c>
      <c r="AI26" s="262">
        <v>0</v>
      </c>
      <c r="AJ26" s="25" t="s">
        <v>33</v>
      </c>
      <c r="AL26" t="str">
        <f t="shared" si="0"/>
        <v xml:space="preserve">    (U1)ALERT_REQ_UNKNOWN</v>
      </c>
      <c r="AR26" s="70" t="str">
        <f t="shared" si="3"/>
        <v xml:space="preserve">    (U4)0x00000014U,                                                           /* 20 UNKNOWN                                         */</v>
      </c>
      <c r="AS26" s="70" t="str">
        <f t="shared" si="4"/>
        <v xml:space="preserve">    (U4)0x0000001FU,                                                           /* 20 UNKNOWN                                         */</v>
      </c>
      <c r="AT26" s="70" t="str">
        <f t="shared" si="1"/>
        <v xml:space="preserve">    (U1)ALERT_REQ_UNKNOWN,                                                     /* 20 UNKNOWN                                         */</v>
      </c>
    </row>
    <row r="27" spans="2:49">
      <c r="B27" s="139"/>
      <c r="C27" s="55">
        <f t="shared" si="2"/>
        <v>21</v>
      </c>
      <c r="D27" s="259" t="s">
        <v>70</v>
      </c>
      <c r="E27" s="259" t="s">
        <v>70</v>
      </c>
      <c r="F27" s="259" t="s">
        <v>70</v>
      </c>
      <c r="G27" s="259" t="s">
        <v>70</v>
      </c>
      <c r="H27" s="259" t="s">
        <v>70</v>
      </c>
      <c r="I27" s="259" t="s">
        <v>70</v>
      </c>
      <c r="J27" s="259" t="s">
        <v>70</v>
      </c>
      <c r="K27" s="259" t="s">
        <v>70</v>
      </c>
      <c r="L27" s="259" t="s">
        <v>70</v>
      </c>
      <c r="M27" s="259" t="s">
        <v>70</v>
      </c>
      <c r="N27" s="259" t="s">
        <v>70</v>
      </c>
      <c r="O27" s="259" t="s">
        <v>70</v>
      </c>
      <c r="P27" s="259" t="s">
        <v>70</v>
      </c>
      <c r="Q27" s="259" t="s">
        <v>70</v>
      </c>
      <c r="R27" s="259" t="s">
        <v>70</v>
      </c>
      <c r="S27" s="259" t="s">
        <v>70</v>
      </c>
      <c r="T27" s="259" t="s">
        <v>70</v>
      </c>
      <c r="U27" s="259" t="s">
        <v>70</v>
      </c>
      <c r="V27" s="259" t="s">
        <v>70</v>
      </c>
      <c r="W27" s="259" t="s">
        <v>70</v>
      </c>
      <c r="X27" s="259" t="s">
        <v>70</v>
      </c>
      <c r="Y27" s="259" t="s">
        <v>70</v>
      </c>
      <c r="Z27" s="259" t="s">
        <v>70</v>
      </c>
      <c r="AA27" s="259" t="s">
        <v>70</v>
      </c>
      <c r="AB27" s="259" t="s">
        <v>70</v>
      </c>
      <c r="AC27" s="259" t="s">
        <v>70</v>
      </c>
      <c r="AD27" s="259" t="s">
        <v>70</v>
      </c>
      <c r="AE27" s="262">
        <v>1</v>
      </c>
      <c r="AF27" s="262">
        <v>0</v>
      </c>
      <c r="AG27" s="262">
        <v>1</v>
      </c>
      <c r="AH27" s="262">
        <v>0</v>
      </c>
      <c r="AI27" s="262">
        <v>1</v>
      </c>
      <c r="AJ27" s="25" t="s">
        <v>33</v>
      </c>
      <c r="AL27" t="str">
        <f t="shared" si="0"/>
        <v xml:space="preserve">    (U1)ALERT_REQ_UNKNOWN</v>
      </c>
      <c r="AR27" s="70" t="str">
        <f t="shared" si="3"/>
        <v xml:space="preserve">    (U4)0x00000015U,                                                           /* 21 UNKNOWN                                         */</v>
      </c>
      <c r="AS27" s="70" t="str">
        <f t="shared" si="4"/>
        <v xml:space="preserve">    (U4)0x0000001FU,                                                           /* 21 UNKNOWN                                         */</v>
      </c>
      <c r="AT27" s="70" t="str">
        <f t="shared" si="1"/>
        <v xml:space="preserve">    (U1)ALERT_REQ_UNKNOWN,                                                     /* 21 UNKNOWN                                         */</v>
      </c>
    </row>
    <row r="28" spans="2:49">
      <c r="B28" s="139"/>
      <c r="C28" s="55">
        <f t="shared" si="2"/>
        <v>22</v>
      </c>
      <c r="D28" s="259" t="s">
        <v>70</v>
      </c>
      <c r="E28" s="259" t="s">
        <v>70</v>
      </c>
      <c r="F28" s="259" t="s">
        <v>70</v>
      </c>
      <c r="G28" s="259" t="s">
        <v>70</v>
      </c>
      <c r="H28" s="259" t="s">
        <v>70</v>
      </c>
      <c r="I28" s="259" t="s">
        <v>70</v>
      </c>
      <c r="J28" s="259" t="s">
        <v>70</v>
      </c>
      <c r="K28" s="259" t="s">
        <v>70</v>
      </c>
      <c r="L28" s="259" t="s">
        <v>70</v>
      </c>
      <c r="M28" s="259" t="s">
        <v>70</v>
      </c>
      <c r="N28" s="259" t="s">
        <v>70</v>
      </c>
      <c r="O28" s="259" t="s">
        <v>70</v>
      </c>
      <c r="P28" s="259" t="s">
        <v>70</v>
      </c>
      <c r="Q28" s="259" t="s">
        <v>70</v>
      </c>
      <c r="R28" s="259" t="s">
        <v>70</v>
      </c>
      <c r="S28" s="259" t="s">
        <v>70</v>
      </c>
      <c r="T28" s="259" t="s">
        <v>70</v>
      </c>
      <c r="U28" s="259" t="s">
        <v>70</v>
      </c>
      <c r="V28" s="259" t="s">
        <v>70</v>
      </c>
      <c r="W28" s="259" t="s">
        <v>70</v>
      </c>
      <c r="X28" s="259" t="s">
        <v>70</v>
      </c>
      <c r="Y28" s="259" t="s">
        <v>70</v>
      </c>
      <c r="Z28" s="259" t="s">
        <v>70</v>
      </c>
      <c r="AA28" s="259" t="s">
        <v>70</v>
      </c>
      <c r="AB28" s="259" t="s">
        <v>70</v>
      </c>
      <c r="AC28" s="259" t="s">
        <v>70</v>
      </c>
      <c r="AD28" s="259" t="s">
        <v>70</v>
      </c>
      <c r="AE28" s="262">
        <v>1</v>
      </c>
      <c r="AF28" s="262">
        <v>0</v>
      </c>
      <c r="AG28" s="262">
        <v>1</v>
      </c>
      <c r="AH28" s="262">
        <v>1</v>
      </c>
      <c r="AI28" s="262">
        <v>0</v>
      </c>
      <c r="AJ28" s="25" t="s">
        <v>33</v>
      </c>
      <c r="AL28" t="str">
        <f t="shared" si="0"/>
        <v xml:space="preserve">    (U1)ALERT_REQ_UNKNOWN</v>
      </c>
      <c r="AR28" s="70" t="str">
        <f t="shared" si="3"/>
        <v xml:space="preserve">    (U4)0x00000016U,                                                           /* 22 UNKNOWN                                         */</v>
      </c>
      <c r="AS28" s="70" t="str">
        <f t="shared" si="4"/>
        <v xml:space="preserve">    (U4)0x0000001FU,                                                           /* 22 UNKNOWN                                         */</v>
      </c>
      <c r="AT28" s="70" t="str">
        <f t="shared" si="1"/>
        <v xml:space="preserve">    (U1)ALERT_REQ_UNKNOWN,                                                     /* 22 UNKNOWN                                         */</v>
      </c>
    </row>
    <row r="29" spans="2:49">
      <c r="B29" s="139"/>
      <c r="C29" s="55">
        <f t="shared" si="2"/>
        <v>23</v>
      </c>
      <c r="D29" s="259" t="s">
        <v>70</v>
      </c>
      <c r="E29" s="259" t="s">
        <v>70</v>
      </c>
      <c r="F29" s="259" t="s">
        <v>70</v>
      </c>
      <c r="G29" s="259" t="s">
        <v>70</v>
      </c>
      <c r="H29" s="259" t="s">
        <v>70</v>
      </c>
      <c r="I29" s="259" t="s">
        <v>70</v>
      </c>
      <c r="J29" s="259" t="s">
        <v>70</v>
      </c>
      <c r="K29" s="259" t="s">
        <v>70</v>
      </c>
      <c r="L29" s="259" t="s">
        <v>70</v>
      </c>
      <c r="M29" s="259" t="s">
        <v>70</v>
      </c>
      <c r="N29" s="259" t="s">
        <v>70</v>
      </c>
      <c r="O29" s="259" t="s">
        <v>70</v>
      </c>
      <c r="P29" s="259" t="s">
        <v>70</v>
      </c>
      <c r="Q29" s="259" t="s">
        <v>70</v>
      </c>
      <c r="R29" s="259" t="s">
        <v>70</v>
      </c>
      <c r="S29" s="259" t="s">
        <v>70</v>
      </c>
      <c r="T29" s="259" t="s">
        <v>70</v>
      </c>
      <c r="U29" s="259" t="s">
        <v>70</v>
      </c>
      <c r="V29" s="259" t="s">
        <v>70</v>
      </c>
      <c r="W29" s="259" t="s">
        <v>70</v>
      </c>
      <c r="X29" s="259" t="s">
        <v>70</v>
      </c>
      <c r="Y29" s="259" t="s">
        <v>70</v>
      </c>
      <c r="Z29" s="259" t="s">
        <v>70</v>
      </c>
      <c r="AA29" s="259" t="s">
        <v>70</v>
      </c>
      <c r="AB29" s="259" t="s">
        <v>70</v>
      </c>
      <c r="AC29" s="259" t="s">
        <v>70</v>
      </c>
      <c r="AD29" s="259" t="s">
        <v>70</v>
      </c>
      <c r="AE29" s="262">
        <v>1</v>
      </c>
      <c r="AF29" s="262">
        <v>0</v>
      </c>
      <c r="AG29" s="262">
        <v>1</v>
      </c>
      <c r="AH29" s="262">
        <v>1</v>
      </c>
      <c r="AI29" s="262">
        <v>1</v>
      </c>
      <c r="AJ29" s="25" t="s">
        <v>33</v>
      </c>
      <c r="AL29" t="str">
        <f t="shared" si="0"/>
        <v xml:space="preserve">    (U1)ALERT_REQ_UNKNOWN</v>
      </c>
      <c r="AR29" s="70" t="str">
        <f t="shared" si="3"/>
        <v xml:space="preserve">    (U4)0x00000017U,                                                           /* 23 UNKNOWN                                         */</v>
      </c>
      <c r="AS29" s="70" t="str">
        <f t="shared" si="4"/>
        <v xml:space="preserve">    (U4)0x0000001FU,                                                           /* 23 UNKNOWN                                         */</v>
      </c>
      <c r="AT29" s="70" t="str">
        <f t="shared" si="1"/>
        <v xml:space="preserve">    (U1)ALERT_REQ_UNKNOWN,                                                     /* 23 UNKNOWN                                         */</v>
      </c>
    </row>
    <row r="30" spans="2:49">
      <c r="B30" s="139"/>
      <c r="C30" s="55">
        <f t="shared" si="2"/>
        <v>24</v>
      </c>
      <c r="D30" s="259" t="s">
        <v>70</v>
      </c>
      <c r="E30" s="259" t="s">
        <v>70</v>
      </c>
      <c r="F30" s="259" t="s">
        <v>70</v>
      </c>
      <c r="G30" s="259" t="s">
        <v>70</v>
      </c>
      <c r="H30" s="259" t="s">
        <v>70</v>
      </c>
      <c r="I30" s="259" t="s">
        <v>70</v>
      </c>
      <c r="J30" s="259" t="s">
        <v>70</v>
      </c>
      <c r="K30" s="259" t="s">
        <v>70</v>
      </c>
      <c r="L30" s="259" t="s">
        <v>70</v>
      </c>
      <c r="M30" s="259" t="s">
        <v>70</v>
      </c>
      <c r="N30" s="259" t="s">
        <v>70</v>
      </c>
      <c r="O30" s="259" t="s">
        <v>70</v>
      </c>
      <c r="P30" s="259" t="s">
        <v>70</v>
      </c>
      <c r="Q30" s="259" t="s">
        <v>70</v>
      </c>
      <c r="R30" s="259" t="s">
        <v>70</v>
      </c>
      <c r="S30" s="259" t="s">
        <v>70</v>
      </c>
      <c r="T30" s="259" t="s">
        <v>70</v>
      </c>
      <c r="U30" s="259" t="s">
        <v>70</v>
      </c>
      <c r="V30" s="259" t="s">
        <v>70</v>
      </c>
      <c r="W30" s="259" t="s">
        <v>70</v>
      </c>
      <c r="X30" s="259" t="s">
        <v>70</v>
      </c>
      <c r="Y30" s="259" t="s">
        <v>70</v>
      </c>
      <c r="Z30" s="259" t="s">
        <v>70</v>
      </c>
      <c r="AA30" s="259" t="s">
        <v>70</v>
      </c>
      <c r="AB30" s="259" t="s">
        <v>70</v>
      </c>
      <c r="AC30" s="259" t="s">
        <v>70</v>
      </c>
      <c r="AD30" s="259" t="s">
        <v>70</v>
      </c>
      <c r="AE30" s="262">
        <v>1</v>
      </c>
      <c r="AF30" s="262">
        <v>1</v>
      </c>
      <c r="AG30" s="262">
        <v>0</v>
      </c>
      <c r="AH30" s="262">
        <v>0</v>
      </c>
      <c r="AI30" s="262">
        <v>0</v>
      </c>
      <c r="AJ30" s="25" t="s">
        <v>33</v>
      </c>
      <c r="AL30" t="str">
        <f t="shared" si="0"/>
        <v xml:space="preserve">    (U1)ALERT_REQ_UNKNOWN</v>
      </c>
      <c r="AR30" s="70" t="str">
        <f t="shared" si="3"/>
        <v xml:space="preserve">    (U4)0x00000018U,                                                           /* 24 UNKNOWN                                         */</v>
      </c>
      <c r="AS30" s="70" t="str">
        <f t="shared" si="4"/>
        <v xml:space="preserve">    (U4)0x0000001FU,                                                           /* 24 UNKNOWN                                         */</v>
      </c>
      <c r="AT30" s="70" t="str">
        <f t="shared" si="1"/>
        <v xml:space="preserve">    (U1)ALERT_REQ_UNKNOWN,                                                     /* 24 UNKNOWN                                         */</v>
      </c>
    </row>
    <row r="31" spans="2:49">
      <c r="B31" s="139"/>
      <c r="C31" s="55">
        <f t="shared" si="2"/>
        <v>25</v>
      </c>
      <c r="D31" s="259" t="s">
        <v>70</v>
      </c>
      <c r="E31" s="259" t="s">
        <v>70</v>
      </c>
      <c r="F31" s="259" t="s">
        <v>70</v>
      </c>
      <c r="G31" s="259" t="s">
        <v>70</v>
      </c>
      <c r="H31" s="259" t="s">
        <v>70</v>
      </c>
      <c r="I31" s="259" t="s">
        <v>70</v>
      </c>
      <c r="J31" s="259" t="s">
        <v>70</v>
      </c>
      <c r="K31" s="259" t="s">
        <v>70</v>
      </c>
      <c r="L31" s="259" t="s">
        <v>70</v>
      </c>
      <c r="M31" s="259" t="s">
        <v>70</v>
      </c>
      <c r="N31" s="259" t="s">
        <v>70</v>
      </c>
      <c r="O31" s="259" t="s">
        <v>70</v>
      </c>
      <c r="P31" s="259" t="s">
        <v>70</v>
      </c>
      <c r="Q31" s="259" t="s">
        <v>70</v>
      </c>
      <c r="R31" s="259" t="s">
        <v>70</v>
      </c>
      <c r="S31" s="259" t="s">
        <v>70</v>
      </c>
      <c r="T31" s="259" t="s">
        <v>70</v>
      </c>
      <c r="U31" s="259" t="s">
        <v>70</v>
      </c>
      <c r="V31" s="259" t="s">
        <v>70</v>
      </c>
      <c r="W31" s="259" t="s">
        <v>70</v>
      </c>
      <c r="X31" s="259" t="s">
        <v>70</v>
      </c>
      <c r="Y31" s="259" t="s">
        <v>70</v>
      </c>
      <c r="Z31" s="259" t="s">
        <v>70</v>
      </c>
      <c r="AA31" s="259" t="s">
        <v>70</v>
      </c>
      <c r="AB31" s="259" t="s">
        <v>70</v>
      </c>
      <c r="AC31" s="259" t="s">
        <v>70</v>
      </c>
      <c r="AD31" s="259" t="s">
        <v>70</v>
      </c>
      <c r="AE31" s="262">
        <v>1</v>
      </c>
      <c r="AF31" s="262">
        <v>1</v>
      </c>
      <c r="AG31" s="262">
        <v>0</v>
      </c>
      <c r="AH31" s="262">
        <v>0</v>
      </c>
      <c r="AI31" s="262">
        <v>1</v>
      </c>
      <c r="AJ31" s="25" t="s">
        <v>33</v>
      </c>
      <c r="AL31" t="str">
        <f t="shared" si="0"/>
        <v xml:space="preserve">    (U1)ALERT_REQ_UNKNOWN</v>
      </c>
      <c r="AR31" s="70" t="str">
        <f t="shared" si="3"/>
        <v xml:space="preserve">    (U4)0x00000019U,                                                           /* 25 UNKNOWN                                         */</v>
      </c>
      <c r="AS31" s="70" t="str">
        <f t="shared" si="4"/>
        <v xml:space="preserve">    (U4)0x0000001FU,                                                           /* 25 UNKNOWN                                         */</v>
      </c>
      <c r="AT31" s="70" t="str">
        <f t="shared" si="1"/>
        <v xml:space="preserve">    (U1)ALERT_REQ_UNKNOWN,                                                     /* 25 UNKNOWN                                         */</v>
      </c>
    </row>
    <row r="32" spans="2:49">
      <c r="B32" s="139"/>
      <c r="C32" s="55">
        <f t="shared" si="2"/>
        <v>26</v>
      </c>
      <c r="D32" s="259" t="s">
        <v>70</v>
      </c>
      <c r="E32" s="259" t="s">
        <v>70</v>
      </c>
      <c r="F32" s="259" t="s">
        <v>70</v>
      </c>
      <c r="G32" s="259" t="s">
        <v>70</v>
      </c>
      <c r="H32" s="259" t="s">
        <v>70</v>
      </c>
      <c r="I32" s="259" t="s">
        <v>70</v>
      </c>
      <c r="J32" s="259" t="s">
        <v>70</v>
      </c>
      <c r="K32" s="259" t="s">
        <v>70</v>
      </c>
      <c r="L32" s="259" t="s">
        <v>70</v>
      </c>
      <c r="M32" s="259" t="s">
        <v>70</v>
      </c>
      <c r="N32" s="259" t="s">
        <v>70</v>
      </c>
      <c r="O32" s="259" t="s">
        <v>70</v>
      </c>
      <c r="P32" s="259" t="s">
        <v>70</v>
      </c>
      <c r="Q32" s="259" t="s">
        <v>70</v>
      </c>
      <c r="R32" s="259" t="s">
        <v>70</v>
      </c>
      <c r="S32" s="259" t="s">
        <v>70</v>
      </c>
      <c r="T32" s="259" t="s">
        <v>70</v>
      </c>
      <c r="U32" s="259" t="s">
        <v>70</v>
      </c>
      <c r="V32" s="259" t="s">
        <v>70</v>
      </c>
      <c r="W32" s="259" t="s">
        <v>70</v>
      </c>
      <c r="X32" s="259" t="s">
        <v>70</v>
      </c>
      <c r="Y32" s="259" t="s">
        <v>70</v>
      </c>
      <c r="Z32" s="259" t="s">
        <v>70</v>
      </c>
      <c r="AA32" s="259" t="s">
        <v>70</v>
      </c>
      <c r="AB32" s="259" t="s">
        <v>70</v>
      </c>
      <c r="AC32" s="259" t="s">
        <v>70</v>
      </c>
      <c r="AD32" s="259" t="s">
        <v>70</v>
      </c>
      <c r="AE32" s="262">
        <v>1</v>
      </c>
      <c r="AF32" s="262">
        <v>1</v>
      </c>
      <c r="AG32" s="262">
        <v>0</v>
      </c>
      <c r="AH32" s="262">
        <v>1</v>
      </c>
      <c r="AI32" s="262">
        <v>0</v>
      </c>
      <c r="AJ32" s="25" t="s">
        <v>33</v>
      </c>
      <c r="AL32" t="str">
        <f t="shared" si="0"/>
        <v xml:space="preserve">    (U1)ALERT_REQ_UNKNOWN</v>
      </c>
      <c r="AR32" s="70" t="str">
        <f t="shared" si="3"/>
        <v xml:space="preserve">    (U4)0x0000001AU,                                                           /* 26 UNKNOWN                                         */</v>
      </c>
      <c r="AS32" s="70" t="str">
        <f t="shared" si="4"/>
        <v xml:space="preserve">    (U4)0x0000001FU,                                                           /* 26 UNKNOWN                                         */</v>
      </c>
      <c r="AT32" s="70" t="str">
        <f t="shared" si="1"/>
        <v xml:space="preserve">    (U1)ALERT_REQ_UNKNOWN,                                                     /* 26 UNKNOWN                                         */</v>
      </c>
    </row>
    <row r="33" spans="2:46">
      <c r="B33" s="139"/>
      <c r="C33" s="55">
        <f t="shared" si="2"/>
        <v>27</v>
      </c>
      <c r="D33" s="259" t="s">
        <v>70</v>
      </c>
      <c r="E33" s="259" t="s">
        <v>70</v>
      </c>
      <c r="F33" s="259" t="s">
        <v>70</v>
      </c>
      <c r="G33" s="259" t="s">
        <v>70</v>
      </c>
      <c r="H33" s="259" t="s">
        <v>70</v>
      </c>
      <c r="I33" s="259" t="s">
        <v>70</v>
      </c>
      <c r="J33" s="259" t="s">
        <v>70</v>
      </c>
      <c r="K33" s="259" t="s">
        <v>70</v>
      </c>
      <c r="L33" s="259" t="s">
        <v>70</v>
      </c>
      <c r="M33" s="259" t="s">
        <v>70</v>
      </c>
      <c r="N33" s="259" t="s">
        <v>70</v>
      </c>
      <c r="O33" s="259" t="s">
        <v>70</v>
      </c>
      <c r="P33" s="259" t="s">
        <v>70</v>
      </c>
      <c r="Q33" s="259" t="s">
        <v>70</v>
      </c>
      <c r="R33" s="259" t="s">
        <v>70</v>
      </c>
      <c r="S33" s="259" t="s">
        <v>70</v>
      </c>
      <c r="T33" s="259" t="s">
        <v>70</v>
      </c>
      <c r="U33" s="259" t="s">
        <v>70</v>
      </c>
      <c r="V33" s="259" t="s">
        <v>70</v>
      </c>
      <c r="W33" s="259" t="s">
        <v>70</v>
      </c>
      <c r="X33" s="259" t="s">
        <v>70</v>
      </c>
      <c r="Y33" s="259" t="s">
        <v>70</v>
      </c>
      <c r="Z33" s="259" t="s">
        <v>70</v>
      </c>
      <c r="AA33" s="259" t="s">
        <v>70</v>
      </c>
      <c r="AB33" s="259" t="s">
        <v>70</v>
      </c>
      <c r="AC33" s="259" t="s">
        <v>70</v>
      </c>
      <c r="AD33" s="259" t="s">
        <v>70</v>
      </c>
      <c r="AE33" s="262">
        <v>1</v>
      </c>
      <c r="AF33" s="262">
        <v>1</v>
      </c>
      <c r="AG33" s="262">
        <v>0</v>
      </c>
      <c r="AH33" s="262">
        <v>1</v>
      </c>
      <c r="AI33" s="262">
        <v>1</v>
      </c>
      <c r="AJ33" s="25" t="s">
        <v>33</v>
      </c>
      <c r="AL33" t="str">
        <f t="shared" si="0"/>
        <v xml:space="preserve">    (U1)ALERT_REQ_UNKNOWN</v>
      </c>
      <c r="AR33" s="70" t="str">
        <f t="shared" si="3"/>
        <v xml:space="preserve">    (U4)0x0000001BU,                                                           /* 27 UNKNOWN                                         */</v>
      </c>
      <c r="AS33" s="70" t="str">
        <f t="shared" si="4"/>
        <v xml:space="preserve">    (U4)0x0000001FU,                                                           /* 27 UNKNOWN                                         */</v>
      </c>
      <c r="AT33" s="70" t="str">
        <f t="shared" si="1"/>
        <v xml:space="preserve">    (U1)ALERT_REQ_UNKNOWN,                                                     /* 27 UNKNOWN                                         */</v>
      </c>
    </row>
    <row r="34" spans="2:46">
      <c r="B34" s="139"/>
      <c r="C34" s="55">
        <f t="shared" si="2"/>
        <v>28</v>
      </c>
      <c r="D34" s="259" t="s">
        <v>70</v>
      </c>
      <c r="E34" s="259" t="s">
        <v>70</v>
      </c>
      <c r="F34" s="259" t="s">
        <v>70</v>
      </c>
      <c r="G34" s="259" t="s">
        <v>70</v>
      </c>
      <c r="H34" s="259" t="s">
        <v>70</v>
      </c>
      <c r="I34" s="259" t="s">
        <v>70</v>
      </c>
      <c r="J34" s="259" t="s">
        <v>70</v>
      </c>
      <c r="K34" s="259" t="s">
        <v>70</v>
      </c>
      <c r="L34" s="259" t="s">
        <v>70</v>
      </c>
      <c r="M34" s="259" t="s">
        <v>70</v>
      </c>
      <c r="N34" s="259" t="s">
        <v>70</v>
      </c>
      <c r="O34" s="259" t="s">
        <v>70</v>
      </c>
      <c r="P34" s="259" t="s">
        <v>70</v>
      </c>
      <c r="Q34" s="259" t="s">
        <v>70</v>
      </c>
      <c r="R34" s="259" t="s">
        <v>70</v>
      </c>
      <c r="S34" s="259" t="s">
        <v>70</v>
      </c>
      <c r="T34" s="259" t="s">
        <v>70</v>
      </c>
      <c r="U34" s="259" t="s">
        <v>70</v>
      </c>
      <c r="V34" s="259" t="s">
        <v>70</v>
      </c>
      <c r="W34" s="259" t="s">
        <v>70</v>
      </c>
      <c r="X34" s="259" t="s">
        <v>70</v>
      </c>
      <c r="Y34" s="259" t="s">
        <v>70</v>
      </c>
      <c r="Z34" s="259" t="s">
        <v>70</v>
      </c>
      <c r="AA34" s="259" t="s">
        <v>70</v>
      </c>
      <c r="AB34" s="259" t="s">
        <v>70</v>
      </c>
      <c r="AC34" s="259" t="s">
        <v>70</v>
      </c>
      <c r="AD34" s="259" t="s">
        <v>70</v>
      </c>
      <c r="AE34" s="262">
        <v>1</v>
      </c>
      <c r="AF34" s="262">
        <v>1</v>
      </c>
      <c r="AG34" s="262">
        <v>1</v>
      </c>
      <c r="AH34" s="262">
        <v>0</v>
      </c>
      <c r="AI34" s="262">
        <v>0</v>
      </c>
      <c r="AJ34" s="25" t="s">
        <v>33</v>
      </c>
      <c r="AL34" t="str">
        <f t="shared" si="0"/>
        <v xml:space="preserve">    (U1)ALERT_REQ_UNKNOWN</v>
      </c>
      <c r="AR34" s="70" t="str">
        <f t="shared" si="3"/>
        <v xml:space="preserve">    (U4)0x0000001CU,                                                           /* 28 UNKNOWN                                         */</v>
      </c>
      <c r="AS34" s="70" t="str">
        <f t="shared" si="4"/>
        <v xml:space="preserve">    (U4)0x0000001FU,                                                           /* 28 UNKNOWN                                         */</v>
      </c>
      <c r="AT34" s="70" t="str">
        <f t="shared" si="1"/>
        <v xml:space="preserve">    (U1)ALERT_REQ_UNKNOWN,                                                     /* 28 UNKNOWN                                         */</v>
      </c>
    </row>
    <row r="35" spans="2:46">
      <c r="B35" s="139"/>
      <c r="C35" s="55">
        <f t="shared" si="2"/>
        <v>29</v>
      </c>
      <c r="D35" s="259" t="s">
        <v>70</v>
      </c>
      <c r="E35" s="259" t="s">
        <v>70</v>
      </c>
      <c r="F35" s="259" t="s">
        <v>70</v>
      </c>
      <c r="G35" s="259" t="s">
        <v>70</v>
      </c>
      <c r="H35" s="259" t="s">
        <v>70</v>
      </c>
      <c r="I35" s="259" t="s">
        <v>70</v>
      </c>
      <c r="J35" s="259" t="s">
        <v>70</v>
      </c>
      <c r="K35" s="259" t="s">
        <v>70</v>
      </c>
      <c r="L35" s="259" t="s">
        <v>70</v>
      </c>
      <c r="M35" s="259" t="s">
        <v>70</v>
      </c>
      <c r="N35" s="259" t="s">
        <v>70</v>
      </c>
      <c r="O35" s="259" t="s">
        <v>70</v>
      </c>
      <c r="P35" s="259" t="s">
        <v>70</v>
      </c>
      <c r="Q35" s="259" t="s">
        <v>70</v>
      </c>
      <c r="R35" s="259" t="s">
        <v>70</v>
      </c>
      <c r="S35" s="259" t="s">
        <v>70</v>
      </c>
      <c r="T35" s="259" t="s">
        <v>70</v>
      </c>
      <c r="U35" s="259" t="s">
        <v>70</v>
      </c>
      <c r="V35" s="259" t="s">
        <v>70</v>
      </c>
      <c r="W35" s="259" t="s">
        <v>70</v>
      </c>
      <c r="X35" s="259" t="s">
        <v>70</v>
      </c>
      <c r="Y35" s="259" t="s">
        <v>70</v>
      </c>
      <c r="Z35" s="259" t="s">
        <v>70</v>
      </c>
      <c r="AA35" s="259" t="s">
        <v>70</v>
      </c>
      <c r="AB35" s="259" t="s">
        <v>70</v>
      </c>
      <c r="AC35" s="259" t="s">
        <v>70</v>
      </c>
      <c r="AD35" s="259" t="s">
        <v>70</v>
      </c>
      <c r="AE35" s="262">
        <v>1</v>
      </c>
      <c r="AF35" s="262">
        <v>1</v>
      </c>
      <c r="AG35" s="262">
        <v>1</v>
      </c>
      <c r="AH35" s="262">
        <v>0</v>
      </c>
      <c r="AI35" s="262">
        <v>1</v>
      </c>
      <c r="AJ35" s="25" t="s">
        <v>33</v>
      </c>
      <c r="AL35" t="str">
        <f t="shared" si="0"/>
        <v xml:space="preserve">    (U1)ALERT_REQ_UNKNOWN</v>
      </c>
      <c r="AR35" s="70" t="str">
        <f t="shared" si="3"/>
        <v xml:space="preserve">    (U4)0x0000001DU,                                                           /* 29 UNKNOWN                                         */</v>
      </c>
      <c r="AS35" s="70" t="str">
        <f t="shared" si="4"/>
        <v xml:space="preserve">    (U4)0x0000001FU,                                                           /* 29 UNKNOWN                                         */</v>
      </c>
      <c r="AT35" s="70" t="str">
        <f t="shared" si="1"/>
        <v xml:space="preserve">    (U1)ALERT_REQ_UNKNOWN,                                                     /* 29 UNKNOWN                                         */</v>
      </c>
    </row>
    <row r="36" spans="2:46">
      <c r="B36" s="139"/>
      <c r="C36" s="55">
        <f t="shared" si="2"/>
        <v>30</v>
      </c>
      <c r="D36" s="259" t="s">
        <v>70</v>
      </c>
      <c r="E36" s="259" t="s">
        <v>70</v>
      </c>
      <c r="F36" s="259" t="s">
        <v>70</v>
      </c>
      <c r="G36" s="259" t="s">
        <v>70</v>
      </c>
      <c r="H36" s="259" t="s">
        <v>70</v>
      </c>
      <c r="I36" s="259" t="s">
        <v>70</v>
      </c>
      <c r="J36" s="259" t="s">
        <v>70</v>
      </c>
      <c r="K36" s="259" t="s">
        <v>70</v>
      </c>
      <c r="L36" s="259" t="s">
        <v>70</v>
      </c>
      <c r="M36" s="259" t="s">
        <v>70</v>
      </c>
      <c r="N36" s="259" t="s">
        <v>70</v>
      </c>
      <c r="O36" s="259" t="s">
        <v>70</v>
      </c>
      <c r="P36" s="259" t="s">
        <v>70</v>
      </c>
      <c r="Q36" s="259" t="s">
        <v>70</v>
      </c>
      <c r="R36" s="259" t="s">
        <v>70</v>
      </c>
      <c r="S36" s="259" t="s">
        <v>70</v>
      </c>
      <c r="T36" s="259" t="s">
        <v>70</v>
      </c>
      <c r="U36" s="259" t="s">
        <v>70</v>
      </c>
      <c r="V36" s="259" t="s">
        <v>70</v>
      </c>
      <c r="W36" s="259" t="s">
        <v>70</v>
      </c>
      <c r="X36" s="259" t="s">
        <v>70</v>
      </c>
      <c r="Y36" s="259" t="s">
        <v>70</v>
      </c>
      <c r="Z36" s="259" t="s">
        <v>70</v>
      </c>
      <c r="AA36" s="259" t="s">
        <v>70</v>
      </c>
      <c r="AB36" s="259" t="s">
        <v>70</v>
      </c>
      <c r="AC36" s="259" t="s">
        <v>70</v>
      </c>
      <c r="AD36" s="259" t="s">
        <v>70</v>
      </c>
      <c r="AE36" s="262">
        <v>1</v>
      </c>
      <c r="AF36" s="262">
        <v>1</v>
      </c>
      <c r="AG36" s="262">
        <v>1</v>
      </c>
      <c r="AH36" s="262">
        <v>1</v>
      </c>
      <c r="AI36" s="262">
        <v>0</v>
      </c>
      <c r="AJ36" s="25" t="s">
        <v>33</v>
      </c>
      <c r="AL36" t="str">
        <f t="shared" si="0"/>
        <v xml:space="preserve">    (U1)ALERT_REQ_UNKNOWN</v>
      </c>
      <c r="AR36" s="70" t="str">
        <f t="shared" si="3"/>
        <v xml:space="preserve">    (U4)0x0000001EU,                                                           /* 30 UNKNOWN                                         */</v>
      </c>
      <c r="AS36" s="70" t="str">
        <f t="shared" si="4"/>
        <v xml:space="preserve">    (U4)0x0000001FU,                                                           /* 30 UNKNOWN                                         */</v>
      </c>
      <c r="AT36" s="70" t="str">
        <f t="shared" si="1"/>
        <v xml:space="preserve">    (U1)ALERT_REQ_UNKNOWN,                                                     /* 30 UNKNOWN                                         */</v>
      </c>
    </row>
    <row r="37" spans="2:46">
      <c r="B37" s="139"/>
      <c r="C37" s="55">
        <f t="shared" si="2"/>
        <v>31</v>
      </c>
      <c r="D37" s="259" t="s">
        <v>70</v>
      </c>
      <c r="E37" s="259" t="s">
        <v>70</v>
      </c>
      <c r="F37" s="259" t="s">
        <v>70</v>
      </c>
      <c r="G37" s="259" t="s">
        <v>70</v>
      </c>
      <c r="H37" s="259" t="s">
        <v>70</v>
      </c>
      <c r="I37" s="259" t="s">
        <v>70</v>
      </c>
      <c r="J37" s="259" t="s">
        <v>70</v>
      </c>
      <c r="K37" s="259" t="s">
        <v>70</v>
      </c>
      <c r="L37" s="259" t="s">
        <v>70</v>
      </c>
      <c r="M37" s="259" t="s">
        <v>70</v>
      </c>
      <c r="N37" s="259" t="s">
        <v>70</v>
      </c>
      <c r="O37" s="259" t="s">
        <v>70</v>
      </c>
      <c r="P37" s="259" t="s">
        <v>70</v>
      </c>
      <c r="Q37" s="259" t="s">
        <v>70</v>
      </c>
      <c r="R37" s="259" t="s">
        <v>70</v>
      </c>
      <c r="S37" s="259" t="s">
        <v>70</v>
      </c>
      <c r="T37" s="259" t="s">
        <v>70</v>
      </c>
      <c r="U37" s="259" t="s">
        <v>70</v>
      </c>
      <c r="V37" s="259" t="s">
        <v>70</v>
      </c>
      <c r="W37" s="259" t="s">
        <v>70</v>
      </c>
      <c r="X37" s="259" t="s">
        <v>70</v>
      </c>
      <c r="Y37" s="259" t="s">
        <v>70</v>
      </c>
      <c r="Z37" s="259" t="s">
        <v>70</v>
      </c>
      <c r="AA37" s="259" t="s">
        <v>70</v>
      </c>
      <c r="AB37" s="259" t="s">
        <v>70</v>
      </c>
      <c r="AC37" s="259" t="s">
        <v>70</v>
      </c>
      <c r="AD37" s="259" t="s">
        <v>70</v>
      </c>
      <c r="AE37" s="262">
        <v>1</v>
      </c>
      <c r="AF37" s="262">
        <v>1</v>
      </c>
      <c r="AG37" s="262">
        <v>1</v>
      </c>
      <c r="AH37" s="262">
        <v>1</v>
      </c>
      <c r="AI37" s="262">
        <v>1</v>
      </c>
      <c r="AJ37" s="25" t="s">
        <v>33</v>
      </c>
      <c r="AL37" t="str">
        <f t="shared" si="0"/>
        <v xml:space="preserve">    (U1)ALERT_REQ_UNKNOWN</v>
      </c>
      <c r="AR37" s="70" t="str">
        <f t="shared" si="3"/>
        <v xml:space="preserve">    (U4)0x0000001FU                                                            /* 31 UNKNOWN                                         */</v>
      </c>
      <c r="AS37" s="70" t="str">
        <f t="shared" si="4"/>
        <v xml:space="preserve">    (U4)0x0000001FU                                                            /* 31 UNKNOWN                                         */</v>
      </c>
      <c r="AT37" s="70" t="str">
        <f t="shared" si="1"/>
        <v xml:space="preserve">    (U1)ALERT_REQ_UNKNOWN                                                      /* 31 UNKNOWN                                         */</v>
      </c>
    </row>
    <row r="38" spans="2:46">
      <c r="B38" s="139"/>
      <c r="C38" s="55">
        <f t="shared" si="2"/>
        <v>32</v>
      </c>
      <c r="D38" s="259" t="s">
        <v>70</v>
      </c>
      <c r="E38" s="259" t="s">
        <v>70</v>
      </c>
      <c r="F38" s="259" t="s">
        <v>70</v>
      </c>
      <c r="G38" s="259" t="s">
        <v>70</v>
      </c>
      <c r="H38" s="259" t="s">
        <v>70</v>
      </c>
      <c r="I38" s="259" t="s">
        <v>70</v>
      </c>
      <c r="J38" s="259" t="s">
        <v>70</v>
      </c>
      <c r="K38" s="259" t="s">
        <v>70</v>
      </c>
      <c r="L38" s="259" t="s">
        <v>70</v>
      </c>
      <c r="M38" s="259" t="s">
        <v>70</v>
      </c>
      <c r="N38" s="259" t="s">
        <v>70</v>
      </c>
      <c r="O38" s="259" t="s">
        <v>70</v>
      </c>
      <c r="P38" s="259" t="s">
        <v>70</v>
      </c>
      <c r="Q38" s="259" t="s">
        <v>70</v>
      </c>
      <c r="R38" s="259" t="s">
        <v>70</v>
      </c>
      <c r="S38" s="259" t="s">
        <v>70</v>
      </c>
      <c r="T38" s="259" t="s">
        <v>70</v>
      </c>
      <c r="U38" s="259" t="s">
        <v>70</v>
      </c>
      <c r="V38" s="259" t="s">
        <v>70</v>
      </c>
      <c r="W38" s="259" t="s">
        <v>70</v>
      </c>
      <c r="X38" s="259" t="s">
        <v>70</v>
      </c>
      <c r="Y38" s="259" t="s">
        <v>70</v>
      </c>
      <c r="Z38" s="259" t="s">
        <v>70</v>
      </c>
      <c r="AA38" s="259" t="s">
        <v>70</v>
      </c>
      <c r="AB38" s="259" t="s">
        <v>70</v>
      </c>
      <c r="AC38" s="259" t="s">
        <v>70</v>
      </c>
      <c r="AD38" s="259" t="s">
        <v>70</v>
      </c>
      <c r="AE38" s="259" t="s">
        <v>70</v>
      </c>
      <c r="AF38" s="259" t="s">
        <v>70</v>
      </c>
      <c r="AG38" s="259" t="s">
        <v>70</v>
      </c>
      <c r="AH38" s="259" t="s">
        <v>70</v>
      </c>
      <c r="AI38" s="259" t="s">
        <v>70</v>
      </c>
      <c r="AJ38" s="25"/>
      <c r="AL38" t="str">
        <f t="shared" ca="1" si="0"/>
        <v xml:space="preserve">    (U1)ALERT_REQ_S_LCA_TT_R_</v>
      </c>
      <c r="AR38" s="70" t="str">
        <f t="shared" si="3"/>
        <v>};</v>
      </c>
      <c r="AS38" s="70" t="str">
        <f t="shared" si="4"/>
        <v>};</v>
      </c>
      <c r="AT38" s="70" t="str">
        <f t="shared" si="1"/>
        <v>};</v>
      </c>
    </row>
    <row r="39" spans="2:46">
      <c r="B39" s="139"/>
      <c r="C39" s="55">
        <f t="shared" si="2"/>
        <v>33</v>
      </c>
      <c r="D39" s="259" t="s">
        <v>70</v>
      </c>
      <c r="E39" s="259" t="s">
        <v>70</v>
      </c>
      <c r="F39" s="259" t="s">
        <v>70</v>
      </c>
      <c r="G39" s="259" t="s">
        <v>70</v>
      </c>
      <c r="H39" s="259" t="s">
        <v>70</v>
      </c>
      <c r="I39" s="259" t="s">
        <v>70</v>
      </c>
      <c r="J39" s="259" t="s">
        <v>70</v>
      </c>
      <c r="K39" s="259" t="s">
        <v>70</v>
      </c>
      <c r="L39" s="259" t="s">
        <v>70</v>
      </c>
      <c r="M39" s="259" t="s">
        <v>70</v>
      </c>
      <c r="N39" s="259" t="s">
        <v>70</v>
      </c>
      <c r="O39" s="259" t="s">
        <v>70</v>
      </c>
      <c r="P39" s="259" t="s">
        <v>70</v>
      </c>
      <c r="Q39" s="259" t="s">
        <v>70</v>
      </c>
      <c r="R39" s="259" t="s">
        <v>70</v>
      </c>
      <c r="S39" s="259" t="s">
        <v>70</v>
      </c>
      <c r="T39" s="259" t="s">
        <v>70</v>
      </c>
      <c r="U39" s="259" t="s">
        <v>70</v>
      </c>
      <c r="V39" s="259" t="s">
        <v>70</v>
      </c>
      <c r="W39" s="259" t="s">
        <v>70</v>
      </c>
      <c r="X39" s="259" t="s">
        <v>70</v>
      </c>
      <c r="Y39" s="259" t="s">
        <v>70</v>
      </c>
      <c r="Z39" s="259" t="s">
        <v>70</v>
      </c>
      <c r="AA39" s="259" t="s">
        <v>70</v>
      </c>
      <c r="AB39" s="259" t="s">
        <v>70</v>
      </c>
      <c r="AC39" s="259" t="s">
        <v>70</v>
      </c>
      <c r="AD39" s="259" t="s">
        <v>70</v>
      </c>
      <c r="AE39" s="259" t="s">
        <v>70</v>
      </c>
      <c r="AF39" s="259" t="s">
        <v>70</v>
      </c>
      <c r="AG39" s="259" t="s">
        <v>70</v>
      </c>
      <c r="AH39" s="259" t="s">
        <v>70</v>
      </c>
      <c r="AI39" s="259" t="s">
        <v>70</v>
      </c>
      <c r="AJ39" s="25"/>
      <c r="AL39" t="str">
        <f t="shared" ca="1" si="0"/>
        <v xml:space="preserve">    (U1)ALERT_REQ_S_LCA_TT_R_</v>
      </c>
      <c r="AR39" s="70" t="str">
        <f t="shared" si="3"/>
        <v/>
      </c>
      <c r="AS39" s="70" t="str">
        <f t="shared" si="4"/>
        <v/>
      </c>
      <c r="AT39" s="70" t="str">
        <f t="shared" si="1"/>
        <v/>
      </c>
    </row>
    <row r="40" spans="2:46">
      <c r="B40" s="139"/>
      <c r="C40" s="55">
        <f t="shared" si="2"/>
        <v>34</v>
      </c>
      <c r="D40" s="259" t="s">
        <v>70</v>
      </c>
      <c r="E40" s="259" t="s">
        <v>70</v>
      </c>
      <c r="F40" s="259" t="s">
        <v>70</v>
      </c>
      <c r="G40" s="259" t="s">
        <v>70</v>
      </c>
      <c r="H40" s="259" t="s">
        <v>70</v>
      </c>
      <c r="I40" s="259" t="s">
        <v>70</v>
      </c>
      <c r="J40" s="259" t="s">
        <v>70</v>
      </c>
      <c r="K40" s="259" t="s">
        <v>70</v>
      </c>
      <c r="L40" s="259" t="s">
        <v>70</v>
      </c>
      <c r="M40" s="259" t="s">
        <v>70</v>
      </c>
      <c r="N40" s="259" t="s">
        <v>70</v>
      </c>
      <c r="O40" s="259" t="s">
        <v>70</v>
      </c>
      <c r="P40" s="259" t="s">
        <v>70</v>
      </c>
      <c r="Q40" s="259" t="s">
        <v>70</v>
      </c>
      <c r="R40" s="259" t="s">
        <v>70</v>
      </c>
      <c r="S40" s="259" t="s">
        <v>70</v>
      </c>
      <c r="T40" s="259" t="s">
        <v>70</v>
      </c>
      <c r="U40" s="259" t="s">
        <v>70</v>
      </c>
      <c r="V40" s="259" t="s">
        <v>70</v>
      </c>
      <c r="W40" s="259" t="s">
        <v>70</v>
      </c>
      <c r="X40" s="259" t="s">
        <v>70</v>
      </c>
      <c r="Y40" s="259" t="s">
        <v>70</v>
      </c>
      <c r="Z40" s="259" t="s">
        <v>70</v>
      </c>
      <c r="AA40" s="259" t="s">
        <v>70</v>
      </c>
      <c r="AB40" s="259" t="s">
        <v>70</v>
      </c>
      <c r="AC40" s="259" t="s">
        <v>70</v>
      </c>
      <c r="AD40" s="259" t="s">
        <v>70</v>
      </c>
      <c r="AE40" s="259" t="s">
        <v>70</v>
      </c>
      <c r="AF40" s="259" t="s">
        <v>70</v>
      </c>
      <c r="AG40" s="259" t="s">
        <v>70</v>
      </c>
      <c r="AH40" s="259" t="s">
        <v>70</v>
      </c>
      <c r="AI40" s="259" t="s">
        <v>70</v>
      </c>
      <c r="AJ40" s="25"/>
      <c r="AL40" t="str">
        <f t="shared" ca="1" si="0"/>
        <v xml:space="preserve">    (U1)ALERT_REQ_S_LCA_TT_R_</v>
      </c>
      <c r="AR40" s="70" t="str">
        <f t="shared" si="3"/>
        <v/>
      </c>
      <c r="AS40" s="70" t="str">
        <f t="shared" si="4"/>
        <v/>
      </c>
      <c r="AT40" s="70" t="str">
        <f t="shared" si="1"/>
        <v/>
      </c>
    </row>
    <row r="41" spans="2:46">
      <c r="B41" s="139"/>
      <c r="C41" s="55">
        <f t="shared" si="2"/>
        <v>35</v>
      </c>
      <c r="D41" s="259" t="s">
        <v>70</v>
      </c>
      <c r="E41" s="259" t="s">
        <v>70</v>
      </c>
      <c r="F41" s="259" t="s">
        <v>70</v>
      </c>
      <c r="G41" s="259" t="s">
        <v>70</v>
      </c>
      <c r="H41" s="259" t="s">
        <v>70</v>
      </c>
      <c r="I41" s="259" t="s">
        <v>70</v>
      </c>
      <c r="J41" s="259" t="s">
        <v>70</v>
      </c>
      <c r="K41" s="259" t="s">
        <v>70</v>
      </c>
      <c r="L41" s="259" t="s">
        <v>70</v>
      </c>
      <c r="M41" s="259" t="s">
        <v>70</v>
      </c>
      <c r="N41" s="259" t="s">
        <v>70</v>
      </c>
      <c r="O41" s="259" t="s">
        <v>70</v>
      </c>
      <c r="P41" s="259" t="s">
        <v>70</v>
      </c>
      <c r="Q41" s="259" t="s">
        <v>70</v>
      </c>
      <c r="R41" s="259" t="s">
        <v>70</v>
      </c>
      <c r="S41" s="259" t="s">
        <v>70</v>
      </c>
      <c r="T41" s="259" t="s">
        <v>70</v>
      </c>
      <c r="U41" s="259" t="s">
        <v>70</v>
      </c>
      <c r="V41" s="259" t="s">
        <v>70</v>
      </c>
      <c r="W41" s="259" t="s">
        <v>70</v>
      </c>
      <c r="X41" s="259" t="s">
        <v>70</v>
      </c>
      <c r="Y41" s="259" t="s">
        <v>70</v>
      </c>
      <c r="Z41" s="259" t="s">
        <v>70</v>
      </c>
      <c r="AA41" s="259" t="s">
        <v>70</v>
      </c>
      <c r="AB41" s="259" t="s">
        <v>70</v>
      </c>
      <c r="AC41" s="259" t="s">
        <v>70</v>
      </c>
      <c r="AD41" s="259" t="s">
        <v>70</v>
      </c>
      <c r="AE41" s="259" t="s">
        <v>70</v>
      </c>
      <c r="AF41" s="259" t="s">
        <v>70</v>
      </c>
      <c r="AG41" s="259" t="s">
        <v>70</v>
      </c>
      <c r="AH41" s="259" t="s">
        <v>70</v>
      </c>
      <c r="AI41" s="259" t="s">
        <v>70</v>
      </c>
      <c r="AJ41" s="25"/>
      <c r="AL41" t="str">
        <f t="shared" ca="1" si="0"/>
        <v xml:space="preserve">    (U1)ALERT_REQ_S_LCA_TT_R_</v>
      </c>
      <c r="AR41" s="70" t="str">
        <f t="shared" si="3"/>
        <v/>
      </c>
      <c r="AS41" s="70" t="str">
        <f t="shared" si="4"/>
        <v/>
      </c>
      <c r="AT41" s="70" t="str">
        <f t="shared" si="1"/>
        <v/>
      </c>
    </row>
    <row r="42" spans="2:46">
      <c r="B42" s="139"/>
      <c r="C42" s="55">
        <f t="shared" si="2"/>
        <v>36</v>
      </c>
      <c r="D42" s="259" t="s">
        <v>70</v>
      </c>
      <c r="E42" s="259" t="s">
        <v>70</v>
      </c>
      <c r="F42" s="259" t="s">
        <v>70</v>
      </c>
      <c r="G42" s="259" t="s">
        <v>70</v>
      </c>
      <c r="H42" s="259" t="s">
        <v>70</v>
      </c>
      <c r="I42" s="259" t="s">
        <v>70</v>
      </c>
      <c r="J42" s="259" t="s">
        <v>70</v>
      </c>
      <c r="K42" s="259" t="s">
        <v>70</v>
      </c>
      <c r="L42" s="259" t="s">
        <v>70</v>
      </c>
      <c r="M42" s="259" t="s">
        <v>70</v>
      </c>
      <c r="N42" s="259" t="s">
        <v>70</v>
      </c>
      <c r="O42" s="259" t="s">
        <v>70</v>
      </c>
      <c r="P42" s="259" t="s">
        <v>70</v>
      </c>
      <c r="Q42" s="259" t="s">
        <v>70</v>
      </c>
      <c r="R42" s="259" t="s">
        <v>70</v>
      </c>
      <c r="S42" s="259" t="s">
        <v>70</v>
      </c>
      <c r="T42" s="259" t="s">
        <v>70</v>
      </c>
      <c r="U42" s="259" t="s">
        <v>70</v>
      </c>
      <c r="V42" s="259" t="s">
        <v>70</v>
      </c>
      <c r="W42" s="259" t="s">
        <v>70</v>
      </c>
      <c r="X42" s="259" t="s">
        <v>70</v>
      </c>
      <c r="Y42" s="259" t="s">
        <v>70</v>
      </c>
      <c r="Z42" s="259" t="s">
        <v>70</v>
      </c>
      <c r="AA42" s="259" t="s">
        <v>70</v>
      </c>
      <c r="AB42" s="259" t="s">
        <v>70</v>
      </c>
      <c r="AC42" s="259" t="s">
        <v>70</v>
      </c>
      <c r="AD42" s="259" t="s">
        <v>70</v>
      </c>
      <c r="AE42" s="259" t="s">
        <v>70</v>
      </c>
      <c r="AF42" s="259" t="s">
        <v>70</v>
      </c>
      <c r="AG42" s="259" t="s">
        <v>70</v>
      </c>
      <c r="AH42" s="259" t="s">
        <v>70</v>
      </c>
      <c r="AI42" s="259" t="s">
        <v>70</v>
      </c>
      <c r="AJ42" s="25"/>
      <c r="AL42" t="str">
        <f t="shared" ca="1" si="0"/>
        <v xml:space="preserve">    (U1)ALERT_REQ_S_LCA_TT_R_</v>
      </c>
      <c r="AR42" s="70" t="str">
        <f t="shared" si="3"/>
        <v/>
      </c>
      <c r="AS42" s="70" t="str">
        <f t="shared" si="4"/>
        <v/>
      </c>
      <c r="AT42" s="70" t="str">
        <f t="shared" si="1"/>
        <v/>
      </c>
    </row>
    <row r="43" spans="2:46">
      <c r="B43" s="139"/>
      <c r="C43" s="55">
        <f t="shared" si="2"/>
        <v>37</v>
      </c>
      <c r="D43" s="259" t="s">
        <v>70</v>
      </c>
      <c r="E43" s="259" t="s">
        <v>70</v>
      </c>
      <c r="F43" s="259" t="s">
        <v>70</v>
      </c>
      <c r="G43" s="259" t="s">
        <v>70</v>
      </c>
      <c r="H43" s="259" t="s">
        <v>70</v>
      </c>
      <c r="I43" s="259" t="s">
        <v>70</v>
      </c>
      <c r="J43" s="259" t="s">
        <v>70</v>
      </c>
      <c r="K43" s="259" t="s">
        <v>70</v>
      </c>
      <c r="L43" s="259" t="s">
        <v>70</v>
      </c>
      <c r="M43" s="259" t="s">
        <v>70</v>
      </c>
      <c r="N43" s="259" t="s">
        <v>70</v>
      </c>
      <c r="O43" s="259" t="s">
        <v>70</v>
      </c>
      <c r="P43" s="259" t="s">
        <v>70</v>
      </c>
      <c r="Q43" s="259" t="s">
        <v>70</v>
      </c>
      <c r="R43" s="259" t="s">
        <v>70</v>
      </c>
      <c r="S43" s="259" t="s">
        <v>70</v>
      </c>
      <c r="T43" s="259" t="s">
        <v>70</v>
      </c>
      <c r="U43" s="259" t="s">
        <v>70</v>
      </c>
      <c r="V43" s="259" t="s">
        <v>70</v>
      </c>
      <c r="W43" s="259" t="s">
        <v>70</v>
      </c>
      <c r="X43" s="259" t="s">
        <v>70</v>
      </c>
      <c r="Y43" s="259" t="s">
        <v>70</v>
      </c>
      <c r="Z43" s="259" t="s">
        <v>70</v>
      </c>
      <c r="AA43" s="259" t="s">
        <v>70</v>
      </c>
      <c r="AB43" s="259" t="s">
        <v>70</v>
      </c>
      <c r="AC43" s="259" t="s">
        <v>70</v>
      </c>
      <c r="AD43" s="259" t="s">
        <v>70</v>
      </c>
      <c r="AE43" s="259" t="s">
        <v>70</v>
      </c>
      <c r="AF43" s="259" t="s">
        <v>70</v>
      </c>
      <c r="AG43" s="259" t="s">
        <v>70</v>
      </c>
      <c r="AH43" s="259" t="s">
        <v>70</v>
      </c>
      <c r="AI43" s="259" t="s">
        <v>70</v>
      </c>
      <c r="AJ43" s="25"/>
      <c r="AL43" t="str">
        <f t="shared" ca="1" si="0"/>
        <v xml:space="preserve">    (U1)ALERT_REQ_S_LCA_TT_R_</v>
      </c>
      <c r="AR43" s="70" t="str">
        <f t="shared" si="3"/>
        <v/>
      </c>
      <c r="AS43" s="70" t="str">
        <f t="shared" si="4"/>
        <v/>
      </c>
      <c r="AT43" s="70" t="str">
        <f t="shared" si="1"/>
        <v/>
      </c>
    </row>
    <row r="44" spans="2:46">
      <c r="B44" s="139"/>
      <c r="C44" s="55">
        <f t="shared" si="2"/>
        <v>38</v>
      </c>
      <c r="D44" s="259" t="s">
        <v>70</v>
      </c>
      <c r="E44" s="259" t="s">
        <v>70</v>
      </c>
      <c r="F44" s="259" t="s">
        <v>70</v>
      </c>
      <c r="G44" s="259" t="s">
        <v>70</v>
      </c>
      <c r="H44" s="259" t="s">
        <v>70</v>
      </c>
      <c r="I44" s="259" t="s">
        <v>70</v>
      </c>
      <c r="J44" s="259" t="s">
        <v>70</v>
      </c>
      <c r="K44" s="259" t="s">
        <v>70</v>
      </c>
      <c r="L44" s="259" t="s">
        <v>70</v>
      </c>
      <c r="M44" s="259" t="s">
        <v>70</v>
      </c>
      <c r="N44" s="259" t="s">
        <v>70</v>
      </c>
      <c r="O44" s="259" t="s">
        <v>70</v>
      </c>
      <c r="P44" s="259" t="s">
        <v>70</v>
      </c>
      <c r="Q44" s="259" t="s">
        <v>70</v>
      </c>
      <c r="R44" s="259" t="s">
        <v>70</v>
      </c>
      <c r="S44" s="259" t="s">
        <v>70</v>
      </c>
      <c r="T44" s="259" t="s">
        <v>70</v>
      </c>
      <c r="U44" s="259" t="s">
        <v>70</v>
      </c>
      <c r="V44" s="259" t="s">
        <v>70</v>
      </c>
      <c r="W44" s="259" t="s">
        <v>70</v>
      </c>
      <c r="X44" s="259" t="s">
        <v>70</v>
      </c>
      <c r="Y44" s="259" t="s">
        <v>70</v>
      </c>
      <c r="Z44" s="259" t="s">
        <v>70</v>
      </c>
      <c r="AA44" s="259" t="s">
        <v>70</v>
      </c>
      <c r="AB44" s="259" t="s">
        <v>70</v>
      </c>
      <c r="AC44" s="259" t="s">
        <v>70</v>
      </c>
      <c r="AD44" s="259" t="s">
        <v>70</v>
      </c>
      <c r="AE44" s="259" t="s">
        <v>70</v>
      </c>
      <c r="AF44" s="259" t="s">
        <v>70</v>
      </c>
      <c r="AG44" s="259" t="s">
        <v>70</v>
      </c>
      <c r="AH44" s="259" t="s">
        <v>70</v>
      </c>
      <c r="AI44" s="259" t="s">
        <v>70</v>
      </c>
      <c r="AJ44" s="25"/>
      <c r="AL44" t="str">
        <f t="shared" ca="1" si="0"/>
        <v xml:space="preserve">    (U1)ALERT_REQ_S_LCA_TT_R_</v>
      </c>
      <c r="AR44" s="70" t="str">
        <f t="shared" si="3"/>
        <v/>
      </c>
      <c r="AS44" s="70" t="str">
        <f t="shared" si="4"/>
        <v/>
      </c>
      <c r="AT44" s="70" t="str">
        <f t="shared" si="1"/>
        <v/>
      </c>
    </row>
    <row r="45" spans="2:46">
      <c r="B45" s="139"/>
      <c r="C45" s="55">
        <f t="shared" si="2"/>
        <v>39</v>
      </c>
      <c r="D45" s="259" t="s">
        <v>70</v>
      </c>
      <c r="E45" s="259" t="s">
        <v>70</v>
      </c>
      <c r="F45" s="259" t="s">
        <v>70</v>
      </c>
      <c r="G45" s="259" t="s">
        <v>70</v>
      </c>
      <c r="H45" s="259" t="s">
        <v>70</v>
      </c>
      <c r="I45" s="259" t="s">
        <v>70</v>
      </c>
      <c r="J45" s="259" t="s">
        <v>70</v>
      </c>
      <c r="K45" s="259" t="s">
        <v>70</v>
      </c>
      <c r="L45" s="259" t="s">
        <v>70</v>
      </c>
      <c r="M45" s="259" t="s">
        <v>70</v>
      </c>
      <c r="N45" s="259" t="s">
        <v>70</v>
      </c>
      <c r="O45" s="259" t="s">
        <v>70</v>
      </c>
      <c r="P45" s="259" t="s">
        <v>70</v>
      </c>
      <c r="Q45" s="259" t="s">
        <v>70</v>
      </c>
      <c r="R45" s="259" t="s">
        <v>70</v>
      </c>
      <c r="S45" s="259" t="s">
        <v>70</v>
      </c>
      <c r="T45" s="259" t="s">
        <v>70</v>
      </c>
      <c r="U45" s="259" t="s">
        <v>70</v>
      </c>
      <c r="V45" s="259" t="s">
        <v>70</v>
      </c>
      <c r="W45" s="259" t="s">
        <v>70</v>
      </c>
      <c r="X45" s="259" t="s">
        <v>70</v>
      </c>
      <c r="Y45" s="259" t="s">
        <v>70</v>
      </c>
      <c r="Z45" s="259" t="s">
        <v>70</v>
      </c>
      <c r="AA45" s="259" t="s">
        <v>70</v>
      </c>
      <c r="AB45" s="259" t="s">
        <v>70</v>
      </c>
      <c r="AC45" s="259" t="s">
        <v>70</v>
      </c>
      <c r="AD45" s="259" t="s">
        <v>70</v>
      </c>
      <c r="AE45" s="259" t="s">
        <v>70</v>
      </c>
      <c r="AF45" s="259" t="s">
        <v>70</v>
      </c>
      <c r="AG45" s="259" t="s">
        <v>70</v>
      </c>
      <c r="AH45" s="259" t="s">
        <v>70</v>
      </c>
      <c r="AI45" s="259" t="s">
        <v>70</v>
      </c>
      <c r="AJ45" s="25"/>
      <c r="AL45" t="str">
        <f t="shared" ca="1" si="0"/>
        <v xml:space="preserve">    (U1)ALERT_REQ_S_LCA_TT_R_</v>
      </c>
      <c r="AR45" s="70" t="str">
        <f t="shared" si="3"/>
        <v/>
      </c>
      <c r="AS45" s="70" t="str">
        <f t="shared" si="4"/>
        <v/>
      </c>
      <c r="AT45" s="70" t="str">
        <f t="shared" si="1"/>
        <v/>
      </c>
    </row>
    <row r="46" spans="2:46">
      <c r="B46" s="139"/>
      <c r="C46" s="55">
        <f t="shared" si="2"/>
        <v>40</v>
      </c>
      <c r="D46" s="259" t="s">
        <v>70</v>
      </c>
      <c r="E46" s="259" t="s">
        <v>70</v>
      </c>
      <c r="F46" s="259" t="s">
        <v>70</v>
      </c>
      <c r="G46" s="259" t="s">
        <v>70</v>
      </c>
      <c r="H46" s="259" t="s">
        <v>70</v>
      </c>
      <c r="I46" s="259" t="s">
        <v>70</v>
      </c>
      <c r="J46" s="259" t="s">
        <v>70</v>
      </c>
      <c r="K46" s="259" t="s">
        <v>70</v>
      </c>
      <c r="L46" s="259" t="s">
        <v>70</v>
      </c>
      <c r="M46" s="259" t="s">
        <v>70</v>
      </c>
      <c r="N46" s="259" t="s">
        <v>70</v>
      </c>
      <c r="O46" s="259" t="s">
        <v>70</v>
      </c>
      <c r="P46" s="259" t="s">
        <v>70</v>
      </c>
      <c r="Q46" s="259" t="s">
        <v>70</v>
      </c>
      <c r="R46" s="259" t="s">
        <v>70</v>
      </c>
      <c r="S46" s="259" t="s">
        <v>70</v>
      </c>
      <c r="T46" s="259" t="s">
        <v>70</v>
      </c>
      <c r="U46" s="259" t="s">
        <v>70</v>
      </c>
      <c r="V46" s="259" t="s">
        <v>70</v>
      </c>
      <c r="W46" s="259" t="s">
        <v>70</v>
      </c>
      <c r="X46" s="259" t="s">
        <v>70</v>
      </c>
      <c r="Y46" s="259" t="s">
        <v>70</v>
      </c>
      <c r="Z46" s="259" t="s">
        <v>70</v>
      </c>
      <c r="AA46" s="259" t="s">
        <v>70</v>
      </c>
      <c r="AB46" s="259" t="s">
        <v>70</v>
      </c>
      <c r="AC46" s="259" t="s">
        <v>70</v>
      </c>
      <c r="AD46" s="259" t="s">
        <v>70</v>
      </c>
      <c r="AE46" s="259" t="s">
        <v>70</v>
      </c>
      <c r="AF46" s="259" t="s">
        <v>70</v>
      </c>
      <c r="AG46" s="259" t="s">
        <v>70</v>
      </c>
      <c r="AH46" s="259" t="s">
        <v>70</v>
      </c>
      <c r="AI46" s="259" t="s">
        <v>70</v>
      </c>
      <c r="AJ46" s="25"/>
      <c r="AL46" t="str">
        <f t="shared" ca="1" si="0"/>
        <v xml:space="preserve">    (U1)ALERT_REQ_S_LCA_TT_R_</v>
      </c>
      <c r="AR46" s="70" t="str">
        <f t="shared" si="3"/>
        <v/>
      </c>
      <c r="AS46" s="70" t="str">
        <f t="shared" si="4"/>
        <v/>
      </c>
      <c r="AT46" s="70" t="str">
        <f t="shared" si="1"/>
        <v/>
      </c>
    </row>
    <row r="47" spans="2:46">
      <c r="B47" s="139"/>
      <c r="C47" s="55">
        <f t="shared" si="2"/>
        <v>41</v>
      </c>
      <c r="D47" s="259" t="s">
        <v>70</v>
      </c>
      <c r="E47" s="259" t="s">
        <v>70</v>
      </c>
      <c r="F47" s="259" t="s">
        <v>70</v>
      </c>
      <c r="G47" s="259" t="s">
        <v>70</v>
      </c>
      <c r="H47" s="259" t="s">
        <v>70</v>
      </c>
      <c r="I47" s="259" t="s">
        <v>70</v>
      </c>
      <c r="J47" s="259" t="s">
        <v>70</v>
      </c>
      <c r="K47" s="259" t="s">
        <v>70</v>
      </c>
      <c r="L47" s="259" t="s">
        <v>70</v>
      </c>
      <c r="M47" s="259" t="s">
        <v>70</v>
      </c>
      <c r="N47" s="259" t="s">
        <v>70</v>
      </c>
      <c r="O47" s="259" t="s">
        <v>70</v>
      </c>
      <c r="P47" s="259" t="s">
        <v>70</v>
      </c>
      <c r="Q47" s="259" t="s">
        <v>70</v>
      </c>
      <c r="R47" s="259" t="s">
        <v>70</v>
      </c>
      <c r="S47" s="259" t="s">
        <v>70</v>
      </c>
      <c r="T47" s="259" t="s">
        <v>70</v>
      </c>
      <c r="U47" s="259" t="s">
        <v>70</v>
      </c>
      <c r="V47" s="259" t="s">
        <v>70</v>
      </c>
      <c r="W47" s="259" t="s">
        <v>70</v>
      </c>
      <c r="X47" s="259" t="s">
        <v>70</v>
      </c>
      <c r="Y47" s="259" t="s">
        <v>70</v>
      </c>
      <c r="Z47" s="259" t="s">
        <v>70</v>
      </c>
      <c r="AA47" s="259" t="s">
        <v>70</v>
      </c>
      <c r="AB47" s="259" t="s">
        <v>70</v>
      </c>
      <c r="AC47" s="259" t="s">
        <v>70</v>
      </c>
      <c r="AD47" s="259" t="s">
        <v>70</v>
      </c>
      <c r="AE47" s="259" t="s">
        <v>70</v>
      </c>
      <c r="AF47" s="259" t="s">
        <v>70</v>
      </c>
      <c r="AG47" s="259" t="s">
        <v>70</v>
      </c>
      <c r="AH47" s="259" t="s">
        <v>70</v>
      </c>
      <c r="AI47" s="259" t="s">
        <v>70</v>
      </c>
      <c r="AJ47" s="25"/>
      <c r="AL47" t="str">
        <f t="shared" ca="1" si="0"/>
        <v xml:space="preserve">    (U1)ALERT_REQ_S_LCA_TT_R_</v>
      </c>
      <c r="AR47" s="70" t="str">
        <f t="shared" si="3"/>
        <v/>
      </c>
      <c r="AS47" s="70" t="str">
        <f t="shared" si="4"/>
        <v/>
      </c>
      <c r="AT47" s="70" t="str">
        <f t="shared" si="1"/>
        <v/>
      </c>
    </row>
    <row r="48" spans="2:46">
      <c r="B48" s="139"/>
      <c r="C48" s="55">
        <f t="shared" si="2"/>
        <v>42</v>
      </c>
      <c r="D48" s="259" t="s">
        <v>70</v>
      </c>
      <c r="E48" s="259" t="s">
        <v>70</v>
      </c>
      <c r="F48" s="259" t="s">
        <v>70</v>
      </c>
      <c r="G48" s="259" t="s">
        <v>70</v>
      </c>
      <c r="H48" s="259" t="s">
        <v>70</v>
      </c>
      <c r="I48" s="259" t="s">
        <v>70</v>
      </c>
      <c r="J48" s="259" t="s">
        <v>70</v>
      </c>
      <c r="K48" s="259" t="s">
        <v>70</v>
      </c>
      <c r="L48" s="259" t="s">
        <v>70</v>
      </c>
      <c r="M48" s="259" t="s">
        <v>70</v>
      </c>
      <c r="N48" s="259" t="s">
        <v>70</v>
      </c>
      <c r="O48" s="259" t="s">
        <v>70</v>
      </c>
      <c r="P48" s="259" t="s">
        <v>70</v>
      </c>
      <c r="Q48" s="259" t="s">
        <v>70</v>
      </c>
      <c r="R48" s="259" t="s">
        <v>70</v>
      </c>
      <c r="S48" s="259" t="s">
        <v>70</v>
      </c>
      <c r="T48" s="259" t="s">
        <v>70</v>
      </c>
      <c r="U48" s="259" t="s">
        <v>70</v>
      </c>
      <c r="V48" s="259" t="s">
        <v>70</v>
      </c>
      <c r="W48" s="259" t="s">
        <v>70</v>
      </c>
      <c r="X48" s="259" t="s">
        <v>70</v>
      </c>
      <c r="Y48" s="259" t="s">
        <v>70</v>
      </c>
      <c r="Z48" s="259" t="s">
        <v>70</v>
      </c>
      <c r="AA48" s="259" t="s">
        <v>70</v>
      </c>
      <c r="AB48" s="259" t="s">
        <v>70</v>
      </c>
      <c r="AC48" s="259" t="s">
        <v>70</v>
      </c>
      <c r="AD48" s="259" t="s">
        <v>70</v>
      </c>
      <c r="AE48" s="259" t="s">
        <v>70</v>
      </c>
      <c r="AF48" s="259" t="s">
        <v>70</v>
      </c>
      <c r="AG48" s="259" t="s">
        <v>70</v>
      </c>
      <c r="AH48" s="259" t="s">
        <v>70</v>
      </c>
      <c r="AI48" s="259" t="s">
        <v>70</v>
      </c>
      <c r="AJ48" s="25"/>
      <c r="AL48" t="str">
        <f t="shared" ca="1" si="0"/>
        <v xml:space="preserve">    (U1)ALERT_REQ_S_LCA_TT_R_</v>
      </c>
      <c r="AR48" s="70" t="str">
        <f t="shared" si="3"/>
        <v/>
      </c>
      <c r="AS48" s="70" t="str">
        <f t="shared" si="4"/>
        <v/>
      </c>
      <c r="AT48" s="70" t="str">
        <f t="shared" si="1"/>
        <v/>
      </c>
    </row>
    <row r="49" spans="2:46">
      <c r="B49" s="139"/>
      <c r="C49" s="55">
        <f t="shared" si="2"/>
        <v>43</v>
      </c>
      <c r="D49" s="259" t="s">
        <v>70</v>
      </c>
      <c r="E49" s="259" t="s">
        <v>70</v>
      </c>
      <c r="F49" s="259" t="s">
        <v>70</v>
      </c>
      <c r="G49" s="259" t="s">
        <v>70</v>
      </c>
      <c r="H49" s="259" t="s">
        <v>70</v>
      </c>
      <c r="I49" s="259" t="s">
        <v>70</v>
      </c>
      <c r="J49" s="259" t="s">
        <v>70</v>
      </c>
      <c r="K49" s="259" t="s">
        <v>70</v>
      </c>
      <c r="L49" s="259" t="s">
        <v>70</v>
      </c>
      <c r="M49" s="259" t="s">
        <v>70</v>
      </c>
      <c r="N49" s="259" t="s">
        <v>70</v>
      </c>
      <c r="O49" s="259" t="s">
        <v>70</v>
      </c>
      <c r="P49" s="259" t="s">
        <v>70</v>
      </c>
      <c r="Q49" s="259" t="s">
        <v>70</v>
      </c>
      <c r="R49" s="259" t="s">
        <v>70</v>
      </c>
      <c r="S49" s="259" t="s">
        <v>70</v>
      </c>
      <c r="T49" s="259" t="s">
        <v>70</v>
      </c>
      <c r="U49" s="259" t="s">
        <v>70</v>
      </c>
      <c r="V49" s="259" t="s">
        <v>70</v>
      </c>
      <c r="W49" s="259" t="s">
        <v>70</v>
      </c>
      <c r="X49" s="259" t="s">
        <v>70</v>
      </c>
      <c r="Y49" s="259" t="s">
        <v>70</v>
      </c>
      <c r="Z49" s="259" t="s">
        <v>70</v>
      </c>
      <c r="AA49" s="259" t="s">
        <v>70</v>
      </c>
      <c r="AB49" s="259" t="s">
        <v>70</v>
      </c>
      <c r="AC49" s="259" t="s">
        <v>70</v>
      </c>
      <c r="AD49" s="259" t="s">
        <v>70</v>
      </c>
      <c r="AE49" s="259" t="s">
        <v>70</v>
      </c>
      <c r="AF49" s="259" t="s">
        <v>70</v>
      </c>
      <c r="AG49" s="259" t="s">
        <v>70</v>
      </c>
      <c r="AH49" s="259" t="s">
        <v>70</v>
      </c>
      <c r="AI49" s="259" t="s">
        <v>70</v>
      </c>
      <c r="AJ49" s="25"/>
      <c r="AL49" t="str">
        <f t="shared" ca="1" si="0"/>
        <v xml:space="preserve">    (U1)ALERT_REQ_S_LCA_TT_R_</v>
      </c>
      <c r="AR49" s="70" t="str">
        <f t="shared" si="3"/>
        <v/>
      </c>
      <c r="AS49" s="70" t="str">
        <f t="shared" si="4"/>
        <v/>
      </c>
      <c r="AT49" s="70" t="str">
        <f t="shared" si="1"/>
        <v/>
      </c>
    </row>
    <row r="50" spans="2:46">
      <c r="B50" s="139"/>
      <c r="C50" s="55">
        <f t="shared" si="2"/>
        <v>44</v>
      </c>
      <c r="D50" s="259" t="s">
        <v>70</v>
      </c>
      <c r="E50" s="259" t="s">
        <v>70</v>
      </c>
      <c r="F50" s="259" t="s">
        <v>70</v>
      </c>
      <c r="G50" s="259" t="s">
        <v>70</v>
      </c>
      <c r="H50" s="259" t="s">
        <v>70</v>
      </c>
      <c r="I50" s="259" t="s">
        <v>70</v>
      </c>
      <c r="J50" s="259" t="s">
        <v>70</v>
      </c>
      <c r="K50" s="259" t="s">
        <v>70</v>
      </c>
      <c r="L50" s="259" t="s">
        <v>70</v>
      </c>
      <c r="M50" s="259" t="s">
        <v>70</v>
      </c>
      <c r="N50" s="259" t="s">
        <v>70</v>
      </c>
      <c r="O50" s="259" t="s">
        <v>70</v>
      </c>
      <c r="P50" s="259" t="s">
        <v>70</v>
      </c>
      <c r="Q50" s="259" t="s">
        <v>70</v>
      </c>
      <c r="R50" s="259" t="s">
        <v>70</v>
      </c>
      <c r="S50" s="259" t="s">
        <v>70</v>
      </c>
      <c r="T50" s="259" t="s">
        <v>70</v>
      </c>
      <c r="U50" s="259" t="s">
        <v>70</v>
      </c>
      <c r="V50" s="259" t="s">
        <v>70</v>
      </c>
      <c r="W50" s="259" t="s">
        <v>70</v>
      </c>
      <c r="X50" s="259" t="s">
        <v>70</v>
      </c>
      <c r="Y50" s="259" t="s">
        <v>70</v>
      </c>
      <c r="Z50" s="259" t="s">
        <v>70</v>
      </c>
      <c r="AA50" s="259" t="s">
        <v>70</v>
      </c>
      <c r="AB50" s="259" t="s">
        <v>70</v>
      </c>
      <c r="AC50" s="259" t="s">
        <v>70</v>
      </c>
      <c r="AD50" s="259" t="s">
        <v>70</v>
      </c>
      <c r="AE50" s="259" t="s">
        <v>70</v>
      </c>
      <c r="AF50" s="259" t="s">
        <v>70</v>
      </c>
      <c r="AG50" s="259" t="s">
        <v>70</v>
      </c>
      <c r="AH50" s="259" t="s">
        <v>70</v>
      </c>
      <c r="AI50" s="259" t="s">
        <v>70</v>
      </c>
      <c r="AJ50" s="25"/>
      <c r="AL50" t="str">
        <f t="shared" ca="1" si="0"/>
        <v xml:space="preserve">    (U1)ALERT_REQ_S_LCA_TT_R_</v>
      </c>
      <c r="AR50" s="70" t="str">
        <f t="shared" si="3"/>
        <v/>
      </c>
      <c r="AS50" s="70" t="str">
        <f t="shared" si="4"/>
        <v/>
      </c>
      <c r="AT50" s="70" t="str">
        <f t="shared" si="1"/>
        <v/>
      </c>
    </row>
    <row r="51" spans="2:46">
      <c r="B51" s="139"/>
      <c r="C51" s="55">
        <f t="shared" si="2"/>
        <v>45</v>
      </c>
      <c r="D51" s="259" t="s">
        <v>70</v>
      </c>
      <c r="E51" s="259" t="s">
        <v>70</v>
      </c>
      <c r="F51" s="259" t="s">
        <v>70</v>
      </c>
      <c r="G51" s="259" t="s">
        <v>70</v>
      </c>
      <c r="H51" s="259" t="s">
        <v>70</v>
      </c>
      <c r="I51" s="259" t="s">
        <v>70</v>
      </c>
      <c r="J51" s="259" t="s">
        <v>70</v>
      </c>
      <c r="K51" s="259" t="s">
        <v>70</v>
      </c>
      <c r="L51" s="259" t="s">
        <v>70</v>
      </c>
      <c r="M51" s="259" t="s">
        <v>70</v>
      </c>
      <c r="N51" s="259" t="s">
        <v>70</v>
      </c>
      <c r="O51" s="259" t="s">
        <v>70</v>
      </c>
      <c r="P51" s="259" t="s">
        <v>70</v>
      </c>
      <c r="Q51" s="259" t="s">
        <v>70</v>
      </c>
      <c r="R51" s="259" t="s">
        <v>70</v>
      </c>
      <c r="S51" s="259" t="s">
        <v>70</v>
      </c>
      <c r="T51" s="259" t="s">
        <v>70</v>
      </c>
      <c r="U51" s="259" t="s">
        <v>70</v>
      </c>
      <c r="V51" s="259" t="s">
        <v>70</v>
      </c>
      <c r="W51" s="259" t="s">
        <v>70</v>
      </c>
      <c r="X51" s="259" t="s">
        <v>70</v>
      </c>
      <c r="Y51" s="259" t="s">
        <v>70</v>
      </c>
      <c r="Z51" s="259" t="s">
        <v>70</v>
      </c>
      <c r="AA51" s="259" t="s">
        <v>70</v>
      </c>
      <c r="AB51" s="259" t="s">
        <v>70</v>
      </c>
      <c r="AC51" s="259" t="s">
        <v>70</v>
      </c>
      <c r="AD51" s="259" t="s">
        <v>70</v>
      </c>
      <c r="AE51" s="259" t="s">
        <v>70</v>
      </c>
      <c r="AF51" s="259" t="s">
        <v>70</v>
      </c>
      <c r="AG51" s="259" t="s">
        <v>70</v>
      </c>
      <c r="AH51" s="259" t="s">
        <v>70</v>
      </c>
      <c r="AI51" s="259" t="s">
        <v>70</v>
      </c>
      <c r="AJ51" s="25"/>
      <c r="AL51" t="str">
        <f t="shared" ca="1" si="0"/>
        <v xml:space="preserve">    (U1)ALERT_REQ_S_LCA_TT_R_</v>
      </c>
      <c r="AR51" s="70" t="str">
        <f t="shared" si="3"/>
        <v/>
      </c>
      <c r="AS51" s="70" t="str">
        <f t="shared" si="4"/>
        <v/>
      </c>
      <c r="AT51" s="70" t="str">
        <f t="shared" si="1"/>
        <v/>
      </c>
    </row>
    <row r="52" spans="2:46">
      <c r="B52" s="139"/>
      <c r="C52" s="55">
        <f t="shared" si="2"/>
        <v>46</v>
      </c>
      <c r="D52" s="259" t="s">
        <v>70</v>
      </c>
      <c r="E52" s="259" t="s">
        <v>70</v>
      </c>
      <c r="F52" s="259" t="s">
        <v>70</v>
      </c>
      <c r="G52" s="259" t="s">
        <v>70</v>
      </c>
      <c r="H52" s="259" t="s">
        <v>70</v>
      </c>
      <c r="I52" s="259" t="s">
        <v>70</v>
      </c>
      <c r="J52" s="259" t="s">
        <v>70</v>
      </c>
      <c r="K52" s="259" t="s">
        <v>70</v>
      </c>
      <c r="L52" s="259" t="s">
        <v>70</v>
      </c>
      <c r="M52" s="259" t="s">
        <v>70</v>
      </c>
      <c r="N52" s="259" t="s">
        <v>70</v>
      </c>
      <c r="O52" s="259" t="s">
        <v>70</v>
      </c>
      <c r="P52" s="259" t="s">
        <v>70</v>
      </c>
      <c r="Q52" s="259" t="s">
        <v>70</v>
      </c>
      <c r="R52" s="259" t="s">
        <v>70</v>
      </c>
      <c r="S52" s="259" t="s">
        <v>70</v>
      </c>
      <c r="T52" s="259" t="s">
        <v>70</v>
      </c>
      <c r="U52" s="259" t="s">
        <v>70</v>
      </c>
      <c r="V52" s="259" t="s">
        <v>70</v>
      </c>
      <c r="W52" s="259" t="s">
        <v>70</v>
      </c>
      <c r="X52" s="259" t="s">
        <v>70</v>
      </c>
      <c r="Y52" s="259" t="s">
        <v>70</v>
      </c>
      <c r="Z52" s="259" t="s">
        <v>70</v>
      </c>
      <c r="AA52" s="259" t="s">
        <v>70</v>
      </c>
      <c r="AB52" s="259" t="s">
        <v>70</v>
      </c>
      <c r="AC52" s="259" t="s">
        <v>70</v>
      </c>
      <c r="AD52" s="259" t="s">
        <v>70</v>
      </c>
      <c r="AE52" s="259" t="s">
        <v>70</v>
      </c>
      <c r="AF52" s="259" t="s">
        <v>70</v>
      </c>
      <c r="AG52" s="259" t="s">
        <v>70</v>
      </c>
      <c r="AH52" s="259" t="s">
        <v>70</v>
      </c>
      <c r="AI52" s="259" t="s">
        <v>70</v>
      </c>
      <c r="AJ52" s="25"/>
      <c r="AL52" t="str">
        <f t="shared" ca="1" si="0"/>
        <v xml:space="preserve">    (U1)ALERT_REQ_S_LCA_TT_R_</v>
      </c>
      <c r="AR52" s="70" t="str">
        <f t="shared" si="3"/>
        <v/>
      </c>
      <c r="AS52" s="70" t="str">
        <f t="shared" si="4"/>
        <v/>
      </c>
      <c r="AT52" s="70" t="str">
        <f t="shared" si="1"/>
        <v/>
      </c>
    </row>
    <row r="53" spans="2:46">
      <c r="B53" s="139"/>
      <c r="C53" s="55">
        <f t="shared" si="2"/>
        <v>47</v>
      </c>
      <c r="D53" s="259" t="s">
        <v>70</v>
      </c>
      <c r="E53" s="259" t="s">
        <v>70</v>
      </c>
      <c r="F53" s="259" t="s">
        <v>70</v>
      </c>
      <c r="G53" s="259" t="s">
        <v>70</v>
      </c>
      <c r="H53" s="259" t="s">
        <v>70</v>
      </c>
      <c r="I53" s="259" t="s">
        <v>70</v>
      </c>
      <c r="J53" s="259" t="s">
        <v>70</v>
      </c>
      <c r="K53" s="259" t="s">
        <v>70</v>
      </c>
      <c r="L53" s="259" t="s">
        <v>70</v>
      </c>
      <c r="M53" s="259" t="s">
        <v>70</v>
      </c>
      <c r="N53" s="259" t="s">
        <v>70</v>
      </c>
      <c r="O53" s="259" t="s">
        <v>70</v>
      </c>
      <c r="P53" s="259" t="s">
        <v>70</v>
      </c>
      <c r="Q53" s="259" t="s">
        <v>70</v>
      </c>
      <c r="R53" s="259" t="s">
        <v>70</v>
      </c>
      <c r="S53" s="259" t="s">
        <v>70</v>
      </c>
      <c r="T53" s="259" t="s">
        <v>70</v>
      </c>
      <c r="U53" s="259" t="s">
        <v>70</v>
      </c>
      <c r="V53" s="259" t="s">
        <v>70</v>
      </c>
      <c r="W53" s="259" t="s">
        <v>70</v>
      </c>
      <c r="X53" s="259" t="s">
        <v>70</v>
      </c>
      <c r="Y53" s="259" t="s">
        <v>70</v>
      </c>
      <c r="Z53" s="259" t="s">
        <v>70</v>
      </c>
      <c r="AA53" s="259" t="s">
        <v>70</v>
      </c>
      <c r="AB53" s="259" t="s">
        <v>70</v>
      </c>
      <c r="AC53" s="259" t="s">
        <v>70</v>
      </c>
      <c r="AD53" s="259" t="s">
        <v>70</v>
      </c>
      <c r="AE53" s="259" t="s">
        <v>70</v>
      </c>
      <c r="AF53" s="259" t="s">
        <v>70</v>
      </c>
      <c r="AG53" s="259" t="s">
        <v>70</v>
      </c>
      <c r="AH53" s="259" t="s">
        <v>70</v>
      </c>
      <c r="AI53" s="259" t="s">
        <v>70</v>
      </c>
      <c r="AJ53" s="25"/>
      <c r="AL53" t="str">
        <f t="shared" ca="1" si="0"/>
        <v xml:space="preserve">    (U1)ALERT_REQ_S_LCA_TT_R_</v>
      </c>
      <c r="AR53" s="70" t="str">
        <f t="shared" si="3"/>
        <v/>
      </c>
      <c r="AS53" s="70" t="str">
        <f t="shared" si="4"/>
        <v/>
      </c>
      <c r="AT53" s="70" t="str">
        <f t="shared" si="1"/>
        <v/>
      </c>
    </row>
    <row r="54" spans="2:46">
      <c r="B54" s="139"/>
      <c r="C54" s="55">
        <f t="shared" si="2"/>
        <v>48</v>
      </c>
      <c r="D54" s="259" t="s">
        <v>70</v>
      </c>
      <c r="E54" s="259" t="s">
        <v>70</v>
      </c>
      <c r="F54" s="259" t="s">
        <v>70</v>
      </c>
      <c r="G54" s="259" t="s">
        <v>70</v>
      </c>
      <c r="H54" s="259" t="s">
        <v>70</v>
      </c>
      <c r="I54" s="259" t="s">
        <v>70</v>
      </c>
      <c r="J54" s="259" t="s">
        <v>70</v>
      </c>
      <c r="K54" s="259" t="s">
        <v>70</v>
      </c>
      <c r="L54" s="259" t="s">
        <v>70</v>
      </c>
      <c r="M54" s="259" t="s">
        <v>70</v>
      </c>
      <c r="N54" s="259" t="s">
        <v>70</v>
      </c>
      <c r="O54" s="259" t="s">
        <v>70</v>
      </c>
      <c r="P54" s="259" t="s">
        <v>70</v>
      </c>
      <c r="Q54" s="259" t="s">
        <v>70</v>
      </c>
      <c r="R54" s="259" t="s">
        <v>70</v>
      </c>
      <c r="S54" s="259" t="s">
        <v>70</v>
      </c>
      <c r="T54" s="259" t="s">
        <v>70</v>
      </c>
      <c r="U54" s="259" t="s">
        <v>70</v>
      </c>
      <c r="V54" s="259" t="s">
        <v>70</v>
      </c>
      <c r="W54" s="259" t="s">
        <v>70</v>
      </c>
      <c r="X54" s="259" t="s">
        <v>70</v>
      </c>
      <c r="Y54" s="259" t="s">
        <v>70</v>
      </c>
      <c r="Z54" s="259" t="s">
        <v>70</v>
      </c>
      <c r="AA54" s="259" t="s">
        <v>70</v>
      </c>
      <c r="AB54" s="259" t="s">
        <v>70</v>
      </c>
      <c r="AC54" s="259" t="s">
        <v>70</v>
      </c>
      <c r="AD54" s="259" t="s">
        <v>70</v>
      </c>
      <c r="AE54" s="259" t="s">
        <v>70</v>
      </c>
      <c r="AF54" s="259" t="s">
        <v>70</v>
      </c>
      <c r="AG54" s="259" t="s">
        <v>70</v>
      </c>
      <c r="AH54" s="259" t="s">
        <v>70</v>
      </c>
      <c r="AI54" s="259" t="s">
        <v>70</v>
      </c>
      <c r="AJ54" s="25"/>
      <c r="AL54" t="str">
        <f t="shared" ca="1" si="0"/>
        <v xml:space="preserve">    (U1)ALERT_REQ_S_LCA_TT_R_</v>
      </c>
      <c r="AR54" s="70" t="str">
        <f t="shared" si="3"/>
        <v/>
      </c>
      <c r="AS54" s="70" t="str">
        <f t="shared" si="4"/>
        <v/>
      </c>
      <c r="AT54" s="70" t="str">
        <f t="shared" si="1"/>
        <v/>
      </c>
    </row>
    <row r="55" spans="2:46">
      <c r="B55" s="139"/>
      <c r="C55" s="55">
        <f t="shared" si="2"/>
        <v>49</v>
      </c>
      <c r="D55" s="259" t="s">
        <v>70</v>
      </c>
      <c r="E55" s="259" t="s">
        <v>70</v>
      </c>
      <c r="F55" s="259" t="s">
        <v>70</v>
      </c>
      <c r="G55" s="259" t="s">
        <v>70</v>
      </c>
      <c r="H55" s="259" t="s">
        <v>70</v>
      </c>
      <c r="I55" s="259" t="s">
        <v>70</v>
      </c>
      <c r="J55" s="259" t="s">
        <v>70</v>
      </c>
      <c r="K55" s="259" t="s">
        <v>70</v>
      </c>
      <c r="L55" s="259" t="s">
        <v>70</v>
      </c>
      <c r="M55" s="259" t="s">
        <v>70</v>
      </c>
      <c r="N55" s="259" t="s">
        <v>70</v>
      </c>
      <c r="O55" s="259" t="s">
        <v>70</v>
      </c>
      <c r="P55" s="259" t="s">
        <v>70</v>
      </c>
      <c r="Q55" s="259" t="s">
        <v>70</v>
      </c>
      <c r="R55" s="259" t="s">
        <v>70</v>
      </c>
      <c r="S55" s="259" t="s">
        <v>70</v>
      </c>
      <c r="T55" s="259" t="s">
        <v>70</v>
      </c>
      <c r="U55" s="259" t="s">
        <v>70</v>
      </c>
      <c r="V55" s="259" t="s">
        <v>70</v>
      </c>
      <c r="W55" s="259" t="s">
        <v>70</v>
      </c>
      <c r="X55" s="259" t="s">
        <v>70</v>
      </c>
      <c r="Y55" s="259" t="s">
        <v>70</v>
      </c>
      <c r="Z55" s="259" t="s">
        <v>70</v>
      </c>
      <c r="AA55" s="259" t="s">
        <v>70</v>
      </c>
      <c r="AB55" s="259" t="s">
        <v>70</v>
      </c>
      <c r="AC55" s="259" t="s">
        <v>70</v>
      </c>
      <c r="AD55" s="259" t="s">
        <v>70</v>
      </c>
      <c r="AE55" s="259" t="s">
        <v>70</v>
      </c>
      <c r="AF55" s="259" t="s">
        <v>70</v>
      </c>
      <c r="AG55" s="259" t="s">
        <v>70</v>
      </c>
      <c r="AH55" s="259" t="s">
        <v>70</v>
      </c>
      <c r="AI55" s="259" t="s">
        <v>70</v>
      </c>
      <c r="AJ55" s="25"/>
      <c r="AL55" t="str">
        <f t="shared" ca="1" si="0"/>
        <v xml:space="preserve">    (U1)ALERT_REQ_S_LCA_TT_R_</v>
      </c>
      <c r="AR55" s="70" t="str">
        <f t="shared" si="3"/>
        <v/>
      </c>
      <c r="AS55" s="70" t="str">
        <f t="shared" si="4"/>
        <v/>
      </c>
      <c r="AT55" s="70" t="str">
        <f t="shared" si="1"/>
        <v/>
      </c>
    </row>
    <row r="56" spans="2:46">
      <c r="B56" s="139"/>
      <c r="C56" s="55">
        <f t="shared" si="2"/>
        <v>50</v>
      </c>
      <c r="D56" s="259" t="s">
        <v>70</v>
      </c>
      <c r="E56" s="259" t="s">
        <v>70</v>
      </c>
      <c r="F56" s="259" t="s">
        <v>70</v>
      </c>
      <c r="G56" s="259" t="s">
        <v>70</v>
      </c>
      <c r="H56" s="259" t="s">
        <v>70</v>
      </c>
      <c r="I56" s="259" t="s">
        <v>70</v>
      </c>
      <c r="J56" s="259" t="s">
        <v>70</v>
      </c>
      <c r="K56" s="259" t="s">
        <v>70</v>
      </c>
      <c r="L56" s="259" t="s">
        <v>70</v>
      </c>
      <c r="M56" s="259" t="s">
        <v>70</v>
      </c>
      <c r="N56" s="259" t="s">
        <v>70</v>
      </c>
      <c r="O56" s="259" t="s">
        <v>70</v>
      </c>
      <c r="P56" s="259" t="s">
        <v>70</v>
      </c>
      <c r="Q56" s="259" t="s">
        <v>70</v>
      </c>
      <c r="R56" s="259" t="s">
        <v>70</v>
      </c>
      <c r="S56" s="259" t="s">
        <v>70</v>
      </c>
      <c r="T56" s="259" t="s">
        <v>70</v>
      </c>
      <c r="U56" s="259" t="s">
        <v>70</v>
      </c>
      <c r="V56" s="259" t="s">
        <v>70</v>
      </c>
      <c r="W56" s="259" t="s">
        <v>70</v>
      </c>
      <c r="X56" s="259" t="s">
        <v>70</v>
      </c>
      <c r="Y56" s="259" t="s">
        <v>70</v>
      </c>
      <c r="Z56" s="259" t="s">
        <v>70</v>
      </c>
      <c r="AA56" s="259" t="s">
        <v>70</v>
      </c>
      <c r="AB56" s="259" t="s">
        <v>70</v>
      </c>
      <c r="AC56" s="259" t="s">
        <v>70</v>
      </c>
      <c r="AD56" s="259" t="s">
        <v>70</v>
      </c>
      <c r="AE56" s="259" t="s">
        <v>70</v>
      </c>
      <c r="AF56" s="259" t="s">
        <v>70</v>
      </c>
      <c r="AG56" s="259" t="s">
        <v>70</v>
      </c>
      <c r="AH56" s="259" t="s">
        <v>70</v>
      </c>
      <c r="AI56" s="259" t="s">
        <v>70</v>
      </c>
      <c r="AJ56" s="25"/>
      <c r="AL56" t="str">
        <f t="shared" ca="1" si="0"/>
        <v xml:space="preserve">    (U1)ALERT_REQ_S_LCA_TT_R_</v>
      </c>
      <c r="AR56" s="70" t="str">
        <f t="shared" si="3"/>
        <v/>
      </c>
      <c r="AS56" s="70" t="str">
        <f t="shared" si="4"/>
        <v/>
      </c>
      <c r="AT56" s="70" t="str">
        <f t="shared" si="1"/>
        <v/>
      </c>
    </row>
    <row r="57" spans="2:46">
      <c r="B57" s="139"/>
      <c r="C57" s="55">
        <f t="shared" si="2"/>
        <v>51</v>
      </c>
      <c r="D57" s="259" t="s">
        <v>70</v>
      </c>
      <c r="E57" s="259" t="s">
        <v>70</v>
      </c>
      <c r="F57" s="259" t="s">
        <v>70</v>
      </c>
      <c r="G57" s="259" t="s">
        <v>70</v>
      </c>
      <c r="H57" s="259" t="s">
        <v>70</v>
      </c>
      <c r="I57" s="259" t="s">
        <v>70</v>
      </c>
      <c r="J57" s="259" t="s">
        <v>70</v>
      </c>
      <c r="K57" s="259" t="s">
        <v>70</v>
      </c>
      <c r="L57" s="259" t="s">
        <v>70</v>
      </c>
      <c r="M57" s="259" t="s">
        <v>70</v>
      </c>
      <c r="N57" s="259" t="s">
        <v>70</v>
      </c>
      <c r="O57" s="259" t="s">
        <v>70</v>
      </c>
      <c r="P57" s="259" t="s">
        <v>70</v>
      </c>
      <c r="Q57" s="259" t="s">
        <v>70</v>
      </c>
      <c r="R57" s="259" t="s">
        <v>70</v>
      </c>
      <c r="S57" s="259" t="s">
        <v>70</v>
      </c>
      <c r="T57" s="259" t="s">
        <v>70</v>
      </c>
      <c r="U57" s="259" t="s">
        <v>70</v>
      </c>
      <c r="V57" s="259" t="s">
        <v>70</v>
      </c>
      <c r="W57" s="259" t="s">
        <v>70</v>
      </c>
      <c r="X57" s="259" t="s">
        <v>70</v>
      </c>
      <c r="Y57" s="259" t="s">
        <v>70</v>
      </c>
      <c r="Z57" s="259" t="s">
        <v>70</v>
      </c>
      <c r="AA57" s="259" t="s">
        <v>70</v>
      </c>
      <c r="AB57" s="259" t="s">
        <v>70</v>
      </c>
      <c r="AC57" s="259" t="s">
        <v>70</v>
      </c>
      <c r="AD57" s="259" t="s">
        <v>70</v>
      </c>
      <c r="AE57" s="259" t="s">
        <v>70</v>
      </c>
      <c r="AF57" s="259" t="s">
        <v>70</v>
      </c>
      <c r="AG57" s="259" t="s">
        <v>70</v>
      </c>
      <c r="AH57" s="259" t="s">
        <v>70</v>
      </c>
      <c r="AI57" s="259" t="s">
        <v>70</v>
      </c>
      <c r="AJ57" s="25"/>
      <c r="AL57" t="str">
        <f t="shared" ca="1" si="0"/>
        <v xml:space="preserve">    (U1)ALERT_REQ_S_LCA_TT_R_</v>
      </c>
      <c r="AR57" s="70" t="str">
        <f t="shared" si="3"/>
        <v/>
      </c>
      <c r="AS57" s="70" t="str">
        <f t="shared" si="4"/>
        <v/>
      </c>
      <c r="AT57" s="70" t="str">
        <f t="shared" si="1"/>
        <v/>
      </c>
    </row>
    <row r="58" spans="2:46">
      <c r="B58" s="139"/>
      <c r="C58" s="55">
        <f t="shared" si="2"/>
        <v>52</v>
      </c>
      <c r="D58" s="259" t="s">
        <v>70</v>
      </c>
      <c r="E58" s="259" t="s">
        <v>70</v>
      </c>
      <c r="F58" s="259" t="s">
        <v>70</v>
      </c>
      <c r="G58" s="259" t="s">
        <v>70</v>
      </c>
      <c r="H58" s="259" t="s">
        <v>70</v>
      </c>
      <c r="I58" s="259" t="s">
        <v>70</v>
      </c>
      <c r="J58" s="259" t="s">
        <v>70</v>
      </c>
      <c r="K58" s="259" t="s">
        <v>70</v>
      </c>
      <c r="L58" s="259" t="s">
        <v>70</v>
      </c>
      <c r="M58" s="259" t="s">
        <v>70</v>
      </c>
      <c r="N58" s="259" t="s">
        <v>70</v>
      </c>
      <c r="O58" s="259" t="s">
        <v>70</v>
      </c>
      <c r="P58" s="259" t="s">
        <v>70</v>
      </c>
      <c r="Q58" s="259" t="s">
        <v>70</v>
      </c>
      <c r="R58" s="259" t="s">
        <v>70</v>
      </c>
      <c r="S58" s="259" t="s">
        <v>70</v>
      </c>
      <c r="T58" s="259" t="s">
        <v>70</v>
      </c>
      <c r="U58" s="259" t="s">
        <v>70</v>
      </c>
      <c r="V58" s="259" t="s">
        <v>70</v>
      </c>
      <c r="W58" s="259" t="s">
        <v>70</v>
      </c>
      <c r="X58" s="259" t="s">
        <v>70</v>
      </c>
      <c r="Y58" s="259" t="s">
        <v>70</v>
      </c>
      <c r="Z58" s="259" t="s">
        <v>70</v>
      </c>
      <c r="AA58" s="259" t="s">
        <v>70</v>
      </c>
      <c r="AB58" s="259" t="s">
        <v>70</v>
      </c>
      <c r="AC58" s="259" t="s">
        <v>70</v>
      </c>
      <c r="AD58" s="259" t="s">
        <v>70</v>
      </c>
      <c r="AE58" s="259" t="s">
        <v>70</v>
      </c>
      <c r="AF58" s="259" t="s">
        <v>70</v>
      </c>
      <c r="AG58" s="259" t="s">
        <v>70</v>
      </c>
      <c r="AH58" s="259" t="s">
        <v>70</v>
      </c>
      <c r="AI58" s="259" t="s">
        <v>70</v>
      </c>
      <c r="AJ58" s="25"/>
      <c r="AL58" t="str">
        <f t="shared" ca="1" si="0"/>
        <v xml:space="preserve">    (U1)ALERT_REQ_S_LCA_TT_R_</v>
      </c>
      <c r="AR58" s="70" t="str">
        <f t="shared" si="3"/>
        <v/>
      </c>
      <c r="AS58" s="70" t="str">
        <f t="shared" si="4"/>
        <v/>
      </c>
      <c r="AT58" s="70" t="str">
        <f t="shared" si="1"/>
        <v/>
      </c>
    </row>
    <row r="59" spans="2:46">
      <c r="B59" s="139"/>
      <c r="C59" s="55">
        <f t="shared" si="2"/>
        <v>53</v>
      </c>
      <c r="D59" s="259" t="s">
        <v>70</v>
      </c>
      <c r="E59" s="259" t="s">
        <v>70</v>
      </c>
      <c r="F59" s="259" t="s">
        <v>70</v>
      </c>
      <c r="G59" s="259" t="s">
        <v>70</v>
      </c>
      <c r="H59" s="259" t="s">
        <v>70</v>
      </c>
      <c r="I59" s="259" t="s">
        <v>70</v>
      </c>
      <c r="J59" s="259" t="s">
        <v>70</v>
      </c>
      <c r="K59" s="259" t="s">
        <v>70</v>
      </c>
      <c r="L59" s="259" t="s">
        <v>70</v>
      </c>
      <c r="M59" s="259" t="s">
        <v>70</v>
      </c>
      <c r="N59" s="259" t="s">
        <v>70</v>
      </c>
      <c r="O59" s="259" t="s">
        <v>70</v>
      </c>
      <c r="P59" s="259" t="s">
        <v>70</v>
      </c>
      <c r="Q59" s="259" t="s">
        <v>70</v>
      </c>
      <c r="R59" s="259" t="s">
        <v>70</v>
      </c>
      <c r="S59" s="259" t="s">
        <v>70</v>
      </c>
      <c r="T59" s="259" t="s">
        <v>70</v>
      </c>
      <c r="U59" s="259" t="s">
        <v>70</v>
      </c>
      <c r="V59" s="259" t="s">
        <v>70</v>
      </c>
      <c r="W59" s="259" t="s">
        <v>70</v>
      </c>
      <c r="X59" s="259" t="s">
        <v>70</v>
      </c>
      <c r="Y59" s="259" t="s">
        <v>70</v>
      </c>
      <c r="Z59" s="259" t="s">
        <v>70</v>
      </c>
      <c r="AA59" s="259" t="s">
        <v>70</v>
      </c>
      <c r="AB59" s="259" t="s">
        <v>70</v>
      </c>
      <c r="AC59" s="259" t="s">
        <v>70</v>
      </c>
      <c r="AD59" s="259" t="s">
        <v>70</v>
      </c>
      <c r="AE59" s="259" t="s">
        <v>70</v>
      </c>
      <c r="AF59" s="259" t="s">
        <v>70</v>
      </c>
      <c r="AG59" s="259" t="s">
        <v>70</v>
      </c>
      <c r="AH59" s="259" t="s">
        <v>70</v>
      </c>
      <c r="AI59" s="259" t="s">
        <v>70</v>
      </c>
      <c r="AJ59" s="25"/>
      <c r="AL59" t="str">
        <f t="shared" ca="1" si="0"/>
        <v xml:space="preserve">    (U1)ALERT_REQ_S_LCA_TT_R_</v>
      </c>
      <c r="AR59" s="70" t="str">
        <f t="shared" si="3"/>
        <v/>
      </c>
      <c r="AS59" s="70" t="str">
        <f t="shared" si="4"/>
        <v/>
      </c>
      <c r="AT59" s="70" t="str">
        <f t="shared" si="1"/>
        <v/>
      </c>
    </row>
    <row r="60" spans="2:46">
      <c r="B60" s="139"/>
      <c r="C60" s="55">
        <f t="shared" si="2"/>
        <v>54</v>
      </c>
      <c r="D60" s="259" t="s">
        <v>70</v>
      </c>
      <c r="E60" s="259" t="s">
        <v>70</v>
      </c>
      <c r="F60" s="259" t="s">
        <v>70</v>
      </c>
      <c r="G60" s="259" t="s">
        <v>70</v>
      </c>
      <c r="H60" s="259" t="s">
        <v>70</v>
      </c>
      <c r="I60" s="259" t="s">
        <v>70</v>
      </c>
      <c r="J60" s="259" t="s">
        <v>70</v>
      </c>
      <c r="K60" s="259" t="s">
        <v>70</v>
      </c>
      <c r="L60" s="259" t="s">
        <v>70</v>
      </c>
      <c r="M60" s="259" t="s">
        <v>70</v>
      </c>
      <c r="N60" s="259" t="s">
        <v>70</v>
      </c>
      <c r="O60" s="259" t="s">
        <v>70</v>
      </c>
      <c r="P60" s="259" t="s">
        <v>70</v>
      </c>
      <c r="Q60" s="259" t="s">
        <v>70</v>
      </c>
      <c r="R60" s="259" t="s">
        <v>70</v>
      </c>
      <c r="S60" s="259" t="s">
        <v>70</v>
      </c>
      <c r="T60" s="259" t="s">
        <v>70</v>
      </c>
      <c r="U60" s="259" t="s">
        <v>70</v>
      </c>
      <c r="V60" s="259" t="s">
        <v>70</v>
      </c>
      <c r="W60" s="259" t="s">
        <v>70</v>
      </c>
      <c r="X60" s="259" t="s">
        <v>70</v>
      </c>
      <c r="Y60" s="259" t="s">
        <v>70</v>
      </c>
      <c r="Z60" s="259" t="s">
        <v>70</v>
      </c>
      <c r="AA60" s="259" t="s">
        <v>70</v>
      </c>
      <c r="AB60" s="259" t="s">
        <v>70</v>
      </c>
      <c r="AC60" s="259" t="s">
        <v>70</v>
      </c>
      <c r="AD60" s="259" t="s">
        <v>70</v>
      </c>
      <c r="AE60" s="259" t="s">
        <v>70</v>
      </c>
      <c r="AF60" s="259" t="s">
        <v>70</v>
      </c>
      <c r="AG60" s="259" t="s">
        <v>70</v>
      </c>
      <c r="AH60" s="259" t="s">
        <v>70</v>
      </c>
      <c r="AI60" s="259" t="s">
        <v>70</v>
      </c>
      <c r="AJ60" s="25"/>
      <c r="AL60" t="str">
        <f t="shared" ca="1" si="0"/>
        <v xml:space="preserve">    (U1)ALERT_REQ_S_LCA_TT_R_</v>
      </c>
      <c r="AR60" s="70" t="str">
        <f t="shared" si="3"/>
        <v/>
      </c>
      <c r="AS60" s="70" t="str">
        <f t="shared" si="4"/>
        <v/>
      </c>
      <c r="AT60" s="70" t="str">
        <f t="shared" si="1"/>
        <v/>
      </c>
    </row>
    <row r="61" spans="2:46">
      <c r="B61" s="139"/>
      <c r="C61" s="55">
        <f t="shared" si="2"/>
        <v>55</v>
      </c>
      <c r="D61" s="259" t="s">
        <v>70</v>
      </c>
      <c r="E61" s="259" t="s">
        <v>70</v>
      </c>
      <c r="F61" s="259" t="s">
        <v>70</v>
      </c>
      <c r="G61" s="259" t="s">
        <v>70</v>
      </c>
      <c r="H61" s="259" t="s">
        <v>70</v>
      </c>
      <c r="I61" s="259" t="s">
        <v>70</v>
      </c>
      <c r="J61" s="259" t="s">
        <v>70</v>
      </c>
      <c r="K61" s="259" t="s">
        <v>70</v>
      </c>
      <c r="L61" s="259" t="s">
        <v>70</v>
      </c>
      <c r="M61" s="259" t="s">
        <v>70</v>
      </c>
      <c r="N61" s="259" t="s">
        <v>70</v>
      </c>
      <c r="O61" s="259" t="s">
        <v>70</v>
      </c>
      <c r="P61" s="259" t="s">
        <v>70</v>
      </c>
      <c r="Q61" s="259" t="s">
        <v>70</v>
      </c>
      <c r="R61" s="259" t="s">
        <v>70</v>
      </c>
      <c r="S61" s="259" t="s">
        <v>70</v>
      </c>
      <c r="T61" s="259" t="s">
        <v>70</v>
      </c>
      <c r="U61" s="259" t="s">
        <v>70</v>
      </c>
      <c r="V61" s="259" t="s">
        <v>70</v>
      </c>
      <c r="W61" s="259" t="s">
        <v>70</v>
      </c>
      <c r="X61" s="259" t="s">
        <v>70</v>
      </c>
      <c r="Y61" s="259" t="s">
        <v>70</v>
      </c>
      <c r="Z61" s="259" t="s">
        <v>70</v>
      </c>
      <c r="AA61" s="259" t="s">
        <v>70</v>
      </c>
      <c r="AB61" s="259" t="s">
        <v>70</v>
      </c>
      <c r="AC61" s="259" t="s">
        <v>70</v>
      </c>
      <c r="AD61" s="259" t="s">
        <v>70</v>
      </c>
      <c r="AE61" s="259" t="s">
        <v>70</v>
      </c>
      <c r="AF61" s="259" t="s">
        <v>70</v>
      </c>
      <c r="AG61" s="259" t="s">
        <v>70</v>
      </c>
      <c r="AH61" s="259" t="s">
        <v>70</v>
      </c>
      <c r="AI61" s="259" t="s">
        <v>70</v>
      </c>
      <c r="AJ61" s="25"/>
      <c r="AL61" t="str">
        <f t="shared" ca="1" si="0"/>
        <v xml:space="preserve">    (U1)ALERT_REQ_S_LCA_TT_R_</v>
      </c>
      <c r="AR61" s="70" t="str">
        <f t="shared" si="3"/>
        <v/>
      </c>
      <c r="AS61" s="70" t="str">
        <f t="shared" si="4"/>
        <v/>
      </c>
      <c r="AT61" s="70" t="str">
        <f t="shared" si="1"/>
        <v/>
      </c>
    </row>
    <row r="62" spans="2:46">
      <c r="B62" s="139"/>
      <c r="C62" s="55">
        <f t="shared" si="2"/>
        <v>56</v>
      </c>
      <c r="D62" s="259" t="s">
        <v>70</v>
      </c>
      <c r="E62" s="259" t="s">
        <v>70</v>
      </c>
      <c r="F62" s="259" t="s">
        <v>70</v>
      </c>
      <c r="G62" s="259" t="s">
        <v>70</v>
      </c>
      <c r="H62" s="259" t="s">
        <v>70</v>
      </c>
      <c r="I62" s="259" t="s">
        <v>70</v>
      </c>
      <c r="J62" s="259" t="s">
        <v>70</v>
      </c>
      <c r="K62" s="259" t="s">
        <v>70</v>
      </c>
      <c r="L62" s="259" t="s">
        <v>70</v>
      </c>
      <c r="M62" s="259" t="s">
        <v>70</v>
      </c>
      <c r="N62" s="259" t="s">
        <v>70</v>
      </c>
      <c r="O62" s="259" t="s">
        <v>70</v>
      </c>
      <c r="P62" s="259" t="s">
        <v>70</v>
      </c>
      <c r="Q62" s="259" t="s">
        <v>70</v>
      </c>
      <c r="R62" s="259" t="s">
        <v>70</v>
      </c>
      <c r="S62" s="259" t="s">
        <v>70</v>
      </c>
      <c r="T62" s="259" t="s">
        <v>70</v>
      </c>
      <c r="U62" s="259" t="s">
        <v>70</v>
      </c>
      <c r="V62" s="259" t="s">
        <v>70</v>
      </c>
      <c r="W62" s="259" t="s">
        <v>70</v>
      </c>
      <c r="X62" s="259" t="s">
        <v>70</v>
      </c>
      <c r="Y62" s="259" t="s">
        <v>70</v>
      </c>
      <c r="Z62" s="259" t="s">
        <v>70</v>
      </c>
      <c r="AA62" s="259" t="s">
        <v>70</v>
      </c>
      <c r="AB62" s="259" t="s">
        <v>70</v>
      </c>
      <c r="AC62" s="259" t="s">
        <v>70</v>
      </c>
      <c r="AD62" s="259" t="s">
        <v>70</v>
      </c>
      <c r="AE62" s="259" t="s">
        <v>70</v>
      </c>
      <c r="AF62" s="259" t="s">
        <v>70</v>
      </c>
      <c r="AG62" s="259" t="s">
        <v>70</v>
      </c>
      <c r="AH62" s="259" t="s">
        <v>70</v>
      </c>
      <c r="AI62" s="259" t="s">
        <v>70</v>
      </c>
      <c r="AJ62" s="25"/>
      <c r="AL62" t="str">
        <f t="shared" ca="1" si="0"/>
        <v xml:space="preserve">    (U1)ALERT_REQ_S_LCA_TT_R_</v>
      </c>
      <c r="AR62" s="70" t="str">
        <f t="shared" si="3"/>
        <v/>
      </c>
      <c r="AS62" s="70" t="str">
        <f t="shared" si="4"/>
        <v/>
      </c>
      <c r="AT62" s="70" t="str">
        <f t="shared" si="1"/>
        <v/>
      </c>
    </row>
    <row r="63" spans="2:46">
      <c r="B63" s="139"/>
      <c r="C63" s="55">
        <f t="shared" si="2"/>
        <v>57</v>
      </c>
      <c r="D63" s="259" t="s">
        <v>70</v>
      </c>
      <c r="E63" s="259" t="s">
        <v>70</v>
      </c>
      <c r="F63" s="259" t="s">
        <v>70</v>
      </c>
      <c r="G63" s="259" t="s">
        <v>70</v>
      </c>
      <c r="H63" s="259" t="s">
        <v>70</v>
      </c>
      <c r="I63" s="259" t="s">
        <v>70</v>
      </c>
      <c r="J63" s="259" t="s">
        <v>70</v>
      </c>
      <c r="K63" s="259" t="s">
        <v>70</v>
      </c>
      <c r="L63" s="259" t="s">
        <v>70</v>
      </c>
      <c r="M63" s="259" t="s">
        <v>70</v>
      </c>
      <c r="N63" s="259" t="s">
        <v>70</v>
      </c>
      <c r="O63" s="259" t="s">
        <v>70</v>
      </c>
      <c r="P63" s="259" t="s">
        <v>70</v>
      </c>
      <c r="Q63" s="259" t="s">
        <v>70</v>
      </c>
      <c r="R63" s="259" t="s">
        <v>70</v>
      </c>
      <c r="S63" s="259" t="s">
        <v>70</v>
      </c>
      <c r="T63" s="259" t="s">
        <v>70</v>
      </c>
      <c r="U63" s="259" t="s">
        <v>70</v>
      </c>
      <c r="V63" s="259" t="s">
        <v>70</v>
      </c>
      <c r="W63" s="259" t="s">
        <v>70</v>
      </c>
      <c r="X63" s="259" t="s">
        <v>70</v>
      </c>
      <c r="Y63" s="259" t="s">
        <v>70</v>
      </c>
      <c r="Z63" s="259" t="s">
        <v>70</v>
      </c>
      <c r="AA63" s="259" t="s">
        <v>70</v>
      </c>
      <c r="AB63" s="259" t="s">
        <v>70</v>
      </c>
      <c r="AC63" s="259" t="s">
        <v>70</v>
      </c>
      <c r="AD63" s="259" t="s">
        <v>70</v>
      </c>
      <c r="AE63" s="259" t="s">
        <v>70</v>
      </c>
      <c r="AF63" s="259" t="s">
        <v>70</v>
      </c>
      <c r="AG63" s="259" t="s">
        <v>70</v>
      </c>
      <c r="AH63" s="259" t="s">
        <v>70</v>
      </c>
      <c r="AI63" s="259" t="s">
        <v>70</v>
      </c>
      <c r="AJ63" s="25"/>
      <c r="AL63" t="str">
        <f t="shared" ca="1" si="0"/>
        <v xml:space="preserve">    (U1)ALERT_REQ_S_LCA_TT_R_</v>
      </c>
      <c r="AR63" s="70" t="str">
        <f t="shared" si="3"/>
        <v/>
      </c>
      <c r="AS63" s="70" t="str">
        <f t="shared" si="4"/>
        <v/>
      </c>
      <c r="AT63" s="70" t="str">
        <f t="shared" si="1"/>
        <v/>
      </c>
    </row>
    <row r="64" spans="2:46">
      <c r="B64" s="139"/>
      <c r="C64" s="55">
        <f t="shared" si="2"/>
        <v>58</v>
      </c>
      <c r="D64" s="259" t="s">
        <v>70</v>
      </c>
      <c r="E64" s="259" t="s">
        <v>70</v>
      </c>
      <c r="F64" s="259" t="s">
        <v>70</v>
      </c>
      <c r="G64" s="259" t="s">
        <v>70</v>
      </c>
      <c r="H64" s="259" t="s">
        <v>70</v>
      </c>
      <c r="I64" s="259" t="s">
        <v>70</v>
      </c>
      <c r="J64" s="259" t="s">
        <v>70</v>
      </c>
      <c r="K64" s="259" t="s">
        <v>70</v>
      </c>
      <c r="L64" s="259" t="s">
        <v>70</v>
      </c>
      <c r="M64" s="259" t="s">
        <v>70</v>
      </c>
      <c r="N64" s="259" t="s">
        <v>70</v>
      </c>
      <c r="O64" s="259" t="s">
        <v>70</v>
      </c>
      <c r="P64" s="259" t="s">
        <v>70</v>
      </c>
      <c r="Q64" s="259" t="s">
        <v>70</v>
      </c>
      <c r="R64" s="259" t="s">
        <v>70</v>
      </c>
      <c r="S64" s="259" t="s">
        <v>70</v>
      </c>
      <c r="T64" s="259" t="s">
        <v>70</v>
      </c>
      <c r="U64" s="259" t="s">
        <v>70</v>
      </c>
      <c r="V64" s="259" t="s">
        <v>70</v>
      </c>
      <c r="W64" s="259" t="s">
        <v>70</v>
      </c>
      <c r="X64" s="259" t="s">
        <v>70</v>
      </c>
      <c r="Y64" s="259" t="s">
        <v>70</v>
      </c>
      <c r="Z64" s="259" t="s">
        <v>70</v>
      </c>
      <c r="AA64" s="259" t="s">
        <v>70</v>
      </c>
      <c r="AB64" s="259" t="s">
        <v>70</v>
      </c>
      <c r="AC64" s="259" t="s">
        <v>70</v>
      </c>
      <c r="AD64" s="259" t="s">
        <v>70</v>
      </c>
      <c r="AE64" s="259" t="s">
        <v>70</v>
      </c>
      <c r="AF64" s="259" t="s">
        <v>70</v>
      </c>
      <c r="AG64" s="259" t="s">
        <v>70</v>
      </c>
      <c r="AH64" s="259" t="s">
        <v>70</v>
      </c>
      <c r="AI64" s="259" t="s">
        <v>70</v>
      </c>
      <c r="AJ64" s="25"/>
      <c r="AL64" t="str">
        <f t="shared" ca="1" si="0"/>
        <v xml:space="preserve">    (U1)ALERT_REQ_S_LCA_TT_R_</v>
      </c>
      <c r="AR64" s="70" t="str">
        <f t="shared" si="3"/>
        <v/>
      </c>
      <c r="AS64" s="70" t="str">
        <f t="shared" si="4"/>
        <v/>
      </c>
      <c r="AT64" s="70" t="str">
        <f t="shared" si="1"/>
        <v/>
      </c>
    </row>
    <row r="65" spans="1:46">
      <c r="B65" s="139"/>
      <c r="C65" s="55">
        <f t="shared" si="2"/>
        <v>59</v>
      </c>
      <c r="D65" s="259" t="s">
        <v>70</v>
      </c>
      <c r="E65" s="259" t="s">
        <v>70</v>
      </c>
      <c r="F65" s="259" t="s">
        <v>70</v>
      </c>
      <c r="G65" s="259" t="s">
        <v>70</v>
      </c>
      <c r="H65" s="259" t="s">
        <v>70</v>
      </c>
      <c r="I65" s="259" t="s">
        <v>70</v>
      </c>
      <c r="J65" s="259" t="s">
        <v>70</v>
      </c>
      <c r="K65" s="259" t="s">
        <v>70</v>
      </c>
      <c r="L65" s="259" t="s">
        <v>70</v>
      </c>
      <c r="M65" s="259" t="s">
        <v>70</v>
      </c>
      <c r="N65" s="259" t="s">
        <v>70</v>
      </c>
      <c r="O65" s="259" t="s">
        <v>70</v>
      </c>
      <c r="P65" s="259" t="s">
        <v>70</v>
      </c>
      <c r="Q65" s="259" t="s">
        <v>70</v>
      </c>
      <c r="R65" s="259" t="s">
        <v>70</v>
      </c>
      <c r="S65" s="259" t="s">
        <v>70</v>
      </c>
      <c r="T65" s="259" t="s">
        <v>70</v>
      </c>
      <c r="U65" s="259" t="s">
        <v>70</v>
      </c>
      <c r="V65" s="259" t="s">
        <v>70</v>
      </c>
      <c r="W65" s="259" t="s">
        <v>70</v>
      </c>
      <c r="X65" s="259" t="s">
        <v>70</v>
      </c>
      <c r="Y65" s="259" t="s">
        <v>70</v>
      </c>
      <c r="Z65" s="259" t="s">
        <v>70</v>
      </c>
      <c r="AA65" s="259" t="s">
        <v>70</v>
      </c>
      <c r="AB65" s="259" t="s">
        <v>70</v>
      </c>
      <c r="AC65" s="259" t="s">
        <v>70</v>
      </c>
      <c r="AD65" s="259" t="s">
        <v>70</v>
      </c>
      <c r="AE65" s="259" t="s">
        <v>70</v>
      </c>
      <c r="AF65" s="259" t="s">
        <v>70</v>
      </c>
      <c r="AG65" s="259" t="s">
        <v>70</v>
      </c>
      <c r="AH65" s="259" t="s">
        <v>70</v>
      </c>
      <c r="AI65" s="259" t="s">
        <v>70</v>
      </c>
      <c r="AJ65" s="25"/>
      <c r="AL65" t="str">
        <f t="shared" ca="1" si="0"/>
        <v xml:space="preserve">    (U1)ALERT_REQ_S_LCA_TT_R_</v>
      </c>
      <c r="AR65" s="70" t="str">
        <f t="shared" si="3"/>
        <v/>
      </c>
      <c r="AS65" s="70" t="str">
        <f t="shared" si="4"/>
        <v/>
      </c>
      <c r="AT65" s="70" t="str">
        <f t="shared" si="1"/>
        <v/>
      </c>
    </row>
    <row r="66" spans="1:46">
      <c r="B66" s="139"/>
      <c r="C66" s="55">
        <f t="shared" si="2"/>
        <v>60</v>
      </c>
      <c r="D66" s="259" t="s">
        <v>70</v>
      </c>
      <c r="E66" s="259" t="s">
        <v>70</v>
      </c>
      <c r="F66" s="259" t="s">
        <v>70</v>
      </c>
      <c r="G66" s="259" t="s">
        <v>70</v>
      </c>
      <c r="H66" s="259" t="s">
        <v>70</v>
      </c>
      <c r="I66" s="259" t="s">
        <v>70</v>
      </c>
      <c r="J66" s="259" t="s">
        <v>70</v>
      </c>
      <c r="K66" s="259" t="s">
        <v>70</v>
      </c>
      <c r="L66" s="259" t="s">
        <v>70</v>
      </c>
      <c r="M66" s="259" t="s">
        <v>70</v>
      </c>
      <c r="N66" s="259" t="s">
        <v>70</v>
      </c>
      <c r="O66" s="259" t="s">
        <v>70</v>
      </c>
      <c r="P66" s="259" t="s">
        <v>70</v>
      </c>
      <c r="Q66" s="259" t="s">
        <v>70</v>
      </c>
      <c r="R66" s="259" t="s">
        <v>70</v>
      </c>
      <c r="S66" s="259" t="s">
        <v>70</v>
      </c>
      <c r="T66" s="259" t="s">
        <v>70</v>
      </c>
      <c r="U66" s="259" t="s">
        <v>70</v>
      </c>
      <c r="V66" s="259" t="s">
        <v>70</v>
      </c>
      <c r="W66" s="259" t="s">
        <v>70</v>
      </c>
      <c r="X66" s="259" t="s">
        <v>70</v>
      </c>
      <c r="Y66" s="259" t="s">
        <v>70</v>
      </c>
      <c r="Z66" s="259" t="s">
        <v>70</v>
      </c>
      <c r="AA66" s="259" t="s">
        <v>70</v>
      </c>
      <c r="AB66" s="259" t="s">
        <v>70</v>
      </c>
      <c r="AC66" s="259" t="s">
        <v>70</v>
      </c>
      <c r="AD66" s="259" t="s">
        <v>70</v>
      </c>
      <c r="AE66" s="259" t="s">
        <v>70</v>
      </c>
      <c r="AF66" s="259" t="s">
        <v>70</v>
      </c>
      <c r="AG66" s="259" t="s">
        <v>70</v>
      </c>
      <c r="AH66" s="259" t="s">
        <v>70</v>
      </c>
      <c r="AI66" s="259" t="s">
        <v>70</v>
      </c>
      <c r="AJ66" s="25"/>
      <c r="AL66" t="str">
        <f t="shared" ca="1" si="0"/>
        <v xml:space="preserve">    (U1)ALERT_REQ_S_LCA_TT_R_</v>
      </c>
      <c r="AR66" s="70" t="str">
        <f t="shared" si="3"/>
        <v/>
      </c>
      <c r="AS66" s="70" t="str">
        <f t="shared" si="4"/>
        <v/>
      </c>
      <c r="AT66" s="70" t="str">
        <f t="shared" si="1"/>
        <v/>
      </c>
    </row>
    <row r="67" spans="1:46">
      <c r="B67" s="139"/>
      <c r="C67" s="55">
        <f t="shared" si="2"/>
        <v>61</v>
      </c>
      <c r="D67" s="259" t="s">
        <v>70</v>
      </c>
      <c r="E67" s="259" t="s">
        <v>70</v>
      </c>
      <c r="F67" s="259" t="s">
        <v>70</v>
      </c>
      <c r="G67" s="259" t="s">
        <v>70</v>
      </c>
      <c r="H67" s="259" t="s">
        <v>70</v>
      </c>
      <c r="I67" s="259" t="s">
        <v>70</v>
      </c>
      <c r="J67" s="259" t="s">
        <v>70</v>
      </c>
      <c r="K67" s="259" t="s">
        <v>70</v>
      </c>
      <c r="L67" s="259" t="s">
        <v>70</v>
      </c>
      <c r="M67" s="259" t="s">
        <v>70</v>
      </c>
      <c r="N67" s="259" t="s">
        <v>70</v>
      </c>
      <c r="O67" s="259" t="s">
        <v>70</v>
      </c>
      <c r="P67" s="259" t="s">
        <v>70</v>
      </c>
      <c r="Q67" s="259" t="s">
        <v>70</v>
      </c>
      <c r="R67" s="259" t="s">
        <v>70</v>
      </c>
      <c r="S67" s="259" t="s">
        <v>70</v>
      </c>
      <c r="T67" s="259" t="s">
        <v>70</v>
      </c>
      <c r="U67" s="259" t="s">
        <v>70</v>
      </c>
      <c r="V67" s="259" t="s">
        <v>70</v>
      </c>
      <c r="W67" s="259" t="s">
        <v>70</v>
      </c>
      <c r="X67" s="259" t="s">
        <v>70</v>
      </c>
      <c r="Y67" s="259" t="s">
        <v>70</v>
      </c>
      <c r="Z67" s="259" t="s">
        <v>70</v>
      </c>
      <c r="AA67" s="259" t="s">
        <v>70</v>
      </c>
      <c r="AB67" s="259" t="s">
        <v>70</v>
      </c>
      <c r="AC67" s="259" t="s">
        <v>70</v>
      </c>
      <c r="AD67" s="259" t="s">
        <v>70</v>
      </c>
      <c r="AE67" s="259" t="s">
        <v>70</v>
      </c>
      <c r="AF67" s="259" t="s">
        <v>70</v>
      </c>
      <c r="AG67" s="259" t="s">
        <v>70</v>
      </c>
      <c r="AH67" s="259" t="s">
        <v>70</v>
      </c>
      <c r="AI67" s="259" t="s">
        <v>70</v>
      </c>
      <c r="AJ67" s="25"/>
      <c r="AL67" t="str">
        <f t="shared" ca="1" si="0"/>
        <v xml:space="preserve">    (U1)ALERT_REQ_S_LCA_TT_R_</v>
      </c>
      <c r="AR67" s="70" t="str">
        <f t="shared" si="3"/>
        <v/>
      </c>
      <c r="AS67" s="70" t="str">
        <f t="shared" si="4"/>
        <v/>
      </c>
      <c r="AT67" s="70" t="str">
        <f t="shared" si="1"/>
        <v/>
      </c>
    </row>
    <row r="68" spans="1:46">
      <c r="B68" s="139"/>
      <c r="C68" s="55">
        <f t="shared" si="2"/>
        <v>62</v>
      </c>
      <c r="D68" s="259" t="s">
        <v>70</v>
      </c>
      <c r="E68" s="259" t="s">
        <v>70</v>
      </c>
      <c r="F68" s="259" t="s">
        <v>70</v>
      </c>
      <c r="G68" s="259" t="s">
        <v>70</v>
      </c>
      <c r="H68" s="259" t="s">
        <v>70</v>
      </c>
      <c r="I68" s="259" t="s">
        <v>70</v>
      </c>
      <c r="J68" s="259" t="s">
        <v>70</v>
      </c>
      <c r="K68" s="259" t="s">
        <v>70</v>
      </c>
      <c r="L68" s="259" t="s">
        <v>70</v>
      </c>
      <c r="M68" s="259" t="s">
        <v>70</v>
      </c>
      <c r="N68" s="259" t="s">
        <v>70</v>
      </c>
      <c r="O68" s="259" t="s">
        <v>70</v>
      </c>
      <c r="P68" s="259" t="s">
        <v>70</v>
      </c>
      <c r="Q68" s="259" t="s">
        <v>70</v>
      </c>
      <c r="R68" s="259" t="s">
        <v>70</v>
      </c>
      <c r="S68" s="259" t="s">
        <v>70</v>
      </c>
      <c r="T68" s="259" t="s">
        <v>70</v>
      </c>
      <c r="U68" s="259" t="s">
        <v>70</v>
      </c>
      <c r="V68" s="259" t="s">
        <v>70</v>
      </c>
      <c r="W68" s="259" t="s">
        <v>70</v>
      </c>
      <c r="X68" s="259" t="s">
        <v>70</v>
      </c>
      <c r="Y68" s="259" t="s">
        <v>70</v>
      </c>
      <c r="Z68" s="259" t="s">
        <v>70</v>
      </c>
      <c r="AA68" s="259" t="s">
        <v>70</v>
      </c>
      <c r="AB68" s="259" t="s">
        <v>70</v>
      </c>
      <c r="AC68" s="259" t="s">
        <v>70</v>
      </c>
      <c r="AD68" s="259" t="s">
        <v>70</v>
      </c>
      <c r="AE68" s="259" t="s">
        <v>70</v>
      </c>
      <c r="AF68" s="259" t="s">
        <v>70</v>
      </c>
      <c r="AG68" s="259" t="s">
        <v>70</v>
      </c>
      <c r="AH68" s="259" t="s">
        <v>70</v>
      </c>
      <c r="AI68" s="259" t="s">
        <v>70</v>
      </c>
      <c r="AJ68" s="25"/>
      <c r="AL68" t="str">
        <f t="shared" ca="1" si="0"/>
        <v xml:space="preserve">    (U1)ALERT_REQ_S_LCA_TT_R_</v>
      </c>
      <c r="AR68" s="70" t="str">
        <f t="shared" si="3"/>
        <v/>
      </c>
      <c r="AS68" s="70" t="str">
        <f t="shared" si="4"/>
        <v/>
      </c>
      <c r="AT68" s="70" t="str">
        <f t="shared" si="1"/>
        <v/>
      </c>
    </row>
    <row r="69" spans="1:46">
      <c r="B69" s="140"/>
      <c r="C69" s="55">
        <f t="shared" si="2"/>
        <v>63</v>
      </c>
      <c r="D69" s="259" t="s">
        <v>70</v>
      </c>
      <c r="E69" s="259" t="s">
        <v>70</v>
      </c>
      <c r="F69" s="259" t="s">
        <v>70</v>
      </c>
      <c r="G69" s="259" t="s">
        <v>70</v>
      </c>
      <c r="H69" s="259" t="s">
        <v>70</v>
      </c>
      <c r="I69" s="259" t="s">
        <v>70</v>
      </c>
      <c r="J69" s="259" t="s">
        <v>70</v>
      </c>
      <c r="K69" s="259" t="s">
        <v>70</v>
      </c>
      <c r="L69" s="259" t="s">
        <v>70</v>
      </c>
      <c r="M69" s="259" t="s">
        <v>70</v>
      </c>
      <c r="N69" s="259" t="s">
        <v>70</v>
      </c>
      <c r="O69" s="259" t="s">
        <v>70</v>
      </c>
      <c r="P69" s="259" t="s">
        <v>70</v>
      </c>
      <c r="Q69" s="259" t="s">
        <v>70</v>
      </c>
      <c r="R69" s="259" t="s">
        <v>70</v>
      </c>
      <c r="S69" s="259" t="s">
        <v>70</v>
      </c>
      <c r="T69" s="259" t="s">
        <v>70</v>
      </c>
      <c r="U69" s="259" t="s">
        <v>70</v>
      </c>
      <c r="V69" s="259" t="s">
        <v>70</v>
      </c>
      <c r="W69" s="259" t="s">
        <v>70</v>
      </c>
      <c r="X69" s="259" t="s">
        <v>70</v>
      </c>
      <c r="Y69" s="259" t="s">
        <v>70</v>
      </c>
      <c r="Z69" s="259" t="s">
        <v>70</v>
      </c>
      <c r="AA69" s="259" t="s">
        <v>70</v>
      </c>
      <c r="AB69" s="259" t="s">
        <v>70</v>
      </c>
      <c r="AC69" s="259" t="s">
        <v>70</v>
      </c>
      <c r="AD69" s="259" t="s">
        <v>70</v>
      </c>
      <c r="AE69" s="259" t="s">
        <v>70</v>
      </c>
      <c r="AF69" s="259" t="s">
        <v>70</v>
      </c>
      <c r="AG69" s="259" t="s">
        <v>70</v>
      </c>
      <c r="AH69" s="259" t="s">
        <v>70</v>
      </c>
      <c r="AI69" s="259" t="s">
        <v>70</v>
      </c>
      <c r="AJ69" s="25"/>
      <c r="AL69" t="str">
        <f t="shared" ca="1" si="0"/>
        <v xml:space="preserve">    (U1)ALERT_REQ_S_LCA_TT_R_</v>
      </c>
      <c r="AR69" s="70" t="str">
        <f t="shared" si="3"/>
        <v/>
      </c>
      <c r="AS69" s="70" t="str">
        <f t="shared" si="4"/>
        <v/>
      </c>
      <c r="AT69" s="70" t="str">
        <f t="shared" si="1"/>
        <v/>
      </c>
    </row>
    <row r="70" spans="1:46" ht="14.25" thickBot="1">
      <c r="A70" s="64" t="s">
        <v>67</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1" t="str">
        <f t="shared" si="3"/>
        <v/>
      </c>
      <c r="AS70" s="71" t="str">
        <f t="shared" si="4"/>
        <v/>
      </c>
      <c r="AT70" s="71" t="str">
        <f t="shared" ref="AT70" si="5">IF(AJ70&lt;&gt;"",AL70&amp;IF(AJ71&lt;&gt;"",","," ")&amp;REPT(" ",78-LEN(AL70))&amp;"/* "&amp;IF(C70&lt;10,"0"&amp;C70,C70)&amp;" "&amp;AJ70&amp;REPT(" ",48-LEN(AJ70))&amp;"*/",IF(AJ69&lt;&gt;"","};",""))</f>
        <v/>
      </c>
    </row>
    <row r="71" spans="1:46">
      <c r="B71" s="141" t="str">
        <f ca="1">IF(B6&lt;&gt;"",B6,"")</f>
        <v>Table TT_R</v>
      </c>
      <c r="C71" s="55">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55" t="str">
        <f t="shared" ref="AJ71:AJ134" si="7">IF(AJ6&lt;&gt;"",AJ6,"")</f>
        <v>UNKNOWN</v>
      </c>
      <c r="AK71" s="68"/>
      <c r="AL71" s="68"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55">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55" t="str">
        <f t="shared" si="7"/>
        <v>ON_G</v>
      </c>
      <c r="AK72" s="68"/>
      <c r="AL72" s="68"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ON_G                                            */</v>
      </c>
    </row>
    <row r="73" spans="1:46">
      <c r="B73" s="139"/>
      <c r="C73" s="55">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55" t="str">
        <f t="shared" si="7"/>
        <v>ON_GY</v>
      </c>
      <c r="AK73" s="68"/>
      <c r="AL73" s="68" t="str">
        <f t="shared" si="10"/>
        <v>02</v>
      </c>
      <c r="AM73" s="68" t="str">
        <f t="shared" si="11"/>
        <v>00</v>
      </c>
      <c r="AN73" s="68" t="str">
        <f t="shared" si="12"/>
        <v>00</v>
      </c>
      <c r="AO73" s="68" t="str">
        <f t="shared" si="13"/>
        <v>00</v>
      </c>
      <c r="AQ73" t="str">
        <f t="shared" si="8"/>
        <v xml:space="preserve">    (U4)0x00000002U,                                                           /* 02 ON_GY                                           */</v>
      </c>
    </row>
    <row r="74" spans="1:46">
      <c r="B74" s="139"/>
      <c r="C74" s="55">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55" t="str">
        <f t="shared" si="7"/>
        <v>UNKNOWN</v>
      </c>
      <c r="AK74" s="68"/>
      <c r="AL74" s="68" t="str">
        <f t="shared" si="10"/>
        <v>03</v>
      </c>
      <c r="AM74" s="68" t="str">
        <f t="shared" si="11"/>
        <v>00</v>
      </c>
      <c r="AN74" s="68" t="str">
        <f t="shared" si="12"/>
        <v>00</v>
      </c>
      <c r="AO74" s="68" t="str">
        <f t="shared" si="13"/>
        <v>00</v>
      </c>
      <c r="AQ74" t="str">
        <f t="shared" si="8"/>
        <v xml:space="preserve">    (U4)0x00000003U,                                                           /* 03 UNKNOWN                                         */</v>
      </c>
    </row>
    <row r="75" spans="1:46">
      <c r="B75" s="139"/>
      <c r="C75" s="55">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1</v>
      </c>
      <c r="AH75" s="133">
        <f t="shared" si="6"/>
        <v>0</v>
      </c>
      <c r="AI75" s="133">
        <f t="shared" si="6"/>
        <v>0</v>
      </c>
      <c r="AJ75" s="55" t="str">
        <f t="shared" si="7"/>
        <v>UNKNOWN</v>
      </c>
      <c r="AK75" s="68"/>
      <c r="AL75" s="68" t="str">
        <f t="shared" si="10"/>
        <v>04</v>
      </c>
      <c r="AM75" s="68" t="str">
        <f t="shared" si="11"/>
        <v>00</v>
      </c>
      <c r="AN75" s="68" t="str">
        <f t="shared" si="12"/>
        <v>00</v>
      </c>
      <c r="AO75" s="68" t="str">
        <f t="shared" si="13"/>
        <v>00</v>
      </c>
      <c r="AQ75" t="str">
        <f t="shared" si="8"/>
        <v xml:space="preserve">    (U4)0x00000004U,                                                           /* 04 UNKNOWN                                         */</v>
      </c>
    </row>
    <row r="76" spans="1:46">
      <c r="B76" s="139"/>
      <c r="C76" s="55">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1</v>
      </c>
      <c r="AH76" s="133">
        <f t="shared" si="6"/>
        <v>0</v>
      </c>
      <c r="AI76" s="133">
        <f t="shared" si="6"/>
        <v>1</v>
      </c>
      <c r="AJ76" s="55" t="str">
        <f t="shared" si="7"/>
        <v>ON_G</v>
      </c>
      <c r="AK76" s="68"/>
      <c r="AL76" s="68" t="str">
        <f t="shared" si="10"/>
        <v>05</v>
      </c>
      <c r="AM76" s="68" t="str">
        <f t="shared" si="11"/>
        <v>00</v>
      </c>
      <c r="AN76" s="68" t="str">
        <f t="shared" si="12"/>
        <v>00</v>
      </c>
      <c r="AO76" s="68" t="str">
        <f t="shared" si="13"/>
        <v>00</v>
      </c>
      <c r="AQ76" t="str">
        <f t="shared" si="8"/>
        <v xml:space="preserve">    (U4)0x00000005U,                                                           /* 05 ON_G                                            */</v>
      </c>
    </row>
    <row r="77" spans="1:46">
      <c r="B77" s="139"/>
      <c r="C77" s="55">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1</v>
      </c>
      <c r="AH77" s="133">
        <f t="shared" si="6"/>
        <v>1</v>
      </c>
      <c r="AI77" s="133">
        <f t="shared" si="6"/>
        <v>0</v>
      </c>
      <c r="AJ77" s="55" t="str">
        <f t="shared" si="7"/>
        <v>UNKNOWN</v>
      </c>
      <c r="AK77" s="68"/>
      <c r="AL77" s="68" t="str">
        <f t="shared" si="10"/>
        <v>06</v>
      </c>
      <c r="AM77" s="68" t="str">
        <f t="shared" si="11"/>
        <v>00</v>
      </c>
      <c r="AN77" s="68" t="str">
        <f t="shared" si="12"/>
        <v>00</v>
      </c>
      <c r="AO77" s="68" t="str">
        <f t="shared" si="13"/>
        <v>00</v>
      </c>
      <c r="AQ77" t="str">
        <f t="shared" si="8"/>
        <v xml:space="preserve">    (U4)0x00000006U,                                                           /* 06 UNKNOWN                                         */</v>
      </c>
    </row>
    <row r="78" spans="1:46">
      <c r="B78" s="139"/>
      <c r="C78" s="55">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1</v>
      </c>
      <c r="AH78" s="133">
        <f t="shared" si="6"/>
        <v>1</v>
      </c>
      <c r="AI78" s="133">
        <f t="shared" ref="AI78" si="14">IF(AI13=1,1,0)</f>
        <v>1</v>
      </c>
      <c r="AJ78" s="55" t="str">
        <f t="shared" si="7"/>
        <v>ON_W</v>
      </c>
      <c r="AK78" s="68"/>
      <c r="AL78" s="68" t="str">
        <f t="shared" si="10"/>
        <v>07</v>
      </c>
      <c r="AM78" s="68" t="str">
        <f t="shared" si="11"/>
        <v>00</v>
      </c>
      <c r="AN78" s="68" t="str">
        <f t="shared" si="12"/>
        <v>00</v>
      </c>
      <c r="AO78" s="68" t="str">
        <f t="shared" si="13"/>
        <v>00</v>
      </c>
      <c r="AQ78" t="str">
        <f t="shared" si="8"/>
        <v xml:space="preserve">    (U4)0x00000007U,                                                           /* 07 ON_W                                            */</v>
      </c>
    </row>
    <row r="79" spans="1:46">
      <c r="B79" s="139"/>
      <c r="C79" s="55">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1</v>
      </c>
      <c r="AG79" s="133">
        <f t="shared" si="15"/>
        <v>0</v>
      </c>
      <c r="AH79" s="133">
        <f t="shared" si="15"/>
        <v>0</v>
      </c>
      <c r="AI79" s="133">
        <f t="shared" si="15"/>
        <v>0</v>
      </c>
      <c r="AJ79" s="55" t="str">
        <f t="shared" si="7"/>
        <v>UNKNOWN</v>
      </c>
      <c r="AK79" s="68"/>
      <c r="AL79" s="68" t="str">
        <f t="shared" si="10"/>
        <v>08</v>
      </c>
      <c r="AM79" s="68" t="str">
        <f t="shared" si="11"/>
        <v>00</v>
      </c>
      <c r="AN79" s="68" t="str">
        <f t="shared" si="12"/>
        <v>00</v>
      </c>
      <c r="AO79" s="68" t="str">
        <f t="shared" si="13"/>
        <v>00</v>
      </c>
      <c r="AQ79" t="str">
        <f t="shared" si="8"/>
        <v xml:space="preserve">    (U4)0x00000008U,                                                           /* 08 UNKNOWN                                         */</v>
      </c>
    </row>
    <row r="80" spans="1:46">
      <c r="B80" s="139"/>
      <c r="C80" s="55">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1</v>
      </c>
      <c r="AG80" s="133">
        <f t="shared" si="15"/>
        <v>0</v>
      </c>
      <c r="AH80" s="133">
        <f t="shared" si="15"/>
        <v>0</v>
      </c>
      <c r="AI80" s="133">
        <f t="shared" si="15"/>
        <v>1</v>
      </c>
      <c r="AJ80" s="55" t="str">
        <f t="shared" si="7"/>
        <v>UNKNOWN</v>
      </c>
      <c r="AK80" s="68"/>
      <c r="AL80" s="68" t="str">
        <f t="shared" si="10"/>
        <v>09</v>
      </c>
      <c r="AM80" s="68" t="str">
        <f t="shared" si="11"/>
        <v>00</v>
      </c>
      <c r="AN80" s="68" t="str">
        <f t="shared" si="12"/>
        <v>00</v>
      </c>
      <c r="AO80" s="68" t="str">
        <f t="shared" si="13"/>
        <v>00</v>
      </c>
      <c r="AQ80" t="str">
        <f t="shared" si="8"/>
        <v xml:space="preserve">    (U4)0x00000009U,                                                           /* 09 UNKNOWN                                         */</v>
      </c>
    </row>
    <row r="81" spans="2:43">
      <c r="B81" s="139"/>
      <c r="C81" s="55">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1</v>
      </c>
      <c r="AG81" s="133">
        <f t="shared" si="15"/>
        <v>0</v>
      </c>
      <c r="AH81" s="133">
        <f t="shared" si="15"/>
        <v>1</v>
      </c>
      <c r="AI81" s="133">
        <f t="shared" si="15"/>
        <v>0</v>
      </c>
      <c r="AJ81" s="55" t="str">
        <f t="shared" si="7"/>
        <v>UNKNOWN</v>
      </c>
      <c r="AK81" s="68"/>
      <c r="AL81" s="68" t="str">
        <f t="shared" si="10"/>
        <v>0A</v>
      </c>
      <c r="AM81" s="68" t="str">
        <f t="shared" si="11"/>
        <v>00</v>
      </c>
      <c r="AN81" s="68" t="str">
        <f t="shared" si="12"/>
        <v>00</v>
      </c>
      <c r="AO81" s="68" t="str">
        <f t="shared" si="13"/>
        <v>00</v>
      </c>
      <c r="AQ81" t="str">
        <f t="shared" si="8"/>
        <v xml:space="preserve">    (U4)0x0000000AU,                                                           /* 10 UNKNOWN                                         */</v>
      </c>
    </row>
    <row r="82" spans="2:43">
      <c r="B82" s="139"/>
      <c r="C82" s="55">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1</v>
      </c>
      <c r="AG82" s="133">
        <f t="shared" si="15"/>
        <v>0</v>
      </c>
      <c r="AH82" s="133">
        <f t="shared" si="15"/>
        <v>1</v>
      </c>
      <c r="AI82" s="133">
        <f t="shared" si="15"/>
        <v>1</v>
      </c>
      <c r="AJ82" s="55" t="str">
        <f t="shared" si="7"/>
        <v>UNKNOWN</v>
      </c>
      <c r="AK82" s="68"/>
      <c r="AL82" s="68" t="str">
        <f t="shared" si="10"/>
        <v>0B</v>
      </c>
      <c r="AM82" s="68" t="str">
        <f t="shared" si="11"/>
        <v>00</v>
      </c>
      <c r="AN82" s="68" t="str">
        <f t="shared" si="12"/>
        <v>00</v>
      </c>
      <c r="AO82" s="68" t="str">
        <f t="shared" si="13"/>
        <v>00</v>
      </c>
      <c r="AQ82" t="str">
        <f t="shared" si="8"/>
        <v xml:space="preserve">    (U4)0x0000000BU,                                                           /* 11 UNKNOWN                                         */</v>
      </c>
    </row>
    <row r="83" spans="2:43">
      <c r="B83" s="139"/>
      <c r="C83" s="55">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1</v>
      </c>
      <c r="AG83" s="133">
        <f t="shared" si="15"/>
        <v>1</v>
      </c>
      <c r="AH83" s="133">
        <f t="shared" si="15"/>
        <v>0</v>
      </c>
      <c r="AI83" s="133">
        <f t="shared" si="15"/>
        <v>0</v>
      </c>
      <c r="AJ83" s="55" t="str">
        <f t="shared" si="7"/>
        <v>UNKNOWN</v>
      </c>
      <c r="AK83" s="68"/>
      <c r="AL83" s="68" t="str">
        <f t="shared" si="10"/>
        <v>0C</v>
      </c>
      <c r="AM83" s="68" t="str">
        <f t="shared" si="11"/>
        <v>00</v>
      </c>
      <c r="AN83" s="68" t="str">
        <f t="shared" si="12"/>
        <v>00</v>
      </c>
      <c r="AO83" s="68" t="str">
        <f t="shared" si="13"/>
        <v>00</v>
      </c>
      <c r="AQ83" t="str">
        <f t="shared" si="8"/>
        <v xml:space="preserve">    (U4)0x0000000CU,                                                           /* 12 UNKNOWN                                         */</v>
      </c>
    </row>
    <row r="84" spans="2:43">
      <c r="B84" s="139"/>
      <c r="C84" s="55">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1</v>
      </c>
      <c r="AG84" s="133">
        <f t="shared" si="15"/>
        <v>1</v>
      </c>
      <c r="AH84" s="133">
        <f t="shared" si="15"/>
        <v>0</v>
      </c>
      <c r="AI84" s="133">
        <f t="shared" si="15"/>
        <v>1</v>
      </c>
      <c r="AJ84" s="55" t="str">
        <f t="shared" si="7"/>
        <v>UNKNOWN</v>
      </c>
      <c r="AK84" s="68"/>
      <c r="AL84" s="68" t="str">
        <f t="shared" si="10"/>
        <v>0D</v>
      </c>
      <c r="AM84" s="68" t="str">
        <f t="shared" si="11"/>
        <v>00</v>
      </c>
      <c r="AN84" s="68" t="str">
        <f t="shared" si="12"/>
        <v>00</v>
      </c>
      <c r="AO84" s="68" t="str">
        <f t="shared" si="13"/>
        <v>00</v>
      </c>
      <c r="AQ84" t="str">
        <f t="shared" si="8"/>
        <v xml:space="preserve">    (U4)0x0000000DU,                                                           /* 13 UNKNOWN                                         */</v>
      </c>
    </row>
    <row r="85" spans="2:43">
      <c r="B85" s="139"/>
      <c r="C85" s="55">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1</v>
      </c>
      <c r="AG85" s="133">
        <f t="shared" si="15"/>
        <v>1</v>
      </c>
      <c r="AH85" s="133">
        <f t="shared" si="15"/>
        <v>1</v>
      </c>
      <c r="AI85" s="133">
        <f t="shared" si="15"/>
        <v>0</v>
      </c>
      <c r="AJ85" s="55" t="str">
        <f t="shared" si="7"/>
        <v>UNKNOWN</v>
      </c>
      <c r="AK85" s="68"/>
      <c r="AL85" s="68" t="str">
        <f t="shared" si="10"/>
        <v>0E</v>
      </c>
      <c r="AM85" s="68" t="str">
        <f t="shared" si="11"/>
        <v>00</v>
      </c>
      <c r="AN85" s="68" t="str">
        <f t="shared" si="12"/>
        <v>00</v>
      </c>
      <c r="AO85" s="68" t="str">
        <f t="shared" si="13"/>
        <v>00</v>
      </c>
      <c r="AQ85" t="str">
        <f t="shared" si="8"/>
        <v xml:space="preserve">    (U4)0x0000000EU,                                                           /* 14 UNKNOWN                                         */</v>
      </c>
    </row>
    <row r="86" spans="2:43">
      <c r="B86" s="139"/>
      <c r="C86" s="55">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1</v>
      </c>
      <c r="AG86" s="133">
        <f t="shared" si="15"/>
        <v>1</v>
      </c>
      <c r="AH86" s="133">
        <f t="shared" si="15"/>
        <v>1</v>
      </c>
      <c r="AI86" s="133">
        <f t="shared" ref="AI86" si="16">IF(AI21=1,1,0)</f>
        <v>1</v>
      </c>
      <c r="AJ86" s="55" t="str">
        <f t="shared" si="7"/>
        <v>UNKNOWN</v>
      </c>
      <c r="AK86" s="68"/>
      <c r="AL86" s="68" t="str">
        <f t="shared" si="10"/>
        <v>0F</v>
      </c>
      <c r="AM86" s="68" t="str">
        <f t="shared" si="11"/>
        <v>00</v>
      </c>
      <c r="AN86" s="68" t="str">
        <f t="shared" si="12"/>
        <v>00</v>
      </c>
      <c r="AO86" s="68" t="str">
        <f t="shared" si="13"/>
        <v>00</v>
      </c>
      <c r="AQ86" t="str">
        <f t="shared" si="8"/>
        <v xml:space="preserve">    (U4)0x0000000FU,                                                           /* 15 UNKNOWN                                         */</v>
      </c>
    </row>
    <row r="87" spans="2:43">
      <c r="B87" s="139"/>
      <c r="C87" s="55">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1</v>
      </c>
      <c r="AF87" s="133">
        <f t="shared" si="17"/>
        <v>0</v>
      </c>
      <c r="AG87" s="133">
        <f t="shared" si="17"/>
        <v>0</v>
      </c>
      <c r="AH87" s="133">
        <f t="shared" si="17"/>
        <v>0</v>
      </c>
      <c r="AI87" s="133">
        <f t="shared" si="17"/>
        <v>0</v>
      </c>
      <c r="AJ87" s="55" t="str">
        <f t="shared" si="7"/>
        <v>UNKNOWN</v>
      </c>
      <c r="AK87" s="68"/>
      <c r="AL87" s="68" t="str">
        <f t="shared" si="10"/>
        <v>10</v>
      </c>
      <c r="AM87" s="68" t="str">
        <f t="shared" si="11"/>
        <v>00</v>
      </c>
      <c r="AN87" s="68" t="str">
        <f t="shared" si="12"/>
        <v>00</v>
      </c>
      <c r="AO87" s="68" t="str">
        <f t="shared" si="13"/>
        <v>00</v>
      </c>
      <c r="AQ87" t="str">
        <f t="shared" si="8"/>
        <v xml:space="preserve">    (U4)0x00000010U,                                                           /* 16 UNKNOWN                                         */</v>
      </c>
    </row>
    <row r="88" spans="2:43">
      <c r="B88" s="139"/>
      <c r="C88" s="55">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1</v>
      </c>
      <c r="AF88" s="133">
        <f t="shared" si="17"/>
        <v>0</v>
      </c>
      <c r="AG88" s="133">
        <f t="shared" si="17"/>
        <v>0</v>
      </c>
      <c r="AH88" s="133">
        <f t="shared" si="17"/>
        <v>0</v>
      </c>
      <c r="AI88" s="133">
        <f t="shared" si="17"/>
        <v>1</v>
      </c>
      <c r="AJ88" s="55" t="str">
        <f t="shared" si="7"/>
        <v>UNKNOWN</v>
      </c>
      <c r="AK88" s="68"/>
      <c r="AL88" s="68" t="str">
        <f t="shared" si="10"/>
        <v>11</v>
      </c>
      <c r="AM88" s="68" t="str">
        <f t="shared" si="11"/>
        <v>00</v>
      </c>
      <c r="AN88" s="68" t="str">
        <f t="shared" si="12"/>
        <v>00</v>
      </c>
      <c r="AO88" s="68" t="str">
        <f t="shared" si="13"/>
        <v>00</v>
      </c>
      <c r="AQ88" t="str">
        <f t="shared" si="8"/>
        <v xml:space="preserve">    (U4)0x00000011U,                                                           /* 17 UNKNOWN                                         */</v>
      </c>
    </row>
    <row r="89" spans="2:43">
      <c r="B89" s="139"/>
      <c r="C89" s="55">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1</v>
      </c>
      <c r="AF89" s="133">
        <f t="shared" si="17"/>
        <v>0</v>
      </c>
      <c r="AG89" s="133">
        <f t="shared" si="17"/>
        <v>0</v>
      </c>
      <c r="AH89" s="133">
        <f t="shared" si="17"/>
        <v>1</v>
      </c>
      <c r="AI89" s="133">
        <f t="shared" si="17"/>
        <v>0</v>
      </c>
      <c r="AJ89" s="55" t="str">
        <f t="shared" si="7"/>
        <v>UNKNOWN</v>
      </c>
      <c r="AK89" s="68"/>
      <c r="AL89" s="68" t="str">
        <f t="shared" si="10"/>
        <v>12</v>
      </c>
      <c r="AM89" s="68" t="str">
        <f t="shared" si="11"/>
        <v>00</v>
      </c>
      <c r="AN89" s="68" t="str">
        <f t="shared" si="12"/>
        <v>00</v>
      </c>
      <c r="AO89" s="68" t="str">
        <f t="shared" si="13"/>
        <v>00</v>
      </c>
      <c r="AQ89" t="str">
        <f t="shared" si="8"/>
        <v xml:space="preserve">    (U4)0x00000012U,                                                           /* 18 UNKNOWN                                         */</v>
      </c>
    </row>
    <row r="90" spans="2:43">
      <c r="B90" s="139"/>
      <c r="C90" s="55">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1</v>
      </c>
      <c r="AF90" s="133">
        <f t="shared" si="17"/>
        <v>0</v>
      </c>
      <c r="AG90" s="133">
        <f t="shared" si="17"/>
        <v>0</v>
      </c>
      <c r="AH90" s="133">
        <f t="shared" si="17"/>
        <v>1</v>
      </c>
      <c r="AI90" s="133">
        <f t="shared" si="17"/>
        <v>1</v>
      </c>
      <c r="AJ90" s="55" t="str">
        <f t="shared" si="7"/>
        <v>UNKNOWN</v>
      </c>
      <c r="AK90" s="68"/>
      <c r="AL90" s="68" t="str">
        <f t="shared" si="10"/>
        <v>13</v>
      </c>
      <c r="AM90" s="68" t="str">
        <f t="shared" si="11"/>
        <v>00</v>
      </c>
      <c r="AN90" s="68" t="str">
        <f t="shared" si="12"/>
        <v>00</v>
      </c>
      <c r="AO90" s="68" t="str">
        <f t="shared" si="13"/>
        <v>00</v>
      </c>
      <c r="AQ90" t="str">
        <f t="shared" si="8"/>
        <v xml:space="preserve">    (U4)0x00000013U,                                                           /* 19 UNKNOWN                                         */</v>
      </c>
    </row>
    <row r="91" spans="2:43">
      <c r="B91" s="139"/>
      <c r="C91" s="55">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1</v>
      </c>
      <c r="AF91" s="133">
        <f t="shared" si="17"/>
        <v>0</v>
      </c>
      <c r="AG91" s="133">
        <f t="shared" si="17"/>
        <v>1</v>
      </c>
      <c r="AH91" s="133">
        <f t="shared" si="17"/>
        <v>0</v>
      </c>
      <c r="AI91" s="133">
        <f t="shared" si="17"/>
        <v>0</v>
      </c>
      <c r="AJ91" s="55" t="str">
        <f t="shared" si="7"/>
        <v>UNKNOWN</v>
      </c>
      <c r="AK91" s="68"/>
      <c r="AL91" s="68" t="str">
        <f t="shared" si="10"/>
        <v>14</v>
      </c>
      <c r="AM91" s="68" t="str">
        <f t="shared" si="11"/>
        <v>00</v>
      </c>
      <c r="AN91" s="68" t="str">
        <f t="shared" si="12"/>
        <v>00</v>
      </c>
      <c r="AO91" s="68" t="str">
        <f t="shared" si="13"/>
        <v>00</v>
      </c>
      <c r="AQ91" t="str">
        <f t="shared" si="8"/>
        <v xml:space="preserve">    (U4)0x00000014U,                                                           /* 20 UNKNOWN                                         */</v>
      </c>
    </row>
    <row r="92" spans="2:43">
      <c r="B92" s="139"/>
      <c r="C92" s="55">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1</v>
      </c>
      <c r="AF92" s="133">
        <f t="shared" si="17"/>
        <v>0</v>
      </c>
      <c r="AG92" s="133">
        <f t="shared" si="17"/>
        <v>1</v>
      </c>
      <c r="AH92" s="133">
        <f t="shared" si="17"/>
        <v>0</v>
      </c>
      <c r="AI92" s="133">
        <f t="shared" si="17"/>
        <v>1</v>
      </c>
      <c r="AJ92" s="55" t="str">
        <f t="shared" si="7"/>
        <v>UNKNOWN</v>
      </c>
      <c r="AK92" s="68"/>
      <c r="AL92" s="68" t="str">
        <f t="shared" si="10"/>
        <v>15</v>
      </c>
      <c r="AM92" s="68" t="str">
        <f t="shared" si="11"/>
        <v>00</v>
      </c>
      <c r="AN92" s="68" t="str">
        <f t="shared" si="12"/>
        <v>00</v>
      </c>
      <c r="AO92" s="68" t="str">
        <f t="shared" si="13"/>
        <v>00</v>
      </c>
      <c r="AQ92" t="str">
        <f t="shared" si="8"/>
        <v xml:space="preserve">    (U4)0x00000015U,                                                           /* 21 UNKNOWN                                         */</v>
      </c>
    </row>
    <row r="93" spans="2:43">
      <c r="B93" s="139"/>
      <c r="C93" s="55">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1</v>
      </c>
      <c r="AF93" s="133">
        <f t="shared" si="17"/>
        <v>0</v>
      </c>
      <c r="AG93" s="133">
        <f t="shared" si="17"/>
        <v>1</v>
      </c>
      <c r="AH93" s="133">
        <f t="shared" si="17"/>
        <v>1</v>
      </c>
      <c r="AI93" s="133">
        <f t="shared" si="17"/>
        <v>0</v>
      </c>
      <c r="AJ93" s="55" t="str">
        <f t="shared" si="7"/>
        <v>UNKNOWN</v>
      </c>
      <c r="AK93" s="68"/>
      <c r="AL93" s="68" t="str">
        <f t="shared" si="10"/>
        <v>16</v>
      </c>
      <c r="AM93" s="68" t="str">
        <f t="shared" si="11"/>
        <v>00</v>
      </c>
      <c r="AN93" s="68" t="str">
        <f t="shared" si="12"/>
        <v>00</v>
      </c>
      <c r="AO93" s="68" t="str">
        <f t="shared" si="13"/>
        <v>00</v>
      </c>
      <c r="AQ93" t="str">
        <f t="shared" si="8"/>
        <v xml:space="preserve">    (U4)0x00000016U,                                                           /* 22 UNKNOWN                                         */</v>
      </c>
    </row>
    <row r="94" spans="2:43">
      <c r="B94" s="139"/>
      <c r="C94" s="55">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1</v>
      </c>
      <c r="AF94" s="133">
        <f t="shared" si="17"/>
        <v>0</v>
      </c>
      <c r="AG94" s="133">
        <f t="shared" si="17"/>
        <v>1</v>
      </c>
      <c r="AH94" s="133">
        <f t="shared" si="17"/>
        <v>1</v>
      </c>
      <c r="AI94" s="133">
        <f t="shared" ref="AI94" si="18">IF(AI29=1,1,0)</f>
        <v>1</v>
      </c>
      <c r="AJ94" s="55" t="str">
        <f t="shared" si="7"/>
        <v>UNKNOWN</v>
      </c>
      <c r="AK94" s="68"/>
      <c r="AL94" s="68" t="str">
        <f t="shared" si="10"/>
        <v>17</v>
      </c>
      <c r="AM94" s="68" t="str">
        <f t="shared" si="11"/>
        <v>00</v>
      </c>
      <c r="AN94" s="68" t="str">
        <f t="shared" si="12"/>
        <v>00</v>
      </c>
      <c r="AO94" s="68" t="str">
        <f t="shared" si="13"/>
        <v>00</v>
      </c>
      <c r="AQ94" t="str">
        <f t="shared" si="8"/>
        <v xml:space="preserve">    (U4)0x00000017U,                                                           /* 23 UNKNOWN                                         */</v>
      </c>
    </row>
    <row r="95" spans="2:43">
      <c r="B95" s="139"/>
      <c r="C95" s="55">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1</v>
      </c>
      <c r="AF95" s="133">
        <f t="shared" si="19"/>
        <v>1</v>
      </c>
      <c r="AG95" s="133">
        <f t="shared" si="19"/>
        <v>0</v>
      </c>
      <c r="AH95" s="133">
        <f t="shared" si="19"/>
        <v>0</v>
      </c>
      <c r="AI95" s="133">
        <f t="shared" si="19"/>
        <v>0</v>
      </c>
      <c r="AJ95" s="55" t="str">
        <f t="shared" si="7"/>
        <v>UNKNOWN</v>
      </c>
      <c r="AK95" s="68"/>
      <c r="AL95" s="68" t="str">
        <f t="shared" si="10"/>
        <v>18</v>
      </c>
      <c r="AM95" s="68" t="str">
        <f t="shared" si="11"/>
        <v>00</v>
      </c>
      <c r="AN95" s="68" t="str">
        <f t="shared" si="12"/>
        <v>00</v>
      </c>
      <c r="AO95" s="68" t="str">
        <f t="shared" si="13"/>
        <v>00</v>
      </c>
      <c r="AQ95" t="str">
        <f t="shared" si="8"/>
        <v xml:space="preserve">    (U4)0x00000018U,                                                           /* 24 UNKNOWN                                         */</v>
      </c>
    </row>
    <row r="96" spans="2:43">
      <c r="B96" s="139"/>
      <c r="C96" s="55">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1</v>
      </c>
      <c r="AF96" s="133">
        <f t="shared" si="19"/>
        <v>1</v>
      </c>
      <c r="AG96" s="133">
        <f t="shared" si="19"/>
        <v>0</v>
      </c>
      <c r="AH96" s="133">
        <f t="shared" si="19"/>
        <v>0</v>
      </c>
      <c r="AI96" s="133">
        <f t="shared" si="19"/>
        <v>1</v>
      </c>
      <c r="AJ96" s="55" t="str">
        <f t="shared" si="7"/>
        <v>UNKNOWN</v>
      </c>
      <c r="AK96" s="68"/>
      <c r="AL96" s="68" t="str">
        <f t="shared" si="10"/>
        <v>19</v>
      </c>
      <c r="AM96" s="68" t="str">
        <f t="shared" si="11"/>
        <v>00</v>
      </c>
      <c r="AN96" s="68" t="str">
        <f t="shared" si="12"/>
        <v>00</v>
      </c>
      <c r="AO96" s="68" t="str">
        <f t="shared" si="13"/>
        <v>00</v>
      </c>
      <c r="AQ96" t="str">
        <f t="shared" si="8"/>
        <v xml:space="preserve">    (U4)0x00000019U,                                                           /* 25 UNKNOWN                                         */</v>
      </c>
    </row>
    <row r="97" spans="2:43">
      <c r="B97" s="139"/>
      <c r="C97" s="55">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1</v>
      </c>
      <c r="AF97" s="133">
        <f t="shared" si="19"/>
        <v>1</v>
      </c>
      <c r="AG97" s="133">
        <f t="shared" si="19"/>
        <v>0</v>
      </c>
      <c r="AH97" s="133">
        <f t="shared" si="19"/>
        <v>1</v>
      </c>
      <c r="AI97" s="133">
        <f t="shared" si="19"/>
        <v>0</v>
      </c>
      <c r="AJ97" s="55" t="str">
        <f t="shared" si="7"/>
        <v>UNKNOWN</v>
      </c>
      <c r="AK97" s="68"/>
      <c r="AL97" s="68" t="str">
        <f t="shared" si="10"/>
        <v>1A</v>
      </c>
      <c r="AM97" s="68" t="str">
        <f t="shared" si="11"/>
        <v>00</v>
      </c>
      <c r="AN97" s="68" t="str">
        <f t="shared" si="12"/>
        <v>00</v>
      </c>
      <c r="AO97" s="68" t="str">
        <f t="shared" si="13"/>
        <v>00</v>
      </c>
      <c r="AQ97" t="str">
        <f t="shared" si="8"/>
        <v xml:space="preserve">    (U4)0x0000001AU,                                                           /* 26 UNKNOWN                                         */</v>
      </c>
    </row>
    <row r="98" spans="2:43">
      <c r="B98" s="139"/>
      <c r="C98" s="55">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1</v>
      </c>
      <c r="AF98" s="133">
        <f t="shared" si="19"/>
        <v>1</v>
      </c>
      <c r="AG98" s="133">
        <f t="shared" si="19"/>
        <v>0</v>
      </c>
      <c r="AH98" s="133">
        <f t="shared" si="19"/>
        <v>1</v>
      </c>
      <c r="AI98" s="133">
        <f t="shared" si="19"/>
        <v>1</v>
      </c>
      <c r="AJ98" s="55" t="str">
        <f t="shared" si="7"/>
        <v>UNKNOWN</v>
      </c>
      <c r="AK98" s="68"/>
      <c r="AL98" s="68" t="str">
        <f t="shared" si="10"/>
        <v>1B</v>
      </c>
      <c r="AM98" s="68" t="str">
        <f t="shared" si="11"/>
        <v>00</v>
      </c>
      <c r="AN98" s="68" t="str">
        <f t="shared" si="12"/>
        <v>00</v>
      </c>
      <c r="AO98" s="68" t="str">
        <f t="shared" si="13"/>
        <v>00</v>
      </c>
      <c r="AQ98" t="str">
        <f t="shared" si="8"/>
        <v xml:space="preserve">    (U4)0x0000001BU,                                                           /* 27 UNKNOWN                                         */</v>
      </c>
    </row>
    <row r="99" spans="2:43">
      <c r="B99" s="139"/>
      <c r="C99" s="55">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1</v>
      </c>
      <c r="AF99" s="133">
        <f t="shared" si="19"/>
        <v>1</v>
      </c>
      <c r="AG99" s="133">
        <f t="shared" si="19"/>
        <v>1</v>
      </c>
      <c r="AH99" s="133">
        <f t="shared" si="19"/>
        <v>0</v>
      </c>
      <c r="AI99" s="133">
        <f t="shared" si="19"/>
        <v>0</v>
      </c>
      <c r="AJ99" s="55" t="str">
        <f t="shared" si="7"/>
        <v>UNKNOWN</v>
      </c>
      <c r="AK99" s="68"/>
      <c r="AL99" s="68" t="str">
        <f t="shared" si="10"/>
        <v>1C</v>
      </c>
      <c r="AM99" s="68" t="str">
        <f t="shared" si="11"/>
        <v>00</v>
      </c>
      <c r="AN99" s="68" t="str">
        <f t="shared" si="12"/>
        <v>00</v>
      </c>
      <c r="AO99" s="68" t="str">
        <f t="shared" si="13"/>
        <v>00</v>
      </c>
      <c r="AQ99" t="str">
        <f t="shared" si="8"/>
        <v xml:space="preserve">    (U4)0x0000001CU,                                                           /* 28 UNKNOWN                                         */</v>
      </c>
    </row>
    <row r="100" spans="2:43">
      <c r="B100" s="139"/>
      <c r="C100" s="55">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1</v>
      </c>
      <c r="AF100" s="133">
        <f t="shared" si="19"/>
        <v>1</v>
      </c>
      <c r="AG100" s="133">
        <f t="shared" si="19"/>
        <v>1</v>
      </c>
      <c r="AH100" s="133">
        <f t="shared" si="19"/>
        <v>0</v>
      </c>
      <c r="AI100" s="133">
        <f t="shared" si="19"/>
        <v>1</v>
      </c>
      <c r="AJ100" s="55" t="str">
        <f t="shared" si="7"/>
        <v>UNKNOWN</v>
      </c>
      <c r="AK100" s="68"/>
      <c r="AL100" s="68" t="str">
        <f t="shared" si="10"/>
        <v>1D</v>
      </c>
      <c r="AM100" s="68" t="str">
        <f t="shared" si="11"/>
        <v>00</v>
      </c>
      <c r="AN100" s="68" t="str">
        <f t="shared" si="12"/>
        <v>00</v>
      </c>
      <c r="AO100" s="68" t="str">
        <f t="shared" si="13"/>
        <v>00</v>
      </c>
      <c r="AQ100" t="str">
        <f t="shared" si="8"/>
        <v xml:space="preserve">    (U4)0x0000001DU,                                                           /* 29 UNKNOWN                                         */</v>
      </c>
    </row>
    <row r="101" spans="2:43">
      <c r="B101" s="139"/>
      <c r="C101" s="55">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1</v>
      </c>
      <c r="AF101" s="133">
        <f t="shared" si="19"/>
        <v>1</v>
      </c>
      <c r="AG101" s="133">
        <f t="shared" si="19"/>
        <v>1</v>
      </c>
      <c r="AH101" s="133">
        <f t="shared" si="19"/>
        <v>1</v>
      </c>
      <c r="AI101" s="133">
        <f t="shared" si="19"/>
        <v>0</v>
      </c>
      <c r="AJ101" s="55" t="str">
        <f t="shared" si="7"/>
        <v>UNKNOWN</v>
      </c>
      <c r="AK101" s="68"/>
      <c r="AL101" s="68" t="str">
        <f t="shared" si="10"/>
        <v>1E</v>
      </c>
      <c r="AM101" s="68" t="str">
        <f t="shared" si="11"/>
        <v>00</v>
      </c>
      <c r="AN101" s="68" t="str">
        <f t="shared" si="12"/>
        <v>00</v>
      </c>
      <c r="AO101" s="68" t="str">
        <f t="shared" si="13"/>
        <v>00</v>
      </c>
      <c r="AQ101" t="str">
        <f t="shared" si="8"/>
        <v xml:space="preserve">    (U4)0x0000001EU,                                                           /* 30 UNKNOWN                                         */</v>
      </c>
    </row>
    <row r="102" spans="2:43">
      <c r="B102" s="139"/>
      <c r="C102" s="55">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1</v>
      </c>
      <c r="AF102" s="133">
        <f t="shared" si="19"/>
        <v>1</v>
      </c>
      <c r="AG102" s="133">
        <f t="shared" si="19"/>
        <v>1</v>
      </c>
      <c r="AH102" s="133">
        <f t="shared" si="19"/>
        <v>1</v>
      </c>
      <c r="AI102" s="133">
        <f t="shared" ref="AI102" si="20">IF(AI37=1,1,0)</f>
        <v>1</v>
      </c>
      <c r="AJ102" s="55" t="str">
        <f t="shared" si="7"/>
        <v>UNKNOWN</v>
      </c>
      <c r="AK102" s="68"/>
      <c r="AL102" s="68" t="str">
        <f t="shared" si="10"/>
        <v>1F</v>
      </c>
      <c r="AM102" s="68" t="str">
        <f t="shared" si="11"/>
        <v>00</v>
      </c>
      <c r="AN102" s="68" t="str">
        <f t="shared" si="12"/>
        <v>00</v>
      </c>
      <c r="AO102" s="68" t="str">
        <f t="shared" si="13"/>
        <v>00</v>
      </c>
      <c r="AQ102" t="str">
        <f t="shared" si="8"/>
        <v xml:space="preserve">    (U4)0x0000001FU                                                            /* 31 UNKNOWN                                         */</v>
      </c>
    </row>
    <row r="103" spans="2:43">
      <c r="B103" s="139"/>
      <c r="C103" s="55">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0</v>
      </c>
      <c r="AE103" s="133">
        <f t="shared" si="21"/>
        <v>0</v>
      </c>
      <c r="AF103" s="133">
        <f t="shared" si="21"/>
        <v>0</v>
      </c>
      <c r="AG103" s="133">
        <f t="shared" si="21"/>
        <v>0</v>
      </c>
      <c r="AH103" s="133">
        <f t="shared" si="21"/>
        <v>0</v>
      </c>
      <c r="AI103" s="133">
        <f t="shared" si="21"/>
        <v>0</v>
      </c>
      <c r="AJ103" s="55" t="str">
        <f t="shared" si="7"/>
        <v/>
      </c>
      <c r="AK103" s="68"/>
      <c r="AL103" s="68" t="str">
        <f t="shared" si="10"/>
        <v>00</v>
      </c>
      <c r="AM103" s="68" t="str">
        <f t="shared" si="11"/>
        <v>00</v>
      </c>
      <c r="AN103" s="68" t="str">
        <f t="shared" si="12"/>
        <v>00</v>
      </c>
      <c r="AO103" s="68" t="str">
        <f t="shared" si="13"/>
        <v>00</v>
      </c>
      <c r="AQ103" t="str">
        <f t="shared" si="8"/>
        <v/>
      </c>
    </row>
    <row r="104" spans="2:43">
      <c r="B104" s="139"/>
      <c r="C104" s="55">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0</v>
      </c>
      <c r="AE104" s="133">
        <f t="shared" si="21"/>
        <v>0</v>
      </c>
      <c r="AF104" s="133">
        <f t="shared" si="21"/>
        <v>0</v>
      </c>
      <c r="AG104" s="133">
        <f t="shared" si="21"/>
        <v>0</v>
      </c>
      <c r="AH104" s="133">
        <f t="shared" si="21"/>
        <v>0</v>
      </c>
      <c r="AI104" s="133">
        <f t="shared" si="21"/>
        <v>0</v>
      </c>
      <c r="AJ104" s="55" t="str">
        <f t="shared" si="7"/>
        <v/>
      </c>
      <c r="AK104" s="68"/>
      <c r="AL104" s="68" t="str">
        <f t="shared" si="10"/>
        <v>00</v>
      </c>
      <c r="AM104" s="68" t="str">
        <f t="shared" si="11"/>
        <v>00</v>
      </c>
      <c r="AN104" s="68" t="str">
        <f t="shared" si="12"/>
        <v>00</v>
      </c>
      <c r="AO104" s="68" t="str">
        <f t="shared" si="13"/>
        <v>00</v>
      </c>
      <c r="AQ104" t="str">
        <f t="shared" si="8"/>
        <v/>
      </c>
    </row>
    <row r="105" spans="2:43">
      <c r="B105" s="139"/>
      <c r="C105" s="55">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0</v>
      </c>
      <c r="AE105" s="133">
        <f t="shared" si="21"/>
        <v>0</v>
      </c>
      <c r="AF105" s="133">
        <f t="shared" si="21"/>
        <v>0</v>
      </c>
      <c r="AG105" s="133">
        <f t="shared" si="21"/>
        <v>0</v>
      </c>
      <c r="AH105" s="133">
        <f t="shared" si="21"/>
        <v>0</v>
      </c>
      <c r="AI105" s="133">
        <f t="shared" si="21"/>
        <v>0</v>
      </c>
      <c r="AJ105" s="55" t="str">
        <f t="shared" si="7"/>
        <v/>
      </c>
      <c r="AK105" s="68"/>
      <c r="AL105" s="68" t="str">
        <f t="shared" si="10"/>
        <v>00</v>
      </c>
      <c r="AM105" s="68" t="str">
        <f t="shared" si="11"/>
        <v>00</v>
      </c>
      <c r="AN105" s="68" t="str">
        <f t="shared" si="12"/>
        <v>00</v>
      </c>
      <c r="AO105" s="68" t="str">
        <f t="shared" si="13"/>
        <v>00</v>
      </c>
      <c r="AQ105" t="str">
        <f t="shared" si="8"/>
        <v/>
      </c>
    </row>
    <row r="106" spans="2:43">
      <c r="B106" s="139"/>
      <c r="C106" s="55">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0</v>
      </c>
      <c r="AE106" s="133">
        <f t="shared" si="21"/>
        <v>0</v>
      </c>
      <c r="AF106" s="133">
        <f t="shared" si="21"/>
        <v>0</v>
      </c>
      <c r="AG106" s="133">
        <f t="shared" si="21"/>
        <v>0</v>
      </c>
      <c r="AH106" s="133">
        <f t="shared" si="21"/>
        <v>0</v>
      </c>
      <c r="AI106" s="133">
        <f t="shared" si="21"/>
        <v>0</v>
      </c>
      <c r="AJ106" s="55" t="str">
        <f t="shared" si="7"/>
        <v/>
      </c>
      <c r="AK106" s="68"/>
      <c r="AL106" s="68" t="str">
        <f t="shared" si="10"/>
        <v>00</v>
      </c>
      <c r="AM106" s="68" t="str">
        <f t="shared" si="11"/>
        <v>00</v>
      </c>
      <c r="AN106" s="68" t="str">
        <f t="shared" si="12"/>
        <v>00</v>
      </c>
      <c r="AO106" s="68" t="str">
        <f t="shared" si="13"/>
        <v>00</v>
      </c>
      <c r="AQ106" t="str">
        <f t="shared" si="8"/>
        <v/>
      </c>
    </row>
    <row r="107" spans="2:43">
      <c r="B107" s="139"/>
      <c r="C107" s="55">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0</v>
      </c>
      <c r="AE107" s="133">
        <f t="shared" si="21"/>
        <v>0</v>
      </c>
      <c r="AF107" s="133">
        <f t="shared" si="21"/>
        <v>0</v>
      </c>
      <c r="AG107" s="133">
        <f t="shared" si="21"/>
        <v>0</v>
      </c>
      <c r="AH107" s="133">
        <f t="shared" si="21"/>
        <v>0</v>
      </c>
      <c r="AI107" s="133">
        <f t="shared" si="21"/>
        <v>0</v>
      </c>
      <c r="AJ107" s="55" t="str">
        <f t="shared" si="7"/>
        <v/>
      </c>
      <c r="AK107" s="68"/>
      <c r="AL107" s="68" t="str">
        <f t="shared" si="10"/>
        <v>00</v>
      </c>
      <c r="AM107" s="68" t="str">
        <f t="shared" si="11"/>
        <v>00</v>
      </c>
      <c r="AN107" s="68" t="str">
        <f t="shared" si="12"/>
        <v>00</v>
      </c>
      <c r="AO107" s="68" t="str">
        <f t="shared" si="13"/>
        <v>00</v>
      </c>
      <c r="AQ107" t="str">
        <f t="shared" si="8"/>
        <v/>
      </c>
    </row>
    <row r="108" spans="2:43">
      <c r="B108" s="139"/>
      <c r="C108" s="55">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0</v>
      </c>
      <c r="AE108" s="133">
        <f t="shared" si="21"/>
        <v>0</v>
      </c>
      <c r="AF108" s="133">
        <f t="shared" si="21"/>
        <v>0</v>
      </c>
      <c r="AG108" s="133">
        <f t="shared" si="21"/>
        <v>0</v>
      </c>
      <c r="AH108" s="133">
        <f t="shared" si="21"/>
        <v>0</v>
      </c>
      <c r="AI108" s="133">
        <f t="shared" si="21"/>
        <v>0</v>
      </c>
      <c r="AJ108" s="55" t="str">
        <f t="shared" si="7"/>
        <v/>
      </c>
      <c r="AK108" s="68"/>
      <c r="AL108" s="68" t="str">
        <f t="shared" si="10"/>
        <v>00</v>
      </c>
      <c r="AM108" s="68" t="str">
        <f t="shared" si="11"/>
        <v>00</v>
      </c>
      <c r="AN108" s="68" t="str">
        <f t="shared" si="12"/>
        <v>00</v>
      </c>
      <c r="AO108" s="68" t="str">
        <f t="shared" si="13"/>
        <v>00</v>
      </c>
      <c r="AQ108" t="str">
        <f t="shared" si="8"/>
        <v/>
      </c>
    </row>
    <row r="109" spans="2:43">
      <c r="B109" s="139"/>
      <c r="C109" s="55">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0</v>
      </c>
      <c r="AE109" s="133">
        <f t="shared" si="21"/>
        <v>0</v>
      </c>
      <c r="AF109" s="133">
        <f t="shared" si="21"/>
        <v>0</v>
      </c>
      <c r="AG109" s="133">
        <f t="shared" si="21"/>
        <v>0</v>
      </c>
      <c r="AH109" s="133">
        <f t="shared" si="21"/>
        <v>0</v>
      </c>
      <c r="AI109" s="133">
        <f t="shared" si="21"/>
        <v>0</v>
      </c>
      <c r="AJ109" s="55" t="str">
        <f t="shared" si="7"/>
        <v/>
      </c>
      <c r="AK109" s="68"/>
      <c r="AL109" s="68" t="str">
        <f t="shared" si="10"/>
        <v>00</v>
      </c>
      <c r="AM109" s="68" t="str">
        <f t="shared" si="11"/>
        <v>00</v>
      </c>
      <c r="AN109" s="68" t="str">
        <f t="shared" si="12"/>
        <v>00</v>
      </c>
      <c r="AO109" s="68" t="str">
        <f t="shared" si="13"/>
        <v>00</v>
      </c>
      <c r="AQ109" t="str">
        <f t="shared" si="8"/>
        <v/>
      </c>
    </row>
    <row r="110" spans="2:43">
      <c r="B110" s="139"/>
      <c r="C110" s="55">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0</v>
      </c>
      <c r="AE110" s="133">
        <f t="shared" si="21"/>
        <v>0</v>
      </c>
      <c r="AF110" s="133">
        <f t="shared" si="21"/>
        <v>0</v>
      </c>
      <c r="AG110" s="133">
        <f t="shared" si="21"/>
        <v>0</v>
      </c>
      <c r="AH110" s="133">
        <f t="shared" si="21"/>
        <v>0</v>
      </c>
      <c r="AI110" s="133">
        <f t="shared" ref="AI110" si="22">IF(AI45=1,1,0)</f>
        <v>0</v>
      </c>
      <c r="AJ110" s="55" t="str">
        <f t="shared" si="7"/>
        <v/>
      </c>
      <c r="AK110" s="68"/>
      <c r="AL110" s="68" t="str">
        <f t="shared" si="10"/>
        <v>00</v>
      </c>
      <c r="AM110" s="68" t="str">
        <f t="shared" si="11"/>
        <v>00</v>
      </c>
      <c r="AN110" s="68" t="str">
        <f t="shared" si="12"/>
        <v>00</v>
      </c>
      <c r="AO110" s="68" t="str">
        <f t="shared" si="13"/>
        <v>00</v>
      </c>
      <c r="AQ110" t="str">
        <f t="shared" si="8"/>
        <v/>
      </c>
    </row>
    <row r="111" spans="2:43">
      <c r="B111" s="139"/>
      <c r="C111" s="55">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0</v>
      </c>
      <c r="AE111" s="133">
        <f t="shared" si="23"/>
        <v>0</v>
      </c>
      <c r="AF111" s="133">
        <f t="shared" si="23"/>
        <v>0</v>
      </c>
      <c r="AG111" s="133">
        <f t="shared" si="23"/>
        <v>0</v>
      </c>
      <c r="AH111" s="133">
        <f t="shared" si="23"/>
        <v>0</v>
      </c>
      <c r="AI111" s="133">
        <f t="shared" si="23"/>
        <v>0</v>
      </c>
      <c r="AJ111" s="55" t="str">
        <f t="shared" si="7"/>
        <v/>
      </c>
      <c r="AK111" s="68"/>
      <c r="AL111" s="68" t="str">
        <f t="shared" si="10"/>
        <v>00</v>
      </c>
      <c r="AM111" s="68" t="str">
        <f t="shared" si="11"/>
        <v>00</v>
      </c>
      <c r="AN111" s="68" t="str">
        <f t="shared" si="12"/>
        <v>00</v>
      </c>
      <c r="AO111" s="68" t="str">
        <f t="shared" si="13"/>
        <v>00</v>
      </c>
      <c r="AQ111" t="str">
        <f t="shared" si="8"/>
        <v/>
      </c>
    </row>
    <row r="112" spans="2:43">
      <c r="B112" s="139"/>
      <c r="C112" s="55">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0</v>
      </c>
      <c r="AE112" s="133">
        <f t="shared" si="23"/>
        <v>0</v>
      </c>
      <c r="AF112" s="133">
        <f t="shared" si="23"/>
        <v>0</v>
      </c>
      <c r="AG112" s="133">
        <f t="shared" si="23"/>
        <v>0</v>
      </c>
      <c r="AH112" s="133">
        <f t="shared" si="23"/>
        <v>0</v>
      </c>
      <c r="AI112" s="133">
        <f t="shared" si="23"/>
        <v>0</v>
      </c>
      <c r="AJ112" s="55" t="str">
        <f t="shared" si="7"/>
        <v/>
      </c>
      <c r="AK112" s="68"/>
      <c r="AL112" s="68" t="str">
        <f t="shared" si="10"/>
        <v>00</v>
      </c>
      <c r="AM112" s="68" t="str">
        <f t="shared" si="11"/>
        <v>00</v>
      </c>
      <c r="AN112" s="68" t="str">
        <f t="shared" si="12"/>
        <v>00</v>
      </c>
      <c r="AO112" s="68" t="str">
        <f t="shared" si="13"/>
        <v>00</v>
      </c>
      <c r="AQ112" t="str">
        <f t="shared" si="8"/>
        <v/>
      </c>
    </row>
    <row r="113" spans="2:43">
      <c r="B113" s="139"/>
      <c r="C113" s="55">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0</v>
      </c>
      <c r="AE113" s="133">
        <f t="shared" si="23"/>
        <v>0</v>
      </c>
      <c r="AF113" s="133">
        <f t="shared" si="23"/>
        <v>0</v>
      </c>
      <c r="AG113" s="133">
        <f t="shared" si="23"/>
        <v>0</v>
      </c>
      <c r="AH113" s="133">
        <f t="shared" si="23"/>
        <v>0</v>
      </c>
      <c r="AI113" s="133">
        <f t="shared" si="23"/>
        <v>0</v>
      </c>
      <c r="AJ113" s="55" t="str">
        <f t="shared" si="7"/>
        <v/>
      </c>
      <c r="AK113" s="68"/>
      <c r="AL113" s="68" t="str">
        <f t="shared" si="10"/>
        <v>00</v>
      </c>
      <c r="AM113" s="68" t="str">
        <f t="shared" si="11"/>
        <v>00</v>
      </c>
      <c r="AN113" s="68" t="str">
        <f t="shared" si="12"/>
        <v>00</v>
      </c>
      <c r="AO113" s="68" t="str">
        <f t="shared" si="13"/>
        <v>00</v>
      </c>
      <c r="AQ113" t="str">
        <f t="shared" si="8"/>
        <v/>
      </c>
    </row>
    <row r="114" spans="2:43">
      <c r="B114" s="139"/>
      <c r="C114" s="55">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0</v>
      </c>
      <c r="AE114" s="133">
        <f t="shared" si="23"/>
        <v>0</v>
      </c>
      <c r="AF114" s="133">
        <f t="shared" si="23"/>
        <v>0</v>
      </c>
      <c r="AG114" s="133">
        <f t="shared" si="23"/>
        <v>0</v>
      </c>
      <c r="AH114" s="133">
        <f t="shared" si="23"/>
        <v>0</v>
      </c>
      <c r="AI114" s="133">
        <f t="shared" si="23"/>
        <v>0</v>
      </c>
      <c r="AJ114" s="55" t="str">
        <f t="shared" si="7"/>
        <v/>
      </c>
      <c r="AK114" s="68"/>
      <c r="AL114" s="68" t="str">
        <f t="shared" si="10"/>
        <v>00</v>
      </c>
      <c r="AM114" s="68" t="str">
        <f t="shared" si="11"/>
        <v>00</v>
      </c>
      <c r="AN114" s="68" t="str">
        <f t="shared" si="12"/>
        <v>00</v>
      </c>
      <c r="AO114" s="68" t="str">
        <f t="shared" si="13"/>
        <v>00</v>
      </c>
      <c r="AQ114" t="str">
        <f t="shared" si="8"/>
        <v/>
      </c>
    </row>
    <row r="115" spans="2:43">
      <c r="B115" s="139"/>
      <c r="C115" s="55">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0</v>
      </c>
      <c r="AE115" s="133">
        <f t="shared" si="23"/>
        <v>0</v>
      </c>
      <c r="AF115" s="133">
        <f t="shared" si="23"/>
        <v>0</v>
      </c>
      <c r="AG115" s="133">
        <f t="shared" si="23"/>
        <v>0</v>
      </c>
      <c r="AH115" s="133">
        <f t="shared" si="23"/>
        <v>0</v>
      </c>
      <c r="AI115" s="133">
        <f t="shared" si="23"/>
        <v>0</v>
      </c>
      <c r="AJ115" s="55" t="str">
        <f t="shared" si="7"/>
        <v/>
      </c>
      <c r="AK115" s="68"/>
      <c r="AL115" s="68" t="str">
        <f t="shared" si="10"/>
        <v>00</v>
      </c>
      <c r="AM115" s="68" t="str">
        <f t="shared" si="11"/>
        <v>00</v>
      </c>
      <c r="AN115" s="68" t="str">
        <f t="shared" si="12"/>
        <v>00</v>
      </c>
      <c r="AO115" s="68" t="str">
        <f t="shared" si="13"/>
        <v>00</v>
      </c>
      <c r="AQ115" t="str">
        <f t="shared" si="8"/>
        <v/>
      </c>
    </row>
    <row r="116" spans="2:43">
      <c r="B116" s="139"/>
      <c r="C116" s="55">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0</v>
      </c>
      <c r="AE116" s="133">
        <f t="shared" si="23"/>
        <v>0</v>
      </c>
      <c r="AF116" s="133">
        <f t="shared" si="23"/>
        <v>0</v>
      </c>
      <c r="AG116" s="133">
        <f t="shared" si="23"/>
        <v>0</v>
      </c>
      <c r="AH116" s="133">
        <f t="shared" si="23"/>
        <v>0</v>
      </c>
      <c r="AI116" s="133">
        <f t="shared" si="23"/>
        <v>0</v>
      </c>
      <c r="AJ116" s="55" t="str">
        <f t="shared" si="7"/>
        <v/>
      </c>
      <c r="AK116" s="68"/>
      <c r="AL116" s="68" t="str">
        <f t="shared" si="10"/>
        <v>00</v>
      </c>
      <c r="AM116" s="68" t="str">
        <f t="shared" si="11"/>
        <v>00</v>
      </c>
      <c r="AN116" s="68" t="str">
        <f t="shared" si="12"/>
        <v>00</v>
      </c>
      <c r="AO116" s="68" t="str">
        <f t="shared" si="13"/>
        <v>00</v>
      </c>
      <c r="AQ116" t="str">
        <f t="shared" si="8"/>
        <v/>
      </c>
    </row>
    <row r="117" spans="2:43">
      <c r="B117" s="139"/>
      <c r="C117" s="55">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0</v>
      </c>
      <c r="AE117" s="133">
        <f t="shared" si="23"/>
        <v>0</v>
      </c>
      <c r="AF117" s="133">
        <f t="shared" si="23"/>
        <v>0</v>
      </c>
      <c r="AG117" s="133">
        <f t="shared" si="23"/>
        <v>0</v>
      </c>
      <c r="AH117" s="133">
        <f t="shared" si="23"/>
        <v>0</v>
      </c>
      <c r="AI117" s="133">
        <f t="shared" si="23"/>
        <v>0</v>
      </c>
      <c r="AJ117" s="55" t="str">
        <f t="shared" si="7"/>
        <v/>
      </c>
      <c r="AK117" s="68"/>
      <c r="AL117" s="68" t="str">
        <f t="shared" si="10"/>
        <v>00</v>
      </c>
      <c r="AM117" s="68" t="str">
        <f t="shared" si="11"/>
        <v>00</v>
      </c>
      <c r="AN117" s="68" t="str">
        <f t="shared" si="12"/>
        <v>00</v>
      </c>
      <c r="AO117" s="68" t="str">
        <f t="shared" si="13"/>
        <v>00</v>
      </c>
      <c r="AQ117" t="str">
        <f t="shared" si="8"/>
        <v/>
      </c>
    </row>
    <row r="118" spans="2:43">
      <c r="B118" s="139"/>
      <c r="C118" s="55">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0</v>
      </c>
      <c r="AE118" s="133">
        <f t="shared" si="23"/>
        <v>0</v>
      </c>
      <c r="AF118" s="133">
        <f t="shared" si="23"/>
        <v>0</v>
      </c>
      <c r="AG118" s="133">
        <f t="shared" si="23"/>
        <v>0</v>
      </c>
      <c r="AH118" s="133">
        <f t="shared" si="23"/>
        <v>0</v>
      </c>
      <c r="AI118" s="133">
        <f t="shared" ref="AI118" si="24">IF(AI53=1,1,0)</f>
        <v>0</v>
      </c>
      <c r="AJ118" s="55" t="str">
        <f t="shared" si="7"/>
        <v/>
      </c>
      <c r="AK118" s="68"/>
      <c r="AL118" s="68" t="str">
        <f t="shared" si="10"/>
        <v>00</v>
      </c>
      <c r="AM118" s="68" t="str">
        <f t="shared" si="11"/>
        <v>00</v>
      </c>
      <c r="AN118" s="68" t="str">
        <f t="shared" si="12"/>
        <v>00</v>
      </c>
      <c r="AO118" s="68" t="str">
        <f t="shared" si="13"/>
        <v>00</v>
      </c>
      <c r="AQ118" t="str">
        <f t="shared" si="8"/>
        <v/>
      </c>
    </row>
    <row r="119" spans="2:43">
      <c r="B119" s="139"/>
      <c r="C119" s="55">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0</v>
      </c>
      <c r="AE119" s="133">
        <f t="shared" si="25"/>
        <v>0</v>
      </c>
      <c r="AF119" s="133">
        <f t="shared" si="25"/>
        <v>0</v>
      </c>
      <c r="AG119" s="133">
        <f t="shared" si="25"/>
        <v>0</v>
      </c>
      <c r="AH119" s="133">
        <f t="shared" si="25"/>
        <v>0</v>
      </c>
      <c r="AI119" s="133">
        <f t="shared" si="25"/>
        <v>0</v>
      </c>
      <c r="AJ119" s="55" t="str">
        <f t="shared" si="7"/>
        <v/>
      </c>
      <c r="AK119" s="68"/>
      <c r="AL119" s="68" t="str">
        <f t="shared" si="10"/>
        <v>00</v>
      </c>
      <c r="AM119" s="68" t="str">
        <f t="shared" si="11"/>
        <v>00</v>
      </c>
      <c r="AN119" s="68" t="str">
        <f t="shared" si="12"/>
        <v>00</v>
      </c>
      <c r="AO119" s="68" t="str">
        <f t="shared" si="13"/>
        <v>00</v>
      </c>
      <c r="AQ119" t="str">
        <f t="shared" si="8"/>
        <v/>
      </c>
    </row>
    <row r="120" spans="2:43">
      <c r="B120" s="139"/>
      <c r="C120" s="55">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0</v>
      </c>
      <c r="AE120" s="133">
        <f t="shared" si="25"/>
        <v>0</v>
      </c>
      <c r="AF120" s="133">
        <f t="shared" si="25"/>
        <v>0</v>
      </c>
      <c r="AG120" s="133">
        <f t="shared" si="25"/>
        <v>0</v>
      </c>
      <c r="AH120" s="133">
        <f t="shared" si="25"/>
        <v>0</v>
      </c>
      <c r="AI120" s="133">
        <f t="shared" si="25"/>
        <v>0</v>
      </c>
      <c r="AJ120" s="55" t="str">
        <f t="shared" si="7"/>
        <v/>
      </c>
      <c r="AK120" s="68"/>
      <c r="AL120" s="68" t="str">
        <f t="shared" si="10"/>
        <v>00</v>
      </c>
      <c r="AM120" s="68" t="str">
        <f t="shared" si="11"/>
        <v>00</v>
      </c>
      <c r="AN120" s="68" t="str">
        <f t="shared" si="12"/>
        <v>00</v>
      </c>
      <c r="AO120" s="68" t="str">
        <f t="shared" si="13"/>
        <v>00</v>
      </c>
      <c r="AQ120" t="str">
        <f t="shared" si="8"/>
        <v/>
      </c>
    </row>
    <row r="121" spans="2:43">
      <c r="B121" s="139"/>
      <c r="C121" s="55">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0</v>
      </c>
      <c r="AE121" s="133">
        <f t="shared" si="25"/>
        <v>0</v>
      </c>
      <c r="AF121" s="133">
        <f t="shared" si="25"/>
        <v>0</v>
      </c>
      <c r="AG121" s="133">
        <f t="shared" si="25"/>
        <v>0</v>
      </c>
      <c r="AH121" s="133">
        <f t="shared" si="25"/>
        <v>0</v>
      </c>
      <c r="AI121" s="133">
        <f t="shared" si="25"/>
        <v>0</v>
      </c>
      <c r="AJ121" s="55" t="str">
        <f t="shared" si="7"/>
        <v/>
      </c>
      <c r="AK121" s="68"/>
      <c r="AL121" s="68" t="str">
        <f t="shared" si="10"/>
        <v>00</v>
      </c>
      <c r="AM121" s="68" t="str">
        <f t="shared" si="11"/>
        <v>00</v>
      </c>
      <c r="AN121" s="68" t="str">
        <f t="shared" si="12"/>
        <v>00</v>
      </c>
      <c r="AO121" s="68" t="str">
        <f t="shared" si="13"/>
        <v>00</v>
      </c>
      <c r="AQ121" t="str">
        <f t="shared" si="8"/>
        <v/>
      </c>
    </row>
    <row r="122" spans="2:43">
      <c r="B122" s="139"/>
      <c r="C122" s="55">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0</v>
      </c>
      <c r="AE122" s="133">
        <f t="shared" si="25"/>
        <v>0</v>
      </c>
      <c r="AF122" s="133">
        <f t="shared" si="25"/>
        <v>0</v>
      </c>
      <c r="AG122" s="133">
        <f t="shared" si="25"/>
        <v>0</v>
      </c>
      <c r="AH122" s="133">
        <f t="shared" si="25"/>
        <v>0</v>
      </c>
      <c r="AI122" s="133">
        <f t="shared" si="25"/>
        <v>0</v>
      </c>
      <c r="AJ122" s="55" t="str">
        <f t="shared" si="7"/>
        <v/>
      </c>
      <c r="AK122" s="68"/>
      <c r="AL122" s="68" t="str">
        <f t="shared" si="10"/>
        <v>00</v>
      </c>
      <c r="AM122" s="68" t="str">
        <f t="shared" si="11"/>
        <v>00</v>
      </c>
      <c r="AN122" s="68" t="str">
        <f t="shared" si="12"/>
        <v>00</v>
      </c>
      <c r="AO122" s="68" t="str">
        <f t="shared" si="13"/>
        <v>00</v>
      </c>
      <c r="AQ122" t="str">
        <f t="shared" si="8"/>
        <v/>
      </c>
    </row>
    <row r="123" spans="2:43">
      <c r="B123" s="139"/>
      <c r="C123" s="55">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0</v>
      </c>
      <c r="AE123" s="133">
        <f t="shared" si="25"/>
        <v>0</v>
      </c>
      <c r="AF123" s="133">
        <f t="shared" si="25"/>
        <v>0</v>
      </c>
      <c r="AG123" s="133">
        <f t="shared" si="25"/>
        <v>0</v>
      </c>
      <c r="AH123" s="133">
        <f t="shared" si="25"/>
        <v>0</v>
      </c>
      <c r="AI123" s="133">
        <f t="shared" si="25"/>
        <v>0</v>
      </c>
      <c r="AJ123" s="55" t="str">
        <f t="shared" si="7"/>
        <v/>
      </c>
      <c r="AK123" s="68"/>
      <c r="AL123" s="68" t="str">
        <f t="shared" si="10"/>
        <v>00</v>
      </c>
      <c r="AM123" s="68" t="str">
        <f t="shared" si="11"/>
        <v>00</v>
      </c>
      <c r="AN123" s="68" t="str">
        <f t="shared" si="12"/>
        <v>00</v>
      </c>
      <c r="AO123" s="68" t="str">
        <f t="shared" si="13"/>
        <v>00</v>
      </c>
      <c r="AQ123" t="str">
        <f t="shared" si="8"/>
        <v/>
      </c>
    </row>
    <row r="124" spans="2:43">
      <c r="B124" s="139"/>
      <c r="C124" s="55">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0</v>
      </c>
      <c r="AE124" s="133">
        <f t="shared" si="25"/>
        <v>0</v>
      </c>
      <c r="AF124" s="133">
        <f t="shared" si="25"/>
        <v>0</v>
      </c>
      <c r="AG124" s="133">
        <f t="shared" si="25"/>
        <v>0</v>
      </c>
      <c r="AH124" s="133">
        <f t="shared" si="25"/>
        <v>0</v>
      </c>
      <c r="AI124" s="133">
        <f t="shared" si="25"/>
        <v>0</v>
      </c>
      <c r="AJ124" s="55" t="str">
        <f t="shared" si="7"/>
        <v/>
      </c>
      <c r="AK124" s="68"/>
      <c r="AL124" s="68" t="str">
        <f t="shared" si="10"/>
        <v>00</v>
      </c>
      <c r="AM124" s="68" t="str">
        <f t="shared" si="11"/>
        <v>00</v>
      </c>
      <c r="AN124" s="68" t="str">
        <f t="shared" si="12"/>
        <v>00</v>
      </c>
      <c r="AO124" s="68" t="str">
        <f t="shared" si="13"/>
        <v>00</v>
      </c>
      <c r="AQ124" t="str">
        <f t="shared" si="8"/>
        <v/>
      </c>
    </row>
    <row r="125" spans="2:43">
      <c r="B125" s="139"/>
      <c r="C125" s="55">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0</v>
      </c>
      <c r="AE125" s="133">
        <f t="shared" si="25"/>
        <v>0</v>
      </c>
      <c r="AF125" s="133">
        <f t="shared" si="25"/>
        <v>0</v>
      </c>
      <c r="AG125" s="133">
        <f t="shared" si="25"/>
        <v>0</v>
      </c>
      <c r="AH125" s="133">
        <f t="shared" si="25"/>
        <v>0</v>
      </c>
      <c r="AI125" s="133">
        <f t="shared" si="25"/>
        <v>0</v>
      </c>
      <c r="AJ125" s="55" t="str">
        <f t="shared" si="7"/>
        <v/>
      </c>
      <c r="AK125" s="68"/>
      <c r="AL125" s="68" t="str">
        <f t="shared" si="10"/>
        <v>00</v>
      </c>
      <c r="AM125" s="68" t="str">
        <f t="shared" si="11"/>
        <v>00</v>
      </c>
      <c r="AN125" s="68" t="str">
        <f t="shared" si="12"/>
        <v>00</v>
      </c>
      <c r="AO125" s="68" t="str">
        <f t="shared" si="13"/>
        <v>00</v>
      </c>
      <c r="AQ125" t="str">
        <f t="shared" si="8"/>
        <v/>
      </c>
    </row>
    <row r="126" spans="2:43">
      <c r="B126" s="139"/>
      <c r="C126" s="55">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0</v>
      </c>
      <c r="AE126" s="133">
        <f t="shared" si="25"/>
        <v>0</v>
      </c>
      <c r="AF126" s="133">
        <f t="shared" si="25"/>
        <v>0</v>
      </c>
      <c r="AG126" s="133">
        <f t="shared" si="25"/>
        <v>0</v>
      </c>
      <c r="AH126" s="133">
        <f t="shared" si="25"/>
        <v>0</v>
      </c>
      <c r="AI126" s="133">
        <f t="shared" ref="AI126" si="26">IF(AI61=1,1,0)</f>
        <v>0</v>
      </c>
      <c r="AJ126" s="55" t="str">
        <f t="shared" si="7"/>
        <v/>
      </c>
      <c r="AK126" s="68"/>
      <c r="AL126" s="68" t="str">
        <f t="shared" si="10"/>
        <v>00</v>
      </c>
      <c r="AM126" s="68" t="str">
        <f t="shared" si="11"/>
        <v>00</v>
      </c>
      <c r="AN126" s="68" t="str">
        <f t="shared" si="12"/>
        <v>00</v>
      </c>
      <c r="AO126" s="68" t="str">
        <f t="shared" si="13"/>
        <v>00</v>
      </c>
      <c r="AQ126" t="str">
        <f t="shared" si="8"/>
        <v/>
      </c>
    </row>
    <row r="127" spans="2:43">
      <c r="B127" s="139"/>
      <c r="C127" s="55">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0</v>
      </c>
      <c r="AE127" s="133">
        <f t="shared" si="27"/>
        <v>0</v>
      </c>
      <c r="AF127" s="133">
        <f t="shared" si="27"/>
        <v>0</v>
      </c>
      <c r="AG127" s="133">
        <f t="shared" si="27"/>
        <v>0</v>
      </c>
      <c r="AH127" s="133">
        <f t="shared" si="27"/>
        <v>0</v>
      </c>
      <c r="AI127" s="133">
        <f t="shared" si="27"/>
        <v>0</v>
      </c>
      <c r="AJ127" s="55" t="str">
        <f t="shared" si="7"/>
        <v/>
      </c>
      <c r="AK127" s="68"/>
      <c r="AL127" s="68" t="str">
        <f t="shared" si="10"/>
        <v>00</v>
      </c>
      <c r="AM127" s="68" t="str">
        <f t="shared" si="11"/>
        <v>00</v>
      </c>
      <c r="AN127" s="68" t="str">
        <f t="shared" si="12"/>
        <v>00</v>
      </c>
      <c r="AO127" s="68" t="str">
        <f t="shared" si="13"/>
        <v>00</v>
      </c>
      <c r="AQ127" t="str">
        <f t="shared" si="8"/>
        <v/>
      </c>
    </row>
    <row r="128" spans="2:43">
      <c r="B128" s="139"/>
      <c r="C128" s="55">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0</v>
      </c>
      <c r="AE128" s="133">
        <f t="shared" si="27"/>
        <v>0</v>
      </c>
      <c r="AF128" s="133">
        <f t="shared" si="27"/>
        <v>0</v>
      </c>
      <c r="AG128" s="133">
        <f t="shared" si="27"/>
        <v>0</v>
      </c>
      <c r="AH128" s="133">
        <f t="shared" si="27"/>
        <v>0</v>
      </c>
      <c r="AI128" s="133">
        <f t="shared" si="27"/>
        <v>0</v>
      </c>
      <c r="AJ128" s="55" t="str">
        <f t="shared" si="7"/>
        <v/>
      </c>
      <c r="AK128" s="68"/>
      <c r="AL128" s="68" t="str">
        <f t="shared" si="10"/>
        <v>00</v>
      </c>
      <c r="AM128" s="68" t="str">
        <f t="shared" si="11"/>
        <v>00</v>
      </c>
      <c r="AN128" s="68" t="str">
        <f t="shared" si="12"/>
        <v>00</v>
      </c>
      <c r="AO128" s="68" t="str">
        <f t="shared" si="13"/>
        <v>00</v>
      </c>
      <c r="AQ128" t="str">
        <f t="shared" si="8"/>
        <v/>
      </c>
    </row>
    <row r="129" spans="1:43">
      <c r="B129" s="139"/>
      <c r="C129" s="55">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0</v>
      </c>
      <c r="AE129" s="133">
        <f t="shared" si="27"/>
        <v>0</v>
      </c>
      <c r="AF129" s="133">
        <f t="shared" si="27"/>
        <v>0</v>
      </c>
      <c r="AG129" s="133">
        <f t="shared" si="27"/>
        <v>0</v>
      </c>
      <c r="AH129" s="133">
        <f t="shared" si="27"/>
        <v>0</v>
      </c>
      <c r="AI129" s="133">
        <f t="shared" si="27"/>
        <v>0</v>
      </c>
      <c r="AJ129" s="55" t="str">
        <f t="shared" si="7"/>
        <v/>
      </c>
      <c r="AK129" s="68"/>
      <c r="AL129" s="68" t="str">
        <f t="shared" si="10"/>
        <v>00</v>
      </c>
      <c r="AM129" s="68" t="str">
        <f t="shared" si="11"/>
        <v>00</v>
      </c>
      <c r="AN129" s="68" t="str">
        <f t="shared" si="12"/>
        <v>00</v>
      </c>
      <c r="AO129" s="68" t="str">
        <f t="shared" si="13"/>
        <v>00</v>
      </c>
      <c r="AQ129" t="str">
        <f t="shared" si="8"/>
        <v/>
      </c>
    </row>
    <row r="130" spans="1:43">
      <c r="B130" s="139"/>
      <c r="C130" s="55">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0</v>
      </c>
      <c r="AE130" s="133">
        <f t="shared" si="27"/>
        <v>0</v>
      </c>
      <c r="AF130" s="133">
        <f t="shared" si="27"/>
        <v>0</v>
      </c>
      <c r="AG130" s="133">
        <f t="shared" si="27"/>
        <v>0</v>
      </c>
      <c r="AH130" s="133">
        <f t="shared" si="27"/>
        <v>0</v>
      </c>
      <c r="AI130" s="133">
        <f t="shared" si="27"/>
        <v>0</v>
      </c>
      <c r="AJ130" s="55" t="str">
        <f t="shared" si="7"/>
        <v/>
      </c>
      <c r="AK130" s="68"/>
      <c r="AL130" s="68" t="str">
        <f t="shared" si="10"/>
        <v>00</v>
      </c>
      <c r="AM130" s="68" t="str">
        <f t="shared" si="11"/>
        <v>00</v>
      </c>
      <c r="AN130" s="68" t="str">
        <f t="shared" si="12"/>
        <v>00</v>
      </c>
      <c r="AO130" s="68" t="str">
        <f t="shared" si="13"/>
        <v>00</v>
      </c>
      <c r="AQ130" t="str">
        <f t="shared" si="8"/>
        <v/>
      </c>
    </row>
    <row r="131" spans="1:43">
      <c r="B131" s="139"/>
      <c r="C131" s="55">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0</v>
      </c>
      <c r="AE131" s="133">
        <f t="shared" si="27"/>
        <v>0</v>
      </c>
      <c r="AF131" s="133">
        <f t="shared" si="27"/>
        <v>0</v>
      </c>
      <c r="AG131" s="133">
        <f t="shared" si="27"/>
        <v>0</v>
      </c>
      <c r="AH131" s="133">
        <f t="shared" si="27"/>
        <v>0</v>
      </c>
      <c r="AI131" s="133">
        <f t="shared" si="27"/>
        <v>0</v>
      </c>
      <c r="AJ131" s="55" t="str">
        <f t="shared" si="7"/>
        <v/>
      </c>
      <c r="AK131" s="68"/>
      <c r="AL131" s="68" t="str">
        <f t="shared" si="10"/>
        <v>00</v>
      </c>
      <c r="AM131" s="68" t="str">
        <f t="shared" si="11"/>
        <v>00</v>
      </c>
      <c r="AN131" s="68" t="str">
        <f t="shared" si="12"/>
        <v>00</v>
      </c>
      <c r="AO131" s="68" t="str">
        <f t="shared" si="13"/>
        <v>00</v>
      </c>
      <c r="AQ131" t="str">
        <f t="shared" si="8"/>
        <v/>
      </c>
    </row>
    <row r="132" spans="1:43">
      <c r="B132" s="139"/>
      <c r="C132" s="55">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0</v>
      </c>
      <c r="AE132" s="133">
        <f t="shared" si="27"/>
        <v>0</v>
      </c>
      <c r="AF132" s="133">
        <f t="shared" si="27"/>
        <v>0</v>
      </c>
      <c r="AG132" s="133">
        <f t="shared" si="27"/>
        <v>0</v>
      </c>
      <c r="AH132" s="133">
        <f t="shared" si="27"/>
        <v>0</v>
      </c>
      <c r="AI132" s="133">
        <f t="shared" si="27"/>
        <v>0</v>
      </c>
      <c r="AJ132" s="55" t="str">
        <f t="shared" si="7"/>
        <v/>
      </c>
      <c r="AK132" s="68"/>
      <c r="AL132" s="68" t="str">
        <f t="shared" si="10"/>
        <v>00</v>
      </c>
      <c r="AM132" s="68" t="str">
        <f t="shared" si="11"/>
        <v>00</v>
      </c>
      <c r="AN132" s="68" t="str">
        <f t="shared" si="12"/>
        <v>00</v>
      </c>
      <c r="AO132" s="68" t="str">
        <f t="shared" si="13"/>
        <v>00</v>
      </c>
      <c r="AQ132" t="str">
        <f t="shared" si="8"/>
        <v/>
      </c>
    </row>
    <row r="133" spans="1:43">
      <c r="B133" s="139"/>
      <c r="C133" s="55">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0</v>
      </c>
      <c r="AE133" s="133">
        <f t="shared" si="27"/>
        <v>0</v>
      </c>
      <c r="AF133" s="133">
        <f t="shared" si="27"/>
        <v>0</v>
      </c>
      <c r="AG133" s="133">
        <f t="shared" si="27"/>
        <v>0</v>
      </c>
      <c r="AH133" s="133">
        <f t="shared" si="27"/>
        <v>0</v>
      </c>
      <c r="AI133" s="133">
        <f t="shared" si="27"/>
        <v>0</v>
      </c>
      <c r="AJ133" s="55" t="str">
        <f t="shared" si="7"/>
        <v/>
      </c>
      <c r="AK133" s="68"/>
      <c r="AL133" s="68" t="str">
        <f t="shared" si="10"/>
        <v>00</v>
      </c>
      <c r="AM133" s="68" t="str">
        <f t="shared" si="11"/>
        <v>00</v>
      </c>
      <c r="AN133" s="68" t="str">
        <f t="shared" si="12"/>
        <v>00</v>
      </c>
      <c r="AO133" s="68" t="str">
        <f t="shared" si="13"/>
        <v>00</v>
      </c>
      <c r="AQ133" t="str">
        <f t="shared" si="8"/>
        <v/>
      </c>
    </row>
    <row r="134" spans="1:43">
      <c r="B134" s="140"/>
      <c r="C134" s="55">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0</v>
      </c>
      <c r="AE134" s="133">
        <f t="shared" si="27"/>
        <v>0</v>
      </c>
      <c r="AF134" s="133">
        <f t="shared" si="27"/>
        <v>0</v>
      </c>
      <c r="AG134" s="133">
        <f t="shared" si="27"/>
        <v>0</v>
      </c>
      <c r="AH134" s="133">
        <f t="shared" si="27"/>
        <v>0</v>
      </c>
      <c r="AI134" s="133">
        <f t="shared" ref="AI134" si="28">IF(AI69=1,1,0)</f>
        <v>0</v>
      </c>
      <c r="AJ134" s="55" t="str">
        <f t="shared" si="7"/>
        <v/>
      </c>
      <c r="AK134" s="68"/>
      <c r="AL134" s="68" t="str">
        <f t="shared" si="10"/>
        <v>00</v>
      </c>
      <c r="AM134" s="68" t="str">
        <f t="shared" si="11"/>
        <v>00</v>
      </c>
      <c r="AN134" s="68" t="str">
        <f t="shared" si="12"/>
        <v>00</v>
      </c>
      <c r="AO134" s="68" t="str">
        <f t="shared" si="13"/>
        <v>00</v>
      </c>
      <c r="AQ134" t="str">
        <f t="shared" si="8"/>
        <v/>
      </c>
    </row>
    <row r="135" spans="1:43">
      <c r="A135" s="64" t="s">
        <v>68</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1" t="str">
        <f ca="1">IF(B6&lt;&gt;"",B6,"")</f>
        <v>Table TT_R</v>
      </c>
      <c r="C136" s="55">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0</v>
      </c>
      <c r="AE136" s="133">
        <f t="shared" si="29"/>
        <v>1</v>
      </c>
      <c r="AF136" s="133">
        <f t="shared" si="29"/>
        <v>1</v>
      </c>
      <c r="AG136" s="133">
        <f t="shared" si="29"/>
        <v>1</v>
      </c>
      <c r="AH136" s="133">
        <f t="shared" si="29"/>
        <v>1</v>
      </c>
      <c r="AI136" s="133">
        <f t="shared" si="29"/>
        <v>1</v>
      </c>
      <c r="AJ136" s="55" t="str">
        <f t="shared" ref="AJ136:AJ199" si="30">IF(AJ6&lt;&gt;"",AJ6,"")</f>
        <v>UNKNOWN</v>
      </c>
      <c r="AK136" s="68"/>
      <c r="AL136" s="68" t="str">
        <f>BIN2HEX(AB136&amp;AC136&amp;AD136&amp;AE136&amp;AF136&amp;AG136&amp;AH136&amp;AI136,2)</f>
        <v>1F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9"/>
      <c r="C137" s="55">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0</v>
      </c>
      <c r="AE137" s="133">
        <f t="shared" si="29"/>
        <v>1</v>
      </c>
      <c r="AF137" s="133">
        <f t="shared" si="29"/>
        <v>1</v>
      </c>
      <c r="AG137" s="133">
        <f t="shared" si="29"/>
        <v>1</v>
      </c>
      <c r="AH137" s="133">
        <f t="shared" si="29"/>
        <v>1</v>
      </c>
      <c r="AI137" s="133">
        <f t="shared" si="29"/>
        <v>1</v>
      </c>
      <c r="AJ137" s="55" t="str">
        <f t="shared" si="30"/>
        <v>ON_G</v>
      </c>
      <c r="AK137" s="68"/>
      <c r="AL137" s="68" t="str">
        <f t="shared" ref="AL137:AL199" si="33">BIN2HEX(AB137&amp;AC137&amp;AD137&amp;AE137&amp;AF137&amp;AG137&amp;AH137&amp;AI137,2)</f>
        <v>1F</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(U4)0x0000001FU,                                                           /* 01 ON_G                                            */</v>
      </c>
    </row>
    <row r="138" spans="1:43">
      <c r="B138" s="139"/>
      <c r="C138" s="55">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0</v>
      </c>
      <c r="AE138" s="133">
        <f t="shared" si="29"/>
        <v>1</v>
      </c>
      <c r="AF138" s="133">
        <f t="shared" si="29"/>
        <v>1</v>
      </c>
      <c r="AG138" s="133">
        <f t="shared" si="29"/>
        <v>1</v>
      </c>
      <c r="AH138" s="133">
        <f t="shared" si="29"/>
        <v>1</v>
      </c>
      <c r="AI138" s="133">
        <f t="shared" si="29"/>
        <v>1</v>
      </c>
      <c r="AJ138" s="55" t="str">
        <f t="shared" si="30"/>
        <v>ON_GY</v>
      </c>
      <c r="AK138" s="68"/>
      <c r="AL138" s="68" t="str">
        <f t="shared" si="33"/>
        <v>1F</v>
      </c>
      <c r="AM138" s="68" t="str">
        <f t="shared" si="34"/>
        <v>00</v>
      </c>
      <c r="AN138" s="68" t="str">
        <f t="shared" si="35"/>
        <v>00</v>
      </c>
      <c r="AO138" s="68" t="str">
        <f t="shared" si="36"/>
        <v>00</v>
      </c>
      <c r="AQ138" t="str">
        <f t="shared" si="31"/>
        <v xml:space="preserve">    (U4)0x0000001FU,                                                           /* 02 ON_GY                                           */</v>
      </c>
    </row>
    <row r="139" spans="1:43">
      <c r="B139" s="139"/>
      <c r="C139" s="55">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0</v>
      </c>
      <c r="AE139" s="133">
        <f t="shared" si="29"/>
        <v>1</v>
      </c>
      <c r="AF139" s="133">
        <f t="shared" si="29"/>
        <v>1</v>
      </c>
      <c r="AG139" s="133">
        <f t="shared" si="29"/>
        <v>1</v>
      </c>
      <c r="AH139" s="133">
        <f t="shared" si="29"/>
        <v>1</v>
      </c>
      <c r="AI139" s="133">
        <f t="shared" si="29"/>
        <v>1</v>
      </c>
      <c r="AJ139" s="55" t="str">
        <f t="shared" si="30"/>
        <v>UNKNOWN</v>
      </c>
      <c r="AK139" s="68"/>
      <c r="AL139" s="68" t="str">
        <f t="shared" si="33"/>
        <v>1F</v>
      </c>
      <c r="AM139" s="68" t="str">
        <f t="shared" si="34"/>
        <v>00</v>
      </c>
      <c r="AN139" s="68" t="str">
        <f t="shared" si="35"/>
        <v>00</v>
      </c>
      <c r="AO139" s="68" t="str">
        <f t="shared" si="36"/>
        <v>00</v>
      </c>
      <c r="AQ139" t="str">
        <f t="shared" si="31"/>
        <v xml:space="preserve">    (U4)0x0000001FU,                                                           /* 03 UNKNOWN                                         */</v>
      </c>
    </row>
    <row r="140" spans="1:43">
      <c r="B140" s="139"/>
      <c r="C140" s="55">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0</v>
      </c>
      <c r="AE140" s="133">
        <f t="shared" si="29"/>
        <v>1</v>
      </c>
      <c r="AF140" s="133">
        <f t="shared" si="29"/>
        <v>1</v>
      </c>
      <c r="AG140" s="133">
        <f t="shared" si="29"/>
        <v>1</v>
      </c>
      <c r="AH140" s="133">
        <f t="shared" si="29"/>
        <v>1</v>
      </c>
      <c r="AI140" s="133">
        <f t="shared" si="29"/>
        <v>1</v>
      </c>
      <c r="AJ140" s="55" t="str">
        <f t="shared" si="30"/>
        <v>UNKNOWN</v>
      </c>
      <c r="AK140" s="68"/>
      <c r="AL140" s="68" t="str">
        <f t="shared" si="33"/>
        <v>1F</v>
      </c>
      <c r="AM140" s="68" t="str">
        <f t="shared" si="34"/>
        <v>00</v>
      </c>
      <c r="AN140" s="68" t="str">
        <f t="shared" si="35"/>
        <v>00</v>
      </c>
      <c r="AO140" s="68" t="str">
        <f t="shared" si="36"/>
        <v>00</v>
      </c>
      <c r="AQ140" t="str">
        <f t="shared" si="31"/>
        <v xml:space="preserve">    (U4)0x0000001FU,                                                           /* 04 UNKNOWN                                         */</v>
      </c>
    </row>
    <row r="141" spans="1:43">
      <c r="B141" s="139"/>
      <c r="C141" s="55">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0</v>
      </c>
      <c r="AE141" s="133">
        <f t="shared" si="29"/>
        <v>1</v>
      </c>
      <c r="AF141" s="133">
        <f t="shared" si="29"/>
        <v>1</v>
      </c>
      <c r="AG141" s="133">
        <f t="shared" si="29"/>
        <v>1</v>
      </c>
      <c r="AH141" s="133">
        <f t="shared" si="29"/>
        <v>1</v>
      </c>
      <c r="AI141" s="133">
        <f t="shared" si="29"/>
        <v>1</v>
      </c>
      <c r="AJ141" s="55" t="str">
        <f t="shared" si="30"/>
        <v>ON_G</v>
      </c>
      <c r="AK141" s="68"/>
      <c r="AL141" s="68" t="str">
        <f t="shared" si="33"/>
        <v>1F</v>
      </c>
      <c r="AM141" s="68" t="str">
        <f t="shared" si="34"/>
        <v>00</v>
      </c>
      <c r="AN141" s="68" t="str">
        <f t="shared" si="35"/>
        <v>00</v>
      </c>
      <c r="AO141" s="68" t="str">
        <f t="shared" si="36"/>
        <v>00</v>
      </c>
      <c r="AQ141" t="str">
        <f t="shared" si="31"/>
        <v xml:space="preserve">    (U4)0x0000001FU,                                                           /* 05 ON_G                                            */</v>
      </c>
    </row>
    <row r="142" spans="1:43">
      <c r="B142" s="139"/>
      <c r="C142" s="55">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0</v>
      </c>
      <c r="AE142" s="133">
        <f t="shared" si="29"/>
        <v>1</v>
      </c>
      <c r="AF142" s="133">
        <f t="shared" si="29"/>
        <v>1</v>
      </c>
      <c r="AG142" s="133">
        <f t="shared" si="29"/>
        <v>1</v>
      </c>
      <c r="AH142" s="133">
        <f t="shared" si="29"/>
        <v>1</v>
      </c>
      <c r="AI142" s="133">
        <f t="shared" si="29"/>
        <v>1</v>
      </c>
      <c r="AJ142" s="55" t="str">
        <f t="shared" si="30"/>
        <v>UNKNOWN</v>
      </c>
      <c r="AK142" s="68"/>
      <c r="AL142" s="68" t="str">
        <f t="shared" si="33"/>
        <v>1F</v>
      </c>
      <c r="AM142" s="68" t="str">
        <f t="shared" si="34"/>
        <v>00</v>
      </c>
      <c r="AN142" s="68" t="str">
        <f t="shared" si="35"/>
        <v>00</v>
      </c>
      <c r="AO142" s="68" t="str">
        <f t="shared" si="36"/>
        <v>00</v>
      </c>
      <c r="AQ142" t="str">
        <f t="shared" si="31"/>
        <v xml:space="preserve">    (U4)0x0000001FU,                                                           /* 06 UNKNOWN                                         */</v>
      </c>
    </row>
    <row r="143" spans="1:43">
      <c r="B143" s="139"/>
      <c r="C143" s="55">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0</v>
      </c>
      <c r="AE143" s="133">
        <f t="shared" si="29"/>
        <v>1</v>
      </c>
      <c r="AF143" s="133">
        <f t="shared" si="29"/>
        <v>1</v>
      </c>
      <c r="AG143" s="133">
        <f t="shared" si="29"/>
        <v>1</v>
      </c>
      <c r="AH143" s="133">
        <f t="shared" si="29"/>
        <v>1</v>
      </c>
      <c r="AI143" s="133">
        <f t="shared" ref="AI143" si="37">IF(OR(AI13=0,AI13=1),1,0)</f>
        <v>1</v>
      </c>
      <c r="AJ143" s="55" t="str">
        <f t="shared" si="30"/>
        <v>ON_W</v>
      </c>
      <c r="AK143" s="68"/>
      <c r="AL143" s="68" t="str">
        <f t="shared" si="33"/>
        <v>1F</v>
      </c>
      <c r="AM143" s="68" t="str">
        <f t="shared" si="34"/>
        <v>00</v>
      </c>
      <c r="AN143" s="68" t="str">
        <f t="shared" si="35"/>
        <v>00</v>
      </c>
      <c r="AO143" s="68" t="str">
        <f t="shared" si="36"/>
        <v>00</v>
      </c>
      <c r="AQ143" t="str">
        <f t="shared" si="31"/>
        <v xml:space="preserve">    (U4)0x0000001FU,                                                           /* 07 ON_W                                            */</v>
      </c>
    </row>
    <row r="144" spans="1:43">
      <c r="B144" s="139"/>
      <c r="C144" s="55">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0</v>
      </c>
      <c r="AE144" s="133">
        <f t="shared" si="38"/>
        <v>1</v>
      </c>
      <c r="AF144" s="133">
        <f t="shared" si="38"/>
        <v>1</v>
      </c>
      <c r="AG144" s="133">
        <f t="shared" si="38"/>
        <v>1</v>
      </c>
      <c r="AH144" s="133">
        <f t="shared" si="38"/>
        <v>1</v>
      </c>
      <c r="AI144" s="133">
        <f t="shared" si="38"/>
        <v>1</v>
      </c>
      <c r="AJ144" s="55" t="str">
        <f t="shared" si="30"/>
        <v>UNKNOWN</v>
      </c>
      <c r="AK144" s="68"/>
      <c r="AL144" s="68" t="str">
        <f t="shared" si="33"/>
        <v>1F</v>
      </c>
      <c r="AM144" s="68" t="str">
        <f t="shared" si="34"/>
        <v>00</v>
      </c>
      <c r="AN144" s="68" t="str">
        <f t="shared" si="35"/>
        <v>00</v>
      </c>
      <c r="AO144" s="68" t="str">
        <f t="shared" si="36"/>
        <v>00</v>
      </c>
      <c r="AQ144" t="str">
        <f t="shared" si="31"/>
        <v xml:space="preserve">    (U4)0x0000001FU,                                                           /* 08 UNKNOWN                                         */</v>
      </c>
    </row>
    <row r="145" spans="2:43">
      <c r="B145" s="139"/>
      <c r="C145" s="55">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0</v>
      </c>
      <c r="AE145" s="133">
        <f t="shared" si="38"/>
        <v>1</v>
      </c>
      <c r="AF145" s="133">
        <f t="shared" si="38"/>
        <v>1</v>
      </c>
      <c r="AG145" s="133">
        <f t="shared" si="38"/>
        <v>1</v>
      </c>
      <c r="AH145" s="133">
        <f t="shared" si="38"/>
        <v>1</v>
      </c>
      <c r="AI145" s="133">
        <f t="shared" si="38"/>
        <v>1</v>
      </c>
      <c r="AJ145" s="55" t="str">
        <f t="shared" si="30"/>
        <v>UNKNOWN</v>
      </c>
      <c r="AK145" s="68"/>
      <c r="AL145" s="68" t="str">
        <f t="shared" si="33"/>
        <v>1F</v>
      </c>
      <c r="AM145" s="68" t="str">
        <f t="shared" si="34"/>
        <v>00</v>
      </c>
      <c r="AN145" s="68" t="str">
        <f t="shared" si="35"/>
        <v>00</v>
      </c>
      <c r="AO145" s="68" t="str">
        <f t="shared" si="36"/>
        <v>00</v>
      </c>
      <c r="AQ145" t="str">
        <f t="shared" si="31"/>
        <v xml:space="preserve">    (U4)0x0000001FU,                                                           /* 09 UNKNOWN                                         */</v>
      </c>
    </row>
    <row r="146" spans="2:43">
      <c r="B146" s="139"/>
      <c r="C146" s="55">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0</v>
      </c>
      <c r="AE146" s="133">
        <f t="shared" si="38"/>
        <v>1</v>
      </c>
      <c r="AF146" s="133">
        <f t="shared" si="38"/>
        <v>1</v>
      </c>
      <c r="AG146" s="133">
        <f t="shared" si="38"/>
        <v>1</v>
      </c>
      <c r="AH146" s="133">
        <f t="shared" si="38"/>
        <v>1</v>
      </c>
      <c r="AI146" s="133">
        <f t="shared" si="38"/>
        <v>1</v>
      </c>
      <c r="AJ146" s="55" t="str">
        <f t="shared" si="30"/>
        <v>UNKNOWN</v>
      </c>
      <c r="AK146" s="68"/>
      <c r="AL146" s="68" t="str">
        <f t="shared" si="33"/>
        <v>1F</v>
      </c>
      <c r="AM146" s="68" t="str">
        <f t="shared" si="34"/>
        <v>00</v>
      </c>
      <c r="AN146" s="68" t="str">
        <f t="shared" si="35"/>
        <v>00</v>
      </c>
      <c r="AO146" s="68" t="str">
        <f t="shared" si="36"/>
        <v>00</v>
      </c>
      <c r="AQ146" t="str">
        <f t="shared" si="31"/>
        <v xml:space="preserve">    (U4)0x0000001FU,                                                           /* 10 UNKNOWN                                         */</v>
      </c>
    </row>
    <row r="147" spans="2:43">
      <c r="B147" s="139"/>
      <c r="C147" s="55">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0</v>
      </c>
      <c r="AE147" s="133">
        <f t="shared" si="38"/>
        <v>1</v>
      </c>
      <c r="AF147" s="133">
        <f t="shared" si="38"/>
        <v>1</v>
      </c>
      <c r="AG147" s="133">
        <f t="shared" si="38"/>
        <v>1</v>
      </c>
      <c r="AH147" s="133">
        <f t="shared" si="38"/>
        <v>1</v>
      </c>
      <c r="AI147" s="133">
        <f t="shared" si="38"/>
        <v>1</v>
      </c>
      <c r="AJ147" s="55" t="str">
        <f t="shared" si="30"/>
        <v>UNKNOWN</v>
      </c>
      <c r="AK147" s="68"/>
      <c r="AL147" s="68" t="str">
        <f t="shared" si="33"/>
        <v>1F</v>
      </c>
      <c r="AM147" s="68" t="str">
        <f t="shared" si="34"/>
        <v>00</v>
      </c>
      <c r="AN147" s="68" t="str">
        <f t="shared" si="35"/>
        <v>00</v>
      </c>
      <c r="AO147" s="68" t="str">
        <f t="shared" si="36"/>
        <v>00</v>
      </c>
      <c r="AQ147" t="str">
        <f t="shared" si="31"/>
        <v xml:space="preserve">    (U4)0x0000001FU,                                                           /* 11 UNKNOWN                                         */</v>
      </c>
    </row>
    <row r="148" spans="2:43">
      <c r="B148" s="139"/>
      <c r="C148" s="55">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0</v>
      </c>
      <c r="AE148" s="133">
        <f t="shared" si="38"/>
        <v>1</v>
      </c>
      <c r="AF148" s="133">
        <f t="shared" si="38"/>
        <v>1</v>
      </c>
      <c r="AG148" s="133">
        <f t="shared" si="38"/>
        <v>1</v>
      </c>
      <c r="AH148" s="133">
        <f t="shared" si="38"/>
        <v>1</v>
      </c>
      <c r="AI148" s="133">
        <f t="shared" si="38"/>
        <v>1</v>
      </c>
      <c r="AJ148" s="55" t="str">
        <f t="shared" si="30"/>
        <v>UNKNOWN</v>
      </c>
      <c r="AK148" s="68"/>
      <c r="AL148" s="68" t="str">
        <f t="shared" si="33"/>
        <v>1F</v>
      </c>
      <c r="AM148" s="68" t="str">
        <f t="shared" si="34"/>
        <v>00</v>
      </c>
      <c r="AN148" s="68" t="str">
        <f t="shared" si="35"/>
        <v>00</v>
      </c>
      <c r="AO148" s="68" t="str">
        <f t="shared" si="36"/>
        <v>00</v>
      </c>
      <c r="AQ148" t="str">
        <f t="shared" si="31"/>
        <v xml:space="preserve">    (U4)0x0000001FU,                                                           /* 12 UNKNOWN                                         */</v>
      </c>
    </row>
    <row r="149" spans="2:43">
      <c r="B149" s="139"/>
      <c r="C149" s="55">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0</v>
      </c>
      <c r="AE149" s="133">
        <f t="shared" si="38"/>
        <v>1</v>
      </c>
      <c r="AF149" s="133">
        <f t="shared" si="38"/>
        <v>1</v>
      </c>
      <c r="AG149" s="133">
        <f t="shared" si="38"/>
        <v>1</v>
      </c>
      <c r="AH149" s="133">
        <f t="shared" si="38"/>
        <v>1</v>
      </c>
      <c r="AI149" s="133">
        <f t="shared" si="38"/>
        <v>1</v>
      </c>
      <c r="AJ149" s="55" t="str">
        <f t="shared" si="30"/>
        <v>UNKNOWN</v>
      </c>
      <c r="AK149" s="68"/>
      <c r="AL149" s="68" t="str">
        <f t="shared" si="33"/>
        <v>1F</v>
      </c>
      <c r="AM149" s="68" t="str">
        <f t="shared" si="34"/>
        <v>00</v>
      </c>
      <c r="AN149" s="68" t="str">
        <f t="shared" si="35"/>
        <v>00</v>
      </c>
      <c r="AO149" s="68" t="str">
        <f t="shared" si="36"/>
        <v>00</v>
      </c>
      <c r="AQ149" t="str">
        <f t="shared" si="31"/>
        <v xml:space="preserve">    (U4)0x0000001FU,                                                           /* 13 UNKNOWN                                         */</v>
      </c>
    </row>
    <row r="150" spans="2:43">
      <c r="B150" s="139"/>
      <c r="C150" s="55">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0</v>
      </c>
      <c r="AE150" s="133">
        <f t="shared" si="38"/>
        <v>1</v>
      </c>
      <c r="AF150" s="133">
        <f t="shared" si="38"/>
        <v>1</v>
      </c>
      <c r="AG150" s="133">
        <f t="shared" si="38"/>
        <v>1</v>
      </c>
      <c r="AH150" s="133">
        <f t="shared" si="38"/>
        <v>1</v>
      </c>
      <c r="AI150" s="133">
        <f t="shared" si="38"/>
        <v>1</v>
      </c>
      <c r="AJ150" s="55" t="str">
        <f t="shared" si="30"/>
        <v>UNKNOWN</v>
      </c>
      <c r="AK150" s="68"/>
      <c r="AL150" s="68" t="str">
        <f t="shared" si="33"/>
        <v>1F</v>
      </c>
      <c r="AM150" s="68" t="str">
        <f t="shared" si="34"/>
        <v>00</v>
      </c>
      <c r="AN150" s="68" t="str">
        <f t="shared" si="35"/>
        <v>00</v>
      </c>
      <c r="AO150" s="68" t="str">
        <f t="shared" si="36"/>
        <v>00</v>
      </c>
      <c r="AQ150" t="str">
        <f t="shared" si="31"/>
        <v xml:space="preserve">    (U4)0x0000001FU,                                                           /* 14 UNKNOWN                                         */</v>
      </c>
    </row>
    <row r="151" spans="2:43">
      <c r="B151" s="139"/>
      <c r="C151" s="55">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0</v>
      </c>
      <c r="AE151" s="133">
        <f t="shared" si="38"/>
        <v>1</v>
      </c>
      <c r="AF151" s="133">
        <f t="shared" si="38"/>
        <v>1</v>
      </c>
      <c r="AG151" s="133">
        <f t="shared" si="38"/>
        <v>1</v>
      </c>
      <c r="AH151" s="133">
        <f t="shared" si="38"/>
        <v>1</v>
      </c>
      <c r="AI151" s="133">
        <f t="shared" ref="AI151" si="39">IF(OR(AI21=0,AI21=1),1,0)</f>
        <v>1</v>
      </c>
      <c r="AJ151" s="55" t="str">
        <f t="shared" si="30"/>
        <v>UNKNOWN</v>
      </c>
      <c r="AK151" s="68"/>
      <c r="AL151" s="68" t="str">
        <f t="shared" si="33"/>
        <v>1F</v>
      </c>
      <c r="AM151" s="68" t="str">
        <f t="shared" si="34"/>
        <v>00</v>
      </c>
      <c r="AN151" s="68" t="str">
        <f t="shared" si="35"/>
        <v>00</v>
      </c>
      <c r="AO151" s="68" t="str">
        <f t="shared" si="36"/>
        <v>00</v>
      </c>
      <c r="AQ151" t="str">
        <f t="shared" si="31"/>
        <v xml:space="preserve">    (U4)0x0000001FU,                                                           /* 15 UNKNOWN                                         */</v>
      </c>
    </row>
    <row r="152" spans="2:43">
      <c r="B152" s="139"/>
      <c r="C152" s="55">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0</v>
      </c>
      <c r="AE152" s="133">
        <f t="shared" si="40"/>
        <v>1</v>
      </c>
      <c r="AF152" s="133">
        <f t="shared" si="40"/>
        <v>1</v>
      </c>
      <c r="AG152" s="133">
        <f t="shared" si="40"/>
        <v>1</v>
      </c>
      <c r="AH152" s="133">
        <f t="shared" si="40"/>
        <v>1</v>
      </c>
      <c r="AI152" s="133">
        <f t="shared" si="40"/>
        <v>1</v>
      </c>
      <c r="AJ152" s="55" t="str">
        <f t="shared" si="30"/>
        <v>UNKNOWN</v>
      </c>
      <c r="AK152" s="68"/>
      <c r="AL152" s="68" t="str">
        <f t="shared" si="33"/>
        <v>1F</v>
      </c>
      <c r="AM152" s="68" t="str">
        <f t="shared" si="34"/>
        <v>00</v>
      </c>
      <c r="AN152" s="68" t="str">
        <f t="shared" si="35"/>
        <v>00</v>
      </c>
      <c r="AO152" s="68" t="str">
        <f t="shared" si="36"/>
        <v>00</v>
      </c>
      <c r="AQ152" t="str">
        <f t="shared" si="31"/>
        <v xml:space="preserve">    (U4)0x0000001FU,                                                           /* 16 UNKNOWN                                         */</v>
      </c>
    </row>
    <row r="153" spans="2:43">
      <c r="B153" s="139"/>
      <c r="C153" s="55">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0</v>
      </c>
      <c r="AE153" s="133">
        <f t="shared" si="40"/>
        <v>1</v>
      </c>
      <c r="AF153" s="133">
        <f t="shared" si="40"/>
        <v>1</v>
      </c>
      <c r="AG153" s="133">
        <f t="shared" si="40"/>
        <v>1</v>
      </c>
      <c r="AH153" s="133">
        <f t="shared" si="40"/>
        <v>1</v>
      </c>
      <c r="AI153" s="133">
        <f t="shared" si="40"/>
        <v>1</v>
      </c>
      <c r="AJ153" s="55" t="str">
        <f t="shared" si="30"/>
        <v>UNKNOWN</v>
      </c>
      <c r="AK153" s="68"/>
      <c r="AL153" s="68" t="str">
        <f t="shared" si="33"/>
        <v>1F</v>
      </c>
      <c r="AM153" s="68" t="str">
        <f t="shared" si="34"/>
        <v>00</v>
      </c>
      <c r="AN153" s="68" t="str">
        <f t="shared" si="35"/>
        <v>00</v>
      </c>
      <c r="AO153" s="68" t="str">
        <f t="shared" si="36"/>
        <v>00</v>
      </c>
      <c r="AQ153" t="str">
        <f t="shared" si="31"/>
        <v xml:space="preserve">    (U4)0x0000001FU,                                                           /* 17 UNKNOWN                                         */</v>
      </c>
    </row>
    <row r="154" spans="2:43">
      <c r="B154" s="139"/>
      <c r="C154" s="55">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0</v>
      </c>
      <c r="AE154" s="133">
        <f t="shared" si="40"/>
        <v>1</v>
      </c>
      <c r="AF154" s="133">
        <f t="shared" si="40"/>
        <v>1</v>
      </c>
      <c r="AG154" s="133">
        <f t="shared" si="40"/>
        <v>1</v>
      </c>
      <c r="AH154" s="133">
        <f t="shared" si="40"/>
        <v>1</v>
      </c>
      <c r="AI154" s="133">
        <f t="shared" si="40"/>
        <v>1</v>
      </c>
      <c r="AJ154" s="55" t="str">
        <f t="shared" si="30"/>
        <v>UNKNOWN</v>
      </c>
      <c r="AK154" s="68"/>
      <c r="AL154" s="68" t="str">
        <f t="shared" si="33"/>
        <v>1F</v>
      </c>
      <c r="AM154" s="68" t="str">
        <f t="shared" si="34"/>
        <v>00</v>
      </c>
      <c r="AN154" s="68" t="str">
        <f t="shared" si="35"/>
        <v>00</v>
      </c>
      <c r="AO154" s="68" t="str">
        <f t="shared" si="36"/>
        <v>00</v>
      </c>
      <c r="AQ154" t="str">
        <f t="shared" si="31"/>
        <v xml:space="preserve">    (U4)0x0000001FU,                                                           /* 18 UNKNOWN                                         */</v>
      </c>
    </row>
    <row r="155" spans="2:43">
      <c r="B155" s="139"/>
      <c r="C155" s="55">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0</v>
      </c>
      <c r="AE155" s="133">
        <f t="shared" si="40"/>
        <v>1</v>
      </c>
      <c r="AF155" s="133">
        <f t="shared" si="40"/>
        <v>1</v>
      </c>
      <c r="AG155" s="133">
        <f t="shared" si="40"/>
        <v>1</v>
      </c>
      <c r="AH155" s="133">
        <f t="shared" si="40"/>
        <v>1</v>
      </c>
      <c r="AI155" s="133">
        <f t="shared" si="40"/>
        <v>1</v>
      </c>
      <c r="AJ155" s="55" t="str">
        <f t="shared" si="30"/>
        <v>UNKNOWN</v>
      </c>
      <c r="AK155" s="68"/>
      <c r="AL155" s="68" t="str">
        <f t="shared" si="33"/>
        <v>1F</v>
      </c>
      <c r="AM155" s="68" t="str">
        <f t="shared" si="34"/>
        <v>00</v>
      </c>
      <c r="AN155" s="68" t="str">
        <f t="shared" si="35"/>
        <v>00</v>
      </c>
      <c r="AO155" s="68" t="str">
        <f t="shared" si="36"/>
        <v>00</v>
      </c>
      <c r="AQ155" t="str">
        <f t="shared" si="31"/>
        <v xml:space="preserve">    (U4)0x0000001FU,                                                           /* 19 UNKNOWN                                         */</v>
      </c>
    </row>
    <row r="156" spans="2:43">
      <c r="B156" s="139"/>
      <c r="C156" s="55">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0</v>
      </c>
      <c r="AE156" s="133">
        <f t="shared" si="40"/>
        <v>1</v>
      </c>
      <c r="AF156" s="133">
        <f t="shared" si="40"/>
        <v>1</v>
      </c>
      <c r="AG156" s="133">
        <f t="shared" si="40"/>
        <v>1</v>
      </c>
      <c r="AH156" s="133">
        <f t="shared" si="40"/>
        <v>1</v>
      </c>
      <c r="AI156" s="133">
        <f t="shared" si="40"/>
        <v>1</v>
      </c>
      <c r="AJ156" s="55" t="str">
        <f t="shared" si="30"/>
        <v>UNKNOWN</v>
      </c>
      <c r="AK156" s="68"/>
      <c r="AL156" s="68" t="str">
        <f t="shared" si="33"/>
        <v>1F</v>
      </c>
      <c r="AM156" s="68" t="str">
        <f t="shared" si="34"/>
        <v>00</v>
      </c>
      <c r="AN156" s="68" t="str">
        <f t="shared" si="35"/>
        <v>00</v>
      </c>
      <c r="AO156" s="68" t="str">
        <f t="shared" si="36"/>
        <v>00</v>
      </c>
      <c r="AQ156" t="str">
        <f t="shared" si="31"/>
        <v xml:space="preserve">    (U4)0x0000001FU,                                                           /* 20 UNKNOWN                                         */</v>
      </c>
    </row>
    <row r="157" spans="2:43">
      <c r="B157" s="139"/>
      <c r="C157" s="55">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0</v>
      </c>
      <c r="AE157" s="133">
        <f t="shared" si="40"/>
        <v>1</v>
      </c>
      <c r="AF157" s="133">
        <f t="shared" si="40"/>
        <v>1</v>
      </c>
      <c r="AG157" s="133">
        <f t="shared" si="40"/>
        <v>1</v>
      </c>
      <c r="AH157" s="133">
        <f t="shared" si="40"/>
        <v>1</v>
      </c>
      <c r="AI157" s="133">
        <f t="shared" si="40"/>
        <v>1</v>
      </c>
      <c r="AJ157" s="55" t="str">
        <f t="shared" si="30"/>
        <v>UNKNOWN</v>
      </c>
      <c r="AK157" s="68"/>
      <c r="AL157" s="68" t="str">
        <f t="shared" si="33"/>
        <v>1F</v>
      </c>
      <c r="AM157" s="68" t="str">
        <f t="shared" si="34"/>
        <v>00</v>
      </c>
      <c r="AN157" s="68" t="str">
        <f t="shared" si="35"/>
        <v>00</v>
      </c>
      <c r="AO157" s="68" t="str">
        <f t="shared" si="36"/>
        <v>00</v>
      </c>
      <c r="AQ157" t="str">
        <f t="shared" si="31"/>
        <v xml:space="preserve">    (U4)0x0000001FU,                                                           /* 21 UNKNOWN                                         */</v>
      </c>
    </row>
    <row r="158" spans="2:43">
      <c r="B158" s="139"/>
      <c r="C158" s="55">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0</v>
      </c>
      <c r="AE158" s="133">
        <f t="shared" si="40"/>
        <v>1</v>
      </c>
      <c r="AF158" s="133">
        <f t="shared" si="40"/>
        <v>1</v>
      </c>
      <c r="AG158" s="133">
        <f t="shared" si="40"/>
        <v>1</v>
      </c>
      <c r="AH158" s="133">
        <f t="shared" si="40"/>
        <v>1</v>
      </c>
      <c r="AI158" s="133">
        <f t="shared" si="40"/>
        <v>1</v>
      </c>
      <c r="AJ158" s="55" t="str">
        <f t="shared" si="30"/>
        <v>UNKNOWN</v>
      </c>
      <c r="AK158" s="68"/>
      <c r="AL158" s="68" t="str">
        <f t="shared" si="33"/>
        <v>1F</v>
      </c>
      <c r="AM158" s="68" t="str">
        <f t="shared" si="34"/>
        <v>00</v>
      </c>
      <c r="AN158" s="68" t="str">
        <f t="shared" si="35"/>
        <v>00</v>
      </c>
      <c r="AO158" s="68" t="str">
        <f t="shared" si="36"/>
        <v>00</v>
      </c>
      <c r="AQ158" t="str">
        <f t="shared" si="31"/>
        <v xml:space="preserve">    (U4)0x0000001FU,                                                           /* 22 UNKNOWN                                         */</v>
      </c>
    </row>
    <row r="159" spans="2:43">
      <c r="B159" s="139"/>
      <c r="C159" s="55">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0</v>
      </c>
      <c r="AE159" s="133">
        <f t="shared" si="40"/>
        <v>1</v>
      </c>
      <c r="AF159" s="133">
        <f t="shared" si="40"/>
        <v>1</v>
      </c>
      <c r="AG159" s="133">
        <f t="shared" si="40"/>
        <v>1</v>
      </c>
      <c r="AH159" s="133">
        <f t="shared" si="40"/>
        <v>1</v>
      </c>
      <c r="AI159" s="133">
        <f t="shared" ref="AI159" si="41">IF(OR(AI29=0,AI29=1),1,0)</f>
        <v>1</v>
      </c>
      <c r="AJ159" s="55" t="str">
        <f t="shared" si="30"/>
        <v>UNKNOWN</v>
      </c>
      <c r="AK159" s="68"/>
      <c r="AL159" s="68" t="str">
        <f t="shared" si="33"/>
        <v>1F</v>
      </c>
      <c r="AM159" s="68" t="str">
        <f t="shared" si="34"/>
        <v>00</v>
      </c>
      <c r="AN159" s="68" t="str">
        <f t="shared" si="35"/>
        <v>00</v>
      </c>
      <c r="AO159" s="68" t="str">
        <f t="shared" si="36"/>
        <v>00</v>
      </c>
      <c r="AQ159" t="str">
        <f t="shared" si="31"/>
        <v xml:space="preserve">    (U4)0x0000001FU,                                                           /* 23 UNKNOWN                                         */</v>
      </c>
    </row>
    <row r="160" spans="2:43">
      <c r="B160" s="139"/>
      <c r="C160" s="55">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0</v>
      </c>
      <c r="AE160" s="133">
        <f t="shared" si="42"/>
        <v>1</v>
      </c>
      <c r="AF160" s="133">
        <f t="shared" si="42"/>
        <v>1</v>
      </c>
      <c r="AG160" s="133">
        <f t="shared" si="42"/>
        <v>1</v>
      </c>
      <c r="AH160" s="133">
        <f t="shared" si="42"/>
        <v>1</v>
      </c>
      <c r="AI160" s="133">
        <f t="shared" si="42"/>
        <v>1</v>
      </c>
      <c r="AJ160" s="55" t="str">
        <f t="shared" si="30"/>
        <v>UNKNOWN</v>
      </c>
      <c r="AK160" s="68"/>
      <c r="AL160" s="68" t="str">
        <f t="shared" si="33"/>
        <v>1F</v>
      </c>
      <c r="AM160" s="68" t="str">
        <f t="shared" si="34"/>
        <v>00</v>
      </c>
      <c r="AN160" s="68" t="str">
        <f t="shared" si="35"/>
        <v>00</v>
      </c>
      <c r="AO160" s="68" t="str">
        <f t="shared" si="36"/>
        <v>00</v>
      </c>
      <c r="AQ160" t="str">
        <f t="shared" si="31"/>
        <v xml:space="preserve">    (U4)0x0000001FU,                                                           /* 24 UNKNOWN                                         */</v>
      </c>
    </row>
    <row r="161" spans="2:43">
      <c r="B161" s="139"/>
      <c r="C161" s="55">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0</v>
      </c>
      <c r="AE161" s="133">
        <f t="shared" si="42"/>
        <v>1</v>
      </c>
      <c r="AF161" s="133">
        <f t="shared" si="42"/>
        <v>1</v>
      </c>
      <c r="AG161" s="133">
        <f t="shared" si="42"/>
        <v>1</v>
      </c>
      <c r="AH161" s="133">
        <f t="shared" si="42"/>
        <v>1</v>
      </c>
      <c r="AI161" s="133">
        <f t="shared" si="42"/>
        <v>1</v>
      </c>
      <c r="AJ161" s="55" t="str">
        <f t="shared" si="30"/>
        <v>UNKNOWN</v>
      </c>
      <c r="AK161" s="68"/>
      <c r="AL161" s="68" t="str">
        <f t="shared" si="33"/>
        <v>1F</v>
      </c>
      <c r="AM161" s="68" t="str">
        <f t="shared" si="34"/>
        <v>00</v>
      </c>
      <c r="AN161" s="68" t="str">
        <f t="shared" si="35"/>
        <v>00</v>
      </c>
      <c r="AO161" s="68" t="str">
        <f t="shared" si="36"/>
        <v>00</v>
      </c>
      <c r="AQ161" t="str">
        <f t="shared" si="31"/>
        <v xml:space="preserve">    (U4)0x0000001FU,                                                           /* 25 UNKNOWN                                         */</v>
      </c>
    </row>
    <row r="162" spans="2:43">
      <c r="B162" s="139"/>
      <c r="C162" s="55">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0</v>
      </c>
      <c r="AE162" s="133">
        <f t="shared" si="42"/>
        <v>1</v>
      </c>
      <c r="AF162" s="133">
        <f t="shared" si="42"/>
        <v>1</v>
      </c>
      <c r="AG162" s="133">
        <f t="shared" si="42"/>
        <v>1</v>
      </c>
      <c r="AH162" s="133">
        <f t="shared" si="42"/>
        <v>1</v>
      </c>
      <c r="AI162" s="133">
        <f t="shared" si="42"/>
        <v>1</v>
      </c>
      <c r="AJ162" s="55" t="str">
        <f t="shared" si="30"/>
        <v>UNKNOWN</v>
      </c>
      <c r="AK162" s="68"/>
      <c r="AL162" s="68" t="str">
        <f t="shared" si="33"/>
        <v>1F</v>
      </c>
      <c r="AM162" s="68" t="str">
        <f t="shared" si="34"/>
        <v>00</v>
      </c>
      <c r="AN162" s="68" t="str">
        <f t="shared" si="35"/>
        <v>00</v>
      </c>
      <c r="AO162" s="68" t="str">
        <f t="shared" si="36"/>
        <v>00</v>
      </c>
      <c r="AQ162" t="str">
        <f t="shared" si="31"/>
        <v xml:space="preserve">    (U4)0x0000001FU,                                                           /* 26 UNKNOWN                                         */</v>
      </c>
    </row>
    <row r="163" spans="2:43">
      <c r="B163" s="139"/>
      <c r="C163" s="55">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0</v>
      </c>
      <c r="AE163" s="133">
        <f t="shared" si="42"/>
        <v>1</v>
      </c>
      <c r="AF163" s="133">
        <f t="shared" si="42"/>
        <v>1</v>
      </c>
      <c r="AG163" s="133">
        <f t="shared" si="42"/>
        <v>1</v>
      </c>
      <c r="AH163" s="133">
        <f t="shared" si="42"/>
        <v>1</v>
      </c>
      <c r="AI163" s="133">
        <f t="shared" si="42"/>
        <v>1</v>
      </c>
      <c r="AJ163" s="55" t="str">
        <f t="shared" si="30"/>
        <v>UNKNOWN</v>
      </c>
      <c r="AK163" s="68"/>
      <c r="AL163" s="68" t="str">
        <f t="shared" si="33"/>
        <v>1F</v>
      </c>
      <c r="AM163" s="68" t="str">
        <f t="shared" si="34"/>
        <v>00</v>
      </c>
      <c r="AN163" s="68" t="str">
        <f t="shared" si="35"/>
        <v>00</v>
      </c>
      <c r="AO163" s="68" t="str">
        <f t="shared" si="36"/>
        <v>00</v>
      </c>
      <c r="AQ163" t="str">
        <f t="shared" si="31"/>
        <v xml:space="preserve">    (U4)0x0000001FU,                                                           /* 27 UNKNOWN                                         */</v>
      </c>
    </row>
    <row r="164" spans="2:43">
      <c r="B164" s="139"/>
      <c r="C164" s="55">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0</v>
      </c>
      <c r="AE164" s="133">
        <f t="shared" si="42"/>
        <v>1</v>
      </c>
      <c r="AF164" s="133">
        <f t="shared" si="42"/>
        <v>1</v>
      </c>
      <c r="AG164" s="133">
        <f t="shared" si="42"/>
        <v>1</v>
      </c>
      <c r="AH164" s="133">
        <f t="shared" si="42"/>
        <v>1</v>
      </c>
      <c r="AI164" s="133">
        <f t="shared" si="42"/>
        <v>1</v>
      </c>
      <c r="AJ164" s="55" t="str">
        <f t="shared" si="30"/>
        <v>UNKNOWN</v>
      </c>
      <c r="AK164" s="68"/>
      <c r="AL164" s="68" t="str">
        <f t="shared" si="33"/>
        <v>1F</v>
      </c>
      <c r="AM164" s="68" t="str">
        <f t="shared" si="34"/>
        <v>00</v>
      </c>
      <c r="AN164" s="68" t="str">
        <f t="shared" si="35"/>
        <v>00</v>
      </c>
      <c r="AO164" s="68" t="str">
        <f t="shared" si="36"/>
        <v>00</v>
      </c>
      <c r="AQ164" t="str">
        <f t="shared" si="31"/>
        <v xml:space="preserve">    (U4)0x0000001FU,                                                           /* 28 UNKNOWN                                         */</v>
      </c>
    </row>
    <row r="165" spans="2:43">
      <c r="B165" s="139"/>
      <c r="C165" s="55">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0</v>
      </c>
      <c r="AE165" s="133">
        <f t="shared" si="42"/>
        <v>1</v>
      </c>
      <c r="AF165" s="133">
        <f t="shared" si="42"/>
        <v>1</v>
      </c>
      <c r="AG165" s="133">
        <f t="shared" si="42"/>
        <v>1</v>
      </c>
      <c r="AH165" s="133">
        <f t="shared" si="42"/>
        <v>1</v>
      </c>
      <c r="AI165" s="133">
        <f t="shared" si="42"/>
        <v>1</v>
      </c>
      <c r="AJ165" s="55" t="str">
        <f t="shared" si="30"/>
        <v>UNKNOWN</v>
      </c>
      <c r="AK165" s="68"/>
      <c r="AL165" s="68" t="str">
        <f t="shared" si="33"/>
        <v>1F</v>
      </c>
      <c r="AM165" s="68" t="str">
        <f t="shared" si="34"/>
        <v>00</v>
      </c>
      <c r="AN165" s="68" t="str">
        <f t="shared" si="35"/>
        <v>00</v>
      </c>
      <c r="AO165" s="68" t="str">
        <f t="shared" si="36"/>
        <v>00</v>
      </c>
      <c r="AQ165" t="str">
        <f t="shared" si="31"/>
        <v xml:space="preserve">    (U4)0x0000001FU,                                                           /* 29 UNKNOWN                                         */</v>
      </c>
    </row>
    <row r="166" spans="2:43">
      <c r="B166" s="139"/>
      <c r="C166" s="55">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0</v>
      </c>
      <c r="AE166" s="133">
        <f t="shared" si="42"/>
        <v>1</v>
      </c>
      <c r="AF166" s="133">
        <f t="shared" si="42"/>
        <v>1</v>
      </c>
      <c r="AG166" s="133">
        <f t="shared" si="42"/>
        <v>1</v>
      </c>
      <c r="AH166" s="133">
        <f t="shared" si="42"/>
        <v>1</v>
      </c>
      <c r="AI166" s="133">
        <f t="shared" si="42"/>
        <v>1</v>
      </c>
      <c r="AJ166" s="55" t="str">
        <f t="shared" si="30"/>
        <v>UNKNOWN</v>
      </c>
      <c r="AK166" s="68"/>
      <c r="AL166" s="68" t="str">
        <f t="shared" si="33"/>
        <v>1F</v>
      </c>
      <c r="AM166" s="68" t="str">
        <f t="shared" si="34"/>
        <v>00</v>
      </c>
      <c r="AN166" s="68" t="str">
        <f t="shared" si="35"/>
        <v>00</v>
      </c>
      <c r="AO166" s="68" t="str">
        <f t="shared" si="36"/>
        <v>00</v>
      </c>
      <c r="AQ166" t="str">
        <f t="shared" si="31"/>
        <v xml:space="preserve">    (U4)0x0000001FU,                                                           /* 30 UNKNOWN                                         */</v>
      </c>
    </row>
    <row r="167" spans="2:43">
      <c r="B167" s="139"/>
      <c r="C167" s="55">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0</v>
      </c>
      <c r="AE167" s="133">
        <f t="shared" si="42"/>
        <v>1</v>
      </c>
      <c r="AF167" s="133">
        <f t="shared" si="42"/>
        <v>1</v>
      </c>
      <c r="AG167" s="133">
        <f t="shared" si="42"/>
        <v>1</v>
      </c>
      <c r="AH167" s="133">
        <f t="shared" si="42"/>
        <v>1</v>
      </c>
      <c r="AI167" s="133">
        <f t="shared" ref="AI167" si="43">IF(OR(AI37=0,AI37=1),1,0)</f>
        <v>1</v>
      </c>
      <c r="AJ167" s="55" t="str">
        <f t="shared" si="30"/>
        <v>UNKNOWN</v>
      </c>
      <c r="AK167" s="68"/>
      <c r="AL167" s="68" t="str">
        <f t="shared" si="33"/>
        <v>1F</v>
      </c>
      <c r="AM167" s="68" t="str">
        <f t="shared" si="34"/>
        <v>00</v>
      </c>
      <c r="AN167" s="68" t="str">
        <f t="shared" si="35"/>
        <v>00</v>
      </c>
      <c r="AO167" s="68" t="str">
        <f t="shared" si="36"/>
        <v>00</v>
      </c>
      <c r="AQ167" t="str">
        <f t="shared" si="31"/>
        <v xml:space="preserve">    (U4)0x0000001FU                                                            /* 31 UNKNOWN                                         */</v>
      </c>
    </row>
    <row r="168" spans="2:43">
      <c r="B168" s="139"/>
      <c r="C168" s="55">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0</v>
      </c>
      <c r="AE168" s="133">
        <f t="shared" si="44"/>
        <v>0</v>
      </c>
      <c r="AF168" s="133">
        <f t="shared" si="44"/>
        <v>0</v>
      </c>
      <c r="AG168" s="133">
        <f t="shared" si="44"/>
        <v>0</v>
      </c>
      <c r="AH168" s="133">
        <f t="shared" si="44"/>
        <v>0</v>
      </c>
      <c r="AI168" s="133">
        <f t="shared" si="44"/>
        <v>0</v>
      </c>
      <c r="AJ168" s="55" t="str">
        <f t="shared" si="30"/>
        <v/>
      </c>
      <c r="AK168" s="68"/>
      <c r="AL168" s="68" t="str">
        <f t="shared" si="33"/>
        <v>00</v>
      </c>
      <c r="AM168" s="68" t="str">
        <f t="shared" si="34"/>
        <v>00</v>
      </c>
      <c r="AN168" s="68" t="str">
        <f t="shared" si="35"/>
        <v>00</v>
      </c>
      <c r="AO168" s="68" t="str">
        <f t="shared" si="36"/>
        <v>00</v>
      </c>
      <c r="AQ168" t="str">
        <f t="shared" si="31"/>
        <v/>
      </c>
    </row>
    <row r="169" spans="2:43">
      <c r="B169" s="139"/>
      <c r="C169" s="55">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0</v>
      </c>
      <c r="AE169" s="133">
        <f t="shared" si="44"/>
        <v>0</v>
      </c>
      <c r="AF169" s="133">
        <f t="shared" si="44"/>
        <v>0</v>
      </c>
      <c r="AG169" s="133">
        <f t="shared" si="44"/>
        <v>0</v>
      </c>
      <c r="AH169" s="133">
        <f t="shared" si="44"/>
        <v>0</v>
      </c>
      <c r="AI169" s="133">
        <f t="shared" si="44"/>
        <v>0</v>
      </c>
      <c r="AJ169" s="55" t="str">
        <f t="shared" si="30"/>
        <v/>
      </c>
      <c r="AK169" s="68"/>
      <c r="AL169" s="68" t="str">
        <f t="shared" si="33"/>
        <v>00</v>
      </c>
      <c r="AM169" s="68" t="str">
        <f t="shared" si="34"/>
        <v>00</v>
      </c>
      <c r="AN169" s="68" t="str">
        <f t="shared" si="35"/>
        <v>00</v>
      </c>
      <c r="AO169" s="68" t="str">
        <f t="shared" si="36"/>
        <v>00</v>
      </c>
      <c r="AQ169" t="str">
        <f t="shared" si="31"/>
        <v/>
      </c>
    </row>
    <row r="170" spans="2:43">
      <c r="B170" s="139"/>
      <c r="C170" s="55">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0</v>
      </c>
      <c r="AE170" s="133">
        <f t="shared" si="44"/>
        <v>0</v>
      </c>
      <c r="AF170" s="133">
        <f t="shared" si="44"/>
        <v>0</v>
      </c>
      <c r="AG170" s="133">
        <f t="shared" si="44"/>
        <v>0</v>
      </c>
      <c r="AH170" s="133">
        <f t="shared" si="44"/>
        <v>0</v>
      </c>
      <c r="AI170" s="133">
        <f t="shared" si="44"/>
        <v>0</v>
      </c>
      <c r="AJ170" s="55" t="str">
        <f t="shared" si="30"/>
        <v/>
      </c>
      <c r="AK170" s="68"/>
      <c r="AL170" s="68" t="str">
        <f t="shared" si="33"/>
        <v>00</v>
      </c>
      <c r="AM170" s="68" t="str">
        <f t="shared" si="34"/>
        <v>00</v>
      </c>
      <c r="AN170" s="68" t="str">
        <f t="shared" si="35"/>
        <v>00</v>
      </c>
      <c r="AO170" s="68" t="str">
        <f t="shared" si="36"/>
        <v>00</v>
      </c>
      <c r="AQ170" t="str">
        <f t="shared" si="31"/>
        <v/>
      </c>
    </row>
    <row r="171" spans="2:43">
      <c r="B171" s="139"/>
      <c r="C171" s="55">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0</v>
      </c>
      <c r="AE171" s="133">
        <f t="shared" si="44"/>
        <v>0</v>
      </c>
      <c r="AF171" s="133">
        <f t="shared" si="44"/>
        <v>0</v>
      </c>
      <c r="AG171" s="133">
        <f t="shared" si="44"/>
        <v>0</v>
      </c>
      <c r="AH171" s="133">
        <f t="shared" si="44"/>
        <v>0</v>
      </c>
      <c r="AI171" s="133">
        <f t="shared" si="44"/>
        <v>0</v>
      </c>
      <c r="AJ171" s="55" t="str">
        <f t="shared" si="30"/>
        <v/>
      </c>
      <c r="AK171" s="68"/>
      <c r="AL171" s="68" t="str">
        <f t="shared" si="33"/>
        <v>00</v>
      </c>
      <c r="AM171" s="68" t="str">
        <f t="shared" si="34"/>
        <v>00</v>
      </c>
      <c r="AN171" s="68" t="str">
        <f t="shared" si="35"/>
        <v>00</v>
      </c>
      <c r="AO171" s="68" t="str">
        <f t="shared" si="36"/>
        <v>00</v>
      </c>
      <c r="AQ171" t="str">
        <f t="shared" si="31"/>
        <v/>
      </c>
    </row>
    <row r="172" spans="2:43">
      <c r="B172" s="139"/>
      <c r="C172" s="55">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0</v>
      </c>
      <c r="AE172" s="133">
        <f t="shared" si="44"/>
        <v>0</v>
      </c>
      <c r="AF172" s="133">
        <f t="shared" si="44"/>
        <v>0</v>
      </c>
      <c r="AG172" s="133">
        <f t="shared" si="44"/>
        <v>0</v>
      </c>
      <c r="AH172" s="133">
        <f t="shared" si="44"/>
        <v>0</v>
      </c>
      <c r="AI172" s="133">
        <f t="shared" si="44"/>
        <v>0</v>
      </c>
      <c r="AJ172" s="55" t="str">
        <f t="shared" si="30"/>
        <v/>
      </c>
      <c r="AK172" s="68"/>
      <c r="AL172" s="68" t="str">
        <f t="shared" si="33"/>
        <v>00</v>
      </c>
      <c r="AM172" s="68" t="str">
        <f t="shared" si="34"/>
        <v>00</v>
      </c>
      <c r="AN172" s="68" t="str">
        <f t="shared" si="35"/>
        <v>00</v>
      </c>
      <c r="AO172" s="68" t="str">
        <f t="shared" si="36"/>
        <v>00</v>
      </c>
      <c r="AQ172" t="str">
        <f t="shared" si="31"/>
        <v/>
      </c>
    </row>
    <row r="173" spans="2:43">
      <c r="B173" s="139"/>
      <c r="C173" s="55">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0</v>
      </c>
      <c r="AE173" s="133">
        <f t="shared" si="44"/>
        <v>0</v>
      </c>
      <c r="AF173" s="133">
        <f t="shared" si="44"/>
        <v>0</v>
      </c>
      <c r="AG173" s="133">
        <f t="shared" si="44"/>
        <v>0</v>
      </c>
      <c r="AH173" s="133">
        <f t="shared" si="44"/>
        <v>0</v>
      </c>
      <c r="AI173" s="133">
        <f t="shared" si="44"/>
        <v>0</v>
      </c>
      <c r="AJ173" s="55" t="str">
        <f t="shared" si="30"/>
        <v/>
      </c>
      <c r="AK173" s="68"/>
      <c r="AL173" s="68" t="str">
        <f t="shared" si="33"/>
        <v>00</v>
      </c>
      <c r="AM173" s="68" t="str">
        <f t="shared" si="34"/>
        <v>00</v>
      </c>
      <c r="AN173" s="68" t="str">
        <f t="shared" si="35"/>
        <v>00</v>
      </c>
      <c r="AO173" s="68" t="str">
        <f t="shared" si="36"/>
        <v>00</v>
      </c>
      <c r="AQ173" t="str">
        <f t="shared" si="31"/>
        <v/>
      </c>
    </row>
    <row r="174" spans="2:43">
      <c r="B174" s="139"/>
      <c r="C174" s="55">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0</v>
      </c>
      <c r="AE174" s="133">
        <f t="shared" si="44"/>
        <v>0</v>
      </c>
      <c r="AF174" s="133">
        <f t="shared" si="44"/>
        <v>0</v>
      </c>
      <c r="AG174" s="133">
        <f t="shared" si="44"/>
        <v>0</v>
      </c>
      <c r="AH174" s="133">
        <f t="shared" si="44"/>
        <v>0</v>
      </c>
      <c r="AI174" s="133">
        <f t="shared" si="44"/>
        <v>0</v>
      </c>
      <c r="AJ174" s="55" t="str">
        <f t="shared" si="30"/>
        <v/>
      </c>
      <c r="AK174" s="68"/>
      <c r="AL174" s="68" t="str">
        <f t="shared" si="33"/>
        <v>00</v>
      </c>
      <c r="AM174" s="68" t="str">
        <f t="shared" si="34"/>
        <v>00</v>
      </c>
      <c r="AN174" s="68" t="str">
        <f t="shared" si="35"/>
        <v>00</v>
      </c>
      <c r="AO174" s="68" t="str">
        <f t="shared" si="36"/>
        <v>00</v>
      </c>
      <c r="AQ174" t="str">
        <f t="shared" si="31"/>
        <v/>
      </c>
    </row>
    <row r="175" spans="2:43">
      <c r="B175" s="139"/>
      <c r="C175" s="55">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0</v>
      </c>
      <c r="AE175" s="133">
        <f t="shared" si="44"/>
        <v>0</v>
      </c>
      <c r="AF175" s="133">
        <f t="shared" si="44"/>
        <v>0</v>
      </c>
      <c r="AG175" s="133">
        <f t="shared" si="44"/>
        <v>0</v>
      </c>
      <c r="AH175" s="133">
        <f t="shared" si="44"/>
        <v>0</v>
      </c>
      <c r="AI175" s="133">
        <f t="shared" ref="AI175" si="45">IF(OR(AI45=0,AI45=1),1,0)</f>
        <v>0</v>
      </c>
      <c r="AJ175" s="55" t="str">
        <f t="shared" si="30"/>
        <v/>
      </c>
      <c r="AK175" s="68"/>
      <c r="AL175" s="68" t="str">
        <f t="shared" si="33"/>
        <v>00</v>
      </c>
      <c r="AM175" s="68" t="str">
        <f t="shared" si="34"/>
        <v>00</v>
      </c>
      <c r="AN175" s="68" t="str">
        <f t="shared" si="35"/>
        <v>00</v>
      </c>
      <c r="AO175" s="68" t="str">
        <f t="shared" si="36"/>
        <v>00</v>
      </c>
      <c r="AQ175" t="str">
        <f t="shared" si="31"/>
        <v/>
      </c>
    </row>
    <row r="176" spans="2:43">
      <c r="B176" s="139"/>
      <c r="C176" s="55">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0</v>
      </c>
      <c r="AE176" s="133">
        <f t="shared" si="46"/>
        <v>0</v>
      </c>
      <c r="AF176" s="133">
        <f t="shared" si="46"/>
        <v>0</v>
      </c>
      <c r="AG176" s="133">
        <f t="shared" si="46"/>
        <v>0</v>
      </c>
      <c r="AH176" s="133">
        <f t="shared" si="46"/>
        <v>0</v>
      </c>
      <c r="AI176" s="133">
        <f t="shared" si="46"/>
        <v>0</v>
      </c>
      <c r="AJ176" s="55" t="str">
        <f t="shared" si="30"/>
        <v/>
      </c>
      <c r="AK176" s="68"/>
      <c r="AL176" s="68" t="str">
        <f t="shared" si="33"/>
        <v>00</v>
      </c>
      <c r="AM176" s="68" t="str">
        <f t="shared" si="34"/>
        <v>00</v>
      </c>
      <c r="AN176" s="68" t="str">
        <f t="shared" si="35"/>
        <v>00</v>
      </c>
      <c r="AO176" s="68" t="str">
        <f t="shared" si="36"/>
        <v>00</v>
      </c>
      <c r="AQ176" t="str">
        <f t="shared" si="31"/>
        <v/>
      </c>
    </row>
    <row r="177" spans="2:43">
      <c r="B177" s="139"/>
      <c r="C177" s="55">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0</v>
      </c>
      <c r="AE177" s="133">
        <f t="shared" si="46"/>
        <v>0</v>
      </c>
      <c r="AF177" s="133">
        <f t="shared" si="46"/>
        <v>0</v>
      </c>
      <c r="AG177" s="133">
        <f t="shared" si="46"/>
        <v>0</v>
      </c>
      <c r="AH177" s="133">
        <f t="shared" si="46"/>
        <v>0</v>
      </c>
      <c r="AI177" s="133">
        <f t="shared" si="46"/>
        <v>0</v>
      </c>
      <c r="AJ177" s="55" t="str">
        <f t="shared" si="30"/>
        <v/>
      </c>
      <c r="AK177" s="68"/>
      <c r="AL177" s="68" t="str">
        <f t="shared" si="33"/>
        <v>00</v>
      </c>
      <c r="AM177" s="68" t="str">
        <f t="shared" si="34"/>
        <v>00</v>
      </c>
      <c r="AN177" s="68" t="str">
        <f t="shared" si="35"/>
        <v>00</v>
      </c>
      <c r="AO177" s="68" t="str">
        <f t="shared" si="36"/>
        <v>00</v>
      </c>
      <c r="AQ177" t="str">
        <f t="shared" si="31"/>
        <v/>
      </c>
    </row>
    <row r="178" spans="2:43">
      <c r="B178" s="139"/>
      <c r="C178" s="55">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0</v>
      </c>
      <c r="AE178" s="133">
        <f t="shared" si="46"/>
        <v>0</v>
      </c>
      <c r="AF178" s="133">
        <f t="shared" si="46"/>
        <v>0</v>
      </c>
      <c r="AG178" s="133">
        <f t="shared" si="46"/>
        <v>0</v>
      </c>
      <c r="AH178" s="133">
        <f t="shared" si="46"/>
        <v>0</v>
      </c>
      <c r="AI178" s="133">
        <f t="shared" si="46"/>
        <v>0</v>
      </c>
      <c r="AJ178" s="55" t="str">
        <f t="shared" si="30"/>
        <v/>
      </c>
      <c r="AK178" s="68"/>
      <c r="AL178" s="68" t="str">
        <f t="shared" si="33"/>
        <v>00</v>
      </c>
      <c r="AM178" s="68" t="str">
        <f t="shared" si="34"/>
        <v>00</v>
      </c>
      <c r="AN178" s="68" t="str">
        <f t="shared" si="35"/>
        <v>00</v>
      </c>
      <c r="AO178" s="68" t="str">
        <f t="shared" si="36"/>
        <v>00</v>
      </c>
      <c r="AQ178" t="str">
        <f t="shared" si="31"/>
        <v/>
      </c>
    </row>
    <row r="179" spans="2:43">
      <c r="B179" s="139"/>
      <c r="C179" s="55">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0</v>
      </c>
      <c r="AE179" s="133">
        <f t="shared" si="46"/>
        <v>0</v>
      </c>
      <c r="AF179" s="133">
        <f t="shared" si="46"/>
        <v>0</v>
      </c>
      <c r="AG179" s="133">
        <f t="shared" si="46"/>
        <v>0</v>
      </c>
      <c r="AH179" s="133">
        <f t="shared" si="46"/>
        <v>0</v>
      </c>
      <c r="AI179" s="133">
        <f t="shared" si="46"/>
        <v>0</v>
      </c>
      <c r="AJ179" s="55" t="str">
        <f t="shared" si="30"/>
        <v/>
      </c>
      <c r="AK179" s="68"/>
      <c r="AL179" s="68" t="str">
        <f t="shared" si="33"/>
        <v>00</v>
      </c>
      <c r="AM179" s="68" t="str">
        <f t="shared" si="34"/>
        <v>00</v>
      </c>
      <c r="AN179" s="68" t="str">
        <f t="shared" si="35"/>
        <v>00</v>
      </c>
      <c r="AO179" s="68" t="str">
        <f t="shared" si="36"/>
        <v>00</v>
      </c>
      <c r="AQ179" t="str">
        <f t="shared" si="31"/>
        <v/>
      </c>
    </row>
    <row r="180" spans="2:43">
      <c r="B180" s="139"/>
      <c r="C180" s="55">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0</v>
      </c>
      <c r="AE180" s="133">
        <f t="shared" si="46"/>
        <v>0</v>
      </c>
      <c r="AF180" s="133">
        <f t="shared" si="46"/>
        <v>0</v>
      </c>
      <c r="AG180" s="133">
        <f t="shared" si="46"/>
        <v>0</v>
      </c>
      <c r="AH180" s="133">
        <f t="shared" si="46"/>
        <v>0</v>
      </c>
      <c r="AI180" s="133">
        <f t="shared" si="46"/>
        <v>0</v>
      </c>
      <c r="AJ180" s="55" t="str">
        <f t="shared" si="30"/>
        <v/>
      </c>
      <c r="AK180" s="68"/>
      <c r="AL180" s="68" t="str">
        <f t="shared" si="33"/>
        <v>00</v>
      </c>
      <c r="AM180" s="68" t="str">
        <f t="shared" si="34"/>
        <v>00</v>
      </c>
      <c r="AN180" s="68" t="str">
        <f t="shared" si="35"/>
        <v>00</v>
      </c>
      <c r="AO180" s="68" t="str">
        <f t="shared" si="36"/>
        <v>00</v>
      </c>
      <c r="AQ180" t="str">
        <f t="shared" si="31"/>
        <v/>
      </c>
    </row>
    <row r="181" spans="2:43">
      <c r="B181" s="139"/>
      <c r="C181" s="55">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0</v>
      </c>
      <c r="AE181" s="133">
        <f t="shared" si="46"/>
        <v>0</v>
      </c>
      <c r="AF181" s="133">
        <f t="shared" si="46"/>
        <v>0</v>
      </c>
      <c r="AG181" s="133">
        <f t="shared" si="46"/>
        <v>0</v>
      </c>
      <c r="AH181" s="133">
        <f t="shared" si="46"/>
        <v>0</v>
      </c>
      <c r="AI181" s="133">
        <f t="shared" si="46"/>
        <v>0</v>
      </c>
      <c r="AJ181" s="55" t="str">
        <f t="shared" si="30"/>
        <v/>
      </c>
      <c r="AK181" s="68"/>
      <c r="AL181" s="68" t="str">
        <f t="shared" si="33"/>
        <v>00</v>
      </c>
      <c r="AM181" s="68" t="str">
        <f t="shared" si="34"/>
        <v>00</v>
      </c>
      <c r="AN181" s="68" t="str">
        <f t="shared" si="35"/>
        <v>00</v>
      </c>
      <c r="AO181" s="68" t="str">
        <f t="shared" si="36"/>
        <v>00</v>
      </c>
      <c r="AQ181" t="str">
        <f t="shared" si="31"/>
        <v/>
      </c>
    </row>
    <row r="182" spans="2:43">
      <c r="B182" s="139"/>
      <c r="C182" s="55">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0</v>
      </c>
      <c r="AE182" s="133">
        <f t="shared" si="46"/>
        <v>0</v>
      </c>
      <c r="AF182" s="133">
        <f t="shared" si="46"/>
        <v>0</v>
      </c>
      <c r="AG182" s="133">
        <f t="shared" si="46"/>
        <v>0</v>
      </c>
      <c r="AH182" s="133">
        <f t="shared" si="46"/>
        <v>0</v>
      </c>
      <c r="AI182" s="133">
        <f t="shared" si="46"/>
        <v>0</v>
      </c>
      <c r="AJ182" s="55" t="str">
        <f t="shared" si="30"/>
        <v/>
      </c>
      <c r="AK182" s="68"/>
      <c r="AL182" s="68" t="str">
        <f t="shared" si="33"/>
        <v>00</v>
      </c>
      <c r="AM182" s="68" t="str">
        <f t="shared" si="34"/>
        <v>00</v>
      </c>
      <c r="AN182" s="68" t="str">
        <f t="shared" si="35"/>
        <v>00</v>
      </c>
      <c r="AO182" s="68" t="str">
        <f t="shared" si="36"/>
        <v>00</v>
      </c>
      <c r="AQ182" t="str">
        <f t="shared" si="31"/>
        <v/>
      </c>
    </row>
    <row r="183" spans="2:43">
      <c r="B183" s="139"/>
      <c r="C183" s="55">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0</v>
      </c>
      <c r="AE183" s="133">
        <f t="shared" si="46"/>
        <v>0</v>
      </c>
      <c r="AF183" s="133">
        <f t="shared" si="46"/>
        <v>0</v>
      </c>
      <c r="AG183" s="133">
        <f t="shared" si="46"/>
        <v>0</v>
      </c>
      <c r="AH183" s="133">
        <f t="shared" si="46"/>
        <v>0</v>
      </c>
      <c r="AI183" s="133">
        <f t="shared" ref="AI183" si="47">IF(OR(AI53=0,AI53=1),1,0)</f>
        <v>0</v>
      </c>
      <c r="AJ183" s="55" t="str">
        <f t="shared" si="30"/>
        <v/>
      </c>
      <c r="AK183" s="68"/>
      <c r="AL183" s="68" t="str">
        <f t="shared" si="33"/>
        <v>00</v>
      </c>
      <c r="AM183" s="68" t="str">
        <f t="shared" si="34"/>
        <v>00</v>
      </c>
      <c r="AN183" s="68" t="str">
        <f t="shared" si="35"/>
        <v>00</v>
      </c>
      <c r="AO183" s="68" t="str">
        <f t="shared" si="36"/>
        <v>00</v>
      </c>
      <c r="AQ183" t="str">
        <f t="shared" si="31"/>
        <v/>
      </c>
    </row>
    <row r="184" spans="2:43">
      <c r="B184" s="139"/>
      <c r="C184" s="55">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0</v>
      </c>
      <c r="AE184" s="133">
        <f t="shared" si="48"/>
        <v>0</v>
      </c>
      <c r="AF184" s="133">
        <f t="shared" si="48"/>
        <v>0</v>
      </c>
      <c r="AG184" s="133">
        <f t="shared" si="48"/>
        <v>0</v>
      </c>
      <c r="AH184" s="133">
        <f t="shared" si="48"/>
        <v>0</v>
      </c>
      <c r="AI184" s="133">
        <f t="shared" si="48"/>
        <v>0</v>
      </c>
      <c r="AJ184" s="55" t="str">
        <f t="shared" si="30"/>
        <v/>
      </c>
      <c r="AK184" s="68"/>
      <c r="AL184" s="68" t="str">
        <f t="shared" si="33"/>
        <v>00</v>
      </c>
      <c r="AM184" s="68" t="str">
        <f t="shared" si="34"/>
        <v>00</v>
      </c>
      <c r="AN184" s="68" t="str">
        <f t="shared" si="35"/>
        <v>00</v>
      </c>
      <c r="AO184" s="68" t="str">
        <f t="shared" si="36"/>
        <v>00</v>
      </c>
      <c r="AQ184" t="str">
        <f t="shared" si="31"/>
        <v/>
      </c>
    </row>
    <row r="185" spans="2:43">
      <c r="B185" s="139"/>
      <c r="C185" s="55">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0</v>
      </c>
      <c r="AE185" s="133">
        <f t="shared" si="48"/>
        <v>0</v>
      </c>
      <c r="AF185" s="133">
        <f t="shared" si="48"/>
        <v>0</v>
      </c>
      <c r="AG185" s="133">
        <f t="shared" si="48"/>
        <v>0</v>
      </c>
      <c r="AH185" s="133">
        <f t="shared" si="48"/>
        <v>0</v>
      </c>
      <c r="AI185" s="133">
        <f t="shared" si="48"/>
        <v>0</v>
      </c>
      <c r="AJ185" s="55" t="str">
        <f t="shared" si="30"/>
        <v/>
      </c>
      <c r="AK185" s="68"/>
      <c r="AL185" s="68" t="str">
        <f t="shared" si="33"/>
        <v>00</v>
      </c>
      <c r="AM185" s="68" t="str">
        <f t="shared" si="34"/>
        <v>00</v>
      </c>
      <c r="AN185" s="68" t="str">
        <f t="shared" si="35"/>
        <v>00</v>
      </c>
      <c r="AO185" s="68" t="str">
        <f t="shared" si="36"/>
        <v>00</v>
      </c>
      <c r="AQ185" t="str">
        <f t="shared" si="31"/>
        <v/>
      </c>
    </row>
    <row r="186" spans="2:43">
      <c r="B186" s="139"/>
      <c r="C186" s="55">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0</v>
      </c>
      <c r="AE186" s="133">
        <f t="shared" si="48"/>
        <v>0</v>
      </c>
      <c r="AF186" s="133">
        <f t="shared" si="48"/>
        <v>0</v>
      </c>
      <c r="AG186" s="133">
        <f t="shared" si="48"/>
        <v>0</v>
      </c>
      <c r="AH186" s="133">
        <f t="shared" si="48"/>
        <v>0</v>
      </c>
      <c r="AI186" s="133">
        <f t="shared" si="48"/>
        <v>0</v>
      </c>
      <c r="AJ186" s="55" t="str">
        <f t="shared" si="30"/>
        <v/>
      </c>
      <c r="AK186" s="68"/>
      <c r="AL186" s="68" t="str">
        <f t="shared" si="33"/>
        <v>00</v>
      </c>
      <c r="AM186" s="68" t="str">
        <f t="shared" si="34"/>
        <v>00</v>
      </c>
      <c r="AN186" s="68" t="str">
        <f t="shared" si="35"/>
        <v>00</v>
      </c>
      <c r="AO186" s="68" t="str">
        <f t="shared" si="36"/>
        <v>00</v>
      </c>
      <c r="AQ186" t="str">
        <f t="shared" si="31"/>
        <v/>
      </c>
    </row>
    <row r="187" spans="2:43">
      <c r="B187" s="139"/>
      <c r="C187" s="55">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0</v>
      </c>
      <c r="AE187" s="133">
        <f t="shared" si="48"/>
        <v>0</v>
      </c>
      <c r="AF187" s="133">
        <f t="shared" si="48"/>
        <v>0</v>
      </c>
      <c r="AG187" s="133">
        <f t="shared" si="48"/>
        <v>0</v>
      </c>
      <c r="AH187" s="133">
        <f t="shared" si="48"/>
        <v>0</v>
      </c>
      <c r="AI187" s="133">
        <f t="shared" si="48"/>
        <v>0</v>
      </c>
      <c r="AJ187" s="55" t="str">
        <f t="shared" si="30"/>
        <v/>
      </c>
      <c r="AK187" s="68"/>
      <c r="AL187" s="68" t="str">
        <f t="shared" si="33"/>
        <v>00</v>
      </c>
      <c r="AM187" s="68" t="str">
        <f t="shared" si="34"/>
        <v>00</v>
      </c>
      <c r="AN187" s="68" t="str">
        <f t="shared" si="35"/>
        <v>00</v>
      </c>
      <c r="AO187" s="68" t="str">
        <f t="shared" si="36"/>
        <v>00</v>
      </c>
      <c r="AQ187" t="str">
        <f t="shared" si="31"/>
        <v/>
      </c>
    </row>
    <row r="188" spans="2:43">
      <c r="B188" s="139"/>
      <c r="C188" s="55">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0</v>
      </c>
      <c r="AE188" s="133">
        <f t="shared" si="48"/>
        <v>0</v>
      </c>
      <c r="AF188" s="133">
        <f t="shared" si="48"/>
        <v>0</v>
      </c>
      <c r="AG188" s="133">
        <f t="shared" si="48"/>
        <v>0</v>
      </c>
      <c r="AH188" s="133">
        <f t="shared" si="48"/>
        <v>0</v>
      </c>
      <c r="AI188" s="133">
        <f t="shared" si="48"/>
        <v>0</v>
      </c>
      <c r="AJ188" s="55" t="str">
        <f t="shared" si="30"/>
        <v/>
      </c>
      <c r="AK188" s="68"/>
      <c r="AL188" s="68" t="str">
        <f t="shared" si="33"/>
        <v>00</v>
      </c>
      <c r="AM188" s="68" t="str">
        <f t="shared" si="34"/>
        <v>00</v>
      </c>
      <c r="AN188" s="68" t="str">
        <f t="shared" si="35"/>
        <v>00</v>
      </c>
      <c r="AO188" s="68" t="str">
        <f t="shared" si="36"/>
        <v>00</v>
      </c>
      <c r="AQ188" t="str">
        <f t="shared" si="31"/>
        <v/>
      </c>
    </row>
    <row r="189" spans="2:43">
      <c r="B189" s="139"/>
      <c r="C189" s="55">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0</v>
      </c>
      <c r="AE189" s="133">
        <f t="shared" si="48"/>
        <v>0</v>
      </c>
      <c r="AF189" s="133">
        <f t="shared" si="48"/>
        <v>0</v>
      </c>
      <c r="AG189" s="133">
        <f t="shared" si="48"/>
        <v>0</v>
      </c>
      <c r="AH189" s="133">
        <f t="shared" si="48"/>
        <v>0</v>
      </c>
      <c r="AI189" s="133">
        <f t="shared" si="48"/>
        <v>0</v>
      </c>
      <c r="AJ189" s="55" t="str">
        <f t="shared" si="30"/>
        <v/>
      </c>
      <c r="AK189" s="68"/>
      <c r="AL189" s="68" t="str">
        <f t="shared" si="33"/>
        <v>00</v>
      </c>
      <c r="AM189" s="68" t="str">
        <f t="shared" si="34"/>
        <v>00</v>
      </c>
      <c r="AN189" s="68" t="str">
        <f t="shared" si="35"/>
        <v>00</v>
      </c>
      <c r="AO189" s="68" t="str">
        <f t="shared" si="36"/>
        <v>00</v>
      </c>
      <c r="AQ189" t="str">
        <f t="shared" si="31"/>
        <v/>
      </c>
    </row>
    <row r="190" spans="2:43">
      <c r="B190" s="139"/>
      <c r="C190" s="55">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0</v>
      </c>
      <c r="AE190" s="133">
        <f t="shared" si="48"/>
        <v>0</v>
      </c>
      <c r="AF190" s="133">
        <f t="shared" si="48"/>
        <v>0</v>
      </c>
      <c r="AG190" s="133">
        <f t="shared" si="48"/>
        <v>0</v>
      </c>
      <c r="AH190" s="133">
        <f t="shared" si="48"/>
        <v>0</v>
      </c>
      <c r="AI190" s="133">
        <f t="shared" si="48"/>
        <v>0</v>
      </c>
      <c r="AJ190" s="55" t="str">
        <f t="shared" si="30"/>
        <v/>
      </c>
      <c r="AK190" s="68"/>
      <c r="AL190" s="68" t="str">
        <f t="shared" si="33"/>
        <v>00</v>
      </c>
      <c r="AM190" s="68" t="str">
        <f t="shared" si="34"/>
        <v>00</v>
      </c>
      <c r="AN190" s="68" t="str">
        <f t="shared" si="35"/>
        <v>00</v>
      </c>
      <c r="AO190" s="68" t="str">
        <f t="shared" si="36"/>
        <v>00</v>
      </c>
      <c r="AQ190" t="str">
        <f t="shared" si="31"/>
        <v/>
      </c>
    </row>
    <row r="191" spans="2:43">
      <c r="B191" s="139"/>
      <c r="C191" s="55">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0</v>
      </c>
      <c r="AE191" s="133">
        <f t="shared" si="48"/>
        <v>0</v>
      </c>
      <c r="AF191" s="133">
        <f t="shared" si="48"/>
        <v>0</v>
      </c>
      <c r="AG191" s="133">
        <f t="shared" si="48"/>
        <v>0</v>
      </c>
      <c r="AH191" s="133">
        <f t="shared" si="48"/>
        <v>0</v>
      </c>
      <c r="AI191" s="133">
        <f t="shared" ref="AI191" si="49">IF(OR(AI61=0,AI61=1),1,0)</f>
        <v>0</v>
      </c>
      <c r="AJ191" s="55" t="str">
        <f t="shared" si="30"/>
        <v/>
      </c>
      <c r="AK191" s="68"/>
      <c r="AL191" s="68" t="str">
        <f t="shared" si="33"/>
        <v>00</v>
      </c>
      <c r="AM191" s="68" t="str">
        <f t="shared" si="34"/>
        <v>00</v>
      </c>
      <c r="AN191" s="68" t="str">
        <f t="shared" si="35"/>
        <v>00</v>
      </c>
      <c r="AO191" s="68" t="str">
        <f t="shared" si="36"/>
        <v>00</v>
      </c>
      <c r="AQ191" t="str">
        <f t="shared" si="31"/>
        <v/>
      </c>
    </row>
    <row r="192" spans="2:43">
      <c r="B192" s="139"/>
      <c r="C192" s="55">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0</v>
      </c>
      <c r="AE192" s="133">
        <f t="shared" si="50"/>
        <v>0</v>
      </c>
      <c r="AF192" s="133">
        <f t="shared" si="50"/>
        <v>0</v>
      </c>
      <c r="AG192" s="133">
        <f t="shared" si="50"/>
        <v>0</v>
      </c>
      <c r="AH192" s="133">
        <f t="shared" si="50"/>
        <v>0</v>
      </c>
      <c r="AI192" s="133">
        <f t="shared" si="50"/>
        <v>0</v>
      </c>
      <c r="AJ192" s="55" t="str">
        <f t="shared" si="30"/>
        <v/>
      </c>
      <c r="AK192" s="68"/>
      <c r="AL192" s="68" t="str">
        <f t="shared" si="33"/>
        <v>00</v>
      </c>
      <c r="AM192" s="68" t="str">
        <f t="shared" si="34"/>
        <v>00</v>
      </c>
      <c r="AN192" s="68" t="str">
        <f t="shared" si="35"/>
        <v>00</v>
      </c>
      <c r="AO192" s="68" t="str">
        <f t="shared" si="36"/>
        <v>00</v>
      </c>
      <c r="AQ192" t="str">
        <f t="shared" si="31"/>
        <v/>
      </c>
    </row>
    <row r="193" spans="2:43">
      <c r="B193" s="139"/>
      <c r="C193" s="55">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0</v>
      </c>
      <c r="AE193" s="133">
        <f t="shared" si="50"/>
        <v>0</v>
      </c>
      <c r="AF193" s="133">
        <f t="shared" si="50"/>
        <v>0</v>
      </c>
      <c r="AG193" s="133">
        <f t="shared" si="50"/>
        <v>0</v>
      </c>
      <c r="AH193" s="133">
        <f t="shared" si="50"/>
        <v>0</v>
      </c>
      <c r="AI193" s="133">
        <f t="shared" si="50"/>
        <v>0</v>
      </c>
      <c r="AJ193" s="55" t="str">
        <f t="shared" si="30"/>
        <v/>
      </c>
      <c r="AK193" s="68"/>
      <c r="AL193" s="68" t="str">
        <f t="shared" si="33"/>
        <v>00</v>
      </c>
      <c r="AM193" s="68" t="str">
        <f t="shared" si="34"/>
        <v>00</v>
      </c>
      <c r="AN193" s="68" t="str">
        <f t="shared" si="35"/>
        <v>00</v>
      </c>
      <c r="AO193" s="68" t="str">
        <f t="shared" si="36"/>
        <v>00</v>
      </c>
      <c r="AQ193" t="str">
        <f t="shared" si="31"/>
        <v/>
      </c>
    </row>
    <row r="194" spans="2:43">
      <c r="B194" s="139"/>
      <c r="C194" s="55">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0</v>
      </c>
      <c r="AE194" s="133">
        <f t="shared" si="50"/>
        <v>0</v>
      </c>
      <c r="AF194" s="133">
        <f t="shared" si="50"/>
        <v>0</v>
      </c>
      <c r="AG194" s="133">
        <f t="shared" si="50"/>
        <v>0</v>
      </c>
      <c r="AH194" s="133">
        <f t="shared" si="50"/>
        <v>0</v>
      </c>
      <c r="AI194" s="133">
        <f t="shared" si="50"/>
        <v>0</v>
      </c>
      <c r="AJ194" s="55" t="str">
        <f t="shared" si="30"/>
        <v/>
      </c>
      <c r="AK194" s="68"/>
      <c r="AL194" s="68" t="str">
        <f t="shared" si="33"/>
        <v>00</v>
      </c>
      <c r="AM194" s="68" t="str">
        <f t="shared" si="34"/>
        <v>00</v>
      </c>
      <c r="AN194" s="68" t="str">
        <f t="shared" si="35"/>
        <v>00</v>
      </c>
      <c r="AO194" s="68" t="str">
        <f t="shared" si="36"/>
        <v>00</v>
      </c>
      <c r="AQ194" t="str">
        <f t="shared" si="31"/>
        <v/>
      </c>
    </row>
    <row r="195" spans="2:43">
      <c r="B195" s="139"/>
      <c r="C195" s="55">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0</v>
      </c>
      <c r="AE195" s="133">
        <f t="shared" si="50"/>
        <v>0</v>
      </c>
      <c r="AF195" s="133">
        <f t="shared" si="50"/>
        <v>0</v>
      </c>
      <c r="AG195" s="133">
        <f t="shared" si="50"/>
        <v>0</v>
      </c>
      <c r="AH195" s="133">
        <f t="shared" si="50"/>
        <v>0</v>
      </c>
      <c r="AI195" s="133">
        <f t="shared" si="50"/>
        <v>0</v>
      </c>
      <c r="AJ195" s="55" t="str">
        <f t="shared" si="30"/>
        <v/>
      </c>
      <c r="AK195" s="68"/>
      <c r="AL195" s="68" t="str">
        <f t="shared" si="33"/>
        <v>00</v>
      </c>
      <c r="AM195" s="68" t="str">
        <f t="shared" si="34"/>
        <v>00</v>
      </c>
      <c r="AN195" s="68" t="str">
        <f t="shared" si="35"/>
        <v>00</v>
      </c>
      <c r="AO195" s="68" t="str">
        <f t="shared" si="36"/>
        <v>00</v>
      </c>
      <c r="AQ195" t="str">
        <f t="shared" si="31"/>
        <v/>
      </c>
    </row>
    <row r="196" spans="2:43">
      <c r="B196" s="139"/>
      <c r="C196" s="55">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0</v>
      </c>
      <c r="AE196" s="133">
        <f t="shared" si="50"/>
        <v>0</v>
      </c>
      <c r="AF196" s="133">
        <f t="shared" si="50"/>
        <v>0</v>
      </c>
      <c r="AG196" s="133">
        <f t="shared" si="50"/>
        <v>0</v>
      </c>
      <c r="AH196" s="133">
        <f t="shared" si="50"/>
        <v>0</v>
      </c>
      <c r="AI196" s="133">
        <f t="shared" si="50"/>
        <v>0</v>
      </c>
      <c r="AJ196" s="55" t="str">
        <f t="shared" si="30"/>
        <v/>
      </c>
      <c r="AK196" s="68"/>
      <c r="AL196" s="68" t="str">
        <f t="shared" si="33"/>
        <v>00</v>
      </c>
      <c r="AM196" s="68" t="str">
        <f t="shared" si="34"/>
        <v>00</v>
      </c>
      <c r="AN196" s="68" t="str">
        <f t="shared" si="35"/>
        <v>00</v>
      </c>
      <c r="AO196" s="68" t="str">
        <f t="shared" si="36"/>
        <v>00</v>
      </c>
      <c r="AQ196" t="str">
        <f t="shared" si="31"/>
        <v/>
      </c>
    </row>
    <row r="197" spans="2:43">
      <c r="B197" s="139"/>
      <c r="C197" s="55">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0</v>
      </c>
      <c r="AE197" s="133">
        <f t="shared" si="50"/>
        <v>0</v>
      </c>
      <c r="AF197" s="133">
        <f t="shared" si="50"/>
        <v>0</v>
      </c>
      <c r="AG197" s="133">
        <f t="shared" si="50"/>
        <v>0</v>
      </c>
      <c r="AH197" s="133">
        <f t="shared" si="50"/>
        <v>0</v>
      </c>
      <c r="AI197" s="133">
        <f t="shared" si="50"/>
        <v>0</v>
      </c>
      <c r="AJ197" s="55" t="str">
        <f t="shared" si="30"/>
        <v/>
      </c>
      <c r="AK197" s="68"/>
      <c r="AL197" s="68" t="str">
        <f t="shared" si="33"/>
        <v>00</v>
      </c>
      <c r="AM197" s="68" t="str">
        <f t="shared" si="34"/>
        <v>00</v>
      </c>
      <c r="AN197" s="68" t="str">
        <f t="shared" si="35"/>
        <v>00</v>
      </c>
      <c r="AO197" s="68" t="str">
        <f t="shared" si="36"/>
        <v>00</v>
      </c>
      <c r="AQ197" t="str">
        <f t="shared" si="31"/>
        <v/>
      </c>
    </row>
    <row r="198" spans="2:43">
      <c r="B198" s="139"/>
      <c r="C198" s="55">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0</v>
      </c>
      <c r="AE198" s="133">
        <f t="shared" si="50"/>
        <v>0</v>
      </c>
      <c r="AF198" s="133">
        <f t="shared" si="50"/>
        <v>0</v>
      </c>
      <c r="AG198" s="133">
        <f t="shared" si="50"/>
        <v>0</v>
      </c>
      <c r="AH198" s="133">
        <f t="shared" si="50"/>
        <v>0</v>
      </c>
      <c r="AI198" s="133">
        <f t="shared" si="50"/>
        <v>0</v>
      </c>
      <c r="AJ198" s="55" t="str">
        <f t="shared" si="30"/>
        <v/>
      </c>
      <c r="AK198" s="68"/>
      <c r="AL198" s="68" t="str">
        <f t="shared" si="33"/>
        <v>00</v>
      </c>
      <c r="AM198" s="68" t="str">
        <f t="shared" si="34"/>
        <v>00</v>
      </c>
      <c r="AN198" s="68" t="str">
        <f t="shared" si="35"/>
        <v>00</v>
      </c>
      <c r="AO198" s="68" t="str">
        <f t="shared" si="36"/>
        <v>00</v>
      </c>
      <c r="AQ198" t="str">
        <f t="shared" si="31"/>
        <v/>
      </c>
    </row>
    <row r="199" spans="2:43">
      <c r="B199" s="140"/>
      <c r="C199" s="55">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0</v>
      </c>
      <c r="AE199" s="133">
        <f t="shared" si="50"/>
        <v>0</v>
      </c>
      <c r="AF199" s="133">
        <f t="shared" si="50"/>
        <v>0</v>
      </c>
      <c r="AG199" s="133">
        <f t="shared" si="50"/>
        <v>0</v>
      </c>
      <c r="AH199" s="133">
        <f t="shared" si="50"/>
        <v>0</v>
      </c>
      <c r="AI199" s="133">
        <f t="shared" ref="AI199" si="51">IF(OR(AI69=0,AI69=1),1,0)</f>
        <v>0</v>
      </c>
      <c r="AJ199" s="55" t="str">
        <f t="shared" si="30"/>
        <v/>
      </c>
      <c r="AK199" s="68"/>
      <c r="AL199" s="68" t="str">
        <f t="shared" si="33"/>
        <v>00</v>
      </c>
      <c r="AM199" s="68" t="str">
        <f t="shared" si="34"/>
        <v>00</v>
      </c>
      <c r="AN199" s="68" t="str">
        <f t="shared" si="35"/>
        <v>00</v>
      </c>
      <c r="AO199" s="68" t="str">
        <f t="shared" si="36"/>
        <v>00</v>
      </c>
      <c r="AQ199" t="str">
        <f t="shared" si="31"/>
        <v/>
      </c>
    </row>
  </sheetData>
  <protectedRanges>
    <protectedRange sqref="AI3 L3:AG3 D6:AJ69" name="Table作成編集範囲"/>
    <protectedRange sqref="B3" name="Table作成編集範囲_2"/>
  </protectedRanges>
  <mergeCells count="5">
    <mergeCell ref="C2:C3"/>
    <mergeCell ref="AJ2:AJ3"/>
    <mergeCell ref="AG3:AI3"/>
    <mergeCell ref="A4:B5"/>
    <mergeCell ref="AE3:AF3"/>
  </mergeCells>
  <phoneticPr fontId="2"/>
  <conditionalFormatting sqref="D6:AI69">
    <cfRule type="cellIs" dxfId="17" priority="2" operator="equal">
      <formula>1</formula>
    </cfRule>
    <cfRule type="cellIs" dxfId="16" priority="3" operator="equal">
      <formula>"×"</formula>
    </cfRule>
  </conditionalFormatting>
  <conditionalFormatting sqref="AR5:AS70">
    <cfRule type="expression" dxfId="15"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9586A716-3362-4C66-B02A-6B98214AC2E8}">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tabColor rgb="FFCCECFF"/>
  </sheetPr>
  <dimension ref="A1:AW199"/>
  <sheetViews>
    <sheetView topLeftCell="AD1" zoomScale="85" zoomScaleNormal="85" workbookViewId="0">
      <pane ySplit="3" topLeftCell="A4" activePane="bottomLeft" state="frozen"/>
      <selection pane="bottomLeft" activeCell="AU6" sqref="AU6:AU16"/>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2" t="s">
        <v>123</v>
      </c>
      <c r="C2" s="345" t="s">
        <v>84</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47" t="s">
        <v>155</v>
      </c>
    </row>
    <row r="3" spans="1:49" ht="213" customHeight="1" thickBot="1">
      <c r="B3" s="214" t="str">
        <f>IF(OR(IF(COUNTIF(D6:AC69,"0")&lt;&gt;0,TRUE,FALSE),IF(COUNTIF(D6:AC69,"1")&lt;&gt;0,TRUE,FALSE)),"Search Table","Index Table")</f>
        <v>Index Table</v>
      </c>
      <c r="C3" s="346"/>
      <c r="D3" s="134" t="s">
        <v>64</v>
      </c>
      <c r="E3" s="134" t="s">
        <v>69</v>
      </c>
      <c r="F3" s="134" t="s">
        <v>52</v>
      </c>
      <c r="G3" s="134" t="s">
        <v>51</v>
      </c>
      <c r="H3" s="134" t="s">
        <v>121</v>
      </c>
      <c r="I3" s="134" t="s">
        <v>120</v>
      </c>
      <c r="J3" s="134" t="s">
        <v>125</v>
      </c>
      <c r="K3" s="134" t="s">
        <v>124</v>
      </c>
      <c r="L3" s="135" t="s">
        <v>69</v>
      </c>
      <c r="M3" s="135" t="s">
        <v>65</v>
      </c>
      <c r="N3" s="135" t="s">
        <v>65</v>
      </c>
      <c r="O3" s="135" t="s">
        <v>65</v>
      </c>
      <c r="P3" s="135" t="s">
        <v>65</v>
      </c>
      <c r="Q3" s="135" t="s">
        <v>65</v>
      </c>
      <c r="R3" s="135" t="s">
        <v>65</v>
      </c>
      <c r="S3" s="135" t="s">
        <v>65</v>
      </c>
      <c r="T3" s="135" t="s">
        <v>65</v>
      </c>
      <c r="U3" s="135" t="s">
        <v>65</v>
      </c>
      <c r="V3" s="135" t="s">
        <v>65</v>
      </c>
      <c r="W3" s="135" t="s">
        <v>65</v>
      </c>
      <c r="X3" s="135" t="s">
        <v>65</v>
      </c>
      <c r="Y3" s="135" t="s">
        <v>65</v>
      </c>
      <c r="Z3" s="135" t="s">
        <v>65</v>
      </c>
      <c r="AA3" s="135" t="s">
        <v>65</v>
      </c>
      <c r="AB3" s="135" t="s">
        <v>69</v>
      </c>
      <c r="AC3" s="135" t="s">
        <v>65</v>
      </c>
      <c r="AD3" s="135" t="s">
        <v>69</v>
      </c>
      <c r="AE3" s="135" t="s">
        <v>65</v>
      </c>
      <c r="AF3" s="135" t="s">
        <v>69</v>
      </c>
      <c r="AG3" s="135" t="s">
        <v>65</v>
      </c>
      <c r="AH3" s="206" t="s">
        <v>216</v>
      </c>
      <c r="AI3" s="206" t="s">
        <v>433</v>
      </c>
      <c r="AJ3" s="348"/>
      <c r="AR3" s="101" t="s">
        <v>96</v>
      </c>
    </row>
    <row r="4" spans="1:49" ht="14.25" thickBot="1">
      <c r="A4" s="349" t="s">
        <v>66</v>
      </c>
      <c r="B4" s="350"/>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6"/>
      <c r="AR4" s="89" t="s">
        <v>82</v>
      </c>
      <c r="AS4" s="90"/>
      <c r="AT4" s="90"/>
      <c r="AU4" s="90"/>
      <c r="AV4" s="90"/>
      <c r="AW4" s="91"/>
    </row>
    <row r="5" spans="1:49" ht="14.25" thickBot="1">
      <c r="A5" s="351"/>
      <c r="B5" s="352"/>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7"/>
      <c r="AR5" s="92" t="str">
        <f ca="1">"static const U4  "&amp;AW8&amp;"["&amp;AW10&amp;"]"&amp;" = {"</f>
        <v>static const U4  u4_sp_ALERT_S_LCA_BC_RQ_CRIT[ALERT_S_LCA_BC_RQ_NUM_DST] = {</v>
      </c>
      <c r="AS5" s="92" t="str">
        <f ca="1">"static const U4  "&amp;$AW$9&amp;"["&amp;$AW$10&amp;"] = {"</f>
        <v>static const U4  u4_sp_ALERT_S_LCA_BC_RQ_MASK[ALERT_S_LCA_BC_RQ_NUM_DST] = {</v>
      </c>
      <c r="AT5" s="92" t="str">
        <f ca="1">"static const U1  "&amp;$AW$11&amp;"["&amp;$AW$10&amp;"] = {"</f>
        <v>static const U1  u1_sp_ALERT_S_LCA_BC_RQ_DST[ALERT_S_LCA_BC_RQ_NUM_DST] = {</v>
      </c>
      <c r="AU5" s="92" t="str">
        <f ca="1">"const ST_ALERT_MTRX "&amp;$AW$12&amp;" = {"</f>
        <v>const ST_ALERT_MTRX st_gp_ALERT_S_LCA_MTRX[7] = {</v>
      </c>
      <c r="AV5" s="72" t="str">
        <f ca="1">"#define "&amp;AW10&amp;REPT(" ",41-LEN(AW10))&amp;"("&amp;AW13&amp;"U)"</f>
        <v>#define ALERT_S_LCA_BC_RQ_NUM_DST                (4U)</v>
      </c>
      <c r="AW5" s="73"/>
    </row>
    <row r="6" spans="1:49">
      <c r="B6" s="139" t="str">
        <f ca="1">"Table "&amp;$AW$6</f>
        <v>Table BC_RQ</v>
      </c>
      <c r="C6" s="60">
        <f>ROW()-ROW($C$6)</f>
        <v>0</v>
      </c>
      <c r="D6" s="39" t="s">
        <v>70</v>
      </c>
      <c r="E6" s="39" t="s">
        <v>70</v>
      </c>
      <c r="F6" s="39" t="s">
        <v>70</v>
      </c>
      <c r="G6" s="39" t="s">
        <v>70</v>
      </c>
      <c r="H6" s="39" t="s">
        <v>70</v>
      </c>
      <c r="I6" s="39" t="s">
        <v>70</v>
      </c>
      <c r="J6" s="39" t="s">
        <v>70</v>
      </c>
      <c r="K6" s="39" t="s">
        <v>410</v>
      </c>
      <c r="L6" s="39" t="s">
        <v>70</v>
      </c>
      <c r="M6" s="39" t="s">
        <v>70</v>
      </c>
      <c r="N6" s="39" t="s">
        <v>70</v>
      </c>
      <c r="O6" s="39" t="s">
        <v>70</v>
      </c>
      <c r="P6" s="39" t="s">
        <v>70</v>
      </c>
      <c r="Q6" s="39" t="s">
        <v>70</v>
      </c>
      <c r="R6" s="39" t="s">
        <v>70</v>
      </c>
      <c r="S6" s="39" t="s">
        <v>70</v>
      </c>
      <c r="T6" s="39" t="s">
        <v>70</v>
      </c>
      <c r="U6" s="39" t="s">
        <v>70</v>
      </c>
      <c r="V6" s="39" t="s">
        <v>70</v>
      </c>
      <c r="W6" s="39" t="s">
        <v>70</v>
      </c>
      <c r="X6" s="39" t="s">
        <v>70</v>
      </c>
      <c r="Y6" s="39" t="s">
        <v>70</v>
      </c>
      <c r="Z6" s="39" t="s">
        <v>70</v>
      </c>
      <c r="AA6" s="39" t="s">
        <v>70</v>
      </c>
      <c r="AB6" s="39" t="s">
        <v>70</v>
      </c>
      <c r="AC6" s="39" t="s">
        <v>70</v>
      </c>
      <c r="AD6" s="39" t="s">
        <v>70</v>
      </c>
      <c r="AE6" s="39" t="s">
        <v>70</v>
      </c>
      <c r="AF6" s="69" t="s">
        <v>410</v>
      </c>
      <c r="AG6" s="69" t="s">
        <v>410</v>
      </c>
      <c r="AH6" s="69">
        <v>0</v>
      </c>
      <c r="AI6" s="69">
        <v>0</v>
      </c>
      <c r="AJ6" s="59" t="s">
        <v>33</v>
      </c>
      <c r="AL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(U4)0x00000003U,                                                           /* 00 UNKNOWN                                         */</v>
      </c>
      <c r="AT6" s="70" t="str">
        <f t="shared" ref="AT6:AT69" si="1">IF(AJ6&lt;&gt;"",AL6&amp;IF(AJ7&lt;&gt;"",","," ")&amp;REPT(" ",78-LEN(AL6))&amp;"/* "&amp;IF(C6&lt;10,"0"&amp;C6,C6)&amp;" "&amp;AJ6&amp;REPT(" ",48-LEN(AJ6))&amp;"*/",IF(AJ5&lt;&gt;"","};",""))</f>
        <v xml:space="preserve">    (U1)ALERT_REQ_UNKNOWN,                                                     /* 00 UNKNOWN                                         */</v>
      </c>
      <c r="AU6" s="70" t="s">
        <v>466</v>
      </c>
      <c r="AV6" s="56" t="s">
        <v>71</v>
      </c>
      <c r="AW6" s="74" t="str">
        <f ca="1">UPPER(RIGHT(CELL("filename",A1),LEN(CELL("filename",A1))-FIND("]",CELL("filename",A1))))</f>
        <v>BC_RQ</v>
      </c>
    </row>
    <row r="7" spans="1:49">
      <c r="B7" s="139"/>
      <c r="C7" s="55">
        <f t="shared" ref="C7:C69" si="2">ROW()-ROW($C$6)</f>
        <v>1</v>
      </c>
      <c r="D7" s="69" t="s">
        <v>70</v>
      </c>
      <c r="E7" s="69" t="s">
        <v>70</v>
      </c>
      <c r="F7" s="69" t="s">
        <v>70</v>
      </c>
      <c r="G7" s="69" t="s">
        <v>70</v>
      </c>
      <c r="H7" s="69" t="s">
        <v>70</v>
      </c>
      <c r="I7" s="69" t="s">
        <v>70</v>
      </c>
      <c r="J7" s="69" t="s">
        <v>70</v>
      </c>
      <c r="K7" s="69" t="s">
        <v>410</v>
      </c>
      <c r="L7" s="69" t="s">
        <v>70</v>
      </c>
      <c r="M7" s="69" t="s">
        <v>70</v>
      </c>
      <c r="N7" s="69" t="s">
        <v>70</v>
      </c>
      <c r="O7" s="69" t="s">
        <v>70</v>
      </c>
      <c r="P7" s="69" t="s">
        <v>70</v>
      </c>
      <c r="Q7" s="69" t="s">
        <v>70</v>
      </c>
      <c r="R7" s="69" t="s">
        <v>70</v>
      </c>
      <c r="S7" s="69" t="s">
        <v>70</v>
      </c>
      <c r="T7" s="69" t="s">
        <v>70</v>
      </c>
      <c r="U7" s="69" t="s">
        <v>70</v>
      </c>
      <c r="V7" s="69" t="s">
        <v>70</v>
      </c>
      <c r="W7" s="69" t="s">
        <v>70</v>
      </c>
      <c r="X7" s="69" t="s">
        <v>70</v>
      </c>
      <c r="Y7" s="69" t="s">
        <v>70</v>
      </c>
      <c r="Z7" s="69" t="s">
        <v>70</v>
      </c>
      <c r="AA7" s="69" t="s">
        <v>70</v>
      </c>
      <c r="AB7" s="69" t="s">
        <v>70</v>
      </c>
      <c r="AC7" s="69" t="s">
        <v>70</v>
      </c>
      <c r="AD7" s="39" t="s">
        <v>70</v>
      </c>
      <c r="AE7" s="39" t="s">
        <v>70</v>
      </c>
      <c r="AF7" s="69" t="s">
        <v>410</v>
      </c>
      <c r="AG7" s="69" t="s">
        <v>410</v>
      </c>
      <c r="AH7" s="69">
        <v>0</v>
      </c>
      <c r="AI7" s="69">
        <v>1</v>
      </c>
      <c r="AJ7" s="25" t="s">
        <v>127</v>
      </c>
      <c r="AL7" t="str">
        <f t="shared" ca="1" si="0"/>
        <v xml:space="preserve">    (U1)ALERT_REQ_S_LCA_BC_RQ_SINGLE</v>
      </c>
      <c r="AR7" s="70" t="str">
        <f t="shared" ref="AR7:AR70" si="3">IF(AQ72&lt;&gt;"",AQ72,IF(AQ71&lt;&gt;"","};",""))</f>
        <v xml:space="preserve">    (U4)0x00000001U,                                                           /* 01 SINGLE                                          */</v>
      </c>
      <c r="AS7" s="70" t="str">
        <f t="shared" ref="AS7:AS70" si="4">IF(AQ137&lt;&gt;"",AQ137,IF(AQ136&lt;&gt;"","};",""))</f>
        <v xml:space="preserve">    (U4)0x00000003U,                                                           /* 01 SINGLE                                          */</v>
      </c>
      <c r="AT7" s="70" t="str">
        <f t="shared" ca="1" si="1"/>
        <v xml:space="preserve">    (U1)ALERT_REQ_S_LCA_BC_RQ_SINGLE,                                          /* 01 SINGLE                                          */</v>
      </c>
      <c r="AU7" s="70" t="str">
        <f ca="1">"        &amp;"&amp;$AW$14&amp;","&amp;REPT(" ",69-LEN($AW$14))&amp;"/* fp_u4_SRC_CHK                                      */"</f>
        <v xml:space="preserve">        &amp;u4_s_AlertS_lcaBcRqSrcchk,                                            /* fp_u4_SRC_CHK                                      */</v>
      </c>
      <c r="AV7" s="57" t="s">
        <v>72</v>
      </c>
      <c r="AW7" s="138">
        <f>IF(B3="Search Table",1,0)</f>
        <v>0</v>
      </c>
    </row>
    <row r="8" spans="1:49">
      <c r="B8" s="139"/>
      <c r="C8" s="55">
        <f t="shared" si="2"/>
        <v>2</v>
      </c>
      <c r="D8" s="69" t="s">
        <v>70</v>
      </c>
      <c r="E8" s="69" t="s">
        <v>70</v>
      </c>
      <c r="F8" s="69" t="s">
        <v>70</v>
      </c>
      <c r="G8" s="69" t="s">
        <v>70</v>
      </c>
      <c r="H8" s="69" t="s">
        <v>70</v>
      </c>
      <c r="I8" s="69" t="s">
        <v>70</v>
      </c>
      <c r="J8" s="69" t="s">
        <v>70</v>
      </c>
      <c r="K8" s="69" t="s">
        <v>410</v>
      </c>
      <c r="L8" s="69" t="s">
        <v>70</v>
      </c>
      <c r="M8" s="69" t="s">
        <v>70</v>
      </c>
      <c r="N8" s="69" t="s">
        <v>70</v>
      </c>
      <c r="O8" s="69" t="s">
        <v>70</v>
      </c>
      <c r="P8" s="69" t="s">
        <v>70</v>
      </c>
      <c r="Q8" s="69" t="s">
        <v>70</v>
      </c>
      <c r="R8" s="69" t="s">
        <v>70</v>
      </c>
      <c r="S8" s="69" t="s">
        <v>70</v>
      </c>
      <c r="T8" s="69" t="s">
        <v>70</v>
      </c>
      <c r="U8" s="69" t="s">
        <v>70</v>
      </c>
      <c r="V8" s="69" t="s">
        <v>70</v>
      </c>
      <c r="W8" s="69" t="s">
        <v>70</v>
      </c>
      <c r="X8" s="69" t="s">
        <v>70</v>
      </c>
      <c r="Y8" s="69" t="s">
        <v>70</v>
      </c>
      <c r="Z8" s="69" t="s">
        <v>70</v>
      </c>
      <c r="AA8" s="69" t="s">
        <v>70</v>
      </c>
      <c r="AB8" s="69" t="s">
        <v>70</v>
      </c>
      <c r="AC8" s="69" t="s">
        <v>70</v>
      </c>
      <c r="AD8" s="69" t="s">
        <v>70</v>
      </c>
      <c r="AE8" s="69" t="s">
        <v>70</v>
      </c>
      <c r="AF8" s="69" t="s">
        <v>410</v>
      </c>
      <c r="AG8" s="69" t="s">
        <v>410</v>
      </c>
      <c r="AH8" s="69">
        <v>1</v>
      </c>
      <c r="AI8" s="69">
        <v>0</v>
      </c>
      <c r="AJ8" s="25" t="s">
        <v>33</v>
      </c>
      <c r="AL8" t="str">
        <f t="shared" si="0"/>
        <v xml:space="preserve">    (U1)ALERT_REQ_UNKNOWN</v>
      </c>
      <c r="AR8" s="70" t="str">
        <f t="shared" si="3"/>
        <v xml:space="preserve">    (U4)0x00000002U,                                                           /* 02 UNKNOWN                                         */</v>
      </c>
      <c r="AS8" s="70" t="str">
        <f t="shared" si="4"/>
        <v xml:space="preserve">    (U4)0x00000003U,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7" t="s">
        <v>73</v>
      </c>
      <c r="AW8" s="75" t="str">
        <f ca="1">"u4_sp_ALERT_"&amp;IF(AW6&lt;&gt;AW17,$AW$17&amp;"_"&amp;$AW$6,AW17)&amp;"_CRIT"</f>
        <v>u4_sp_ALERT_S_LCA_BC_RQ_CRIT</v>
      </c>
    </row>
    <row r="9" spans="1:49">
      <c r="B9" s="139"/>
      <c r="C9" s="55">
        <f t="shared" si="2"/>
        <v>3</v>
      </c>
      <c r="D9" s="69" t="s">
        <v>70</v>
      </c>
      <c r="E9" s="69" t="s">
        <v>70</v>
      </c>
      <c r="F9" s="69" t="s">
        <v>70</v>
      </c>
      <c r="G9" s="69" t="s">
        <v>70</v>
      </c>
      <c r="H9" s="69" t="s">
        <v>70</v>
      </c>
      <c r="I9" s="69" t="s">
        <v>70</v>
      </c>
      <c r="J9" s="69" t="s">
        <v>70</v>
      </c>
      <c r="K9" s="69" t="s">
        <v>70</v>
      </c>
      <c r="L9" s="69" t="s">
        <v>70</v>
      </c>
      <c r="M9" s="69" t="s">
        <v>70</v>
      </c>
      <c r="N9" s="69" t="s">
        <v>70</v>
      </c>
      <c r="O9" s="69" t="s">
        <v>70</v>
      </c>
      <c r="P9" s="69" t="s">
        <v>70</v>
      </c>
      <c r="Q9" s="69" t="s">
        <v>70</v>
      </c>
      <c r="R9" s="69" t="s">
        <v>70</v>
      </c>
      <c r="S9" s="69" t="s">
        <v>70</v>
      </c>
      <c r="T9" s="69" t="s">
        <v>70</v>
      </c>
      <c r="U9" s="69" t="s">
        <v>70</v>
      </c>
      <c r="V9" s="69" t="s">
        <v>70</v>
      </c>
      <c r="W9" s="69" t="s">
        <v>70</v>
      </c>
      <c r="X9" s="69" t="s">
        <v>70</v>
      </c>
      <c r="Y9" s="69" t="s">
        <v>70</v>
      </c>
      <c r="Z9" s="69" t="s">
        <v>70</v>
      </c>
      <c r="AA9" s="69" t="s">
        <v>70</v>
      </c>
      <c r="AB9" s="69" t="s">
        <v>70</v>
      </c>
      <c r="AC9" s="69" t="s">
        <v>70</v>
      </c>
      <c r="AD9" s="69" t="s">
        <v>70</v>
      </c>
      <c r="AE9" s="69" t="s">
        <v>70</v>
      </c>
      <c r="AF9" s="69" t="s">
        <v>410</v>
      </c>
      <c r="AG9" s="69" t="s">
        <v>410</v>
      </c>
      <c r="AH9" s="69">
        <v>1</v>
      </c>
      <c r="AI9" s="69">
        <v>1</v>
      </c>
      <c r="AJ9" s="25" t="s">
        <v>33</v>
      </c>
      <c r="AL9" t="str">
        <f t="shared" si="0"/>
        <v xml:space="preserve">    (U1)ALERT_REQ_UNKNOWN</v>
      </c>
      <c r="AR9" s="70" t="str">
        <f t="shared" si="3"/>
        <v xml:space="preserve">    (U4)0x00000003U                                                            /* 03 UNKNOWN                                         */</v>
      </c>
      <c r="AS9" s="70" t="str">
        <f t="shared" si="4"/>
        <v xml:space="preserve">    (U4)0x00000003U                                                            /* 03 UNKNOWN                                         */</v>
      </c>
      <c r="AT9" s="70" t="str">
        <f t="shared" si="1"/>
        <v xml:space="preserve">    (U1)ALERT_REQ_UNKNOWN                                                      /* 03 UNKNOWN                                         */</v>
      </c>
      <c r="AU9" s="70"/>
      <c r="AV9" s="57" t="s">
        <v>74</v>
      </c>
      <c r="AW9" s="75" t="str">
        <f ca="1">"u4_sp_ALERT_"&amp;IF(AW6&lt;&gt;AW17,$AW$17&amp;"_"&amp;$AW$6,AW17)&amp;"_MASK"</f>
        <v>u4_sp_ALERT_S_LCA_BC_RQ_MASK</v>
      </c>
    </row>
    <row r="10" spans="1:49">
      <c r="B10" s="139"/>
      <c r="C10" s="55">
        <f t="shared" si="2"/>
        <v>4</v>
      </c>
      <c r="D10" s="69" t="s">
        <v>70</v>
      </c>
      <c r="E10" s="69" t="s">
        <v>70</v>
      </c>
      <c r="F10" s="69" t="s">
        <v>70</v>
      </c>
      <c r="G10" s="69" t="s">
        <v>70</v>
      </c>
      <c r="H10" s="69" t="s">
        <v>70</v>
      </c>
      <c r="I10" s="69" t="s">
        <v>70</v>
      </c>
      <c r="J10" s="69" t="s">
        <v>70</v>
      </c>
      <c r="K10" s="69" t="s">
        <v>70</v>
      </c>
      <c r="L10" s="69" t="s">
        <v>70</v>
      </c>
      <c r="M10" s="69" t="s">
        <v>70</v>
      </c>
      <c r="N10" s="69" t="s">
        <v>70</v>
      </c>
      <c r="O10" s="69" t="s">
        <v>70</v>
      </c>
      <c r="P10" s="69" t="s">
        <v>70</v>
      </c>
      <c r="Q10" s="69" t="s">
        <v>70</v>
      </c>
      <c r="R10" s="69" t="s">
        <v>70</v>
      </c>
      <c r="S10" s="69" t="s">
        <v>70</v>
      </c>
      <c r="T10" s="69" t="s">
        <v>70</v>
      </c>
      <c r="U10" s="69" t="s">
        <v>70</v>
      </c>
      <c r="V10" s="69" t="s">
        <v>70</v>
      </c>
      <c r="W10" s="69" t="s">
        <v>70</v>
      </c>
      <c r="X10" s="69" t="s">
        <v>70</v>
      </c>
      <c r="Y10" s="69" t="s">
        <v>70</v>
      </c>
      <c r="Z10" s="69" t="s">
        <v>70</v>
      </c>
      <c r="AA10" s="69" t="s">
        <v>70</v>
      </c>
      <c r="AB10" s="69" t="s">
        <v>70</v>
      </c>
      <c r="AC10" s="69" t="s">
        <v>70</v>
      </c>
      <c r="AD10" s="69" t="s">
        <v>70</v>
      </c>
      <c r="AE10" s="69" t="s">
        <v>70</v>
      </c>
      <c r="AF10" s="69" t="s">
        <v>410</v>
      </c>
      <c r="AG10" s="69" t="s">
        <v>410</v>
      </c>
      <c r="AH10" s="69" t="s">
        <v>410</v>
      </c>
      <c r="AI10" s="69" t="s">
        <v>410</v>
      </c>
      <c r="AJ10" s="25"/>
      <c r="AL10" t="str">
        <f t="shared" ca="1" si="0"/>
        <v xml:space="preserve">    (U1)ALERT_REQ_S_LCA_BC_RQ_</v>
      </c>
      <c r="AR10" s="70" t="str">
        <f t="shared" si="3"/>
        <v>};</v>
      </c>
      <c r="AS10" s="70" t="str">
        <f t="shared" si="4"/>
        <v>};</v>
      </c>
      <c r="AT10" s="70" t="str">
        <f t="shared" si="1"/>
        <v>};</v>
      </c>
      <c r="AU10" s="70" t="str">
        <f>IF($AW$7=1,"        &amp;"&amp;$AW$9&amp;"[0],"&amp;REPT(" ",66-LEN($AW$9))&amp;"/* u4p_MASK                                           */","        (const U4 *)vdp_PTR_NA,                                                /* u4p_MASK                                           */")</f>
        <v xml:space="preserve">        (const U4 *)vdp_PTR_NA,                                                /* u4p_MASK                                           */</v>
      </c>
      <c r="AV10" s="57" t="s">
        <v>75</v>
      </c>
      <c r="AW10" s="75" t="str">
        <f ca="1">"ALERT_"&amp;IF(AW6&lt;&gt;AW17,$AW$17&amp;"_"&amp;$AW$6,AW17)&amp;"_NUM_DST"</f>
        <v>ALERT_S_LCA_BC_RQ_NUM_DST</v>
      </c>
    </row>
    <row r="11" spans="1:49">
      <c r="B11" s="139"/>
      <c r="C11" s="55">
        <f t="shared" si="2"/>
        <v>5</v>
      </c>
      <c r="D11" s="69" t="s">
        <v>70</v>
      </c>
      <c r="E11" s="69" t="s">
        <v>70</v>
      </c>
      <c r="F11" s="69" t="s">
        <v>70</v>
      </c>
      <c r="G11" s="69" t="s">
        <v>70</v>
      </c>
      <c r="H11" s="69" t="s">
        <v>70</v>
      </c>
      <c r="I11" s="69" t="s">
        <v>70</v>
      </c>
      <c r="J11" s="69" t="s">
        <v>70</v>
      </c>
      <c r="K11" s="69" t="s">
        <v>70</v>
      </c>
      <c r="L11" s="69" t="s">
        <v>70</v>
      </c>
      <c r="M11" s="69" t="s">
        <v>70</v>
      </c>
      <c r="N11" s="69" t="s">
        <v>70</v>
      </c>
      <c r="O11" s="69" t="s">
        <v>70</v>
      </c>
      <c r="P11" s="69" t="s">
        <v>70</v>
      </c>
      <c r="Q11" s="69" t="s">
        <v>70</v>
      </c>
      <c r="R11" s="69" t="s">
        <v>70</v>
      </c>
      <c r="S11" s="69" t="s">
        <v>70</v>
      </c>
      <c r="T11" s="69" t="s">
        <v>70</v>
      </c>
      <c r="U11" s="69" t="s">
        <v>70</v>
      </c>
      <c r="V11" s="69" t="s">
        <v>70</v>
      </c>
      <c r="W11" s="69" t="s">
        <v>70</v>
      </c>
      <c r="X11" s="69" t="s">
        <v>70</v>
      </c>
      <c r="Y11" s="69" t="s">
        <v>70</v>
      </c>
      <c r="Z11" s="69" t="s">
        <v>70</v>
      </c>
      <c r="AA11" s="69" t="s">
        <v>70</v>
      </c>
      <c r="AB11" s="69" t="s">
        <v>70</v>
      </c>
      <c r="AC11" s="69" t="s">
        <v>70</v>
      </c>
      <c r="AD11" s="69" t="s">
        <v>70</v>
      </c>
      <c r="AE11" s="69" t="s">
        <v>70</v>
      </c>
      <c r="AF11" s="69" t="s">
        <v>410</v>
      </c>
      <c r="AG11" s="69" t="s">
        <v>410</v>
      </c>
      <c r="AH11" s="69" t="s">
        <v>410</v>
      </c>
      <c r="AI11" s="69" t="s">
        <v>410</v>
      </c>
      <c r="AJ11" s="25"/>
      <c r="AL11" t="str">
        <f t="shared" ca="1" si="0"/>
        <v xml:space="preserve">    (U1)ALERT_REQ_S_LCA_BC_RQ_</v>
      </c>
      <c r="AR11" s="70" t="str">
        <f t="shared" si="3"/>
        <v/>
      </c>
      <c r="AS11" s="70" t="str">
        <f t="shared" si="4"/>
        <v/>
      </c>
      <c r="AT11" s="70" t="str">
        <f t="shared" si="1"/>
        <v/>
      </c>
      <c r="AU11" s="70" t="str">
        <f>IF($AW$7=1,"        &amp;"&amp;$AW$8&amp;"[0],"&amp;REPT(" ",66-LEN($AW$8))&amp;"/* u4p_CRIT                                           */","        (const U4 *)vdp_PTR_NA,                                                /* u4p_CRIT                                           */")</f>
        <v xml:space="preserve">        (const U4 *)vdp_PTR_NA,                                                /* u4p_CRIT                                           */</v>
      </c>
      <c r="AV11" s="57" t="s">
        <v>76</v>
      </c>
      <c r="AW11" s="75" t="str">
        <f ca="1">"u1_sp_ALERT_"&amp;IF(AW6&lt;&gt;AW17,$AW$17&amp;"_"&amp;$AW$6,AW17)&amp;"_DST"</f>
        <v>u1_sp_ALERT_S_LCA_BC_RQ_DST</v>
      </c>
    </row>
    <row r="12" spans="1:49">
      <c r="B12" s="139"/>
      <c r="C12" s="55">
        <f t="shared" si="2"/>
        <v>6</v>
      </c>
      <c r="D12" s="69" t="s">
        <v>70</v>
      </c>
      <c r="E12" s="69" t="s">
        <v>70</v>
      </c>
      <c r="F12" s="69" t="s">
        <v>70</v>
      </c>
      <c r="G12" s="69" t="s">
        <v>70</v>
      </c>
      <c r="H12" s="69" t="s">
        <v>70</v>
      </c>
      <c r="I12" s="69" t="s">
        <v>70</v>
      </c>
      <c r="J12" s="69" t="s">
        <v>70</v>
      </c>
      <c r="K12" s="69" t="s">
        <v>70</v>
      </c>
      <c r="L12" s="69" t="s">
        <v>70</v>
      </c>
      <c r="M12" s="69" t="s">
        <v>70</v>
      </c>
      <c r="N12" s="69" t="s">
        <v>70</v>
      </c>
      <c r="O12" s="69" t="s">
        <v>70</v>
      </c>
      <c r="P12" s="69" t="s">
        <v>70</v>
      </c>
      <c r="Q12" s="69" t="s">
        <v>70</v>
      </c>
      <c r="R12" s="69" t="s">
        <v>70</v>
      </c>
      <c r="S12" s="69" t="s">
        <v>70</v>
      </c>
      <c r="T12" s="69" t="s">
        <v>70</v>
      </c>
      <c r="U12" s="69" t="s">
        <v>70</v>
      </c>
      <c r="V12" s="69" t="s">
        <v>70</v>
      </c>
      <c r="W12" s="69" t="s">
        <v>70</v>
      </c>
      <c r="X12" s="69" t="s">
        <v>70</v>
      </c>
      <c r="Y12" s="69" t="s">
        <v>70</v>
      </c>
      <c r="Z12" s="69" t="s">
        <v>70</v>
      </c>
      <c r="AA12" s="69" t="s">
        <v>70</v>
      </c>
      <c r="AB12" s="69" t="s">
        <v>70</v>
      </c>
      <c r="AC12" s="69" t="s">
        <v>70</v>
      </c>
      <c r="AD12" s="69" t="s">
        <v>70</v>
      </c>
      <c r="AE12" s="39" t="s">
        <v>70</v>
      </c>
      <c r="AF12" s="69" t="s">
        <v>410</v>
      </c>
      <c r="AG12" s="69" t="s">
        <v>410</v>
      </c>
      <c r="AH12" s="69" t="s">
        <v>410</v>
      </c>
      <c r="AI12" s="69" t="s">
        <v>410</v>
      </c>
      <c r="AJ12" s="25"/>
      <c r="AL12" t="str">
        <f t="shared" ca="1" si="0"/>
        <v xml:space="preserve">    (U1)ALERT_REQ_S_LCA_BC_RQ_</v>
      </c>
      <c r="AR12" s="70" t="str">
        <f t="shared" si="3"/>
        <v/>
      </c>
      <c r="AS12" s="70" t="str">
        <f t="shared" si="4"/>
        <v/>
      </c>
      <c r="AT12" s="70" t="str">
        <f t="shared" si="1"/>
        <v/>
      </c>
      <c r="AU12" s="70"/>
      <c r="AV12" s="57" t="s">
        <v>88</v>
      </c>
      <c r="AW12" s="75" t="str">
        <f ca="1">Matrix!D8&amp;"["&amp;Matrix!D7&amp;"]"</f>
        <v>st_gp_ALERT_S_LCA_MTRX[7]</v>
      </c>
    </row>
    <row r="13" spans="1:49">
      <c r="B13" s="139"/>
      <c r="C13" s="55">
        <f t="shared" si="2"/>
        <v>7</v>
      </c>
      <c r="D13" s="69" t="s">
        <v>70</v>
      </c>
      <c r="E13" s="69" t="s">
        <v>70</v>
      </c>
      <c r="F13" s="69" t="s">
        <v>70</v>
      </c>
      <c r="G13" s="69" t="s">
        <v>70</v>
      </c>
      <c r="H13" s="69" t="s">
        <v>70</v>
      </c>
      <c r="I13" s="69" t="s">
        <v>70</v>
      </c>
      <c r="J13" s="69" t="s">
        <v>70</v>
      </c>
      <c r="K13" s="69" t="s">
        <v>70</v>
      </c>
      <c r="L13" s="69" t="s">
        <v>70</v>
      </c>
      <c r="M13" s="69" t="s">
        <v>70</v>
      </c>
      <c r="N13" s="69" t="s">
        <v>70</v>
      </c>
      <c r="O13" s="69" t="s">
        <v>70</v>
      </c>
      <c r="P13" s="69" t="s">
        <v>70</v>
      </c>
      <c r="Q13" s="69" t="s">
        <v>70</v>
      </c>
      <c r="R13" s="69" t="s">
        <v>70</v>
      </c>
      <c r="S13" s="69" t="s">
        <v>70</v>
      </c>
      <c r="T13" s="69" t="s">
        <v>70</v>
      </c>
      <c r="U13" s="69" t="s">
        <v>70</v>
      </c>
      <c r="V13" s="69" t="s">
        <v>70</v>
      </c>
      <c r="W13" s="69" t="s">
        <v>70</v>
      </c>
      <c r="X13" s="69" t="s">
        <v>70</v>
      </c>
      <c r="Y13" s="69" t="s">
        <v>70</v>
      </c>
      <c r="Z13" s="69" t="s">
        <v>70</v>
      </c>
      <c r="AA13" s="69" t="s">
        <v>70</v>
      </c>
      <c r="AB13" s="69" t="s">
        <v>70</v>
      </c>
      <c r="AC13" s="69" t="s">
        <v>70</v>
      </c>
      <c r="AD13" s="69" t="s">
        <v>70</v>
      </c>
      <c r="AE13" s="69" t="s">
        <v>70</v>
      </c>
      <c r="AF13" s="69" t="s">
        <v>410</v>
      </c>
      <c r="AG13" s="69" t="s">
        <v>410</v>
      </c>
      <c r="AH13" s="69" t="s">
        <v>410</v>
      </c>
      <c r="AI13" s="69" t="s">
        <v>410</v>
      </c>
      <c r="AJ13" s="25"/>
      <c r="AL13" t="str">
        <f t="shared" ca="1" si="0"/>
        <v xml:space="preserve">    (U1)ALERT_REQ_S_LCA_BC_RQ_</v>
      </c>
      <c r="AR13" s="70" t="str">
        <f t="shared" si="3"/>
        <v/>
      </c>
      <c r="AS13" s="70" t="str">
        <f t="shared" si="4"/>
        <v/>
      </c>
      <c r="AT13" s="70" t="str">
        <f t="shared" si="1"/>
        <v/>
      </c>
      <c r="AU13" s="70" t="str">
        <f ca="1">"        &amp;"&amp;$AW$11&amp;"[0],"&amp;REPT(" ",66-LEN($AW$11))&amp;"/* u1p_DST                                            */"</f>
        <v xml:space="preserve">        &amp;u1_sp_ALERT_S_LCA_BC_RQ_DST[0],                                       /* u1p_DST                                            */</v>
      </c>
      <c r="AV13" s="57" t="s">
        <v>77</v>
      </c>
      <c r="AW13" s="138">
        <f>COUNTA($AJ$6:$AJ$69)</f>
        <v>4</v>
      </c>
    </row>
    <row r="14" spans="1:49">
      <c r="B14" s="139"/>
      <c r="C14" s="55">
        <f t="shared" si="2"/>
        <v>8</v>
      </c>
      <c r="D14" s="69" t="s">
        <v>70</v>
      </c>
      <c r="E14" s="69" t="s">
        <v>70</v>
      </c>
      <c r="F14" s="69" t="s">
        <v>70</v>
      </c>
      <c r="G14" s="69" t="s">
        <v>70</v>
      </c>
      <c r="H14" s="69" t="s">
        <v>70</v>
      </c>
      <c r="I14" s="69" t="s">
        <v>70</v>
      </c>
      <c r="J14" s="69" t="s">
        <v>70</v>
      </c>
      <c r="K14" s="69" t="s">
        <v>70</v>
      </c>
      <c r="L14" s="69" t="s">
        <v>70</v>
      </c>
      <c r="M14" s="69" t="s">
        <v>70</v>
      </c>
      <c r="N14" s="69" t="s">
        <v>70</v>
      </c>
      <c r="O14" s="69" t="s">
        <v>70</v>
      </c>
      <c r="P14" s="69" t="s">
        <v>70</v>
      </c>
      <c r="Q14" s="69" t="s">
        <v>70</v>
      </c>
      <c r="R14" s="69" t="s">
        <v>70</v>
      </c>
      <c r="S14" s="69" t="s">
        <v>70</v>
      </c>
      <c r="T14" s="69" t="s">
        <v>70</v>
      </c>
      <c r="U14" s="69" t="s">
        <v>70</v>
      </c>
      <c r="V14" s="69" t="s">
        <v>70</v>
      </c>
      <c r="W14" s="69" t="s">
        <v>70</v>
      </c>
      <c r="X14" s="69" t="s">
        <v>70</v>
      </c>
      <c r="Y14" s="69" t="s">
        <v>70</v>
      </c>
      <c r="Z14" s="69" t="s">
        <v>70</v>
      </c>
      <c r="AA14" s="69" t="s">
        <v>70</v>
      </c>
      <c r="AB14" s="69" t="s">
        <v>70</v>
      </c>
      <c r="AC14" s="69" t="s">
        <v>70</v>
      </c>
      <c r="AD14" s="69" t="s">
        <v>70</v>
      </c>
      <c r="AE14" s="69" t="s">
        <v>70</v>
      </c>
      <c r="AF14" s="69" t="s">
        <v>410</v>
      </c>
      <c r="AG14" s="69" t="s">
        <v>410</v>
      </c>
      <c r="AH14" s="69" t="s">
        <v>410</v>
      </c>
      <c r="AI14" s="69" t="s">
        <v>410</v>
      </c>
      <c r="AJ14" s="25"/>
      <c r="AL14" t="str">
        <f t="shared" ca="1" si="0"/>
        <v xml:space="preserve">    (U1)ALERT_REQ_S_LCA_BC_RQ_</v>
      </c>
      <c r="AR14" s="70" t="str">
        <f t="shared" si="3"/>
        <v/>
      </c>
      <c r="AS14" s="70" t="str">
        <f t="shared" si="4"/>
        <v/>
      </c>
      <c r="AT14" s="70" t="str">
        <f t="shared" si="1"/>
        <v/>
      </c>
      <c r="AU14" s="70" t="str">
        <f ca="1">"        (U2)"&amp;$AW$10&amp;","&amp;REPT(" ",66-LEN($AW$10))&amp;"/* u2_num_srch                                        */"</f>
        <v xml:space="preserve">        (U2)ALERT_S_LCA_BC_RQ_NUM_DST,                                         /* u2_num_srch                                        */</v>
      </c>
      <c r="AV14" s="57" t="s">
        <v>78</v>
      </c>
      <c r="AW14" s="75" t="str">
        <f ca="1">IF(AW6&lt;&gt;AW17,VLOOKUP(AW6,Matrix!$C$13:$G$37,4,FALSE),Matrix!F13)</f>
        <v>u4_s_AlertS_lcaBcRqSrcchk</v>
      </c>
    </row>
    <row r="15" spans="1:49">
      <c r="B15" s="139"/>
      <c r="C15" s="55">
        <f t="shared" si="2"/>
        <v>9</v>
      </c>
      <c r="D15" s="69" t="s">
        <v>70</v>
      </c>
      <c r="E15" s="69" t="s">
        <v>70</v>
      </c>
      <c r="F15" s="69" t="s">
        <v>70</v>
      </c>
      <c r="G15" s="69" t="s">
        <v>70</v>
      </c>
      <c r="H15" s="69" t="s">
        <v>70</v>
      </c>
      <c r="I15" s="69" t="s">
        <v>70</v>
      </c>
      <c r="J15" s="69" t="s">
        <v>70</v>
      </c>
      <c r="K15" s="69" t="s">
        <v>70</v>
      </c>
      <c r="L15" s="69" t="s">
        <v>70</v>
      </c>
      <c r="M15" s="69" t="s">
        <v>70</v>
      </c>
      <c r="N15" s="69" t="s">
        <v>70</v>
      </c>
      <c r="O15" s="69" t="s">
        <v>70</v>
      </c>
      <c r="P15" s="69" t="s">
        <v>70</v>
      </c>
      <c r="Q15" s="69" t="s">
        <v>70</v>
      </c>
      <c r="R15" s="69" t="s">
        <v>70</v>
      </c>
      <c r="S15" s="69" t="s">
        <v>70</v>
      </c>
      <c r="T15" s="69" t="s">
        <v>70</v>
      </c>
      <c r="U15" s="69" t="s">
        <v>70</v>
      </c>
      <c r="V15" s="69" t="s">
        <v>70</v>
      </c>
      <c r="W15" s="69" t="s">
        <v>70</v>
      </c>
      <c r="X15" s="69" t="s">
        <v>70</v>
      </c>
      <c r="Y15" s="69" t="s">
        <v>70</v>
      </c>
      <c r="Z15" s="69" t="s">
        <v>70</v>
      </c>
      <c r="AA15" s="69" t="s">
        <v>70</v>
      </c>
      <c r="AB15" s="69" t="s">
        <v>70</v>
      </c>
      <c r="AC15" s="69" t="s">
        <v>70</v>
      </c>
      <c r="AD15" s="69" t="s">
        <v>70</v>
      </c>
      <c r="AE15" s="69" t="s">
        <v>70</v>
      </c>
      <c r="AF15" s="69" t="s">
        <v>410</v>
      </c>
      <c r="AG15" s="69" t="s">
        <v>410</v>
      </c>
      <c r="AH15" s="69" t="s">
        <v>410</v>
      </c>
      <c r="AI15" s="69" t="s">
        <v>410</v>
      </c>
      <c r="AJ15" s="25"/>
      <c r="AL15" t="str">
        <f t="shared" ca="1" si="0"/>
        <v xml:space="preserve">    (U1)ALERT_REQ_S_LCA_BC_RQ_</v>
      </c>
      <c r="AR15" s="70" t="str">
        <f t="shared" si="3"/>
        <v/>
      </c>
      <c r="AS15" s="70" t="str">
        <f t="shared" si="4"/>
        <v/>
      </c>
      <c r="AT15" s="70" t="str">
        <f t="shared" si="1"/>
        <v/>
      </c>
      <c r="AU15" s="70" t="str">
        <f ca="1">"        (U1)"&amp;$AW$16&amp;REPT(" ",67-LEN($AW$16))&amp;"/* u1_vom_act                                         */"</f>
        <v xml:space="preserve">        (U1)ALERT_VOM_IGN_ON                                                   /* u1_vom_act                                         */</v>
      </c>
      <c r="AV15" s="57" t="s">
        <v>81</v>
      </c>
      <c r="AW15" s="75" t="str">
        <f ca="1">IF(AW6&lt;&gt;AW17,VLOOKUP(AW6,Matrix!$C$13:$G$37,5,FALSE),Matrix!G13)</f>
        <v>NULL</v>
      </c>
    </row>
    <row r="16" spans="1:49">
      <c r="B16" s="139"/>
      <c r="C16" s="55">
        <f t="shared" si="2"/>
        <v>10</v>
      </c>
      <c r="D16" s="69" t="s">
        <v>70</v>
      </c>
      <c r="E16" s="69" t="s">
        <v>70</v>
      </c>
      <c r="F16" s="69" t="s">
        <v>70</v>
      </c>
      <c r="G16" s="69" t="s">
        <v>70</v>
      </c>
      <c r="H16" s="69" t="s">
        <v>70</v>
      </c>
      <c r="I16" s="69" t="s">
        <v>70</v>
      </c>
      <c r="J16" s="69" t="s">
        <v>70</v>
      </c>
      <c r="K16" s="69" t="s">
        <v>70</v>
      </c>
      <c r="L16" s="69" t="s">
        <v>70</v>
      </c>
      <c r="M16" s="69" t="s">
        <v>70</v>
      </c>
      <c r="N16" s="69" t="s">
        <v>70</v>
      </c>
      <c r="O16" s="69" t="s">
        <v>70</v>
      </c>
      <c r="P16" s="69" t="s">
        <v>70</v>
      </c>
      <c r="Q16" s="69" t="s">
        <v>70</v>
      </c>
      <c r="R16" s="69" t="s">
        <v>411</v>
      </c>
      <c r="S16" s="69" t="s">
        <v>70</v>
      </c>
      <c r="T16" s="69" t="s">
        <v>70</v>
      </c>
      <c r="U16" s="69" t="s">
        <v>70</v>
      </c>
      <c r="V16" s="69" t="s">
        <v>70</v>
      </c>
      <c r="W16" s="69" t="s">
        <v>70</v>
      </c>
      <c r="X16" s="69" t="s">
        <v>70</v>
      </c>
      <c r="Y16" s="69" t="s">
        <v>70</v>
      </c>
      <c r="Z16" s="69" t="s">
        <v>70</v>
      </c>
      <c r="AA16" s="69" t="s">
        <v>70</v>
      </c>
      <c r="AB16" s="69" t="s">
        <v>70</v>
      </c>
      <c r="AC16" s="69" t="s">
        <v>70</v>
      </c>
      <c r="AD16" s="69" t="s">
        <v>70</v>
      </c>
      <c r="AE16" s="69" t="s">
        <v>70</v>
      </c>
      <c r="AF16" s="69" t="s">
        <v>410</v>
      </c>
      <c r="AG16" s="69" t="s">
        <v>410</v>
      </c>
      <c r="AH16" s="69" t="s">
        <v>410</v>
      </c>
      <c r="AI16" s="69" t="s">
        <v>410</v>
      </c>
      <c r="AJ16" s="25"/>
      <c r="AL16" t="str">
        <f t="shared" ca="1" si="0"/>
        <v xml:space="preserve">    (U1)ALERT_REQ_S_LCA_BC_RQ_</v>
      </c>
      <c r="AR16" s="70" t="str">
        <f t="shared" si="3"/>
        <v/>
      </c>
      <c r="AS16" s="70" t="str">
        <f t="shared" si="4"/>
        <v/>
      </c>
      <c r="AT16" s="70" t="str">
        <f t="shared" si="1"/>
        <v/>
      </c>
      <c r="AU16" s="70" t="s">
        <v>467</v>
      </c>
      <c r="AV16" s="57" t="s">
        <v>79</v>
      </c>
      <c r="AW16" s="75" t="str">
        <f ca="1">IF(AW6&lt;&gt;AW17,VLOOKUP(AW6,Matrix!$C$13:$G$37,2,FALSE),Matrix!D13)</f>
        <v>ALERT_VOM_IGN_ON</v>
      </c>
    </row>
    <row r="17" spans="2:49" ht="14.25" thickBot="1">
      <c r="B17" s="139"/>
      <c r="C17" s="55">
        <f t="shared" si="2"/>
        <v>11</v>
      </c>
      <c r="D17" s="69" t="s">
        <v>70</v>
      </c>
      <c r="E17" s="69" t="s">
        <v>70</v>
      </c>
      <c r="F17" s="69" t="s">
        <v>70</v>
      </c>
      <c r="G17" s="69" t="s">
        <v>70</v>
      </c>
      <c r="H17" s="69" t="s">
        <v>70</v>
      </c>
      <c r="I17" s="69" t="s">
        <v>70</v>
      </c>
      <c r="J17" s="69" t="s">
        <v>70</v>
      </c>
      <c r="K17" s="69" t="s">
        <v>70</v>
      </c>
      <c r="L17" s="69" t="s">
        <v>70</v>
      </c>
      <c r="M17" s="69" t="s">
        <v>70</v>
      </c>
      <c r="N17" s="69" t="s">
        <v>70</v>
      </c>
      <c r="O17" s="69" t="s">
        <v>70</v>
      </c>
      <c r="P17" s="69" t="s">
        <v>70</v>
      </c>
      <c r="Q17" s="69" t="s">
        <v>70</v>
      </c>
      <c r="R17" s="69" t="s">
        <v>70</v>
      </c>
      <c r="S17" s="69" t="s">
        <v>70</v>
      </c>
      <c r="T17" s="69" t="s">
        <v>70</v>
      </c>
      <c r="U17" s="69" t="s">
        <v>70</v>
      </c>
      <c r="V17" s="69" t="s">
        <v>70</v>
      </c>
      <c r="W17" s="69" t="s">
        <v>70</v>
      </c>
      <c r="X17" s="69" t="s">
        <v>70</v>
      </c>
      <c r="Y17" s="69" t="s">
        <v>70</v>
      </c>
      <c r="Z17" s="69" t="s">
        <v>70</v>
      </c>
      <c r="AA17" s="69" t="s">
        <v>70</v>
      </c>
      <c r="AB17" s="69" t="s">
        <v>70</v>
      </c>
      <c r="AC17" s="69" t="s">
        <v>70</v>
      </c>
      <c r="AD17" s="69" t="s">
        <v>70</v>
      </c>
      <c r="AE17" s="69" t="s">
        <v>70</v>
      </c>
      <c r="AF17" s="69" t="s">
        <v>410</v>
      </c>
      <c r="AG17" s="69" t="s">
        <v>410</v>
      </c>
      <c r="AH17" s="69" t="s">
        <v>410</v>
      </c>
      <c r="AI17" s="69" t="s">
        <v>410</v>
      </c>
      <c r="AJ17" s="25"/>
      <c r="AL17" t="str">
        <f t="shared" ca="1" si="0"/>
        <v xml:space="preserve">    (U1)ALERT_REQ_S_LCA_BC_RQ_</v>
      </c>
      <c r="AR17" s="70" t="str">
        <f t="shared" si="3"/>
        <v/>
      </c>
      <c r="AS17" s="70" t="str">
        <f t="shared" si="4"/>
        <v/>
      </c>
      <c r="AT17" s="70" t="str">
        <f t="shared" si="1"/>
        <v/>
      </c>
      <c r="AU17" s="71" t="s">
        <v>468</v>
      </c>
      <c r="AV17" s="58" t="s">
        <v>80</v>
      </c>
      <c r="AW17" s="76" t="str">
        <f ca="1">UPPER(Matrix!$D$6)</f>
        <v>S_LCA</v>
      </c>
    </row>
    <row r="18" spans="2:49">
      <c r="B18" s="139"/>
      <c r="C18" s="55">
        <f t="shared" si="2"/>
        <v>12</v>
      </c>
      <c r="D18" s="69" t="s">
        <v>70</v>
      </c>
      <c r="E18" s="69" t="s">
        <v>70</v>
      </c>
      <c r="F18" s="69" t="s">
        <v>70</v>
      </c>
      <c r="G18" s="69" t="s">
        <v>70</v>
      </c>
      <c r="H18" s="69" t="s">
        <v>70</v>
      </c>
      <c r="I18" s="69" t="s">
        <v>70</v>
      </c>
      <c r="J18" s="69" t="s">
        <v>70</v>
      </c>
      <c r="K18" s="69" t="s">
        <v>70</v>
      </c>
      <c r="L18" s="69" t="s">
        <v>70</v>
      </c>
      <c r="M18" s="69" t="s">
        <v>70</v>
      </c>
      <c r="N18" s="69" t="s">
        <v>70</v>
      </c>
      <c r="O18" s="69" t="s">
        <v>70</v>
      </c>
      <c r="P18" s="69" t="s">
        <v>70</v>
      </c>
      <c r="Q18" s="69" t="s">
        <v>70</v>
      </c>
      <c r="R18" s="69" t="s">
        <v>70</v>
      </c>
      <c r="S18" s="69" t="s">
        <v>70</v>
      </c>
      <c r="T18" s="69" t="s">
        <v>70</v>
      </c>
      <c r="U18" s="69" t="s">
        <v>70</v>
      </c>
      <c r="V18" s="69" t="s">
        <v>70</v>
      </c>
      <c r="W18" s="69" t="s">
        <v>70</v>
      </c>
      <c r="X18" s="69" t="s">
        <v>70</v>
      </c>
      <c r="Y18" s="69" t="s">
        <v>70</v>
      </c>
      <c r="Z18" s="69" t="s">
        <v>70</v>
      </c>
      <c r="AA18" s="69" t="s">
        <v>70</v>
      </c>
      <c r="AB18" s="69" t="s">
        <v>70</v>
      </c>
      <c r="AC18" s="69" t="s">
        <v>70</v>
      </c>
      <c r="AD18" s="69" t="s">
        <v>70</v>
      </c>
      <c r="AE18" s="69" t="s">
        <v>70</v>
      </c>
      <c r="AF18" s="69" t="s">
        <v>410</v>
      </c>
      <c r="AG18" s="69" t="s">
        <v>410</v>
      </c>
      <c r="AH18" s="69" t="s">
        <v>410</v>
      </c>
      <c r="AI18" s="69" t="s">
        <v>410</v>
      </c>
      <c r="AJ18" s="25"/>
      <c r="AL18" t="str">
        <f t="shared" ca="1" si="0"/>
        <v xml:space="preserve">    (U1)ALERT_REQ_S_LCA_BC_RQ_</v>
      </c>
      <c r="AR18" s="70" t="str">
        <f t="shared" si="3"/>
        <v/>
      </c>
      <c r="AS18" s="70" t="str">
        <f t="shared" si="4"/>
        <v/>
      </c>
      <c r="AT18" s="70" t="str">
        <f t="shared" si="1"/>
        <v/>
      </c>
    </row>
    <row r="19" spans="2:49">
      <c r="B19" s="139"/>
      <c r="C19" s="55">
        <f t="shared" si="2"/>
        <v>13</v>
      </c>
      <c r="D19" s="69" t="s">
        <v>70</v>
      </c>
      <c r="E19" s="69" t="s">
        <v>70</v>
      </c>
      <c r="F19" s="69" t="s">
        <v>70</v>
      </c>
      <c r="G19" s="69" t="s">
        <v>70</v>
      </c>
      <c r="H19" s="69" t="s">
        <v>70</v>
      </c>
      <c r="I19" s="69" t="s">
        <v>70</v>
      </c>
      <c r="J19" s="69" t="s">
        <v>70</v>
      </c>
      <c r="K19" s="69" t="s">
        <v>70</v>
      </c>
      <c r="L19" s="69" t="s">
        <v>70</v>
      </c>
      <c r="M19" s="69" t="s">
        <v>70</v>
      </c>
      <c r="N19" s="69" t="s">
        <v>70</v>
      </c>
      <c r="O19" s="69" t="s">
        <v>70</v>
      </c>
      <c r="P19" s="69" t="s">
        <v>70</v>
      </c>
      <c r="Q19" s="69" t="s">
        <v>70</v>
      </c>
      <c r="R19" s="69" t="s">
        <v>70</v>
      </c>
      <c r="S19" s="69" t="s">
        <v>70</v>
      </c>
      <c r="T19" s="69" t="s">
        <v>70</v>
      </c>
      <c r="U19" s="69" t="s">
        <v>70</v>
      </c>
      <c r="V19" s="69" t="s">
        <v>70</v>
      </c>
      <c r="W19" s="69" t="s">
        <v>70</v>
      </c>
      <c r="X19" s="69" t="s">
        <v>70</v>
      </c>
      <c r="Y19" s="69" t="s">
        <v>70</v>
      </c>
      <c r="Z19" s="69" t="s">
        <v>70</v>
      </c>
      <c r="AA19" s="69" t="s">
        <v>70</v>
      </c>
      <c r="AB19" s="69" t="s">
        <v>70</v>
      </c>
      <c r="AC19" s="69" t="s">
        <v>70</v>
      </c>
      <c r="AD19" s="69" t="s">
        <v>70</v>
      </c>
      <c r="AE19" s="69" t="s">
        <v>70</v>
      </c>
      <c r="AF19" s="69" t="s">
        <v>410</v>
      </c>
      <c r="AG19" s="69" t="s">
        <v>410</v>
      </c>
      <c r="AH19" s="69" t="s">
        <v>410</v>
      </c>
      <c r="AI19" s="69" t="s">
        <v>410</v>
      </c>
      <c r="AJ19" s="25"/>
      <c r="AL19" t="str">
        <f t="shared" ca="1" si="0"/>
        <v xml:space="preserve">    (U1)ALERT_REQ_S_LCA_BC_RQ_</v>
      </c>
      <c r="AR19" s="70" t="str">
        <f t="shared" si="3"/>
        <v/>
      </c>
      <c r="AS19" s="70" t="str">
        <f t="shared" si="4"/>
        <v/>
      </c>
      <c r="AT19" s="70" t="str">
        <f t="shared" si="1"/>
        <v/>
      </c>
    </row>
    <row r="20" spans="2:49">
      <c r="B20" s="139"/>
      <c r="C20" s="55">
        <f t="shared" si="2"/>
        <v>14</v>
      </c>
      <c r="D20" s="69" t="s">
        <v>70</v>
      </c>
      <c r="E20" s="69" t="s">
        <v>70</v>
      </c>
      <c r="F20" s="69" t="s">
        <v>70</v>
      </c>
      <c r="G20" s="69" t="s">
        <v>70</v>
      </c>
      <c r="H20" s="69" t="s">
        <v>70</v>
      </c>
      <c r="I20" s="69" t="s">
        <v>70</v>
      </c>
      <c r="J20" s="69" t="s">
        <v>70</v>
      </c>
      <c r="K20" s="69" t="s">
        <v>70</v>
      </c>
      <c r="L20" s="69" t="s">
        <v>70</v>
      </c>
      <c r="M20" s="69" t="s">
        <v>70</v>
      </c>
      <c r="N20" s="69" t="s">
        <v>70</v>
      </c>
      <c r="O20" s="69" t="s">
        <v>70</v>
      </c>
      <c r="P20" s="69" t="s">
        <v>70</v>
      </c>
      <c r="Q20" s="69" t="s">
        <v>70</v>
      </c>
      <c r="R20" s="69" t="s">
        <v>70</v>
      </c>
      <c r="S20" s="69" t="s">
        <v>70</v>
      </c>
      <c r="T20" s="69" t="s">
        <v>70</v>
      </c>
      <c r="U20" s="69" t="s">
        <v>70</v>
      </c>
      <c r="V20" s="69" t="s">
        <v>70</v>
      </c>
      <c r="W20" s="69" t="s">
        <v>70</v>
      </c>
      <c r="X20" s="69" t="s">
        <v>70</v>
      </c>
      <c r="Y20" s="69" t="s">
        <v>70</v>
      </c>
      <c r="Z20" s="69" t="s">
        <v>70</v>
      </c>
      <c r="AA20" s="69" t="s">
        <v>70</v>
      </c>
      <c r="AB20" s="69" t="s">
        <v>70</v>
      </c>
      <c r="AC20" s="69" t="s">
        <v>70</v>
      </c>
      <c r="AD20" s="69" t="s">
        <v>70</v>
      </c>
      <c r="AE20" s="69" t="s">
        <v>70</v>
      </c>
      <c r="AF20" s="69" t="s">
        <v>410</v>
      </c>
      <c r="AG20" s="69" t="s">
        <v>410</v>
      </c>
      <c r="AH20" s="69" t="s">
        <v>410</v>
      </c>
      <c r="AI20" s="69" t="s">
        <v>410</v>
      </c>
      <c r="AJ20" s="25"/>
      <c r="AL20" t="str">
        <f t="shared" ca="1" si="0"/>
        <v xml:space="preserve">    (U1)ALERT_REQ_S_LCA_BC_RQ_</v>
      </c>
      <c r="AR20" s="70" t="str">
        <f t="shared" si="3"/>
        <v/>
      </c>
      <c r="AS20" s="70" t="str">
        <f t="shared" si="4"/>
        <v/>
      </c>
      <c r="AT20" s="70" t="str">
        <f t="shared" si="1"/>
        <v/>
      </c>
    </row>
    <row r="21" spans="2:49">
      <c r="B21" s="139"/>
      <c r="C21" s="55">
        <f t="shared" si="2"/>
        <v>15</v>
      </c>
      <c r="D21" s="69" t="s">
        <v>70</v>
      </c>
      <c r="E21" s="69" t="s">
        <v>70</v>
      </c>
      <c r="F21" s="69" t="s">
        <v>70</v>
      </c>
      <c r="G21" s="69" t="s">
        <v>70</v>
      </c>
      <c r="H21" s="69" t="s">
        <v>70</v>
      </c>
      <c r="I21" s="69" t="s">
        <v>70</v>
      </c>
      <c r="J21" s="69" t="s">
        <v>70</v>
      </c>
      <c r="K21" s="69" t="s">
        <v>70</v>
      </c>
      <c r="L21" s="69" t="s">
        <v>70</v>
      </c>
      <c r="M21" s="69" t="s">
        <v>70</v>
      </c>
      <c r="N21" s="69" t="s">
        <v>70</v>
      </c>
      <c r="O21" s="69" t="s">
        <v>70</v>
      </c>
      <c r="P21" s="69" t="s">
        <v>70</v>
      </c>
      <c r="Q21" s="69" t="s">
        <v>70</v>
      </c>
      <c r="R21" s="69" t="s">
        <v>70</v>
      </c>
      <c r="S21" s="69" t="s">
        <v>70</v>
      </c>
      <c r="T21" s="69" t="s">
        <v>70</v>
      </c>
      <c r="U21" s="69" t="s">
        <v>70</v>
      </c>
      <c r="V21" s="69" t="s">
        <v>70</v>
      </c>
      <c r="W21" s="69" t="s">
        <v>70</v>
      </c>
      <c r="X21" s="69" t="s">
        <v>70</v>
      </c>
      <c r="Y21" s="69" t="s">
        <v>70</v>
      </c>
      <c r="Z21" s="69" t="s">
        <v>70</v>
      </c>
      <c r="AA21" s="69" t="s">
        <v>70</v>
      </c>
      <c r="AB21" s="69" t="s">
        <v>70</v>
      </c>
      <c r="AC21" s="69" t="s">
        <v>70</v>
      </c>
      <c r="AD21" s="69" t="s">
        <v>70</v>
      </c>
      <c r="AE21" s="69" t="s">
        <v>70</v>
      </c>
      <c r="AF21" s="69" t="s">
        <v>410</v>
      </c>
      <c r="AG21" s="69" t="s">
        <v>410</v>
      </c>
      <c r="AH21" s="69" t="s">
        <v>410</v>
      </c>
      <c r="AI21" s="69" t="s">
        <v>410</v>
      </c>
      <c r="AJ21" s="25"/>
      <c r="AL21" t="str">
        <f t="shared" ca="1" si="0"/>
        <v xml:space="preserve">    (U1)ALERT_REQ_S_LCA_BC_RQ_</v>
      </c>
      <c r="AR21" s="70" t="str">
        <f t="shared" si="3"/>
        <v/>
      </c>
      <c r="AS21" s="70" t="str">
        <f t="shared" si="4"/>
        <v/>
      </c>
      <c r="AT21" s="70" t="str">
        <f t="shared" si="1"/>
        <v/>
      </c>
    </row>
    <row r="22" spans="2:49">
      <c r="B22" s="139"/>
      <c r="C22" s="55">
        <f t="shared" si="2"/>
        <v>16</v>
      </c>
      <c r="D22" s="69" t="s">
        <v>70</v>
      </c>
      <c r="E22" s="69" t="s">
        <v>70</v>
      </c>
      <c r="F22" s="69" t="s">
        <v>70</v>
      </c>
      <c r="G22" s="69" t="s">
        <v>70</v>
      </c>
      <c r="H22" s="69" t="s">
        <v>70</v>
      </c>
      <c r="I22" s="69" t="s">
        <v>70</v>
      </c>
      <c r="J22" s="69" t="s">
        <v>70</v>
      </c>
      <c r="K22" s="69" t="s">
        <v>70</v>
      </c>
      <c r="L22" s="69" t="s">
        <v>70</v>
      </c>
      <c r="M22" s="69" t="s">
        <v>70</v>
      </c>
      <c r="N22" s="69" t="s">
        <v>70</v>
      </c>
      <c r="O22" s="69" t="s">
        <v>70</v>
      </c>
      <c r="P22" s="69" t="s">
        <v>70</v>
      </c>
      <c r="Q22" s="69" t="s">
        <v>70</v>
      </c>
      <c r="R22" s="69" t="s">
        <v>70</v>
      </c>
      <c r="S22" s="69" t="s">
        <v>70</v>
      </c>
      <c r="T22" s="69" t="s">
        <v>70</v>
      </c>
      <c r="U22" s="69" t="s">
        <v>70</v>
      </c>
      <c r="V22" s="69" t="s">
        <v>70</v>
      </c>
      <c r="W22" s="69" t="s">
        <v>70</v>
      </c>
      <c r="X22" s="69" t="s">
        <v>70</v>
      </c>
      <c r="Y22" s="69" t="s">
        <v>70</v>
      </c>
      <c r="Z22" s="69" t="s">
        <v>70</v>
      </c>
      <c r="AA22" s="69" t="s">
        <v>70</v>
      </c>
      <c r="AB22" s="69" t="s">
        <v>70</v>
      </c>
      <c r="AC22" s="69" t="s">
        <v>70</v>
      </c>
      <c r="AD22" s="69" t="s">
        <v>70</v>
      </c>
      <c r="AE22" s="69" t="s">
        <v>70</v>
      </c>
      <c r="AF22" s="69" t="s">
        <v>70</v>
      </c>
      <c r="AG22" s="69" t="s">
        <v>70</v>
      </c>
      <c r="AH22" s="69" t="s">
        <v>70</v>
      </c>
      <c r="AI22" s="69" t="s">
        <v>70</v>
      </c>
      <c r="AJ22" s="25"/>
      <c r="AL22" t="str">
        <f t="shared" ca="1" si="0"/>
        <v xml:space="preserve">    (U1)ALERT_REQ_S_LCA_BC_RQ_</v>
      </c>
      <c r="AR22" s="70" t="str">
        <f t="shared" si="3"/>
        <v/>
      </c>
      <c r="AS22" s="70" t="str">
        <f t="shared" si="4"/>
        <v/>
      </c>
      <c r="AT22" s="70" t="str">
        <f t="shared" si="1"/>
        <v/>
      </c>
    </row>
    <row r="23" spans="2:49">
      <c r="B23" s="139"/>
      <c r="C23" s="55">
        <f t="shared" si="2"/>
        <v>17</v>
      </c>
      <c r="D23" s="69" t="s">
        <v>70</v>
      </c>
      <c r="E23" s="69" t="s">
        <v>70</v>
      </c>
      <c r="F23" s="69" t="s">
        <v>70</v>
      </c>
      <c r="G23" s="69" t="s">
        <v>70</v>
      </c>
      <c r="H23" s="69" t="s">
        <v>70</v>
      </c>
      <c r="I23" s="69" t="s">
        <v>70</v>
      </c>
      <c r="J23" s="69" t="s">
        <v>70</v>
      </c>
      <c r="K23" s="69" t="s">
        <v>70</v>
      </c>
      <c r="L23" s="69" t="s">
        <v>70</v>
      </c>
      <c r="M23" s="69" t="s">
        <v>70</v>
      </c>
      <c r="N23" s="69" t="s">
        <v>70</v>
      </c>
      <c r="O23" s="69" t="s">
        <v>70</v>
      </c>
      <c r="P23" s="69" t="s">
        <v>70</v>
      </c>
      <c r="Q23" s="69" t="s">
        <v>70</v>
      </c>
      <c r="R23" s="69" t="s">
        <v>70</v>
      </c>
      <c r="S23" s="69" t="s">
        <v>70</v>
      </c>
      <c r="T23" s="69" t="s">
        <v>70</v>
      </c>
      <c r="U23" s="69" t="s">
        <v>70</v>
      </c>
      <c r="V23" s="69" t="s">
        <v>70</v>
      </c>
      <c r="W23" s="69" t="s">
        <v>70</v>
      </c>
      <c r="X23" s="69" t="s">
        <v>70</v>
      </c>
      <c r="Y23" s="69" t="s">
        <v>70</v>
      </c>
      <c r="Z23" s="69" t="s">
        <v>70</v>
      </c>
      <c r="AA23" s="69" t="s">
        <v>70</v>
      </c>
      <c r="AB23" s="69" t="s">
        <v>70</v>
      </c>
      <c r="AC23" s="69" t="s">
        <v>70</v>
      </c>
      <c r="AD23" s="69" t="s">
        <v>70</v>
      </c>
      <c r="AE23" s="69" t="s">
        <v>70</v>
      </c>
      <c r="AF23" s="69" t="s">
        <v>70</v>
      </c>
      <c r="AG23" s="69" t="s">
        <v>70</v>
      </c>
      <c r="AH23" s="69" t="s">
        <v>70</v>
      </c>
      <c r="AI23" s="69" t="s">
        <v>70</v>
      </c>
      <c r="AJ23" s="25"/>
      <c r="AL23" t="str">
        <f t="shared" ca="1" si="0"/>
        <v xml:space="preserve">    (U1)ALERT_REQ_S_LCA_BC_RQ_</v>
      </c>
      <c r="AR23" s="70" t="str">
        <f t="shared" si="3"/>
        <v/>
      </c>
      <c r="AS23" s="70" t="str">
        <f t="shared" si="4"/>
        <v/>
      </c>
      <c r="AT23" s="70" t="str">
        <f t="shared" si="1"/>
        <v/>
      </c>
    </row>
    <row r="24" spans="2:49">
      <c r="B24" s="139"/>
      <c r="C24" s="55">
        <f t="shared" si="2"/>
        <v>18</v>
      </c>
      <c r="D24" s="69" t="s">
        <v>70</v>
      </c>
      <c r="E24" s="69" t="s">
        <v>70</v>
      </c>
      <c r="F24" s="69" t="s">
        <v>70</v>
      </c>
      <c r="G24" s="69" t="s">
        <v>70</v>
      </c>
      <c r="H24" s="69" t="s">
        <v>70</v>
      </c>
      <c r="I24" s="69" t="s">
        <v>70</v>
      </c>
      <c r="J24" s="69" t="s">
        <v>70</v>
      </c>
      <c r="K24" s="69" t="s">
        <v>70</v>
      </c>
      <c r="L24" s="69" t="s">
        <v>70</v>
      </c>
      <c r="M24" s="69" t="s">
        <v>70</v>
      </c>
      <c r="N24" s="69" t="s">
        <v>70</v>
      </c>
      <c r="O24" s="69" t="s">
        <v>70</v>
      </c>
      <c r="P24" s="69" t="s">
        <v>70</v>
      </c>
      <c r="Q24" s="69" t="s">
        <v>70</v>
      </c>
      <c r="R24" s="69" t="s">
        <v>70</v>
      </c>
      <c r="S24" s="69" t="s">
        <v>70</v>
      </c>
      <c r="T24" s="69" t="s">
        <v>70</v>
      </c>
      <c r="U24" s="69" t="s">
        <v>70</v>
      </c>
      <c r="V24" s="69" t="s">
        <v>70</v>
      </c>
      <c r="W24" s="69" t="s">
        <v>70</v>
      </c>
      <c r="X24" s="69" t="s">
        <v>70</v>
      </c>
      <c r="Y24" s="69" t="s">
        <v>70</v>
      </c>
      <c r="Z24" s="69" t="s">
        <v>70</v>
      </c>
      <c r="AA24" s="69" t="s">
        <v>70</v>
      </c>
      <c r="AB24" s="69" t="s">
        <v>70</v>
      </c>
      <c r="AC24" s="69" t="s">
        <v>70</v>
      </c>
      <c r="AD24" s="69" t="s">
        <v>70</v>
      </c>
      <c r="AE24" s="69" t="s">
        <v>70</v>
      </c>
      <c r="AF24" s="69" t="s">
        <v>70</v>
      </c>
      <c r="AG24" s="69" t="s">
        <v>70</v>
      </c>
      <c r="AH24" s="69" t="s">
        <v>70</v>
      </c>
      <c r="AI24" s="69" t="s">
        <v>70</v>
      </c>
      <c r="AJ24" s="25"/>
      <c r="AL24" t="str">
        <f t="shared" ca="1" si="0"/>
        <v xml:space="preserve">    (U1)ALERT_REQ_S_LCA_BC_RQ_</v>
      </c>
      <c r="AR24" s="70" t="str">
        <f t="shared" si="3"/>
        <v/>
      </c>
      <c r="AS24" s="70" t="str">
        <f t="shared" si="4"/>
        <v/>
      </c>
      <c r="AT24" s="70" t="str">
        <f t="shared" si="1"/>
        <v/>
      </c>
    </row>
    <row r="25" spans="2:49">
      <c r="B25" s="139"/>
      <c r="C25" s="55">
        <f t="shared" si="2"/>
        <v>19</v>
      </c>
      <c r="D25" s="69" t="s">
        <v>70</v>
      </c>
      <c r="E25" s="69" t="s">
        <v>70</v>
      </c>
      <c r="F25" s="69" t="s">
        <v>70</v>
      </c>
      <c r="G25" s="69" t="s">
        <v>70</v>
      </c>
      <c r="H25" s="69" t="s">
        <v>70</v>
      </c>
      <c r="I25" s="69" t="s">
        <v>70</v>
      </c>
      <c r="J25" s="69" t="s">
        <v>70</v>
      </c>
      <c r="K25" s="69" t="s">
        <v>70</v>
      </c>
      <c r="L25" s="69" t="s">
        <v>70</v>
      </c>
      <c r="M25" s="69" t="s">
        <v>70</v>
      </c>
      <c r="N25" s="69" t="s">
        <v>70</v>
      </c>
      <c r="O25" s="69" t="s">
        <v>70</v>
      </c>
      <c r="P25" s="69" t="s">
        <v>70</v>
      </c>
      <c r="Q25" s="69" t="s">
        <v>70</v>
      </c>
      <c r="R25" s="69" t="s">
        <v>70</v>
      </c>
      <c r="S25" s="69" t="s">
        <v>70</v>
      </c>
      <c r="T25" s="69" t="s">
        <v>70</v>
      </c>
      <c r="U25" s="69" t="s">
        <v>70</v>
      </c>
      <c r="V25" s="69" t="s">
        <v>70</v>
      </c>
      <c r="W25" s="69" t="s">
        <v>70</v>
      </c>
      <c r="X25" s="69" t="s">
        <v>70</v>
      </c>
      <c r="Y25" s="69" t="s">
        <v>70</v>
      </c>
      <c r="Z25" s="69" t="s">
        <v>70</v>
      </c>
      <c r="AA25" s="69" t="s">
        <v>70</v>
      </c>
      <c r="AB25" s="69" t="s">
        <v>70</v>
      </c>
      <c r="AC25" s="69" t="s">
        <v>70</v>
      </c>
      <c r="AD25" s="69" t="s">
        <v>70</v>
      </c>
      <c r="AE25" s="69" t="s">
        <v>70</v>
      </c>
      <c r="AF25" s="69" t="s">
        <v>70</v>
      </c>
      <c r="AG25" s="69" t="s">
        <v>70</v>
      </c>
      <c r="AH25" s="69" t="s">
        <v>70</v>
      </c>
      <c r="AI25" s="69" t="s">
        <v>70</v>
      </c>
      <c r="AJ25" s="25"/>
      <c r="AL25" t="str">
        <f t="shared" ca="1" si="0"/>
        <v xml:space="preserve">    (U1)ALERT_REQ_S_LCA_BC_RQ_</v>
      </c>
      <c r="AR25" s="70" t="str">
        <f t="shared" si="3"/>
        <v/>
      </c>
      <c r="AS25" s="70" t="str">
        <f t="shared" si="4"/>
        <v/>
      </c>
      <c r="AT25" s="70" t="str">
        <f t="shared" si="1"/>
        <v/>
      </c>
    </row>
    <row r="26" spans="2:49">
      <c r="B26" s="139"/>
      <c r="C26" s="55">
        <f t="shared" si="2"/>
        <v>20</v>
      </c>
      <c r="D26" s="69" t="s">
        <v>70</v>
      </c>
      <c r="E26" s="69" t="s">
        <v>70</v>
      </c>
      <c r="F26" s="69" t="s">
        <v>70</v>
      </c>
      <c r="G26" s="69" t="s">
        <v>70</v>
      </c>
      <c r="H26" s="69" t="s">
        <v>70</v>
      </c>
      <c r="I26" s="69" t="s">
        <v>70</v>
      </c>
      <c r="J26" s="69" t="s">
        <v>70</v>
      </c>
      <c r="K26" s="69" t="s">
        <v>70</v>
      </c>
      <c r="L26" s="69" t="s">
        <v>70</v>
      </c>
      <c r="M26" s="69" t="s">
        <v>70</v>
      </c>
      <c r="N26" s="69" t="s">
        <v>70</v>
      </c>
      <c r="O26" s="69" t="s">
        <v>70</v>
      </c>
      <c r="P26" s="69" t="s">
        <v>70</v>
      </c>
      <c r="Q26" s="69" t="s">
        <v>70</v>
      </c>
      <c r="R26" s="69" t="s">
        <v>70</v>
      </c>
      <c r="S26" s="69" t="s">
        <v>70</v>
      </c>
      <c r="T26" s="69" t="s">
        <v>70</v>
      </c>
      <c r="U26" s="69" t="s">
        <v>70</v>
      </c>
      <c r="V26" s="69" t="s">
        <v>70</v>
      </c>
      <c r="W26" s="69" t="s">
        <v>70</v>
      </c>
      <c r="X26" s="69" t="s">
        <v>70</v>
      </c>
      <c r="Y26" s="69" t="s">
        <v>70</v>
      </c>
      <c r="Z26" s="69" t="s">
        <v>70</v>
      </c>
      <c r="AA26" s="69" t="s">
        <v>70</v>
      </c>
      <c r="AB26" s="69" t="s">
        <v>70</v>
      </c>
      <c r="AC26" s="69" t="s">
        <v>70</v>
      </c>
      <c r="AD26" s="69" t="s">
        <v>70</v>
      </c>
      <c r="AE26" s="69" t="s">
        <v>70</v>
      </c>
      <c r="AF26" s="69" t="s">
        <v>70</v>
      </c>
      <c r="AG26" s="69" t="s">
        <v>70</v>
      </c>
      <c r="AH26" s="69" t="s">
        <v>70</v>
      </c>
      <c r="AI26" s="69" t="s">
        <v>70</v>
      </c>
      <c r="AJ26" s="25"/>
      <c r="AL26" t="str">
        <f t="shared" ca="1" si="0"/>
        <v xml:space="preserve">    (U1)ALERT_REQ_S_LCA_BC_RQ_</v>
      </c>
      <c r="AR26" s="70" t="str">
        <f t="shared" si="3"/>
        <v/>
      </c>
      <c r="AS26" s="70" t="str">
        <f t="shared" si="4"/>
        <v/>
      </c>
      <c r="AT26" s="70" t="str">
        <f t="shared" si="1"/>
        <v/>
      </c>
    </row>
    <row r="27" spans="2:49">
      <c r="B27" s="139"/>
      <c r="C27" s="55">
        <f t="shared" si="2"/>
        <v>21</v>
      </c>
      <c r="D27" s="69" t="s">
        <v>70</v>
      </c>
      <c r="E27" s="69" t="s">
        <v>70</v>
      </c>
      <c r="F27" s="69" t="s">
        <v>70</v>
      </c>
      <c r="G27" s="69" t="s">
        <v>70</v>
      </c>
      <c r="H27" s="69" t="s">
        <v>70</v>
      </c>
      <c r="I27" s="69" t="s">
        <v>70</v>
      </c>
      <c r="J27" s="69" t="s">
        <v>70</v>
      </c>
      <c r="K27" s="69" t="s">
        <v>70</v>
      </c>
      <c r="L27" s="69" t="s">
        <v>70</v>
      </c>
      <c r="M27" s="69" t="s">
        <v>70</v>
      </c>
      <c r="N27" s="69" t="s">
        <v>70</v>
      </c>
      <c r="O27" s="69" t="s">
        <v>70</v>
      </c>
      <c r="P27" s="69" t="s">
        <v>70</v>
      </c>
      <c r="Q27" s="69" t="s">
        <v>70</v>
      </c>
      <c r="R27" s="69" t="s">
        <v>70</v>
      </c>
      <c r="S27" s="69" t="s">
        <v>70</v>
      </c>
      <c r="T27" s="69" t="s">
        <v>70</v>
      </c>
      <c r="U27" s="69" t="s">
        <v>70</v>
      </c>
      <c r="V27" s="69" t="s">
        <v>70</v>
      </c>
      <c r="W27" s="69" t="s">
        <v>70</v>
      </c>
      <c r="X27" s="69" t="s">
        <v>70</v>
      </c>
      <c r="Y27" s="69" t="s">
        <v>70</v>
      </c>
      <c r="Z27" s="69" t="s">
        <v>70</v>
      </c>
      <c r="AA27" s="69" t="s">
        <v>70</v>
      </c>
      <c r="AB27" s="69" t="s">
        <v>70</v>
      </c>
      <c r="AC27" s="69" t="s">
        <v>70</v>
      </c>
      <c r="AD27" s="69" t="s">
        <v>70</v>
      </c>
      <c r="AE27" s="69" t="s">
        <v>70</v>
      </c>
      <c r="AF27" s="69" t="s">
        <v>70</v>
      </c>
      <c r="AG27" s="69" t="s">
        <v>70</v>
      </c>
      <c r="AH27" s="69" t="s">
        <v>70</v>
      </c>
      <c r="AI27" s="69" t="s">
        <v>70</v>
      </c>
      <c r="AJ27" s="25"/>
      <c r="AL27" t="str">
        <f t="shared" ca="1" si="0"/>
        <v xml:space="preserve">    (U1)ALERT_REQ_S_LCA_BC_RQ_</v>
      </c>
      <c r="AR27" s="70" t="str">
        <f t="shared" si="3"/>
        <v/>
      </c>
      <c r="AS27" s="70" t="str">
        <f t="shared" si="4"/>
        <v/>
      </c>
      <c r="AT27" s="70" t="str">
        <f t="shared" si="1"/>
        <v/>
      </c>
    </row>
    <row r="28" spans="2:49">
      <c r="B28" s="139"/>
      <c r="C28" s="55">
        <f t="shared" si="2"/>
        <v>22</v>
      </c>
      <c r="D28" s="69" t="s">
        <v>70</v>
      </c>
      <c r="E28" s="69" t="s">
        <v>70</v>
      </c>
      <c r="F28" s="69" t="s">
        <v>70</v>
      </c>
      <c r="G28" s="69" t="s">
        <v>70</v>
      </c>
      <c r="H28" s="69" t="s">
        <v>70</v>
      </c>
      <c r="I28" s="69" t="s">
        <v>70</v>
      </c>
      <c r="J28" s="69" t="s">
        <v>70</v>
      </c>
      <c r="K28" s="69" t="s">
        <v>70</v>
      </c>
      <c r="L28" s="69" t="s">
        <v>70</v>
      </c>
      <c r="M28" s="69" t="s">
        <v>70</v>
      </c>
      <c r="N28" s="69" t="s">
        <v>70</v>
      </c>
      <c r="O28" s="69" t="s">
        <v>70</v>
      </c>
      <c r="P28" s="69" t="s">
        <v>70</v>
      </c>
      <c r="Q28" s="69" t="s">
        <v>70</v>
      </c>
      <c r="R28" s="69" t="s">
        <v>70</v>
      </c>
      <c r="S28" s="69" t="s">
        <v>70</v>
      </c>
      <c r="T28" s="69" t="s">
        <v>70</v>
      </c>
      <c r="U28" s="69" t="s">
        <v>70</v>
      </c>
      <c r="V28" s="69" t="s">
        <v>70</v>
      </c>
      <c r="W28" s="69" t="s">
        <v>70</v>
      </c>
      <c r="X28" s="69" t="s">
        <v>70</v>
      </c>
      <c r="Y28" s="69" t="s">
        <v>70</v>
      </c>
      <c r="Z28" s="69" t="s">
        <v>70</v>
      </c>
      <c r="AA28" s="69" t="s">
        <v>70</v>
      </c>
      <c r="AB28" s="69" t="s">
        <v>70</v>
      </c>
      <c r="AC28" s="69" t="s">
        <v>70</v>
      </c>
      <c r="AD28" s="69" t="s">
        <v>70</v>
      </c>
      <c r="AE28" s="69" t="s">
        <v>70</v>
      </c>
      <c r="AF28" s="69" t="s">
        <v>70</v>
      </c>
      <c r="AG28" s="69" t="s">
        <v>70</v>
      </c>
      <c r="AH28" s="69" t="s">
        <v>70</v>
      </c>
      <c r="AI28" s="69" t="s">
        <v>70</v>
      </c>
      <c r="AJ28" s="25"/>
      <c r="AL28" t="str">
        <f t="shared" ca="1" si="0"/>
        <v xml:space="preserve">    (U1)ALERT_REQ_S_LCA_BC_RQ_</v>
      </c>
      <c r="AR28" s="70" t="str">
        <f t="shared" si="3"/>
        <v/>
      </c>
      <c r="AS28" s="70" t="str">
        <f t="shared" si="4"/>
        <v/>
      </c>
      <c r="AT28" s="70" t="str">
        <f t="shared" si="1"/>
        <v/>
      </c>
    </row>
    <row r="29" spans="2:49">
      <c r="B29" s="139"/>
      <c r="C29" s="55">
        <f t="shared" si="2"/>
        <v>23</v>
      </c>
      <c r="D29" s="69" t="s">
        <v>70</v>
      </c>
      <c r="E29" s="69" t="s">
        <v>70</v>
      </c>
      <c r="F29" s="69" t="s">
        <v>70</v>
      </c>
      <c r="G29" s="69" t="s">
        <v>70</v>
      </c>
      <c r="H29" s="69" t="s">
        <v>70</v>
      </c>
      <c r="I29" s="69" t="s">
        <v>70</v>
      </c>
      <c r="J29" s="69" t="s">
        <v>70</v>
      </c>
      <c r="K29" s="69" t="s">
        <v>70</v>
      </c>
      <c r="L29" s="69" t="s">
        <v>70</v>
      </c>
      <c r="M29" s="69" t="s">
        <v>70</v>
      </c>
      <c r="N29" s="69" t="s">
        <v>70</v>
      </c>
      <c r="O29" s="69" t="s">
        <v>70</v>
      </c>
      <c r="P29" s="69" t="s">
        <v>70</v>
      </c>
      <c r="Q29" s="69" t="s">
        <v>70</v>
      </c>
      <c r="R29" s="69" t="s">
        <v>70</v>
      </c>
      <c r="S29" s="69" t="s">
        <v>70</v>
      </c>
      <c r="T29" s="69" t="s">
        <v>70</v>
      </c>
      <c r="U29" s="69" t="s">
        <v>70</v>
      </c>
      <c r="V29" s="69" t="s">
        <v>70</v>
      </c>
      <c r="W29" s="69" t="s">
        <v>70</v>
      </c>
      <c r="X29" s="69" t="s">
        <v>70</v>
      </c>
      <c r="Y29" s="69" t="s">
        <v>70</v>
      </c>
      <c r="Z29" s="69" t="s">
        <v>70</v>
      </c>
      <c r="AA29" s="69" t="s">
        <v>70</v>
      </c>
      <c r="AB29" s="69" t="s">
        <v>70</v>
      </c>
      <c r="AC29" s="69" t="s">
        <v>70</v>
      </c>
      <c r="AD29" s="69" t="s">
        <v>70</v>
      </c>
      <c r="AE29" s="69" t="s">
        <v>70</v>
      </c>
      <c r="AF29" s="69" t="s">
        <v>70</v>
      </c>
      <c r="AG29" s="69" t="s">
        <v>70</v>
      </c>
      <c r="AH29" s="69" t="s">
        <v>70</v>
      </c>
      <c r="AI29" s="69" t="s">
        <v>70</v>
      </c>
      <c r="AJ29" s="25"/>
      <c r="AL29" t="str">
        <f t="shared" ca="1" si="0"/>
        <v xml:space="preserve">    (U1)ALERT_REQ_S_LCA_BC_RQ_</v>
      </c>
      <c r="AR29" s="70" t="str">
        <f t="shared" si="3"/>
        <v/>
      </c>
      <c r="AS29" s="70" t="str">
        <f t="shared" si="4"/>
        <v/>
      </c>
      <c r="AT29" s="70" t="str">
        <f t="shared" si="1"/>
        <v/>
      </c>
    </row>
    <row r="30" spans="2:49">
      <c r="B30" s="139"/>
      <c r="C30" s="55">
        <f t="shared" si="2"/>
        <v>24</v>
      </c>
      <c r="D30" s="69" t="s">
        <v>70</v>
      </c>
      <c r="E30" s="69" t="s">
        <v>70</v>
      </c>
      <c r="F30" s="69" t="s">
        <v>70</v>
      </c>
      <c r="G30" s="69" t="s">
        <v>70</v>
      </c>
      <c r="H30" s="69" t="s">
        <v>70</v>
      </c>
      <c r="I30" s="69" t="s">
        <v>70</v>
      </c>
      <c r="J30" s="69" t="s">
        <v>70</v>
      </c>
      <c r="K30" s="69" t="s">
        <v>70</v>
      </c>
      <c r="L30" s="69" t="s">
        <v>70</v>
      </c>
      <c r="M30" s="69" t="s">
        <v>70</v>
      </c>
      <c r="N30" s="69" t="s">
        <v>70</v>
      </c>
      <c r="O30" s="69" t="s">
        <v>70</v>
      </c>
      <c r="P30" s="69" t="s">
        <v>70</v>
      </c>
      <c r="Q30" s="69" t="s">
        <v>70</v>
      </c>
      <c r="R30" s="69" t="s">
        <v>70</v>
      </c>
      <c r="S30" s="69" t="s">
        <v>70</v>
      </c>
      <c r="T30" s="69" t="s">
        <v>70</v>
      </c>
      <c r="U30" s="69" t="s">
        <v>70</v>
      </c>
      <c r="V30" s="69" t="s">
        <v>70</v>
      </c>
      <c r="W30" s="69" t="s">
        <v>70</v>
      </c>
      <c r="X30" s="69" t="s">
        <v>70</v>
      </c>
      <c r="Y30" s="69" t="s">
        <v>70</v>
      </c>
      <c r="Z30" s="69" t="s">
        <v>70</v>
      </c>
      <c r="AA30" s="69" t="s">
        <v>70</v>
      </c>
      <c r="AB30" s="69" t="s">
        <v>70</v>
      </c>
      <c r="AC30" s="69" t="s">
        <v>70</v>
      </c>
      <c r="AD30" s="69" t="s">
        <v>70</v>
      </c>
      <c r="AE30" s="69" t="s">
        <v>70</v>
      </c>
      <c r="AF30" s="69" t="s">
        <v>70</v>
      </c>
      <c r="AG30" s="69" t="s">
        <v>70</v>
      </c>
      <c r="AH30" s="69" t="s">
        <v>70</v>
      </c>
      <c r="AI30" s="69" t="s">
        <v>70</v>
      </c>
      <c r="AJ30" s="25"/>
      <c r="AL30" t="str">
        <f t="shared" ca="1" si="0"/>
        <v xml:space="preserve">    (U1)ALERT_REQ_S_LCA_BC_RQ_</v>
      </c>
      <c r="AR30" s="70" t="str">
        <f t="shared" si="3"/>
        <v/>
      </c>
      <c r="AS30" s="70" t="str">
        <f t="shared" si="4"/>
        <v/>
      </c>
      <c r="AT30" s="70" t="str">
        <f t="shared" si="1"/>
        <v/>
      </c>
    </row>
    <row r="31" spans="2:49">
      <c r="B31" s="139"/>
      <c r="C31" s="55">
        <f t="shared" si="2"/>
        <v>25</v>
      </c>
      <c r="D31" s="69" t="s">
        <v>70</v>
      </c>
      <c r="E31" s="69" t="s">
        <v>70</v>
      </c>
      <c r="F31" s="69" t="s">
        <v>70</v>
      </c>
      <c r="G31" s="69" t="s">
        <v>70</v>
      </c>
      <c r="H31" s="69" t="s">
        <v>70</v>
      </c>
      <c r="I31" s="69" t="s">
        <v>70</v>
      </c>
      <c r="J31" s="69" t="s">
        <v>70</v>
      </c>
      <c r="K31" s="69" t="s">
        <v>70</v>
      </c>
      <c r="L31" s="69" t="s">
        <v>70</v>
      </c>
      <c r="M31" s="69" t="s">
        <v>70</v>
      </c>
      <c r="N31" s="69" t="s">
        <v>70</v>
      </c>
      <c r="O31" s="69" t="s">
        <v>70</v>
      </c>
      <c r="P31" s="69" t="s">
        <v>70</v>
      </c>
      <c r="Q31" s="69" t="s">
        <v>70</v>
      </c>
      <c r="R31" s="69" t="s">
        <v>70</v>
      </c>
      <c r="S31" s="69" t="s">
        <v>70</v>
      </c>
      <c r="T31" s="69" t="s">
        <v>70</v>
      </c>
      <c r="U31" s="69" t="s">
        <v>70</v>
      </c>
      <c r="V31" s="69" t="s">
        <v>70</v>
      </c>
      <c r="W31" s="69" t="s">
        <v>70</v>
      </c>
      <c r="X31" s="69" t="s">
        <v>70</v>
      </c>
      <c r="Y31" s="69" t="s">
        <v>70</v>
      </c>
      <c r="Z31" s="69" t="s">
        <v>70</v>
      </c>
      <c r="AA31" s="69" t="s">
        <v>70</v>
      </c>
      <c r="AB31" s="69" t="s">
        <v>70</v>
      </c>
      <c r="AC31" s="69" t="s">
        <v>70</v>
      </c>
      <c r="AD31" s="69" t="s">
        <v>70</v>
      </c>
      <c r="AE31" s="69" t="s">
        <v>70</v>
      </c>
      <c r="AF31" s="69" t="s">
        <v>70</v>
      </c>
      <c r="AG31" s="69" t="s">
        <v>70</v>
      </c>
      <c r="AH31" s="69" t="s">
        <v>70</v>
      </c>
      <c r="AI31" s="69" t="s">
        <v>70</v>
      </c>
      <c r="AJ31" s="25"/>
      <c r="AL31" t="str">
        <f t="shared" ca="1" si="0"/>
        <v xml:space="preserve">    (U1)ALERT_REQ_S_LCA_BC_RQ_</v>
      </c>
      <c r="AR31" s="70" t="str">
        <f t="shared" si="3"/>
        <v/>
      </c>
      <c r="AS31" s="70" t="str">
        <f t="shared" si="4"/>
        <v/>
      </c>
      <c r="AT31" s="70" t="str">
        <f t="shared" si="1"/>
        <v/>
      </c>
    </row>
    <row r="32" spans="2:49">
      <c r="B32" s="139"/>
      <c r="C32" s="55">
        <f t="shared" si="2"/>
        <v>26</v>
      </c>
      <c r="D32" s="69" t="s">
        <v>70</v>
      </c>
      <c r="E32" s="69" t="s">
        <v>70</v>
      </c>
      <c r="F32" s="69" t="s">
        <v>70</v>
      </c>
      <c r="G32" s="69" t="s">
        <v>70</v>
      </c>
      <c r="H32" s="69" t="s">
        <v>70</v>
      </c>
      <c r="I32" s="69" t="s">
        <v>70</v>
      </c>
      <c r="J32" s="69" t="s">
        <v>70</v>
      </c>
      <c r="K32" s="69" t="s">
        <v>70</v>
      </c>
      <c r="L32" s="69" t="s">
        <v>70</v>
      </c>
      <c r="M32" s="69" t="s">
        <v>70</v>
      </c>
      <c r="N32" s="69" t="s">
        <v>70</v>
      </c>
      <c r="O32" s="69" t="s">
        <v>70</v>
      </c>
      <c r="P32" s="69" t="s">
        <v>70</v>
      </c>
      <c r="Q32" s="69" t="s">
        <v>70</v>
      </c>
      <c r="R32" s="69" t="s">
        <v>70</v>
      </c>
      <c r="S32" s="69" t="s">
        <v>70</v>
      </c>
      <c r="T32" s="69" t="s">
        <v>70</v>
      </c>
      <c r="U32" s="69" t="s">
        <v>70</v>
      </c>
      <c r="V32" s="69" t="s">
        <v>70</v>
      </c>
      <c r="W32" s="69" t="s">
        <v>70</v>
      </c>
      <c r="X32" s="69" t="s">
        <v>70</v>
      </c>
      <c r="Y32" s="69" t="s">
        <v>70</v>
      </c>
      <c r="Z32" s="69" t="s">
        <v>70</v>
      </c>
      <c r="AA32" s="69" t="s">
        <v>70</v>
      </c>
      <c r="AB32" s="69" t="s">
        <v>70</v>
      </c>
      <c r="AC32" s="69" t="s">
        <v>70</v>
      </c>
      <c r="AD32" s="69" t="s">
        <v>70</v>
      </c>
      <c r="AE32" s="69" t="s">
        <v>70</v>
      </c>
      <c r="AF32" s="69" t="s">
        <v>70</v>
      </c>
      <c r="AG32" s="69" t="s">
        <v>70</v>
      </c>
      <c r="AH32" s="69" t="s">
        <v>70</v>
      </c>
      <c r="AI32" s="69" t="s">
        <v>70</v>
      </c>
      <c r="AJ32" s="25"/>
      <c r="AL32" t="str">
        <f t="shared" ca="1" si="0"/>
        <v xml:space="preserve">    (U1)ALERT_REQ_S_LCA_BC_RQ_</v>
      </c>
      <c r="AR32" s="70" t="str">
        <f t="shared" si="3"/>
        <v/>
      </c>
      <c r="AS32" s="70" t="str">
        <f t="shared" si="4"/>
        <v/>
      </c>
      <c r="AT32" s="70" t="str">
        <f t="shared" si="1"/>
        <v/>
      </c>
    </row>
    <row r="33" spans="2:46">
      <c r="B33" s="139"/>
      <c r="C33" s="55">
        <f t="shared" si="2"/>
        <v>27</v>
      </c>
      <c r="D33" s="69" t="s">
        <v>70</v>
      </c>
      <c r="E33" s="69" t="s">
        <v>70</v>
      </c>
      <c r="F33" s="69" t="s">
        <v>70</v>
      </c>
      <c r="G33" s="69" t="s">
        <v>70</v>
      </c>
      <c r="H33" s="69" t="s">
        <v>70</v>
      </c>
      <c r="I33" s="69" t="s">
        <v>70</v>
      </c>
      <c r="J33" s="69" t="s">
        <v>70</v>
      </c>
      <c r="K33" s="69" t="s">
        <v>70</v>
      </c>
      <c r="L33" s="69" t="s">
        <v>70</v>
      </c>
      <c r="M33" s="69" t="s">
        <v>70</v>
      </c>
      <c r="N33" s="69" t="s">
        <v>70</v>
      </c>
      <c r="O33" s="69" t="s">
        <v>70</v>
      </c>
      <c r="P33" s="69" t="s">
        <v>70</v>
      </c>
      <c r="Q33" s="69" t="s">
        <v>70</v>
      </c>
      <c r="R33" s="69" t="s">
        <v>70</v>
      </c>
      <c r="S33" s="69" t="s">
        <v>70</v>
      </c>
      <c r="T33" s="69" t="s">
        <v>70</v>
      </c>
      <c r="U33" s="69" t="s">
        <v>70</v>
      </c>
      <c r="V33" s="69" t="s">
        <v>70</v>
      </c>
      <c r="W33" s="69" t="s">
        <v>70</v>
      </c>
      <c r="X33" s="69" t="s">
        <v>70</v>
      </c>
      <c r="Y33" s="69" t="s">
        <v>70</v>
      </c>
      <c r="Z33" s="69" t="s">
        <v>70</v>
      </c>
      <c r="AA33" s="69" t="s">
        <v>70</v>
      </c>
      <c r="AB33" s="69" t="s">
        <v>70</v>
      </c>
      <c r="AC33" s="69" t="s">
        <v>70</v>
      </c>
      <c r="AD33" s="69" t="s">
        <v>70</v>
      </c>
      <c r="AE33" s="69" t="s">
        <v>70</v>
      </c>
      <c r="AF33" s="69" t="s">
        <v>70</v>
      </c>
      <c r="AG33" s="69" t="s">
        <v>70</v>
      </c>
      <c r="AH33" s="69" t="s">
        <v>70</v>
      </c>
      <c r="AI33" s="69" t="s">
        <v>70</v>
      </c>
      <c r="AJ33" s="25"/>
      <c r="AL33" t="str">
        <f t="shared" ca="1" si="0"/>
        <v xml:space="preserve">    (U1)ALERT_REQ_S_LCA_BC_RQ_</v>
      </c>
      <c r="AR33" s="70" t="str">
        <f t="shared" si="3"/>
        <v/>
      </c>
      <c r="AS33" s="70" t="str">
        <f t="shared" si="4"/>
        <v/>
      </c>
      <c r="AT33" s="70" t="str">
        <f t="shared" si="1"/>
        <v/>
      </c>
    </row>
    <row r="34" spans="2:46">
      <c r="B34" s="139"/>
      <c r="C34" s="55">
        <f t="shared" si="2"/>
        <v>28</v>
      </c>
      <c r="D34" s="69" t="s">
        <v>70</v>
      </c>
      <c r="E34" s="69" t="s">
        <v>70</v>
      </c>
      <c r="F34" s="69" t="s">
        <v>70</v>
      </c>
      <c r="G34" s="69" t="s">
        <v>70</v>
      </c>
      <c r="H34" s="69" t="s">
        <v>70</v>
      </c>
      <c r="I34" s="69" t="s">
        <v>70</v>
      </c>
      <c r="J34" s="69" t="s">
        <v>70</v>
      </c>
      <c r="K34" s="69" t="s">
        <v>70</v>
      </c>
      <c r="L34" s="69" t="s">
        <v>70</v>
      </c>
      <c r="M34" s="69" t="s">
        <v>70</v>
      </c>
      <c r="N34" s="69" t="s">
        <v>70</v>
      </c>
      <c r="O34" s="69" t="s">
        <v>70</v>
      </c>
      <c r="P34" s="69" t="s">
        <v>70</v>
      </c>
      <c r="Q34" s="69" t="s">
        <v>70</v>
      </c>
      <c r="R34" s="69" t="s">
        <v>70</v>
      </c>
      <c r="S34" s="69" t="s">
        <v>70</v>
      </c>
      <c r="T34" s="69" t="s">
        <v>70</v>
      </c>
      <c r="U34" s="69" t="s">
        <v>70</v>
      </c>
      <c r="V34" s="69" t="s">
        <v>70</v>
      </c>
      <c r="W34" s="69" t="s">
        <v>70</v>
      </c>
      <c r="X34" s="69" t="s">
        <v>70</v>
      </c>
      <c r="Y34" s="69" t="s">
        <v>70</v>
      </c>
      <c r="Z34" s="69" t="s">
        <v>70</v>
      </c>
      <c r="AA34" s="69" t="s">
        <v>70</v>
      </c>
      <c r="AB34" s="69" t="s">
        <v>70</v>
      </c>
      <c r="AC34" s="69" t="s">
        <v>70</v>
      </c>
      <c r="AD34" s="69" t="s">
        <v>70</v>
      </c>
      <c r="AE34" s="69" t="s">
        <v>70</v>
      </c>
      <c r="AF34" s="69" t="s">
        <v>70</v>
      </c>
      <c r="AG34" s="69" t="s">
        <v>70</v>
      </c>
      <c r="AH34" s="69" t="s">
        <v>70</v>
      </c>
      <c r="AI34" s="69" t="s">
        <v>70</v>
      </c>
      <c r="AJ34" s="25"/>
      <c r="AL34" t="str">
        <f t="shared" ca="1" si="0"/>
        <v xml:space="preserve">    (U1)ALERT_REQ_S_LCA_BC_RQ_</v>
      </c>
      <c r="AR34" s="70" t="str">
        <f t="shared" si="3"/>
        <v/>
      </c>
      <c r="AS34" s="70" t="str">
        <f t="shared" si="4"/>
        <v/>
      </c>
      <c r="AT34" s="70" t="str">
        <f t="shared" si="1"/>
        <v/>
      </c>
    </row>
    <row r="35" spans="2:46">
      <c r="B35" s="139"/>
      <c r="C35" s="55">
        <f t="shared" si="2"/>
        <v>29</v>
      </c>
      <c r="D35" s="69" t="s">
        <v>70</v>
      </c>
      <c r="E35" s="69" t="s">
        <v>70</v>
      </c>
      <c r="F35" s="69" t="s">
        <v>70</v>
      </c>
      <c r="G35" s="69" t="s">
        <v>70</v>
      </c>
      <c r="H35" s="69" t="s">
        <v>70</v>
      </c>
      <c r="I35" s="69" t="s">
        <v>70</v>
      </c>
      <c r="J35" s="69" t="s">
        <v>70</v>
      </c>
      <c r="K35" s="69" t="s">
        <v>70</v>
      </c>
      <c r="L35" s="69" t="s">
        <v>70</v>
      </c>
      <c r="M35" s="69" t="s">
        <v>70</v>
      </c>
      <c r="N35" s="69" t="s">
        <v>70</v>
      </c>
      <c r="O35" s="69" t="s">
        <v>70</v>
      </c>
      <c r="P35" s="69" t="s">
        <v>70</v>
      </c>
      <c r="Q35" s="69" t="s">
        <v>70</v>
      </c>
      <c r="R35" s="69" t="s">
        <v>70</v>
      </c>
      <c r="S35" s="69" t="s">
        <v>70</v>
      </c>
      <c r="T35" s="69" t="s">
        <v>70</v>
      </c>
      <c r="U35" s="69" t="s">
        <v>70</v>
      </c>
      <c r="V35" s="69" t="s">
        <v>70</v>
      </c>
      <c r="W35" s="69" t="s">
        <v>70</v>
      </c>
      <c r="X35" s="69" t="s">
        <v>70</v>
      </c>
      <c r="Y35" s="69" t="s">
        <v>70</v>
      </c>
      <c r="Z35" s="69" t="s">
        <v>70</v>
      </c>
      <c r="AA35" s="69" t="s">
        <v>70</v>
      </c>
      <c r="AB35" s="69" t="s">
        <v>70</v>
      </c>
      <c r="AC35" s="69" t="s">
        <v>70</v>
      </c>
      <c r="AD35" s="69" t="s">
        <v>70</v>
      </c>
      <c r="AE35" s="69" t="s">
        <v>70</v>
      </c>
      <c r="AF35" s="69" t="s">
        <v>70</v>
      </c>
      <c r="AG35" s="69" t="s">
        <v>70</v>
      </c>
      <c r="AH35" s="69" t="s">
        <v>70</v>
      </c>
      <c r="AI35" s="69" t="s">
        <v>70</v>
      </c>
      <c r="AJ35" s="25"/>
      <c r="AL35" t="str">
        <f t="shared" ca="1" si="0"/>
        <v xml:space="preserve">    (U1)ALERT_REQ_S_LCA_BC_RQ_</v>
      </c>
      <c r="AR35" s="70" t="str">
        <f t="shared" si="3"/>
        <v/>
      </c>
      <c r="AS35" s="70" t="str">
        <f t="shared" si="4"/>
        <v/>
      </c>
      <c r="AT35" s="70" t="str">
        <f t="shared" si="1"/>
        <v/>
      </c>
    </row>
    <row r="36" spans="2:46">
      <c r="B36" s="139"/>
      <c r="C36" s="55">
        <f t="shared" si="2"/>
        <v>30</v>
      </c>
      <c r="D36" s="69" t="s">
        <v>70</v>
      </c>
      <c r="E36" s="69" t="s">
        <v>70</v>
      </c>
      <c r="F36" s="69" t="s">
        <v>70</v>
      </c>
      <c r="G36" s="69" t="s">
        <v>70</v>
      </c>
      <c r="H36" s="69" t="s">
        <v>70</v>
      </c>
      <c r="I36" s="69" t="s">
        <v>70</v>
      </c>
      <c r="J36" s="69" t="s">
        <v>70</v>
      </c>
      <c r="K36" s="69" t="s">
        <v>70</v>
      </c>
      <c r="L36" s="69" t="s">
        <v>70</v>
      </c>
      <c r="M36" s="69" t="s">
        <v>70</v>
      </c>
      <c r="N36" s="69" t="s">
        <v>70</v>
      </c>
      <c r="O36" s="69" t="s">
        <v>70</v>
      </c>
      <c r="P36" s="69" t="s">
        <v>70</v>
      </c>
      <c r="Q36" s="69" t="s">
        <v>70</v>
      </c>
      <c r="R36" s="69" t="s">
        <v>70</v>
      </c>
      <c r="S36" s="69" t="s">
        <v>70</v>
      </c>
      <c r="T36" s="69" t="s">
        <v>70</v>
      </c>
      <c r="U36" s="69" t="s">
        <v>70</v>
      </c>
      <c r="V36" s="69" t="s">
        <v>70</v>
      </c>
      <c r="W36" s="69" t="s">
        <v>70</v>
      </c>
      <c r="X36" s="69" t="s">
        <v>70</v>
      </c>
      <c r="Y36" s="69" t="s">
        <v>70</v>
      </c>
      <c r="Z36" s="69" t="s">
        <v>70</v>
      </c>
      <c r="AA36" s="69" t="s">
        <v>70</v>
      </c>
      <c r="AB36" s="69" t="s">
        <v>70</v>
      </c>
      <c r="AC36" s="69" t="s">
        <v>70</v>
      </c>
      <c r="AD36" s="69" t="s">
        <v>70</v>
      </c>
      <c r="AE36" s="69" t="s">
        <v>70</v>
      </c>
      <c r="AF36" s="69" t="s">
        <v>70</v>
      </c>
      <c r="AG36" s="69" t="s">
        <v>70</v>
      </c>
      <c r="AH36" s="69" t="s">
        <v>70</v>
      </c>
      <c r="AI36" s="69" t="s">
        <v>70</v>
      </c>
      <c r="AJ36" s="25"/>
      <c r="AL36" t="str">
        <f t="shared" ca="1" si="0"/>
        <v xml:space="preserve">    (U1)ALERT_REQ_S_LCA_BC_RQ_</v>
      </c>
      <c r="AR36" s="70" t="str">
        <f t="shared" si="3"/>
        <v/>
      </c>
      <c r="AS36" s="70" t="str">
        <f t="shared" si="4"/>
        <v/>
      </c>
      <c r="AT36" s="70" t="str">
        <f t="shared" si="1"/>
        <v/>
      </c>
    </row>
    <row r="37" spans="2:46">
      <c r="B37" s="139"/>
      <c r="C37" s="55">
        <f t="shared" si="2"/>
        <v>31</v>
      </c>
      <c r="D37" s="69" t="s">
        <v>70</v>
      </c>
      <c r="E37" s="69" t="s">
        <v>70</v>
      </c>
      <c r="F37" s="69" t="s">
        <v>70</v>
      </c>
      <c r="G37" s="69" t="s">
        <v>70</v>
      </c>
      <c r="H37" s="69" t="s">
        <v>70</v>
      </c>
      <c r="I37" s="69" t="s">
        <v>70</v>
      </c>
      <c r="J37" s="69" t="s">
        <v>70</v>
      </c>
      <c r="K37" s="69" t="s">
        <v>70</v>
      </c>
      <c r="L37" s="69" t="s">
        <v>70</v>
      </c>
      <c r="M37" s="69" t="s">
        <v>70</v>
      </c>
      <c r="N37" s="69" t="s">
        <v>70</v>
      </c>
      <c r="O37" s="69" t="s">
        <v>70</v>
      </c>
      <c r="P37" s="69" t="s">
        <v>70</v>
      </c>
      <c r="Q37" s="69" t="s">
        <v>70</v>
      </c>
      <c r="R37" s="69" t="s">
        <v>70</v>
      </c>
      <c r="S37" s="69" t="s">
        <v>70</v>
      </c>
      <c r="T37" s="69" t="s">
        <v>70</v>
      </c>
      <c r="U37" s="69" t="s">
        <v>70</v>
      </c>
      <c r="V37" s="69" t="s">
        <v>70</v>
      </c>
      <c r="W37" s="69" t="s">
        <v>70</v>
      </c>
      <c r="X37" s="69" t="s">
        <v>70</v>
      </c>
      <c r="Y37" s="69" t="s">
        <v>70</v>
      </c>
      <c r="Z37" s="69" t="s">
        <v>70</v>
      </c>
      <c r="AA37" s="69" t="s">
        <v>70</v>
      </c>
      <c r="AB37" s="69" t="s">
        <v>70</v>
      </c>
      <c r="AC37" s="69" t="s">
        <v>70</v>
      </c>
      <c r="AD37" s="69" t="s">
        <v>70</v>
      </c>
      <c r="AE37" s="69" t="s">
        <v>70</v>
      </c>
      <c r="AF37" s="69" t="s">
        <v>70</v>
      </c>
      <c r="AG37" s="69" t="s">
        <v>70</v>
      </c>
      <c r="AH37" s="69" t="s">
        <v>70</v>
      </c>
      <c r="AI37" s="69" t="s">
        <v>70</v>
      </c>
      <c r="AJ37" s="25"/>
      <c r="AL37" t="str">
        <f t="shared" ca="1" si="0"/>
        <v xml:space="preserve">    (U1)ALERT_REQ_S_LCA_BC_RQ_</v>
      </c>
      <c r="AR37" s="70" t="str">
        <f t="shared" si="3"/>
        <v/>
      </c>
      <c r="AS37" s="70" t="str">
        <f t="shared" si="4"/>
        <v/>
      </c>
      <c r="AT37" s="70" t="str">
        <f t="shared" si="1"/>
        <v/>
      </c>
    </row>
    <row r="38" spans="2:46">
      <c r="B38" s="139"/>
      <c r="C38" s="55">
        <f t="shared" si="2"/>
        <v>32</v>
      </c>
      <c r="D38" s="69" t="s">
        <v>70</v>
      </c>
      <c r="E38" s="69" t="s">
        <v>70</v>
      </c>
      <c r="F38" s="69" t="s">
        <v>70</v>
      </c>
      <c r="G38" s="69" t="s">
        <v>70</v>
      </c>
      <c r="H38" s="69" t="s">
        <v>70</v>
      </c>
      <c r="I38" s="69" t="s">
        <v>70</v>
      </c>
      <c r="J38" s="69" t="s">
        <v>70</v>
      </c>
      <c r="K38" s="69" t="s">
        <v>70</v>
      </c>
      <c r="L38" s="69" t="s">
        <v>70</v>
      </c>
      <c r="M38" s="69" t="s">
        <v>70</v>
      </c>
      <c r="N38" s="69" t="s">
        <v>70</v>
      </c>
      <c r="O38" s="69" t="s">
        <v>70</v>
      </c>
      <c r="P38" s="69" t="s">
        <v>70</v>
      </c>
      <c r="Q38" s="69" t="s">
        <v>70</v>
      </c>
      <c r="R38" s="69" t="s">
        <v>70</v>
      </c>
      <c r="S38" s="69" t="s">
        <v>70</v>
      </c>
      <c r="T38" s="69" t="s">
        <v>70</v>
      </c>
      <c r="U38" s="69" t="s">
        <v>70</v>
      </c>
      <c r="V38" s="69" t="s">
        <v>70</v>
      </c>
      <c r="W38" s="69" t="s">
        <v>70</v>
      </c>
      <c r="X38" s="69" t="s">
        <v>70</v>
      </c>
      <c r="Y38" s="69" t="s">
        <v>70</v>
      </c>
      <c r="Z38" s="69" t="s">
        <v>70</v>
      </c>
      <c r="AA38" s="69" t="s">
        <v>70</v>
      </c>
      <c r="AB38" s="69" t="s">
        <v>70</v>
      </c>
      <c r="AC38" s="69" t="s">
        <v>70</v>
      </c>
      <c r="AD38" s="69" t="s">
        <v>70</v>
      </c>
      <c r="AE38" s="69" t="s">
        <v>70</v>
      </c>
      <c r="AF38" s="69" t="s">
        <v>70</v>
      </c>
      <c r="AG38" s="69" t="s">
        <v>70</v>
      </c>
      <c r="AH38" s="69" t="s">
        <v>70</v>
      </c>
      <c r="AI38" s="69" t="s">
        <v>70</v>
      </c>
      <c r="AJ38" s="25"/>
      <c r="AL38" t="str">
        <f t="shared" ca="1" si="0"/>
        <v xml:space="preserve">    (U1)ALERT_REQ_S_LCA_BC_RQ_</v>
      </c>
      <c r="AR38" s="70" t="str">
        <f t="shared" si="3"/>
        <v/>
      </c>
      <c r="AS38" s="70" t="str">
        <f t="shared" si="4"/>
        <v/>
      </c>
      <c r="AT38" s="70" t="str">
        <f t="shared" si="1"/>
        <v/>
      </c>
    </row>
    <row r="39" spans="2:46">
      <c r="B39" s="139"/>
      <c r="C39" s="55">
        <f t="shared" si="2"/>
        <v>33</v>
      </c>
      <c r="D39" s="69" t="s">
        <v>70</v>
      </c>
      <c r="E39" s="69" t="s">
        <v>70</v>
      </c>
      <c r="F39" s="69" t="s">
        <v>70</v>
      </c>
      <c r="G39" s="69" t="s">
        <v>70</v>
      </c>
      <c r="H39" s="69" t="s">
        <v>70</v>
      </c>
      <c r="I39" s="69" t="s">
        <v>70</v>
      </c>
      <c r="J39" s="69" t="s">
        <v>70</v>
      </c>
      <c r="K39" s="69" t="s">
        <v>70</v>
      </c>
      <c r="L39" s="69" t="s">
        <v>70</v>
      </c>
      <c r="M39" s="69" t="s">
        <v>70</v>
      </c>
      <c r="N39" s="69" t="s">
        <v>70</v>
      </c>
      <c r="O39" s="69" t="s">
        <v>70</v>
      </c>
      <c r="P39" s="69" t="s">
        <v>70</v>
      </c>
      <c r="Q39" s="69" t="s">
        <v>70</v>
      </c>
      <c r="R39" s="69" t="s">
        <v>70</v>
      </c>
      <c r="S39" s="69" t="s">
        <v>70</v>
      </c>
      <c r="T39" s="69" t="s">
        <v>70</v>
      </c>
      <c r="U39" s="69" t="s">
        <v>70</v>
      </c>
      <c r="V39" s="69" t="s">
        <v>70</v>
      </c>
      <c r="W39" s="69" t="s">
        <v>70</v>
      </c>
      <c r="X39" s="69" t="s">
        <v>70</v>
      </c>
      <c r="Y39" s="69" t="s">
        <v>70</v>
      </c>
      <c r="Z39" s="69" t="s">
        <v>70</v>
      </c>
      <c r="AA39" s="69" t="s">
        <v>70</v>
      </c>
      <c r="AB39" s="69" t="s">
        <v>70</v>
      </c>
      <c r="AC39" s="69" t="s">
        <v>70</v>
      </c>
      <c r="AD39" s="69" t="s">
        <v>70</v>
      </c>
      <c r="AE39" s="69" t="s">
        <v>70</v>
      </c>
      <c r="AF39" s="69" t="s">
        <v>70</v>
      </c>
      <c r="AG39" s="69" t="s">
        <v>70</v>
      </c>
      <c r="AH39" s="69" t="s">
        <v>70</v>
      </c>
      <c r="AI39" s="69" t="s">
        <v>70</v>
      </c>
      <c r="AJ39" s="25"/>
      <c r="AL39" t="str">
        <f t="shared" ca="1" si="0"/>
        <v xml:space="preserve">    (U1)ALERT_REQ_S_LCA_BC_RQ_</v>
      </c>
      <c r="AR39" s="70" t="str">
        <f t="shared" si="3"/>
        <v/>
      </c>
      <c r="AS39" s="70" t="str">
        <f t="shared" si="4"/>
        <v/>
      </c>
      <c r="AT39" s="70" t="str">
        <f t="shared" si="1"/>
        <v/>
      </c>
    </row>
    <row r="40" spans="2:46">
      <c r="B40" s="139"/>
      <c r="C40" s="55">
        <f t="shared" si="2"/>
        <v>34</v>
      </c>
      <c r="D40" s="69" t="s">
        <v>70</v>
      </c>
      <c r="E40" s="69" t="s">
        <v>70</v>
      </c>
      <c r="F40" s="69" t="s">
        <v>70</v>
      </c>
      <c r="G40" s="69" t="s">
        <v>70</v>
      </c>
      <c r="H40" s="69" t="s">
        <v>70</v>
      </c>
      <c r="I40" s="69" t="s">
        <v>70</v>
      </c>
      <c r="J40" s="69" t="s">
        <v>70</v>
      </c>
      <c r="K40" s="69" t="s">
        <v>70</v>
      </c>
      <c r="L40" s="69" t="s">
        <v>70</v>
      </c>
      <c r="M40" s="69" t="s">
        <v>70</v>
      </c>
      <c r="N40" s="69" t="s">
        <v>70</v>
      </c>
      <c r="O40" s="69" t="s">
        <v>70</v>
      </c>
      <c r="P40" s="69" t="s">
        <v>70</v>
      </c>
      <c r="Q40" s="69" t="s">
        <v>70</v>
      </c>
      <c r="R40" s="69" t="s">
        <v>70</v>
      </c>
      <c r="S40" s="69" t="s">
        <v>70</v>
      </c>
      <c r="T40" s="69" t="s">
        <v>70</v>
      </c>
      <c r="U40" s="69" t="s">
        <v>70</v>
      </c>
      <c r="V40" s="69" t="s">
        <v>70</v>
      </c>
      <c r="W40" s="69" t="s">
        <v>70</v>
      </c>
      <c r="X40" s="69" t="s">
        <v>70</v>
      </c>
      <c r="Y40" s="69" t="s">
        <v>70</v>
      </c>
      <c r="Z40" s="69" t="s">
        <v>70</v>
      </c>
      <c r="AA40" s="69" t="s">
        <v>70</v>
      </c>
      <c r="AB40" s="69" t="s">
        <v>70</v>
      </c>
      <c r="AC40" s="69" t="s">
        <v>70</v>
      </c>
      <c r="AD40" s="69" t="s">
        <v>70</v>
      </c>
      <c r="AE40" s="69" t="s">
        <v>70</v>
      </c>
      <c r="AF40" s="69" t="s">
        <v>70</v>
      </c>
      <c r="AG40" s="69" t="s">
        <v>70</v>
      </c>
      <c r="AH40" s="69" t="s">
        <v>70</v>
      </c>
      <c r="AI40" s="69" t="s">
        <v>70</v>
      </c>
      <c r="AJ40" s="25"/>
      <c r="AL40" t="str">
        <f t="shared" ca="1" si="0"/>
        <v xml:space="preserve">    (U1)ALERT_REQ_S_LCA_BC_RQ_</v>
      </c>
      <c r="AR40" s="70" t="str">
        <f t="shared" si="3"/>
        <v/>
      </c>
      <c r="AS40" s="70" t="str">
        <f t="shared" si="4"/>
        <v/>
      </c>
      <c r="AT40" s="70" t="str">
        <f t="shared" si="1"/>
        <v/>
      </c>
    </row>
    <row r="41" spans="2:46">
      <c r="B41" s="139"/>
      <c r="C41" s="55">
        <f t="shared" si="2"/>
        <v>35</v>
      </c>
      <c r="D41" s="69" t="s">
        <v>70</v>
      </c>
      <c r="E41" s="69" t="s">
        <v>70</v>
      </c>
      <c r="F41" s="69" t="s">
        <v>70</v>
      </c>
      <c r="G41" s="69" t="s">
        <v>70</v>
      </c>
      <c r="H41" s="69" t="s">
        <v>70</v>
      </c>
      <c r="I41" s="69" t="s">
        <v>70</v>
      </c>
      <c r="J41" s="69" t="s">
        <v>70</v>
      </c>
      <c r="K41" s="69" t="s">
        <v>70</v>
      </c>
      <c r="L41" s="69" t="s">
        <v>70</v>
      </c>
      <c r="M41" s="69" t="s">
        <v>70</v>
      </c>
      <c r="N41" s="69" t="s">
        <v>70</v>
      </c>
      <c r="O41" s="69" t="s">
        <v>70</v>
      </c>
      <c r="P41" s="69" t="s">
        <v>70</v>
      </c>
      <c r="Q41" s="69" t="s">
        <v>70</v>
      </c>
      <c r="R41" s="69" t="s">
        <v>70</v>
      </c>
      <c r="S41" s="69" t="s">
        <v>70</v>
      </c>
      <c r="T41" s="69" t="s">
        <v>70</v>
      </c>
      <c r="U41" s="69" t="s">
        <v>70</v>
      </c>
      <c r="V41" s="69" t="s">
        <v>70</v>
      </c>
      <c r="W41" s="69" t="s">
        <v>70</v>
      </c>
      <c r="X41" s="69" t="s">
        <v>70</v>
      </c>
      <c r="Y41" s="69" t="s">
        <v>70</v>
      </c>
      <c r="Z41" s="69" t="s">
        <v>70</v>
      </c>
      <c r="AA41" s="69" t="s">
        <v>70</v>
      </c>
      <c r="AB41" s="69" t="s">
        <v>70</v>
      </c>
      <c r="AC41" s="69" t="s">
        <v>70</v>
      </c>
      <c r="AD41" s="69" t="s">
        <v>70</v>
      </c>
      <c r="AE41" s="69" t="s">
        <v>70</v>
      </c>
      <c r="AF41" s="69" t="s">
        <v>70</v>
      </c>
      <c r="AG41" s="69" t="s">
        <v>70</v>
      </c>
      <c r="AH41" s="69" t="s">
        <v>70</v>
      </c>
      <c r="AI41" s="69" t="s">
        <v>70</v>
      </c>
      <c r="AJ41" s="25"/>
      <c r="AL41" t="str">
        <f t="shared" ca="1" si="0"/>
        <v xml:space="preserve">    (U1)ALERT_REQ_S_LCA_BC_RQ_</v>
      </c>
      <c r="AR41" s="70" t="str">
        <f t="shared" si="3"/>
        <v/>
      </c>
      <c r="AS41" s="70" t="str">
        <f t="shared" si="4"/>
        <v/>
      </c>
      <c r="AT41" s="70" t="str">
        <f t="shared" si="1"/>
        <v/>
      </c>
    </row>
    <row r="42" spans="2:46">
      <c r="B42" s="139"/>
      <c r="C42" s="55">
        <f t="shared" si="2"/>
        <v>36</v>
      </c>
      <c r="D42" s="69" t="s">
        <v>70</v>
      </c>
      <c r="E42" s="69" t="s">
        <v>70</v>
      </c>
      <c r="F42" s="69" t="s">
        <v>70</v>
      </c>
      <c r="G42" s="69" t="s">
        <v>70</v>
      </c>
      <c r="H42" s="69" t="s">
        <v>70</v>
      </c>
      <c r="I42" s="69" t="s">
        <v>70</v>
      </c>
      <c r="J42" s="69" t="s">
        <v>70</v>
      </c>
      <c r="K42" s="69" t="s">
        <v>70</v>
      </c>
      <c r="L42" s="69" t="s">
        <v>70</v>
      </c>
      <c r="M42" s="69" t="s">
        <v>70</v>
      </c>
      <c r="N42" s="69" t="s">
        <v>70</v>
      </c>
      <c r="O42" s="69" t="s">
        <v>70</v>
      </c>
      <c r="P42" s="69" t="s">
        <v>70</v>
      </c>
      <c r="Q42" s="69" t="s">
        <v>70</v>
      </c>
      <c r="R42" s="69" t="s">
        <v>70</v>
      </c>
      <c r="S42" s="69" t="s">
        <v>70</v>
      </c>
      <c r="T42" s="69" t="s">
        <v>70</v>
      </c>
      <c r="U42" s="69" t="s">
        <v>70</v>
      </c>
      <c r="V42" s="69" t="s">
        <v>70</v>
      </c>
      <c r="W42" s="69" t="s">
        <v>70</v>
      </c>
      <c r="X42" s="69" t="s">
        <v>70</v>
      </c>
      <c r="Y42" s="69" t="s">
        <v>70</v>
      </c>
      <c r="Z42" s="69" t="s">
        <v>70</v>
      </c>
      <c r="AA42" s="69" t="s">
        <v>70</v>
      </c>
      <c r="AB42" s="69" t="s">
        <v>70</v>
      </c>
      <c r="AC42" s="69" t="s">
        <v>70</v>
      </c>
      <c r="AD42" s="69" t="s">
        <v>70</v>
      </c>
      <c r="AE42" s="69" t="s">
        <v>70</v>
      </c>
      <c r="AF42" s="69" t="s">
        <v>70</v>
      </c>
      <c r="AG42" s="69" t="s">
        <v>70</v>
      </c>
      <c r="AH42" s="69" t="s">
        <v>70</v>
      </c>
      <c r="AI42" s="69" t="s">
        <v>70</v>
      </c>
      <c r="AJ42" s="25"/>
      <c r="AL42" t="str">
        <f t="shared" ca="1" si="0"/>
        <v xml:space="preserve">    (U1)ALERT_REQ_S_LCA_BC_RQ_</v>
      </c>
      <c r="AR42" s="70" t="str">
        <f t="shared" si="3"/>
        <v/>
      </c>
      <c r="AS42" s="70" t="str">
        <f t="shared" si="4"/>
        <v/>
      </c>
      <c r="AT42" s="70" t="str">
        <f t="shared" si="1"/>
        <v/>
      </c>
    </row>
    <row r="43" spans="2:46">
      <c r="B43" s="139"/>
      <c r="C43" s="55">
        <f t="shared" si="2"/>
        <v>37</v>
      </c>
      <c r="D43" s="69" t="s">
        <v>70</v>
      </c>
      <c r="E43" s="69" t="s">
        <v>70</v>
      </c>
      <c r="F43" s="69" t="s">
        <v>70</v>
      </c>
      <c r="G43" s="69" t="s">
        <v>70</v>
      </c>
      <c r="H43" s="69" t="s">
        <v>70</v>
      </c>
      <c r="I43" s="69" t="s">
        <v>70</v>
      </c>
      <c r="J43" s="69" t="s">
        <v>70</v>
      </c>
      <c r="K43" s="69" t="s">
        <v>70</v>
      </c>
      <c r="L43" s="69" t="s">
        <v>70</v>
      </c>
      <c r="M43" s="69" t="s">
        <v>70</v>
      </c>
      <c r="N43" s="69" t="s">
        <v>70</v>
      </c>
      <c r="O43" s="69" t="s">
        <v>70</v>
      </c>
      <c r="P43" s="69" t="s">
        <v>70</v>
      </c>
      <c r="Q43" s="69" t="s">
        <v>70</v>
      </c>
      <c r="R43" s="69" t="s">
        <v>70</v>
      </c>
      <c r="S43" s="69" t="s">
        <v>70</v>
      </c>
      <c r="T43" s="69" t="s">
        <v>70</v>
      </c>
      <c r="U43" s="69" t="s">
        <v>70</v>
      </c>
      <c r="V43" s="69" t="s">
        <v>70</v>
      </c>
      <c r="W43" s="69" t="s">
        <v>70</v>
      </c>
      <c r="X43" s="69" t="s">
        <v>70</v>
      </c>
      <c r="Y43" s="69" t="s">
        <v>70</v>
      </c>
      <c r="Z43" s="69" t="s">
        <v>70</v>
      </c>
      <c r="AA43" s="69" t="s">
        <v>70</v>
      </c>
      <c r="AB43" s="69" t="s">
        <v>70</v>
      </c>
      <c r="AC43" s="69" t="s">
        <v>70</v>
      </c>
      <c r="AD43" s="69" t="s">
        <v>70</v>
      </c>
      <c r="AE43" s="69" t="s">
        <v>70</v>
      </c>
      <c r="AF43" s="69" t="s">
        <v>70</v>
      </c>
      <c r="AG43" s="69" t="s">
        <v>70</v>
      </c>
      <c r="AH43" s="69" t="s">
        <v>70</v>
      </c>
      <c r="AI43" s="69" t="s">
        <v>70</v>
      </c>
      <c r="AJ43" s="25"/>
      <c r="AL43" t="str">
        <f t="shared" ca="1" si="0"/>
        <v xml:space="preserve">    (U1)ALERT_REQ_S_LCA_BC_RQ_</v>
      </c>
      <c r="AR43" s="70" t="str">
        <f t="shared" si="3"/>
        <v/>
      </c>
      <c r="AS43" s="70" t="str">
        <f t="shared" si="4"/>
        <v/>
      </c>
      <c r="AT43" s="70" t="str">
        <f t="shared" si="1"/>
        <v/>
      </c>
    </row>
    <row r="44" spans="2:46">
      <c r="B44" s="139"/>
      <c r="C44" s="55">
        <f t="shared" si="2"/>
        <v>38</v>
      </c>
      <c r="D44" s="69" t="s">
        <v>70</v>
      </c>
      <c r="E44" s="69" t="s">
        <v>70</v>
      </c>
      <c r="F44" s="69" t="s">
        <v>70</v>
      </c>
      <c r="G44" s="69" t="s">
        <v>70</v>
      </c>
      <c r="H44" s="69" t="s">
        <v>70</v>
      </c>
      <c r="I44" s="69" t="s">
        <v>70</v>
      </c>
      <c r="J44" s="69" t="s">
        <v>70</v>
      </c>
      <c r="K44" s="69" t="s">
        <v>70</v>
      </c>
      <c r="L44" s="69" t="s">
        <v>70</v>
      </c>
      <c r="M44" s="69" t="s">
        <v>70</v>
      </c>
      <c r="N44" s="69" t="s">
        <v>70</v>
      </c>
      <c r="O44" s="69" t="s">
        <v>70</v>
      </c>
      <c r="P44" s="69" t="s">
        <v>70</v>
      </c>
      <c r="Q44" s="69" t="s">
        <v>70</v>
      </c>
      <c r="R44" s="69" t="s">
        <v>70</v>
      </c>
      <c r="S44" s="69" t="s">
        <v>70</v>
      </c>
      <c r="T44" s="69" t="s">
        <v>70</v>
      </c>
      <c r="U44" s="69" t="s">
        <v>70</v>
      </c>
      <c r="V44" s="69" t="s">
        <v>70</v>
      </c>
      <c r="W44" s="69" t="s">
        <v>70</v>
      </c>
      <c r="X44" s="69" t="s">
        <v>70</v>
      </c>
      <c r="Y44" s="69" t="s">
        <v>70</v>
      </c>
      <c r="Z44" s="69" t="s">
        <v>70</v>
      </c>
      <c r="AA44" s="69" t="s">
        <v>70</v>
      </c>
      <c r="AB44" s="69" t="s">
        <v>70</v>
      </c>
      <c r="AC44" s="69" t="s">
        <v>70</v>
      </c>
      <c r="AD44" s="69" t="s">
        <v>70</v>
      </c>
      <c r="AE44" s="69" t="s">
        <v>70</v>
      </c>
      <c r="AF44" s="69" t="s">
        <v>70</v>
      </c>
      <c r="AG44" s="69" t="s">
        <v>70</v>
      </c>
      <c r="AH44" s="69" t="s">
        <v>70</v>
      </c>
      <c r="AI44" s="69" t="s">
        <v>70</v>
      </c>
      <c r="AJ44" s="25"/>
      <c r="AL44" t="str">
        <f t="shared" ca="1" si="0"/>
        <v xml:space="preserve">    (U1)ALERT_REQ_S_LCA_BC_RQ_</v>
      </c>
      <c r="AR44" s="70" t="str">
        <f t="shared" si="3"/>
        <v/>
      </c>
      <c r="AS44" s="70" t="str">
        <f t="shared" si="4"/>
        <v/>
      </c>
      <c r="AT44" s="70" t="str">
        <f t="shared" si="1"/>
        <v/>
      </c>
    </row>
    <row r="45" spans="2:46">
      <c r="B45" s="139"/>
      <c r="C45" s="55">
        <f t="shared" si="2"/>
        <v>39</v>
      </c>
      <c r="D45" s="69" t="s">
        <v>70</v>
      </c>
      <c r="E45" s="69" t="s">
        <v>70</v>
      </c>
      <c r="F45" s="69" t="s">
        <v>70</v>
      </c>
      <c r="G45" s="69" t="s">
        <v>70</v>
      </c>
      <c r="H45" s="69" t="s">
        <v>70</v>
      </c>
      <c r="I45" s="69" t="s">
        <v>70</v>
      </c>
      <c r="J45" s="69" t="s">
        <v>70</v>
      </c>
      <c r="K45" s="69" t="s">
        <v>70</v>
      </c>
      <c r="L45" s="69" t="s">
        <v>70</v>
      </c>
      <c r="M45" s="69" t="s">
        <v>70</v>
      </c>
      <c r="N45" s="69" t="s">
        <v>70</v>
      </c>
      <c r="O45" s="69" t="s">
        <v>70</v>
      </c>
      <c r="P45" s="69" t="s">
        <v>70</v>
      </c>
      <c r="Q45" s="69" t="s">
        <v>70</v>
      </c>
      <c r="R45" s="69" t="s">
        <v>70</v>
      </c>
      <c r="S45" s="69" t="s">
        <v>70</v>
      </c>
      <c r="T45" s="69" t="s">
        <v>70</v>
      </c>
      <c r="U45" s="69" t="s">
        <v>70</v>
      </c>
      <c r="V45" s="69" t="s">
        <v>70</v>
      </c>
      <c r="W45" s="69" t="s">
        <v>70</v>
      </c>
      <c r="X45" s="69" t="s">
        <v>70</v>
      </c>
      <c r="Y45" s="69" t="s">
        <v>70</v>
      </c>
      <c r="Z45" s="69" t="s">
        <v>70</v>
      </c>
      <c r="AA45" s="69" t="s">
        <v>70</v>
      </c>
      <c r="AB45" s="69" t="s">
        <v>70</v>
      </c>
      <c r="AC45" s="69" t="s">
        <v>70</v>
      </c>
      <c r="AD45" s="69" t="s">
        <v>70</v>
      </c>
      <c r="AE45" s="69" t="s">
        <v>70</v>
      </c>
      <c r="AF45" s="69" t="s">
        <v>70</v>
      </c>
      <c r="AG45" s="69" t="s">
        <v>70</v>
      </c>
      <c r="AH45" s="69" t="s">
        <v>70</v>
      </c>
      <c r="AI45" s="69" t="s">
        <v>70</v>
      </c>
      <c r="AJ45" s="25"/>
      <c r="AL45" t="str">
        <f t="shared" ca="1" si="0"/>
        <v xml:space="preserve">    (U1)ALERT_REQ_S_LCA_BC_RQ_</v>
      </c>
      <c r="AR45" s="70" t="str">
        <f t="shared" si="3"/>
        <v/>
      </c>
      <c r="AS45" s="70" t="str">
        <f t="shared" si="4"/>
        <v/>
      </c>
      <c r="AT45" s="70" t="str">
        <f t="shared" si="1"/>
        <v/>
      </c>
    </row>
    <row r="46" spans="2:46">
      <c r="B46" s="139"/>
      <c r="C46" s="55">
        <f t="shared" si="2"/>
        <v>40</v>
      </c>
      <c r="D46" s="69" t="s">
        <v>70</v>
      </c>
      <c r="E46" s="69" t="s">
        <v>70</v>
      </c>
      <c r="F46" s="69" t="s">
        <v>70</v>
      </c>
      <c r="G46" s="69" t="s">
        <v>70</v>
      </c>
      <c r="H46" s="69" t="s">
        <v>70</v>
      </c>
      <c r="I46" s="69" t="s">
        <v>70</v>
      </c>
      <c r="J46" s="69" t="s">
        <v>70</v>
      </c>
      <c r="K46" s="69" t="s">
        <v>70</v>
      </c>
      <c r="L46" s="69" t="s">
        <v>70</v>
      </c>
      <c r="M46" s="69" t="s">
        <v>70</v>
      </c>
      <c r="N46" s="69" t="s">
        <v>70</v>
      </c>
      <c r="O46" s="69" t="s">
        <v>70</v>
      </c>
      <c r="P46" s="69" t="s">
        <v>70</v>
      </c>
      <c r="Q46" s="69" t="s">
        <v>70</v>
      </c>
      <c r="R46" s="69" t="s">
        <v>70</v>
      </c>
      <c r="S46" s="69" t="s">
        <v>70</v>
      </c>
      <c r="T46" s="69" t="s">
        <v>70</v>
      </c>
      <c r="U46" s="69" t="s">
        <v>70</v>
      </c>
      <c r="V46" s="69" t="s">
        <v>70</v>
      </c>
      <c r="W46" s="69" t="s">
        <v>70</v>
      </c>
      <c r="X46" s="69" t="s">
        <v>70</v>
      </c>
      <c r="Y46" s="69" t="s">
        <v>70</v>
      </c>
      <c r="Z46" s="69" t="s">
        <v>70</v>
      </c>
      <c r="AA46" s="69" t="s">
        <v>70</v>
      </c>
      <c r="AB46" s="69" t="s">
        <v>70</v>
      </c>
      <c r="AC46" s="69" t="s">
        <v>70</v>
      </c>
      <c r="AD46" s="69" t="s">
        <v>70</v>
      </c>
      <c r="AE46" s="69" t="s">
        <v>70</v>
      </c>
      <c r="AF46" s="69" t="s">
        <v>70</v>
      </c>
      <c r="AG46" s="69" t="s">
        <v>70</v>
      </c>
      <c r="AH46" s="69" t="s">
        <v>70</v>
      </c>
      <c r="AI46" s="69" t="s">
        <v>70</v>
      </c>
      <c r="AJ46" s="25"/>
      <c r="AL46" t="str">
        <f t="shared" ca="1" si="0"/>
        <v xml:space="preserve">    (U1)ALERT_REQ_S_LCA_BC_RQ_</v>
      </c>
      <c r="AR46" s="70" t="str">
        <f t="shared" si="3"/>
        <v/>
      </c>
      <c r="AS46" s="70" t="str">
        <f t="shared" si="4"/>
        <v/>
      </c>
      <c r="AT46" s="70" t="str">
        <f t="shared" si="1"/>
        <v/>
      </c>
    </row>
    <row r="47" spans="2:46">
      <c r="B47" s="139"/>
      <c r="C47" s="55">
        <f t="shared" si="2"/>
        <v>41</v>
      </c>
      <c r="D47" s="69" t="s">
        <v>70</v>
      </c>
      <c r="E47" s="69" t="s">
        <v>70</v>
      </c>
      <c r="F47" s="69" t="s">
        <v>70</v>
      </c>
      <c r="G47" s="69" t="s">
        <v>70</v>
      </c>
      <c r="H47" s="69" t="s">
        <v>70</v>
      </c>
      <c r="I47" s="69" t="s">
        <v>70</v>
      </c>
      <c r="J47" s="69" t="s">
        <v>70</v>
      </c>
      <c r="K47" s="69" t="s">
        <v>70</v>
      </c>
      <c r="L47" s="69" t="s">
        <v>70</v>
      </c>
      <c r="M47" s="69" t="s">
        <v>70</v>
      </c>
      <c r="N47" s="69" t="s">
        <v>70</v>
      </c>
      <c r="O47" s="69" t="s">
        <v>70</v>
      </c>
      <c r="P47" s="69" t="s">
        <v>70</v>
      </c>
      <c r="Q47" s="69" t="s">
        <v>70</v>
      </c>
      <c r="R47" s="69" t="s">
        <v>70</v>
      </c>
      <c r="S47" s="69" t="s">
        <v>70</v>
      </c>
      <c r="T47" s="69" t="s">
        <v>70</v>
      </c>
      <c r="U47" s="69" t="s">
        <v>70</v>
      </c>
      <c r="V47" s="69" t="s">
        <v>70</v>
      </c>
      <c r="W47" s="69" t="s">
        <v>70</v>
      </c>
      <c r="X47" s="69" t="s">
        <v>70</v>
      </c>
      <c r="Y47" s="69" t="s">
        <v>70</v>
      </c>
      <c r="Z47" s="69" t="s">
        <v>70</v>
      </c>
      <c r="AA47" s="69" t="s">
        <v>70</v>
      </c>
      <c r="AB47" s="69" t="s">
        <v>70</v>
      </c>
      <c r="AC47" s="69" t="s">
        <v>70</v>
      </c>
      <c r="AD47" s="69" t="s">
        <v>70</v>
      </c>
      <c r="AE47" s="69" t="s">
        <v>70</v>
      </c>
      <c r="AF47" s="69" t="s">
        <v>70</v>
      </c>
      <c r="AG47" s="69" t="s">
        <v>70</v>
      </c>
      <c r="AH47" s="69" t="s">
        <v>70</v>
      </c>
      <c r="AI47" s="69" t="s">
        <v>70</v>
      </c>
      <c r="AJ47" s="25"/>
      <c r="AL47" t="str">
        <f t="shared" ca="1" si="0"/>
        <v xml:space="preserve">    (U1)ALERT_REQ_S_LCA_BC_RQ_</v>
      </c>
      <c r="AR47" s="70" t="str">
        <f t="shared" si="3"/>
        <v/>
      </c>
      <c r="AS47" s="70" t="str">
        <f t="shared" si="4"/>
        <v/>
      </c>
      <c r="AT47" s="70" t="str">
        <f t="shared" si="1"/>
        <v/>
      </c>
    </row>
    <row r="48" spans="2:46">
      <c r="B48" s="139"/>
      <c r="C48" s="55">
        <f t="shared" si="2"/>
        <v>42</v>
      </c>
      <c r="D48" s="69" t="s">
        <v>70</v>
      </c>
      <c r="E48" s="69" t="s">
        <v>70</v>
      </c>
      <c r="F48" s="69" t="s">
        <v>70</v>
      </c>
      <c r="G48" s="69" t="s">
        <v>70</v>
      </c>
      <c r="H48" s="69" t="s">
        <v>70</v>
      </c>
      <c r="I48" s="69" t="s">
        <v>70</v>
      </c>
      <c r="J48" s="69" t="s">
        <v>70</v>
      </c>
      <c r="K48" s="69" t="s">
        <v>70</v>
      </c>
      <c r="L48" s="69" t="s">
        <v>70</v>
      </c>
      <c r="M48" s="69" t="s">
        <v>70</v>
      </c>
      <c r="N48" s="69" t="s">
        <v>70</v>
      </c>
      <c r="O48" s="69" t="s">
        <v>70</v>
      </c>
      <c r="P48" s="69" t="s">
        <v>70</v>
      </c>
      <c r="Q48" s="69" t="s">
        <v>70</v>
      </c>
      <c r="R48" s="69" t="s">
        <v>70</v>
      </c>
      <c r="S48" s="69" t="s">
        <v>70</v>
      </c>
      <c r="T48" s="69" t="s">
        <v>70</v>
      </c>
      <c r="U48" s="69" t="s">
        <v>70</v>
      </c>
      <c r="V48" s="69" t="s">
        <v>70</v>
      </c>
      <c r="W48" s="69" t="s">
        <v>70</v>
      </c>
      <c r="X48" s="69" t="s">
        <v>70</v>
      </c>
      <c r="Y48" s="69" t="s">
        <v>70</v>
      </c>
      <c r="Z48" s="69" t="s">
        <v>70</v>
      </c>
      <c r="AA48" s="69" t="s">
        <v>70</v>
      </c>
      <c r="AB48" s="69" t="s">
        <v>70</v>
      </c>
      <c r="AC48" s="69" t="s">
        <v>70</v>
      </c>
      <c r="AD48" s="69" t="s">
        <v>70</v>
      </c>
      <c r="AE48" s="69" t="s">
        <v>70</v>
      </c>
      <c r="AF48" s="69" t="s">
        <v>70</v>
      </c>
      <c r="AG48" s="69" t="s">
        <v>70</v>
      </c>
      <c r="AH48" s="69" t="s">
        <v>70</v>
      </c>
      <c r="AI48" s="69" t="s">
        <v>70</v>
      </c>
      <c r="AJ48" s="25"/>
      <c r="AL48" t="str">
        <f t="shared" ca="1" si="0"/>
        <v xml:space="preserve">    (U1)ALERT_REQ_S_LCA_BC_RQ_</v>
      </c>
      <c r="AR48" s="70" t="str">
        <f t="shared" si="3"/>
        <v/>
      </c>
      <c r="AS48" s="70" t="str">
        <f t="shared" si="4"/>
        <v/>
      </c>
      <c r="AT48" s="70" t="str">
        <f t="shared" si="1"/>
        <v/>
      </c>
    </row>
    <row r="49" spans="2:46">
      <c r="B49" s="139"/>
      <c r="C49" s="55">
        <f t="shared" si="2"/>
        <v>43</v>
      </c>
      <c r="D49" s="69" t="s">
        <v>70</v>
      </c>
      <c r="E49" s="69" t="s">
        <v>70</v>
      </c>
      <c r="F49" s="69" t="s">
        <v>70</v>
      </c>
      <c r="G49" s="69" t="s">
        <v>70</v>
      </c>
      <c r="H49" s="69" t="s">
        <v>70</v>
      </c>
      <c r="I49" s="69" t="s">
        <v>70</v>
      </c>
      <c r="J49" s="69" t="s">
        <v>70</v>
      </c>
      <c r="K49" s="69" t="s">
        <v>70</v>
      </c>
      <c r="L49" s="69" t="s">
        <v>70</v>
      </c>
      <c r="M49" s="69" t="s">
        <v>70</v>
      </c>
      <c r="N49" s="69" t="s">
        <v>70</v>
      </c>
      <c r="O49" s="69" t="s">
        <v>70</v>
      </c>
      <c r="P49" s="69" t="s">
        <v>70</v>
      </c>
      <c r="Q49" s="69" t="s">
        <v>70</v>
      </c>
      <c r="R49" s="69" t="s">
        <v>70</v>
      </c>
      <c r="S49" s="69" t="s">
        <v>70</v>
      </c>
      <c r="T49" s="69" t="s">
        <v>70</v>
      </c>
      <c r="U49" s="69" t="s">
        <v>70</v>
      </c>
      <c r="V49" s="69" t="s">
        <v>70</v>
      </c>
      <c r="W49" s="69" t="s">
        <v>70</v>
      </c>
      <c r="X49" s="69" t="s">
        <v>70</v>
      </c>
      <c r="Y49" s="69" t="s">
        <v>70</v>
      </c>
      <c r="Z49" s="69" t="s">
        <v>70</v>
      </c>
      <c r="AA49" s="69" t="s">
        <v>70</v>
      </c>
      <c r="AB49" s="69" t="s">
        <v>70</v>
      </c>
      <c r="AC49" s="69" t="s">
        <v>70</v>
      </c>
      <c r="AD49" s="69" t="s">
        <v>70</v>
      </c>
      <c r="AE49" s="69" t="s">
        <v>70</v>
      </c>
      <c r="AF49" s="69" t="s">
        <v>70</v>
      </c>
      <c r="AG49" s="69" t="s">
        <v>70</v>
      </c>
      <c r="AH49" s="69" t="s">
        <v>70</v>
      </c>
      <c r="AI49" s="69" t="s">
        <v>70</v>
      </c>
      <c r="AJ49" s="25"/>
      <c r="AL49" t="str">
        <f t="shared" ca="1" si="0"/>
        <v xml:space="preserve">    (U1)ALERT_REQ_S_LCA_BC_RQ_</v>
      </c>
      <c r="AR49" s="70" t="str">
        <f t="shared" si="3"/>
        <v/>
      </c>
      <c r="AS49" s="70" t="str">
        <f t="shared" si="4"/>
        <v/>
      </c>
      <c r="AT49" s="70" t="str">
        <f t="shared" si="1"/>
        <v/>
      </c>
    </row>
    <row r="50" spans="2:46">
      <c r="B50" s="139"/>
      <c r="C50" s="55">
        <f t="shared" si="2"/>
        <v>44</v>
      </c>
      <c r="D50" s="69" t="s">
        <v>70</v>
      </c>
      <c r="E50" s="69" t="s">
        <v>70</v>
      </c>
      <c r="F50" s="69" t="s">
        <v>70</v>
      </c>
      <c r="G50" s="69" t="s">
        <v>70</v>
      </c>
      <c r="H50" s="69" t="s">
        <v>70</v>
      </c>
      <c r="I50" s="69" t="s">
        <v>70</v>
      </c>
      <c r="J50" s="69" t="s">
        <v>70</v>
      </c>
      <c r="K50" s="69" t="s">
        <v>70</v>
      </c>
      <c r="L50" s="69" t="s">
        <v>70</v>
      </c>
      <c r="M50" s="69" t="s">
        <v>70</v>
      </c>
      <c r="N50" s="69" t="s">
        <v>70</v>
      </c>
      <c r="O50" s="69" t="s">
        <v>70</v>
      </c>
      <c r="P50" s="69" t="s">
        <v>70</v>
      </c>
      <c r="Q50" s="69" t="s">
        <v>70</v>
      </c>
      <c r="R50" s="69" t="s">
        <v>70</v>
      </c>
      <c r="S50" s="69" t="s">
        <v>70</v>
      </c>
      <c r="T50" s="69" t="s">
        <v>70</v>
      </c>
      <c r="U50" s="69" t="s">
        <v>70</v>
      </c>
      <c r="V50" s="69" t="s">
        <v>70</v>
      </c>
      <c r="W50" s="69" t="s">
        <v>70</v>
      </c>
      <c r="X50" s="69" t="s">
        <v>70</v>
      </c>
      <c r="Y50" s="69" t="s">
        <v>70</v>
      </c>
      <c r="Z50" s="69" t="s">
        <v>70</v>
      </c>
      <c r="AA50" s="69" t="s">
        <v>70</v>
      </c>
      <c r="AB50" s="69" t="s">
        <v>70</v>
      </c>
      <c r="AC50" s="69" t="s">
        <v>70</v>
      </c>
      <c r="AD50" s="69" t="s">
        <v>70</v>
      </c>
      <c r="AE50" s="69" t="s">
        <v>70</v>
      </c>
      <c r="AF50" s="69" t="s">
        <v>70</v>
      </c>
      <c r="AG50" s="69" t="s">
        <v>70</v>
      </c>
      <c r="AH50" s="69" t="s">
        <v>70</v>
      </c>
      <c r="AI50" s="69" t="s">
        <v>70</v>
      </c>
      <c r="AJ50" s="25"/>
      <c r="AL50" t="str">
        <f t="shared" ca="1" si="0"/>
        <v xml:space="preserve">    (U1)ALERT_REQ_S_LCA_BC_RQ_</v>
      </c>
      <c r="AR50" s="70" t="str">
        <f t="shared" si="3"/>
        <v/>
      </c>
      <c r="AS50" s="70" t="str">
        <f t="shared" si="4"/>
        <v/>
      </c>
      <c r="AT50" s="70" t="str">
        <f t="shared" si="1"/>
        <v/>
      </c>
    </row>
    <row r="51" spans="2:46">
      <c r="B51" s="139"/>
      <c r="C51" s="55">
        <f t="shared" si="2"/>
        <v>45</v>
      </c>
      <c r="D51" s="69" t="s">
        <v>70</v>
      </c>
      <c r="E51" s="69" t="s">
        <v>70</v>
      </c>
      <c r="F51" s="69" t="s">
        <v>70</v>
      </c>
      <c r="G51" s="69" t="s">
        <v>70</v>
      </c>
      <c r="H51" s="69" t="s">
        <v>70</v>
      </c>
      <c r="I51" s="69" t="s">
        <v>70</v>
      </c>
      <c r="J51" s="69" t="s">
        <v>70</v>
      </c>
      <c r="K51" s="69" t="s">
        <v>70</v>
      </c>
      <c r="L51" s="69" t="s">
        <v>70</v>
      </c>
      <c r="M51" s="69" t="s">
        <v>70</v>
      </c>
      <c r="N51" s="69" t="s">
        <v>70</v>
      </c>
      <c r="O51" s="69" t="s">
        <v>70</v>
      </c>
      <c r="P51" s="69" t="s">
        <v>70</v>
      </c>
      <c r="Q51" s="69" t="s">
        <v>70</v>
      </c>
      <c r="R51" s="69" t="s">
        <v>70</v>
      </c>
      <c r="S51" s="69" t="s">
        <v>70</v>
      </c>
      <c r="T51" s="69" t="s">
        <v>70</v>
      </c>
      <c r="U51" s="69" t="s">
        <v>70</v>
      </c>
      <c r="V51" s="69" t="s">
        <v>70</v>
      </c>
      <c r="W51" s="69" t="s">
        <v>70</v>
      </c>
      <c r="X51" s="69" t="s">
        <v>70</v>
      </c>
      <c r="Y51" s="69" t="s">
        <v>70</v>
      </c>
      <c r="Z51" s="69" t="s">
        <v>70</v>
      </c>
      <c r="AA51" s="69" t="s">
        <v>70</v>
      </c>
      <c r="AB51" s="69" t="s">
        <v>70</v>
      </c>
      <c r="AC51" s="69" t="s">
        <v>70</v>
      </c>
      <c r="AD51" s="69" t="s">
        <v>70</v>
      </c>
      <c r="AE51" s="69" t="s">
        <v>70</v>
      </c>
      <c r="AF51" s="69" t="s">
        <v>70</v>
      </c>
      <c r="AG51" s="69" t="s">
        <v>70</v>
      </c>
      <c r="AH51" s="69" t="s">
        <v>70</v>
      </c>
      <c r="AI51" s="69" t="s">
        <v>70</v>
      </c>
      <c r="AJ51" s="25"/>
      <c r="AL51" t="str">
        <f t="shared" ca="1" si="0"/>
        <v xml:space="preserve">    (U1)ALERT_REQ_S_LCA_BC_RQ_</v>
      </c>
      <c r="AR51" s="70" t="str">
        <f t="shared" si="3"/>
        <v/>
      </c>
      <c r="AS51" s="70" t="str">
        <f t="shared" si="4"/>
        <v/>
      </c>
      <c r="AT51" s="70" t="str">
        <f t="shared" si="1"/>
        <v/>
      </c>
    </row>
    <row r="52" spans="2:46">
      <c r="B52" s="139"/>
      <c r="C52" s="55">
        <f t="shared" si="2"/>
        <v>46</v>
      </c>
      <c r="D52" s="69" t="s">
        <v>70</v>
      </c>
      <c r="E52" s="69" t="s">
        <v>70</v>
      </c>
      <c r="F52" s="69" t="s">
        <v>70</v>
      </c>
      <c r="G52" s="69" t="s">
        <v>70</v>
      </c>
      <c r="H52" s="69" t="s">
        <v>70</v>
      </c>
      <c r="I52" s="69" t="s">
        <v>70</v>
      </c>
      <c r="J52" s="69" t="s">
        <v>70</v>
      </c>
      <c r="K52" s="69" t="s">
        <v>70</v>
      </c>
      <c r="L52" s="69" t="s">
        <v>70</v>
      </c>
      <c r="M52" s="69" t="s">
        <v>70</v>
      </c>
      <c r="N52" s="69" t="s">
        <v>70</v>
      </c>
      <c r="O52" s="69" t="s">
        <v>70</v>
      </c>
      <c r="P52" s="69" t="s">
        <v>70</v>
      </c>
      <c r="Q52" s="69" t="s">
        <v>70</v>
      </c>
      <c r="R52" s="69" t="s">
        <v>70</v>
      </c>
      <c r="S52" s="69" t="s">
        <v>70</v>
      </c>
      <c r="T52" s="69" t="s">
        <v>70</v>
      </c>
      <c r="U52" s="69" t="s">
        <v>70</v>
      </c>
      <c r="V52" s="69" t="s">
        <v>70</v>
      </c>
      <c r="W52" s="69" t="s">
        <v>70</v>
      </c>
      <c r="X52" s="69" t="s">
        <v>70</v>
      </c>
      <c r="Y52" s="69" t="s">
        <v>70</v>
      </c>
      <c r="Z52" s="69" t="s">
        <v>70</v>
      </c>
      <c r="AA52" s="69" t="s">
        <v>70</v>
      </c>
      <c r="AB52" s="69" t="s">
        <v>70</v>
      </c>
      <c r="AC52" s="69" t="s">
        <v>70</v>
      </c>
      <c r="AD52" s="69" t="s">
        <v>70</v>
      </c>
      <c r="AE52" s="69" t="s">
        <v>70</v>
      </c>
      <c r="AF52" s="69" t="s">
        <v>70</v>
      </c>
      <c r="AG52" s="69" t="s">
        <v>70</v>
      </c>
      <c r="AH52" s="69" t="s">
        <v>70</v>
      </c>
      <c r="AI52" s="69" t="s">
        <v>70</v>
      </c>
      <c r="AJ52" s="25"/>
      <c r="AL52" t="str">
        <f t="shared" ca="1" si="0"/>
        <v xml:space="preserve">    (U1)ALERT_REQ_S_LCA_BC_RQ_</v>
      </c>
      <c r="AR52" s="70" t="str">
        <f t="shared" si="3"/>
        <v/>
      </c>
      <c r="AS52" s="70" t="str">
        <f t="shared" si="4"/>
        <v/>
      </c>
      <c r="AT52" s="70" t="str">
        <f t="shared" si="1"/>
        <v/>
      </c>
    </row>
    <row r="53" spans="2:46">
      <c r="B53" s="139"/>
      <c r="C53" s="55">
        <f t="shared" si="2"/>
        <v>47</v>
      </c>
      <c r="D53" s="69" t="s">
        <v>70</v>
      </c>
      <c r="E53" s="69" t="s">
        <v>70</v>
      </c>
      <c r="F53" s="69" t="s">
        <v>70</v>
      </c>
      <c r="G53" s="69" t="s">
        <v>70</v>
      </c>
      <c r="H53" s="69" t="s">
        <v>70</v>
      </c>
      <c r="I53" s="69" t="s">
        <v>70</v>
      </c>
      <c r="J53" s="69" t="s">
        <v>70</v>
      </c>
      <c r="K53" s="69" t="s">
        <v>70</v>
      </c>
      <c r="L53" s="69" t="s">
        <v>70</v>
      </c>
      <c r="M53" s="69" t="s">
        <v>70</v>
      </c>
      <c r="N53" s="69" t="s">
        <v>70</v>
      </c>
      <c r="O53" s="69" t="s">
        <v>70</v>
      </c>
      <c r="P53" s="69" t="s">
        <v>70</v>
      </c>
      <c r="Q53" s="69" t="s">
        <v>70</v>
      </c>
      <c r="R53" s="69" t="s">
        <v>70</v>
      </c>
      <c r="S53" s="69" t="s">
        <v>70</v>
      </c>
      <c r="T53" s="69" t="s">
        <v>70</v>
      </c>
      <c r="U53" s="69" t="s">
        <v>70</v>
      </c>
      <c r="V53" s="69" t="s">
        <v>70</v>
      </c>
      <c r="W53" s="69" t="s">
        <v>70</v>
      </c>
      <c r="X53" s="69" t="s">
        <v>70</v>
      </c>
      <c r="Y53" s="69" t="s">
        <v>70</v>
      </c>
      <c r="Z53" s="69" t="s">
        <v>70</v>
      </c>
      <c r="AA53" s="69" t="s">
        <v>70</v>
      </c>
      <c r="AB53" s="69" t="s">
        <v>70</v>
      </c>
      <c r="AC53" s="69" t="s">
        <v>70</v>
      </c>
      <c r="AD53" s="69" t="s">
        <v>70</v>
      </c>
      <c r="AE53" s="69" t="s">
        <v>70</v>
      </c>
      <c r="AF53" s="69" t="s">
        <v>70</v>
      </c>
      <c r="AG53" s="69" t="s">
        <v>70</v>
      </c>
      <c r="AH53" s="69" t="s">
        <v>70</v>
      </c>
      <c r="AI53" s="69" t="s">
        <v>70</v>
      </c>
      <c r="AJ53" s="25"/>
      <c r="AL53" t="str">
        <f t="shared" ca="1" si="0"/>
        <v xml:space="preserve">    (U1)ALERT_REQ_S_LCA_BC_RQ_</v>
      </c>
      <c r="AR53" s="70" t="str">
        <f t="shared" si="3"/>
        <v/>
      </c>
      <c r="AS53" s="70" t="str">
        <f t="shared" si="4"/>
        <v/>
      </c>
      <c r="AT53" s="70" t="str">
        <f t="shared" si="1"/>
        <v/>
      </c>
    </row>
    <row r="54" spans="2:46">
      <c r="B54" s="139"/>
      <c r="C54" s="55">
        <f t="shared" si="2"/>
        <v>48</v>
      </c>
      <c r="D54" s="69" t="s">
        <v>70</v>
      </c>
      <c r="E54" s="69" t="s">
        <v>70</v>
      </c>
      <c r="F54" s="69" t="s">
        <v>70</v>
      </c>
      <c r="G54" s="69" t="s">
        <v>70</v>
      </c>
      <c r="H54" s="69" t="s">
        <v>70</v>
      </c>
      <c r="I54" s="69" t="s">
        <v>70</v>
      </c>
      <c r="J54" s="69" t="s">
        <v>70</v>
      </c>
      <c r="K54" s="69" t="s">
        <v>70</v>
      </c>
      <c r="L54" s="69" t="s">
        <v>70</v>
      </c>
      <c r="M54" s="69" t="s">
        <v>70</v>
      </c>
      <c r="N54" s="69" t="s">
        <v>70</v>
      </c>
      <c r="O54" s="69" t="s">
        <v>70</v>
      </c>
      <c r="P54" s="69" t="s">
        <v>70</v>
      </c>
      <c r="Q54" s="69" t="s">
        <v>70</v>
      </c>
      <c r="R54" s="69" t="s">
        <v>70</v>
      </c>
      <c r="S54" s="69" t="s">
        <v>70</v>
      </c>
      <c r="T54" s="69" t="s">
        <v>70</v>
      </c>
      <c r="U54" s="69" t="s">
        <v>70</v>
      </c>
      <c r="V54" s="69" t="s">
        <v>70</v>
      </c>
      <c r="W54" s="69" t="s">
        <v>70</v>
      </c>
      <c r="X54" s="69" t="s">
        <v>70</v>
      </c>
      <c r="Y54" s="69" t="s">
        <v>70</v>
      </c>
      <c r="Z54" s="69" t="s">
        <v>70</v>
      </c>
      <c r="AA54" s="69" t="s">
        <v>70</v>
      </c>
      <c r="AB54" s="69" t="s">
        <v>70</v>
      </c>
      <c r="AC54" s="69" t="s">
        <v>70</v>
      </c>
      <c r="AD54" s="69" t="s">
        <v>70</v>
      </c>
      <c r="AE54" s="69" t="s">
        <v>70</v>
      </c>
      <c r="AF54" s="69" t="s">
        <v>70</v>
      </c>
      <c r="AG54" s="69" t="s">
        <v>70</v>
      </c>
      <c r="AH54" s="69" t="s">
        <v>70</v>
      </c>
      <c r="AI54" s="69" t="s">
        <v>70</v>
      </c>
      <c r="AJ54" s="25"/>
      <c r="AL54" t="str">
        <f t="shared" ca="1" si="0"/>
        <v xml:space="preserve">    (U1)ALERT_REQ_S_LCA_BC_RQ_</v>
      </c>
      <c r="AR54" s="70" t="str">
        <f t="shared" si="3"/>
        <v/>
      </c>
      <c r="AS54" s="70" t="str">
        <f t="shared" si="4"/>
        <v/>
      </c>
      <c r="AT54" s="70" t="str">
        <f t="shared" si="1"/>
        <v/>
      </c>
    </row>
    <row r="55" spans="2:46">
      <c r="B55" s="139"/>
      <c r="C55" s="55">
        <f t="shared" si="2"/>
        <v>49</v>
      </c>
      <c r="D55" s="69" t="s">
        <v>70</v>
      </c>
      <c r="E55" s="69" t="s">
        <v>70</v>
      </c>
      <c r="F55" s="69" t="s">
        <v>70</v>
      </c>
      <c r="G55" s="69" t="s">
        <v>70</v>
      </c>
      <c r="H55" s="69" t="s">
        <v>70</v>
      </c>
      <c r="I55" s="69" t="s">
        <v>70</v>
      </c>
      <c r="J55" s="69" t="s">
        <v>70</v>
      </c>
      <c r="K55" s="69" t="s">
        <v>70</v>
      </c>
      <c r="L55" s="69" t="s">
        <v>70</v>
      </c>
      <c r="M55" s="69" t="s">
        <v>70</v>
      </c>
      <c r="N55" s="69" t="s">
        <v>70</v>
      </c>
      <c r="O55" s="69" t="s">
        <v>70</v>
      </c>
      <c r="P55" s="69" t="s">
        <v>70</v>
      </c>
      <c r="Q55" s="69" t="s">
        <v>70</v>
      </c>
      <c r="R55" s="69" t="s">
        <v>70</v>
      </c>
      <c r="S55" s="69" t="s">
        <v>70</v>
      </c>
      <c r="T55" s="69" t="s">
        <v>70</v>
      </c>
      <c r="U55" s="69" t="s">
        <v>70</v>
      </c>
      <c r="V55" s="69" t="s">
        <v>70</v>
      </c>
      <c r="W55" s="69" t="s">
        <v>70</v>
      </c>
      <c r="X55" s="69" t="s">
        <v>70</v>
      </c>
      <c r="Y55" s="69" t="s">
        <v>70</v>
      </c>
      <c r="Z55" s="69" t="s">
        <v>70</v>
      </c>
      <c r="AA55" s="69" t="s">
        <v>70</v>
      </c>
      <c r="AB55" s="69" t="s">
        <v>70</v>
      </c>
      <c r="AC55" s="69" t="s">
        <v>70</v>
      </c>
      <c r="AD55" s="69" t="s">
        <v>70</v>
      </c>
      <c r="AE55" s="69" t="s">
        <v>70</v>
      </c>
      <c r="AF55" s="69" t="s">
        <v>70</v>
      </c>
      <c r="AG55" s="69" t="s">
        <v>70</v>
      </c>
      <c r="AH55" s="69" t="s">
        <v>70</v>
      </c>
      <c r="AI55" s="69" t="s">
        <v>70</v>
      </c>
      <c r="AJ55" s="25"/>
      <c r="AL55" t="str">
        <f t="shared" ca="1" si="0"/>
        <v xml:space="preserve">    (U1)ALERT_REQ_S_LCA_BC_RQ_</v>
      </c>
      <c r="AR55" s="70" t="str">
        <f t="shared" si="3"/>
        <v/>
      </c>
      <c r="AS55" s="70" t="str">
        <f t="shared" si="4"/>
        <v/>
      </c>
      <c r="AT55" s="70" t="str">
        <f t="shared" si="1"/>
        <v/>
      </c>
    </row>
    <row r="56" spans="2:46">
      <c r="B56" s="139"/>
      <c r="C56" s="55">
        <f t="shared" si="2"/>
        <v>50</v>
      </c>
      <c r="D56" s="69" t="s">
        <v>70</v>
      </c>
      <c r="E56" s="69" t="s">
        <v>70</v>
      </c>
      <c r="F56" s="69" t="s">
        <v>70</v>
      </c>
      <c r="G56" s="69" t="s">
        <v>70</v>
      </c>
      <c r="H56" s="69" t="s">
        <v>70</v>
      </c>
      <c r="I56" s="69" t="s">
        <v>70</v>
      </c>
      <c r="J56" s="69" t="s">
        <v>70</v>
      </c>
      <c r="K56" s="69" t="s">
        <v>70</v>
      </c>
      <c r="L56" s="69" t="s">
        <v>70</v>
      </c>
      <c r="M56" s="69" t="s">
        <v>70</v>
      </c>
      <c r="N56" s="69" t="s">
        <v>70</v>
      </c>
      <c r="O56" s="69" t="s">
        <v>70</v>
      </c>
      <c r="P56" s="69" t="s">
        <v>70</v>
      </c>
      <c r="Q56" s="69" t="s">
        <v>70</v>
      </c>
      <c r="R56" s="69" t="s">
        <v>70</v>
      </c>
      <c r="S56" s="69" t="s">
        <v>70</v>
      </c>
      <c r="T56" s="69" t="s">
        <v>70</v>
      </c>
      <c r="U56" s="69" t="s">
        <v>70</v>
      </c>
      <c r="V56" s="69" t="s">
        <v>70</v>
      </c>
      <c r="W56" s="69" t="s">
        <v>70</v>
      </c>
      <c r="X56" s="69" t="s">
        <v>70</v>
      </c>
      <c r="Y56" s="69" t="s">
        <v>70</v>
      </c>
      <c r="Z56" s="69" t="s">
        <v>70</v>
      </c>
      <c r="AA56" s="69" t="s">
        <v>70</v>
      </c>
      <c r="AB56" s="69" t="s">
        <v>70</v>
      </c>
      <c r="AC56" s="69" t="s">
        <v>70</v>
      </c>
      <c r="AD56" s="69" t="s">
        <v>70</v>
      </c>
      <c r="AE56" s="69" t="s">
        <v>70</v>
      </c>
      <c r="AF56" s="69" t="s">
        <v>70</v>
      </c>
      <c r="AG56" s="69" t="s">
        <v>70</v>
      </c>
      <c r="AH56" s="69" t="s">
        <v>70</v>
      </c>
      <c r="AI56" s="69" t="s">
        <v>70</v>
      </c>
      <c r="AJ56" s="25"/>
      <c r="AL56" t="str">
        <f t="shared" ca="1" si="0"/>
        <v xml:space="preserve">    (U1)ALERT_REQ_S_LCA_BC_RQ_</v>
      </c>
      <c r="AR56" s="70" t="str">
        <f t="shared" si="3"/>
        <v/>
      </c>
      <c r="AS56" s="70" t="str">
        <f t="shared" si="4"/>
        <v/>
      </c>
      <c r="AT56" s="70" t="str">
        <f t="shared" si="1"/>
        <v/>
      </c>
    </row>
    <row r="57" spans="2:46">
      <c r="B57" s="139"/>
      <c r="C57" s="55">
        <f t="shared" si="2"/>
        <v>51</v>
      </c>
      <c r="D57" s="69" t="s">
        <v>70</v>
      </c>
      <c r="E57" s="69" t="s">
        <v>70</v>
      </c>
      <c r="F57" s="69" t="s">
        <v>70</v>
      </c>
      <c r="G57" s="69" t="s">
        <v>70</v>
      </c>
      <c r="H57" s="69" t="s">
        <v>70</v>
      </c>
      <c r="I57" s="69" t="s">
        <v>70</v>
      </c>
      <c r="J57" s="69" t="s">
        <v>70</v>
      </c>
      <c r="K57" s="69" t="s">
        <v>70</v>
      </c>
      <c r="L57" s="69" t="s">
        <v>70</v>
      </c>
      <c r="M57" s="69" t="s">
        <v>70</v>
      </c>
      <c r="N57" s="69" t="s">
        <v>70</v>
      </c>
      <c r="O57" s="69" t="s">
        <v>70</v>
      </c>
      <c r="P57" s="69" t="s">
        <v>70</v>
      </c>
      <c r="Q57" s="69" t="s">
        <v>70</v>
      </c>
      <c r="R57" s="69" t="s">
        <v>70</v>
      </c>
      <c r="S57" s="69" t="s">
        <v>70</v>
      </c>
      <c r="T57" s="69" t="s">
        <v>70</v>
      </c>
      <c r="U57" s="69" t="s">
        <v>70</v>
      </c>
      <c r="V57" s="69" t="s">
        <v>70</v>
      </c>
      <c r="W57" s="69" t="s">
        <v>70</v>
      </c>
      <c r="X57" s="69" t="s">
        <v>70</v>
      </c>
      <c r="Y57" s="69" t="s">
        <v>70</v>
      </c>
      <c r="Z57" s="69" t="s">
        <v>70</v>
      </c>
      <c r="AA57" s="69" t="s">
        <v>70</v>
      </c>
      <c r="AB57" s="69" t="s">
        <v>70</v>
      </c>
      <c r="AC57" s="69" t="s">
        <v>70</v>
      </c>
      <c r="AD57" s="69" t="s">
        <v>70</v>
      </c>
      <c r="AE57" s="69" t="s">
        <v>70</v>
      </c>
      <c r="AF57" s="69" t="s">
        <v>70</v>
      </c>
      <c r="AG57" s="69" t="s">
        <v>70</v>
      </c>
      <c r="AH57" s="69" t="s">
        <v>70</v>
      </c>
      <c r="AI57" s="69" t="s">
        <v>70</v>
      </c>
      <c r="AJ57" s="25"/>
      <c r="AL57" t="str">
        <f t="shared" ca="1" si="0"/>
        <v xml:space="preserve">    (U1)ALERT_REQ_S_LCA_BC_RQ_</v>
      </c>
      <c r="AR57" s="70" t="str">
        <f t="shared" si="3"/>
        <v/>
      </c>
      <c r="AS57" s="70" t="str">
        <f t="shared" si="4"/>
        <v/>
      </c>
      <c r="AT57" s="70" t="str">
        <f t="shared" si="1"/>
        <v/>
      </c>
    </row>
    <row r="58" spans="2:46">
      <c r="B58" s="139"/>
      <c r="C58" s="55">
        <f t="shared" si="2"/>
        <v>52</v>
      </c>
      <c r="D58" s="69" t="s">
        <v>70</v>
      </c>
      <c r="E58" s="69" t="s">
        <v>70</v>
      </c>
      <c r="F58" s="69" t="s">
        <v>70</v>
      </c>
      <c r="G58" s="69" t="s">
        <v>70</v>
      </c>
      <c r="H58" s="69" t="s">
        <v>70</v>
      </c>
      <c r="I58" s="69" t="s">
        <v>70</v>
      </c>
      <c r="J58" s="69" t="s">
        <v>70</v>
      </c>
      <c r="K58" s="69" t="s">
        <v>70</v>
      </c>
      <c r="L58" s="69" t="s">
        <v>70</v>
      </c>
      <c r="M58" s="69" t="s">
        <v>70</v>
      </c>
      <c r="N58" s="69" t="s">
        <v>70</v>
      </c>
      <c r="O58" s="69" t="s">
        <v>70</v>
      </c>
      <c r="P58" s="69" t="s">
        <v>70</v>
      </c>
      <c r="Q58" s="69" t="s">
        <v>70</v>
      </c>
      <c r="R58" s="69" t="s">
        <v>70</v>
      </c>
      <c r="S58" s="69" t="s">
        <v>70</v>
      </c>
      <c r="T58" s="69" t="s">
        <v>70</v>
      </c>
      <c r="U58" s="69" t="s">
        <v>70</v>
      </c>
      <c r="V58" s="69" t="s">
        <v>70</v>
      </c>
      <c r="W58" s="69" t="s">
        <v>70</v>
      </c>
      <c r="X58" s="69" t="s">
        <v>70</v>
      </c>
      <c r="Y58" s="69" t="s">
        <v>70</v>
      </c>
      <c r="Z58" s="69" t="s">
        <v>70</v>
      </c>
      <c r="AA58" s="69" t="s">
        <v>70</v>
      </c>
      <c r="AB58" s="69" t="s">
        <v>70</v>
      </c>
      <c r="AC58" s="69" t="s">
        <v>70</v>
      </c>
      <c r="AD58" s="69" t="s">
        <v>70</v>
      </c>
      <c r="AE58" s="69" t="s">
        <v>70</v>
      </c>
      <c r="AF58" s="69" t="s">
        <v>70</v>
      </c>
      <c r="AG58" s="69" t="s">
        <v>70</v>
      </c>
      <c r="AH58" s="69" t="s">
        <v>70</v>
      </c>
      <c r="AI58" s="69" t="s">
        <v>70</v>
      </c>
      <c r="AJ58" s="25"/>
      <c r="AL58" t="str">
        <f t="shared" ca="1" si="0"/>
        <v xml:space="preserve">    (U1)ALERT_REQ_S_LCA_BC_RQ_</v>
      </c>
      <c r="AR58" s="70" t="str">
        <f t="shared" si="3"/>
        <v/>
      </c>
      <c r="AS58" s="70" t="str">
        <f t="shared" si="4"/>
        <v/>
      </c>
      <c r="AT58" s="70" t="str">
        <f t="shared" si="1"/>
        <v/>
      </c>
    </row>
    <row r="59" spans="2:46">
      <c r="B59" s="139"/>
      <c r="C59" s="55">
        <f t="shared" si="2"/>
        <v>53</v>
      </c>
      <c r="D59" s="69" t="s">
        <v>70</v>
      </c>
      <c r="E59" s="69" t="s">
        <v>70</v>
      </c>
      <c r="F59" s="69" t="s">
        <v>70</v>
      </c>
      <c r="G59" s="69" t="s">
        <v>70</v>
      </c>
      <c r="H59" s="69" t="s">
        <v>70</v>
      </c>
      <c r="I59" s="69" t="s">
        <v>70</v>
      </c>
      <c r="J59" s="69" t="s">
        <v>70</v>
      </c>
      <c r="K59" s="69" t="s">
        <v>70</v>
      </c>
      <c r="L59" s="69" t="s">
        <v>70</v>
      </c>
      <c r="M59" s="69" t="s">
        <v>70</v>
      </c>
      <c r="N59" s="69" t="s">
        <v>70</v>
      </c>
      <c r="O59" s="69" t="s">
        <v>70</v>
      </c>
      <c r="P59" s="69" t="s">
        <v>70</v>
      </c>
      <c r="Q59" s="69" t="s">
        <v>70</v>
      </c>
      <c r="R59" s="69" t="s">
        <v>70</v>
      </c>
      <c r="S59" s="69" t="s">
        <v>70</v>
      </c>
      <c r="T59" s="69" t="s">
        <v>70</v>
      </c>
      <c r="U59" s="69" t="s">
        <v>70</v>
      </c>
      <c r="V59" s="69" t="s">
        <v>70</v>
      </c>
      <c r="W59" s="69" t="s">
        <v>70</v>
      </c>
      <c r="X59" s="69" t="s">
        <v>70</v>
      </c>
      <c r="Y59" s="69" t="s">
        <v>70</v>
      </c>
      <c r="Z59" s="69" t="s">
        <v>70</v>
      </c>
      <c r="AA59" s="69" t="s">
        <v>70</v>
      </c>
      <c r="AB59" s="69" t="s">
        <v>70</v>
      </c>
      <c r="AC59" s="69" t="s">
        <v>70</v>
      </c>
      <c r="AD59" s="69" t="s">
        <v>70</v>
      </c>
      <c r="AE59" s="69" t="s">
        <v>70</v>
      </c>
      <c r="AF59" s="69" t="s">
        <v>70</v>
      </c>
      <c r="AG59" s="69" t="s">
        <v>70</v>
      </c>
      <c r="AH59" s="69" t="s">
        <v>70</v>
      </c>
      <c r="AI59" s="69" t="s">
        <v>70</v>
      </c>
      <c r="AJ59" s="25"/>
      <c r="AL59" t="str">
        <f t="shared" ca="1" si="0"/>
        <v xml:space="preserve">    (U1)ALERT_REQ_S_LCA_BC_RQ_</v>
      </c>
      <c r="AR59" s="70" t="str">
        <f t="shared" si="3"/>
        <v/>
      </c>
      <c r="AS59" s="70" t="str">
        <f t="shared" si="4"/>
        <v/>
      </c>
      <c r="AT59" s="70" t="str">
        <f t="shared" si="1"/>
        <v/>
      </c>
    </row>
    <row r="60" spans="2:46">
      <c r="B60" s="139"/>
      <c r="C60" s="55">
        <f t="shared" si="2"/>
        <v>54</v>
      </c>
      <c r="D60" s="69" t="s">
        <v>70</v>
      </c>
      <c r="E60" s="69" t="s">
        <v>70</v>
      </c>
      <c r="F60" s="69" t="s">
        <v>70</v>
      </c>
      <c r="G60" s="69" t="s">
        <v>70</v>
      </c>
      <c r="H60" s="69" t="s">
        <v>70</v>
      </c>
      <c r="I60" s="69" t="s">
        <v>70</v>
      </c>
      <c r="J60" s="69" t="s">
        <v>70</v>
      </c>
      <c r="K60" s="69" t="s">
        <v>70</v>
      </c>
      <c r="L60" s="69" t="s">
        <v>70</v>
      </c>
      <c r="M60" s="69" t="s">
        <v>70</v>
      </c>
      <c r="N60" s="69" t="s">
        <v>70</v>
      </c>
      <c r="O60" s="69" t="s">
        <v>70</v>
      </c>
      <c r="P60" s="69" t="s">
        <v>70</v>
      </c>
      <c r="Q60" s="69" t="s">
        <v>70</v>
      </c>
      <c r="R60" s="69" t="s">
        <v>70</v>
      </c>
      <c r="S60" s="69" t="s">
        <v>70</v>
      </c>
      <c r="T60" s="69" t="s">
        <v>70</v>
      </c>
      <c r="U60" s="69" t="s">
        <v>70</v>
      </c>
      <c r="V60" s="69" t="s">
        <v>70</v>
      </c>
      <c r="W60" s="69" t="s">
        <v>70</v>
      </c>
      <c r="X60" s="69" t="s">
        <v>70</v>
      </c>
      <c r="Y60" s="69" t="s">
        <v>70</v>
      </c>
      <c r="Z60" s="69" t="s">
        <v>70</v>
      </c>
      <c r="AA60" s="69" t="s">
        <v>70</v>
      </c>
      <c r="AB60" s="69" t="s">
        <v>70</v>
      </c>
      <c r="AC60" s="69" t="s">
        <v>70</v>
      </c>
      <c r="AD60" s="69" t="s">
        <v>70</v>
      </c>
      <c r="AE60" s="69" t="s">
        <v>70</v>
      </c>
      <c r="AF60" s="69" t="s">
        <v>70</v>
      </c>
      <c r="AG60" s="69" t="s">
        <v>70</v>
      </c>
      <c r="AH60" s="69" t="s">
        <v>70</v>
      </c>
      <c r="AI60" s="69" t="s">
        <v>70</v>
      </c>
      <c r="AJ60" s="25"/>
      <c r="AL60" t="str">
        <f t="shared" ca="1" si="0"/>
        <v xml:space="preserve">    (U1)ALERT_REQ_S_LCA_BC_RQ_</v>
      </c>
      <c r="AR60" s="70" t="str">
        <f t="shared" si="3"/>
        <v/>
      </c>
      <c r="AS60" s="70" t="str">
        <f t="shared" si="4"/>
        <v/>
      </c>
      <c r="AT60" s="70" t="str">
        <f t="shared" si="1"/>
        <v/>
      </c>
    </row>
    <row r="61" spans="2:46">
      <c r="B61" s="139"/>
      <c r="C61" s="55">
        <f t="shared" si="2"/>
        <v>55</v>
      </c>
      <c r="D61" s="69" t="s">
        <v>70</v>
      </c>
      <c r="E61" s="69" t="s">
        <v>70</v>
      </c>
      <c r="F61" s="69" t="s">
        <v>70</v>
      </c>
      <c r="G61" s="69" t="s">
        <v>70</v>
      </c>
      <c r="H61" s="69" t="s">
        <v>70</v>
      </c>
      <c r="I61" s="69" t="s">
        <v>70</v>
      </c>
      <c r="J61" s="69" t="s">
        <v>70</v>
      </c>
      <c r="K61" s="69" t="s">
        <v>70</v>
      </c>
      <c r="L61" s="69" t="s">
        <v>70</v>
      </c>
      <c r="M61" s="69" t="s">
        <v>70</v>
      </c>
      <c r="N61" s="69" t="s">
        <v>70</v>
      </c>
      <c r="O61" s="69" t="s">
        <v>70</v>
      </c>
      <c r="P61" s="69" t="s">
        <v>70</v>
      </c>
      <c r="Q61" s="69" t="s">
        <v>70</v>
      </c>
      <c r="R61" s="69" t="s">
        <v>70</v>
      </c>
      <c r="S61" s="69" t="s">
        <v>70</v>
      </c>
      <c r="T61" s="69" t="s">
        <v>70</v>
      </c>
      <c r="U61" s="69" t="s">
        <v>70</v>
      </c>
      <c r="V61" s="69" t="s">
        <v>70</v>
      </c>
      <c r="W61" s="69" t="s">
        <v>70</v>
      </c>
      <c r="X61" s="69" t="s">
        <v>70</v>
      </c>
      <c r="Y61" s="69" t="s">
        <v>70</v>
      </c>
      <c r="Z61" s="69" t="s">
        <v>70</v>
      </c>
      <c r="AA61" s="69" t="s">
        <v>70</v>
      </c>
      <c r="AB61" s="69" t="s">
        <v>70</v>
      </c>
      <c r="AC61" s="69" t="s">
        <v>70</v>
      </c>
      <c r="AD61" s="69" t="s">
        <v>70</v>
      </c>
      <c r="AE61" s="69" t="s">
        <v>70</v>
      </c>
      <c r="AF61" s="69" t="s">
        <v>70</v>
      </c>
      <c r="AG61" s="69" t="s">
        <v>70</v>
      </c>
      <c r="AH61" s="69" t="s">
        <v>70</v>
      </c>
      <c r="AI61" s="69" t="s">
        <v>70</v>
      </c>
      <c r="AJ61" s="25"/>
      <c r="AL61" t="str">
        <f t="shared" ca="1" si="0"/>
        <v xml:space="preserve">    (U1)ALERT_REQ_S_LCA_BC_RQ_</v>
      </c>
      <c r="AR61" s="70" t="str">
        <f t="shared" si="3"/>
        <v/>
      </c>
      <c r="AS61" s="70" t="str">
        <f t="shared" si="4"/>
        <v/>
      </c>
      <c r="AT61" s="70" t="str">
        <f t="shared" si="1"/>
        <v/>
      </c>
    </row>
    <row r="62" spans="2:46">
      <c r="B62" s="139"/>
      <c r="C62" s="55">
        <f t="shared" si="2"/>
        <v>56</v>
      </c>
      <c r="D62" s="69" t="s">
        <v>70</v>
      </c>
      <c r="E62" s="69" t="s">
        <v>70</v>
      </c>
      <c r="F62" s="69" t="s">
        <v>70</v>
      </c>
      <c r="G62" s="69" t="s">
        <v>70</v>
      </c>
      <c r="H62" s="69" t="s">
        <v>70</v>
      </c>
      <c r="I62" s="69" t="s">
        <v>70</v>
      </c>
      <c r="J62" s="69" t="s">
        <v>70</v>
      </c>
      <c r="K62" s="69" t="s">
        <v>70</v>
      </c>
      <c r="L62" s="69" t="s">
        <v>70</v>
      </c>
      <c r="M62" s="69" t="s">
        <v>70</v>
      </c>
      <c r="N62" s="69" t="s">
        <v>70</v>
      </c>
      <c r="O62" s="69" t="s">
        <v>70</v>
      </c>
      <c r="P62" s="69" t="s">
        <v>70</v>
      </c>
      <c r="Q62" s="69" t="s">
        <v>70</v>
      </c>
      <c r="R62" s="69" t="s">
        <v>70</v>
      </c>
      <c r="S62" s="69" t="s">
        <v>70</v>
      </c>
      <c r="T62" s="69" t="s">
        <v>70</v>
      </c>
      <c r="U62" s="69" t="s">
        <v>70</v>
      </c>
      <c r="V62" s="69" t="s">
        <v>70</v>
      </c>
      <c r="W62" s="69" t="s">
        <v>70</v>
      </c>
      <c r="X62" s="69" t="s">
        <v>70</v>
      </c>
      <c r="Y62" s="69" t="s">
        <v>70</v>
      </c>
      <c r="Z62" s="69" t="s">
        <v>70</v>
      </c>
      <c r="AA62" s="69" t="s">
        <v>70</v>
      </c>
      <c r="AB62" s="69" t="s">
        <v>70</v>
      </c>
      <c r="AC62" s="69" t="s">
        <v>70</v>
      </c>
      <c r="AD62" s="69" t="s">
        <v>70</v>
      </c>
      <c r="AE62" s="69" t="s">
        <v>70</v>
      </c>
      <c r="AF62" s="69" t="s">
        <v>70</v>
      </c>
      <c r="AG62" s="69" t="s">
        <v>70</v>
      </c>
      <c r="AH62" s="69" t="s">
        <v>70</v>
      </c>
      <c r="AI62" s="69" t="s">
        <v>70</v>
      </c>
      <c r="AJ62" s="25"/>
      <c r="AL62" t="str">
        <f t="shared" ca="1" si="0"/>
        <v xml:space="preserve">    (U1)ALERT_REQ_S_LCA_BC_RQ_</v>
      </c>
      <c r="AR62" s="70" t="str">
        <f t="shared" si="3"/>
        <v/>
      </c>
      <c r="AS62" s="70" t="str">
        <f t="shared" si="4"/>
        <v/>
      </c>
      <c r="AT62" s="70" t="str">
        <f t="shared" si="1"/>
        <v/>
      </c>
    </row>
    <row r="63" spans="2:46">
      <c r="B63" s="139"/>
      <c r="C63" s="55">
        <f t="shared" si="2"/>
        <v>57</v>
      </c>
      <c r="D63" s="69" t="s">
        <v>70</v>
      </c>
      <c r="E63" s="69" t="s">
        <v>70</v>
      </c>
      <c r="F63" s="69" t="s">
        <v>70</v>
      </c>
      <c r="G63" s="69" t="s">
        <v>70</v>
      </c>
      <c r="H63" s="69" t="s">
        <v>70</v>
      </c>
      <c r="I63" s="69" t="s">
        <v>70</v>
      </c>
      <c r="J63" s="69" t="s">
        <v>70</v>
      </c>
      <c r="K63" s="69" t="s">
        <v>70</v>
      </c>
      <c r="L63" s="69" t="s">
        <v>70</v>
      </c>
      <c r="M63" s="69" t="s">
        <v>70</v>
      </c>
      <c r="N63" s="69" t="s">
        <v>70</v>
      </c>
      <c r="O63" s="69" t="s">
        <v>70</v>
      </c>
      <c r="P63" s="69" t="s">
        <v>70</v>
      </c>
      <c r="Q63" s="69" t="s">
        <v>70</v>
      </c>
      <c r="R63" s="69" t="s">
        <v>70</v>
      </c>
      <c r="S63" s="69" t="s">
        <v>70</v>
      </c>
      <c r="T63" s="69" t="s">
        <v>70</v>
      </c>
      <c r="U63" s="69" t="s">
        <v>70</v>
      </c>
      <c r="V63" s="69" t="s">
        <v>70</v>
      </c>
      <c r="W63" s="69" t="s">
        <v>70</v>
      </c>
      <c r="X63" s="69" t="s">
        <v>70</v>
      </c>
      <c r="Y63" s="69" t="s">
        <v>70</v>
      </c>
      <c r="Z63" s="69" t="s">
        <v>70</v>
      </c>
      <c r="AA63" s="69" t="s">
        <v>70</v>
      </c>
      <c r="AB63" s="69" t="s">
        <v>70</v>
      </c>
      <c r="AC63" s="69" t="s">
        <v>70</v>
      </c>
      <c r="AD63" s="69" t="s">
        <v>70</v>
      </c>
      <c r="AE63" s="69" t="s">
        <v>70</v>
      </c>
      <c r="AF63" s="69" t="s">
        <v>70</v>
      </c>
      <c r="AG63" s="69" t="s">
        <v>70</v>
      </c>
      <c r="AH63" s="69" t="s">
        <v>70</v>
      </c>
      <c r="AI63" s="69" t="s">
        <v>70</v>
      </c>
      <c r="AJ63" s="25"/>
      <c r="AL63" t="str">
        <f t="shared" ca="1" si="0"/>
        <v xml:space="preserve">    (U1)ALERT_REQ_S_LCA_BC_RQ_</v>
      </c>
      <c r="AR63" s="70" t="str">
        <f t="shared" si="3"/>
        <v/>
      </c>
      <c r="AS63" s="70" t="str">
        <f t="shared" si="4"/>
        <v/>
      </c>
      <c r="AT63" s="70" t="str">
        <f t="shared" si="1"/>
        <v/>
      </c>
    </row>
    <row r="64" spans="2:46">
      <c r="B64" s="139"/>
      <c r="C64" s="55">
        <f t="shared" si="2"/>
        <v>58</v>
      </c>
      <c r="D64" s="69" t="s">
        <v>70</v>
      </c>
      <c r="E64" s="69" t="s">
        <v>70</v>
      </c>
      <c r="F64" s="69" t="s">
        <v>70</v>
      </c>
      <c r="G64" s="69" t="s">
        <v>70</v>
      </c>
      <c r="H64" s="69" t="s">
        <v>70</v>
      </c>
      <c r="I64" s="69" t="s">
        <v>70</v>
      </c>
      <c r="J64" s="69" t="s">
        <v>70</v>
      </c>
      <c r="K64" s="69" t="s">
        <v>70</v>
      </c>
      <c r="L64" s="69" t="s">
        <v>70</v>
      </c>
      <c r="M64" s="69" t="s">
        <v>70</v>
      </c>
      <c r="N64" s="69" t="s">
        <v>70</v>
      </c>
      <c r="O64" s="69" t="s">
        <v>70</v>
      </c>
      <c r="P64" s="69" t="s">
        <v>70</v>
      </c>
      <c r="Q64" s="69" t="s">
        <v>70</v>
      </c>
      <c r="R64" s="69" t="s">
        <v>70</v>
      </c>
      <c r="S64" s="69" t="s">
        <v>70</v>
      </c>
      <c r="T64" s="69" t="s">
        <v>70</v>
      </c>
      <c r="U64" s="69" t="s">
        <v>70</v>
      </c>
      <c r="V64" s="69" t="s">
        <v>70</v>
      </c>
      <c r="W64" s="69" t="s">
        <v>70</v>
      </c>
      <c r="X64" s="69" t="s">
        <v>70</v>
      </c>
      <c r="Y64" s="69" t="s">
        <v>70</v>
      </c>
      <c r="Z64" s="69" t="s">
        <v>70</v>
      </c>
      <c r="AA64" s="69" t="s">
        <v>70</v>
      </c>
      <c r="AB64" s="69" t="s">
        <v>70</v>
      </c>
      <c r="AC64" s="69" t="s">
        <v>70</v>
      </c>
      <c r="AD64" s="69" t="s">
        <v>70</v>
      </c>
      <c r="AE64" s="69" t="s">
        <v>70</v>
      </c>
      <c r="AF64" s="69" t="s">
        <v>70</v>
      </c>
      <c r="AG64" s="69" t="s">
        <v>70</v>
      </c>
      <c r="AH64" s="69" t="s">
        <v>70</v>
      </c>
      <c r="AI64" s="69" t="s">
        <v>70</v>
      </c>
      <c r="AJ64" s="25"/>
      <c r="AL64" t="str">
        <f t="shared" ca="1" si="0"/>
        <v xml:space="preserve">    (U1)ALERT_REQ_S_LCA_BC_RQ_</v>
      </c>
      <c r="AR64" s="70" t="str">
        <f t="shared" si="3"/>
        <v/>
      </c>
      <c r="AS64" s="70" t="str">
        <f t="shared" si="4"/>
        <v/>
      </c>
      <c r="AT64" s="70" t="str">
        <f t="shared" si="1"/>
        <v/>
      </c>
    </row>
    <row r="65" spans="1:46">
      <c r="B65" s="139"/>
      <c r="C65" s="55">
        <f t="shared" si="2"/>
        <v>59</v>
      </c>
      <c r="D65" s="69" t="s">
        <v>70</v>
      </c>
      <c r="E65" s="69" t="s">
        <v>70</v>
      </c>
      <c r="F65" s="69" t="s">
        <v>70</v>
      </c>
      <c r="G65" s="69" t="s">
        <v>70</v>
      </c>
      <c r="H65" s="69" t="s">
        <v>70</v>
      </c>
      <c r="I65" s="69" t="s">
        <v>70</v>
      </c>
      <c r="J65" s="69" t="s">
        <v>70</v>
      </c>
      <c r="K65" s="69" t="s">
        <v>70</v>
      </c>
      <c r="L65" s="69" t="s">
        <v>70</v>
      </c>
      <c r="M65" s="69" t="s">
        <v>70</v>
      </c>
      <c r="N65" s="69" t="s">
        <v>70</v>
      </c>
      <c r="O65" s="69" t="s">
        <v>70</v>
      </c>
      <c r="P65" s="69" t="s">
        <v>70</v>
      </c>
      <c r="Q65" s="69" t="s">
        <v>70</v>
      </c>
      <c r="R65" s="69" t="s">
        <v>70</v>
      </c>
      <c r="S65" s="69" t="s">
        <v>70</v>
      </c>
      <c r="T65" s="69" t="s">
        <v>70</v>
      </c>
      <c r="U65" s="69" t="s">
        <v>70</v>
      </c>
      <c r="V65" s="69" t="s">
        <v>70</v>
      </c>
      <c r="W65" s="69" t="s">
        <v>70</v>
      </c>
      <c r="X65" s="69" t="s">
        <v>70</v>
      </c>
      <c r="Y65" s="69" t="s">
        <v>70</v>
      </c>
      <c r="Z65" s="69" t="s">
        <v>70</v>
      </c>
      <c r="AA65" s="69" t="s">
        <v>70</v>
      </c>
      <c r="AB65" s="69" t="s">
        <v>70</v>
      </c>
      <c r="AC65" s="69" t="s">
        <v>70</v>
      </c>
      <c r="AD65" s="69" t="s">
        <v>70</v>
      </c>
      <c r="AE65" s="69" t="s">
        <v>70</v>
      </c>
      <c r="AF65" s="69" t="s">
        <v>70</v>
      </c>
      <c r="AG65" s="69" t="s">
        <v>70</v>
      </c>
      <c r="AH65" s="69" t="s">
        <v>70</v>
      </c>
      <c r="AI65" s="69" t="s">
        <v>70</v>
      </c>
      <c r="AJ65" s="25"/>
      <c r="AL65" t="str">
        <f t="shared" ca="1" si="0"/>
        <v xml:space="preserve">    (U1)ALERT_REQ_S_LCA_BC_RQ_</v>
      </c>
      <c r="AR65" s="70" t="str">
        <f t="shared" si="3"/>
        <v/>
      </c>
      <c r="AS65" s="70" t="str">
        <f t="shared" si="4"/>
        <v/>
      </c>
      <c r="AT65" s="70" t="str">
        <f t="shared" si="1"/>
        <v/>
      </c>
    </row>
    <row r="66" spans="1:46">
      <c r="B66" s="139"/>
      <c r="C66" s="55">
        <f t="shared" si="2"/>
        <v>60</v>
      </c>
      <c r="D66" s="69" t="s">
        <v>70</v>
      </c>
      <c r="E66" s="69" t="s">
        <v>70</v>
      </c>
      <c r="F66" s="69" t="s">
        <v>70</v>
      </c>
      <c r="G66" s="69" t="s">
        <v>70</v>
      </c>
      <c r="H66" s="69" t="s">
        <v>70</v>
      </c>
      <c r="I66" s="69" t="s">
        <v>70</v>
      </c>
      <c r="J66" s="69" t="s">
        <v>70</v>
      </c>
      <c r="K66" s="69" t="s">
        <v>70</v>
      </c>
      <c r="L66" s="69" t="s">
        <v>70</v>
      </c>
      <c r="M66" s="69" t="s">
        <v>70</v>
      </c>
      <c r="N66" s="69" t="s">
        <v>70</v>
      </c>
      <c r="O66" s="69" t="s">
        <v>70</v>
      </c>
      <c r="P66" s="69" t="s">
        <v>70</v>
      </c>
      <c r="Q66" s="69" t="s">
        <v>70</v>
      </c>
      <c r="R66" s="69" t="s">
        <v>70</v>
      </c>
      <c r="S66" s="69" t="s">
        <v>70</v>
      </c>
      <c r="T66" s="69" t="s">
        <v>70</v>
      </c>
      <c r="U66" s="69" t="s">
        <v>70</v>
      </c>
      <c r="V66" s="69" t="s">
        <v>70</v>
      </c>
      <c r="W66" s="69" t="s">
        <v>70</v>
      </c>
      <c r="X66" s="69" t="s">
        <v>70</v>
      </c>
      <c r="Y66" s="69" t="s">
        <v>70</v>
      </c>
      <c r="Z66" s="69" t="s">
        <v>70</v>
      </c>
      <c r="AA66" s="69" t="s">
        <v>70</v>
      </c>
      <c r="AB66" s="69" t="s">
        <v>70</v>
      </c>
      <c r="AC66" s="69" t="s">
        <v>70</v>
      </c>
      <c r="AD66" s="69" t="s">
        <v>70</v>
      </c>
      <c r="AE66" s="69" t="s">
        <v>70</v>
      </c>
      <c r="AF66" s="69" t="s">
        <v>70</v>
      </c>
      <c r="AG66" s="69" t="s">
        <v>70</v>
      </c>
      <c r="AH66" s="69" t="s">
        <v>70</v>
      </c>
      <c r="AI66" s="69" t="s">
        <v>70</v>
      </c>
      <c r="AJ66" s="25"/>
      <c r="AL66" t="str">
        <f t="shared" ca="1" si="0"/>
        <v xml:space="preserve">    (U1)ALERT_REQ_S_LCA_BC_RQ_</v>
      </c>
      <c r="AR66" s="70" t="str">
        <f t="shared" si="3"/>
        <v/>
      </c>
      <c r="AS66" s="70" t="str">
        <f t="shared" si="4"/>
        <v/>
      </c>
      <c r="AT66" s="70" t="str">
        <f t="shared" si="1"/>
        <v/>
      </c>
    </row>
    <row r="67" spans="1:46">
      <c r="B67" s="139"/>
      <c r="C67" s="55">
        <f t="shared" si="2"/>
        <v>61</v>
      </c>
      <c r="D67" s="69" t="s">
        <v>70</v>
      </c>
      <c r="E67" s="69" t="s">
        <v>70</v>
      </c>
      <c r="F67" s="69" t="s">
        <v>70</v>
      </c>
      <c r="G67" s="69" t="s">
        <v>70</v>
      </c>
      <c r="H67" s="69" t="s">
        <v>70</v>
      </c>
      <c r="I67" s="69" t="s">
        <v>70</v>
      </c>
      <c r="J67" s="69" t="s">
        <v>70</v>
      </c>
      <c r="K67" s="69" t="s">
        <v>70</v>
      </c>
      <c r="L67" s="69" t="s">
        <v>70</v>
      </c>
      <c r="M67" s="69" t="s">
        <v>70</v>
      </c>
      <c r="N67" s="69" t="s">
        <v>70</v>
      </c>
      <c r="O67" s="69" t="s">
        <v>70</v>
      </c>
      <c r="P67" s="69" t="s">
        <v>70</v>
      </c>
      <c r="Q67" s="69" t="s">
        <v>70</v>
      </c>
      <c r="R67" s="69" t="s">
        <v>70</v>
      </c>
      <c r="S67" s="69" t="s">
        <v>70</v>
      </c>
      <c r="T67" s="69" t="s">
        <v>70</v>
      </c>
      <c r="U67" s="69" t="s">
        <v>70</v>
      </c>
      <c r="V67" s="69" t="s">
        <v>70</v>
      </c>
      <c r="W67" s="69" t="s">
        <v>70</v>
      </c>
      <c r="X67" s="69" t="s">
        <v>70</v>
      </c>
      <c r="Y67" s="69" t="s">
        <v>70</v>
      </c>
      <c r="Z67" s="69" t="s">
        <v>70</v>
      </c>
      <c r="AA67" s="69" t="s">
        <v>70</v>
      </c>
      <c r="AB67" s="69" t="s">
        <v>70</v>
      </c>
      <c r="AC67" s="69" t="s">
        <v>70</v>
      </c>
      <c r="AD67" s="69" t="s">
        <v>70</v>
      </c>
      <c r="AE67" s="69" t="s">
        <v>70</v>
      </c>
      <c r="AF67" s="69" t="s">
        <v>70</v>
      </c>
      <c r="AG67" s="69" t="s">
        <v>70</v>
      </c>
      <c r="AH67" s="69" t="s">
        <v>70</v>
      </c>
      <c r="AI67" s="69" t="s">
        <v>70</v>
      </c>
      <c r="AJ67" s="25"/>
      <c r="AL67" t="str">
        <f t="shared" ca="1" si="0"/>
        <v xml:space="preserve">    (U1)ALERT_REQ_S_LCA_BC_RQ_</v>
      </c>
      <c r="AR67" s="70" t="str">
        <f t="shared" si="3"/>
        <v/>
      </c>
      <c r="AS67" s="70" t="str">
        <f t="shared" si="4"/>
        <v/>
      </c>
      <c r="AT67" s="70" t="str">
        <f t="shared" si="1"/>
        <v/>
      </c>
    </row>
    <row r="68" spans="1:46">
      <c r="B68" s="139"/>
      <c r="C68" s="55">
        <f t="shared" si="2"/>
        <v>62</v>
      </c>
      <c r="D68" s="69" t="s">
        <v>70</v>
      </c>
      <c r="E68" s="69" t="s">
        <v>70</v>
      </c>
      <c r="F68" s="69" t="s">
        <v>70</v>
      </c>
      <c r="G68" s="69" t="s">
        <v>70</v>
      </c>
      <c r="H68" s="69" t="s">
        <v>70</v>
      </c>
      <c r="I68" s="69" t="s">
        <v>70</v>
      </c>
      <c r="J68" s="69" t="s">
        <v>70</v>
      </c>
      <c r="K68" s="69" t="s">
        <v>70</v>
      </c>
      <c r="L68" s="69" t="s">
        <v>70</v>
      </c>
      <c r="M68" s="69" t="s">
        <v>70</v>
      </c>
      <c r="N68" s="69" t="s">
        <v>70</v>
      </c>
      <c r="O68" s="69" t="s">
        <v>70</v>
      </c>
      <c r="P68" s="69" t="s">
        <v>70</v>
      </c>
      <c r="Q68" s="69" t="s">
        <v>70</v>
      </c>
      <c r="R68" s="69" t="s">
        <v>70</v>
      </c>
      <c r="S68" s="69" t="s">
        <v>70</v>
      </c>
      <c r="T68" s="69" t="s">
        <v>70</v>
      </c>
      <c r="U68" s="69" t="s">
        <v>70</v>
      </c>
      <c r="V68" s="69" t="s">
        <v>70</v>
      </c>
      <c r="W68" s="69" t="s">
        <v>70</v>
      </c>
      <c r="X68" s="69" t="s">
        <v>70</v>
      </c>
      <c r="Y68" s="69" t="s">
        <v>70</v>
      </c>
      <c r="Z68" s="69" t="s">
        <v>70</v>
      </c>
      <c r="AA68" s="69" t="s">
        <v>70</v>
      </c>
      <c r="AB68" s="69" t="s">
        <v>70</v>
      </c>
      <c r="AC68" s="69" t="s">
        <v>70</v>
      </c>
      <c r="AD68" s="69" t="s">
        <v>70</v>
      </c>
      <c r="AE68" s="69" t="s">
        <v>70</v>
      </c>
      <c r="AF68" s="69" t="s">
        <v>70</v>
      </c>
      <c r="AG68" s="69" t="s">
        <v>70</v>
      </c>
      <c r="AH68" s="69" t="s">
        <v>70</v>
      </c>
      <c r="AI68" s="69" t="s">
        <v>70</v>
      </c>
      <c r="AJ68" s="25"/>
      <c r="AL68" t="str">
        <f t="shared" ca="1" si="0"/>
        <v xml:space="preserve">    (U1)ALERT_REQ_S_LCA_BC_RQ_</v>
      </c>
      <c r="AR68" s="70" t="str">
        <f t="shared" si="3"/>
        <v/>
      </c>
      <c r="AS68" s="70" t="str">
        <f t="shared" si="4"/>
        <v/>
      </c>
      <c r="AT68" s="70" t="str">
        <f t="shared" si="1"/>
        <v/>
      </c>
    </row>
    <row r="69" spans="1:46">
      <c r="B69" s="140"/>
      <c r="C69" s="55">
        <f t="shared" si="2"/>
        <v>63</v>
      </c>
      <c r="D69" s="69" t="s">
        <v>70</v>
      </c>
      <c r="E69" s="69" t="s">
        <v>70</v>
      </c>
      <c r="F69" s="69" t="s">
        <v>70</v>
      </c>
      <c r="G69" s="69" t="s">
        <v>70</v>
      </c>
      <c r="H69" s="69" t="s">
        <v>70</v>
      </c>
      <c r="I69" s="69" t="s">
        <v>70</v>
      </c>
      <c r="J69" s="69" t="s">
        <v>70</v>
      </c>
      <c r="K69" s="69" t="s">
        <v>70</v>
      </c>
      <c r="L69" s="69" t="s">
        <v>70</v>
      </c>
      <c r="M69" s="69" t="s">
        <v>70</v>
      </c>
      <c r="N69" s="69" t="s">
        <v>70</v>
      </c>
      <c r="O69" s="69" t="s">
        <v>70</v>
      </c>
      <c r="P69" s="69" t="s">
        <v>70</v>
      </c>
      <c r="Q69" s="69" t="s">
        <v>70</v>
      </c>
      <c r="R69" s="69" t="s">
        <v>70</v>
      </c>
      <c r="S69" s="69" t="s">
        <v>70</v>
      </c>
      <c r="T69" s="69" t="s">
        <v>70</v>
      </c>
      <c r="U69" s="69" t="s">
        <v>70</v>
      </c>
      <c r="V69" s="69" t="s">
        <v>70</v>
      </c>
      <c r="W69" s="69" t="s">
        <v>70</v>
      </c>
      <c r="X69" s="69" t="s">
        <v>70</v>
      </c>
      <c r="Y69" s="69" t="s">
        <v>70</v>
      </c>
      <c r="Z69" s="69" t="s">
        <v>70</v>
      </c>
      <c r="AA69" s="69" t="s">
        <v>70</v>
      </c>
      <c r="AB69" s="69" t="s">
        <v>70</v>
      </c>
      <c r="AC69" s="69" t="s">
        <v>70</v>
      </c>
      <c r="AD69" s="69" t="s">
        <v>70</v>
      </c>
      <c r="AE69" s="69" t="s">
        <v>70</v>
      </c>
      <c r="AF69" s="69" t="s">
        <v>70</v>
      </c>
      <c r="AG69" s="69" t="s">
        <v>70</v>
      </c>
      <c r="AH69" s="69" t="s">
        <v>70</v>
      </c>
      <c r="AI69" s="69" t="s">
        <v>70</v>
      </c>
      <c r="AJ69" s="25"/>
      <c r="AL69" t="str">
        <f t="shared" ca="1" si="0"/>
        <v xml:space="preserve">    (U1)ALERT_REQ_S_LCA_BC_RQ_</v>
      </c>
      <c r="AR69" s="70" t="str">
        <f t="shared" si="3"/>
        <v/>
      </c>
      <c r="AS69" s="70" t="str">
        <f t="shared" si="4"/>
        <v/>
      </c>
      <c r="AT69" s="70" t="str">
        <f t="shared" si="1"/>
        <v/>
      </c>
    </row>
    <row r="70" spans="1:46" ht="14.25" thickBot="1">
      <c r="A70" s="64" t="s">
        <v>67</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1" t="str">
        <f t="shared" si="3"/>
        <v/>
      </c>
      <c r="AS70" s="71" t="str">
        <f t="shared" si="4"/>
        <v/>
      </c>
      <c r="AT70" s="71" t="str">
        <f t="shared" ref="AT70" si="5">IF(AJ70&lt;&gt;"",AL70&amp;IF(AJ71&lt;&gt;"",","," ")&amp;REPT(" ",78-LEN(AL70))&amp;"/* "&amp;IF(C70&lt;10,"0"&amp;C70,C70)&amp;" "&amp;AJ70&amp;REPT(" ",48-LEN(AJ70))&amp;"*/",IF(AJ69&lt;&gt;"","};",""))</f>
        <v/>
      </c>
    </row>
    <row r="71" spans="1:46">
      <c r="B71" s="141" t="str">
        <f ca="1">IF(B6&lt;&gt;"",B6,"")</f>
        <v>Table BC_RQ</v>
      </c>
      <c r="C71" s="55">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55" t="str">
        <f t="shared" ref="AJ71:AJ134" si="7">IF(AJ6&lt;&gt;"",AJ6,"")</f>
        <v>UNKNOWN</v>
      </c>
      <c r="AK71" s="68"/>
      <c r="AL71" s="68"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55">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55" t="str">
        <f t="shared" si="7"/>
        <v>SINGLE</v>
      </c>
      <c r="AK72" s="68"/>
      <c r="AL72" s="68"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SINGLE                                          */</v>
      </c>
    </row>
    <row r="73" spans="1:46">
      <c r="B73" s="139"/>
      <c r="C73" s="55">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55" t="str">
        <f t="shared" si="7"/>
        <v>UNKNOWN</v>
      </c>
      <c r="AK73" s="68"/>
      <c r="AL73" s="68" t="str">
        <f t="shared" si="10"/>
        <v>02</v>
      </c>
      <c r="AM73" s="68" t="str">
        <f t="shared" si="11"/>
        <v>00</v>
      </c>
      <c r="AN73" s="68" t="str">
        <f t="shared" si="12"/>
        <v>00</v>
      </c>
      <c r="AO73" s="68" t="str">
        <f t="shared" si="13"/>
        <v>00</v>
      </c>
      <c r="AQ73" t="str">
        <f t="shared" si="8"/>
        <v xml:space="preserve">    (U4)0x00000002U,                                                           /* 02 UNKNOWN                                         */</v>
      </c>
    </row>
    <row r="74" spans="1:46">
      <c r="B74" s="139"/>
      <c r="C74" s="55">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55" t="str">
        <f t="shared" si="7"/>
        <v>UNKNOWN</v>
      </c>
      <c r="AK74" s="68"/>
      <c r="AL74" s="68" t="str">
        <f t="shared" si="10"/>
        <v>03</v>
      </c>
      <c r="AM74" s="68" t="str">
        <f t="shared" si="11"/>
        <v>00</v>
      </c>
      <c r="AN74" s="68" t="str">
        <f t="shared" si="12"/>
        <v>00</v>
      </c>
      <c r="AO74" s="68" t="str">
        <f t="shared" si="13"/>
        <v>00</v>
      </c>
      <c r="AQ74" t="str">
        <f t="shared" si="8"/>
        <v xml:space="preserve">    (U4)0x00000003U                                                            /* 03 UNKNOWN                                         */</v>
      </c>
    </row>
    <row r="75" spans="1:46">
      <c r="B75" s="139"/>
      <c r="C75" s="55">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0</v>
      </c>
      <c r="AH75" s="133">
        <f t="shared" si="6"/>
        <v>0</v>
      </c>
      <c r="AI75" s="133">
        <f t="shared" si="6"/>
        <v>0</v>
      </c>
      <c r="AJ75" s="55" t="str">
        <f t="shared" si="7"/>
        <v/>
      </c>
      <c r="AK75" s="68"/>
      <c r="AL75" s="68" t="str">
        <f t="shared" si="10"/>
        <v>00</v>
      </c>
      <c r="AM75" s="68" t="str">
        <f t="shared" si="11"/>
        <v>00</v>
      </c>
      <c r="AN75" s="68" t="str">
        <f t="shared" si="12"/>
        <v>00</v>
      </c>
      <c r="AO75" s="68" t="str">
        <f t="shared" si="13"/>
        <v>00</v>
      </c>
      <c r="AQ75" t="str">
        <f t="shared" si="8"/>
        <v/>
      </c>
    </row>
    <row r="76" spans="1:46">
      <c r="B76" s="139"/>
      <c r="C76" s="55">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0</v>
      </c>
      <c r="AH76" s="133">
        <f t="shared" si="6"/>
        <v>0</v>
      </c>
      <c r="AI76" s="133">
        <f t="shared" si="6"/>
        <v>0</v>
      </c>
      <c r="AJ76" s="55" t="str">
        <f t="shared" si="7"/>
        <v/>
      </c>
      <c r="AK76" s="68"/>
      <c r="AL76" s="68" t="str">
        <f t="shared" si="10"/>
        <v>00</v>
      </c>
      <c r="AM76" s="68" t="str">
        <f t="shared" si="11"/>
        <v>00</v>
      </c>
      <c r="AN76" s="68" t="str">
        <f t="shared" si="12"/>
        <v>00</v>
      </c>
      <c r="AO76" s="68" t="str">
        <f t="shared" si="13"/>
        <v>00</v>
      </c>
      <c r="AQ76" t="str">
        <f t="shared" si="8"/>
        <v/>
      </c>
    </row>
    <row r="77" spans="1:46">
      <c r="B77" s="139"/>
      <c r="C77" s="55">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0</v>
      </c>
      <c r="AH77" s="133">
        <f t="shared" si="6"/>
        <v>0</v>
      </c>
      <c r="AI77" s="133">
        <f t="shared" si="6"/>
        <v>0</v>
      </c>
      <c r="AJ77" s="55" t="str">
        <f t="shared" si="7"/>
        <v/>
      </c>
      <c r="AK77" s="68"/>
      <c r="AL77" s="68" t="str">
        <f t="shared" si="10"/>
        <v>00</v>
      </c>
      <c r="AM77" s="68" t="str">
        <f t="shared" si="11"/>
        <v>00</v>
      </c>
      <c r="AN77" s="68" t="str">
        <f t="shared" si="12"/>
        <v>00</v>
      </c>
      <c r="AO77" s="68" t="str">
        <f t="shared" si="13"/>
        <v>00</v>
      </c>
      <c r="AQ77" t="str">
        <f t="shared" si="8"/>
        <v/>
      </c>
    </row>
    <row r="78" spans="1:46">
      <c r="B78" s="139"/>
      <c r="C78" s="55">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0</v>
      </c>
      <c r="AH78" s="133">
        <f t="shared" si="6"/>
        <v>0</v>
      </c>
      <c r="AI78" s="133">
        <f t="shared" ref="AI78" si="14">IF(AI13=1,1,0)</f>
        <v>0</v>
      </c>
      <c r="AJ78" s="55" t="str">
        <f t="shared" si="7"/>
        <v/>
      </c>
      <c r="AK78" s="68"/>
      <c r="AL78" s="68" t="str">
        <f t="shared" si="10"/>
        <v>00</v>
      </c>
      <c r="AM78" s="68" t="str">
        <f t="shared" si="11"/>
        <v>00</v>
      </c>
      <c r="AN78" s="68" t="str">
        <f t="shared" si="12"/>
        <v>00</v>
      </c>
      <c r="AO78" s="68" t="str">
        <f t="shared" si="13"/>
        <v>00</v>
      </c>
      <c r="AQ78" t="str">
        <f t="shared" si="8"/>
        <v/>
      </c>
    </row>
    <row r="79" spans="1:46">
      <c r="B79" s="139"/>
      <c r="C79" s="55">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0</v>
      </c>
      <c r="AG79" s="133">
        <f t="shared" si="15"/>
        <v>0</v>
      </c>
      <c r="AH79" s="133">
        <f t="shared" si="15"/>
        <v>0</v>
      </c>
      <c r="AI79" s="133">
        <f t="shared" si="15"/>
        <v>0</v>
      </c>
      <c r="AJ79" s="55" t="str">
        <f t="shared" si="7"/>
        <v/>
      </c>
      <c r="AK79" s="68"/>
      <c r="AL79" s="68" t="str">
        <f t="shared" si="10"/>
        <v>00</v>
      </c>
      <c r="AM79" s="68" t="str">
        <f t="shared" si="11"/>
        <v>00</v>
      </c>
      <c r="AN79" s="68" t="str">
        <f t="shared" si="12"/>
        <v>00</v>
      </c>
      <c r="AO79" s="68" t="str">
        <f t="shared" si="13"/>
        <v>00</v>
      </c>
      <c r="AQ79" t="str">
        <f t="shared" si="8"/>
        <v/>
      </c>
    </row>
    <row r="80" spans="1:46">
      <c r="B80" s="139"/>
      <c r="C80" s="55">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0</v>
      </c>
      <c r="AG80" s="133">
        <f t="shared" si="15"/>
        <v>0</v>
      </c>
      <c r="AH80" s="133">
        <f t="shared" si="15"/>
        <v>0</v>
      </c>
      <c r="AI80" s="133">
        <f t="shared" si="15"/>
        <v>0</v>
      </c>
      <c r="AJ80" s="55" t="str">
        <f t="shared" si="7"/>
        <v/>
      </c>
      <c r="AK80" s="68"/>
      <c r="AL80" s="68" t="str">
        <f t="shared" si="10"/>
        <v>00</v>
      </c>
      <c r="AM80" s="68" t="str">
        <f t="shared" si="11"/>
        <v>00</v>
      </c>
      <c r="AN80" s="68" t="str">
        <f t="shared" si="12"/>
        <v>00</v>
      </c>
      <c r="AO80" s="68" t="str">
        <f t="shared" si="13"/>
        <v>00</v>
      </c>
      <c r="AQ80" t="str">
        <f t="shared" si="8"/>
        <v/>
      </c>
    </row>
    <row r="81" spans="2:43">
      <c r="B81" s="139"/>
      <c r="C81" s="55">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0</v>
      </c>
      <c r="AG81" s="133">
        <f t="shared" si="15"/>
        <v>0</v>
      </c>
      <c r="AH81" s="133">
        <f t="shared" si="15"/>
        <v>0</v>
      </c>
      <c r="AI81" s="133">
        <f t="shared" si="15"/>
        <v>0</v>
      </c>
      <c r="AJ81" s="55" t="str">
        <f t="shared" si="7"/>
        <v/>
      </c>
      <c r="AK81" s="68"/>
      <c r="AL81" s="68" t="str">
        <f t="shared" si="10"/>
        <v>00</v>
      </c>
      <c r="AM81" s="68" t="str">
        <f t="shared" si="11"/>
        <v>00</v>
      </c>
      <c r="AN81" s="68" t="str">
        <f t="shared" si="12"/>
        <v>00</v>
      </c>
      <c r="AO81" s="68" t="str">
        <f t="shared" si="13"/>
        <v>00</v>
      </c>
      <c r="AQ81" t="str">
        <f t="shared" si="8"/>
        <v/>
      </c>
    </row>
    <row r="82" spans="2:43">
      <c r="B82" s="139"/>
      <c r="C82" s="55">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0</v>
      </c>
      <c r="AG82" s="133">
        <f t="shared" si="15"/>
        <v>0</v>
      </c>
      <c r="AH82" s="133">
        <f t="shared" si="15"/>
        <v>0</v>
      </c>
      <c r="AI82" s="133">
        <f t="shared" si="15"/>
        <v>0</v>
      </c>
      <c r="AJ82" s="55" t="str">
        <f t="shared" si="7"/>
        <v/>
      </c>
      <c r="AK82" s="68"/>
      <c r="AL82" s="68" t="str">
        <f t="shared" si="10"/>
        <v>00</v>
      </c>
      <c r="AM82" s="68" t="str">
        <f t="shared" si="11"/>
        <v>00</v>
      </c>
      <c r="AN82" s="68" t="str">
        <f t="shared" si="12"/>
        <v>00</v>
      </c>
      <c r="AO82" s="68" t="str">
        <f t="shared" si="13"/>
        <v>00</v>
      </c>
      <c r="AQ82" t="str">
        <f t="shared" si="8"/>
        <v/>
      </c>
    </row>
    <row r="83" spans="2:43">
      <c r="B83" s="139"/>
      <c r="C83" s="55">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0</v>
      </c>
      <c r="AG83" s="133">
        <f t="shared" si="15"/>
        <v>0</v>
      </c>
      <c r="AH83" s="133">
        <f t="shared" si="15"/>
        <v>0</v>
      </c>
      <c r="AI83" s="133">
        <f t="shared" si="15"/>
        <v>0</v>
      </c>
      <c r="AJ83" s="55" t="str">
        <f t="shared" si="7"/>
        <v/>
      </c>
      <c r="AK83" s="68"/>
      <c r="AL83" s="68" t="str">
        <f t="shared" si="10"/>
        <v>00</v>
      </c>
      <c r="AM83" s="68" t="str">
        <f t="shared" si="11"/>
        <v>00</v>
      </c>
      <c r="AN83" s="68" t="str">
        <f t="shared" si="12"/>
        <v>00</v>
      </c>
      <c r="AO83" s="68" t="str">
        <f t="shared" si="13"/>
        <v>00</v>
      </c>
      <c r="AQ83" t="str">
        <f t="shared" si="8"/>
        <v/>
      </c>
    </row>
    <row r="84" spans="2:43">
      <c r="B84" s="139"/>
      <c r="C84" s="55">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0</v>
      </c>
      <c r="AG84" s="133">
        <f t="shared" si="15"/>
        <v>0</v>
      </c>
      <c r="AH84" s="133">
        <f t="shared" si="15"/>
        <v>0</v>
      </c>
      <c r="AI84" s="133">
        <f t="shared" si="15"/>
        <v>0</v>
      </c>
      <c r="AJ84" s="55" t="str">
        <f t="shared" si="7"/>
        <v/>
      </c>
      <c r="AK84" s="68"/>
      <c r="AL84" s="68" t="str">
        <f t="shared" si="10"/>
        <v>00</v>
      </c>
      <c r="AM84" s="68" t="str">
        <f t="shared" si="11"/>
        <v>00</v>
      </c>
      <c r="AN84" s="68" t="str">
        <f t="shared" si="12"/>
        <v>00</v>
      </c>
      <c r="AO84" s="68" t="str">
        <f t="shared" si="13"/>
        <v>00</v>
      </c>
      <c r="AQ84" t="str">
        <f t="shared" si="8"/>
        <v/>
      </c>
    </row>
    <row r="85" spans="2:43">
      <c r="B85" s="139"/>
      <c r="C85" s="55">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0</v>
      </c>
      <c r="AG85" s="133">
        <f t="shared" si="15"/>
        <v>0</v>
      </c>
      <c r="AH85" s="133">
        <f t="shared" si="15"/>
        <v>0</v>
      </c>
      <c r="AI85" s="133">
        <f t="shared" si="15"/>
        <v>0</v>
      </c>
      <c r="AJ85" s="55" t="str">
        <f t="shared" si="7"/>
        <v/>
      </c>
      <c r="AK85" s="68"/>
      <c r="AL85" s="68" t="str">
        <f t="shared" si="10"/>
        <v>00</v>
      </c>
      <c r="AM85" s="68" t="str">
        <f t="shared" si="11"/>
        <v>00</v>
      </c>
      <c r="AN85" s="68" t="str">
        <f t="shared" si="12"/>
        <v>00</v>
      </c>
      <c r="AO85" s="68" t="str">
        <f t="shared" si="13"/>
        <v>00</v>
      </c>
      <c r="AQ85" t="str">
        <f t="shared" si="8"/>
        <v/>
      </c>
    </row>
    <row r="86" spans="2:43">
      <c r="B86" s="139"/>
      <c r="C86" s="55">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0</v>
      </c>
      <c r="AG86" s="133">
        <f t="shared" si="15"/>
        <v>0</v>
      </c>
      <c r="AH86" s="133">
        <f t="shared" si="15"/>
        <v>0</v>
      </c>
      <c r="AI86" s="133">
        <f t="shared" ref="AI86" si="16">IF(AI21=1,1,0)</f>
        <v>0</v>
      </c>
      <c r="AJ86" s="55" t="str">
        <f t="shared" si="7"/>
        <v/>
      </c>
      <c r="AK86" s="68"/>
      <c r="AL86" s="68" t="str">
        <f t="shared" si="10"/>
        <v>00</v>
      </c>
      <c r="AM86" s="68" t="str">
        <f t="shared" si="11"/>
        <v>00</v>
      </c>
      <c r="AN86" s="68" t="str">
        <f t="shared" si="12"/>
        <v>00</v>
      </c>
      <c r="AO86" s="68" t="str">
        <f t="shared" si="13"/>
        <v>00</v>
      </c>
      <c r="AQ86" t="str">
        <f t="shared" si="8"/>
        <v/>
      </c>
    </row>
    <row r="87" spans="2:43">
      <c r="B87" s="139"/>
      <c r="C87" s="55">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0</v>
      </c>
      <c r="AF87" s="133">
        <f t="shared" si="17"/>
        <v>0</v>
      </c>
      <c r="AG87" s="133">
        <f t="shared" si="17"/>
        <v>0</v>
      </c>
      <c r="AH87" s="133">
        <f t="shared" si="17"/>
        <v>0</v>
      </c>
      <c r="AI87" s="133">
        <f t="shared" si="17"/>
        <v>0</v>
      </c>
      <c r="AJ87" s="55" t="str">
        <f t="shared" si="7"/>
        <v/>
      </c>
      <c r="AK87" s="68"/>
      <c r="AL87" s="68" t="str">
        <f t="shared" si="10"/>
        <v>00</v>
      </c>
      <c r="AM87" s="68" t="str">
        <f t="shared" si="11"/>
        <v>00</v>
      </c>
      <c r="AN87" s="68" t="str">
        <f t="shared" si="12"/>
        <v>00</v>
      </c>
      <c r="AO87" s="68" t="str">
        <f t="shared" si="13"/>
        <v>00</v>
      </c>
      <c r="AQ87" t="str">
        <f t="shared" si="8"/>
        <v/>
      </c>
    </row>
    <row r="88" spans="2:43">
      <c r="B88" s="139"/>
      <c r="C88" s="55">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0</v>
      </c>
      <c r="AF88" s="133">
        <f t="shared" si="17"/>
        <v>0</v>
      </c>
      <c r="AG88" s="133">
        <f t="shared" si="17"/>
        <v>0</v>
      </c>
      <c r="AH88" s="133">
        <f t="shared" si="17"/>
        <v>0</v>
      </c>
      <c r="AI88" s="133">
        <f t="shared" si="17"/>
        <v>0</v>
      </c>
      <c r="AJ88" s="55" t="str">
        <f t="shared" si="7"/>
        <v/>
      </c>
      <c r="AK88" s="68"/>
      <c r="AL88" s="68" t="str">
        <f t="shared" si="10"/>
        <v>00</v>
      </c>
      <c r="AM88" s="68" t="str">
        <f t="shared" si="11"/>
        <v>00</v>
      </c>
      <c r="AN88" s="68" t="str">
        <f t="shared" si="12"/>
        <v>00</v>
      </c>
      <c r="AO88" s="68" t="str">
        <f t="shared" si="13"/>
        <v>00</v>
      </c>
      <c r="AQ88" t="str">
        <f t="shared" si="8"/>
        <v/>
      </c>
    </row>
    <row r="89" spans="2:43">
      <c r="B89" s="139"/>
      <c r="C89" s="55">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0</v>
      </c>
      <c r="AF89" s="133">
        <f t="shared" si="17"/>
        <v>0</v>
      </c>
      <c r="AG89" s="133">
        <f t="shared" si="17"/>
        <v>0</v>
      </c>
      <c r="AH89" s="133">
        <f t="shared" si="17"/>
        <v>0</v>
      </c>
      <c r="AI89" s="133">
        <f t="shared" si="17"/>
        <v>0</v>
      </c>
      <c r="AJ89" s="55" t="str">
        <f t="shared" si="7"/>
        <v/>
      </c>
      <c r="AK89" s="68"/>
      <c r="AL89" s="68" t="str">
        <f t="shared" si="10"/>
        <v>00</v>
      </c>
      <c r="AM89" s="68" t="str">
        <f t="shared" si="11"/>
        <v>00</v>
      </c>
      <c r="AN89" s="68" t="str">
        <f t="shared" si="12"/>
        <v>00</v>
      </c>
      <c r="AO89" s="68" t="str">
        <f t="shared" si="13"/>
        <v>00</v>
      </c>
      <c r="AQ89" t="str">
        <f t="shared" si="8"/>
        <v/>
      </c>
    </row>
    <row r="90" spans="2:43">
      <c r="B90" s="139"/>
      <c r="C90" s="55">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0</v>
      </c>
      <c r="AF90" s="133">
        <f t="shared" si="17"/>
        <v>0</v>
      </c>
      <c r="AG90" s="133">
        <f t="shared" si="17"/>
        <v>0</v>
      </c>
      <c r="AH90" s="133">
        <f t="shared" si="17"/>
        <v>0</v>
      </c>
      <c r="AI90" s="133">
        <f t="shared" si="17"/>
        <v>0</v>
      </c>
      <c r="AJ90" s="55" t="str">
        <f t="shared" si="7"/>
        <v/>
      </c>
      <c r="AK90" s="68"/>
      <c r="AL90" s="68" t="str">
        <f t="shared" si="10"/>
        <v>00</v>
      </c>
      <c r="AM90" s="68" t="str">
        <f t="shared" si="11"/>
        <v>00</v>
      </c>
      <c r="AN90" s="68" t="str">
        <f t="shared" si="12"/>
        <v>00</v>
      </c>
      <c r="AO90" s="68" t="str">
        <f t="shared" si="13"/>
        <v>00</v>
      </c>
      <c r="AQ90" t="str">
        <f t="shared" si="8"/>
        <v/>
      </c>
    </row>
    <row r="91" spans="2:43">
      <c r="B91" s="139"/>
      <c r="C91" s="55">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0</v>
      </c>
      <c r="AF91" s="133">
        <f t="shared" si="17"/>
        <v>0</v>
      </c>
      <c r="AG91" s="133">
        <f t="shared" si="17"/>
        <v>0</v>
      </c>
      <c r="AH91" s="133">
        <f t="shared" si="17"/>
        <v>0</v>
      </c>
      <c r="AI91" s="133">
        <f t="shared" si="17"/>
        <v>0</v>
      </c>
      <c r="AJ91" s="55" t="str">
        <f t="shared" si="7"/>
        <v/>
      </c>
      <c r="AK91" s="68"/>
      <c r="AL91" s="68" t="str">
        <f t="shared" si="10"/>
        <v>00</v>
      </c>
      <c r="AM91" s="68" t="str">
        <f t="shared" si="11"/>
        <v>00</v>
      </c>
      <c r="AN91" s="68" t="str">
        <f t="shared" si="12"/>
        <v>00</v>
      </c>
      <c r="AO91" s="68" t="str">
        <f t="shared" si="13"/>
        <v>00</v>
      </c>
      <c r="AQ91" t="str">
        <f t="shared" si="8"/>
        <v/>
      </c>
    </row>
    <row r="92" spans="2:43">
      <c r="B92" s="139"/>
      <c r="C92" s="55">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0</v>
      </c>
      <c r="AF92" s="133">
        <f t="shared" si="17"/>
        <v>0</v>
      </c>
      <c r="AG92" s="133">
        <f t="shared" si="17"/>
        <v>0</v>
      </c>
      <c r="AH92" s="133">
        <f t="shared" si="17"/>
        <v>0</v>
      </c>
      <c r="AI92" s="133">
        <f t="shared" si="17"/>
        <v>0</v>
      </c>
      <c r="AJ92" s="55" t="str">
        <f t="shared" si="7"/>
        <v/>
      </c>
      <c r="AK92" s="68"/>
      <c r="AL92" s="68" t="str">
        <f t="shared" si="10"/>
        <v>00</v>
      </c>
      <c r="AM92" s="68" t="str">
        <f t="shared" si="11"/>
        <v>00</v>
      </c>
      <c r="AN92" s="68" t="str">
        <f t="shared" si="12"/>
        <v>00</v>
      </c>
      <c r="AO92" s="68" t="str">
        <f t="shared" si="13"/>
        <v>00</v>
      </c>
      <c r="AQ92" t="str">
        <f t="shared" si="8"/>
        <v/>
      </c>
    </row>
    <row r="93" spans="2:43">
      <c r="B93" s="139"/>
      <c r="C93" s="55">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0</v>
      </c>
      <c r="AF93" s="133">
        <f t="shared" si="17"/>
        <v>0</v>
      </c>
      <c r="AG93" s="133">
        <f t="shared" si="17"/>
        <v>0</v>
      </c>
      <c r="AH93" s="133">
        <f t="shared" si="17"/>
        <v>0</v>
      </c>
      <c r="AI93" s="133">
        <f t="shared" si="17"/>
        <v>0</v>
      </c>
      <c r="AJ93" s="55" t="str">
        <f t="shared" si="7"/>
        <v/>
      </c>
      <c r="AK93" s="68"/>
      <c r="AL93" s="68" t="str">
        <f t="shared" si="10"/>
        <v>00</v>
      </c>
      <c r="AM93" s="68" t="str">
        <f t="shared" si="11"/>
        <v>00</v>
      </c>
      <c r="AN93" s="68" t="str">
        <f t="shared" si="12"/>
        <v>00</v>
      </c>
      <c r="AO93" s="68" t="str">
        <f t="shared" si="13"/>
        <v>00</v>
      </c>
      <c r="AQ93" t="str">
        <f t="shared" si="8"/>
        <v/>
      </c>
    </row>
    <row r="94" spans="2:43">
      <c r="B94" s="139"/>
      <c r="C94" s="55">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0</v>
      </c>
      <c r="AF94" s="133">
        <f t="shared" si="17"/>
        <v>0</v>
      </c>
      <c r="AG94" s="133">
        <f t="shared" si="17"/>
        <v>0</v>
      </c>
      <c r="AH94" s="133">
        <f t="shared" si="17"/>
        <v>0</v>
      </c>
      <c r="AI94" s="133">
        <f t="shared" ref="AI94" si="18">IF(AI29=1,1,0)</f>
        <v>0</v>
      </c>
      <c r="AJ94" s="55" t="str">
        <f t="shared" si="7"/>
        <v/>
      </c>
      <c r="AK94" s="68"/>
      <c r="AL94" s="68" t="str">
        <f t="shared" si="10"/>
        <v>00</v>
      </c>
      <c r="AM94" s="68" t="str">
        <f t="shared" si="11"/>
        <v>00</v>
      </c>
      <c r="AN94" s="68" t="str">
        <f t="shared" si="12"/>
        <v>00</v>
      </c>
      <c r="AO94" s="68" t="str">
        <f t="shared" si="13"/>
        <v>00</v>
      </c>
      <c r="AQ94" t="str">
        <f t="shared" si="8"/>
        <v/>
      </c>
    </row>
    <row r="95" spans="2:43">
      <c r="B95" s="139"/>
      <c r="C95" s="55">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0</v>
      </c>
      <c r="AF95" s="133">
        <f t="shared" si="19"/>
        <v>0</v>
      </c>
      <c r="AG95" s="133">
        <f t="shared" si="19"/>
        <v>0</v>
      </c>
      <c r="AH95" s="133">
        <f t="shared" si="19"/>
        <v>0</v>
      </c>
      <c r="AI95" s="133">
        <f t="shared" si="19"/>
        <v>0</v>
      </c>
      <c r="AJ95" s="55" t="str">
        <f t="shared" si="7"/>
        <v/>
      </c>
      <c r="AK95" s="68"/>
      <c r="AL95" s="68" t="str">
        <f t="shared" si="10"/>
        <v>00</v>
      </c>
      <c r="AM95" s="68" t="str">
        <f t="shared" si="11"/>
        <v>00</v>
      </c>
      <c r="AN95" s="68" t="str">
        <f t="shared" si="12"/>
        <v>00</v>
      </c>
      <c r="AO95" s="68" t="str">
        <f t="shared" si="13"/>
        <v>00</v>
      </c>
      <c r="AQ95" t="str">
        <f t="shared" si="8"/>
        <v/>
      </c>
    </row>
    <row r="96" spans="2:43">
      <c r="B96" s="139"/>
      <c r="C96" s="55">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0</v>
      </c>
      <c r="AF96" s="133">
        <f t="shared" si="19"/>
        <v>0</v>
      </c>
      <c r="AG96" s="133">
        <f t="shared" si="19"/>
        <v>0</v>
      </c>
      <c r="AH96" s="133">
        <f t="shared" si="19"/>
        <v>0</v>
      </c>
      <c r="AI96" s="133">
        <f t="shared" si="19"/>
        <v>0</v>
      </c>
      <c r="AJ96" s="55" t="str">
        <f t="shared" si="7"/>
        <v/>
      </c>
      <c r="AK96" s="68"/>
      <c r="AL96" s="68" t="str">
        <f t="shared" si="10"/>
        <v>00</v>
      </c>
      <c r="AM96" s="68" t="str">
        <f t="shared" si="11"/>
        <v>00</v>
      </c>
      <c r="AN96" s="68" t="str">
        <f t="shared" si="12"/>
        <v>00</v>
      </c>
      <c r="AO96" s="68" t="str">
        <f t="shared" si="13"/>
        <v>00</v>
      </c>
      <c r="AQ96" t="str">
        <f t="shared" si="8"/>
        <v/>
      </c>
    </row>
    <row r="97" spans="2:43">
      <c r="B97" s="139"/>
      <c r="C97" s="55">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0</v>
      </c>
      <c r="AF97" s="133">
        <f t="shared" si="19"/>
        <v>0</v>
      </c>
      <c r="AG97" s="133">
        <f t="shared" si="19"/>
        <v>0</v>
      </c>
      <c r="AH97" s="133">
        <f t="shared" si="19"/>
        <v>0</v>
      </c>
      <c r="AI97" s="133">
        <f t="shared" si="19"/>
        <v>0</v>
      </c>
      <c r="AJ97" s="55" t="str">
        <f t="shared" si="7"/>
        <v/>
      </c>
      <c r="AK97" s="68"/>
      <c r="AL97" s="68" t="str">
        <f t="shared" si="10"/>
        <v>00</v>
      </c>
      <c r="AM97" s="68" t="str">
        <f t="shared" si="11"/>
        <v>00</v>
      </c>
      <c r="AN97" s="68" t="str">
        <f t="shared" si="12"/>
        <v>00</v>
      </c>
      <c r="AO97" s="68" t="str">
        <f t="shared" si="13"/>
        <v>00</v>
      </c>
      <c r="AQ97" t="str">
        <f t="shared" si="8"/>
        <v/>
      </c>
    </row>
    <row r="98" spans="2:43">
      <c r="B98" s="139"/>
      <c r="C98" s="55">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0</v>
      </c>
      <c r="AF98" s="133">
        <f t="shared" si="19"/>
        <v>0</v>
      </c>
      <c r="AG98" s="133">
        <f t="shared" si="19"/>
        <v>0</v>
      </c>
      <c r="AH98" s="133">
        <f t="shared" si="19"/>
        <v>0</v>
      </c>
      <c r="AI98" s="133">
        <f t="shared" si="19"/>
        <v>0</v>
      </c>
      <c r="AJ98" s="55" t="str">
        <f t="shared" si="7"/>
        <v/>
      </c>
      <c r="AK98" s="68"/>
      <c r="AL98" s="68" t="str">
        <f t="shared" si="10"/>
        <v>00</v>
      </c>
      <c r="AM98" s="68" t="str">
        <f t="shared" si="11"/>
        <v>00</v>
      </c>
      <c r="AN98" s="68" t="str">
        <f t="shared" si="12"/>
        <v>00</v>
      </c>
      <c r="AO98" s="68" t="str">
        <f t="shared" si="13"/>
        <v>00</v>
      </c>
      <c r="AQ98" t="str">
        <f t="shared" si="8"/>
        <v/>
      </c>
    </row>
    <row r="99" spans="2:43">
      <c r="B99" s="139"/>
      <c r="C99" s="55">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0</v>
      </c>
      <c r="AF99" s="133">
        <f t="shared" si="19"/>
        <v>0</v>
      </c>
      <c r="AG99" s="133">
        <f t="shared" si="19"/>
        <v>0</v>
      </c>
      <c r="AH99" s="133">
        <f t="shared" si="19"/>
        <v>0</v>
      </c>
      <c r="AI99" s="133">
        <f t="shared" si="19"/>
        <v>0</v>
      </c>
      <c r="AJ99" s="55" t="str">
        <f t="shared" si="7"/>
        <v/>
      </c>
      <c r="AK99" s="68"/>
      <c r="AL99" s="68" t="str">
        <f t="shared" si="10"/>
        <v>00</v>
      </c>
      <c r="AM99" s="68" t="str">
        <f t="shared" si="11"/>
        <v>00</v>
      </c>
      <c r="AN99" s="68" t="str">
        <f t="shared" si="12"/>
        <v>00</v>
      </c>
      <c r="AO99" s="68" t="str">
        <f t="shared" si="13"/>
        <v>00</v>
      </c>
      <c r="AQ99" t="str">
        <f t="shared" si="8"/>
        <v/>
      </c>
    </row>
    <row r="100" spans="2:43">
      <c r="B100" s="139"/>
      <c r="C100" s="55">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0</v>
      </c>
      <c r="AF100" s="133">
        <f t="shared" si="19"/>
        <v>0</v>
      </c>
      <c r="AG100" s="133">
        <f t="shared" si="19"/>
        <v>0</v>
      </c>
      <c r="AH100" s="133">
        <f t="shared" si="19"/>
        <v>0</v>
      </c>
      <c r="AI100" s="133">
        <f t="shared" si="19"/>
        <v>0</v>
      </c>
      <c r="AJ100" s="55" t="str">
        <f t="shared" si="7"/>
        <v/>
      </c>
      <c r="AK100" s="68"/>
      <c r="AL100" s="68" t="str">
        <f t="shared" si="10"/>
        <v>00</v>
      </c>
      <c r="AM100" s="68" t="str">
        <f t="shared" si="11"/>
        <v>00</v>
      </c>
      <c r="AN100" s="68" t="str">
        <f t="shared" si="12"/>
        <v>00</v>
      </c>
      <c r="AO100" s="68" t="str">
        <f t="shared" si="13"/>
        <v>00</v>
      </c>
      <c r="AQ100" t="str">
        <f t="shared" si="8"/>
        <v/>
      </c>
    </row>
    <row r="101" spans="2:43">
      <c r="B101" s="139"/>
      <c r="C101" s="55">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0</v>
      </c>
      <c r="AF101" s="133">
        <f t="shared" si="19"/>
        <v>0</v>
      </c>
      <c r="AG101" s="133">
        <f t="shared" si="19"/>
        <v>0</v>
      </c>
      <c r="AH101" s="133">
        <f t="shared" si="19"/>
        <v>0</v>
      </c>
      <c r="AI101" s="133">
        <f t="shared" si="19"/>
        <v>0</v>
      </c>
      <c r="AJ101" s="55" t="str">
        <f t="shared" si="7"/>
        <v/>
      </c>
      <c r="AK101" s="68"/>
      <c r="AL101" s="68" t="str">
        <f t="shared" si="10"/>
        <v>00</v>
      </c>
      <c r="AM101" s="68" t="str">
        <f t="shared" si="11"/>
        <v>00</v>
      </c>
      <c r="AN101" s="68" t="str">
        <f t="shared" si="12"/>
        <v>00</v>
      </c>
      <c r="AO101" s="68" t="str">
        <f t="shared" si="13"/>
        <v>00</v>
      </c>
      <c r="AQ101" t="str">
        <f t="shared" si="8"/>
        <v/>
      </c>
    </row>
    <row r="102" spans="2:43">
      <c r="B102" s="139"/>
      <c r="C102" s="55">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0</v>
      </c>
      <c r="AF102" s="133">
        <f t="shared" si="19"/>
        <v>0</v>
      </c>
      <c r="AG102" s="133">
        <f t="shared" si="19"/>
        <v>0</v>
      </c>
      <c r="AH102" s="133">
        <f t="shared" si="19"/>
        <v>0</v>
      </c>
      <c r="AI102" s="133">
        <f t="shared" ref="AI102" si="20">IF(AI37=1,1,0)</f>
        <v>0</v>
      </c>
      <c r="AJ102" s="55" t="str">
        <f t="shared" si="7"/>
        <v/>
      </c>
      <c r="AK102" s="68"/>
      <c r="AL102" s="68" t="str">
        <f t="shared" si="10"/>
        <v>00</v>
      </c>
      <c r="AM102" s="68" t="str">
        <f t="shared" si="11"/>
        <v>00</v>
      </c>
      <c r="AN102" s="68" t="str">
        <f t="shared" si="12"/>
        <v>00</v>
      </c>
      <c r="AO102" s="68" t="str">
        <f t="shared" si="13"/>
        <v>00</v>
      </c>
      <c r="AQ102" t="str">
        <f t="shared" si="8"/>
        <v/>
      </c>
    </row>
    <row r="103" spans="2:43">
      <c r="B103" s="139"/>
      <c r="C103" s="55">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0</v>
      </c>
      <c r="AE103" s="133">
        <f t="shared" si="21"/>
        <v>0</v>
      </c>
      <c r="AF103" s="133">
        <f t="shared" si="21"/>
        <v>0</v>
      </c>
      <c r="AG103" s="133">
        <f t="shared" si="21"/>
        <v>0</v>
      </c>
      <c r="AH103" s="133">
        <f t="shared" si="21"/>
        <v>0</v>
      </c>
      <c r="AI103" s="133">
        <f t="shared" si="21"/>
        <v>0</v>
      </c>
      <c r="AJ103" s="55" t="str">
        <f t="shared" si="7"/>
        <v/>
      </c>
      <c r="AK103" s="68"/>
      <c r="AL103" s="68" t="str">
        <f t="shared" si="10"/>
        <v>00</v>
      </c>
      <c r="AM103" s="68" t="str">
        <f t="shared" si="11"/>
        <v>00</v>
      </c>
      <c r="AN103" s="68" t="str">
        <f t="shared" si="12"/>
        <v>00</v>
      </c>
      <c r="AO103" s="68" t="str">
        <f t="shared" si="13"/>
        <v>00</v>
      </c>
      <c r="AQ103" t="str">
        <f t="shared" si="8"/>
        <v/>
      </c>
    </row>
    <row r="104" spans="2:43">
      <c r="B104" s="139"/>
      <c r="C104" s="55">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0</v>
      </c>
      <c r="AE104" s="133">
        <f t="shared" si="21"/>
        <v>0</v>
      </c>
      <c r="AF104" s="133">
        <f t="shared" si="21"/>
        <v>0</v>
      </c>
      <c r="AG104" s="133">
        <f t="shared" si="21"/>
        <v>0</v>
      </c>
      <c r="AH104" s="133">
        <f t="shared" si="21"/>
        <v>0</v>
      </c>
      <c r="AI104" s="133">
        <f t="shared" si="21"/>
        <v>0</v>
      </c>
      <c r="AJ104" s="55" t="str">
        <f t="shared" si="7"/>
        <v/>
      </c>
      <c r="AK104" s="68"/>
      <c r="AL104" s="68" t="str">
        <f t="shared" si="10"/>
        <v>00</v>
      </c>
      <c r="AM104" s="68" t="str">
        <f t="shared" si="11"/>
        <v>00</v>
      </c>
      <c r="AN104" s="68" t="str">
        <f t="shared" si="12"/>
        <v>00</v>
      </c>
      <c r="AO104" s="68" t="str">
        <f t="shared" si="13"/>
        <v>00</v>
      </c>
      <c r="AQ104" t="str">
        <f t="shared" si="8"/>
        <v/>
      </c>
    </row>
    <row r="105" spans="2:43">
      <c r="B105" s="139"/>
      <c r="C105" s="55">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0</v>
      </c>
      <c r="AE105" s="133">
        <f t="shared" si="21"/>
        <v>0</v>
      </c>
      <c r="AF105" s="133">
        <f t="shared" si="21"/>
        <v>0</v>
      </c>
      <c r="AG105" s="133">
        <f t="shared" si="21"/>
        <v>0</v>
      </c>
      <c r="AH105" s="133">
        <f t="shared" si="21"/>
        <v>0</v>
      </c>
      <c r="AI105" s="133">
        <f t="shared" si="21"/>
        <v>0</v>
      </c>
      <c r="AJ105" s="55" t="str">
        <f t="shared" si="7"/>
        <v/>
      </c>
      <c r="AK105" s="68"/>
      <c r="AL105" s="68" t="str">
        <f t="shared" si="10"/>
        <v>00</v>
      </c>
      <c r="AM105" s="68" t="str">
        <f t="shared" si="11"/>
        <v>00</v>
      </c>
      <c r="AN105" s="68" t="str">
        <f t="shared" si="12"/>
        <v>00</v>
      </c>
      <c r="AO105" s="68" t="str">
        <f t="shared" si="13"/>
        <v>00</v>
      </c>
      <c r="AQ105" t="str">
        <f t="shared" si="8"/>
        <v/>
      </c>
    </row>
    <row r="106" spans="2:43">
      <c r="B106" s="139"/>
      <c r="C106" s="55">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0</v>
      </c>
      <c r="AE106" s="133">
        <f t="shared" si="21"/>
        <v>0</v>
      </c>
      <c r="AF106" s="133">
        <f t="shared" si="21"/>
        <v>0</v>
      </c>
      <c r="AG106" s="133">
        <f t="shared" si="21"/>
        <v>0</v>
      </c>
      <c r="AH106" s="133">
        <f t="shared" si="21"/>
        <v>0</v>
      </c>
      <c r="AI106" s="133">
        <f t="shared" si="21"/>
        <v>0</v>
      </c>
      <c r="AJ106" s="55" t="str">
        <f t="shared" si="7"/>
        <v/>
      </c>
      <c r="AK106" s="68"/>
      <c r="AL106" s="68" t="str">
        <f t="shared" si="10"/>
        <v>00</v>
      </c>
      <c r="AM106" s="68" t="str">
        <f t="shared" si="11"/>
        <v>00</v>
      </c>
      <c r="AN106" s="68" t="str">
        <f t="shared" si="12"/>
        <v>00</v>
      </c>
      <c r="AO106" s="68" t="str">
        <f t="shared" si="13"/>
        <v>00</v>
      </c>
      <c r="AQ106" t="str">
        <f t="shared" si="8"/>
        <v/>
      </c>
    </row>
    <row r="107" spans="2:43">
      <c r="B107" s="139"/>
      <c r="C107" s="55">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0</v>
      </c>
      <c r="AE107" s="133">
        <f t="shared" si="21"/>
        <v>0</v>
      </c>
      <c r="AF107" s="133">
        <f t="shared" si="21"/>
        <v>0</v>
      </c>
      <c r="AG107" s="133">
        <f t="shared" si="21"/>
        <v>0</v>
      </c>
      <c r="AH107" s="133">
        <f t="shared" si="21"/>
        <v>0</v>
      </c>
      <c r="AI107" s="133">
        <f t="shared" si="21"/>
        <v>0</v>
      </c>
      <c r="AJ107" s="55" t="str">
        <f t="shared" si="7"/>
        <v/>
      </c>
      <c r="AK107" s="68"/>
      <c r="AL107" s="68" t="str">
        <f t="shared" si="10"/>
        <v>00</v>
      </c>
      <c r="AM107" s="68" t="str">
        <f t="shared" si="11"/>
        <v>00</v>
      </c>
      <c r="AN107" s="68" t="str">
        <f t="shared" si="12"/>
        <v>00</v>
      </c>
      <c r="AO107" s="68" t="str">
        <f t="shared" si="13"/>
        <v>00</v>
      </c>
      <c r="AQ107" t="str">
        <f t="shared" si="8"/>
        <v/>
      </c>
    </row>
    <row r="108" spans="2:43">
      <c r="B108" s="139"/>
      <c r="C108" s="55">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0</v>
      </c>
      <c r="AE108" s="133">
        <f t="shared" si="21"/>
        <v>0</v>
      </c>
      <c r="AF108" s="133">
        <f t="shared" si="21"/>
        <v>0</v>
      </c>
      <c r="AG108" s="133">
        <f t="shared" si="21"/>
        <v>0</v>
      </c>
      <c r="AH108" s="133">
        <f t="shared" si="21"/>
        <v>0</v>
      </c>
      <c r="AI108" s="133">
        <f t="shared" si="21"/>
        <v>0</v>
      </c>
      <c r="AJ108" s="55" t="str">
        <f t="shared" si="7"/>
        <v/>
      </c>
      <c r="AK108" s="68"/>
      <c r="AL108" s="68" t="str">
        <f t="shared" si="10"/>
        <v>00</v>
      </c>
      <c r="AM108" s="68" t="str">
        <f t="shared" si="11"/>
        <v>00</v>
      </c>
      <c r="AN108" s="68" t="str">
        <f t="shared" si="12"/>
        <v>00</v>
      </c>
      <c r="AO108" s="68" t="str">
        <f t="shared" si="13"/>
        <v>00</v>
      </c>
      <c r="AQ108" t="str">
        <f t="shared" si="8"/>
        <v/>
      </c>
    </row>
    <row r="109" spans="2:43">
      <c r="B109" s="139"/>
      <c r="C109" s="55">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0</v>
      </c>
      <c r="AE109" s="133">
        <f t="shared" si="21"/>
        <v>0</v>
      </c>
      <c r="AF109" s="133">
        <f t="shared" si="21"/>
        <v>0</v>
      </c>
      <c r="AG109" s="133">
        <f t="shared" si="21"/>
        <v>0</v>
      </c>
      <c r="AH109" s="133">
        <f t="shared" si="21"/>
        <v>0</v>
      </c>
      <c r="AI109" s="133">
        <f t="shared" si="21"/>
        <v>0</v>
      </c>
      <c r="AJ109" s="55" t="str">
        <f t="shared" si="7"/>
        <v/>
      </c>
      <c r="AK109" s="68"/>
      <c r="AL109" s="68" t="str">
        <f t="shared" si="10"/>
        <v>00</v>
      </c>
      <c r="AM109" s="68" t="str">
        <f t="shared" si="11"/>
        <v>00</v>
      </c>
      <c r="AN109" s="68" t="str">
        <f t="shared" si="12"/>
        <v>00</v>
      </c>
      <c r="AO109" s="68" t="str">
        <f t="shared" si="13"/>
        <v>00</v>
      </c>
      <c r="AQ109" t="str">
        <f t="shared" si="8"/>
        <v/>
      </c>
    </row>
    <row r="110" spans="2:43">
      <c r="B110" s="139"/>
      <c r="C110" s="55">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0</v>
      </c>
      <c r="AE110" s="133">
        <f t="shared" si="21"/>
        <v>0</v>
      </c>
      <c r="AF110" s="133">
        <f t="shared" si="21"/>
        <v>0</v>
      </c>
      <c r="AG110" s="133">
        <f t="shared" si="21"/>
        <v>0</v>
      </c>
      <c r="AH110" s="133">
        <f t="shared" si="21"/>
        <v>0</v>
      </c>
      <c r="AI110" s="133">
        <f t="shared" ref="AI110" si="22">IF(AI45=1,1,0)</f>
        <v>0</v>
      </c>
      <c r="AJ110" s="55" t="str">
        <f t="shared" si="7"/>
        <v/>
      </c>
      <c r="AK110" s="68"/>
      <c r="AL110" s="68" t="str">
        <f t="shared" si="10"/>
        <v>00</v>
      </c>
      <c r="AM110" s="68" t="str">
        <f t="shared" si="11"/>
        <v>00</v>
      </c>
      <c r="AN110" s="68" t="str">
        <f t="shared" si="12"/>
        <v>00</v>
      </c>
      <c r="AO110" s="68" t="str">
        <f t="shared" si="13"/>
        <v>00</v>
      </c>
      <c r="AQ110" t="str">
        <f t="shared" si="8"/>
        <v/>
      </c>
    </row>
    <row r="111" spans="2:43">
      <c r="B111" s="139"/>
      <c r="C111" s="55">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0</v>
      </c>
      <c r="AE111" s="133">
        <f t="shared" si="23"/>
        <v>0</v>
      </c>
      <c r="AF111" s="133">
        <f t="shared" si="23"/>
        <v>0</v>
      </c>
      <c r="AG111" s="133">
        <f t="shared" si="23"/>
        <v>0</v>
      </c>
      <c r="AH111" s="133">
        <f t="shared" si="23"/>
        <v>0</v>
      </c>
      <c r="AI111" s="133">
        <f t="shared" si="23"/>
        <v>0</v>
      </c>
      <c r="AJ111" s="55" t="str">
        <f t="shared" si="7"/>
        <v/>
      </c>
      <c r="AK111" s="68"/>
      <c r="AL111" s="68" t="str">
        <f t="shared" si="10"/>
        <v>00</v>
      </c>
      <c r="AM111" s="68" t="str">
        <f t="shared" si="11"/>
        <v>00</v>
      </c>
      <c r="AN111" s="68" t="str">
        <f t="shared" si="12"/>
        <v>00</v>
      </c>
      <c r="AO111" s="68" t="str">
        <f t="shared" si="13"/>
        <v>00</v>
      </c>
      <c r="AQ111" t="str">
        <f t="shared" si="8"/>
        <v/>
      </c>
    </row>
    <row r="112" spans="2:43">
      <c r="B112" s="139"/>
      <c r="C112" s="55">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0</v>
      </c>
      <c r="AE112" s="133">
        <f t="shared" si="23"/>
        <v>0</v>
      </c>
      <c r="AF112" s="133">
        <f t="shared" si="23"/>
        <v>0</v>
      </c>
      <c r="AG112" s="133">
        <f t="shared" si="23"/>
        <v>0</v>
      </c>
      <c r="AH112" s="133">
        <f t="shared" si="23"/>
        <v>0</v>
      </c>
      <c r="AI112" s="133">
        <f t="shared" si="23"/>
        <v>0</v>
      </c>
      <c r="AJ112" s="55" t="str">
        <f t="shared" si="7"/>
        <v/>
      </c>
      <c r="AK112" s="68"/>
      <c r="AL112" s="68" t="str">
        <f t="shared" si="10"/>
        <v>00</v>
      </c>
      <c r="AM112" s="68" t="str">
        <f t="shared" si="11"/>
        <v>00</v>
      </c>
      <c r="AN112" s="68" t="str">
        <f t="shared" si="12"/>
        <v>00</v>
      </c>
      <c r="AO112" s="68" t="str">
        <f t="shared" si="13"/>
        <v>00</v>
      </c>
      <c r="AQ112" t="str">
        <f t="shared" si="8"/>
        <v/>
      </c>
    </row>
    <row r="113" spans="2:43">
      <c r="B113" s="139"/>
      <c r="C113" s="55">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0</v>
      </c>
      <c r="AE113" s="133">
        <f t="shared" si="23"/>
        <v>0</v>
      </c>
      <c r="AF113" s="133">
        <f t="shared" si="23"/>
        <v>0</v>
      </c>
      <c r="AG113" s="133">
        <f t="shared" si="23"/>
        <v>0</v>
      </c>
      <c r="AH113" s="133">
        <f t="shared" si="23"/>
        <v>0</v>
      </c>
      <c r="AI113" s="133">
        <f t="shared" si="23"/>
        <v>0</v>
      </c>
      <c r="AJ113" s="55" t="str">
        <f t="shared" si="7"/>
        <v/>
      </c>
      <c r="AK113" s="68"/>
      <c r="AL113" s="68" t="str">
        <f t="shared" si="10"/>
        <v>00</v>
      </c>
      <c r="AM113" s="68" t="str">
        <f t="shared" si="11"/>
        <v>00</v>
      </c>
      <c r="AN113" s="68" t="str">
        <f t="shared" si="12"/>
        <v>00</v>
      </c>
      <c r="AO113" s="68" t="str">
        <f t="shared" si="13"/>
        <v>00</v>
      </c>
      <c r="AQ113" t="str">
        <f t="shared" si="8"/>
        <v/>
      </c>
    </row>
    <row r="114" spans="2:43">
      <c r="B114" s="139"/>
      <c r="C114" s="55">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0</v>
      </c>
      <c r="AE114" s="133">
        <f t="shared" si="23"/>
        <v>0</v>
      </c>
      <c r="AF114" s="133">
        <f t="shared" si="23"/>
        <v>0</v>
      </c>
      <c r="AG114" s="133">
        <f t="shared" si="23"/>
        <v>0</v>
      </c>
      <c r="AH114" s="133">
        <f t="shared" si="23"/>
        <v>0</v>
      </c>
      <c r="AI114" s="133">
        <f t="shared" si="23"/>
        <v>0</v>
      </c>
      <c r="AJ114" s="55" t="str">
        <f t="shared" si="7"/>
        <v/>
      </c>
      <c r="AK114" s="68"/>
      <c r="AL114" s="68" t="str">
        <f t="shared" si="10"/>
        <v>00</v>
      </c>
      <c r="AM114" s="68" t="str">
        <f t="shared" si="11"/>
        <v>00</v>
      </c>
      <c r="AN114" s="68" t="str">
        <f t="shared" si="12"/>
        <v>00</v>
      </c>
      <c r="AO114" s="68" t="str">
        <f t="shared" si="13"/>
        <v>00</v>
      </c>
      <c r="AQ114" t="str">
        <f t="shared" si="8"/>
        <v/>
      </c>
    </row>
    <row r="115" spans="2:43">
      <c r="B115" s="139"/>
      <c r="C115" s="55">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0</v>
      </c>
      <c r="AE115" s="133">
        <f t="shared" si="23"/>
        <v>0</v>
      </c>
      <c r="AF115" s="133">
        <f t="shared" si="23"/>
        <v>0</v>
      </c>
      <c r="AG115" s="133">
        <f t="shared" si="23"/>
        <v>0</v>
      </c>
      <c r="AH115" s="133">
        <f t="shared" si="23"/>
        <v>0</v>
      </c>
      <c r="AI115" s="133">
        <f t="shared" si="23"/>
        <v>0</v>
      </c>
      <c r="AJ115" s="55" t="str">
        <f t="shared" si="7"/>
        <v/>
      </c>
      <c r="AK115" s="68"/>
      <c r="AL115" s="68" t="str">
        <f t="shared" si="10"/>
        <v>00</v>
      </c>
      <c r="AM115" s="68" t="str">
        <f t="shared" si="11"/>
        <v>00</v>
      </c>
      <c r="AN115" s="68" t="str">
        <f t="shared" si="12"/>
        <v>00</v>
      </c>
      <c r="AO115" s="68" t="str">
        <f t="shared" si="13"/>
        <v>00</v>
      </c>
      <c r="AQ115" t="str">
        <f t="shared" si="8"/>
        <v/>
      </c>
    </row>
    <row r="116" spans="2:43">
      <c r="B116" s="139"/>
      <c r="C116" s="55">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0</v>
      </c>
      <c r="AE116" s="133">
        <f t="shared" si="23"/>
        <v>0</v>
      </c>
      <c r="AF116" s="133">
        <f t="shared" si="23"/>
        <v>0</v>
      </c>
      <c r="AG116" s="133">
        <f t="shared" si="23"/>
        <v>0</v>
      </c>
      <c r="AH116" s="133">
        <f t="shared" si="23"/>
        <v>0</v>
      </c>
      <c r="AI116" s="133">
        <f t="shared" si="23"/>
        <v>0</v>
      </c>
      <c r="AJ116" s="55" t="str">
        <f t="shared" si="7"/>
        <v/>
      </c>
      <c r="AK116" s="68"/>
      <c r="AL116" s="68" t="str">
        <f t="shared" si="10"/>
        <v>00</v>
      </c>
      <c r="AM116" s="68" t="str">
        <f t="shared" si="11"/>
        <v>00</v>
      </c>
      <c r="AN116" s="68" t="str">
        <f t="shared" si="12"/>
        <v>00</v>
      </c>
      <c r="AO116" s="68" t="str">
        <f t="shared" si="13"/>
        <v>00</v>
      </c>
      <c r="AQ116" t="str">
        <f t="shared" si="8"/>
        <v/>
      </c>
    </row>
    <row r="117" spans="2:43">
      <c r="B117" s="139"/>
      <c r="C117" s="55">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0</v>
      </c>
      <c r="AE117" s="133">
        <f t="shared" si="23"/>
        <v>0</v>
      </c>
      <c r="AF117" s="133">
        <f t="shared" si="23"/>
        <v>0</v>
      </c>
      <c r="AG117" s="133">
        <f t="shared" si="23"/>
        <v>0</v>
      </c>
      <c r="AH117" s="133">
        <f t="shared" si="23"/>
        <v>0</v>
      </c>
      <c r="AI117" s="133">
        <f t="shared" si="23"/>
        <v>0</v>
      </c>
      <c r="AJ117" s="55" t="str">
        <f t="shared" si="7"/>
        <v/>
      </c>
      <c r="AK117" s="68"/>
      <c r="AL117" s="68" t="str">
        <f t="shared" si="10"/>
        <v>00</v>
      </c>
      <c r="AM117" s="68" t="str">
        <f t="shared" si="11"/>
        <v>00</v>
      </c>
      <c r="AN117" s="68" t="str">
        <f t="shared" si="12"/>
        <v>00</v>
      </c>
      <c r="AO117" s="68" t="str">
        <f t="shared" si="13"/>
        <v>00</v>
      </c>
      <c r="AQ117" t="str">
        <f t="shared" si="8"/>
        <v/>
      </c>
    </row>
    <row r="118" spans="2:43">
      <c r="B118" s="139"/>
      <c r="C118" s="55">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0</v>
      </c>
      <c r="AE118" s="133">
        <f t="shared" si="23"/>
        <v>0</v>
      </c>
      <c r="AF118" s="133">
        <f t="shared" si="23"/>
        <v>0</v>
      </c>
      <c r="AG118" s="133">
        <f t="shared" si="23"/>
        <v>0</v>
      </c>
      <c r="AH118" s="133">
        <f t="shared" si="23"/>
        <v>0</v>
      </c>
      <c r="AI118" s="133">
        <f t="shared" ref="AI118" si="24">IF(AI53=1,1,0)</f>
        <v>0</v>
      </c>
      <c r="AJ118" s="55" t="str">
        <f t="shared" si="7"/>
        <v/>
      </c>
      <c r="AK118" s="68"/>
      <c r="AL118" s="68" t="str">
        <f t="shared" si="10"/>
        <v>00</v>
      </c>
      <c r="AM118" s="68" t="str">
        <f t="shared" si="11"/>
        <v>00</v>
      </c>
      <c r="AN118" s="68" t="str">
        <f t="shared" si="12"/>
        <v>00</v>
      </c>
      <c r="AO118" s="68" t="str">
        <f t="shared" si="13"/>
        <v>00</v>
      </c>
      <c r="AQ118" t="str">
        <f t="shared" si="8"/>
        <v/>
      </c>
    </row>
    <row r="119" spans="2:43">
      <c r="B119" s="139"/>
      <c r="C119" s="55">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0</v>
      </c>
      <c r="AE119" s="133">
        <f t="shared" si="25"/>
        <v>0</v>
      </c>
      <c r="AF119" s="133">
        <f t="shared" si="25"/>
        <v>0</v>
      </c>
      <c r="AG119" s="133">
        <f t="shared" si="25"/>
        <v>0</v>
      </c>
      <c r="AH119" s="133">
        <f t="shared" si="25"/>
        <v>0</v>
      </c>
      <c r="AI119" s="133">
        <f t="shared" si="25"/>
        <v>0</v>
      </c>
      <c r="AJ119" s="55" t="str">
        <f t="shared" si="7"/>
        <v/>
      </c>
      <c r="AK119" s="68"/>
      <c r="AL119" s="68" t="str">
        <f t="shared" si="10"/>
        <v>00</v>
      </c>
      <c r="AM119" s="68" t="str">
        <f t="shared" si="11"/>
        <v>00</v>
      </c>
      <c r="AN119" s="68" t="str">
        <f t="shared" si="12"/>
        <v>00</v>
      </c>
      <c r="AO119" s="68" t="str">
        <f t="shared" si="13"/>
        <v>00</v>
      </c>
      <c r="AQ119" t="str">
        <f t="shared" si="8"/>
        <v/>
      </c>
    </row>
    <row r="120" spans="2:43">
      <c r="B120" s="139"/>
      <c r="C120" s="55">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0</v>
      </c>
      <c r="AE120" s="133">
        <f t="shared" si="25"/>
        <v>0</v>
      </c>
      <c r="AF120" s="133">
        <f t="shared" si="25"/>
        <v>0</v>
      </c>
      <c r="AG120" s="133">
        <f t="shared" si="25"/>
        <v>0</v>
      </c>
      <c r="AH120" s="133">
        <f t="shared" si="25"/>
        <v>0</v>
      </c>
      <c r="AI120" s="133">
        <f t="shared" si="25"/>
        <v>0</v>
      </c>
      <c r="AJ120" s="55" t="str">
        <f t="shared" si="7"/>
        <v/>
      </c>
      <c r="AK120" s="68"/>
      <c r="AL120" s="68" t="str">
        <f t="shared" si="10"/>
        <v>00</v>
      </c>
      <c r="AM120" s="68" t="str">
        <f t="shared" si="11"/>
        <v>00</v>
      </c>
      <c r="AN120" s="68" t="str">
        <f t="shared" si="12"/>
        <v>00</v>
      </c>
      <c r="AO120" s="68" t="str">
        <f t="shared" si="13"/>
        <v>00</v>
      </c>
      <c r="AQ120" t="str">
        <f t="shared" si="8"/>
        <v/>
      </c>
    </row>
    <row r="121" spans="2:43">
      <c r="B121" s="139"/>
      <c r="C121" s="55">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0</v>
      </c>
      <c r="AE121" s="133">
        <f t="shared" si="25"/>
        <v>0</v>
      </c>
      <c r="AF121" s="133">
        <f t="shared" si="25"/>
        <v>0</v>
      </c>
      <c r="AG121" s="133">
        <f t="shared" si="25"/>
        <v>0</v>
      </c>
      <c r="AH121" s="133">
        <f t="shared" si="25"/>
        <v>0</v>
      </c>
      <c r="AI121" s="133">
        <f t="shared" si="25"/>
        <v>0</v>
      </c>
      <c r="AJ121" s="55" t="str">
        <f t="shared" si="7"/>
        <v/>
      </c>
      <c r="AK121" s="68"/>
      <c r="AL121" s="68" t="str">
        <f t="shared" si="10"/>
        <v>00</v>
      </c>
      <c r="AM121" s="68" t="str">
        <f t="shared" si="11"/>
        <v>00</v>
      </c>
      <c r="AN121" s="68" t="str">
        <f t="shared" si="12"/>
        <v>00</v>
      </c>
      <c r="AO121" s="68" t="str">
        <f t="shared" si="13"/>
        <v>00</v>
      </c>
      <c r="AQ121" t="str">
        <f t="shared" si="8"/>
        <v/>
      </c>
    </row>
    <row r="122" spans="2:43">
      <c r="B122" s="139"/>
      <c r="C122" s="55">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0</v>
      </c>
      <c r="AE122" s="133">
        <f t="shared" si="25"/>
        <v>0</v>
      </c>
      <c r="AF122" s="133">
        <f t="shared" si="25"/>
        <v>0</v>
      </c>
      <c r="AG122" s="133">
        <f t="shared" si="25"/>
        <v>0</v>
      </c>
      <c r="AH122" s="133">
        <f t="shared" si="25"/>
        <v>0</v>
      </c>
      <c r="AI122" s="133">
        <f t="shared" si="25"/>
        <v>0</v>
      </c>
      <c r="AJ122" s="55" t="str">
        <f t="shared" si="7"/>
        <v/>
      </c>
      <c r="AK122" s="68"/>
      <c r="AL122" s="68" t="str">
        <f t="shared" si="10"/>
        <v>00</v>
      </c>
      <c r="AM122" s="68" t="str">
        <f t="shared" si="11"/>
        <v>00</v>
      </c>
      <c r="AN122" s="68" t="str">
        <f t="shared" si="12"/>
        <v>00</v>
      </c>
      <c r="AO122" s="68" t="str">
        <f t="shared" si="13"/>
        <v>00</v>
      </c>
      <c r="AQ122" t="str">
        <f t="shared" si="8"/>
        <v/>
      </c>
    </row>
    <row r="123" spans="2:43">
      <c r="B123" s="139"/>
      <c r="C123" s="55">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0</v>
      </c>
      <c r="AE123" s="133">
        <f t="shared" si="25"/>
        <v>0</v>
      </c>
      <c r="AF123" s="133">
        <f t="shared" si="25"/>
        <v>0</v>
      </c>
      <c r="AG123" s="133">
        <f t="shared" si="25"/>
        <v>0</v>
      </c>
      <c r="AH123" s="133">
        <f t="shared" si="25"/>
        <v>0</v>
      </c>
      <c r="AI123" s="133">
        <f t="shared" si="25"/>
        <v>0</v>
      </c>
      <c r="AJ123" s="55" t="str">
        <f t="shared" si="7"/>
        <v/>
      </c>
      <c r="AK123" s="68"/>
      <c r="AL123" s="68" t="str">
        <f t="shared" si="10"/>
        <v>00</v>
      </c>
      <c r="AM123" s="68" t="str">
        <f t="shared" si="11"/>
        <v>00</v>
      </c>
      <c r="AN123" s="68" t="str">
        <f t="shared" si="12"/>
        <v>00</v>
      </c>
      <c r="AO123" s="68" t="str">
        <f t="shared" si="13"/>
        <v>00</v>
      </c>
      <c r="AQ123" t="str">
        <f t="shared" si="8"/>
        <v/>
      </c>
    </row>
    <row r="124" spans="2:43">
      <c r="B124" s="139"/>
      <c r="C124" s="55">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0</v>
      </c>
      <c r="AE124" s="133">
        <f t="shared" si="25"/>
        <v>0</v>
      </c>
      <c r="AF124" s="133">
        <f t="shared" si="25"/>
        <v>0</v>
      </c>
      <c r="AG124" s="133">
        <f t="shared" si="25"/>
        <v>0</v>
      </c>
      <c r="AH124" s="133">
        <f t="shared" si="25"/>
        <v>0</v>
      </c>
      <c r="AI124" s="133">
        <f t="shared" si="25"/>
        <v>0</v>
      </c>
      <c r="AJ124" s="55" t="str">
        <f t="shared" si="7"/>
        <v/>
      </c>
      <c r="AK124" s="68"/>
      <c r="AL124" s="68" t="str">
        <f t="shared" si="10"/>
        <v>00</v>
      </c>
      <c r="AM124" s="68" t="str">
        <f t="shared" si="11"/>
        <v>00</v>
      </c>
      <c r="AN124" s="68" t="str">
        <f t="shared" si="12"/>
        <v>00</v>
      </c>
      <c r="AO124" s="68" t="str">
        <f t="shared" si="13"/>
        <v>00</v>
      </c>
      <c r="AQ124" t="str">
        <f t="shared" si="8"/>
        <v/>
      </c>
    </row>
    <row r="125" spans="2:43">
      <c r="B125" s="139"/>
      <c r="C125" s="55">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0</v>
      </c>
      <c r="AE125" s="133">
        <f t="shared" si="25"/>
        <v>0</v>
      </c>
      <c r="AF125" s="133">
        <f t="shared" si="25"/>
        <v>0</v>
      </c>
      <c r="AG125" s="133">
        <f t="shared" si="25"/>
        <v>0</v>
      </c>
      <c r="AH125" s="133">
        <f t="shared" si="25"/>
        <v>0</v>
      </c>
      <c r="AI125" s="133">
        <f t="shared" si="25"/>
        <v>0</v>
      </c>
      <c r="AJ125" s="55" t="str">
        <f t="shared" si="7"/>
        <v/>
      </c>
      <c r="AK125" s="68"/>
      <c r="AL125" s="68" t="str">
        <f t="shared" si="10"/>
        <v>00</v>
      </c>
      <c r="AM125" s="68" t="str">
        <f t="shared" si="11"/>
        <v>00</v>
      </c>
      <c r="AN125" s="68" t="str">
        <f t="shared" si="12"/>
        <v>00</v>
      </c>
      <c r="AO125" s="68" t="str">
        <f t="shared" si="13"/>
        <v>00</v>
      </c>
      <c r="AQ125" t="str">
        <f t="shared" si="8"/>
        <v/>
      </c>
    </row>
    <row r="126" spans="2:43">
      <c r="B126" s="139"/>
      <c r="C126" s="55">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0</v>
      </c>
      <c r="AE126" s="133">
        <f t="shared" si="25"/>
        <v>0</v>
      </c>
      <c r="AF126" s="133">
        <f t="shared" si="25"/>
        <v>0</v>
      </c>
      <c r="AG126" s="133">
        <f t="shared" si="25"/>
        <v>0</v>
      </c>
      <c r="AH126" s="133">
        <f t="shared" si="25"/>
        <v>0</v>
      </c>
      <c r="AI126" s="133">
        <f t="shared" ref="AI126" si="26">IF(AI61=1,1,0)</f>
        <v>0</v>
      </c>
      <c r="AJ126" s="55" t="str">
        <f t="shared" si="7"/>
        <v/>
      </c>
      <c r="AK126" s="68"/>
      <c r="AL126" s="68" t="str">
        <f t="shared" si="10"/>
        <v>00</v>
      </c>
      <c r="AM126" s="68" t="str">
        <f t="shared" si="11"/>
        <v>00</v>
      </c>
      <c r="AN126" s="68" t="str">
        <f t="shared" si="12"/>
        <v>00</v>
      </c>
      <c r="AO126" s="68" t="str">
        <f t="shared" si="13"/>
        <v>00</v>
      </c>
      <c r="AQ126" t="str">
        <f t="shared" si="8"/>
        <v/>
      </c>
    </row>
    <row r="127" spans="2:43">
      <c r="B127" s="139"/>
      <c r="C127" s="55">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0</v>
      </c>
      <c r="AE127" s="133">
        <f t="shared" si="27"/>
        <v>0</v>
      </c>
      <c r="AF127" s="133">
        <f t="shared" si="27"/>
        <v>0</v>
      </c>
      <c r="AG127" s="133">
        <f t="shared" si="27"/>
        <v>0</v>
      </c>
      <c r="AH127" s="133">
        <f t="shared" si="27"/>
        <v>0</v>
      </c>
      <c r="AI127" s="133">
        <f t="shared" si="27"/>
        <v>0</v>
      </c>
      <c r="AJ127" s="55" t="str">
        <f t="shared" si="7"/>
        <v/>
      </c>
      <c r="AK127" s="68"/>
      <c r="AL127" s="68" t="str">
        <f t="shared" si="10"/>
        <v>00</v>
      </c>
      <c r="AM127" s="68" t="str">
        <f t="shared" si="11"/>
        <v>00</v>
      </c>
      <c r="AN127" s="68" t="str">
        <f t="shared" si="12"/>
        <v>00</v>
      </c>
      <c r="AO127" s="68" t="str">
        <f t="shared" si="13"/>
        <v>00</v>
      </c>
      <c r="AQ127" t="str">
        <f t="shared" si="8"/>
        <v/>
      </c>
    </row>
    <row r="128" spans="2:43">
      <c r="B128" s="139"/>
      <c r="C128" s="55">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0</v>
      </c>
      <c r="AE128" s="133">
        <f t="shared" si="27"/>
        <v>0</v>
      </c>
      <c r="AF128" s="133">
        <f t="shared" si="27"/>
        <v>0</v>
      </c>
      <c r="AG128" s="133">
        <f t="shared" si="27"/>
        <v>0</v>
      </c>
      <c r="AH128" s="133">
        <f t="shared" si="27"/>
        <v>0</v>
      </c>
      <c r="AI128" s="133">
        <f t="shared" si="27"/>
        <v>0</v>
      </c>
      <c r="AJ128" s="55" t="str">
        <f t="shared" si="7"/>
        <v/>
      </c>
      <c r="AK128" s="68"/>
      <c r="AL128" s="68" t="str">
        <f t="shared" si="10"/>
        <v>00</v>
      </c>
      <c r="AM128" s="68" t="str">
        <f t="shared" si="11"/>
        <v>00</v>
      </c>
      <c r="AN128" s="68" t="str">
        <f t="shared" si="12"/>
        <v>00</v>
      </c>
      <c r="AO128" s="68" t="str">
        <f t="shared" si="13"/>
        <v>00</v>
      </c>
      <c r="AQ128" t="str">
        <f t="shared" si="8"/>
        <v/>
      </c>
    </row>
    <row r="129" spans="1:43">
      <c r="B129" s="139"/>
      <c r="C129" s="55">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0</v>
      </c>
      <c r="AE129" s="133">
        <f t="shared" si="27"/>
        <v>0</v>
      </c>
      <c r="AF129" s="133">
        <f t="shared" si="27"/>
        <v>0</v>
      </c>
      <c r="AG129" s="133">
        <f t="shared" si="27"/>
        <v>0</v>
      </c>
      <c r="AH129" s="133">
        <f t="shared" si="27"/>
        <v>0</v>
      </c>
      <c r="AI129" s="133">
        <f t="shared" si="27"/>
        <v>0</v>
      </c>
      <c r="AJ129" s="55" t="str">
        <f t="shared" si="7"/>
        <v/>
      </c>
      <c r="AK129" s="68"/>
      <c r="AL129" s="68" t="str">
        <f t="shared" si="10"/>
        <v>00</v>
      </c>
      <c r="AM129" s="68" t="str">
        <f t="shared" si="11"/>
        <v>00</v>
      </c>
      <c r="AN129" s="68" t="str">
        <f t="shared" si="12"/>
        <v>00</v>
      </c>
      <c r="AO129" s="68" t="str">
        <f t="shared" si="13"/>
        <v>00</v>
      </c>
      <c r="AQ129" t="str">
        <f t="shared" si="8"/>
        <v/>
      </c>
    </row>
    <row r="130" spans="1:43">
      <c r="B130" s="139"/>
      <c r="C130" s="55">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0</v>
      </c>
      <c r="AE130" s="133">
        <f t="shared" si="27"/>
        <v>0</v>
      </c>
      <c r="AF130" s="133">
        <f t="shared" si="27"/>
        <v>0</v>
      </c>
      <c r="AG130" s="133">
        <f t="shared" si="27"/>
        <v>0</v>
      </c>
      <c r="AH130" s="133">
        <f t="shared" si="27"/>
        <v>0</v>
      </c>
      <c r="AI130" s="133">
        <f t="shared" si="27"/>
        <v>0</v>
      </c>
      <c r="AJ130" s="55" t="str">
        <f t="shared" si="7"/>
        <v/>
      </c>
      <c r="AK130" s="68"/>
      <c r="AL130" s="68" t="str">
        <f t="shared" si="10"/>
        <v>00</v>
      </c>
      <c r="AM130" s="68" t="str">
        <f t="shared" si="11"/>
        <v>00</v>
      </c>
      <c r="AN130" s="68" t="str">
        <f t="shared" si="12"/>
        <v>00</v>
      </c>
      <c r="AO130" s="68" t="str">
        <f t="shared" si="13"/>
        <v>00</v>
      </c>
      <c r="AQ130" t="str">
        <f t="shared" si="8"/>
        <v/>
      </c>
    </row>
    <row r="131" spans="1:43">
      <c r="B131" s="139"/>
      <c r="C131" s="55">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0</v>
      </c>
      <c r="AE131" s="133">
        <f t="shared" si="27"/>
        <v>0</v>
      </c>
      <c r="AF131" s="133">
        <f t="shared" si="27"/>
        <v>0</v>
      </c>
      <c r="AG131" s="133">
        <f t="shared" si="27"/>
        <v>0</v>
      </c>
      <c r="AH131" s="133">
        <f t="shared" si="27"/>
        <v>0</v>
      </c>
      <c r="AI131" s="133">
        <f t="shared" si="27"/>
        <v>0</v>
      </c>
      <c r="AJ131" s="55" t="str">
        <f t="shared" si="7"/>
        <v/>
      </c>
      <c r="AK131" s="68"/>
      <c r="AL131" s="68" t="str">
        <f t="shared" si="10"/>
        <v>00</v>
      </c>
      <c r="AM131" s="68" t="str">
        <f t="shared" si="11"/>
        <v>00</v>
      </c>
      <c r="AN131" s="68" t="str">
        <f t="shared" si="12"/>
        <v>00</v>
      </c>
      <c r="AO131" s="68" t="str">
        <f t="shared" si="13"/>
        <v>00</v>
      </c>
      <c r="AQ131" t="str">
        <f t="shared" si="8"/>
        <v/>
      </c>
    </row>
    <row r="132" spans="1:43">
      <c r="B132" s="139"/>
      <c r="C132" s="55">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0</v>
      </c>
      <c r="AE132" s="133">
        <f t="shared" si="27"/>
        <v>0</v>
      </c>
      <c r="AF132" s="133">
        <f t="shared" si="27"/>
        <v>0</v>
      </c>
      <c r="AG132" s="133">
        <f t="shared" si="27"/>
        <v>0</v>
      </c>
      <c r="AH132" s="133">
        <f t="shared" si="27"/>
        <v>0</v>
      </c>
      <c r="AI132" s="133">
        <f t="shared" si="27"/>
        <v>0</v>
      </c>
      <c r="AJ132" s="55" t="str">
        <f t="shared" si="7"/>
        <v/>
      </c>
      <c r="AK132" s="68"/>
      <c r="AL132" s="68" t="str">
        <f t="shared" si="10"/>
        <v>00</v>
      </c>
      <c r="AM132" s="68" t="str">
        <f t="shared" si="11"/>
        <v>00</v>
      </c>
      <c r="AN132" s="68" t="str">
        <f t="shared" si="12"/>
        <v>00</v>
      </c>
      <c r="AO132" s="68" t="str">
        <f t="shared" si="13"/>
        <v>00</v>
      </c>
      <c r="AQ132" t="str">
        <f t="shared" si="8"/>
        <v/>
      </c>
    </row>
    <row r="133" spans="1:43">
      <c r="B133" s="139"/>
      <c r="C133" s="55">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0</v>
      </c>
      <c r="AE133" s="133">
        <f t="shared" si="27"/>
        <v>0</v>
      </c>
      <c r="AF133" s="133">
        <f t="shared" si="27"/>
        <v>0</v>
      </c>
      <c r="AG133" s="133">
        <f t="shared" si="27"/>
        <v>0</v>
      </c>
      <c r="AH133" s="133">
        <f t="shared" si="27"/>
        <v>0</v>
      </c>
      <c r="AI133" s="133">
        <f t="shared" si="27"/>
        <v>0</v>
      </c>
      <c r="AJ133" s="55" t="str">
        <f t="shared" si="7"/>
        <v/>
      </c>
      <c r="AK133" s="68"/>
      <c r="AL133" s="68" t="str">
        <f t="shared" si="10"/>
        <v>00</v>
      </c>
      <c r="AM133" s="68" t="str">
        <f t="shared" si="11"/>
        <v>00</v>
      </c>
      <c r="AN133" s="68" t="str">
        <f t="shared" si="12"/>
        <v>00</v>
      </c>
      <c r="AO133" s="68" t="str">
        <f t="shared" si="13"/>
        <v>00</v>
      </c>
      <c r="AQ133" t="str">
        <f t="shared" si="8"/>
        <v/>
      </c>
    </row>
    <row r="134" spans="1:43">
      <c r="B134" s="140"/>
      <c r="C134" s="55">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0</v>
      </c>
      <c r="AE134" s="133">
        <f t="shared" si="27"/>
        <v>0</v>
      </c>
      <c r="AF134" s="133">
        <f t="shared" si="27"/>
        <v>0</v>
      </c>
      <c r="AG134" s="133">
        <f t="shared" si="27"/>
        <v>0</v>
      </c>
      <c r="AH134" s="133">
        <f t="shared" si="27"/>
        <v>0</v>
      </c>
      <c r="AI134" s="133">
        <f t="shared" ref="AI134" si="28">IF(AI69=1,1,0)</f>
        <v>0</v>
      </c>
      <c r="AJ134" s="55" t="str">
        <f t="shared" si="7"/>
        <v/>
      </c>
      <c r="AK134" s="68"/>
      <c r="AL134" s="68" t="str">
        <f t="shared" si="10"/>
        <v>00</v>
      </c>
      <c r="AM134" s="68" t="str">
        <f t="shared" si="11"/>
        <v>00</v>
      </c>
      <c r="AN134" s="68" t="str">
        <f t="shared" si="12"/>
        <v>00</v>
      </c>
      <c r="AO134" s="68" t="str">
        <f t="shared" si="13"/>
        <v>00</v>
      </c>
      <c r="AQ134" t="str">
        <f t="shared" si="8"/>
        <v/>
      </c>
    </row>
    <row r="135" spans="1:43">
      <c r="A135" s="64" t="s">
        <v>68</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1" t="str">
        <f ca="1">IF(B6&lt;&gt;"",B6,"")</f>
        <v>Table BC_RQ</v>
      </c>
      <c r="C136" s="55">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0</v>
      </c>
      <c r="AE136" s="133">
        <f t="shared" si="29"/>
        <v>0</v>
      </c>
      <c r="AF136" s="133">
        <f t="shared" si="29"/>
        <v>0</v>
      </c>
      <c r="AG136" s="133">
        <f t="shared" si="29"/>
        <v>0</v>
      </c>
      <c r="AH136" s="133">
        <f t="shared" si="29"/>
        <v>1</v>
      </c>
      <c r="AI136" s="133">
        <f t="shared" si="29"/>
        <v>1</v>
      </c>
      <c r="AJ136" s="55" t="str">
        <f t="shared" ref="AJ136:AJ199" si="30">IF(AJ6&lt;&gt;"",AJ6,"")</f>
        <v>UNKNOWN</v>
      </c>
      <c r="AK136" s="68"/>
      <c r="AL136" s="68" t="str">
        <f>BIN2HEX(AB136&amp;AC136&amp;AD136&amp;AE136&amp;AF136&amp;AG136&amp;AH136&amp;AI136,2)</f>
        <v>03</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39"/>
      <c r="C137" s="55">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0</v>
      </c>
      <c r="AE137" s="133">
        <f t="shared" si="29"/>
        <v>0</v>
      </c>
      <c r="AF137" s="133">
        <f t="shared" si="29"/>
        <v>0</v>
      </c>
      <c r="AG137" s="133">
        <f t="shared" si="29"/>
        <v>0</v>
      </c>
      <c r="AH137" s="133">
        <f t="shared" si="29"/>
        <v>1</v>
      </c>
      <c r="AI137" s="133">
        <f t="shared" si="29"/>
        <v>1</v>
      </c>
      <c r="AJ137" s="55" t="str">
        <f t="shared" si="30"/>
        <v>SINGLE</v>
      </c>
      <c r="AK137" s="68"/>
      <c r="AL137" s="68" t="str">
        <f t="shared" ref="AL137:AL199" si="33">BIN2HEX(AB137&amp;AC137&amp;AD137&amp;AE137&amp;AF137&amp;AG137&amp;AH137&amp;AI137,2)</f>
        <v>03</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(U4)0x00000003U,                                                           /* 01 SINGLE                                          */</v>
      </c>
    </row>
    <row r="138" spans="1:43">
      <c r="B138" s="139"/>
      <c r="C138" s="55">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0</v>
      </c>
      <c r="AE138" s="133">
        <f t="shared" si="29"/>
        <v>0</v>
      </c>
      <c r="AF138" s="133">
        <f t="shared" si="29"/>
        <v>0</v>
      </c>
      <c r="AG138" s="133">
        <f t="shared" si="29"/>
        <v>0</v>
      </c>
      <c r="AH138" s="133">
        <f t="shared" si="29"/>
        <v>1</v>
      </c>
      <c r="AI138" s="133">
        <f t="shared" si="29"/>
        <v>1</v>
      </c>
      <c r="AJ138" s="55" t="str">
        <f t="shared" si="30"/>
        <v>UNKNOWN</v>
      </c>
      <c r="AK138" s="68"/>
      <c r="AL138" s="68" t="str">
        <f t="shared" si="33"/>
        <v>03</v>
      </c>
      <c r="AM138" s="68" t="str">
        <f t="shared" si="34"/>
        <v>00</v>
      </c>
      <c r="AN138" s="68" t="str">
        <f t="shared" si="35"/>
        <v>00</v>
      </c>
      <c r="AO138" s="68" t="str">
        <f t="shared" si="36"/>
        <v>00</v>
      </c>
      <c r="AQ138" t="str">
        <f t="shared" si="31"/>
        <v xml:space="preserve">    (U4)0x00000003U,                                                           /* 02 UNKNOWN                                         */</v>
      </c>
    </row>
    <row r="139" spans="1:43">
      <c r="B139" s="139"/>
      <c r="C139" s="55">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0</v>
      </c>
      <c r="AE139" s="133">
        <f t="shared" si="29"/>
        <v>0</v>
      </c>
      <c r="AF139" s="133">
        <f t="shared" si="29"/>
        <v>0</v>
      </c>
      <c r="AG139" s="133">
        <f t="shared" si="29"/>
        <v>0</v>
      </c>
      <c r="AH139" s="133">
        <f t="shared" si="29"/>
        <v>1</v>
      </c>
      <c r="AI139" s="133">
        <f t="shared" si="29"/>
        <v>1</v>
      </c>
      <c r="AJ139" s="55" t="str">
        <f t="shared" si="30"/>
        <v>UNKNOWN</v>
      </c>
      <c r="AK139" s="68"/>
      <c r="AL139" s="68" t="str">
        <f t="shared" si="33"/>
        <v>03</v>
      </c>
      <c r="AM139" s="68" t="str">
        <f t="shared" si="34"/>
        <v>00</v>
      </c>
      <c r="AN139" s="68" t="str">
        <f t="shared" si="35"/>
        <v>00</v>
      </c>
      <c r="AO139" s="68" t="str">
        <f t="shared" si="36"/>
        <v>00</v>
      </c>
      <c r="AQ139" t="str">
        <f t="shared" si="31"/>
        <v xml:space="preserve">    (U4)0x00000003U                                                            /* 03 UNKNOWN                                         */</v>
      </c>
    </row>
    <row r="140" spans="1:43">
      <c r="B140" s="139"/>
      <c r="C140" s="55">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0</v>
      </c>
      <c r="AE140" s="133">
        <f t="shared" si="29"/>
        <v>0</v>
      </c>
      <c r="AF140" s="133">
        <f t="shared" si="29"/>
        <v>0</v>
      </c>
      <c r="AG140" s="133">
        <f t="shared" si="29"/>
        <v>0</v>
      </c>
      <c r="AH140" s="133">
        <f t="shared" si="29"/>
        <v>0</v>
      </c>
      <c r="AI140" s="133">
        <f t="shared" si="29"/>
        <v>0</v>
      </c>
      <c r="AJ140" s="55" t="str">
        <f t="shared" si="30"/>
        <v/>
      </c>
      <c r="AK140" s="68"/>
      <c r="AL140" s="68" t="str">
        <f t="shared" si="33"/>
        <v>00</v>
      </c>
      <c r="AM140" s="68" t="str">
        <f t="shared" si="34"/>
        <v>00</v>
      </c>
      <c r="AN140" s="68" t="str">
        <f t="shared" si="35"/>
        <v>00</v>
      </c>
      <c r="AO140" s="68" t="str">
        <f t="shared" si="36"/>
        <v>00</v>
      </c>
      <c r="AQ140" t="str">
        <f t="shared" si="31"/>
        <v/>
      </c>
    </row>
    <row r="141" spans="1:43">
      <c r="B141" s="139"/>
      <c r="C141" s="55">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0</v>
      </c>
      <c r="AE141" s="133">
        <f t="shared" si="29"/>
        <v>0</v>
      </c>
      <c r="AF141" s="133">
        <f t="shared" si="29"/>
        <v>0</v>
      </c>
      <c r="AG141" s="133">
        <f t="shared" si="29"/>
        <v>0</v>
      </c>
      <c r="AH141" s="133">
        <f t="shared" si="29"/>
        <v>0</v>
      </c>
      <c r="AI141" s="133">
        <f t="shared" si="29"/>
        <v>0</v>
      </c>
      <c r="AJ141" s="55" t="str">
        <f t="shared" si="30"/>
        <v/>
      </c>
      <c r="AK141" s="68"/>
      <c r="AL141" s="68" t="str">
        <f t="shared" si="33"/>
        <v>00</v>
      </c>
      <c r="AM141" s="68" t="str">
        <f t="shared" si="34"/>
        <v>00</v>
      </c>
      <c r="AN141" s="68" t="str">
        <f t="shared" si="35"/>
        <v>00</v>
      </c>
      <c r="AO141" s="68" t="str">
        <f t="shared" si="36"/>
        <v>00</v>
      </c>
      <c r="AQ141" t="str">
        <f t="shared" si="31"/>
        <v/>
      </c>
    </row>
    <row r="142" spans="1:43">
      <c r="B142" s="139"/>
      <c r="C142" s="55">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0</v>
      </c>
      <c r="AE142" s="133">
        <f t="shared" si="29"/>
        <v>0</v>
      </c>
      <c r="AF142" s="133">
        <f t="shared" si="29"/>
        <v>0</v>
      </c>
      <c r="AG142" s="133">
        <f t="shared" si="29"/>
        <v>0</v>
      </c>
      <c r="AH142" s="133">
        <f t="shared" si="29"/>
        <v>0</v>
      </c>
      <c r="AI142" s="133">
        <f t="shared" si="29"/>
        <v>0</v>
      </c>
      <c r="AJ142" s="55" t="str">
        <f t="shared" si="30"/>
        <v/>
      </c>
      <c r="AK142" s="68"/>
      <c r="AL142" s="68" t="str">
        <f t="shared" si="33"/>
        <v>00</v>
      </c>
      <c r="AM142" s="68" t="str">
        <f t="shared" si="34"/>
        <v>00</v>
      </c>
      <c r="AN142" s="68" t="str">
        <f t="shared" si="35"/>
        <v>00</v>
      </c>
      <c r="AO142" s="68" t="str">
        <f t="shared" si="36"/>
        <v>00</v>
      </c>
      <c r="AQ142" t="str">
        <f t="shared" si="31"/>
        <v/>
      </c>
    </row>
    <row r="143" spans="1:43">
      <c r="B143" s="139"/>
      <c r="C143" s="55">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0</v>
      </c>
      <c r="AE143" s="133">
        <f t="shared" si="29"/>
        <v>0</v>
      </c>
      <c r="AF143" s="133">
        <f t="shared" si="29"/>
        <v>0</v>
      </c>
      <c r="AG143" s="133">
        <f t="shared" si="29"/>
        <v>0</v>
      </c>
      <c r="AH143" s="133">
        <f t="shared" si="29"/>
        <v>0</v>
      </c>
      <c r="AI143" s="133">
        <f t="shared" ref="AI143" si="37">IF(OR(AI13=0,AI13=1),1,0)</f>
        <v>0</v>
      </c>
      <c r="AJ143" s="55" t="str">
        <f t="shared" si="30"/>
        <v/>
      </c>
      <c r="AK143" s="68"/>
      <c r="AL143" s="68" t="str">
        <f t="shared" si="33"/>
        <v>00</v>
      </c>
      <c r="AM143" s="68" t="str">
        <f t="shared" si="34"/>
        <v>00</v>
      </c>
      <c r="AN143" s="68" t="str">
        <f t="shared" si="35"/>
        <v>00</v>
      </c>
      <c r="AO143" s="68" t="str">
        <f t="shared" si="36"/>
        <v>00</v>
      </c>
      <c r="AQ143" t="str">
        <f t="shared" si="31"/>
        <v/>
      </c>
    </row>
    <row r="144" spans="1:43">
      <c r="B144" s="139"/>
      <c r="C144" s="55">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0</v>
      </c>
      <c r="AE144" s="133">
        <f t="shared" si="38"/>
        <v>0</v>
      </c>
      <c r="AF144" s="133">
        <f t="shared" si="38"/>
        <v>0</v>
      </c>
      <c r="AG144" s="133">
        <f t="shared" si="38"/>
        <v>0</v>
      </c>
      <c r="AH144" s="133">
        <f t="shared" si="38"/>
        <v>0</v>
      </c>
      <c r="AI144" s="133">
        <f t="shared" si="38"/>
        <v>0</v>
      </c>
      <c r="AJ144" s="55" t="str">
        <f t="shared" si="30"/>
        <v/>
      </c>
      <c r="AK144" s="68"/>
      <c r="AL144" s="68" t="str">
        <f t="shared" si="33"/>
        <v>00</v>
      </c>
      <c r="AM144" s="68" t="str">
        <f t="shared" si="34"/>
        <v>00</v>
      </c>
      <c r="AN144" s="68" t="str">
        <f t="shared" si="35"/>
        <v>00</v>
      </c>
      <c r="AO144" s="68" t="str">
        <f t="shared" si="36"/>
        <v>00</v>
      </c>
      <c r="AQ144" t="str">
        <f t="shared" si="31"/>
        <v/>
      </c>
    </row>
    <row r="145" spans="2:43">
      <c r="B145" s="139"/>
      <c r="C145" s="55">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0</v>
      </c>
      <c r="AE145" s="133">
        <f t="shared" si="38"/>
        <v>0</v>
      </c>
      <c r="AF145" s="133">
        <f t="shared" si="38"/>
        <v>0</v>
      </c>
      <c r="AG145" s="133">
        <f t="shared" si="38"/>
        <v>0</v>
      </c>
      <c r="AH145" s="133">
        <f t="shared" si="38"/>
        <v>0</v>
      </c>
      <c r="AI145" s="133">
        <f t="shared" si="38"/>
        <v>0</v>
      </c>
      <c r="AJ145" s="55" t="str">
        <f t="shared" si="30"/>
        <v/>
      </c>
      <c r="AK145" s="68"/>
      <c r="AL145" s="68" t="str">
        <f t="shared" si="33"/>
        <v>00</v>
      </c>
      <c r="AM145" s="68" t="str">
        <f t="shared" si="34"/>
        <v>00</v>
      </c>
      <c r="AN145" s="68" t="str">
        <f t="shared" si="35"/>
        <v>00</v>
      </c>
      <c r="AO145" s="68" t="str">
        <f t="shared" si="36"/>
        <v>00</v>
      </c>
      <c r="AQ145" t="str">
        <f t="shared" si="31"/>
        <v/>
      </c>
    </row>
    <row r="146" spans="2:43">
      <c r="B146" s="139"/>
      <c r="C146" s="55">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0</v>
      </c>
      <c r="AE146" s="133">
        <f t="shared" si="38"/>
        <v>0</v>
      </c>
      <c r="AF146" s="133">
        <f t="shared" si="38"/>
        <v>0</v>
      </c>
      <c r="AG146" s="133">
        <f t="shared" si="38"/>
        <v>0</v>
      </c>
      <c r="AH146" s="133">
        <f t="shared" si="38"/>
        <v>0</v>
      </c>
      <c r="AI146" s="133">
        <f t="shared" si="38"/>
        <v>0</v>
      </c>
      <c r="AJ146" s="55" t="str">
        <f t="shared" si="30"/>
        <v/>
      </c>
      <c r="AK146" s="68"/>
      <c r="AL146" s="68" t="str">
        <f t="shared" si="33"/>
        <v>00</v>
      </c>
      <c r="AM146" s="68" t="str">
        <f t="shared" si="34"/>
        <v>00</v>
      </c>
      <c r="AN146" s="68" t="str">
        <f t="shared" si="35"/>
        <v>00</v>
      </c>
      <c r="AO146" s="68" t="str">
        <f t="shared" si="36"/>
        <v>00</v>
      </c>
      <c r="AQ146" t="str">
        <f t="shared" si="31"/>
        <v/>
      </c>
    </row>
    <row r="147" spans="2:43">
      <c r="B147" s="139"/>
      <c r="C147" s="55">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0</v>
      </c>
      <c r="AE147" s="133">
        <f t="shared" si="38"/>
        <v>0</v>
      </c>
      <c r="AF147" s="133">
        <f t="shared" si="38"/>
        <v>0</v>
      </c>
      <c r="AG147" s="133">
        <f t="shared" si="38"/>
        <v>0</v>
      </c>
      <c r="AH147" s="133">
        <f t="shared" si="38"/>
        <v>0</v>
      </c>
      <c r="AI147" s="133">
        <f t="shared" si="38"/>
        <v>0</v>
      </c>
      <c r="AJ147" s="55" t="str">
        <f t="shared" si="30"/>
        <v/>
      </c>
      <c r="AK147" s="68"/>
      <c r="AL147" s="68" t="str">
        <f t="shared" si="33"/>
        <v>00</v>
      </c>
      <c r="AM147" s="68" t="str">
        <f t="shared" si="34"/>
        <v>00</v>
      </c>
      <c r="AN147" s="68" t="str">
        <f t="shared" si="35"/>
        <v>00</v>
      </c>
      <c r="AO147" s="68" t="str">
        <f t="shared" si="36"/>
        <v>00</v>
      </c>
      <c r="AQ147" t="str">
        <f t="shared" si="31"/>
        <v/>
      </c>
    </row>
    <row r="148" spans="2:43">
      <c r="B148" s="139"/>
      <c r="C148" s="55">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0</v>
      </c>
      <c r="AE148" s="133">
        <f t="shared" si="38"/>
        <v>0</v>
      </c>
      <c r="AF148" s="133">
        <f t="shared" si="38"/>
        <v>0</v>
      </c>
      <c r="AG148" s="133">
        <f t="shared" si="38"/>
        <v>0</v>
      </c>
      <c r="AH148" s="133">
        <f t="shared" si="38"/>
        <v>0</v>
      </c>
      <c r="AI148" s="133">
        <f t="shared" si="38"/>
        <v>0</v>
      </c>
      <c r="AJ148" s="55" t="str">
        <f t="shared" si="30"/>
        <v/>
      </c>
      <c r="AK148" s="68"/>
      <c r="AL148" s="68" t="str">
        <f t="shared" si="33"/>
        <v>00</v>
      </c>
      <c r="AM148" s="68" t="str">
        <f t="shared" si="34"/>
        <v>00</v>
      </c>
      <c r="AN148" s="68" t="str">
        <f t="shared" si="35"/>
        <v>00</v>
      </c>
      <c r="AO148" s="68" t="str">
        <f t="shared" si="36"/>
        <v>00</v>
      </c>
      <c r="AQ148" t="str">
        <f t="shared" si="31"/>
        <v/>
      </c>
    </row>
    <row r="149" spans="2:43">
      <c r="B149" s="139"/>
      <c r="C149" s="55">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0</v>
      </c>
      <c r="AE149" s="133">
        <f t="shared" si="38"/>
        <v>0</v>
      </c>
      <c r="AF149" s="133">
        <f t="shared" si="38"/>
        <v>0</v>
      </c>
      <c r="AG149" s="133">
        <f t="shared" si="38"/>
        <v>0</v>
      </c>
      <c r="AH149" s="133">
        <f t="shared" si="38"/>
        <v>0</v>
      </c>
      <c r="AI149" s="133">
        <f t="shared" si="38"/>
        <v>0</v>
      </c>
      <c r="AJ149" s="55" t="str">
        <f t="shared" si="30"/>
        <v/>
      </c>
      <c r="AK149" s="68"/>
      <c r="AL149" s="68" t="str">
        <f t="shared" si="33"/>
        <v>00</v>
      </c>
      <c r="AM149" s="68" t="str">
        <f t="shared" si="34"/>
        <v>00</v>
      </c>
      <c r="AN149" s="68" t="str">
        <f t="shared" si="35"/>
        <v>00</v>
      </c>
      <c r="AO149" s="68" t="str">
        <f t="shared" si="36"/>
        <v>00</v>
      </c>
      <c r="AQ149" t="str">
        <f t="shared" si="31"/>
        <v/>
      </c>
    </row>
    <row r="150" spans="2:43">
      <c r="B150" s="139"/>
      <c r="C150" s="55">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0</v>
      </c>
      <c r="AE150" s="133">
        <f t="shared" si="38"/>
        <v>0</v>
      </c>
      <c r="AF150" s="133">
        <f t="shared" si="38"/>
        <v>0</v>
      </c>
      <c r="AG150" s="133">
        <f t="shared" si="38"/>
        <v>0</v>
      </c>
      <c r="AH150" s="133">
        <f t="shared" si="38"/>
        <v>0</v>
      </c>
      <c r="AI150" s="133">
        <f t="shared" si="38"/>
        <v>0</v>
      </c>
      <c r="AJ150" s="55" t="str">
        <f t="shared" si="30"/>
        <v/>
      </c>
      <c r="AK150" s="68"/>
      <c r="AL150" s="68" t="str">
        <f t="shared" si="33"/>
        <v>00</v>
      </c>
      <c r="AM150" s="68" t="str">
        <f t="shared" si="34"/>
        <v>00</v>
      </c>
      <c r="AN150" s="68" t="str">
        <f t="shared" si="35"/>
        <v>00</v>
      </c>
      <c r="AO150" s="68" t="str">
        <f t="shared" si="36"/>
        <v>00</v>
      </c>
      <c r="AQ150" t="str">
        <f t="shared" si="31"/>
        <v/>
      </c>
    </row>
    <row r="151" spans="2:43">
      <c r="B151" s="139"/>
      <c r="C151" s="55">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0</v>
      </c>
      <c r="AE151" s="133">
        <f t="shared" si="38"/>
        <v>0</v>
      </c>
      <c r="AF151" s="133">
        <f t="shared" si="38"/>
        <v>0</v>
      </c>
      <c r="AG151" s="133">
        <f t="shared" si="38"/>
        <v>0</v>
      </c>
      <c r="AH151" s="133">
        <f t="shared" si="38"/>
        <v>0</v>
      </c>
      <c r="AI151" s="133">
        <f t="shared" ref="AI151" si="39">IF(OR(AI21=0,AI21=1),1,0)</f>
        <v>0</v>
      </c>
      <c r="AJ151" s="55" t="str">
        <f t="shared" si="30"/>
        <v/>
      </c>
      <c r="AK151" s="68"/>
      <c r="AL151" s="68" t="str">
        <f t="shared" si="33"/>
        <v>00</v>
      </c>
      <c r="AM151" s="68" t="str">
        <f t="shared" si="34"/>
        <v>00</v>
      </c>
      <c r="AN151" s="68" t="str">
        <f t="shared" si="35"/>
        <v>00</v>
      </c>
      <c r="AO151" s="68" t="str">
        <f t="shared" si="36"/>
        <v>00</v>
      </c>
      <c r="AQ151" t="str">
        <f t="shared" si="31"/>
        <v/>
      </c>
    </row>
    <row r="152" spans="2:43">
      <c r="B152" s="139"/>
      <c r="C152" s="55">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0</v>
      </c>
      <c r="AE152" s="133">
        <f t="shared" si="40"/>
        <v>0</v>
      </c>
      <c r="AF152" s="133">
        <f t="shared" si="40"/>
        <v>0</v>
      </c>
      <c r="AG152" s="133">
        <f t="shared" si="40"/>
        <v>0</v>
      </c>
      <c r="AH152" s="133">
        <f t="shared" si="40"/>
        <v>0</v>
      </c>
      <c r="AI152" s="133">
        <f t="shared" si="40"/>
        <v>0</v>
      </c>
      <c r="AJ152" s="55" t="str">
        <f t="shared" si="30"/>
        <v/>
      </c>
      <c r="AK152" s="68"/>
      <c r="AL152" s="68" t="str">
        <f t="shared" si="33"/>
        <v>00</v>
      </c>
      <c r="AM152" s="68" t="str">
        <f t="shared" si="34"/>
        <v>00</v>
      </c>
      <c r="AN152" s="68" t="str">
        <f t="shared" si="35"/>
        <v>00</v>
      </c>
      <c r="AO152" s="68" t="str">
        <f t="shared" si="36"/>
        <v>00</v>
      </c>
      <c r="AQ152" t="str">
        <f t="shared" si="31"/>
        <v/>
      </c>
    </row>
    <row r="153" spans="2:43">
      <c r="B153" s="139"/>
      <c r="C153" s="55">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0</v>
      </c>
      <c r="AE153" s="133">
        <f t="shared" si="40"/>
        <v>0</v>
      </c>
      <c r="AF153" s="133">
        <f t="shared" si="40"/>
        <v>0</v>
      </c>
      <c r="AG153" s="133">
        <f t="shared" si="40"/>
        <v>0</v>
      </c>
      <c r="AH153" s="133">
        <f t="shared" si="40"/>
        <v>0</v>
      </c>
      <c r="AI153" s="133">
        <f t="shared" si="40"/>
        <v>0</v>
      </c>
      <c r="AJ153" s="55" t="str">
        <f t="shared" si="30"/>
        <v/>
      </c>
      <c r="AK153" s="68"/>
      <c r="AL153" s="68" t="str">
        <f t="shared" si="33"/>
        <v>00</v>
      </c>
      <c r="AM153" s="68" t="str">
        <f t="shared" si="34"/>
        <v>00</v>
      </c>
      <c r="AN153" s="68" t="str">
        <f t="shared" si="35"/>
        <v>00</v>
      </c>
      <c r="AO153" s="68" t="str">
        <f t="shared" si="36"/>
        <v>00</v>
      </c>
      <c r="AQ153" t="str">
        <f t="shared" si="31"/>
        <v/>
      </c>
    </row>
    <row r="154" spans="2:43">
      <c r="B154" s="139"/>
      <c r="C154" s="55">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0</v>
      </c>
      <c r="AE154" s="133">
        <f t="shared" si="40"/>
        <v>0</v>
      </c>
      <c r="AF154" s="133">
        <f t="shared" si="40"/>
        <v>0</v>
      </c>
      <c r="AG154" s="133">
        <f t="shared" si="40"/>
        <v>0</v>
      </c>
      <c r="AH154" s="133">
        <f t="shared" si="40"/>
        <v>0</v>
      </c>
      <c r="AI154" s="133">
        <f t="shared" si="40"/>
        <v>0</v>
      </c>
      <c r="AJ154" s="55" t="str">
        <f t="shared" si="30"/>
        <v/>
      </c>
      <c r="AK154" s="68"/>
      <c r="AL154" s="68" t="str">
        <f t="shared" si="33"/>
        <v>00</v>
      </c>
      <c r="AM154" s="68" t="str">
        <f t="shared" si="34"/>
        <v>00</v>
      </c>
      <c r="AN154" s="68" t="str">
        <f t="shared" si="35"/>
        <v>00</v>
      </c>
      <c r="AO154" s="68" t="str">
        <f t="shared" si="36"/>
        <v>00</v>
      </c>
      <c r="AQ154" t="str">
        <f t="shared" si="31"/>
        <v/>
      </c>
    </row>
    <row r="155" spans="2:43">
      <c r="B155" s="139"/>
      <c r="C155" s="55">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0</v>
      </c>
      <c r="AE155" s="133">
        <f t="shared" si="40"/>
        <v>0</v>
      </c>
      <c r="AF155" s="133">
        <f t="shared" si="40"/>
        <v>0</v>
      </c>
      <c r="AG155" s="133">
        <f t="shared" si="40"/>
        <v>0</v>
      </c>
      <c r="AH155" s="133">
        <f t="shared" si="40"/>
        <v>0</v>
      </c>
      <c r="AI155" s="133">
        <f t="shared" si="40"/>
        <v>0</v>
      </c>
      <c r="AJ155" s="55" t="str">
        <f t="shared" si="30"/>
        <v/>
      </c>
      <c r="AK155" s="68"/>
      <c r="AL155" s="68" t="str">
        <f t="shared" si="33"/>
        <v>00</v>
      </c>
      <c r="AM155" s="68" t="str">
        <f t="shared" si="34"/>
        <v>00</v>
      </c>
      <c r="AN155" s="68" t="str">
        <f t="shared" si="35"/>
        <v>00</v>
      </c>
      <c r="AO155" s="68" t="str">
        <f t="shared" si="36"/>
        <v>00</v>
      </c>
      <c r="AQ155" t="str">
        <f t="shared" si="31"/>
        <v/>
      </c>
    </row>
    <row r="156" spans="2:43">
      <c r="B156" s="139"/>
      <c r="C156" s="55">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0</v>
      </c>
      <c r="AE156" s="133">
        <f t="shared" si="40"/>
        <v>0</v>
      </c>
      <c r="AF156" s="133">
        <f t="shared" si="40"/>
        <v>0</v>
      </c>
      <c r="AG156" s="133">
        <f t="shared" si="40"/>
        <v>0</v>
      </c>
      <c r="AH156" s="133">
        <f t="shared" si="40"/>
        <v>0</v>
      </c>
      <c r="AI156" s="133">
        <f t="shared" si="40"/>
        <v>0</v>
      </c>
      <c r="AJ156" s="55" t="str">
        <f t="shared" si="30"/>
        <v/>
      </c>
      <c r="AK156" s="68"/>
      <c r="AL156" s="68" t="str">
        <f t="shared" si="33"/>
        <v>00</v>
      </c>
      <c r="AM156" s="68" t="str">
        <f t="shared" si="34"/>
        <v>00</v>
      </c>
      <c r="AN156" s="68" t="str">
        <f t="shared" si="35"/>
        <v>00</v>
      </c>
      <c r="AO156" s="68" t="str">
        <f t="shared" si="36"/>
        <v>00</v>
      </c>
      <c r="AQ156" t="str">
        <f t="shared" si="31"/>
        <v/>
      </c>
    </row>
    <row r="157" spans="2:43">
      <c r="B157" s="139"/>
      <c r="C157" s="55">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0</v>
      </c>
      <c r="AE157" s="133">
        <f t="shared" si="40"/>
        <v>0</v>
      </c>
      <c r="AF157" s="133">
        <f t="shared" si="40"/>
        <v>0</v>
      </c>
      <c r="AG157" s="133">
        <f t="shared" si="40"/>
        <v>0</v>
      </c>
      <c r="AH157" s="133">
        <f t="shared" si="40"/>
        <v>0</v>
      </c>
      <c r="AI157" s="133">
        <f t="shared" si="40"/>
        <v>0</v>
      </c>
      <c r="AJ157" s="55" t="str">
        <f t="shared" si="30"/>
        <v/>
      </c>
      <c r="AK157" s="68"/>
      <c r="AL157" s="68" t="str">
        <f t="shared" si="33"/>
        <v>00</v>
      </c>
      <c r="AM157" s="68" t="str">
        <f t="shared" si="34"/>
        <v>00</v>
      </c>
      <c r="AN157" s="68" t="str">
        <f t="shared" si="35"/>
        <v>00</v>
      </c>
      <c r="AO157" s="68" t="str">
        <f t="shared" si="36"/>
        <v>00</v>
      </c>
      <c r="AQ157" t="str">
        <f t="shared" si="31"/>
        <v/>
      </c>
    </row>
    <row r="158" spans="2:43">
      <c r="B158" s="139"/>
      <c r="C158" s="55">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0</v>
      </c>
      <c r="AE158" s="133">
        <f t="shared" si="40"/>
        <v>0</v>
      </c>
      <c r="AF158" s="133">
        <f t="shared" si="40"/>
        <v>0</v>
      </c>
      <c r="AG158" s="133">
        <f t="shared" si="40"/>
        <v>0</v>
      </c>
      <c r="AH158" s="133">
        <f t="shared" si="40"/>
        <v>0</v>
      </c>
      <c r="AI158" s="133">
        <f t="shared" si="40"/>
        <v>0</v>
      </c>
      <c r="AJ158" s="55" t="str">
        <f t="shared" si="30"/>
        <v/>
      </c>
      <c r="AK158" s="68"/>
      <c r="AL158" s="68" t="str">
        <f t="shared" si="33"/>
        <v>00</v>
      </c>
      <c r="AM158" s="68" t="str">
        <f t="shared" si="34"/>
        <v>00</v>
      </c>
      <c r="AN158" s="68" t="str">
        <f t="shared" si="35"/>
        <v>00</v>
      </c>
      <c r="AO158" s="68" t="str">
        <f t="shared" si="36"/>
        <v>00</v>
      </c>
      <c r="AQ158" t="str">
        <f t="shared" si="31"/>
        <v/>
      </c>
    </row>
    <row r="159" spans="2:43">
      <c r="B159" s="139"/>
      <c r="C159" s="55">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0</v>
      </c>
      <c r="AE159" s="133">
        <f t="shared" si="40"/>
        <v>0</v>
      </c>
      <c r="AF159" s="133">
        <f t="shared" si="40"/>
        <v>0</v>
      </c>
      <c r="AG159" s="133">
        <f t="shared" si="40"/>
        <v>0</v>
      </c>
      <c r="AH159" s="133">
        <f t="shared" si="40"/>
        <v>0</v>
      </c>
      <c r="AI159" s="133">
        <f t="shared" ref="AI159" si="41">IF(OR(AI29=0,AI29=1),1,0)</f>
        <v>0</v>
      </c>
      <c r="AJ159" s="55" t="str">
        <f t="shared" si="30"/>
        <v/>
      </c>
      <c r="AK159" s="68"/>
      <c r="AL159" s="68" t="str">
        <f t="shared" si="33"/>
        <v>00</v>
      </c>
      <c r="AM159" s="68" t="str">
        <f t="shared" si="34"/>
        <v>00</v>
      </c>
      <c r="AN159" s="68" t="str">
        <f t="shared" si="35"/>
        <v>00</v>
      </c>
      <c r="AO159" s="68" t="str">
        <f t="shared" si="36"/>
        <v>00</v>
      </c>
      <c r="AQ159" t="str">
        <f t="shared" si="31"/>
        <v/>
      </c>
    </row>
    <row r="160" spans="2:43">
      <c r="B160" s="139"/>
      <c r="C160" s="55">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0</v>
      </c>
      <c r="AE160" s="133">
        <f t="shared" si="42"/>
        <v>0</v>
      </c>
      <c r="AF160" s="133">
        <f t="shared" si="42"/>
        <v>0</v>
      </c>
      <c r="AG160" s="133">
        <f t="shared" si="42"/>
        <v>0</v>
      </c>
      <c r="AH160" s="133">
        <f t="shared" si="42"/>
        <v>0</v>
      </c>
      <c r="AI160" s="133">
        <f t="shared" si="42"/>
        <v>0</v>
      </c>
      <c r="AJ160" s="55" t="str">
        <f t="shared" si="30"/>
        <v/>
      </c>
      <c r="AK160" s="68"/>
      <c r="AL160" s="68" t="str">
        <f t="shared" si="33"/>
        <v>00</v>
      </c>
      <c r="AM160" s="68" t="str">
        <f t="shared" si="34"/>
        <v>00</v>
      </c>
      <c r="AN160" s="68" t="str">
        <f t="shared" si="35"/>
        <v>00</v>
      </c>
      <c r="AO160" s="68" t="str">
        <f t="shared" si="36"/>
        <v>00</v>
      </c>
      <c r="AQ160" t="str">
        <f t="shared" si="31"/>
        <v/>
      </c>
    </row>
    <row r="161" spans="2:43">
      <c r="B161" s="139"/>
      <c r="C161" s="55">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0</v>
      </c>
      <c r="AE161" s="133">
        <f t="shared" si="42"/>
        <v>0</v>
      </c>
      <c r="AF161" s="133">
        <f t="shared" si="42"/>
        <v>0</v>
      </c>
      <c r="AG161" s="133">
        <f t="shared" si="42"/>
        <v>0</v>
      </c>
      <c r="AH161" s="133">
        <f t="shared" si="42"/>
        <v>0</v>
      </c>
      <c r="AI161" s="133">
        <f t="shared" si="42"/>
        <v>0</v>
      </c>
      <c r="AJ161" s="55" t="str">
        <f t="shared" si="30"/>
        <v/>
      </c>
      <c r="AK161" s="68"/>
      <c r="AL161" s="68" t="str">
        <f t="shared" si="33"/>
        <v>00</v>
      </c>
      <c r="AM161" s="68" t="str">
        <f t="shared" si="34"/>
        <v>00</v>
      </c>
      <c r="AN161" s="68" t="str">
        <f t="shared" si="35"/>
        <v>00</v>
      </c>
      <c r="AO161" s="68" t="str">
        <f t="shared" si="36"/>
        <v>00</v>
      </c>
      <c r="AQ161" t="str">
        <f t="shared" si="31"/>
        <v/>
      </c>
    </row>
    <row r="162" spans="2:43">
      <c r="B162" s="139"/>
      <c r="C162" s="55">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0</v>
      </c>
      <c r="AE162" s="133">
        <f t="shared" si="42"/>
        <v>0</v>
      </c>
      <c r="AF162" s="133">
        <f t="shared" si="42"/>
        <v>0</v>
      </c>
      <c r="AG162" s="133">
        <f t="shared" si="42"/>
        <v>0</v>
      </c>
      <c r="AH162" s="133">
        <f t="shared" si="42"/>
        <v>0</v>
      </c>
      <c r="AI162" s="133">
        <f t="shared" si="42"/>
        <v>0</v>
      </c>
      <c r="AJ162" s="55" t="str">
        <f t="shared" si="30"/>
        <v/>
      </c>
      <c r="AK162" s="68"/>
      <c r="AL162" s="68" t="str">
        <f t="shared" si="33"/>
        <v>00</v>
      </c>
      <c r="AM162" s="68" t="str">
        <f t="shared" si="34"/>
        <v>00</v>
      </c>
      <c r="AN162" s="68" t="str">
        <f t="shared" si="35"/>
        <v>00</v>
      </c>
      <c r="AO162" s="68" t="str">
        <f t="shared" si="36"/>
        <v>00</v>
      </c>
      <c r="AQ162" t="str">
        <f t="shared" si="31"/>
        <v/>
      </c>
    </row>
    <row r="163" spans="2:43">
      <c r="B163" s="139"/>
      <c r="C163" s="55">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0</v>
      </c>
      <c r="AE163" s="133">
        <f t="shared" si="42"/>
        <v>0</v>
      </c>
      <c r="AF163" s="133">
        <f t="shared" si="42"/>
        <v>0</v>
      </c>
      <c r="AG163" s="133">
        <f t="shared" si="42"/>
        <v>0</v>
      </c>
      <c r="AH163" s="133">
        <f t="shared" si="42"/>
        <v>0</v>
      </c>
      <c r="AI163" s="133">
        <f t="shared" si="42"/>
        <v>0</v>
      </c>
      <c r="AJ163" s="55" t="str">
        <f t="shared" si="30"/>
        <v/>
      </c>
      <c r="AK163" s="68"/>
      <c r="AL163" s="68" t="str">
        <f t="shared" si="33"/>
        <v>00</v>
      </c>
      <c r="AM163" s="68" t="str">
        <f t="shared" si="34"/>
        <v>00</v>
      </c>
      <c r="AN163" s="68" t="str">
        <f t="shared" si="35"/>
        <v>00</v>
      </c>
      <c r="AO163" s="68" t="str">
        <f t="shared" si="36"/>
        <v>00</v>
      </c>
      <c r="AQ163" t="str">
        <f t="shared" si="31"/>
        <v/>
      </c>
    </row>
    <row r="164" spans="2:43">
      <c r="B164" s="139"/>
      <c r="C164" s="55">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0</v>
      </c>
      <c r="AE164" s="133">
        <f t="shared" si="42"/>
        <v>0</v>
      </c>
      <c r="AF164" s="133">
        <f t="shared" si="42"/>
        <v>0</v>
      </c>
      <c r="AG164" s="133">
        <f t="shared" si="42"/>
        <v>0</v>
      </c>
      <c r="AH164" s="133">
        <f t="shared" si="42"/>
        <v>0</v>
      </c>
      <c r="AI164" s="133">
        <f t="shared" si="42"/>
        <v>0</v>
      </c>
      <c r="AJ164" s="55" t="str">
        <f t="shared" si="30"/>
        <v/>
      </c>
      <c r="AK164" s="68"/>
      <c r="AL164" s="68" t="str">
        <f t="shared" si="33"/>
        <v>00</v>
      </c>
      <c r="AM164" s="68" t="str">
        <f t="shared" si="34"/>
        <v>00</v>
      </c>
      <c r="AN164" s="68" t="str">
        <f t="shared" si="35"/>
        <v>00</v>
      </c>
      <c r="AO164" s="68" t="str">
        <f t="shared" si="36"/>
        <v>00</v>
      </c>
      <c r="AQ164" t="str">
        <f t="shared" si="31"/>
        <v/>
      </c>
    </row>
    <row r="165" spans="2:43">
      <c r="B165" s="139"/>
      <c r="C165" s="55">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0</v>
      </c>
      <c r="AE165" s="133">
        <f t="shared" si="42"/>
        <v>0</v>
      </c>
      <c r="AF165" s="133">
        <f t="shared" si="42"/>
        <v>0</v>
      </c>
      <c r="AG165" s="133">
        <f t="shared" si="42"/>
        <v>0</v>
      </c>
      <c r="AH165" s="133">
        <f t="shared" si="42"/>
        <v>0</v>
      </c>
      <c r="AI165" s="133">
        <f t="shared" si="42"/>
        <v>0</v>
      </c>
      <c r="AJ165" s="55" t="str">
        <f t="shared" si="30"/>
        <v/>
      </c>
      <c r="AK165" s="68"/>
      <c r="AL165" s="68" t="str">
        <f t="shared" si="33"/>
        <v>00</v>
      </c>
      <c r="AM165" s="68" t="str">
        <f t="shared" si="34"/>
        <v>00</v>
      </c>
      <c r="AN165" s="68" t="str">
        <f t="shared" si="35"/>
        <v>00</v>
      </c>
      <c r="AO165" s="68" t="str">
        <f t="shared" si="36"/>
        <v>00</v>
      </c>
      <c r="AQ165" t="str">
        <f t="shared" si="31"/>
        <v/>
      </c>
    </row>
    <row r="166" spans="2:43">
      <c r="B166" s="139"/>
      <c r="C166" s="55">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0</v>
      </c>
      <c r="AE166" s="133">
        <f t="shared" si="42"/>
        <v>0</v>
      </c>
      <c r="AF166" s="133">
        <f t="shared" si="42"/>
        <v>0</v>
      </c>
      <c r="AG166" s="133">
        <f t="shared" si="42"/>
        <v>0</v>
      </c>
      <c r="AH166" s="133">
        <f t="shared" si="42"/>
        <v>0</v>
      </c>
      <c r="AI166" s="133">
        <f t="shared" si="42"/>
        <v>0</v>
      </c>
      <c r="AJ166" s="55" t="str">
        <f t="shared" si="30"/>
        <v/>
      </c>
      <c r="AK166" s="68"/>
      <c r="AL166" s="68" t="str">
        <f t="shared" si="33"/>
        <v>00</v>
      </c>
      <c r="AM166" s="68" t="str">
        <f t="shared" si="34"/>
        <v>00</v>
      </c>
      <c r="AN166" s="68" t="str">
        <f t="shared" si="35"/>
        <v>00</v>
      </c>
      <c r="AO166" s="68" t="str">
        <f t="shared" si="36"/>
        <v>00</v>
      </c>
      <c r="AQ166" t="str">
        <f t="shared" si="31"/>
        <v/>
      </c>
    </row>
    <row r="167" spans="2:43">
      <c r="B167" s="139"/>
      <c r="C167" s="55">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0</v>
      </c>
      <c r="AE167" s="133">
        <f t="shared" si="42"/>
        <v>0</v>
      </c>
      <c r="AF167" s="133">
        <f t="shared" si="42"/>
        <v>0</v>
      </c>
      <c r="AG167" s="133">
        <f t="shared" si="42"/>
        <v>0</v>
      </c>
      <c r="AH167" s="133">
        <f t="shared" si="42"/>
        <v>0</v>
      </c>
      <c r="AI167" s="133">
        <f t="shared" ref="AI167" si="43">IF(OR(AI37=0,AI37=1),1,0)</f>
        <v>0</v>
      </c>
      <c r="AJ167" s="55" t="str">
        <f t="shared" si="30"/>
        <v/>
      </c>
      <c r="AK167" s="68"/>
      <c r="AL167" s="68" t="str">
        <f t="shared" si="33"/>
        <v>00</v>
      </c>
      <c r="AM167" s="68" t="str">
        <f t="shared" si="34"/>
        <v>00</v>
      </c>
      <c r="AN167" s="68" t="str">
        <f t="shared" si="35"/>
        <v>00</v>
      </c>
      <c r="AO167" s="68" t="str">
        <f t="shared" si="36"/>
        <v>00</v>
      </c>
      <c r="AQ167" t="str">
        <f t="shared" si="31"/>
        <v/>
      </c>
    </row>
    <row r="168" spans="2:43">
      <c r="B168" s="139"/>
      <c r="C168" s="55">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0</v>
      </c>
      <c r="AE168" s="133">
        <f t="shared" si="44"/>
        <v>0</v>
      </c>
      <c r="AF168" s="133">
        <f t="shared" si="44"/>
        <v>0</v>
      </c>
      <c r="AG168" s="133">
        <f t="shared" si="44"/>
        <v>0</v>
      </c>
      <c r="AH168" s="133">
        <f t="shared" si="44"/>
        <v>0</v>
      </c>
      <c r="AI168" s="133">
        <f t="shared" si="44"/>
        <v>0</v>
      </c>
      <c r="AJ168" s="55" t="str">
        <f t="shared" si="30"/>
        <v/>
      </c>
      <c r="AK168" s="68"/>
      <c r="AL168" s="68" t="str">
        <f t="shared" si="33"/>
        <v>00</v>
      </c>
      <c r="AM168" s="68" t="str">
        <f t="shared" si="34"/>
        <v>00</v>
      </c>
      <c r="AN168" s="68" t="str">
        <f t="shared" si="35"/>
        <v>00</v>
      </c>
      <c r="AO168" s="68" t="str">
        <f t="shared" si="36"/>
        <v>00</v>
      </c>
      <c r="AQ168" t="str">
        <f t="shared" si="31"/>
        <v/>
      </c>
    </row>
    <row r="169" spans="2:43">
      <c r="B169" s="139"/>
      <c r="C169" s="55">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0</v>
      </c>
      <c r="AE169" s="133">
        <f t="shared" si="44"/>
        <v>0</v>
      </c>
      <c r="AF169" s="133">
        <f t="shared" si="44"/>
        <v>0</v>
      </c>
      <c r="AG169" s="133">
        <f t="shared" si="44"/>
        <v>0</v>
      </c>
      <c r="AH169" s="133">
        <f t="shared" si="44"/>
        <v>0</v>
      </c>
      <c r="AI169" s="133">
        <f t="shared" si="44"/>
        <v>0</v>
      </c>
      <c r="AJ169" s="55" t="str">
        <f t="shared" si="30"/>
        <v/>
      </c>
      <c r="AK169" s="68"/>
      <c r="AL169" s="68" t="str">
        <f t="shared" si="33"/>
        <v>00</v>
      </c>
      <c r="AM169" s="68" t="str">
        <f t="shared" si="34"/>
        <v>00</v>
      </c>
      <c r="AN169" s="68" t="str">
        <f t="shared" si="35"/>
        <v>00</v>
      </c>
      <c r="AO169" s="68" t="str">
        <f t="shared" si="36"/>
        <v>00</v>
      </c>
      <c r="AQ169" t="str">
        <f t="shared" si="31"/>
        <v/>
      </c>
    </row>
    <row r="170" spans="2:43">
      <c r="B170" s="139"/>
      <c r="C170" s="55">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0</v>
      </c>
      <c r="AE170" s="133">
        <f t="shared" si="44"/>
        <v>0</v>
      </c>
      <c r="AF170" s="133">
        <f t="shared" si="44"/>
        <v>0</v>
      </c>
      <c r="AG170" s="133">
        <f t="shared" si="44"/>
        <v>0</v>
      </c>
      <c r="AH170" s="133">
        <f t="shared" si="44"/>
        <v>0</v>
      </c>
      <c r="AI170" s="133">
        <f t="shared" si="44"/>
        <v>0</v>
      </c>
      <c r="AJ170" s="55" t="str">
        <f t="shared" si="30"/>
        <v/>
      </c>
      <c r="AK170" s="68"/>
      <c r="AL170" s="68" t="str">
        <f t="shared" si="33"/>
        <v>00</v>
      </c>
      <c r="AM170" s="68" t="str">
        <f t="shared" si="34"/>
        <v>00</v>
      </c>
      <c r="AN170" s="68" t="str">
        <f t="shared" si="35"/>
        <v>00</v>
      </c>
      <c r="AO170" s="68" t="str">
        <f t="shared" si="36"/>
        <v>00</v>
      </c>
      <c r="AQ170" t="str">
        <f t="shared" si="31"/>
        <v/>
      </c>
    </row>
    <row r="171" spans="2:43">
      <c r="B171" s="139"/>
      <c r="C171" s="55">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0</v>
      </c>
      <c r="AE171" s="133">
        <f t="shared" si="44"/>
        <v>0</v>
      </c>
      <c r="AF171" s="133">
        <f t="shared" si="44"/>
        <v>0</v>
      </c>
      <c r="AG171" s="133">
        <f t="shared" si="44"/>
        <v>0</v>
      </c>
      <c r="AH171" s="133">
        <f t="shared" si="44"/>
        <v>0</v>
      </c>
      <c r="AI171" s="133">
        <f t="shared" si="44"/>
        <v>0</v>
      </c>
      <c r="AJ171" s="55" t="str">
        <f t="shared" si="30"/>
        <v/>
      </c>
      <c r="AK171" s="68"/>
      <c r="AL171" s="68" t="str">
        <f t="shared" si="33"/>
        <v>00</v>
      </c>
      <c r="AM171" s="68" t="str">
        <f t="shared" si="34"/>
        <v>00</v>
      </c>
      <c r="AN171" s="68" t="str">
        <f t="shared" si="35"/>
        <v>00</v>
      </c>
      <c r="AO171" s="68" t="str">
        <f t="shared" si="36"/>
        <v>00</v>
      </c>
      <c r="AQ171" t="str">
        <f t="shared" si="31"/>
        <v/>
      </c>
    </row>
    <row r="172" spans="2:43">
      <c r="B172" s="139"/>
      <c r="C172" s="55">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0</v>
      </c>
      <c r="AE172" s="133">
        <f t="shared" si="44"/>
        <v>0</v>
      </c>
      <c r="AF172" s="133">
        <f t="shared" si="44"/>
        <v>0</v>
      </c>
      <c r="AG172" s="133">
        <f t="shared" si="44"/>
        <v>0</v>
      </c>
      <c r="AH172" s="133">
        <f t="shared" si="44"/>
        <v>0</v>
      </c>
      <c r="AI172" s="133">
        <f t="shared" si="44"/>
        <v>0</v>
      </c>
      <c r="AJ172" s="55" t="str">
        <f t="shared" si="30"/>
        <v/>
      </c>
      <c r="AK172" s="68"/>
      <c r="AL172" s="68" t="str">
        <f t="shared" si="33"/>
        <v>00</v>
      </c>
      <c r="AM172" s="68" t="str">
        <f t="shared" si="34"/>
        <v>00</v>
      </c>
      <c r="AN172" s="68" t="str">
        <f t="shared" si="35"/>
        <v>00</v>
      </c>
      <c r="AO172" s="68" t="str">
        <f t="shared" si="36"/>
        <v>00</v>
      </c>
      <c r="AQ172" t="str">
        <f t="shared" si="31"/>
        <v/>
      </c>
    </row>
    <row r="173" spans="2:43">
      <c r="B173" s="139"/>
      <c r="C173" s="55">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0</v>
      </c>
      <c r="AE173" s="133">
        <f t="shared" si="44"/>
        <v>0</v>
      </c>
      <c r="AF173" s="133">
        <f t="shared" si="44"/>
        <v>0</v>
      </c>
      <c r="AG173" s="133">
        <f t="shared" si="44"/>
        <v>0</v>
      </c>
      <c r="AH173" s="133">
        <f t="shared" si="44"/>
        <v>0</v>
      </c>
      <c r="AI173" s="133">
        <f t="shared" si="44"/>
        <v>0</v>
      </c>
      <c r="AJ173" s="55" t="str">
        <f t="shared" si="30"/>
        <v/>
      </c>
      <c r="AK173" s="68"/>
      <c r="AL173" s="68" t="str">
        <f t="shared" si="33"/>
        <v>00</v>
      </c>
      <c r="AM173" s="68" t="str">
        <f t="shared" si="34"/>
        <v>00</v>
      </c>
      <c r="AN173" s="68" t="str">
        <f t="shared" si="35"/>
        <v>00</v>
      </c>
      <c r="AO173" s="68" t="str">
        <f t="shared" si="36"/>
        <v>00</v>
      </c>
      <c r="AQ173" t="str">
        <f t="shared" si="31"/>
        <v/>
      </c>
    </row>
    <row r="174" spans="2:43">
      <c r="B174" s="139"/>
      <c r="C174" s="55">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0</v>
      </c>
      <c r="AE174" s="133">
        <f t="shared" si="44"/>
        <v>0</v>
      </c>
      <c r="AF174" s="133">
        <f t="shared" si="44"/>
        <v>0</v>
      </c>
      <c r="AG174" s="133">
        <f t="shared" si="44"/>
        <v>0</v>
      </c>
      <c r="AH174" s="133">
        <f t="shared" si="44"/>
        <v>0</v>
      </c>
      <c r="AI174" s="133">
        <f t="shared" si="44"/>
        <v>0</v>
      </c>
      <c r="AJ174" s="55" t="str">
        <f t="shared" si="30"/>
        <v/>
      </c>
      <c r="AK174" s="68"/>
      <c r="AL174" s="68" t="str">
        <f t="shared" si="33"/>
        <v>00</v>
      </c>
      <c r="AM174" s="68" t="str">
        <f t="shared" si="34"/>
        <v>00</v>
      </c>
      <c r="AN174" s="68" t="str">
        <f t="shared" si="35"/>
        <v>00</v>
      </c>
      <c r="AO174" s="68" t="str">
        <f t="shared" si="36"/>
        <v>00</v>
      </c>
      <c r="AQ174" t="str">
        <f t="shared" si="31"/>
        <v/>
      </c>
    </row>
    <row r="175" spans="2:43">
      <c r="B175" s="139"/>
      <c r="C175" s="55">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0</v>
      </c>
      <c r="AE175" s="133">
        <f t="shared" si="44"/>
        <v>0</v>
      </c>
      <c r="AF175" s="133">
        <f t="shared" si="44"/>
        <v>0</v>
      </c>
      <c r="AG175" s="133">
        <f t="shared" si="44"/>
        <v>0</v>
      </c>
      <c r="AH175" s="133">
        <f t="shared" si="44"/>
        <v>0</v>
      </c>
      <c r="AI175" s="133">
        <f t="shared" ref="AI175" si="45">IF(OR(AI45=0,AI45=1),1,0)</f>
        <v>0</v>
      </c>
      <c r="AJ175" s="55" t="str">
        <f t="shared" si="30"/>
        <v/>
      </c>
      <c r="AK175" s="68"/>
      <c r="AL175" s="68" t="str">
        <f t="shared" si="33"/>
        <v>00</v>
      </c>
      <c r="AM175" s="68" t="str">
        <f t="shared" si="34"/>
        <v>00</v>
      </c>
      <c r="AN175" s="68" t="str">
        <f t="shared" si="35"/>
        <v>00</v>
      </c>
      <c r="AO175" s="68" t="str">
        <f t="shared" si="36"/>
        <v>00</v>
      </c>
      <c r="AQ175" t="str">
        <f t="shared" si="31"/>
        <v/>
      </c>
    </row>
    <row r="176" spans="2:43">
      <c r="B176" s="139"/>
      <c r="C176" s="55">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0</v>
      </c>
      <c r="AE176" s="133">
        <f t="shared" si="46"/>
        <v>0</v>
      </c>
      <c r="AF176" s="133">
        <f t="shared" si="46"/>
        <v>0</v>
      </c>
      <c r="AG176" s="133">
        <f t="shared" si="46"/>
        <v>0</v>
      </c>
      <c r="AH176" s="133">
        <f t="shared" si="46"/>
        <v>0</v>
      </c>
      <c r="AI176" s="133">
        <f t="shared" si="46"/>
        <v>0</v>
      </c>
      <c r="AJ176" s="55" t="str">
        <f t="shared" si="30"/>
        <v/>
      </c>
      <c r="AK176" s="68"/>
      <c r="AL176" s="68" t="str">
        <f t="shared" si="33"/>
        <v>00</v>
      </c>
      <c r="AM176" s="68" t="str">
        <f t="shared" si="34"/>
        <v>00</v>
      </c>
      <c r="AN176" s="68" t="str">
        <f t="shared" si="35"/>
        <v>00</v>
      </c>
      <c r="AO176" s="68" t="str">
        <f t="shared" si="36"/>
        <v>00</v>
      </c>
      <c r="AQ176" t="str">
        <f t="shared" si="31"/>
        <v/>
      </c>
    </row>
    <row r="177" spans="2:43">
      <c r="B177" s="139"/>
      <c r="C177" s="55">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0</v>
      </c>
      <c r="AE177" s="133">
        <f t="shared" si="46"/>
        <v>0</v>
      </c>
      <c r="AF177" s="133">
        <f t="shared" si="46"/>
        <v>0</v>
      </c>
      <c r="AG177" s="133">
        <f t="shared" si="46"/>
        <v>0</v>
      </c>
      <c r="AH177" s="133">
        <f t="shared" si="46"/>
        <v>0</v>
      </c>
      <c r="AI177" s="133">
        <f t="shared" si="46"/>
        <v>0</v>
      </c>
      <c r="AJ177" s="55" t="str">
        <f t="shared" si="30"/>
        <v/>
      </c>
      <c r="AK177" s="68"/>
      <c r="AL177" s="68" t="str">
        <f t="shared" si="33"/>
        <v>00</v>
      </c>
      <c r="AM177" s="68" t="str">
        <f t="shared" si="34"/>
        <v>00</v>
      </c>
      <c r="AN177" s="68" t="str">
        <f t="shared" si="35"/>
        <v>00</v>
      </c>
      <c r="AO177" s="68" t="str">
        <f t="shared" si="36"/>
        <v>00</v>
      </c>
      <c r="AQ177" t="str">
        <f t="shared" si="31"/>
        <v/>
      </c>
    </row>
    <row r="178" spans="2:43">
      <c r="B178" s="139"/>
      <c r="C178" s="55">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0</v>
      </c>
      <c r="AE178" s="133">
        <f t="shared" si="46"/>
        <v>0</v>
      </c>
      <c r="AF178" s="133">
        <f t="shared" si="46"/>
        <v>0</v>
      </c>
      <c r="AG178" s="133">
        <f t="shared" si="46"/>
        <v>0</v>
      </c>
      <c r="AH178" s="133">
        <f t="shared" si="46"/>
        <v>0</v>
      </c>
      <c r="AI178" s="133">
        <f t="shared" si="46"/>
        <v>0</v>
      </c>
      <c r="AJ178" s="55" t="str">
        <f t="shared" si="30"/>
        <v/>
      </c>
      <c r="AK178" s="68"/>
      <c r="AL178" s="68" t="str">
        <f t="shared" si="33"/>
        <v>00</v>
      </c>
      <c r="AM178" s="68" t="str">
        <f t="shared" si="34"/>
        <v>00</v>
      </c>
      <c r="AN178" s="68" t="str">
        <f t="shared" si="35"/>
        <v>00</v>
      </c>
      <c r="AO178" s="68" t="str">
        <f t="shared" si="36"/>
        <v>00</v>
      </c>
      <c r="AQ178" t="str">
        <f t="shared" si="31"/>
        <v/>
      </c>
    </row>
    <row r="179" spans="2:43">
      <c r="B179" s="139"/>
      <c r="C179" s="55">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0</v>
      </c>
      <c r="AE179" s="133">
        <f t="shared" si="46"/>
        <v>0</v>
      </c>
      <c r="AF179" s="133">
        <f t="shared" si="46"/>
        <v>0</v>
      </c>
      <c r="AG179" s="133">
        <f t="shared" si="46"/>
        <v>0</v>
      </c>
      <c r="AH179" s="133">
        <f t="shared" si="46"/>
        <v>0</v>
      </c>
      <c r="AI179" s="133">
        <f t="shared" si="46"/>
        <v>0</v>
      </c>
      <c r="AJ179" s="55" t="str">
        <f t="shared" si="30"/>
        <v/>
      </c>
      <c r="AK179" s="68"/>
      <c r="AL179" s="68" t="str">
        <f t="shared" si="33"/>
        <v>00</v>
      </c>
      <c r="AM179" s="68" t="str">
        <f t="shared" si="34"/>
        <v>00</v>
      </c>
      <c r="AN179" s="68" t="str">
        <f t="shared" si="35"/>
        <v>00</v>
      </c>
      <c r="AO179" s="68" t="str">
        <f t="shared" si="36"/>
        <v>00</v>
      </c>
      <c r="AQ179" t="str">
        <f t="shared" si="31"/>
        <v/>
      </c>
    </row>
    <row r="180" spans="2:43">
      <c r="B180" s="139"/>
      <c r="C180" s="55">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0</v>
      </c>
      <c r="AE180" s="133">
        <f t="shared" si="46"/>
        <v>0</v>
      </c>
      <c r="AF180" s="133">
        <f t="shared" si="46"/>
        <v>0</v>
      </c>
      <c r="AG180" s="133">
        <f t="shared" si="46"/>
        <v>0</v>
      </c>
      <c r="AH180" s="133">
        <f t="shared" si="46"/>
        <v>0</v>
      </c>
      <c r="AI180" s="133">
        <f t="shared" si="46"/>
        <v>0</v>
      </c>
      <c r="AJ180" s="55" t="str">
        <f t="shared" si="30"/>
        <v/>
      </c>
      <c r="AK180" s="68"/>
      <c r="AL180" s="68" t="str">
        <f t="shared" si="33"/>
        <v>00</v>
      </c>
      <c r="AM180" s="68" t="str">
        <f t="shared" si="34"/>
        <v>00</v>
      </c>
      <c r="AN180" s="68" t="str">
        <f t="shared" si="35"/>
        <v>00</v>
      </c>
      <c r="AO180" s="68" t="str">
        <f t="shared" si="36"/>
        <v>00</v>
      </c>
      <c r="AQ180" t="str">
        <f t="shared" si="31"/>
        <v/>
      </c>
    </row>
    <row r="181" spans="2:43">
      <c r="B181" s="139"/>
      <c r="C181" s="55">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0</v>
      </c>
      <c r="AE181" s="133">
        <f t="shared" si="46"/>
        <v>0</v>
      </c>
      <c r="AF181" s="133">
        <f t="shared" si="46"/>
        <v>0</v>
      </c>
      <c r="AG181" s="133">
        <f t="shared" si="46"/>
        <v>0</v>
      </c>
      <c r="AH181" s="133">
        <f t="shared" si="46"/>
        <v>0</v>
      </c>
      <c r="AI181" s="133">
        <f t="shared" si="46"/>
        <v>0</v>
      </c>
      <c r="AJ181" s="55" t="str">
        <f t="shared" si="30"/>
        <v/>
      </c>
      <c r="AK181" s="68"/>
      <c r="AL181" s="68" t="str">
        <f t="shared" si="33"/>
        <v>00</v>
      </c>
      <c r="AM181" s="68" t="str">
        <f t="shared" si="34"/>
        <v>00</v>
      </c>
      <c r="AN181" s="68" t="str">
        <f t="shared" si="35"/>
        <v>00</v>
      </c>
      <c r="AO181" s="68" t="str">
        <f t="shared" si="36"/>
        <v>00</v>
      </c>
      <c r="AQ181" t="str">
        <f t="shared" si="31"/>
        <v/>
      </c>
    </row>
    <row r="182" spans="2:43">
      <c r="B182" s="139"/>
      <c r="C182" s="55">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0</v>
      </c>
      <c r="AE182" s="133">
        <f t="shared" si="46"/>
        <v>0</v>
      </c>
      <c r="AF182" s="133">
        <f t="shared" si="46"/>
        <v>0</v>
      </c>
      <c r="AG182" s="133">
        <f t="shared" si="46"/>
        <v>0</v>
      </c>
      <c r="AH182" s="133">
        <f t="shared" si="46"/>
        <v>0</v>
      </c>
      <c r="AI182" s="133">
        <f t="shared" si="46"/>
        <v>0</v>
      </c>
      <c r="AJ182" s="55" t="str">
        <f t="shared" si="30"/>
        <v/>
      </c>
      <c r="AK182" s="68"/>
      <c r="AL182" s="68" t="str">
        <f t="shared" si="33"/>
        <v>00</v>
      </c>
      <c r="AM182" s="68" t="str">
        <f t="shared" si="34"/>
        <v>00</v>
      </c>
      <c r="AN182" s="68" t="str">
        <f t="shared" si="35"/>
        <v>00</v>
      </c>
      <c r="AO182" s="68" t="str">
        <f t="shared" si="36"/>
        <v>00</v>
      </c>
      <c r="AQ182" t="str">
        <f t="shared" si="31"/>
        <v/>
      </c>
    </row>
    <row r="183" spans="2:43">
      <c r="B183" s="139"/>
      <c r="C183" s="55">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0</v>
      </c>
      <c r="AE183" s="133">
        <f t="shared" si="46"/>
        <v>0</v>
      </c>
      <c r="AF183" s="133">
        <f t="shared" si="46"/>
        <v>0</v>
      </c>
      <c r="AG183" s="133">
        <f t="shared" si="46"/>
        <v>0</v>
      </c>
      <c r="AH183" s="133">
        <f t="shared" si="46"/>
        <v>0</v>
      </c>
      <c r="AI183" s="133">
        <f t="shared" ref="AI183" si="47">IF(OR(AI53=0,AI53=1),1,0)</f>
        <v>0</v>
      </c>
      <c r="AJ183" s="55" t="str">
        <f t="shared" si="30"/>
        <v/>
      </c>
      <c r="AK183" s="68"/>
      <c r="AL183" s="68" t="str">
        <f t="shared" si="33"/>
        <v>00</v>
      </c>
      <c r="AM183" s="68" t="str">
        <f t="shared" si="34"/>
        <v>00</v>
      </c>
      <c r="AN183" s="68" t="str">
        <f t="shared" si="35"/>
        <v>00</v>
      </c>
      <c r="AO183" s="68" t="str">
        <f t="shared" si="36"/>
        <v>00</v>
      </c>
      <c r="AQ183" t="str">
        <f t="shared" si="31"/>
        <v/>
      </c>
    </row>
    <row r="184" spans="2:43">
      <c r="B184" s="139"/>
      <c r="C184" s="55">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0</v>
      </c>
      <c r="AE184" s="133">
        <f t="shared" si="48"/>
        <v>0</v>
      </c>
      <c r="AF184" s="133">
        <f t="shared" si="48"/>
        <v>0</v>
      </c>
      <c r="AG184" s="133">
        <f t="shared" si="48"/>
        <v>0</v>
      </c>
      <c r="AH184" s="133">
        <f t="shared" si="48"/>
        <v>0</v>
      </c>
      <c r="AI184" s="133">
        <f t="shared" si="48"/>
        <v>0</v>
      </c>
      <c r="AJ184" s="55" t="str">
        <f t="shared" si="30"/>
        <v/>
      </c>
      <c r="AK184" s="68"/>
      <c r="AL184" s="68" t="str">
        <f t="shared" si="33"/>
        <v>00</v>
      </c>
      <c r="AM184" s="68" t="str">
        <f t="shared" si="34"/>
        <v>00</v>
      </c>
      <c r="AN184" s="68" t="str">
        <f t="shared" si="35"/>
        <v>00</v>
      </c>
      <c r="AO184" s="68" t="str">
        <f t="shared" si="36"/>
        <v>00</v>
      </c>
      <c r="AQ184" t="str">
        <f t="shared" si="31"/>
        <v/>
      </c>
    </row>
    <row r="185" spans="2:43">
      <c r="B185" s="139"/>
      <c r="C185" s="55">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0</v>
      </c>
      <c r="AE185" s="133">
        <f t="shared" si="48"/>
        <v>0</v>
      </c>
      <c r="AF185" s="133">
        <f t="shared" si="48"/>
        <v>0</v>
      </c>
      <c r="AG185" s="133">
        <f t="shared" si="48"/>
        <v>0</v>
      </c>
      <c r="AH185" s="133">
        <f t="shared" si="48"/>
        <v>0</v>
      </c>
      <c r="AI185" s="133">
        <f t="shared" si="48"/>
        <v>0</v>
      </c>
      <c r="AJ185" s="55" t="str">
        <f t="shared" si="30"/>
        <v/>
      </c>
      <c r="AK185" s="68"/>
      <c r="AL185" s="68" t="str">
        <f t="shared" si="33"/>
        <v>00</v>
      </c>
      <c r="AM185" s="68" t="str">
        <f t="shared" si="34"/>
        <v>00</v>
      </c>
      <c r="AN185" s="68" t="str">
        <f t="shared" si="35"/>
        <v>00</v>
      </c>
      <c r="AO185" s="68" t="str">
        <f t="shared" si="36"/>
        <v>00</v>
      </c>
      <c r="AQ185" t="str">
        <f t="shared" si="31"/>
        <v/>
      </c>
    </row>
    <row r="186" spans="2:43">
      <c r="B186" s="139"/>
      <c r="C186" s="55">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0</v>
      </c>
      <c r="AE186" s="133">
        <f t="shared" si="48"/>
        <v>0</v>
      </c>
      <c r="AF186" s="133">
        <f t="shared" si="48"/>
        <v>0</v>
      </c>
      <c r="AG186" s="133">
        <f t="shared" si="48"/>
        <v>0</v>
      </c>
      <c r="AH186" s="133">
        <f t="shared" si="48"/>
        <v>0</v>
      </c>
      <c r="AI186" s="133">
        <f t="shared" si="48"/>
        <v>0</v>
      </c>
      <c r="AJ186" s="55" t="str">
        <f t="shared" si="30"/>
        <v/>
      </c>
      <c r="AK186" s="68"/>
      <c r="AL186" s="68" t="str">
        <f t="shared" si="33"/>
        <v>00</v>
      </c>
      <c r="AM186" s="68" t="str">
        <f t="shared" si="34"/>
        <v>00</v>
      </c>
      <c r="AN186" s="68" t="str">
        <f t="shared" si="35"/>
        <v>00</v>
      </c>
      <c r="AO186" s="68" t="str">
        <f t="shared" si="36"/>
        <v>00</v>
      </c>
      <c r="AQ186" t="str">
        <f t="shared" si="31"/>
        <v/>
      </c>
    </row>
    <row r="187" spans="2:43">
      <c r="B187" s="139"/>
      <c r="C187" s="55">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0</v>
      </c>
      <c r="AE187" s="133">
        <f t="shared" si="48"/>
        <v>0</v>
      </c>
      <c r="AF187" s="133">
        <f t="shared" si="48"/>
        <v>0</v>
      </c>
      <c r="AG187" s="133">
        <f t="shared" si="48"/>
        <v>0</v>
      </c>
      <c r="AH187" s="133">
        <f t="shared" si="48"/>
        <v>0</v>
      </c>
      <c r="AI187" s="133">
        <f t="shared" si="48"/>
        <v>0</v>
      </c>
      <c r="AJ187" s="55" t="str">
        <f t="shared" si="30"/>
        <v/>
      </c>
      <c r="AK187" s="68"/>
      <c r="AL187" s="68" t="str">
        <f t="shared" si="33"/>
        <v>00</v>
      </c>
      <c r="AM187" s="68" t="str">
        <f t="shared" si="34"/>
        <v>00</v>
      </c>
      <c r="AN187" s="68" t="str">
        <f t="shared" si="35"/>
        <v>00</v>
      </c>
      <c r="AO187" s="68" t="str">
        <f t="shared" si="36"/>
        <v>00</v>
      </c>
      <c r="AQ187" t="str">
        <f t="shared" si="31"/>
        <v/>
      </c>
    </row>
    <row r="188" spans="2:43">
      <c r="B188" s="139"/>
      <c r="C188" s="55">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0</v>
      </c>
      <c r="AE188" s="133">
        <f t="shared" si="48"/>
        <v>0</v>
      </c>
      <c r="AF188" s="133">
        <f t="shared" si="48"/>
        <v>0</v>
      </c>
      <c r="AG188" s="133">
        <f t="shared" si="48"/>
        <v>0</v>
      </c>
      <c r="AH188" s="133">
        <f t="shared" si="48"/>
        <v>0</v>
      </c>
      <c r="AI188" s="133">
        <f t="shared" si="48"/>
        <v>0</v>
      </c>
      <c r="AJ188" s="55" t="str">
        <f t="shared" si="30"/>
        <v/>
      </c>
      <c r="AK188" s="68"/>
      <c r="AL188" s="68" t="str">
        <f t="shared" si="33"/>
        <v>00</v>
      </c>
      <c r="AM188" s="68" t="str">
        <f t="shared" si="34"/>
        <v>00</v>
      </c>
      <c r="AN188" s="68" t="str">
        <f t="shared" si="35"/>
        <v>00</v>
      </c>
      <c r="AO188" s="68" t="str">
        <f t="shared" si="36"/>
        <v>00</v>
      </c>
      <c r="AQ188" t="str">
        <f t="shared" si="31"/>
        <v/>
      </c>
    </row>
    <row r="189" spans="2:43">
      <c r="B189" s="139"/>
      <c r="C189" s="55">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0</v>
      </c>
      <c r="AE189" s="133">
        <f t="shared" si="48"/>
        <v>0</v>
      </c>
      <c r="AF189" s="133">
        <f t="shared" si="48"/>
        <v>0</v>
      </c>
      <c r="AG189" s="133">
        <f t="shared" si="48"/>
        <v>0</v>
      </c>
      <c r="AH189" s="133">
        <f t="shared" si="48"/>
        <v>0</v>
      </c>
      <c r="AI189" s="133">
        <f t="shared" si="48"/>
        <v>0</v>
      </c>
      <c r="AJ189" s="55" t="str">
        <f t="shared" si="30"/>
        <v/>
      </c>
      <c r="AK189" s="68"/>
      <c r="AL189" s="68" t="str">
        <f t="shared" si="33"/>
        <v>00</v>
      </c>
      <c r="AM189" s="68" t="str">
        <f t="shared" si="34"/>
        <v>00</v>
      </c>
      <c r="AN189" s="68" t="str">
        <f t="shared" si="35"/>
        <v>00</v>
      </c>
      <c r="AO189" s="68" t="str">
        <f t="shared" si="36"/>
        <v>00</v>
      </c>
      <c r="AQ189" t="str">
        <f t="shared" si="31"/>
        <v/>
      </c>
    </row>
    <row r="190" spans="2:43">
      <c r="B190" s="139"/>
      <c r="C190" s="55">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0</v>
      </c>
      <c r="AE190" s="133">
        <f t="shared" si="48"/>
        <v>0</v>
      </c>
      <c r="AF190" s="133">
        <f t="shared" si="48"/>
        <v>0</v>
      </c>
      <c r="AG190" s="133">
        <f t="shared" si="48"/>
        <v>0</v>
      </c>
      <c r="AH190" s="133">
        <f t="shared" si="48"/>
        <v>0</v>
      </c>
      <c r="AI190" s="133">
        <f t="shared" si="48"/>
        <v>0</v>
      </c>
      <c r="AJ190" s="55" t="str">
        <f t="shared" si="30"/>
        <v/>
      </c>
      <c r="AK190" s="68"/>
      <c r="AL190" s="68" t="str">
        <f t="shared" si="33"/>
        <v>00</v>
      </c>
      <c r="AM190" s="68" t="str">
        <f t="shared" si="34"/>
        <v>00</v>
      </c>
      <c r="AN190" s="68" t="str">
        <f t="shared" si="35"/>
        <v>00</v>
      </c>
      <c r="AO190" s="68" t="str">
        <f t="shared" si="36"/>
        <v>00</v>
      </c>
      <c r="AQ190" t="str">
        <f t="shared" si="31"/>
        <v/>
      </c>
    </row>
    <row r="191" spans="2:43">
      <c r="B191" s="139"/>
      <c r="C191" s="55">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0</v>
      </c>
      <c r="AE191" s="133">
        <f t="shared" si="48"/>
        <v>0</v>
      </c>
      <c r="AF191" s="133">
        <f t="shared" si="48"/>
        <v>0</v>
      </c>
      <c r="AG191" s="133">
        <f t="shared" si="48"/>
        <v>0</v>
      </c>
      <c r="AH191" s="133">
        <f t="shared" si="48"/>
        <v>0</v>
      </c>
      <c r="AI191" s="133">
        <f t="shared" ref="AI191" si="49">IF(OR(AI61=0,AI61=1),1,0)</f>
        <v>0</v>
      </c>
      <c r="AJ191" s="55" t="str">
        <f t="shared" si="30"/>
        <v/>
      </c>
      <c r="AK191" s="68"/>
      <c r="AL191" s="68" t="str">
        <f t="shared" si="33"/>
        <v>00</v>
      </c>
      <c r="AM191" s="68" t="str">
        <f t="shared" si="34"/>
        <v>00</v>
      </c>
      <c r="AN191" s="68" t="str">
        <f t="shared" si="35"/>
        <v>00</v>
      </c>
      <c r="AO191" s="68" t="str">
        <f t="shared" si="36"/>
        <v>00</v>
      </c>
      <c r="AQ191" t="str">
        <f t="shared" si="31"/>
        <v/>
      </c>
    </row>
    <row r="192" spans="2:43">
      <c r="B192" s="139"/>
      <c r="C192" s="55">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0</v>
      </c>
      <c r="AE192" s="133">
        <f t="shared" si="50"/>
        <v>0</v>
      </c>
      <c r="AF192" s="133">
        <f t="shared" si="50"/>
        <v>0</v>
      </c>
      <c r="AG192" s="133">
        <f t="shared" si="50"/>
        <v>0</v>
      </c>
      <c r="AH192" s="133">
        <f t="shared" si="50"/>
        <v>0</v>
      </c>
      <c r="AI192" s="133">
        <f t="shared" si="50"/>
        <v>0</v>
      </c>
      <c r="AJ192" s="55" t="str">
        <f t="shared" si="30"/>
        <v/>
      </c>
      <c r="AK192" s="68"/>
      <c r="AL192" s="68" t="str">
        <f t="shared" si="33"/>
        <v>00</v>
      </c>
      <c r="AM192" s="68" t="str">
        <f t="shared" si="34"/>
        <v>00</v>
      </c>
      <c r="AN192" s="68" t="str">
        <f t="shared" si="35"/>
        <v>00</v>
      </c>
      <c r="AO192" s="68" t="str">
        <f t="shared" si="36"/>
        <v>00</v>
      </c>
      <c r="AQ192" t="str">
        <f t="shared" si="31"/>
        <v/>
      </c>
    </row>
    <row r="193" spans="2:43">
      <c r="B193" s="139"/>
      <c r="C193" s="55">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0</v>
      </c>
      <c r="AE193" s="133">
        <f t="shared" si="50"/>
        <v>0</v>
      </c>
      <c r="AF193" s="133">
        <f t="shared" si="50"/>
        <v>0</v>
      </c>
      <c r="AG193" s="133">
        <f t="shared" si="50"/>
        <v>0</v>
      </c>
      <c r="AH193" s="133">
        <f t="shared" si="50"/>
        <v>0</v>
      </c>
      <c r="AI193" s="133">
        <f t="shared" si="50"/>
        <v>0</v>
      </c>
      <c r="AJ193" s="55" t="str">
        <f t="shared" si="30"/>
        <v/>
      </c>
      <c r="AK193" s="68"/>
      <c r="AL193" s="68" t="str">
        <f t="shared" si="33"/>
        <v>00</v>
      </c>
      <c r="AM193" s="68" t="str">
        <f t="shared" si="34"/>
        <v>00</v>
      </c>
      <c r="AN193" s="68" t="str">
        <f t="shared" si="35"/>
        <v>00</v>
      </c>
      <c r="AO193" s="68" t="str">
        <f t="shared" si="36"/>
        <v>00</v>
      </c>
      <c r="AQ193" t="str">
        <f t="shared" si="31"/>
        <v/>
      </c>
    </row>
    <row r="194" spans="2:43">
      <c r="B194" s="139"/>
      <c r="C194" s="55">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0</v>
      </c>
      <c r="AE194" s="133">
        <f t="shared" si="50"/>
        <v>0</v>
      </c>
      <c r="AF194" s="133">
        <f t="shared" si="50"/>
        <v>0</v>
      </c>
      <c r="AG194" s="133">
        <f t="shared" si="50"/>
        <v>0</v>
      </c>
      <c r="AH194" s="133">
        <f t="shared" si="50"/>
        <v>0</v>
      </c>
      <c r="AI194" s="133">
        <f t="shared" si="50"/>
        <v>0</v>
      </c>
      <c r="AJ194" s="55" t="str">
        <f t="shared" si="30"/>
        <v/>
      </c>
      <c r="AK194" s="68"/>
      <c r="AL194" s="68" t="str">
        <f t="shared" si="33"/>
        <v>00</v>
      </c>
      <c r="AM194" s="68" t="str">
        <f t="shared" si="34"/>
        <v>00</v>
      </c>
      <c r="AN194" s="68" t="str">
        <f t="shared" si="35"/>
        <v>00</v>
      </c>
      <c r="AO194" s="68" t="str">
        <f t="shared" si="36"/>
        <v>00</v>
      </c>
      <c r="AQ194" t="str">
        <f t="shared" si="31"/>
        <v/>
      </c>
    </row>
    <row r="195" spans="2:43">
      <c r="B195" s="139"/>
      <c r="C195" s="55">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0</v>
      </c>
      <c r="AE195" s="133">
        <f t="shared" si="50"/>
        <v>0</v>
      </c>
      <c r="AF195" s="133">
        <f t="shared" si="50"/>
        <v>0</v>
      </c>
      <c r="AG195" s="133">
        <f t="shared" si="50"/>
        <v>0</v>
      </c>
      <c r="AH195" s="133">
        <f t="shared" si="50"/>
        <v>0</v>
      </c>
      <c r="AI195" s="133">
        <f t="shared" si="50"/>
        <v>0</v>
      </c>
      <c r="AJ195" s="55" t="str">
        <f t="shared" si="30"/>
        <v/>
      </c>
      <c r="AK195" s="68"/>
      <c r="AL195" s="68" t="str">
        <f t="shared" si="33"/>
        <v>00</v>
      </c>
      <c r="AM195" s="68" t="str">
        <f t="shared" si="34"/>
        <v>00</v>
      </c>
      <c r="AN195" s="68" t="str">
        <f t="shared" si="35"/>
        <v>00</v>
      </c>
      <c r="AO195" s="68" t="str">
        <f t="shared" si="36"/>
        <v>00</v>
      </c>
      <c r="AQ195" t="str">
        <f t="shared" si="31"/>
        <v/>
      </c>
    </row>
    <row r="196" spans="2:43">
      <c r="B196" s="139"/>
      <c r="C196" s="55">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0</v>
      </c>
      <c r="AE196" s="133">
        <f t="shared" si="50"/>
        <v>0</v>
      </c>
      <c r="AF196" s="133">
        <f t="shared" si="50"/>
        <v>0</v>
      </c>
      <c r="AG196" s="133">
        <f t="shared" si="50"/>
        <v>0</v>
      </c>
      <c r="AH196" s="133">
        <f t="shared" si="50"/>
        <v>0</v>
      </c>
      <c r="AI196" s="133">
        <f t="shared" si="50"/>
        <v>0</v>
      </c>
      <c r="AJ196" s="55" t="str">
        <f t="shared" si="30"/>
        <v/>
      </c>
      <c r="AK196" s="68"/>
      <c r="AL196" s="68" t="str">
        <f t="shared" si="33"/>
        <v>00</v>
      </c>
      <c r="AM196" s="68" t="str">
        <f t="shared" si="34"/>
        <v>00</v>
      </c>
      <c r="AN196" s="68" t="str">
        <f t="shared" si="35"/>
        <v>00</v>
      </c>
      <c r="AO196" s="68" t="str">
        <f t="shared" si="36"/>
        <v>00</v>
      </c>
      <c r="AQ196" t="str">
        <f t="shared" si="31"/>
        <v/>
      </c>
    </row>
    <row r="197" spans="2:43">
      <c r="B197" s="139"/>
      <c r="C197" s="55">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0</v>
      </c>
      <c r="AE197" s="133">
        <f t="shared" si="50"/>
        <v>0</v>
      </c>
      <c r="AF197" s="133">
        <f t="shared" si="50"/>
        <v>0</v>
      </c>
      <c r="AG197" s="133">
        <f t="shared" si="50"/>
        <v>0</v>
      </c>
      <c r="AH197" s="133">
        <f t="shared" si="50"/>
        <v>0</v>
      </c>
      <c r="AI197" s="133">
        <f t="shared" si="50"/>
        <v>0</v>
      </c>
      <c r="AJ197" s="55" t="str">
        <f t="shared" si="30"/>
        <v/>
      </c>
      <c r="AK197" s="68"/>
      <c r="AL197" s="68" t="str">
        <f t="shared" si="33"/>
        <v>00</v>
      </c>
      <c r="AM197" s="68" t="str">
        <f t="shared" si="34"/>
        <v>00</v>
      </c>
      <c r="AN197" s="68" t="str">
        <f t="shared" si="35"/>
        <v>00</v>
      </c>
      <c r="AO197" s="68" t="str">
        <f t="shared" si="36"/>
        <v>00</v>
      </c>
      <c r="AQ197" t="str">
        <f t="shared" si="31"/>
        <v/>
      </c>
    </row>
    <row r="198" spans="2:43">
      <c r="B198" s="139"/>
      <c r="C198" s="55">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0</v>
      </c>
      <c r="AE198" s="133">
        <f t="shared" si="50"/>
        <v>0</v>
      </c>
      <c r="AF198" s="133">
        <f t="shared" si="50"/>
        <v>0</v>
      </c>
      <c r="AG198" s="133">
        <f t="shared" si="50"/>
        <v>0</v>
      </c>
      <c r="AH198" s="133">
        <f t="shared" si="50"/>
        <v>0</v>
      </c>
      <c r="AI198" s="133">
        <f t="shared" si="50"/>
        <v>0</v>
      </c>
      <c r="AJ198" s="55" t="str">
        <f t="shared" si="30"/>
        <v/>
      </c>
      <c r="AK198" s="68"/>
      <c r="AL198" s="68" t="str">
        <f t="shared" si="33"/>
        <v>00</v>
      </c>
      <c r="AM198" s="68" t="str">
        <f t="shared" si="34"/>
        <v>00</v>
      </c>
      <c r="AN198" s="68" t="str">
        <f t="shared" si="35"/>
        <v>00</v>
      </c>
      <c r="AO198" s="68" t="str">
        <f t="shared" si="36"/>
        <v>00</v>
      </c>
      <c r="AQ198" t="str">
        <f t="shared" si="31"/>
        <v/>
      </c>
    </row>
    <row r="199" spans="2:43">
      <c r="B199" s="140"/>
      <c r="C199" s="55">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0</v>
      </c>
      <c r="AE199" s="133">
        <f t="shared" si="50"/>
        <v>0</v>
      </c>
      <c r="AF199" s="133">
        <f t="shared" si="50"/>
        <v>0</v>
      </c>
      <c r="AG199" s="133">
        <f t="shared" si="50"/>
        <v>0</v>
      </c>
      <c r="AH199" s="133">
        <f t="shared" si="50"/>
        <v>0</v>
      </c>
      <c r="AI199" s="133">
        <f t="shared" ref="AI199" si="51">IF(OR(AI69=0,AI69=1),1,0)</f>
        <v>0</v>
      </c>
      <c r="AJ199" s="55" t="str">
        <f t="shared" si="30"/>
        <v/>
      </c>
      <c r="AK199" s="68"/>
      <c r="AL199" s="68" t="str">
        <f t="shared" si="33"/>
        <v>00</v>
      </c>
      <c r="AM199" s="68" t="str">
        <f t="shared" si="34"/>
        <v>00</v>
      </c>
      <c r="AN199" s="68" t="str">
        <f t="shared" si="35"/>
        <v>00</v>
      </c>
      <c r="AO199" s="68" t="str">
        <f t="shared" si="36"/>
        <v>00</v>
      </c>
      <c r="AQ199" t="str">
        <f t="shared" si="31"/>
        <v/>
      </c>
    </row>
  </sheetData>
  <protectedRanges>
    <protectedRange sqref="D6:AJ69 L3:AI3" name="Table作成編集範囲"/>
    <protectedRange sqref="B3" name="Table作成編集範囲_2"/>
  </protectedRanges>
  <mergeCells count="3">
    <mergeCell ref="C2:C3"/>
    <mergeCell ref="AJ2:AJ3"/>
    <mergeCell ref="A4:B5"/>
  </mergeCells>
  <phoneticPr fontId="2"/>
  <conditionalFormatting sqref="D6:AI69">
    <cfRule type="cellIs" dxfId="14" priority="2" operator="equal">
      <formula>1</formula>
    </cfRule>
    <cfRule type="cellIs" dxfId="13" priority="3" operator="equal">
      <formula>"×"</formula>
    </cfRule>
  </conditionalFormatting>
  <conditionalFormatting sqref="AR5:AS70">
    <cfRule type="expression" dxfId="12"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tabColor rgb="FFCCECFF"/>
  </sheetPr>
  <dimension ref="A1:AW199"/>
  <sheetViews>
    <sheetView topLeftCell="AJ1" zoomScale="85" zoomScaleNormal="85" workbookViewId="0">
      <pane ySplit="3" topLeftCell="A4" activePane="bottomLeft" state="frozen"/>
      <selection pane="bottomLeft" activeCell="AU6" sqref="AU6:AU16"/>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2" t="s">
        <v>123</v>
      </c>
      <c r="C2" s="345" t="s">
        <v>84</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47" t="s">
        <v>155</v>
      </c>
    </row>
    <row r="3" spans="1:49" ht="213" customHeight="1" thickBot="1">
      <c r="B3" s="214" t="str">
        <f>IF(OR(IF(COUNTIF(D6:AC69,"0")&lt;&gt;0,TRUE,FALSE),IF(COUNTIF(D6:AC69,"1")&lt;&gt;0,TRUE,FALSE)),"Search Table","Index Table")</f>
        <v>Index Table</v>
      </c>
      <c r="C3" s="346"/>
      <c r="D3" s="134" t="s">
        <v>64</v>
      </c>
      <c r="E3" s="134" t="s">
        <v>69</v>
      </c>
      <c r="F3" s="134" t="s">
        <v>52</v>
      </c>
      <c r="G3" s="134" t="s">
        <v>51</v>
      </c>
      <c r="H3" s="134" t="s">
        <v>121</v>
      </c>
      <c r="I3" s="134" t="s">
        <v>120</v>
      </c>
      <c r="J3" s="134" t="s">
        <v>125</v>
      </c>
      <c r="K3" s="134" t="s">
        <v>124</v>
      </c>
      <c r="L3" s="135" t="s">
        <v>69</v>
      </c>
      <c r="M3" s="135" t="s">
        <v>65</v>
      </c>
      <c r="N3" s="135" t="s">
        <v>65</v>
      </c>
      <c r="O3" s="135" t="s">
        <v>65</v>
      </c>
      <c r="P3" s="135" t="s">
        <v>65</v>
      </c>
      <c r="Q3" s="135" t="s">
        <v>65</v>
      </c>
      <c r="R3" s="135" t="s">
        <v>65</v>
      </c>
      <c r="S3" s="135" t="s">
        <v>65</v>
      </c>
      <c r="T3" s="135" t="s">
        <v>65</v>
      </c>
      <c r="U3" s="135" t="s">
        <v>65</v>
      </c>
      <c r="V3" s="135" t="s">
        <v>65</v>
      </c>
      <c r="W3" s="135" t="s">
        <v>65</v>
      </c>
      <c r="X3" s="135" t="s">
        <v>65</v>
      </c>
      <c r="Y3" s="135" t="s">
        <v>65</v>
      </c>
      <c r="Z3" s="135" t="s">
        <v>65</v>
      </c>
      <c r="AA3" s="135" t="s">
        <v>65</v>
      </c>
      <c r="AB3" s="135" t="s">
        <v>69</v>
      </c>
      <c r="AC3" s="135" t="s">
        <v>65</v>
      </c>
      <c r="AD3" s="135" t="s">
        <v>69</v>
      </c>
      <c r="AE3" s="135" t="s">
        <v>65</v>
      </c>
      <c r="AF3" s="135" t="s">
        <v>69</v>
      </c>
      <c r="AG3" s="135" t="s">
        <v>65</v>
      </c>
      <c r="AH3" s="206" t="s">
        <v>216</v>
      </c>
      <c r="AI3" s="206" t="s">
        <v>434</v>
      </c>
      <c r="AJ3" s="348"/>
      <c r="AR3" s="101" t="s">
        <v>96</v>
      </c>
    </row>
    <row r="4" spans="1:49" ht="14.25" thickBot="1">
      <c r="A4" s="349" t="s">
        <v>66</v>
      </c>
      <c r="B4" s="350"/>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6"/>
      <c r="AR4" s="89" t="s">
        <v>82</v>
      </c>
      <c r="AS4" s="90"/>
      <c r="AT4" s="90"/>
      <c r="AU4" s="90"/>
      <c r="AV4" s="90"/>
      <c r="AW4" s="91"/>
    </row>
    <row r="5" spans="1:49" ht="14.25" thickBot="1">
      <c r="A5" s="351"/>
      <c r="B5" s="352"/>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7"/>
      <c r="AR5" s="92" t="str">
        <f ca="1">"static const U4  "&amp;AW8&amp;"["&amp;AW10&amp;"]"&amp;" = {"</f>
        <v>static const U4  u4_sp_ALERT_S_LCA_BC_CL_CRIT[ALERT_S_LCA_BC_CL_NUM_DST] = {</v>
      </c>
      <c r="AS5" s="92" t="str">
        <f ca="1">"static const U4  "&amp;$AW$9&amp;"["&amp;$AW$10&amp;"] = {"</f>
        <v>static const U4  u4_sp_ALERT_S_LCA_BC_CL_MASK[ALERT_S_LCA_BC_CL_NUM_DST] = {</v>
      </c>
      <c r="AT5" s="92" t="str">
        <f ca="1">"static const U1  "&amp;$AW$11&amp;"["&amp;$AW$10&amp;"] = {"</f>
        <v>static const U1  u1_sp_ALERT_S_LCA_BC_CL_DST[ALERT_S_LCA_BC_CL_NUM_DST] = {</v>
      </c>
      <c r="AU5" s="92" t="str">
        <f ca="1">"const ST_ALERT_MTRX "&amp;$AW$12&amp;" = {"</f>
        <v>const ST_ALERT_MTRX st_gp_ALERT_S_LCA_MTRX[7] = {</v>
      </c>
      <c r="AV5" s="72" t="str">
        <f ca="1">"#define "&amp;AW10&amp;REPT(" ",41-LEN(AW10))&amp;"("&amp;AW13&amp;"U)"</f>
        <v>#define ALERT_S_LCA_BC_CL_NUM_DST                (4U)</v>
      </c>
      <c r="AW5" s="73"/>
    </row>
    <row r="6" spans="1:49">
      <c r="B6" s="139" t="str">
        <f ca="1">"Table "&amp;$AW$6</f>
        <v>Table BC_CL</v>
      </c>
      <c r="C6" s="60">
        <f>ROW()-ROW($C$6)</f>
        <v>0</v>
      </c>
      <c r="D6" s="39" t="s">
        <v>70</v>
      </c>
      <c r="E6" s="39" t="s">
        <v>70</v>
      </c>
      <c r="F6" s="39" t="s">
        <v>70</v>
      </c>
      <c r="G6" s="39" t="s">
        <v>70</v>
      </c>
      <c r="H6" s="39" t="s">
        <v>70</v>
      </c>
      <c r="I6" s="39" t="s">
        <v>70</v>
      </c>
      <c r="J6" s="39" t="s">
        <v>70</v>
      </c>
      <c r="K6" s="39" t="s">
        <v>410</v>
      </c>
      <c r="L6" s="39" t="s">
        <v>70</v>
      </c>
      <c r="M6" s="39" t="s">
        <v>70</v>
      </c>
      <c r="N6" s="39" t="s">
        <v>70</v>
      </c>
      <c r="O6" s="39" t="s">
        <v>70</v>
      </c>
      <c r="P6" s="39" t="s">
        <v>70</v>
      </c>
      <c r="Q6" s="39" t="s">
        <v>70</v>
      </c>
      <c r="R6" s="39" t="s">
        <v>70</v>
      </c>
      <c r="S6" s="39" t="s">
        <v>70</v>
      </c>
      <c r="T6" s="39" t="s">
        <v>70</v>
      </c>
      <c r="U6" s="39" t="s">
        <v>70</v>
      </c>
      <c r="V6" s="39" t="s">
        <v>70</v>
      </c>
      <c r="W6" s="39" t="s">
        <v>70</v>
      </c>
      <c r="X6" s="39" t="s">
        <v>70</v>
      </c>
      <c r="Y6" s="39" t="s">
        <v>70</v>
      </c>
      <c r="Z6" s="39" t="s">
        <v>70</v>
      </c>
      <c r="AA6" s="39" t="s">
        <v>70</v>
      </c>
      <c r="AB6" s="39" t="s">
        <v>70</v>
      </c>
      <c r="AC6" s="39" t="s">
        <v>70</v>
      </c>
      <c r="AD6" s="39" t="s">
        <v>70</v>
      </c>
      <c r="AE6" s="39" t="s">
        <v>70</v>
      </c>
      <c r="AF6" s="69" t="s">
        <v>410</v>
      </c>
      <c r="AG6" s="69" t="s">
        <v>410</v>
      </c>
      <c r="AH6" s="69">
        <v>0</v>
      </c>
      <c r="AI6" s="69">
        <v>0</v>
      </c>
      <c r="AJ6" s="59" t="s">
        <v>33</v>
      </c>
      <c r="AL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(U4)0x00000003U,                                                           /* 00 UNKNOWN                                         */</v>
      </c>
      <c r="AT6" s="70" t="str">
        <f t="shared" ref="AT6:AT69" si="1">IF(AJ6&lt;&gt;"",AL6&amp;IF(AJ7&lt;&gt;"",","," ")&amp;REPT(" ",78-LEN(AL6))&amp;"/* "&amp;IF(C6&lt;10,"0"&amp;C6,C6)&amp;" "&amp;AJ6&amp;REPT(" ",48-LEN(AJ6))&amp;"*/",IF(AJ5&lt;&gt;"","};",""))</f>
        <v xml:space="preserve">    (U1)ALERT_REQ_UNKNOWN,                                                     /* 00 UNKNOWN                                         */</v>
      </c>
      <c r="AU6" s="70" t="s">
        <v>466</v>
      </c>
      <c r="AV6" s="56" t="s">
        <v>71</v>
      </c>
      <c r="AW6" s="74" t="str">
        <f ca="1">UPPER(RIGHT(CELL("filename",A1),LEN(CELL("filename",A1))-FIND("]",CELL("filename",A1))))</f>
        <v>BC_CL</v>
      </c>
    </row>
    <row r="7" spans="1:49">
      <c r="B7" s="139"/>
      <c r="C7" s="55">
        <f t="shared" ref="C7:C69" si="2">ROW()-ROW($C$6)</f>
        <v>1</v>
      </c>
      <c r="D7" s="69" t="s">
        <v>70</v>
      </c>
      <c r="E7" s="69" t="s">
        <v>70</v>
      </c>
      <c r="F7" s="69" t="s">
        <v>70</v>
      </c>
      <c r="G7" s="69" t="s">
        <v>70</v>
      </c>
      <c r="H7" s="69" t="s">
        <v>70</v>
      </c>
      <c r="I7" s="69" t="s">
        <v>70</v>
      </c>
      <c r="J7" s="69" t="s">
        <v>70</v>
      </c>
      <c r="K7" s="69" t="s">
        <v>410</v>
      </c>
      <c r="L7" s="69" t="s">
        <v>70</v>
      </c>
      <c r="M7" s="69" t="s">
        <v>70</v>
      </c>
      <c r="N7" s="69" t="s">
        <v>70</v>
      </c>
      <c r="O7" s="69" t="s">
        <v>70</v>
      </c>
      <c r="P7" s="69" t="s">
        <v>70</v>
      </c>
      <c r="Q7" s="69" t="s">
        <v>70</v>
      </c>
      <c r="R7" s="69" t="s">
        <v>70</v>
      </c>
      <c r="S7" s="69" t="s">
        <v>70</v>
      </c>
      <c r="T7" s="69" t="s">
        <v>70</v>
      </c>
      <c r="U7" s="69" t="s">
        <v>70</v>
      </c>
      <c r="V7" s="69" t="s">
        <v>70</v>
      </c>
      <c r="W7" s="69" t="s">
        <v>70</v>
      </c>
      <c r="X7" s="69" t="s">
        <v>70</v>
      </c>
      <c r="Y7" s="69" t="s">
        <v>70</v>
      </c>
      <c r="Z7" s="69" t="s">
        <v>70</v>
      </c>
      <c r="AA7" s="69" t="s">
        <v>70</v>
      </c>
      <c r="AB7" s="69" t="s">
        <v>70</v>
      </c>
      <c r="AC7" s="69" t="s">
        <v>70</v>
      </c>
      <c r="AD7" s="39" t="s">
        <v>70</v>
      </c>
      <c r="AE7" s="39" t="s">
        <v>70</v>
      </c>
      <c r="AF7" s="69" t="s">
        <v>410</v>
      </c>
      <c r="AG7" s="69" t="s">
        <v>410</v>
      </c>
      <c r="AH7" s="69">
        <v>0</v>
      </c>
      <c r="AI7" s="69">
        <v>1</v>
      </c>
      <c r="AJ7" s="25" t="s">
        <v>286</v>
      </c>
      <c r="AL7" t="str">
        <f t="shared" ca="1" si="0"/>
        <v xml:space="preserve">    (U1)ALERT_REQ_S_LCA_BC_CL_DOUBLE</v>
      </c>
      <c r="AR7" s="70" t="str">
        <f t="shared" ref="AR7:AR70" si="3">IF(AQ72&lt;&gt;"",AQ72,IF(AQ71&lt;&gt;"","};",""))</f>
        <v xml:space="preserve">    (U4)0x00000001U,                                                           /* 01 DOUBLE                                          */</v>
      </c>
      <c r="AS7" s="70" t="str">
        <f t="shared" ref="AS7:AS70" si="4">IF(AQ137&lt;&gt;"",AQ137,IF(AQ136&lt;&gt;"","};",""))</f>
        <v xml:space="preserve">    (U4)0x00000003U,                                                           /* 01 DOUBLE                                          */</v>
      </c>
      <c r="AT7" s="70" t="str">
        <f t="shared" ca="1" si="1"/>
        <v xml:space="preserve">    (U1)ALERT_REQ_S_LCA_BC_CL_DOUBLE,                                          /* 01 DOUBLE                                          */</v>
      </c>
      <c r="AU7" s="70" t="str">
        <f ca="1">"        &amp;"&amp;$AW$14&amp;","&amp;REPT(" ",69-LEN($AW$14))&amp;"/* fp_u4_SRC_CHK                                      */"</f>
        <v xml:space="preserve">        &amp;u4_s_AlertS_lcaBcClSrcchk,                                            /* fp_u4_SRC_CHK                                      */</v>
      </c>
      <c r="AV7" s="57" t="s">
        <v>72</v>
      </c>
      <c r="AW7" s="138">
        <f>IF(B3="Search Table",1,0)</f>
        <v>0</v>
      </c>
    </row>
    <row r="8" spans="1:49">
      <c r="B8" s="139"/>
      <c r="C8" s="55">
        <f t="shared" si="2"/>
        <v>2</v>
      </c>
      <c r="D8" s="69" t="s">
        <v>70</v>
      </c>
      <c r="E8" s="69" t="s">
        <v>70</v>
      </c>
      <c r="F8" s="69" t="s">
        <v>70</v>
      </c>
      <c r="G8" s="69" t="s">
        <v>70</v>
      </c>
      <c r="H8" s="69" t="s">
        <v>70</v>
      </c>
      <c r="I8" s="69" t="s">
        <v>70</v>
      </c>
      <c r="J8" s="69" t="s">
        <v>70</v>
      </c>
      <c r="K8" s="69" t="s">
        <v>410</v>
      </c>
      <c r="L8" s="69" t="s">
        <v>70</v>
      </c>
      <c r="M8" s="69" t="s">
        <v>70</v>
      </c>
      <c r="N8" s="69" t="s">
        <v>70</v>
      </c>
      <c r="O8" s="69" t="s">
        <v>70</v>
      </c>
      <c r="P8" s="69" t="s">
        <v>70</v>
      </c>
      <c r="Q8" s="69" t="s">
        <v>70</v>
      </c>
      <c r="R8" s="69" t="s">
        <v>70</v>
      </c>
      <c r="S8" s="69" t="s">
        <v>70</v>
      </c>
      <c r="T8" s="69" t="s">
        <v>70</v>
      </c>
      <c r="U8" s="69" t="s">
        <v>70</v>
      </c>
      <c r="V8" s="69" t="s">
        <v>70</v>
      </c>
      <c r="W8" s="69" t="s">
        <v>70</v>
      </c>
      <c r="X8" s="69" t="s">
        <v>70</v>
      </c>
      <c r="Y8" s="69" t="s">
        <v>70</v>
      </c>
      <c r="Z8" s="69" t="s">
        <v>70</v>
      </c>
      <c r="AA8" s="69" t="s">
        <v>70</v>
      </c>
      <c r="AB8" s="69" t="s">
        <v>70</v>
      </c>
      <c r="AC8" s="69" t="s">
        <v>70</v>
      </c>
      <c r="AD8" s="69" t="s">
        <v>70</v>
      </c>
      <c r="AE8" s="69" t="s">
        <v>70</v>
      </c>
      <c r="AF8" s="69" t="s">
        <v>410</v>
      </c>
      <c r="AG8" s="69" t="s">
        <v>410</v>
      </c>
      <c r="AH8" s="69">
        <v>1</v>
      </c>
      <c r="AI8" s="69">
        <v>0</v>
      </c>
      <c r="AJ8" s="25" t="s">
        <v>33</v>
      </c>
      <c r="AL8" t="str">
        <f t="shared" si="0"/>
        <v xml:space="preserve">    (U1)ALERT_REQ_UNKNOWN</v>
      </c>
      <c r="AR8" s="70" t="str">
        <f t="shared" si="3"/>
        <v xml:space="preserve">    (U4)0x00000002U,                                                           /* 02 UNKNOWN                                         */</v>
      </c>
      <c r="AS8" s="70" t="str">
        <f t="shared" si="4"/>
        <v xml:space="preserve">    (U4)0x00000003U,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7" t="s">
        <v>73</v>
      </c>
      <c r="AW8" s="75" t="str">
        <f ca="1">"u4_sp_ALERT_"&amp;IF(AW6&lt;&gt;AW17,$AW$17&amp;"_"&amp;$AW$6,AW17)&amp;"_CRIT"</f>
        <v>u4_sp_ALERT_S_LCA_BC_CL_CRIT</v>
      </c>
    </row>
    <row r="9" spans="1:49">
      <c r="B9" s="139"/>
      <c r="C9" s="55">
        <f t="shared" si="2"/>
        <v>3</v>
      </c>
      <c r="D9" s="69" t="s">
        <v>70</v>
      </c>
      <c r="E9" s="69" t="s">
        <v>70</v>
      </c>
      <c r="F9" s="69" t="s">
        <v>70</v>
      </c>
      <c r="G9" s="69" t="s">
        <v>70</v>
      </c>
      <c r="H9" s="69" t="s">
        <v>70</v>
      </c>
      <c r="I9" s="69" t="s">
        <v>70</v>
      </c>
      <c r="J9" s="69" t="s">
        <v>70</v>
      </c>
      <c r="K9" s="69" t="s">
        <v>70</v>
      </c>
      <c r="L9" s="69" t="s">
        <v>70</v>
      </c>
      <c r="M9" s="69" t="s">
        <v>70</v>
      </c>
      <c r="N9" s="69" t="s">
        <v>70</v>
      </c>
      <c r="O9" s="69" t="s">
        <v>70</v>
      </c>
      <c r="P9" s="69" t="s">
        <v>70</v>
      </c>
      <c r="Q9" s="69" t="s">
        <v>70</v>
      </c>
      <c r="R9" s="69" t="s">
        <v>70</v>
      </c>
      <c r="S9" s="69" t="s">
        <v>70</v>
      </c>
      <c r="T9" s="69" t="s">
        <v>70</v>
      </c>
      <c r="U9" s="69" t="s">
        <v>70</v>
      </c>
      <c r="V9" s="69" t="s">
        <v>70</v>
      </c>
      <c r="W9" s="69" t="s">
        <v>70</v>
      </c>
      <c r="X9" s="69" t="s">
        <v>70</v>
      </c>
      <c r="Y9" s="69" t="s">
        <v>70</v>
      </c>
      <c r="Z9" s="69" t="s">
        <v>70</v>
      </c>
      <c r="AA9" s="69" t="s">
        <v>70</v>
      </c>
      <c r="AB9" s="69" t="s">
        <v>70</v>
      </c>
      <c r="AC9" s="69" t="s">
        <v>70</v>
      </c>
      <c r="AD9" s="69" t="s">
        <v>70</v>
      </c>
      <c r="AE9" s="69" t="s">
        <v>70</v>
      </c>
      <c r="AF9" s="69" t="s">
        <v>410</v>
      </c>
      <c r="AG9" s="69" t="s">
        <v>410</v>
      </c>
      <c r="AH9" s="69">
        <v>1</v>
      </c>
      <c r="AI9" s="69">
        <v>1</v>
      </c>
      <c r="AJ9" s="25" t="s">
        <v>33</v>
      </c>
      <c r="AL9" t="str">
        <f t="shared" si="0"/>
        <v xml:space="preserve">    (U1)ALERT_REQ_UNKNOWN</v>
      </c>
      <c r="AR9" s="70" t="str">
        <f t="shared" si="3"/>
        <v xml:space="preserve">    (U4)0x00000003U                                                            /* 03 UNKNOWN                                         */</v>
      </c>
      <c r="AS9" s="70" t="str">
        <f t="shared" si="4"/>
        <v xml:space="preserve">    (U4)0x00000003U                                                            /* 03 UNKNOWN                                         */</v>
      </c>
      <c r="AT9" s="70" t="str">
        <f t="shared" si="1"/>
        <v xml:space="preserve">    (U1)ALERT_REQ_UNKNOWN                                                      /* 03 UNKNOWN                                         */</v>
      </c>
      <c r="AU9" s="70"/>
      <c r="AV9" s="57" t="s">
        <v>74</v>
      </c>
      <c r="AW9" s="75" t="str">
        <f ca="1">"u4_sp_ALERT_"&amp;IF(AW6&lt;&gt;AW17,$AW$17&amp;"_"&amp;$AW$6,AW17)&amp;"_MASK"</f>
        <v>u4_sp_ALERT_S_LCA_BC_CL_MASK</v>
      </c>
    </row>
    <row r="10" spans="1:49">
      <c r="B10" s="139"/>
      <c r="C10" s="55">
        <f t="shared" si="2"/>
        <v>4</v>
      </c>
      <c r="D10" s="69" t="s">
        <v>70</v>
      </c>
      <c r="E10" s="69" t="s">
        <v>70</v>
      </c>
      <c r="F10" s="69" t="s">
        <v>70</v>
      </c>
      <c r="G10" s="69" t="s">
        <v>70</v>
      </c>
      <c r="H10" s="69" t="s">
        <v>70</v>
      </c>
      <c r="I10" s="69" t="s">
        <v>70</v>
      </c>
      <c r="J10" s="69" t="s">
        <v>70</v>
      </c>
      <c r="K10" s="69" t="s">
        <v>70</v>
      </c>
      <c r="L10" s="69" t="s">
        <v>70</v>
      </c>
      <c r="M10" s="69" t="s">
        <v>70</v>
      </c>
      <c r="N10" s="69" t="s">
        <v>70</v>
      </c>
      <c r="O10" s="69" t="s">
        <v>70</v>
      </c>
      <c r="P10" s="69" t="s">
        <v>70</v>
      </c>
      <c r="Q10" s="69" t="s">
        <v>70</v>
      </c>
      <c r="R10" s="69" t="s">
        <v>70</v>
      </c>
      <c r="S10" s="69" t="s">
        <v>70</v>
      </c>
      <c r="T10" s="69" t="s">
        <v>70</v>
      </c>
      <c r="U10" s="69" t="s">
        <v>70</v>
      </c>
      <c r="V10" s="69" t="s">
        <v>70</v>
      </c>
      <c r="W10" s="69" t="s">
        <v>70</v>
      </c>
      <c r="X10" s="69" t="s">
        <v>70</v>
      </c>
      <c r="Y10" s="69" t="s">
        <v>70</v>
      </c>
      <c r="Z10" s="69" t="s">
        <v>70</v>
      </c>
      <c r="AA10" s="69" t="s">
        <v>70</v>
      </c>
      <c r="AB10" s="69" t="s">
        <v>70</v>
      </c>
      <c r="AC10" s="69" t="s">
        <v>70</v>
      </c>
      <c r="AD10" s="69" t="s">
        <v>70</v>
      </c>
      <c r="AE10" s="69" t="s">
        <v>70</v>
      </c>
      <c r="AF10" s="69" t="s">
        <v>410</v>
      </c>
      <c r="AG10" s="69" t="s">
        <v>410</v>
      </c>
      <c r="AH10" s="69" t="s">
        <v>410</v>
      </c>
      <c r="AI10" s="69" t="s">
        <v>410</v>
      </c>
      <c r="AJ10" s="25"/>
      <c r="AL10" t="str">
        <f t="shared" ca="1" si="0"/>
        <v xml:space="preserve">    (U1)ALERT_REQ_S_LCA_BC_CL_</v>
      </c>
      <c r="AR10" s="70" t="str">
        <f t="shared" si="3"/>
        <v>};</v>
      </c>
      <c r="AS10" s="70" t="str">
        <f t="shared" si="4"/>
        <v>};</v>
      </c>
      <c r="AT10" s="70" t="str">
        <f t="shared" si="1"/>
        <v>};</v>
      </c>
      <c r="AU10" s="70" t="str">
        <f>IF($AW$7=1,"        &amp;"&amp;$AW$9&amp;"[0],"&amp;REPT(" ",66-LEN($AW$9))&amp;"/* u4p_MASK                                           */","        (const U4 *)vdp_PTR_NA,                                                /* u4p_MASK                                           */")</f>
        <v xml:space="preserve">        (const U4 *)vdp_PTR_NA,                                                /* u4p_MASK                                           */</v>
      </c>
      <c r="AV10" s="57" t="s">
        <v>75</v>
      </c>
      <c r="AW10" s="75" t="str">
        <f ca="1">"ALERT_"&amp;IF(AW6&lt;&gt;AW17,$AW$17&amp;"_"&amp;$AW$6,AW17)&amp;"_NUM_DST"</f>
        <v>ALERT_S_LCA_BC_CL_NUM_DST</v>
      </c>
    </row>
    <row r="11" spans="1:49">
      <c r="B11" s="139"/>
      <c r="C11" s="55">
        <f t="shared" si="2"/>
        <v>5</v>
      </c>
      <c r="D11" s="69" t="s">
        <v>70</v>
      </c>
      <c r="E11" s="69" t="s">
        <v>70</v>
      </c>
      <c r="F11" s="69" t="s">
        <v>70</v>
      </c>
      <c r="G11" s="69" t="s">
        <v>70</v>
      </c>
      <c r="H11" s="69" t="s">
        <v>70</v>
      </c>
      <c r="I11" s="69" t="s">
        <v>70</v>
      </c>
      <c r="J11" s="69" t="s">
        <v>70</v>
      </c>
      <c r="K11" s="69" t="s">
        <v>70</v>
      </c>
      <c r="L11" s="69" t="s">
        <v>70</v>
      </c>
      <c r="M11" s="69" t="s">
        <v>70</v>
      </c>
      <c r="N11" s="69" t="s">
        <v>70</v>
      </c>
      <c r="O11" s="69" t="s">
        <v>70</v>
      </c>
      <c r="P11" s="69" t="s">
        <v>70</v>
      </c>
      <c r="Q11" s="69" t="s">
        <v>70</v>
      </c>
      <c r="R11" s="69" t="s">
        <v>70</v>
      </c>
      <c r="S11" s="69" t="s">
        <v>70</v>
      </c>
      <c r="T11" s="69" t="s">
        <v>70</v>
      </c>
      <c r="U11" s="69" t="s">
        <v>70</v>
      </c>
      <c r="V11" s="69" t="s">
        <v>70</v>
      </c>
      <c r="W11" s="69" t="s">
        <v>70</v>
      </c>
      <c r="X11" s="69" t="s">
        <v>70</v>
      </c>
      <c r="Y11" s="69" t="s">
        <v>70</v>
      </c>
      <c r="Z11" s="69" t="s">
        <v>70</v>
      </c>
      <c r="AA11" s="69" t="s">
        <v>70</v>
      </c>
      <c r="AB11" s="69" t="s">
        <v>70</v>
      </c>
      <c r="AC11" s="69" t="s">
        <v>70</v>
      </c>
      <c r="AD11" s="69" t="s">
        <v>70</v>
      </c>
      <c r="AE11" s="69" t="s">
        <v>70</v>
      </c>
      <c r="AF11" s="69" t="s">
        <v>410</v>
      </c>
      <c r="AG11" s="69" t="s">
        <v>410</v>
      </c>
      <c r="AH11" s="69" t="s">
        <v>410</v>
      </c>
      <c r="AI11" s="69" t="s">
        <v>410</v>
      </c>
      <c r="AJ11" s="25"/>
      <c r="AL11" t="str">
        <f t="shared" ca="1" si="0"/>
        <v xml:space="preserve">    (U1)ALERT_REQ_S_LCA_BC_CL_</v>
      </c>
      <c r="AR11" s="70" t="str">
        <f t="shared" si="3"/>
        <v/>
      </c>
      <c r="AS11" s="70" t="str">
        <f t="shared" si="4"/>
        <v/>
      </c>
      <c r="AT11" s="70" t="str">
        <f t="shared" si="1"/>
        <v/>
      </c>
      <c r="AU11" s="70" t="str">
        <f>IF($AW$7=1,"        &amp;"&amp;$AW$8&amp;"[0],"&amp;REPT(" ",66-LEN($AW$8))&amp;"/* u4p_CRIT                                           */","        (const U4 *)vdp_PTR_NA,                                                /* u4p_CRIT                                           */")</f>
        <v xml:space="preserve">        (const U4 *)vdp_PTR_NA,                                                /* u4p_CRIT                                           */</v>
      </c>
      <c r="AV11" s="57" t="s">
        <v>76</v>
      </c>
      <c r="AW11" s="75" t="str">
        <f ca="1">"u1_sp_ALERT_"&amp;IF(AW6&lt;&gt;AW17,$AW$17&amp;"_"&amp;$AW$6,AW17)&amp;"_DST"</f>
        <v>u1_sp_ALERT_S_LCA_BC_CL_DST</v>
      </c>
    </row>
    <row r="12" spans="1:49">
      <c r="B12" s="139"/>
      <c r="C12" s="55">
        <f t="shared" si="2"/>
        <v>6</v>
      </c>
      <c r="D12" s="69" t="s">
        <v>70</v>
      </c>
      <c r="E12" s="69" t="s">
        <v>70</v>
      </c>
      <c r="F12" s="69" t="s">
        <v>70</v>
      </c>
      <c r="G12" s="69" t="s">
        <v>70</v>
      </c>
      <c r="H12" s="69" t="s">
        <v>70</v>
      </c>
      <c r="I12" s="69" t="s">
        <v>70</v>
      </c>
      <c r="J12" s="69" t="s">
        <v>70</v>
      </c>
      <c r="K12" s="69" t="s">
        <v>70</v>
      </c>
      <c r="L12" s="69" t="s">
        <v>70</v>
      </c>
      <c r="M12" s="69" t="s">
        <v>70</v>
      </c>
      <c r="N12" s="69" t="s">
        <v>70</v>
      </c>
      <c r="O12" s="69" t="s">
        <v>70</v>
      </c>
      <c r="P12" s="69" t="s">
        <v>70</v>
      </c>
      <c r="Q12" s="69" t="s">
        <v>70</v>
      </c>
      <c r="R12" s="69" t="s">
        <v>70</v>
      </c>
      <c r="S12" s="69" t="s">
        <v>70</v>
      </c>
      <c r="T12" s="69" t="s">
        <v>70</v>
      </c>
      <c r="U12" s="69" t="s">
        <v>70</v>
      </c>
      <c r="V12" s="69" t="s">
        <v>70</v>
      </c>
      <c r="W12" s="69" t="s">
        <v>70</v>
      </c>
      <c r="X12" s="69" t="s">
        <v>70</v>
      </c>
      <c r="Y12" s="69" t="s">
        <v>70</v>
      </c>
      <c r="Z12" s="69" t="s">
        <v>70</v>
      </c>
      <c r="AA12" s="69" t="s">
        <v>70</v>
      </c>
      <c r="AB12" s="69" t="s">
        <v>70</v>
      </c>
      <c r="AC12" s="69" t="s">
        <v>70</v>
      </c>
      <c r="AD12" s="69" t="s">
        <v>70</v>
      </c>
      <c r="AE12" s="39" t="s">
        <v>70</v>
      </c>
      <c r="AF12" s="69" t="s">
        <v>410</v>
      </c>
      <c r="AG12" s="69" t="s">
        <v>410</v>
      </c>
      <c r="AH12" s="69" t="s">
        <v>410</v>
      </c>
      <c r="AI12" s="69" t="s">
        <v>410</v>
      </c>
      <c r="AJ12" s="25"/>
      <c r="AL12" t="str">
        <f t="shared" ca="1" si="0"/>
        <v xml:space="preserve">    (U1)ALERT_REQ_S_LCA_BC_CL_</v>
      </c>
      <c r="AR12" s="70" t="str">
        <f t="shared" si="3"/>
        <v/>
      </c>
      <c r="AS12" s="70" t="str">
        <f t="shared" si="4"/>
        <v/>
      </c>
      <c r="AT12" s="70" t="str">
        <f t="shared" si="1"/>
        <v/>
      </c>
      <c r="AU12" s="70"/>
      <c r="AV12" s="57" t="s">
        <v>88</v>
      </c>
      <c r="AW12" s="75" t="str">
        <f ca="1">Matrix!D8&amp;"["&amp;Matrix!D7&amp;"]"</f>
        <v>st_gp_ALERT_S_LCA_MTRX[7]</v>
      </c>
    </row>
    <row r="13" spans="1:49">
      <c r="B13" s="139"/>
      <c r="C13" s="55">
        <f t="shared" si="2"/>
        <v>7</v>
      </c>
      <c r="D13" s="69" t="s">
        <v>70</v>
      </c>
      <c r="E13" s="69" t="s">
        <v>70</v>
      </c>
      <c r="F13" s="69" t="s">
        <v>70</v>
      </c>
      <c r="G13" s="69" t="s">
        <v>70</v>
      </c>
      <c r="H13" s="69" t="s">
        <v>70</v>
      </c>
      <c r="I13" s="69" t="s">
        <v>70</v>
      </c>
      <c r="J13" s="69" t="s">
        <v>70</v>
      </c>
      <c r="K13" s="69" t="s">
        <v>70</v>
      </c>
      <c r="L13" s="69" t="s">
        <v>70</v>
      </c>
      <c r="M13" s="69" t="s">
        <v>70</v>
      </c>
      <c r="N13" s="69" t="s">
        <v>70</v>
      </c>
      <c r="O13" s="69" t="s">
        <v>70</v>
      </c>
      <c r="P13" s="69" t="s">
        <v>70</v>
      </c>
      <c r="Q13" s="69" t="s">
        <v>70</v>
      </c>
      <c r="R13" s="69" t="s">
        <v>70</v>
      </c>
      <c r="S13" s="69" t="s">
        <v>70</v>
      </c>
      <c r="T13" s="69" t="s">
        <v>70</v>
      </c>
      <c r="U13" s="69" t="s">
        <v>70</v>
      </c>
      <c r="V13" s="69" t="s">
        <v>70</v>
      </c>
      <c r="W13" s="69" t="s">
        <v>70</v>
      </c>
      <c r="X13" s="69" t="s">
        <v>70</v>
      </c>
      <c r="Y13" s="69" t="s">
        <v>70</v>
      </c>
      <c r="Z13" s="69" t="s">
        <v>70</v>
      </c>
      <c r="AA13" s="69" t="s">
        <v>70</v>
      </c>
      <c r="AB13" s="69" t="s">
        <v>70</v>
      </c>
      <c r="AC13" s="69" t="s">
        <v>70</v>
      </c>
      <c r="AD13" s="69" t="s">
        <v>70</v>
      </c>
      <c r="AE13" s="69" t="s">
        <v>70</v>
      </c>
      <c r="AF13" s="69" t="s">
        <v>410</v>
      </c>
      <c r="AG13" s="69" t="s">
        <v>410</v>
      </c>
      <c r="AH13" s="69" t="s">
        <v>410</v>
      </c>
      <c r="AI13" s="69" t="s">
        <v>410</v>
      </c>
      <c r="AJ13" s="25"/>
      <c r="AL13" t="str">
        <f t="shared" ca="1" si="0"/>
        <v xml:space="preserve">    (U1)ALERT_REQ_S_LCA_BC_CL_</v>
      </c>
      <c r="AR13" s="70" t="str">
        <f t="shared" si="3"/>
        <v/>
      </c>
      <c r="AS13" s="70" t="str">
        <f t="shared" si="4"/>
        <v/>
      </c>
      <c r="AT13" s="70" t="str">
        <f t="shared" si="1"/>
        <v/>
      </c>
      <c r="AU13" s="70" t="str">
        <f ca="1">"        &amp;"&amp;$AW$11&amp;"[0],"&amp;REPT(" ",66-LEN($AW$11))&amp;"/* u1p_DST                                            */"</f>
        <v xml:space="preserve">        &amp;u1_sp_ALERT_S_LCA_BC_CL_DST[0],                                       /* u1p_DST                                            */</v>
      </c>
      <c r="AV13" s="57" t="s">
        <v>77</v>
      </c>
      <c r="AW13" s="138">
        <f>COUNTA($AJ$6:$AJ$69)</f>
        <v>4</v>
      </c>
    </row>
    <row r="14" spans="1:49">
      <c r="B14" s="139"/>
      <c r="C14" s="55">
        <f t="shared" si="2"/>
        <v>8</v>
      </c>
      <c r="D14" s="69" t="s">
        <v>70</v>
      </c>
      <c r="E14" s="69" t="s">
        <v>70</v>
      </c>
      <c r="F14" s="69" t="s">
        <v>70</v>
      </c>
      <c r="G14" s="69" t="s">
        <v>70</v>
      </c>
      <c r="H14" s="69" t="s">
        <v>70</v>
      </c>
      <c r="I14" s="69" t="s">
        <v>70</v>
      </c>
      <c r="J14" s="69" t="s">
        <v>70</v>
      </c>
      <c r="K14" s="69" t="s">
        <v>70</v>
      </c>
      <c r="L14" s="69" t="s">
        <v>70</v>
      </c>
      <c r="M14" s="69" t="s">
        <v>70</v>
      </c>
      <c r="N14" s="69" t="s">
        <v>70</v>
      </c>
      <c r="O14" s="69" t="s">
        <v>70</v>
      </c>
      <c r="P14" s="69" t="s">
        <v>70</v>
      </c>
      <c r="Q14" s="69" t="s">
        <v>70</v>
      </c>
      <c r="R14" s="69" t="s">
        <v>70</v>
      </c>
      <c r="S14" s="69" t="s">
        <v>70</v>
      </c>
      <c r="T14" s="69" t="s">
        <v>70</v>
      </c>
      <c r="U14" s="69" t="s">
        <v>70</v>
      </c>
      <c r="V14" s="69" t="s">
        <v>70</v>
      </c>
      <c r="W14" s="69" t="s">
        <v>70</v>
      </c>
      <c r="X14" s="69" t="s">
        <v>70</v>
      </c>
      <c r="Y14" s="69" t="s">
        <v>70</v>
      </c>
      <c r="Z14" s="69" t="s">
        <v>70</v>
      </c>
      <c r="AA14" s="69" t="s">
        <v>70</v>
      </c>
      <c r="AB14" s="69" t="s">
        <v>70</v>
      </c>
      <c r="AC14" s="69" t="s">
        <v>70</v>
      </c>
      <c r="AD14" s="69" t="s">
        <v>70</v>
      </c>
      <c r="AE14" s="69" t="s">
        <v>70</v>
      </c>
      <c r="AF14" s="69" t="s">
        <v>410</v>
      </c>
      <c r="AG14" s="69" t="s">
        <v>410</v>
      </c>
      <c r="AH14" s="69" t="s">
        <v>410</v>
      </c>
      <c r="AI14" s="69" t="s">
        <v>410</v>
      </c>
      <c r="AJ14" s="25"/>
      <c r="AL14" t="str">
        <f t="shared" ca="1" si="0"/>
        <v xml:space="preserve">    (U1)ALERT_REQ_S_LCA_BC_CL_</v>
      </c>
      <c r="AR14" s="70" t="str">
        <f t="shared" si="3"/>
        <v/>
      </c>
      <c r="AS14" s="70" t="str">
        <f t="shared" si="4"/>
        <v/>
      </c>
      <c r="AT14" s="70" t="str">
        <f t="shared" si="1"/>
        <v/>
      </c>
      <c r="AU14" s="70" t="str">
        <f ca="1">"        (U2)"&amp;$AW$10&amp;","&amp;REPT(" ",66-LEN($AW$10))&amp;"/* u2_num_srch                                        */"</f>
        <v xml:space="preserve">        (U2)ALERT_S_LCA_BC_CL_NUM_DST,                                         /* u2_num_srch                                        */</v>
      </c>
      <c r="AV14" s="57" t="s">
        <v>78</v>
      </c>
      <c r="AW14" s="75" t="str">
        <f ca="1">IF(AW6&lt;&gt;AW17,VLOOKUP(AW6,Matrix!$C$13:$G$37,4,FALSE),Matrix!F13)</f>
        <v>u4_s_AlertS_lcaBcClSrcchk</v>
      </c>
    </row>
    <row r="15" spans="1:49">
      <c r="B15" s="139"/>
      <c r="C15" s="55">
        <f t="shared" si="2"/>
        <v>9</v>
      </c>
      <c r="D15" s="69" t="s">
        <v>70</v>
      </c>
      <c r="E15" s="69" t="s">
        <v>70</v>
      </c>
      <c r="F15" s="69" t="s">
        <v>70</v>
      </c>
      <c r="G15" s="69" t="s">
        <v>70</v>
      </c>
      <c r="H15" s="69" t="s">
        <v>70</v>
      </c>
      <c r="I15" s="69" t="s">
        <v>70</v>
      </c>
      <c r="J15" s="69" t="s">
        <v>70</v>
      </c>
      <c r="K15" s="69" t="s">
        <v>70</v>
      </c>
      <c r="L15" s="69" t="s">
        <v>70</v>
      </c>
      <c r="M15" s="69" t="s">
        <v>70</v>
      </c>
      <c r="N15" s="69" t="s">
        <v>70</v>
      </c>
      <c r="O15" s="69" t="s">
        <v>70</v>
      </c>
      <c r="P15" s="69" t="s">
        <v>70</v>
      </c>
      <c r="Q15" s="69" t="s">
        <v>70</v>
      </c>
      <c r="R15" s="69" t="s">
        <v>70</v>
      </c>
      <c r="S15" s="69" t="s">
        <v>70</v>
      </c>
      <c r="T15" s="69" t="s">
        <v>70</v>
      </c>
      <c r="U15" s="69" t="s">
        <v>70</v>
      </c>
      <c r="V15" s="69" t="s">
        <v>70</v>
      </c>
      <c r="W15" s="69" t="s">
        <v>70</v>
      </c>
      <c r="X15" s="69" t="s">
        <v>70</v>
      </c>
      <c r="Y15" s="69" t="s">
        <v>70</v>
      </c>
      <c r="Z15" s="69" t="s">
        <v>70</v>
      </c>
      <c r="AA15" s="69" t="s">
        <v>70</v>
      </c>
      <c r="AB15" s="69" t="s">
        <v>70</v>
      </c>
      <c r="AC15" s="69" t="s">
        <v>70</v>
      </c>
      <c r="AD15" s="69" t="s">
        <v>70</v>
      </c>
      <c r="AE15" s="69" t="s">
        <v>70</v>
      </c>
      <c r="AF15" s="69" t="s">
        <v>410</v>
      </c>
      <c r="AG15" s="69" t="s">
        <v>410</v>
      </c>
      <c r="AH15" s="69" t="s">
        <v>410</v>
      </c>
      <c r="AI15" s="69" t="s">
        <v>410</v>
      </c>
      <c r="AJ15" s="25"/>
      <c r="AL15" t="str">
        <f t="shared" ca="1" si="0"/>
        <v xml:space="preserve">    (U1)ALERT_REQ_S_LCA_BC_CL_</v>
      </c>
      <c r="AR15" s="70" t="str">
        <f t="shared" si="3"/>
        <v/>
      </c>
      <c r="AS15" s="70" t="str">
        <f t="shared" si="4"/>
        <v/>
      </c>
      <c r="AT15" s="70" t="str">
        <f t="shared" si="1"/>
        <v/>
      </c>
      <c r="AU15" s="70" t="str">
        <f ca="1">"        (U1)"&amp;$AW$16&amp;REPT(" ",67-LEN($AW$16))&amp;"/* u1_vom_act                                         */"</f>
        <v xml:space="preserve">        (U1)ALERT_VOM_IGN_ON                                                   /* u1_vom_act                                         */</v>
      </c>
      <c r="AV15" s="57" t="s">
        <v>81</v>
      </c>
      <c r="AW15" s="75" t="str">
        <f ca="1">IF(AW6&lt;&gt;AW17,VLOOKUP(AW6,Matrix!$C$13:$G$37,5,FALSE),Matrix!G13)</f>
        <v>NULL</v>
      </c>
    </row>
    <row r="16" spans="1:49">
      <c r="B16" s="139"/>
      <c r="C16" s="55">
        <f t="shared" si="2"/>
        <v>10</v>
      </c>
      <c r="D16" s="69" t="s">
        <v>70</v>
      </c>
      <c r="E16" s="69" t="s">
        <v>70</v>
      </c>
      <c r="F16" s="69" t="s">
        <v>70</v>
      </c>
      <c r="G16" s="69" t="s">
        <v>70</v>
      </c>
      <c r="H16" s="69" t="s">
        <v>70</v>
      </c>
      <c r="I16" s="69" t="s">
        <v>70</v>
      </c>
      <c r="J16" s="69" t="s">
        <v>70</v>
      </c>
      <c r="K16" s="69" t="s">
        <v>70</v>
      </c>
      <c r="L16" s="69" t="s">
        <v>70</v>
      </c>
      <c r="M16" s="69" t="s">
        <v>70</v>
      </c>
      <c r="N16" s="69" t="s">
        <v>70</v>
      </c>
      <c r="O16" s="69" t="s">
        <v>70</v>
      </c>
      <c r="P16" s="69" t="s">
        <v>70</v>
      </c>
      <c r="Q16" s="69" t="s">
        <v>70</v>
      </c>
      <c r="R16" s="69" t="s">
        <v>411</v>
      </c>
      <c r="S16" s="69" t="s">
        <v>70</v>
      </c>
      <c r="T16" s="69" t="s">
        <v>70</v>
      </c>
      <c r="U16" s="69" t="s">
        <v>70</v>
      </c>
      <c r="V16" s="69" t="s">
        <v>70</v>
      </c>
      <c r="W16" s="69" t="s">
        <v>70</v>
      </c>
      <c r="X16" s="69" t="s">
        <v>70</v>
      </c>
      <c r="Y16" s="69" t="s">
        <v>70</v>
      </c>
      <c r="Z16" s="69" t="s">
        <v>70</v>
      </c>
      <c r="AA16" s="69" t="s">
        <v>70</v>
      </c>
      <c r="AB16" s="69" t="s">
        <v>70</v>
      </c>
      <c r="AC16" s="69" t="s">
        <v>70</v>
      </c>
      <c r="AD16" s="69" t="s">
        <v>70</v>
      </c>
      <c r="AE16" s="69" t="s">
        <v>70</v>
      </c>
      <c r="AF16" s="69" t="s">
        <v>410</v>
      </c>
      <c r="AG16" s="69" t="s">
        <v>410</v>
      </c>
      <c r="AH16" s="69" t="s">
        <v>410</v>
      </c>
      <c r="AI16" s="69" t="s">
        <v>410</v>
      </c>
      <c r="AJ16" s="25"/>
      <c r="AL16" t="str">
        <f t="shared" ca="1" si="0"/>
        <v xml:space="preserve">    (U1)ALERT_REQ_S_LCA_BC_CL_</v>
      </c>
      <c r="AR16" s="70" t="str">
        <f t="shared" si="3"/>
        <v/>
      </c>
      <c r="AS16" s="70" t="str">
        <f t="shared" si="4"/>
        <v/>
      </c>
      <c r="AT16" s="70" t="str">
        <f t="shared" si="1"/>
        <v/>
      </c>
      <c r="AU16" s="70" t="s">
        <v>467</v>
      </c>
      <c r="AV16" s="57" t="s">
        <v>79</v>
      </c>
      <c r="AW16" s="75" t="str">
        <f ca="1">IF(AW6&lt;&gt;AW17,VLOOKUP(AW6,Matrix!$C$13:$G$37,2,FALSE),Matrix!D13)</f>
        <v>ALERT_VOM_IGN_ON</v>
      </c>
    </row>
    <row r="17" spans="2:49" ht="14.25" thickBot="1">
      <c r="B17" s="139"/>
      <c r="C17" s="55">
        <f t="shared" si="2"/>
        <v>11</v>
      </c>
      <c r="D17" s="69" t="s">
        <v>70</v>
      </c>
      <c r="E17" s="69" t="s">
        <v>70</v>
      </c>
      <c r="F17" s="69" t="s">
        <v>70</v>
      </c>
      <c r="G17" s="69" t="s">
        <v>70</v>
      </c>
      <c r="H17" s="69" t="s">
        <v>70</v>
      </c>
      <c r="I17" s="69" t="s">
        <v>70</v>
      </c>
      <c r="J17" s="69" t="s">
        <v>70</v>
      </c>
      <c r="K17" s="69" t="s">
        <v>70</v>
      </c>
      <c r="L17" s="69" t="s">
        <v>70</v>
      </c>
      <c r="M17" s="69" t="s">
        <v>70</v>
      </c>
      <c r="N17" s="69" t="s">
        <v>70</v>
      </c>
      <c r="O17" s="69" t="s">
        <v>70</v>
      </c>
      <c r="P17" s="69" t="s">
        <v>70</v>
      </c>
      <c r="Q17" s="69" t="s">
        <v>70</v>
      </c>
      <c r="R17" s="69" t="s">
        <v>70</v>
      </c>
      <c r="S17" s="69" t="s">
        <v>70</v>
      </c>
      <c r="T17" s="69" t="s">
        <v>70</v>
      </c>
      <c r="U17" s="69" t="s">
        <v>70</v>
      </c>
      <c r="V17" s="69" t="s">
        <v>70</v>
      </c>
      <c r="W17" s="69" t="s">
        <v>70</v>
      </c>
      <c r="X17" s="69" t="s">
        <v>70</v>
      </c>
      <c r="Y17" s="69" t="s">
        <v>70</v>
      </c>
      <c r="Z17" s="69" t="s">
        <v>70</v>
      </c>
      <c r="AA17" s="69" t="s">
        <v>70</v>
      </c>
      <c r="AB17" s="69" t="s">
        <v>70</v>
      </c>
      <c r="AC17" s="69" t="s">
        <v>70</v>
      </c>
      <c r="AD17" s="69" t="s">
        <v>70</v>
      </c>
      <c r="AE17" s="69" t="s">
        <v>70</v>
      </c>
      <c r="AF17" s="69" t="s">
        <v>410</v>
      </c>
      <c r="AG17" s="69" t="s">
        <v>410</v>
      </c>
      <c r="AH17" s="69" t="s">
        <v>410</v>
      </c>
      <c r="AI17" s="69" t="s">
        <v>410</v>
      </c>
      <c r="AJ17" s="25"/>
      <c r="AL17" t="str">
        <f t="shared" ca="1" si="0"/>
        <v xml:space="preserve">    (U1)ALERT_REQ_S_LCA_BC_CL_</v>
      </c>
      <c r="AR17" s="70" t="str">
        <f t="shared" si="3"/>
        <v/>
      </c>
      <c r="AS17" s="70" t="str">
        <f t="shared" si="4"/>
        <v/>
      </c>
      <c r="AT17" s="70" t="str">
        <f t="shared" si="1"/>
        <v/>
      </c>
      <c r="AU17" s="71" t="s">
        <v>468</v>
      </c>
      <c r="AV17" s="58" t="s">
        <v>80</v>
      </c>
      <c r="AW17" s="76" t="str">
        <f ca="1">UPPER(Matrix!$D$6)</f>
        <v>S_LCA</v>
      </c>
    </row>
    <row r="18" spans="2:49">
      <c r="B18" s="139"/>
      <c r="C18" s="55">
        <f t="shared" si="2"/>
        <v>12</v>
      </c>
      <c r="D18" s="69" t="s">
        <v>70</v>
      </c>
      <c r="E18" s="69" t="s">
        <v>70</v>
      </c>
      <c r="F18" s="69" t="s">
        <v>70</v>
      </c>
      <c r="G18" s="69" t="s">
        <v>70</v>
      </c>
      <c r="H18" s="69" t="s">
        <v>70</v>
      </c>
      <c r="I18" s="69" t="s">
        <v>70</v>
      </c>
      <c r="J18" s="69" t="s">
        <v>70</v>
      </c>
      <c r="K18" s="69" t="s">
        <v>70</v>
      </c>
      <c r="L18" s="69" t="s">
        <v>70</v>
      </c>
      <c r="M18" s="69" t="s">
        <v>70</v>
      </c>
      <c r="N18" s="69" t="s">
        <v>70</v>
      </c>
      <c r="O18" s="69" t="s">
        <v>70</v>
      </c>
      <c r="P18" s="69" t="s">
        <v>70</v>
      </c>
      <c r="Q18" s="69" t="s">
        <v>70</v>
      </c>
      <c r="R18" s="69" t="s">
        <v>70</v>
      </c>
      <c r="S18" s="69" t="s">
        <v>70</v>
      </c>
      <c r="T18" s="69" t="s">
        <v>70</v>
      </c>
      <c r="U18" s="69" t="s">
        <v>70</v>
      </c>
      <c r="V18" s="69" t="s">
        <v>70</v>
      </c>
      <c r="W18" s="69" t="s">
        <v>70</v>
      </c>
      <c r="X18" s="69" t="s">
        <v>70</v>
      </c>
      <c r="Y18" s="69" t="s">
        <v>70</v>
      </c>
      <c r="Z18" s="69" t="s">
        <v>70</v>
      </c>
      <c r="AA18" s="69" t="s">
        <v>70</v>
      </c>
      <c r="AB18" s="69" t="s">
        <v>70</v>
      </c>
      <c r="AC18" s="69" t="s">
        <v>70</v>
      </c>
      <c r="AD18" s="69" t="s">
        <v>70</v>
      </c>
      <c r="AE18" s="69" t="s">
        <v>70</v>
      </c>
      <c r="AF18" s="69" t="s">
        <v>410</v>
      </c>
      <c r="AG18" s="69" t="s">
        <v>410</v>
      </c>
      <c r="AH18" s="69" t="s">
        <v>410</v>
      </c>
      <c r="AI18" s="69" t="s">
        <v>410</v>
      </c>
      <c r="AJ18" s="25"/>
      <c r="AL18" t="str">
        <f t="shared" ca="1" si="0"/>
        <v xml:space="preserve">    (U1)ALERT_REQ_S_LCA_BC_CL_</v>
      </c>
      <c r="AR18" s="70" t="str">
        <f t="shared" si="3"/>
        <v/>
      </c>
      <c r="AS18" s="70" t="str">
        <f t="shared" si="4"/>
        <v/>
      </c>
      <c r="AT18" s="70" t="str">
        <f t="shared" si="1"/>
        <v/>
      </c>
    </row>
    <row r="19" spans="2:49">
      <c r="B19" s="139"/>
      <c r="C19" s="55">
        <f t="shared" si="2"/>
        <v>13</v>
      </c>
      <c r="D19" s="69" t="s">
        <v>70</v>
      </c>
      <c r="E19" s="69" t="s">
        <v>70</v>
      </c>
      <c r="F19" s="69" t="s">
        <v>70</v>
      </c>
      <c r="G19" s="69" t="s">
        <v>70</v>
      </c>
      <c r="H19" s="69" t="s">
        <v>70</v>
      </c>
      <c r="I19" s="69" t="s">
        <v>70</v>
      </c>
      <c r="J19" s="69" t="s">
        <v>70</v>
      </c>
      <c r="K19" s="69" t="s">
        <v>70</v>
      </c>
      <c r="L19" s="69" t="s">
        <v>70</v>
      </c>
      <c r="M19" s="69" t="s">
        <v>70</v>
      </c>
      <c r="N19" s="69" t="s">
        <v>70</v>
      </c>
      <c r="O19" s="69" t="s">
        <v>70</v>
      </c>
      <c r="P19" s="69" t="s">
        <v>70</v>
      </c>
      <c r="Q19" s="69" t="s">
        <v>70</v>
      </c>
      <c r="R19" s="69" t="s">
        <v>70</v>
      </c>
      <c r="S19" s="69" t="s">
        <v>70</v>
      </c>
      <c r="T19" s="69" t="s">
        <v>70</v>
      </c>
      <c r="U19" s="69" t="s">
        <v>70</v>
      </c>
      <c r="V19" s="69" t="s">
        <v>70</v>
      </c>
      <c r="W19" s="69" t="s">
        <v>70</v>
      </c>
      <c r="X19" s="69" t="s">
        <v>70</v>
      </c>
      <c r="Y19" s="69" t="s">
        <v>70</v>
      </c>
      <c r="Z19" s="69" t="s">
        <v>70</v>
      </c>
      <c r="AA19" s="69" t="s">
        <v>70</v>
      </c>
      <c r="AB19" s="69" t="s">
        <v>70</v>
      </c>
      <c r="AC19" s="69" t="s">
        <v>70</v>
      </c>
      <c r="AD19" s="69" t="s">
        <v>70</v>
      </c>
      <c r="AE19" s="69" t="s">
        <v>70</v>
      </c>
      <c r="AF19" s="69" t="s">
        <v>410</v>
      </c>
      <c r="AG19" s="69" t="s">
        <v>410</v>
      </c>
      <c r="AH19" s="69" t="s">
        <v>410</v>
      </c>
      <c r="AI19" s="69" t="s">
        <v>410</v>
      </c>
      <c r="AJ19" s="25"/>
      <c r="AL19" t="str">
        <f t="shared" ca="1" si="0"/>
        <v xml:space="preserve">    (U1)ALERT_REQ_S_LCA_BC_CL_</v>
      </c>
      <c r="AR19" s="70" t="str">
        <f t="shared" si="3"/>
        <v/>
      </c>
      <c r="AS19" s="70" t="str">
        <f t="shared" si="4"/>
        <v/>
      </c>
      <c r="AT19" s="70" t="str">
        <f t="shared" si="1"/>
        <v/>
      </c>
    </row>
    <row r="20" spans="2:49">
      <c r="B20" s="139"/>
      <c r="C20" s="55">
        <f t="shared" si="2"/>
        <v>14</v>
      </c>
      <c r="D20" s="69" t="s">
        <v>70</v>
      </c>
      <c r="E20" s="69" t="s">
        <v>70</v>
      </c>
      <c r="F20" s="69" t="s">
        <v>70</v>
      </c>
      <c r="G20" s="69" t="s">
        <v>70</v>
      </c>
      <c r="H20" s="69" t="s">
        <v>70</v>
      </c>
      <c r="I20" s="69" t="s">
        <v>70</v>
      </c>
      <c r="J20" s="69" t="s">
        <v>70</v>
      </c>
      <c r="K20" s="69" t="s">
        <v>70</v>
      </c>
      <c r="L20" s="69" t="s">
        <v>70</v>
      </c>
      <c r="M20" s="69" t="s">
        <v>70</v>
      </c>
      <c r="N20" s="69" t="s">
        <v>70</v>
      </c>
      <c r="O20" s="69" t="s">
        <v>70</v>
      </c>
      <c r="P20" s="69" t="s">
        <v>70</v>
      </c>
      <c r="Q20" s="69" t="s">
        <v>70</v>
      </c>
      <c r="R20" s="69" t="s">
        <v>70</v>
      </c>
      <c r="S20" s="69" t="s">
        <v>70</v>
      </c>
      <c r="T20" s="69" t="s">
        <v>70</v>
      </c>
      <c r="U20" s="69" t="s">
        <v>70</v>
      </c>
      <c r="V20" s="69" t="s">
        <v>70</v>
      </c>
      <c r="W20" s="69" t="s">
        <v>70</v>
      </c>
      <c r="X20" s="69" t="s">
        <v>70</v>
      </c>
      <c r="Y20" s="69" t="s">
        <v>70</v>
      </c>
      <c r="Z20" s="69" t="s">
        <v>70</v>
      </c>
      <c r="AA20" s="69" t="s">
        <v>70</v>
      </c>
      <c r="AB20" s="69" t="s">
        <v>70</v>
      </c>
      <c r="AC20" s="69" t="s">
        <v>70</v>
      </c>
      <c r="AD20" s="69" t="s">
        <v>70</v>
      </c>
      <c r="AE20" s="69" t="s">
        <v>70</v>
      </c>
      <c r="AF20" s="69" t="s">
        <v>410</v>
      </c>
      <c r="AG20" s="69" t="s">
        <v>410</v>
      </c>
      <c r="AH20" s="69" t="s">
        <v>410</v>
      </c>
      <c r="AI20" s="69" t="s">
        <v>410</v>
      </c>
      <c r="AJ20" s="25"/>
      <c r="AL20" t="str">
        <f t="shared" ca="1" si="0"/>
        <v xml:space="preserve">    (U1)ALERT_REQ_S_LCA_BC_CL_</v>
      </c>
      <c r="AR20" s="70" t="str">
        <f t="shared" si="3"/>
        <v/>
      </c>
      <c r="AS20" s="70" t="str">
        <f t="shared" si="4"/>
        <v/>
      </c>
      <c r="AT20" s="70" t="str">
        <f t="shared" si="1"/>
        <v/>
      </c>
    </row>
    <row r="21" spans="2:49">
      <c r="B21" s="139"/>
      <c r="C21" s="55">
        <f t="shared" si="2"/>
        <v>15</v>
      </c>
      <c r="D21" s="69" t="s">
        <v>70</v>
      </c>
      <c r="E21" s="69" t="s">
        <v>70</v>
      </c>
      <c r="F21" s="69" t="s">
        <v>70</v>
      </c>
      <c r="G21" s="69" t="s">
        <v>70</v>
      </c>
      <c r="H21" s="69" t="s">
        <v>70</v>
      </c>
      <c r="I21" s="69" t="s">
        <v>70</v>
      </c>
      <c r="J21" s="69" t="s">
        <v>70</v>
      </c>
      <c r="K21" s="69" t="s">
        <v>70</v>
      </c>
      <c r="L21" s="69" t="s">
        <v>70</v>
      </c>
      <c r="M21" s="69" t="s">
        <v>70</v>
      </c>
      <c r="N21" s="69" t="s">
        <v>70</v>
      </c>
      <c r="O21" s="69" t="s">
        <v>70</v>
      </c>
      <c r="P21" s="69" t="s">
        <v>70</v>
      </c>
      <c r="Q21" s="69" t="s">
        <v>70</v>
      </c>
      <c r="R21" s="69" t="s">
        <v>70</v>
      </c>
      <c r="S21" s="69" t="s">
        <v>70</v>
      </c>
      <c r="T21" s="69" t="s">
        <v>70</v>
      </c>
      <c r="U21" s="69" t="s">
        <v>70</v>
      </c>
      <c r="V21" s="69" t="s">
        <v>70</v>
      </c>
      <c r="W21" s="69" t="s">
        <v>70</v>
      </c>
      <c r="X21" s="69" t="s">
        <v>70</v>
      </c>
      <c r="Y21" s="69" t="s">
        <v>70</v>
      </c>
      <c r="Z21" s="69" t="s">
        <v>70</v>
      </c>
      <c r="AA21" s="69" t="s">
        <v>70</v>
      </c>
      <c r="AB21" s="69" t="s">
        <v>70</v>
      </c>
      <c r="AC21" s="69" t="s">
        <v>70</v>
      </c>
      <c r="AD21" s="69" t="s">
        <v>70</v>
      </c>
      <c r="AE21" s="69" t="s">
        <v>70</v>
      </c>
      <c r="AF21" s="69" t="s">
        <v>410</v>
      </c>
      <c r="AG21" s="69" t="s">
        <v>410</v>
      </c>
      <c r="AH21" s="69" t="s">
        <v>410</v>
      </c>
      <c r="AI21" s="69" t="s">
        <v>410</v>
      </c>
      <c r="AJ21" s="25"/>
      <c r="AL21" t="str">
        <f t="shared" ca="1" si="0"/>
        <v xml:space="preserve">    (U1)ALERT_REQ_S_LCA_BC_CL_</v>
      </c>
      <c r="AR21" s="70" t="str">
        <f t="shared" si="3"/>
        <v/>
      </c>
      <c r="AS21" s="70" t="str">
        <f t="shared" si="4"/>
        <v/>
      </c>
      <c r="AT21" s="70" t="str">
        <f t="shared" si="1"/>
        <v/>
      </c>
    </row>
    <row r="22" spans="2:49">
      <c r="B22" s="139"/>
      <c r="C22" s="55">
        <f t="shared" si="2"/>
        <v>16</v>
      </c>
      <c r="D22" s="69" t="s">
        <v>70</v>
      </c>
      <c r="E22" s="69" t="s">
        <v>70</v>
      </c>
      <c r="F22" s="69" t="s">
        <v>70</v>
      </c>
      <c r="G22" s="69" t="s">
        <v>70</v>
      </c>
      <c r="H22" s="69" t="s">
        <v>70</v>
      </c>
      <c r="I22" s="69" t="s">
        <v>70</v>
      </c>
      <c r="J22" s="69" t="s">
        <v>70</v>
      </c>
      <c r="K22" s="69" t="s">
        <v>70</v>
      </c>
      <c r="L22" s="69" t="s">
        <v>70</v>
      </c>
      <c r="M22" s="69" t="s">
        <v>70</v>
      </c>
      <c r="N22" s="69" t="s">
        <v>70</v>
      </c>
      <c r="O22" s="69" t="s">
        <v>70</v>
      </c>
      <c r="P22" s="69" t="s">
        <v>70</v>
      </c>
      <c r="Q22" s="69" t="s">
        <v>70</v>
      </c>
      <c r="R22" s="69" t="s">
        <v>70</v>
      </c>
      <c r="S22" s="69" t="s">
        <v>70</v>
      </c>
      <c r="T22" s="69" t="s">
        <v>70</v>
      </c>
      <c r="U22" s="69" t="s">
        <v>70</v>
      </c>
      <c r="V22" s="69" t="s">
        <v>70</v>
      </c>
      <c r="W22" s="69" t="s">
        <v>70</v>
      </c>
      <c r="X22" s="69" t="s">
        <v>70</v>
      </c>
      <c r="Y22" s="69" t="s">
        <v>70</v>
      </c>
      <c r="Z22" s="69" t="s">
        <v>70</v>
      </c>
      <c r="AA22" s="69" t="s">
        <v>70</v>
      </c>
      <c r="AB22" s="69" t="s">
        <v>70</v>
      </c>
      <c r="AC22" s="69" t="s">
        <v>70</v>
      </c>
      <c r="AD22" s="69" t="s">
        <v>70</v>
      </c>
      <c r="AE22" s="69" t="s">
        <v>70</v>
      </c>
      <c r="AF22" s="69" t="s">
        <v>70</v>
      </c>
      <c r="AG22" s="69" t="s">
        <v>70</v>
      </c>
      <c r="AH22" s="69" t="s">
        <v>70</v>
      </c>
      <c r="AI22" s="69" t="s">
        <v>70</v>
      </c>
      <c r="AJ22" s="25"/>
      <c r="AL22" t="str">
        <f t="shared" ca="1" si="0"/>
        <v xml:space="preserve">    (U1)ALERT_REQ_S_LCA_BC_CL_</v>
      </c>
      <c r="AR22" s="70" t="str">
        <f t="shared" si="3"/>
        <v/>
      </c>
      <c r="AS22" s="70" t="str">
        <f t="shared" si="4"/>
        <v/>
      </c>
      <c r="AT22" s="70" t="str">
        <f t="shared" si="1"/>
        <v/>
      </c>
    </row>
    <row r="23" spans="2:49">
      <c r="B23" s="139"/>
      <c r="C23" s="55">
        <f t="shared" si="2"/>
        <v>17</v>
      </c>
      <c r="D23" s="69" t="s">
        <v>70</v>
      </c>
      <c r="E23" s="69" t="s">
        <v>70</v>
      </c>
      <c r="F23" s="69" t="s">
        <v>70</v>
      </c>
      <c r="G23" s="69" t="s">
        <v>70</v>
      </c>
      <c r="H23" s="69" t="s">
        <v>70</v>
      </c>
      <c r="I23" s="69" t="s">
        <v>70</v>
      </c>
      <c r="J23" s="69" t="s">
        <v>70</v>
      </c>
      <c r="K23" s="69" t="s">
        <v>70</v>
      </c>
      <c r="L23" s="69" t="s">
        <v>70</v>
      </c>
      <c r="M23" s="69" t="s">
        <v>70</v>
      </c>
      <c r="N23" s="69" t="s">
        <v>70</v>
      </c>
      <c r="O23" s="69" t="s">
        <v>70</v>
      </c>
      <c r="P23" s="69" t="s">
        <v>70</v>
      </c>
      <c r="Q23" s="69" t="s">
        <v>70</v>
      </c>
      <c r="R23" s="69" t="s">
        <v>70</v>
      </c>
      <c r="S23" s="69" t="s">
        <v>70</v>
      </c>
      <c r="T23" s="69" t="s">
        <v>70</v>
      </c>
      <c r="U23" s="69" t="s">
        <v>70</v>
      </c>
      <c r="V23" s="69" t="s">
        <v>70</v>
      </c>
      <c r="W23" s="69" t="s">
        <v>70</v>
      </c>
      <c r="X23" s="69" t="s">
        <v>70</v>
      </c>
      <c r="Y23" s="69" t="s">
        <v>70</v>
      </c>
      <c r="Z23" s="69" t="s">
        <v>70</v>
      </c>
      <c r="AA23" s="69" t="s">
        <v>70</v>
      </c>
      <c r="AB23" s="69" t="s">
        <v>70</v>
      </c>
      <c r="AC23" s="69" t="s">
        <v>70</v>
      </c>
      <c r="AD23" s="69" t="s">
        <v>70</v>
      </c>
      <c r="AE23" s="69" t="s">
        <v>70</v>
      </c>
      <c r="AF23" s="69" t="s">
        <v>70</v>
      </c>
      <c r="AG23" s="69" t="s">
        <v>70</v>
      </c>
      <c r="AH23" s="69" t="s">
        <v>70</v>
      </c>
      <c r="AI23" s="69" t="s">
        <v>70</v>
      </c>
      <c r="AJ23" s="25"/>
      <c r="AL23" t="str">
        <f t="shared" ca="1" si="0"/>
        <v xml:space="preserve">    (U1)ALERT_REQ_S_LCA_BC_CL_</v>
      </c>
      <c r="AR23" s="70" t="str">
        <f t="shared" si="3"/>
        <v/>
      </c>
      <c r="AS23" s="70" t="str">
        <f t="shared" si="4"/>
        <v/>
      </c>
      <c r="AT23" s="70" t="str">
        <f t="shared" si="1"/>
        <v/>
      </c>
    </row>
    <row r="24" spans="2:49">
      <c r="B24" s="139"/>
      <c r="C24" s="55">
        <f t="shared" si="2"/>
        <v>18</v>
      </c>
      <c r="D24" s="69" t="s">
        <v>70</v>
      </c>
      <c r="E24" s="69" t="s">
        <v>70</v>
      </c>
      <c r="F24" s="69" t="s">
        <v>70</v>
      </c>
      <c r="G24" s="69" t="s">
        <v>70</v>
      </c>
      <c r="H24" s="69" t="s">
        <v>70</v>
      </c>
      <c r="I24" s="69" t="s">
        <v>70</v>
      </c>
      <c r="J24" s="69" t="s">
        <v>70</v>
      </c>
      <c r="K24" s="69" t="s">
        <v>70</v>
      </c>
      <c r="L24" s="69" t="s">
        <v>70</v>
      </c>
      <c r="M24" s="69" t="s">
        <v>70</v>
      </c>
      <c r="N24" s="69" t="s">
        <v>70</v>
      </c>
      <c r="O24" s="69" t="s">
        <v>70</v>
      </c>
      <c r="P24" s="69" t="s">
        <v>70</v>
      </c>
      <c r="Q24" s="69" t="s">
        <v>70</v>
      </c>
      <c r="R24" s="69" t="s">
        <v>70</v>
      </c>
      <c r="S24" s="69" t="s">
        <v>70</v>
      </c>
      <c r="T24" s="69" t="s">
        <v>70</v>
      </c>
      <c r="U24" s="69" t="s">
        <v>70</v>
      </c>
      <c r="V24" s="69" t="s">
        <v>70</v>
      </c>
      <c r="W24" s="69" t="s">
        <v>70</v>
      </c>
      <c r="X24" s="69" t="s">
        <v>70</v>
      </c>
      <c r="Y24" s="69" t="s">
        <v>70</v>
      </c>
      <c r="Z24" s="69" t="s">
        <v>70</v>
      </c>
      <c r="AA24" s="69" t="s">
        <v>70</v>
      </c>
      <c r="AB24" s="69" t="s">
        <v>70</v>
      </c>
      <c r="AC24" s="69" t="s">
        <v>70</v>
      </c>
      <c r="AD24" s="69" t="s">
        <v>70</v>
      </c>
      <c r="AE24" s="69" t="s">
        <v>70</v>
      </c>
      <c r="AF24" s="69" t="s">
        <v>70</v>
      </c>
      <c r="AG24" s="69" t="s">
        <v>70</v>
      </c>
      <c r="AH24" s="69" t="s">
        <v>70</v>
      </c>
      <c r="AI24" s="69" t="s">
        <v>70</v>
      </c>
      <c r="AJ24" s="25"/>
      <c r="AL24" t="str">
        <f t="shared" ca="1" si="0"/>
        <v xml:space="preserve">    (U1)ALERT_REQ_S_LCA_BC_CL_</v>
      </c>
      <c r="AR24" s="70" t="str">
        <f t="shared" si="3"/>
        <v/>
      </c>
      <c r="AS24" s="70" t="str">
        <f t="shared" si="4"/>
        <v/>
      </c>
      <c r="AT24" s="70" t="str">
        <f t="shared" si="1"/>
        <v/>
      </c>
    </row>
    <row r="25" spans="2:49">
      <c r="B25" s="139"/>
      <c r="C25" s="55">
        <f t="shared" si="2"/>
        <v>19</v>
      </c>
      <c r="D25" s="69" t="s">
        <v>70</v>
      </c>
      <c r="E25" s="69" t="s">
        <v>70</v>
      </c>
      <c r="F25" s="69" t="s">
        <v>70</v>
      </c>
      <c r="G25" s="69" t="s">
        <v>70</v>
      </c>
      <c r="H25" s="69" t="s">
        <v>70</v>
      </c>
      <c r="I25" s="69" t="s">
        <v>70</v>
      </c>
      <c r="J25" s="69" t="s">
        <v>70</v>
      </c>
      <c r="K25" s="69" t="s">
        <v>70</v>
      </c>
      <c r="L25" s="69" t="s">
        <v>70</v>
      </c>
      <c r="M25" s="69" t="s">
        <v>70</v>
      </c>
      <c r="N25" s="69" t="s">
        <v>70</v>
      </c>
      <c r="O25" s="69" t="s">
        <v>70</v>
      </c>
      <c r="P25" s="69" t="s">
        <v>70</v>
      </c>
      <c r="Q25" s="69" t="s">
        <v>70</v>
      </c>
      <c r="R25" s="69" t="s">
        <v>70</v>
      </c>
      <c r="S25" s="69" t="s">
        <v>70</v>
      </c>
      <c r="T25" s="69" t="s">
        <v>70</v>
      </c>
      <c r="U25" s="69" t="s">
        <v>70</v>
      </c>
      <c r="V25" s="69" t="s">
        <v>70</v>
      </c>
      <c r="W25" s="69" t="s">
        <v>70</v>
      </c>
      <c r="X25" s="69" t="s">
        <v>70</v>
      </c>
      <c r="Y25" s="69" t="s">
        <v>70</v>
      </c>
      <c r="Z25" s="69" t="s">
        <v>70</v>
      </c>
      <c r="AA25" s="69" t="s">
        <v>70</v>
      </c>
      <c r="AB25" s="69" t="s">
        <v>70</v>
      </c>
      <c r="AC25" s="69" t="s">
        <v>70</v>
      </c>
      <c r="AD25" s="69" t="s">
        <v>70</v>
      </c>
      <c r="AE25" s="69" t="s">
        <v>70</v>
      </c>
      <c r="AF25" s="69" t="s">
        <v>70</v>
      </c>
      <c r="AG25" s="69" t="s">
        <v>70</v>
      </c>
      <c r="AH25" s="69" t="s">
        <v>70</v>
      </c>
      <c r="AI25" s="69" t="s">
        <v>70</v>
      </c>
      <c r="AJ25" s="25"/>
      <c r="AL25" t="str">
        <f t="shared" ca="1" si="0"/>
        <v xml:space="preserve">    (U1)ALERT_REQ_S_LCA_BC_CL_</v>
      </c>
      <c r="AR25" s="70" t="str">
        <f t="shared" si="3"/>
        <v/>
      </c>
      <c r="AS25" s="70" t="str">
        <f t="shared" si="4"/>
        <v/>
      </c>
      <c r="AT25" s="70" t="str">
        <f t="shared" si="1"/>
        <v/>
      </c>
    </row>
    <row r="26" spans="2:49">
      <c r="B26" s="139"/>
      <c r="C26" s="55">
        <f t="shared" si="2"/>
        <v>20</v>
      </c>
      <c r="D26" s="69" t="s">
        <v>70</v>
      </c>
      <c r="E26" s="69" t="s">
        <v>70</v>
      </c>
      <c r="F26" s="69" t="s">
        <v>70</v>
      </c>
      <c r="G26" s="69" t="s">
        <v>70</v>
      </c>
      <c r="H26" s="69" t="s">
        <v>70</v>
      </c>
      <c r="I26" s="69" t="s">
        <v>70</v>
      </c>
      <c r="J26" s="69" t="s">
        <v>70</v>
      </c>
      <c r="K26" s="69" t="s">
        <v>70</v>
      </c>
      <c r="L26" s="69" t="s">
        <v>70</v>
      </c>
      <c r="M26" s="69" t="s">
        <v>70</v>
      </c>
      <c r="N26" s="69" t="s">
        <v>70</v>
      </c>
      <c r="O26" s="69" t="s">
        <v>70</v>
      </c>
      <c r="P26" s="69" t="s">
        <v>70</v>
      </c>
      <c r="Q26" s="69" t="s">
        <v>70</v>
      </c>
      <c r="R26" s="69" t="s">
        <v>70</v>
      </c>
      <c r="S26" s="69" t="s">
        <v>70</v>
      </c>
      <c r="T26" s="69" t="s">
        <v>70</v>
      </c>
      <c r="U26" s="69" t="s">
        <v>70</v>
      </c>
      <c r="V26" s="69" t="s">
        <v>70</v>
      </c>
      <c r="W26" s="69" t="s">
        <v>70</v>
      </c>
      <c r="X26" s="69" t="s">
        <v>70</v>
      </c>
      <c r="Y26" s="69" t="s">
        <v>70</v>
      </c>
      <c r="Z26" s="69" t="s">
        <v>70</v>
      </c>
      <c r="AA26" s="69" t="s">
        <v>70</v>
      </c>
      <c r="AB26" s="69" t="s">
        <v>70</v>
      </c>
      <c r="AC26" s="69" t="s">
        <v>70</v>
      </c>
      <c r="AD26" s="69" t="s">
        <v>70</v>
      </c>
      <c r="AE26" s="69" t="s">
        <v>70</v>
      </c>
      <c r="AF26" s="69" t="s">
        <v>70</v>
      </c>
      <c r="AG26" s="69" t="s">
        <v>70</v>
      </c>
      <c r="AH26" s="69" t="s">
        <v>70</v>
      </c>
      <c r="AI26" s="69" t="s">
        <v>70</v>
      </c>
      <c r="AJ26" s="25"/>
      <c r="AL26" t="str">
        <f t="shared" ca="1" si="0"/>
        <v xml:space="preserve">    (U1)ALERT_REQ_S_LCA_BC_CL_</v>
      </c>
      <c r="AR26" s="70" t="str">
        <f t="shared" si="3"/>
        <v/>
      </c>
      <c r="AS26" s="70" t="str">
        <f t="shared" si="4"/>
        <v/>
      </c>
      <c r="AT26" s="70" t="str">
        <f t="shared" si="1"/>
        <v/>
      </c>
    </row>
    <row r="27" spans="2:49">
      <c r="B27" s="139"/>
      <c r="C27" s="55">
        <f t="shared" si="2"/>
        <v>21</v>
      </c>
      <c r="D27" s="69" t="s">
        <v>70</v>
      </c>
      <c r="E27" s="69" t="s">
        <v>70</v>
      </c>
      <c r="F27" s="69" t="s">
        <v>70</v>
      </c>
      <c r="G27" s="69" t="s">
        <v>70</v>
      </c>
      <c r="H27" s="69" t="s">
        <v>70</v>
      </c>
      <c r="I27" s="69" t="s">
        <v>70</v>
      </c>
      <c r="J27" s="69" t="s">
        <v>70</v>
      </c>
      <c r="K27" s="69" t="s">
        <v>70</v>
      </c>
      <c r="L27" s="69" t="s">
        <v>70</v>
      </c>
      <c r="M27" s="69" t="s">
        <v>70</v>
      </c>
      <c r="N27" s="69" t="s">
        <v>70</v>
      </c>
      <c r="O27" s="69" t="s">
        <v>70</v>
      </c>
      <c r="P27" s="69" t="s">
        <v>70</v>
      </c>
      <c r="Q27" s="69" t="s">
        <v>70</v>
      </c>
      <c r="R27" s="69" t="s">
        <v>70</v>
      </c>
      <c r="S27" s="69" t="s">
        <v>70</v>
      </c>
      <c r="T27" s="69" t="s">
        <v>70</v>
      </c>
      <c r="U27" s="69" t="s">
        <v>70</v>
      </c>
      <c r="V27" s="69" t="s">
        <v>70</v>
      </c>
      <c r="W27" s="69" t="s">
        <v>70</v>
      </c>
      <c r="X27" s="69" t="s">
        <v>70</v>
      </c>
      <c r="Y27" s="69" t="s">
        <v>70</v>
      </c>
      <c r="Z27" s="69" t="s">
        <v>70</v>
      </c>
      <c r="AA27" s="69" t="s">
        <v>70</v>
      </c>
      <c r="AB27" s="69" t="s">
        <v>70</v>
      </c>
      <c r="AC27" s="69" t="s">
        <v>70</v>
      </c>
      <c r="AD27" s="69" t="s">
        <v>70</v>
      </c>
      <c r="AE27" s="69" t="s">
        <v>70</v>
      </c>
      <c r="AF27" s="69" t="s">
        <v>70</v>
      </c>
      <c r="AG27" s="69" t="s">
        <v>70</v>
      </c>
      <c r="AH27" s="69" t="s">
        <v>70</v>
      </c>
      <c r="AI27" s="69" t="s">
        <v>70</v>
      </c>
      <c r="AJ27" s="25"/>
      <c r="AL27" t="str">
        <f t="shared" ca="1" si="0"/>
        <v xml:space="preserve">    (U1)ALERT_REQ_S_LCA_BC_CL_</v>
      </c>
      <c r="AR27" s="70" t="str">
        <f t="shared" si="3"/>
        <v/>
      </c>
      <c r="AS27" s="70" t="str">
        <f t="shared" si="4"/>
        <v/>
      </c>
      <c r="AT27" s="70" t="str">
        <f t="shared" si="1"/>
        <v/>
      </c>
    </row>
    <row r="28" spans="2:49">
      <c r="B28" s="139"/>
      <c r="C28" s="55">
        <f t="shared" si="2"/>
        <v>22</v>
      </c>
      <c r="D28" s="69" t="s">
        <v>70</v>
      </c>
      <c r="E28" s="69" t="s">
        <v>70</v>
      </c>
      <c r="F28" s="69" t="s">
        <v>70</v>
      </c>
      <c r="G28" s="69" t="s">
        <v>70</v>
      </c>
      <c r="H28" s="69" t="s">
        <v>70</v>
      </c>
      <c r="I28" s="69" t="s">
        <v>70</v>
      </c>
      <c r="J28" s="69" t="s">
        <v>70</v>
      </c>
      <c r="K28" s="69" t="s">
        <v>70</v>
      </c>
      <c r="L28" s="69" t="s">
        <v>70</v>
      </c>
      <c r="M28" s="69" t="s">
        <v>70</v>
      </c>
      <c r="N28" s="69" t="s">
        <v>70</v>
      </c>
      <c r="O28" s="69" t="s">
        <v>70</v>
      </c>
      <c r="P28" s="69" t="s">
        <v>70</v>
      </c>
      <c r="Q28" s="69" t="s">
        <v>70</v>
      </c>
      <c r="R28" s="69" t="s">
        <v>70</v>
      </c>
      <c r="S28" s="69" t="s">
        <v>70</v>
      </c>
      <c r="T28" s="69" t="s">
        <v>70</v>
      </c>
      <c r="U28" s="69" t="s">
        <v>70</v>
      </c>
      <c r="V28" s="69" t="s">
        <v>70</v>
      </c>
      <c r="W28" s="69" t="s">
        <v>70</v>
      </c>
      <c r="X28" s="69" t="s">
        <v>70</v>
      </c>
      <c r="Y28" s="69" t="s">
        <v>70</v>
      </c>
      <c r="Z28" s="69" t="s">
        <v>70</v>
      </c>
      <c r="AA28" s="69" t="s">
        <v>70</v>
      </c>
      <c r="AB28" s="69" t="s">
        <v>70</v>
      </c>
      <c r="AC28" s="69" t="s">
        <v>70</v>
      </c>
      <c r="AD28" s="69" t="s">
        <v>70</v>
      </c>
      <c r="AE28" s="69" t="s">
        <v>70</v>
      </c>
      <c r="AF28" s="69" t="s">
        <v>70</v>
      </c>
      <c r="AG28" s="69" t="s">
        <v>70</v>
      </c>
      <c r="AH28" s="69" t="s">
        <v>70</v>
      </c>
      <c r="AI28" s="69" t="s">
        <v>70</v>
      </c>
      <c r="AJ28" s="25"/>
      <c r="AL28" t="str">
        <f t="shared" ca="1" si="0"/>
        <v xml:space="preserve">    (U1)ALERT_REQ_S_LCA_BC_CL_</v>
      </c>
      <c r="AR28" s="70" t="str">
        <f t="shared" si="3"/>
        <v/>
      </c>
      <c r="AS28" s="70" t="str">
        <f t="shared" si="4"/>
        <v/>
      </c>
      <c r="AT28" s="70" t="str">
        <f t="shared" si="1"/>
        <v/>
      </c>
    </row>
    <row r="29" spans="2:49">
      <c r="B29" s="139"/>
      <c r="C29" s="55">
        <f t="shared" si="2"/>
        <v>23</v>
      </c>
      <c r="D29" s="69" t="s">
        <v>70</v>
      </c>
      <c r="E29" s="69" t="s">
        <v>70</v>
      </c>
      <c r="F29" s="69" t="s">
        <v>70</v>
      </c>
      <c r="G29" s="69" t="s">
        <v>70</v>
      </c>
      <c r="H29" s="69" t="s">
        <v>70</v>
      </c>
      <c r="I29" s="69" t="s">
        <v>70</v>
      </c>
      <c r="J29" s="69" t="s">
        <v>70</v>
      </c>
      <c r="K29" s="69" t="s">
        <v>70</v>
      </c>
      <c r="L29" s="69" t="s">
        <v>70</v>
      </c>
      <c r="M29" s="69" t="s">
        <v>70</v>
      </c>
      <c r="N29" s="69" t="s">
        <v>70</v>
      </c>
      <c r="O29" s="69" t="s">
        <v>70</v>
      </c>
      <c r="P29" s="69" t="s">
        <v>70</v>
      </c>
      <c r="Q29" s="69" t="s">
        <v>70</v>
      </c>
      <c r="R29" s="69" t="s">
        <v>70</v>
      </c>
      <c r="S29" s="69" t="s">
        <v>70</v>
      </c>
      <c r="T29" s="69" t="s">
        <v>70</v>
      </c>
      <c r="U29" s="69" t="s">
        <v>70</v>
      </c>
      <c r="V29" s="69" t="s">
        <v>70</v>
      </c>
      <c r="W29" s="69" t="s">
        <v>70</v>
      </c>
      <c r="X29" s="69" t="s">
        <v>70</v>
      </c>
      <c r="Y29" s="69" t="s">
        <v>70</v>
      </c>
      <c r="Z29" s="69" t="s">
        <v>70</v>
      </c>
      <c r="AA29" s="69" t="s">
        <v>70</v>
      </c>
      <c r="AB29" s="69" t="s">
        <v>70</v>
      </c>
      <c r="AC29" s="69" t="s">
        <v>70</v>
      </c>
      <c r="AD29" s="69" t="s">
        <v>70</v>
      </c>
      <c r="AE29" s="69" t="s">
        <v>70</v>
      </c>
      <c r="AF29" s="69" t="s">
        <v>70</v>
      </c>
      <c r="AG29" s="69" t="s">
        <v>70</v>
      </c>
      <c r="AH29" s="69" t="s">
        <v>70</v>
      </c>
      <c r="AI29" s="69" t="s">
        <v>70</v>
      </c>
      <c r="AJ29" s="25"/>
      <c r="AL29" t="str">
        <f t="shared" ca="1" si="0"/>
        <v xml:space="preserve">    (U1)ALERT_REQ_S_LCA_BC_CL_</v>
      </c>
      <c r="AR29" s="70" t="str">
        <f t="shared" si="3"/>
        <v/>
      </c>
      <c r="AS29" s="70" t="str">
        <f t="shared" si="4"/>
        <v/>
      </c>
      <c r="AT29" s="70" t="str">
        <f t="shared" si="1"/>
        <v/>
      </c>
    </row>
    <row r="30" spans="2:49">
      <c r="B30" s="139"/>
      <c r="C30" s="55">
        <f t="shared" si="2"/>
        <v>24</v>
      </c>
      <c r="D30" s="69" t="s">
        <v>70</v>
      </c>
      <c r="E30" s="69" t="s">
        <v>70</v>
      </c>
      <c r="F30" s="69" t="s">
        <v>70</v>
      </c>
      <c r="G30" s="69" t="s">
        <v>70</v>
      </c>
      <c r="H30" s="69" t="s">
        <v>70</v>
      </c>
      <c r="I30" s="69" t="s">
        <v>70</v>
      </c>
      <c r="J30" s="69" t="s">
        <v>70</v>
      </c>
      <c r="K30" s="69" t="s">
        <v>70</v>
      </c>
      <c r="L30" s="69" t="s">
        <v>70</v>
      </c>
      <c r="M30" s="69" t="s">
        <v>70</v>
      </c>
      <c r="N30" s="69" t="s">
        <v>70</v>
      </c>
      <c r="O30" s="69" t="s">
        <v>70</v>
      </c>
      <c r="P30" s="69" t="s">
        <v>70</v>
      </c>
      <c r="Q30" s="69" t="s">
        <v>70</v>
      </c>
      <c r="R30" s="69" t="s">
        <v>70</v>
      </c>
      <c r="S30" s="69" t="s">
        <v>70</v>
      </c>
      <c r="T30" s="69" t="s">
        <v>70</v>
      </c>
      <c r="U30" s="69" t="s">
        <v>70</v>
      </c>
      <c r="V30" s="69" t="s">
        <v>70</v>
      </c>
      <c r="W30" s="69" t="s">
        <v>70</v>
      </c>
      <c r="X30" s="69" t="s">
        <v>70</v>
      </c>
      <c r="Y30" s="69" t="s">
        <v>70</v>
      </c>
      <c r="Z30" s="69" t="s">
        <v>70</v>
      </c>
      <c r="AA30" s="69" t="s">
        <v>70</v>
      </c>
      <c r="AB30" s="69" t="s">
        <v>70</v>
      </c>
      <c r="AC30" s="69" t="s">
        <v>70</v>
      </c>
      <c r="AD30" s="69" t="s">
        <v>70</v>
      </c>
      <c r="AE30" s="69" t="s">
        <v>70</v>
      </c>
      <c r="AF30" s="69" t="s">
        <v>70</v>
      </c>
      <c r="AG30" s="69" t="s">
        <v>70</v>
      </c>
      <c r="AH30" s="69" t="s">
        <v>70</v>
      </c>
      <c r="AI30" s="69" t="s">
        <v>70</v>
      </c>
      <c r="AJ30" s="25"/>
      <c r="AL30" t="str">
        <f t="shared" ca="1" si="0"/>
        <v xml:space="preserve">    (U1)ALERT_REQ_S_LCA_BC_CL_</v>
      </c>
      <c r="AR30" s="70" t="str">
        <f t="shared" si="3"/>
        <v/>
      </c>
      <c r="AS30" s="70" t="str">
        <f t="shared" si="4"/>
        <v/>
      </c>
      <c r="AT30" s="70" t="str">
        <f t="shared" si="1"/>
        <v/>
      </c>
    </row>
    <row r="31" spans="2:49">
      <c r="B31" s="139"/>
      <c r="C31" s="55">
        <f t="shared" si="2"/>
        <v>25</v>
      </c>
      <c r="D31" s="69" t="s">
        <v>70</v>
      </c>
      <c r="E31" s="69" t="s">
        <v>70</v>
      </c>
      <c r="F31" s="69" t="s">
        <v>70</v>
      </c>
      <c r="G31" s="69" t="s">
        <v>70</v>
      </c>
      <c r="H31" s="69" t="s">
        <v>70</v>
      </c>
      <c r="I31" s="69" t="s">
        <v>70</v>
      </c>
      <c r="J31" s="69" t="s">
        <v>70</v>
      </c>
      <c r="K31" s="69" t="s">
        <v>70</v>
      </c>
      <c r="L31" s="69" t="s">
        <v>70</v>
      </c>
      <c r="M31" s="69" t="s">
        <v>70</v>
      </c>
      <c r="N31" s="69" t="s">
        <v>70</v>
      </c>
      <c r="O31" s="69" t="s">
        <v>70</v>
      </c>
      <c r="P31" s="69" t="s">
        <v>70</v>
      </c>
      <c r="Q31" s="69" t="s">
        <v>70</v>
      </c>
      <c r="R31" s="69" t="s">
        <v>70</v>
      </c>
      <c r="S31" s="69" t="s">
        <v>70</v>
      </c>
      <c r="T31" s="69" t="s">
        <v>70</v>
      </c>
      <c r="U31" s="69" t="s">
        <v>70</v>
      </c>
      <c r="V31" s="69" t="s">
        <v>70</v>
      </c>
      <c r="W31" s="69" t="s">
        <v>70</v>
      </c>
      <c r="X31" s="69" t="s">
        <v>70</v>
      </c>
      <c r="Y31" s="69" t="s">
        <v>70</v>
      </c>
      <c r="Z31" s="69" t="s">
        <v>70</v>
      </c>
      <c r="AA31" s="69" t="s">
        <v>70</v>
      </c>
      <c r="AB31" s="69" t="s">
        <v>70</v>
      </c>
      <c r="AC31" s="69" t="s">
        <v>70</v>
      </c>
      <c r="AD31" s="69" t="s">
        <v>70</v>
      </c>
      <c r="AE31" s="69" t="s">
        <v>70</v>
      </c>
      <c r="AF31" s="69" t="s">
        <v>70</v>
      </c>
      <c r="AG31" s="69" t="s">
        <v>70</v>
      </c>
      <c r="AH31" s="69" t="s">
        <v>70</v>
      </c>
      <c r="AI31" s="69" t="s">
        <v>70</v>
      </c>
      <c r="AJ31" s="25"/>
      <c r="AL31" t="str">
        <f t="shared" ca="1" si="0"/>
        <v xml:space="preserve">    (U1)ALERT_REQ_S_LCA_BC_CL_</v>
      </c>
      <c r="AR31" s="70" t="str">
        <f t="shared" si="3"/>
        <v/>
      </c>
      <c r="AS31" s="70" t="str">
        <f t="shared" si="4"/>
        <v/>
      </c>
      <c r="AT31" s="70" t="str">
        <f t="shared" si="1"/>
        <v/>
      </c>
    </row>
    <row r="32" spans="2:49">
      <c r="B32" s="139"/>
      <c r="C32" s="55">
        <f t="shared" si="2"/>
        <v>26</v>
      </c>
      <c r="D32" s="69" t="s">
        <v>70</v>
      </c>
      <c r="E32" s="69" t="s">
        <v>70</v>
      </c>
      <c r="F32" s="69" t="s">
        <v>70</v>
      </c>
      <c r="G32" s="69" t="s">
        <v>70</v>
      </c>
      <c r="H32" s="69" t="s">
        <v>70</v>
      </c>
      <c r="I32" s="69" t="s">
        <v>70</v>
      </c>
      <c r="J32" s="69" t="s">
        <v>70</v>
      </c>
      <c r="K32" s="69" t="s">
        <v>70</v>
      </c>
      <c r="L32" s="69" t="s">
        <v>70</v>
      </c>
      <c r="M32" s="69" t="s">
        <v>70</v>
      </c>
      <c r="N32" s="69" t="s">
        <v>70</v>
      </c>
      <c r="O32" s="69" t="s">
        <v>70</v>
      </c>
      <c r="P32" s="69" t="s">
        <v>70</v>
      </c>
      <c r="Q32" s="69" t="s">
        <v>70</v>
      </c>
      <c r="R32" s="69" t="s">
        <v>70</v>
      </c>
      <c r="S32" s="69" t="s">
        <v>70</v>
      </c>
      <c r="T32" s="69" t="s">
        <v>70</v>
      </c>
      <c r="U32" s="69" t="s">
        <v>70</v>
      </c>
      <c r="V32" s="69" t="s">
        <v>70</v>
      </c>
      <c r="W32" s="69" t="s">
        <v>70</v>
      </c>
      <c r="X32" s="69" t="s">
        <v>70</v>
      </c>
      <c r="Y32" s="69" t="s">
        <v>70</v>
      </c>
      <c r="Z32" s="69" t="s">
        <v>70</v>
      </c>
      <c r="AA32" s="69" t="s">
        <v>70</v>
      </c>
      <c r="AB32" s="69" t="s">
        <v>70</v>
      </c>
      <c r="AC32" s="69" t="s">
        <v>70</v>
      </c>
      <c r="AD32" s="69" t="s">
        <v>70</v>
      </c>
      <c r="AE32" s="69" t="s">
        <v>70</v>
      </c>
      <c r="AF32" s="69" t="s">
        <v>70</v>
      </c>
      <c r="AG32" s="69" t="s">
        <v>70</v>
      </c>
      <c r="AH32" s="69" t="s">
        <v>70</v>
      </c>
      <c r="AI32" s="69" t="s">
        <v>70</v>
      </c>
      <c r="AJ32" s="25"/>
      <c r="AL32" t="str">
        <f t="shared" ca="1" si="0"/>
        <v xml:space="preserve">    (U1)ALERT_REQ_S_LCA_BC_CL_</v>
      </c>
      <c r="AR32" s="70" t="str">
        <f t="shared" si="3"/>
        <v/>
      </c>
      <c r="AS32" s="70" t="str">
        <f t="shared" si="4"/>
        <v/>
      </c>
      <c r="AT32" s="70" t="str">
        <f t="shared" si="1"/>
        <v/>
      </c>
    </row>
    <row r="33" spans="2:46">
      <c r="B33" s="139"/>
      <c r="C33" s="55">
        <f t="shared" si="2"/>
        <v>27</v>
      </c>
      <c r="D33" s="69" t="s">
        <v>70</v>
      </c>
      <c r="E33" s="69" t="s">
        <v>70</v>
      </c>
      <c r="F33" s="69" t="s">
        <v>70</v>
      </c>
      <c r="G33" s="69" t="s">
        <v>70</v>
      </c>
      <c r="H33" s="69" t="s">
        <v>70</v>
      </c>
      <c r="I33" s="69" t="s">
        <v>70</v>
      </c>
      <c r="J33" s="69" t="s">
        <v>70</v>
      </c>
      <c r="K33" s="69" t="s">
        <v>70</v>
      </c>
      <c r="L33" s="69" t="s">
        <v>70</v>
      </c>
      <c r="M33" s="69" t="s">
        <v>70</v>
      </c>
      <c r="N33" s="69" t="s">
        <v>70</v>
      </c>
      <c r="O33" s="69" t="s">
        <v>70</v>
      </c>
      <c r="P33" s="69" t="s">
        <v>70</v>
      </c>
      <c r="Q33" s="69" t="s">
        <v>70</v>
      </c>
      <c r="R33" s="69" t="s">
        <v>70</v>
      </c>
      <c r="S33" s="69" t="s">
        <v>70</v>
      </c>
      <c r="T33" s="69" t="s">
        <v>70</v>
      </c>
      <c r="U33" s="69" t="s">
        <v>70</v>
      </c>
      <c r="V33" s="69" t="s">
        <v>70</v>
      </c>
      <c r="W33" s="69" t="s">
        <v>70</v>
      </c>
      <c r="X33" s="69" t="s">
        <v>70</v>
      </c>
      <c r="Y33" s="69" t="s">
        <v>70</v>
      </c>
      <c r="Z33" s="69" t="s">
        <v>70</v>
      </c>
      <c r="AA33" s="69" t="s">
        <v>70</v>
      </c>
      <c r="AB33" s="69" t="s">
        <v>70</v>
      </c>
      <c r="AC33" s="69" t="s">
        <v>70</v>
      </c>
      <c r="AD33" s="69" t="s">
        <v>70</v>
      </c>
      <c r="AE33" s="69" t="s">
        <v>70</v>
      </c>
      <c r="AF33" s="69" t="s">
        <v>70</v>
      </c>
      <c r="AG33" s="69" t="s">
        <v>70</v>
      </c>
      <c r="AH33" s="69" t="s">
        <v>70</v>
      </c>
      <c r="AI33" s="69" t="s">
        <v>70</v>
      </c>
      <c r="AJ33" s="25"/>
      <c r="AL33" t="str">
        <f t="shared" ca="1" si="0"/>
        <v xml:space="preserve">    (U1)ALERT_REQ_S_LCA_BC_CL_</v>
      </c>
      <c r="AR33" s="70" t="str">
        <f t="shared" si="3"/>
        <v/>
      </c>
      <c r="AS33" s="70" t="str">
        <f t="shared" si="4"/>
        <v/>
      </c>
      <c r="AT33" s="70" t="str">
        <f t="shared" si="1"/>
        <v/>
      </c>
    </row>
    <row r="34" spans="2:46">
      <c r="B34" s="139"/>
      <c r="C34" s="55">
        <f t="shared" si="2"/>
        <v>28</v>
      </c>
      <c r="D34" s="69" t="s">
        <v>70</v>
      </c>
      <c r="E34" s="69" t="s">
        <v>70</v>
      </c>
      <c r="F34" s="69" t="s">
        <v>70</v>
      </c>
      <c r="G34" s="69" t="s">
        <v>70</v>
      </c>
      <c r="H34" s="69" t="s">
        <v>70</v>
      </c>
      <c r="I34" s="69" t="s">
        <v>70</v>
      </c>
      <c r="J34" s="69" t="s">
        <v>70</v>
      </c>
      <c r="K34" s="69" t="s">
        <v>70</v>
      </c>
      <c r="L34" s="69" t="s">
        <v>70</v>
      </c>
      <c r="M34" s="69" t="s">
        <v>70</v>
      </c>
      <c r="N34" s="69" t="s">
        <v>70</v>
      </c>
      <c r="O34" s="69" t="s">
        <v>70</v>
      </c>
      <c r="P34" s="69" t="s">
        <v>70</v>
      </c>
      <c r="Q34" s="69" t="s">
        <v>70</v>
      </c>
      <c r="R34" s="69" t="s">
        <v>70</v>
      </c>
      <c r="S34" s="69" t="s">
        <v>70</v>
      </c>
      <c r="T34" s="69" t="s">
        <v>70</v>
      </c>
      <c r="U34" s="69" t="s">
        <v>70</v>
      </c>
      <c r="V34" s="69" t="s">
        <v>70</v>
      </c>
      <c r="W34" s="69" t="s">
        <v>70</v>
      </c>
      <c r="X34" s="69" t="s">
        <v>70</v>
      </c>
      <c r="Y34" s="69" t="s">
        <v>70</v>
      </c>
      <c r="Z34" s="69" t="s">
        <v>70</v>
      </c>
      <c r="AA34" s="69" t="s">
        <v>70</v>
      </c>
      <c r="AB34" s="69" t="s">
        <v>70</v>
      </c>
      <c r="AC34" s="69" t="s">
        <v>70</v>
      </c>
      <c r="AD34" s="69" t="s">
        <v>70</v>
      </c>
      <c r="AE34" s="69" t="s">
        <v>70</v>
      </c>
      <c r="AF34" s="69" t="s">
        <v>70</v>
      </c>
      <c r="AG34" s="69" t="s">
        <v>70</v>
      </c>
      <c r="AH34" s="69" t="s">
        <v>70</v>
      </c>
      <c r="AI34" s="69" t="s">
        <v>70</v>
      </c>
      <c r="AJ34" s="25"/>
      <c r="AL34" t="str">
        <f t="shared" ca="1" si="0"/>
        <v xml:space="preserve">    (U1)ALERT_REQ_S_LCA_BC_CL_</v>
      </c>
      <c r="AR34" s="70" t="str">
        <f t="shared" si="3"/>
        <v/>
      </c>
      <c r="AS34" s="70" t="str">
        <f t="shared" si="4"/>
        <v/>
      </c>
      <c r="AT34" s="70" t="str">
        <f t="shared" si="1"/>
        <v/>
      </c>
    </row>
    <row r="35" spans="2:46">
      <c r="B35" s="139"/>
      <c r="C35" s="55">
        <f t="shared" si="2"/>
        <v>29</v>
      </c>
      <c r="D35" s="69" t="s">
        <v>70</v>
      </c>
      <c r="E35" s="69" t="s">
        <v>70</v>
      </c>
      <c r="F35" s="69" t="s">
        <v>70</v>
      </c>
      <c r="G35" s="69" t="s">
        <v>70</v>
      </c>
      <c r="H35" s="69" t="s">
        <v>70</v>
      </c>
      <c r="I35" s="69" t="s">
        <v>70</v>
      </c>
      <c r="J35" s="69" t="s">
        <v>70</v>
      </c>
      <c r="K35" s="69" t="s">
        <v>70</v>
      </c>
      <c r="L35" s="69" t="s">
        <v>70</v>
      </c>
      <c r="M35" s="69" t="s">
        <v>70</v>
      </c>
      <c r="N35" s="69" t="s">
        <v>70</v>
      </c>
      <c r="O35" s="69" t="s">
        <v>70</v>
      </c>
      <c r="P35" s="69" t="s">
        <v>70</v>
      </c>
      <c r="Q35" s="69" t="s">
        <v>70</v>
      </c>
      <c r="R35" s="69" t="s">
        <v>70</v>
      </c>
      <c r="S35" s="69" t="s">
        <v>70</v>
      </c>
      <c r="T35" s="69" t="s">
        <v>70</v>
      </c>
      <c r="U35" s="69" t="s">
        <v>70</v>
      </c>
      <c r="V35" s="69" t="s">
        <v>70</v>
      </c>
      <c r="W35" s="69" t="s">
        <v>70</v>
      </c>
      <c r="X35" s="69" t="s">
        <v>70</v>
      </c>
      <c r="Y35" s="69" t="s">
        <v>70</v>
      </c>
      <c r="Z35" s="69" t="s">
        <v>70</v>
      </c>
      <c r="AA35" s="69" t="s">
        <v>70</v>
      </c>
      <c r="AB35" s="69" t="s">
        <v>70</v>
      </c>
      <c r="AC35" s="69" t="s">
        <v>70</v>
      </c>
      <c r="AD35" s="69" t="s">
        <v>70</v>
      </c>
      <c r="AE35" s="69" t="s">
        <v>70</v>
      </c>
      <c r="AF35" s="69" t="s">
        <v>70</v>
      </c>
      <c r="AG35" s="69" t="s">
        <v>70</v>
      </c>
      <c r="AH35" s="69" t="s">
        <v>70</v>
      </c>
      <c r="AI35" s="69" t="s">
        <v>70</v>
      </c>
      <c r="AJ35" s="25"/>
      <c r="AL35" t="str">
        <f t="shared" ca="1" si="0"/>
        <v xml:space="preserve">    (U1)ALERT_REQ_S_LCA_BC_CL_</v>
      </c>
      <c r="AR35" s="70" t="str">
        <f t="shared" si="3"/>
        <v/>
      </c>
      <c r="AS35" s="70" t="str">
        <f t="shared" si="4"/>
        <v/>
      </c>
      <c r="AT35" s="70" t="str">
        <f t="shared" si="1"/>
        <v/>
      </c>
    </row>
    <row r="36" spans="2:46">
      <c r="B36" s="139"/>
      <c r="C36" s="55">
        <f t="shared" si="2"/>
        <v>30</v>
      </c>
      <c r="D36" s="69" t="s">
        <v>70</v>
      </c>
      <c r="E36" s="69" t="s">
        <v>70</v>
      </c>
      <c r="F36" s="69" t="s">
        <v>70</v>
      </c>
      <c r="G36" s="69" t="s">
        <v>70</v>
      </c>
      <c r="H36" s="69" t="s">
        <v>70</v>
      </c>
      <c r="I36" s="69" t="s">
        <v>70</v>
      </c>
      <c r="J36" s="69" t="s">
        <v>70</v>
      </c>
      <c r="K36" s="69" t="s">
        <v>70</v>
      </c>
      <c r="L36" s="69" t="s">
        <v>70</v>
      </c>
      <c r="M36" s="69" t="s">
        <v>70</v>
      </c>
      <c r="N36" s="69" t="s">
        <v>70</v>
      </c>
      <c r="O36" s="69" t="s">
        <v>70</v>
      </c>
      <c r="P36" s="69" t="s">
        <v>70</v>
      </c>
      <c r="Q36" s="69" t="s">
        <v>70</v>
      </c>
      <c r="R36" s="69" t="s">
        <v>70</v>
      </c>
      <c r="S36" s="69" t="s">
        <v>70</v>
      </c>
      <c r="T36" s="69" t="s">
        <v>70</v>
      </c>
      <c r="U36" s="69" t="s">
        <v>70</v>
      </c>
      <c r="V36" s="69" t="s">
        <v>70</v>
      </c>
      <c r="W36" s="69" t="s">
        <v>70</v>
      </c>
      <c r="X36" s="69" t="s">
        <v>70</v>
      </c>
      <c r="Y36" s="69" t="s">
        <v>70</v>
      </c>
      <c r="Z36" s="69" t="s">
        <v>70</v>
      </c>
      <c r="AA36" s="69" t="s">
        <v>70</v>
      </c>
      <c r="AB36" s="69" t="s">
        <v>70</v>
      </c>
      <c r="AC36" s="69" t="s">
        <v>70</v>
      </c>
      <c r="AD36" s="69" t="s">
        <v>70</v>
      </c>
      <c r="AE36" s="69" t="s">
        <v>70</v>
      </c>
      <c r="AF36" s="69" t="s">
        <v>70</v>
      </c>
      <c r="AG36" s="69" t="s">
        <v>70</v>
      </c>
      <c r="AH36" s="69" t="s">
        <v>70</v>
      </c>
      <c r="AI36" s="69" t="s">
        <v>70</v>
      </c>
      <c r="AJ36" s="25"/>
      <c r="AL36" t="str">
        <f t="shared" ca="1" si="0"/>
        <v xml:space="preserve">    (U1)ALERT_REQ_S_LCA_BC_CL_</v>
      </c>
      <c r="AR36" s="70" t="str">
        <f t="shared" si="3"/>
        <v/>
      </c>
      <c r="AS36" s="70" t="str">
        <f t="shared" si="4"/>
        <v/>
      </c>
      <c r="AT36" s="70" t="str">
        <f t="shared" si="1"/>
        <v/>
      </c>
    </row>
    <row r="37" spans="2:46">
      <c r="B37" s="139"/>
      <c r="C37" s="55">
        <f t="shared" si="2"/>
        <v>31</v>
      </c>
      <c r="D37" s="69" t="s">
        <v>70</v>
      </c>
      <c r="E37" s="69" t="s">
        <v>70</v>
      </c>
      <c r="F37" s="69" t="s">
        <v>70</v>
      </c>
      <c r="G37" s="69" t="s">
        <v>70</v>
      </c>
      <c r="H37" s="69" t="s">
        <v>70</v>
      </c>
      <c r="I37" s="69" t="s">
        <v>70</v>
      </c>
      <c r="J37" s="69" t="s">
        <v>70</v>
      </c>
      <c r="K37" s="69" t="s">
        <v>70</v>
      </c>
      <c r="L37" s="69" t="s">
        <v>70</v>
      </c>
      <c r="M37" s="69" t="s">
        <v>70</v>
      </c>
      <c r="N37" s="69" t="s">
        <v>70</v>
      </c>
      <c r="O37" s="69" t="s">
        <v>70</v>
      </c>
      <c r="P37" s="69" t="s">
        <v>70</v>
      </c>
      <c r="Q37" s="69" t="s">
        <v>70</v>
      </c>
      <c r="R37" s="69" t="s">
        <v>70</v>
      </c>
      <c r="S37" s="69" t="s">
        <v>70</v>
      </c>
      <c r="T37" s="69" t="s">
        <v>70</v>
      </c>
      <c r="U37" s="69" t="s">
        <v>70</v>
      </c>
      <c r="V37" s="69" t="s">
        <v>70</v>
      </c>
      <c r="W37" s="69" t="s">
        <v>70</v>
      </c>
      <c r="X37" s="69" t="s">
        <v>70</v>
      </c>
      <c r="Y37" s="69" t="s">
        <v>70</v>
      </c>
      <c r="Z37" s="69" t="s">
        <v>70</v>
      </c>
      <c r="AA37" s="69" t="s">
        <v>70</v>
      </c>
      <c r="AB37" s="69" t="s">
        <v>70</v>
      </c>
      <c r="AC37" s="69" t="s">
        <v>70</v>
      </c>
      <c r="AD37" s="69" t="s">
        <v>70</v>
      </c>
      <c r="AE37" s="69" t="s">
        <v>70</v>
      </c>
      <c r="AF37" s="69" t="s">
        <v>70</v>
      </c>
      <c r="AG37" s="69" t="s">
        <v>70</v>
      </c>
      <c r="AH37" s="69" t="s">
        <v>70</v>
      </c>
      <c r="AI37" s="69" t="s">
        <v>70</v>
      </c>
      <c r="AJ37" s="25"/>
      <c r="AL37" t="str">
        <f t="shared" ca="1" si="0"/>
        <v xml:space="preserve">    (U1)ALERT_REQ_S_LCA_BC_CL_</v>
      </c>
      <c r="AR37" s="70" t="str">
        <f t="shared" si="3"/>
        <v/>
      </c>
      <c r="AS37" s="70" t="str">
        <f t="shared" si="4"/>
        <v/>
      </c>
      <c r="AT37" s="70" t="str">
        <f t="shared" si="1"/>
        <v/>
      </c>
    </row>
    <row r="38" spans="2:46">
      <c r="B38" s="139"/>
      <c r="C38" s="55">
        <f t="shared" si="2"/>
        <v>32</v>
      </c>
      <c r="D38" s="69" t="s">
        <v>70</v>
      </c>
      <c r="E38" s="69" t="s">
        <v>70</v>
      </c>
      <c r="F38" s="69" t="s">
        <v>70</v>
      </c>
      <c r="G38" s="69" t="s">
        <v>70</v>
      </c>
      <c r="H38" s="69" t="s">
        <v>70</v>
      </c>
      <c r="I38" s="69" t="s">
        <v>70</v>
      </c>
      <c r="J38" s="69" t="s">
        <v>70</v>
      </c>
      <c r="K38" s="69" t="s">
        <v>70</v>
      </c>
      <c r="L38" s="69" t="s">
        <v>70</v>
      </c>
      <c r="M38" s="69" t="s">
        <v>70</v>
      </c>
      <c r="N38" s="69" t="s">
        <v>70</v>
      </c>
      <c r="O38" s="69" t="s">
        <v>70</v>
      </c>
      <c r="P38" s="69" t="s">
        <v>70</v>
      </c>
      <c r="Q38" s="69" t="s">
        <v>70</v>
      </c>
      <c r="R38" s="69" t="s">
        <v>70</v>
      </c>
      <c r="S38" s="69" t="s">
        <v>70</v>
      </c>
      <c r="T38" s="69" t="s">
        <v>70</v>
      </c>
      <c r="U38" s="69" t="s">
        <v>70</v>
      </c>
      <c r="V38" s="69" t="s">
        <v>70</v>
      </c>
      <c r="W38" s="69" t="s">
        <v>70</v>
      </c>
      <c r="X38" s="69" t="s">
        <v>70</v>
      </c>
      <c r="Y38" s="69" t="s">
        <v>70</v>
      </c>
      <c r="Z38" s="69" t="s">
        <v>70</v>
      </c>
      <c r="AA38" s="69" t="s">
        <v>70</v>
      </c>
      <c r="AB38" s="69" t="s">
        <v>70</v>
      </c>
      <c r="AC38" s="69" t="s">
        <v>70</v>
      </c>
      <c r="AD38" s="69" t="s">
        <v>70</v>
      </c>
      <c r="AE38" s="69" t="s">
        <v>70</v>
      </c>
      <c r="AF38" s="69" t="s">
        <v>70</v>
      </c>
      <c r="AG38" s="69" t="s">
        <v>70</v>
      </c>
      <c r="AH38" s="69" t="s">
        <v>70</v>
      </c>
      <c r="AI38" s="69" t="s">
        <v>70</v>
      </c>
      <c r="AJ38" s="25"/>
      <c r="AL38" t="str">
        <f t="shared" ca="1" si="0"/>
        <v xml:space="preserve">    (U1)ALERT_REQ_S_LCA_BC_CL_</v>
      </c>
      <c r="AR38" s="70" t="str">
        <f t="shared" si="3"/>
        <v/>
      </c>
      <c r="AS38" s="70" t="str">
        <f t="shared" si="4"/>
        <v/>
      </c>
      <c r="AT38" s="70" t="str">
        <f t="shared" si="1"/>
        <v/>
      </c>
    </row>
    <row r="39" spans="2:46">
      <c r="B39" s="139"/>
      <c r="C39" s="55">
        <f t="shared" si="2"/>
        <v>33</v>
      </c>
      <c r="D39" s="69" t="s">
        <v>70</v>
      </c>
      <c r="E39" s="69" t="s">
        <v>70</v>
      </c>
      <c r="F39" s="69" t="s">
        <v>70</v>
      </c>
      <c r="G39" s="69" t="s">
        <v>70</v>
      </c>
      <c r="H39" s="69" t="s">
        <v>70</v>
      </c>
      <c r="I39" s="69" t="s">
        <v>70</v>
      </c>
      <c r="J39" s="69" t="s">
        <v>70</v>
      </c>
      <c r="K39" s="69" t="s">
        <v>70</v>
      </c>
      <c r="L39" s="69" t="s">
        <v>70</v>
      </c>
      <c r="M39" s="69" t="s">
        <v>70</v>
      </c>
      <c r="N39" s="69" t="s">
        <v>70</v>
      </c>
      <c r="O39" s="69" t="s">
        <v>70</v>
      </c>
      <c r="P39" s="69" t="s">
        <v>70</v>
      </c>
      <c r="Q39" s="69" t="s">
        <v>70</v>
      </c>
      <c r="R39" s="69" t="s">
        <v>70</v>
      </c>
      <c r="S39" s="69" t="s">
        <v>70</v>
      </c>
      <c r="T39" s="69" t="s">
        <v>70</v>
      </c>
      <c r="U39" s="69" t="s">
        <v>70</v>
      </c>
      <c r="V39" s="69" t="s">
        <v>70</v>
      </c>
      <c r="W39" s="69" t="s">
        <v>70</v>
      </c>
      <c r="X39" s="69" t="s">
        <v>70</v>
      </c>
      <c r="Y39" s="69" t="s">
        <v>70</v>
      </c>
      <c r="Z39" s="69" t="s">
        <v>70</v>
      </c>
      <c r="AA39" s="69" t="s">
        <v>70</v>
      </c>
      <c r="AB39" s="69" t="s">
        <v>70</v>
      </c>
      <c r="AC39" s="69" t="s">
        <v>70</v>
      </c>
      <c r="AD39" s="69" t="s">
        <v>70</v>
      </c>
      <c r="AE39" s="69" t="s">
        <v>70</v>
      </c>
      <c r="AF39" s="69" t="s">
        <v>70</v>
      </c>
      <c r="AG39" s="69" t="s">
        <v>70</v>
      </c>
      <c r="AH39" s="69" t="s">
        <v>70</v>
      </c>
      <c r="AI39" s="69" t="s">
        <v>70</v>
      </c>
      <c r="AJ39" s="25"/>
      <c r="AL39" t="str">
        <f t="shared" ca="1" si="0"/>
        <v xml:space="preserve">    (U1)ALERT_REQ_S_LCA_BC_CL_</v>
      </c>
      <c r="AR39" s="70" t="str">
        <f t="shared" si="3"/>
        <v/>
      </c>
      <c r="AS39" s="70" t="str">
        <f t="shared" si="4"/>
        <v/>
      </c>
      <c r="AT39" s="70" t="str">
        <f t="shared" si="1"/>
        <v/>
      </c>
    </row>
    <row r="40" spans="2:46">
      <c r="B40" s="139"/>
      <c r="C40" s="55">
        <f t="shared" si="2"/>
        <v>34</v>
      </c>
      <c r="D40" s="69" t="s">
        <v>70</v>
      </c>
      <c r="E40" s="69" t="s">
        <v>70</v>
      </c>
      <c r="F40" s="69" t="s">
        <v>70</v>
      </c>
      <c r="G40" s="69" t="s">
        <v>70</v>
      </c>
      <c r="H40" s="69" t="s">
        <v>70</v>
      </c>
      <c r="I40" s="69" t="s">
        <v>70</v>
      </c>
      <c r="J40" s="69" t="s">
        <v>70</v>
      </c>
      <c r="K40" s="69" t="s">
        <v>70</v>
      </c>
      <c r="L40" s="69" t="s">
        <v>70</v>
      </c>
      <c r="M40" s="69" t="s">
        <v>70</v>
      </c>
      <c r="N40" s="69" t="s">
        <v>70</v>
      </c>
      <c r="O40" s="69" t="s">
        <v>70</v>
      </c>
      <c r="P40" s="69" t="s">
        <v>70</v>
      </c>
      <c r="Q40" s="69" t="s">
        <v>70</v>
      </c>
      <c r="R40" s="69" t="s">
        <v>70</v>
      </c>
      <c r="S40" s="69" t="s">
        <v>70</v>
      </c>
      <c r="T40" s="69" t="s">
        <v>70</v>
      </c>
      <c r="U40" s="69" t="s">
        <v>70</v>
      </c>
      <c r="V40" s="69" t="s">
        <v>70</v>
      </c>
      <c r="W40" s="69" t="s">
        <v>70</v>
      </c>
      <c r="X40" s="69" t="s">
        <v>70</v>
      </c>
      <c r="Y40" s="69" t="s">
        <v>70</v>
      </c>
      <c r="Z40" s="69" t="s">
        <v>70</v>
      </c>
      <c r="AA40" s="69" t="s">
        <v>70</v>
      </c>
      <c r="AB40" s="69" t="s">
        <v>70</v>
      </c>
      <c r="AC40" s="69" t="s">
        <v>70</v>
      </c>
      <c r="AD40" s="69" t="s">
        <v>70</v>
      </c>
      <c r="AE40" s="69" t="s">
        <v>70</v>
      </c>
      <c r="AF40" s="69" t="s">
        <v>70</v>
      </c>
      <c r="AG40" s="69" t="s">
        <v>70</v>
      </c>
      <c r="AH40" s="69" t="s">
        <v>70</v>
      </c>
      <c r="AI40" s="69" t="s">
        <v>70</v>
      </c>
      <c r="AJ40" s="25"/>
      <c r="AL40" t="str">
        <f t="shared" ca="1" si="0"/>
        <v xml:space="preserve">    (U1)ALERT_REQ_S_LCA_BC_CL_</v>
      </c>
      <c r="AR40" s="70" t="str">
        <f t="shared" si="3"/>
        <v/>
      </c>
      <c r="AS40" s="70" t="str">
        <f t="shared" si="4"/>
        <v/>
      </c>
      <c r="AT40" s="70" t="str">
        <f t="shared" si="1"/>
        <v/>
      </c>
    </row>
    <row r="41" spans="2:46">
      <c r="B41" s="139"/>
      <c r="C41" s="55">
        <f t="shared" si="2"/>
        <v>35</v>
      </c>
      <c r="D41" s="69" t="s">
        <v>70</v>
      </c>
      <c r="E41" s="69" t="s">
        <v>70</v>
      </c>
      <c r="F41" s="69" t="s">
        <v>70</v>
      </c>
      <c r="G41" s="69" t="s">
        <v>70</v>
      </c>
      <c r="H41" s="69" t="s">
        <v>70</v>
      </c>
      <c r="I41" s="69" t="s">
        <v>70</v>
      </c>
      <c r="J41" s="69" t="s">
        <v>70</v>
      </c>
      <c r="K41" s="69" t="s">
        <v>70</v>
      </c>
      <c r="L41" s="69" t="s">
        <v>70</v>
      </c>
      <c r="M41" s="69" t="s">
        <v>70</v>
      </c>
      <c r="N41" s="69" t="s">
        <v>70</v>
      </c>
      <c r="O41" s="69" t="s">
        <v>70</v>
      </c>
      <c r="P41" s="69" t="s">
        <v>70</v>
      </c>
      <c r="Q41" s="69" t="s">
        <v>70</v>
      </c>
      <c r="R41" s="69" t="s">
        <v>70</v>
      </c>
      <c r="S41" s="69" t="s">
        <v>70</v>
      </c>
      <c r="T41" s="69" t="s">
        <v>70</v>
      </c>
      <c r="U41" s="69" t="s">
        <v>70</v>
      </c>
      <c r="V41" s="69" t="s">
        <v>70</v>
      </c>
      <c r="W41" s="69" t="s">
        <v>70</v>
      </c>
      <c r="X41" s="69" t="s">
        <v>70</v>
      </c>
      <c r="Y41" s="69" t="s">
        <v>70</v>
      </c>
      <c r="Z41" s="69" t="s">
        <v>70</v>
      </c>
      <c r="AA41" s="69" t="s">
        <v>70</v>
      </c>
      <c r="AB41" s="69" t="s">
        <v>70</v>
      </c>
      <c r="AC41" s="69" t="s">
        <v>70</v>
      </c>
      <c r="AD41" s="69" t="s">
        <v>70</v>
      </c>
      <c r="AE41" s="69" t="s">
        <v>70</v>
      </c>
      <c r="AF41" s="69" t="s">
        <v>70</v>
      </c>
      <c r="AG41" s="69" t="s">
        <v>70</v>
      </c>
      <c r="AH41" s="69" t="s">
        <v>70</v>
      </c>
      <c r="AI41" s="69" t="s">
        <v>70</v>
      </c>
      <c r="AJ41" s="25"/>
      <c r="AL41" t="str">
        <f t="shared" ca="1" si="0"/>
        <v xml:space="preserve">    (U1)ALERT_REQ_S_LCA_BC_CL_</v>
      </c>
      <c r="AR41" s="70" t="str">
        <f t="shared" si="3"/>
        <v/>
      </c>
      <c r="AS41" s="70" t="str">
        <f t="shared" si="4"/>
        <v/>
      </c>
      <c r="AT41" s="70" t="str">
        <f t="shared" si="1"/>
        <v/>
      </c>
    </row>
    <row r="42" spans="2:46">
      <c r="B42" s="139"/>
      <c r="C42" s="55">
        <f t="shared" si="2"/>
        <v>36</v>
      </c>
      <c r="D42" s="69" t="s">
        <v>70</v>
      </c>
      <c r="E42" s="69" t="s">
        <v>70</v>
      </c>
      <c r="F42" s="69" t="s">
        <v>70</v>
      </c>
      <c r="G42" s="69" t="s">
        <v>70</v>
      </c>
      <c r="H42" s="69" t="s">
        <v>70</v>
      </c>
      <c r="I42" s="69" t="s">
        <v>70</v>
      </c>
      <c r="J42" s="69" t="s">
        <v>70</v>
      </c>
      <c r="K42" s="69" t="s">
        <v>70</v>
      </c>
      <c r="L42" s="69" t="s">
        <v>70</v>
      </c>
      <c r="M42" s="69" t="s">
        <v>70</v>
      </c>
      <c r="N42" s="69" t="s">
        <v>70</v>
      </c>
      <c r="O42" s="69" t="s">
        <v>70</v>
      </c>
      <c r="P42" s="69" t="s">
        <v>70</v>
      </c>
      <c r="Q42" s="69" t="s">
        <v>70</v>
      </c>
      <c r="R42" s="69" t="s">
        <v>70</v>
      </c>
      <c r="S42" s="69" t="s">
        <v>70</v>
      </c>
      <c r="T42" s="69" t="s">
        <v>70</v>
      </c>
      <c r="U42" s="69" t="s">
        <v>70</v>
      </c>
      <c r="V42" s="69" t="s">
        <v>70</v>
      </c>
      <c r="W42" s="69" t="s">
        <v>70</v>
      </c>
      <c r="X42" s="69" t="s">
        <v>70</v>
      </c>
      <c r="Y42" s="69" t="s">
        <v>70</v>
      </c>
      <c r="Z42" s="69" t="s">
        <v>70</v>
      </c>
      <c r="AA42" s="69" t="s">
        <v>70</v>
      </c>
      <c r="AB42" s="69" t="s">
        <v>70</v>
      </c>
      <c r="AC42" s="69" t="s">
        <v>70</v>
      </c>
      <c r="AD42" s="69" t="s">
        <v>70</v>
      </c>
      <c r="AE42" s="69" t="s">
        <v>70</v>
      </c>
      <c r="AF42" s="69" t="s">
        <v>70</v>
      </c>
      <c r="AG42" s="69" t="s">
        <v>70</v>
      </c>
      <c r="AH42" s="69" t="s">
        <v>70</v>
      </c>
      <c r="AI42" s="69" t="s">
        <v>70</v>
      </c>
      <c r="AJ42" s="25"/>
      <c r="AL42" t="str">
        <f t="shared" ca="1" si="0"/>
        <v xml:space="preserve">    (U1)ALERT_REQ_S_LCA_BC_CL_</v>
      </c>
      <c r="AR42" s="70" t="str">
        <f t="shared" si="3"/>
        <v/>
      </c>
      <c r="AS42" s="70" t="str">
        <f t="shared" si="4"/>
        <v/>
      </c>
      <c r="AT42" s="70" t="str">
        <f t="shared" si="1"/>
        <v/>
      </c>
    </row>
    <row r="43" spans="2:46">
      <c r="B43" s="139"/>
      <c r="C43" s="55">
        <f t="shared" si="2"/>
        <v>37</v>
      </c>
      <c r="D43" s="69" t="s">
        <v>70</v>
      </c>
      <c r="E43" s="69" t="s">
        <v>70</v>
      </c>
      <c r="F43" s="69" t="s">
        <v>70</v>
      </c>
      <c r="G43" s="69" t="s">
        <v>70</v>
      </c>
      <c r="H43" s="69" t="s">
        <v>70</v>
      </c>
      <c r="I43" s="69" t="s">
        <v>70</v>
      </c>
      <c r="J43" s="69" t="s">
        <v>70</v>
      </c>
      <c r="K43" s="69" t="s">
        <v>70</v>
      </c>
      <c r="L43" s="69" t="s">
        <v>70</v>
      </c>
      <c r="M43" s="69" t="s">
        <v>70</v>
      </c>
      <c r="N43" s="69" t="s">
        <v>70</v>
      </c>
      <c r="O43" s="69" t="s">
        <v>70</v>
      </c>
      <c r="P43" s="69" t="s">
        <v>70</v>
      </c>
      <c r="Q43" s="69" t="s">
        <v>70</v>
      </c>
      <c r="R43" s="69" t="s">
        <v>70</v>
      </c>
      <c r="S43" s="69" t="s">
        <v>70</v>
      </c>
      <c r="T43" s="69" t="s">
        <v>70</v>
      </c>
      <c r="U43" s="69" t="s">
        <v>70</v>
      </c>
      <c r="V43" s="69" t="s">
        <v>70</v>
      </c>
      <c r="W43" s="69" t="s">
        <v>70</v>
      </c>
      <c r="X43" s="69" t="s">
        <v>70</v>
      </c>
      <c r="Y43" s="69" t="s">
        <v>70</v>
      </c>
      <c r="Z43" s="69" t="s">
        <v>70</v>
      </c>
      <c r="AA43" s="69" t="s">
        <v>70</v>
      </c>
      <c r="AB43" s="69" t="s">
        <v>70</v>
      </c>
      <c r="AC43" s="69" t="s">
        <v>70</v>
      </c>
      <c r="AD43" s="69" t="s">
        <v>70</v>
      </c>
      <c r="AE43" s="69" t="s">
        <v>70</v>
      </c>
      <c r="AF43" s="69" t="s">
        <v>70</v>
      </c>
      <c r="AG43" s="69" t="s">
        <v>70</v>
      </c>
      <c r="AH43" s="69" t="s">
        <v>70</v>
      </c>
      <c r="AI43" s="69" t="s">
        <v>70</v>
      </c>
      <c r="AJ43" s="25"/>
      <c r="AL43" t="str">
        <f t="shared" ca="1" si="0"/>
        <v xml:space="preserve">    (U1)ALERT_REQ_S_LCA_BC_CL_</v>
      </c>
      <c r="AR43" s="70" t="str">
        <f t="shared" si="3"/>
        <v/>
      </c>
      <c r="AS43" s="70" t="str">
        <f t="shared" si="4"/>
        <v/>
      </c>
      <c r="AT43" s="70" t="str">
        <f t="shared" si="1"/>
        <v/>
      </c>
    </row>
    <row r="44" spans="2:46">
      <c r="B44" s="139"/>
      <c r="C44" s="55">
        <f t="shared" si="2"/>
        <v>38</v>
      </c>
      <c r="D44" s="69" t="s">
        <v>70</v>
      </c>
      <c r="E44" s="69" t="s">
        <v>70</v>
      </c>
      <c r="F44" s="69" t="s">
        <v>70</v>
      </c>
      <c r="G44" s="69" t="s">
        <v>70</v>
      </c>
      <c r="H44" s="69" t="s">
        <v>70</v>
      </c>
      <c r="I44" s="69" t="s">
        <v>70</v>
      </c>
      <c r="J44" s="69" t="s">
        <v>70</v>
      </c>
      <c r="K44" s="69" t="s">
        <v>70</v>
      </c>
      <c r="L44" s="69" t="s">
        <v>70</v>
      </c>
      <c r="M44" s="69" t="s">
        <v>70</v>
      </c>
      <c r="N44" s="69" t="s">
        <v>70</v>
      </c>
      <c r="O44" s="69" t="s">
        <v>70</v>
      </c>
      <c r="P44" s="69" t="s">
        <v>70</v>
      </c>
      <c r="Q44" s="69" t="s">
        <v>70</v>
      </c>
      <c r="R44" s="69" t="s">
        <v>70</v>
      </c>
      <c r="S44" s="69" t="s">
        <v>70</v>
      </c>
      <c r="T44" s="69" t="s">
        <v>70</v>
      </c>
      <c r="U44" s="69" t="s">
        <v>70</v>
      </c>
      <c r="V44" s="69" t="s">
        <v>70</v>
      </c>
      <c r="W44" s="69" t="s">
        <v>70</v>
      </c>
      <c r="X44" s="69" t="s">
        <v>70</v>
      </c>
      <c r="Y44" s="69" t="s">
        <v>70</v>
      </c>
      <c r="Z44" s="69" t="s">
        <v>70</v>
      </c>
      <c r="AA44" s="69" t="s">
        <v>70</v>
      </c>
      <c r="AB44" s="69" t="s">
        <v>70</v>
      </c>
      <c r="AC44" s="69" t="s">
        <v>70</v>
      </c>
      <c r="AD44" s="69" t="s">
        <v>70</v>
      </c>
      <c r="AE44" s="69" t="s">
        <v>70</v>
      </c>
      <c r="AF44" s="69" t="s">
        <v>70</v>
      </c>
      <c r="AG44" s="69" t="s">
        <v>70</v>
      </c>
      <c r="AH44" s="69" t="s">
        <v>70</v>
      </c>
      <c r="AI44" s="69" t="s">
        <v>70</v>
      </c>
      <c r="AJ44" s="25"/>
      <c r="AL44" t="str">
        <f t="shared" ca="1" si="0"/>
        <v xml:space="preserve">    (U1)ALERT_REQ_S_LCA_BC_CL_</v>
      </c>
      <c r="AR44" s="70" t="str">
        <f t="shared" si="3"/>
        <v/>
      </c>
      <c r="AS44" s="70" t="str">
        <f t="shared" si="4"/>
        <v/>
      </c>
      <c r="AT44" s="70" t="str">
        <f t="shared" si="1"/>
        <v/>
      </c>
    </row>
    <row r="45" spans="2:46">
      <c r="B45" s="139"/>
      <c r="C45" s="55">
        <f t="shared" si="2"/>
        <v>39</v>
      </c>
      <c r="D45" s="69" t="s">
        <v>70</v>
      </c>
      <c r="E45" s="69" t="s">
        <v>70</v>
      </c>
      <c r="F45" s="69" t="s">
        <v>70</v>
      </c>
      <c r="G45" s="69" t="s">
        <v>70</v>
      </c>
      <c r="H45" s="69" t="s">
        <v>70</v>
      </c>
      <c r="I45" s="69" t="s">
        <v>70</v>
      </c>
      <c r="J45" s="69" t="s">
        <v>70</v>
      </c>
      <c r="K45" s="69" t="s">
        <v>70</v>
      </c>
      <c r="L45" s="69" t="s">
        <v>70</v>
      </c>
      <c r="M45" s="69" t="s">
        <v>70</v>
      </c>
      <c r="N45" s="69" t="s">
        <v>70</v>
      </c>
      <c r="O45" s="69" t="s">
        <v>70</v>
      </c>
      <c r="P45" s="69" t="s">
        <v>70</v>
      </c>
      <c r="Q45" s="69" t="s">
        <v>70</v>
      </c>
      <c r="R45" s="69" t="s">
        <v>70</v>
      </c>
      <c r="S45" s="69" t="s">
        <v>70</v>
      </c>
      <c r="T45" s="69" t="s">
        <v>70</v>
      </c>
      <c r="U45" s="69" t="s">
        <v>70</v>
      </c>
      <c r="V45" s="69" t="s">
        <v>70</v>
      </c>
      <c r="W45" s="69" t="s">
        <v>70</v>
      </c>
      <c r="X45" s="69" t="s">
        <v>70</v>
      </c>
      <c r="Y45" s="69" t="s">
        <v>70</v>
      </c>
      <c r="Z45" s="69" t="s">
        <v>70</v>
      </c>
      <c r="AA45" s="69" t="s">
        <v>70</v>
      </c>
      <c r="AB45" s="69" t="s">
        <v>70</v>
      </c>
      <c r="AC45" s="69" t="s">
        <v>70</v>
      </c>
      <c r="AD45" s="69" t="s">
        <v>70</v>
      </c>
      <c r="AE45" s="69" t="s">
        <v>70</v>
      </c>
      <c r="AF45" s="69" t="s">
        <v>70</v>
      </c>
      <c r="AG45" s="69" t="s">
        <v>70</v>
      </c>
      <c r="AH45" s="69" t="s">
        <v>70</v>
      </c>
      <c r="AI45" s="69" t="s">
        <v>70</v>
      </c>
      <c r="AJ45" s="25"/>
      <c r="AL45" t="str">
        <f t="shared" ca="1" si="0"/>
        <v xml:space="preserve">    (U1)ALERT_REQ_S_LCA_BC_CL_</v>
      </c>
      <c r="AR45" s="70" t="str">
        <f t="shared" si="3"/>
        <v/>
      </c>
      <c r="AS45" s="70" t="str">
        <f t="shared" si="4"/>
        <v/>
      </c>
      <c r="AT45" s="70" t="str">
        <f t="shared" si="1"/>
        <v/>
      </c>
    </row>
    <row r="46" spans="2:46">
      <c r="B46" s="139"/>
      <c r="C46" s="55">
        <f t="shared" si="2"/>
        <v>40</v>
      </c>
      <c r="D46" s="69" t="s">
        <v>70</v>
      </c>
      <c r="E46" s="69" t="s">
        <v>70</v>
      </c>
      <c r="F46" s="69" t="s">
        <v>70</v>
      </c>
      <c r="G46" s="69" t="s">
        <v>70</v>
      </c>
      <c r="H46" s="69" t="s">
        <v>70</v>
      </c>
      <c r="I46" s="69" t="s">
        <v>70</v>
      </c>
      <c r="J46" s="69" t="s">
        <v>70</v>
      </c>
      <c r="K46" s="69" t="s">
        <v>70</v>
      </c>
      <c r="L46" s="69" t="s">
        <v>70</v>
      </c>
      <c r="M46" s="69" t="s">
        <v>70</v>
      </c>
      <c r="N46" s="69" t="s">
        <v>70</v>
      </c>
      <c r="O46" s="69" t="s">
        <v>70</v>
      </c>
      <c r="P46" s="69" t="s">
        <v>70</v>
      </c>
      <c r="Q46" s="69" t="s">
        <v>70</v>
      </c>
      <c r="R46" s="69" t="s">
        <v>70</v>
      </c>
      <c r="S46" s="69" t="s">
        <v>70</v>
      </c>
      <c r="T46" s="69" t="s">
        <v>70</v>
      </c>
      <c r="U46" s="69" t="s">
        <v>70</v>
      </c>
      <c r="V46" s="69" t="s">
        <v>70</v>
      </c>
      <c r="W46" s="69" t="s">
        <v>70</v>
      </c>
      <c r="X46" s="69" t="s">
        <v>70</v>
      </c>
      <c r="Y46" s="69" t="s">
        <v>70</v>
      </c>
      <c r="Z46" s="69" t="s">
        <v>70</v>
      </c>
      <c r="AA46" s="69" t="s">
        <v>70</v>
      </c>
      <c r="AB46" s="69" t="s">
        <v>70</v>
      </c>
      <c r="AC46" s="69" t="s">
        <v>70</v>
      </c>
      <c r="AD46" s="69" t="s">
        <v>70</v>
      </c>
      <c r="AE46" s="69" t="s">
        <v>70</v>
      </c>
      <c r="AF46" s="69" t="s">
        <v>70</v>
      </c>
      <c r="AG46" s="69" t="s">
        <v>70</v>
      </c>
      <c r="AH46" s="69" t="s">
        <v>70</v>
      </c>
      <c r="AI46" s="69" t="s">
        <v>70</v>
      </c>
      <c r="AJ46" s="25"/>
      <c r="AL46" t="str">
        <f t="shared" ca="1" si="0"/>
        <v xml:space="preserve">    (U1)ALERT_REQ_S_LCA_BC_CL_</v>
      </c>
      <c r="AR46" s="70" t="str">
        <f t="shared" si="3"/>
        <v/>
      </c>
      <c r="AS46" s="70" t="str">
        <f t="shared" si="4"/>
        <v/>
      </c>
      <c r="AT46" s="70" t="str">
        <f t="shared" si="1"/>
        <v/>
      </c>
    </row>
    <row r="47" spans="2:46">
      <c r="B47" s="139"/>
      <c r="C47" s="55">
        <f t="shared" si="2"/>
        <v>41</v>
      </c>
      <c r="D47" s="69" t="s">
        <v>70</v>
      </c>
      <c r="E47" s="69" t="s">
        <v>70</v>
      </c>
      <c r="F47" s="69" t="s">
        <v>70</v>
      </c>
      <c r="G47" s="69" t="s">
        <v>70</v>
      </c>
      <c r="H47" s="69" t="s">
        <v>70</v>
      </c>
      <c r="I47" s="69" t="s">
        <v>70</v>
      </c>
      <c r="J47" s="69" t="s">
        <v>70</v>
      </c>
      <c r="K47" s="69" t="s">
        <v>70</v>
      </c>
      <c r="L47" s="69" t="s">
        <v>70</v>
      </c>
      <c r="M47" s="69" t="s">
        <v>70</v>
      </c>
      <c r="N47" s="69" t="s">
        <v>70</v>
      </c>
      <c r="O47" s="69" t="s">
        <v>70</v>
      </c>
      <c r="P47" s="69" t="s">
        <v>70</v>
      </c>
      <c r="Q47" s="69" t="s">
        <v>70</v>
      </c>
      <c r="R47" s="69" t="s">
        <v>70</v>
      </c>
      <c r="S47" s="69" t="s">
        <v>70</v>
      </c>
      <c r="T47" s="69" t="s">
        <v>70</v>
      </c>
      <c r="U47" s="69" t="s">
        <v>70</v>
      </c>
      <c r="V47" s="69" t="s">
        <v>70</v>
      </c>
      <c r="W47" s="69" t="s">
        <v>70</v>
      </c>
      <c r="X47" s="69" t="s">
        <v>70</v>
      </c>
      <c r="Y47" s="69" t="s">
        <v>70</v>
      </c>
      <c r="Z47" s="69" t="s">
        <v>70</v>
      </c>
      <c r="AA47" s="69" t="s">
        <v>70</v>
      </c>
      <c r="AB47" s="69" t="s">
        <v>70</v>
      </c>
      <c r="AC47" s="69" t="s">
        <v>70</v>
      </c>
      <c r="AD47" s="69" t="s">
        <v>70</v>
      </c>
      <c r="AE47" s="69" t="s">
        <v>70</v>
      </c>
      <c r="AF47" s="69" t="s">
        <v>70</v>
      </c>
      <c r="AG47" s="69" t="s">
        <v>70</v>
      </c>
      <c r="AH47" s="69" t="s">
        <v>70</v>
      </c>
      <c r="AI47" s="69" t="s">
        <v>70</v>
      </c>
      <c r="AJ47" s="25"/>
      <c r="AL47" t="str">
        <f t="shared" ca="1" si="0"/>
        <v xml:space="preserve">    (U1)ALERT_REQ_S_LCA_BC_CL_</v>
      </c>
      <c r="AR47" s="70" t="str">
        <f t="shared" si="3"/>
        <v/>
      </c>
      <c r="AS47" s="70" t="str">
        <f t="shared" si="4"/>
        <v/>
      </c>
      <c r="AT47" s="70" t="str">
        <f t="shared" si="1"/>
        <v/>
      </c>
    </row>
    <row r="48" spans="2:46">
      <c r="B48" s="139"/>
      <c r="C48" s="55">
        <f t="shared" si="2"/>
        <v>42</v>
      </c>
      <c r="D48" s="69" t="s">
        <v>70</v>
      </c>
      <c r="E48" s="69" t="s">
        <v>70</v>
      </c>
      <c r="F48" s="69" t="s">
        <v>70</v>
      </c>
      <c r="G48" s="69" t="s">
        <v>70</v>
      </c>
      <c r="H48" s="69" t="s">
        <v>70</v>
      </c>
      <c r="I48" s="69" t="s">
        <v>70</v>
      </c>
      <c r="J48" s="69" t="s">
        <v>70</v>
      </c>
      <c r="K48" s="69" t="s">
        <v>70</v>
      </c>
      <c r="L48" s="69" t="s">
        <v>70</v>
      </c>
      <c r="M48" s="69" t="s">
        <v>70</v>
      </c>
      <c r="N48" s="69" t="s">
        <v>70</v>
      </c>
      <c r="O48" s="69" t="s">
        <v>70</v>
      </c>
      <c r="P48" s="69" t="s">
        <v>70</v>
      </c>
      <c r="Q48" s="69" t="s">
        <v>70</v>
      </c>
      <c r="R48" s="69" t="s">
        <v>70</v>
      </c>
      <c r="S48" s="69" t="s">
        <v>70</v>
      </c>
      <c r="T48" s="69" t="s">
        <v>70</v>
      </c>
      <c r="U48" s="69" t="s">
        <v>70</v>
      </c>
      <c r="V48" s="69" t="s">
        <v>70</v>
      </c>
      <c r="W48" s="69" t="s">
        <v>70</v>
      </c>
      <c r="X48" s="69" t="s">
        <v>70</v>
      </c>
      <c r="Y48" s="69" t="s">
        <v>70</v>
      </c>
      <c r="Z48" s="69" t="s">
        <v>70</v>
      </c>
      <c r="AA48" s="69" t="s">
        <v>70</v>
      </c>
      <c r="AB48" s="69" t="s">
        <v>70</v>
      </c>
      <c r="AC48" s="69" t="s">
        <v>70</v>
      </c>
      <c r="AD48" s="69" t="s">
        <v>70</v>
      </c>
      <c r="AE48" s="69" t="s">
        <v>70</v>
      </c>
      <c r="AF48" s="69" t="s">
        <v>70</v>
      </c>
      <c r="AG48" s="69" t="s">
        <v>70</v>
      </c>
      <c r="AH48" s="69" t="s">
        <v>70</v>
      </c>
      <c r="AI48" s="69" t="s">
        <v>70</v>
      </c>
      <c r="AJ48" s="25"/>
      <c r="AL48" t="str">
        <f t="shared" ca="1" si="0"/>
        <v xml:space="preserve">    (U1)ALERT_REQ_S_LCA_BC_CL_</v>
      </c>
      <c r="AR48" s="70" t="str">
        <f t="shared" si="3"/>
        <v/>
      </c>
      <c r="AS48" s="70" t="str">
        <f t="shared" si="4"/>
        <v/>
      </c>
      <c r="AT48" s="70" t="str">
        <f t="shared" si="1"/>
        <v/>
      </c>
    </row>
    <row r="49" spans="2:46">
      <c r="B49" s="139"/>
      <c r="C49" s="55">
        <f t="shared" si="2"/>
        <v>43</v>
      </c>
      <c r="D49" s="69" t="s">
        <v>70</v>
      </c>
      <c r="E49" s="69" t="s">
        <v>70</v>
      </c>
      <c r="F49" s="69" t="s">
        <v>70</v>
      </c>
      <c r="G49" s="69" t="s">
        <v>70</v>
      </c>
      <c r="H49" s="69" t="s">
        <v>70</v>
      </c>
      <c r="I49" s="69" t="s">
        <v>70</v>
      </c>
      <c r="J49" s="69" t="s">
        <v>70</v>
      </c>
      <c r="K49" s="69" t="s">
        <v>70</v>
      </c>
      <c r="L49" s="69" t="s">
        <v>70</v>
      </c>
      <c r="M49" s="69" t="s">
        <v>70</v>
      </c>
      <c r="N49" s="69" t="s">
        <v>70</v>
      </c>
      <c r="O49" s="69" t="s">
        <v>70</v>
      </c>
      <c r="P49" s="69" t="s">
        <v>70</v>
      </c>
      <c r="Q49" s="69" t="s">
        <v>70</v>
      </c>
      <c r="R49" s="69" t="s">
        <v>70</v>
      </c>
      <c r="S49" s="69" t="s">
        <v>70</v>
      </c>
      <c r="T49" s="69" t="s">
        <v>70</v>
      </c>
      <c r="U49" s="69" t="s">
        <v>70</v>
      </c>
      <c r="V49" s="69" t="s">
        <v>70</v>
      </c>
      <c r="W49" s="69" t="s">
        <v>70</v>
      </c>
      <c r="X49" s="69" t="s">
        <v>70</v>
      </c>
      <c r="Y49" s="69" t="s">
        <v>70</v>
      </c>
      <c r="Z49" s="69" t="s">
        <v>70</v>
      </c>
      <c r="AA49" s="69" t="s">
        <v>70</v>
      </c>
      <c r="AB49" s="69" t="s">
        <v>70</v>
      </c>
      <c r="AC49" s="69" t="s">
        <v>70</v>
      </c>
      <c r="AD49" s="69" t="s">
        <v>70</v>
      </c>
      <c r="AE49" s="69" t="s">
        <v>70</v>
      </c>
      <c r="AF49" s="69" t="s">
        <v>70</v>
      </c>
      <c r="AG49" s="69" t="s">
        <v>70</v>
      </c>
      <c r="AH49" s="69" t="s">
        <v>70</v>
      </c>
      <c r="AI49" s="69" t="s">
        <v>70</v>
      </c>
      <c r="AJ49" s="25"/>
      <c r="AL49" t="str">
        <f t="shared" ca="1" si="0"/>
        <v xml:space="preserve">    (U1)ALERT_REQ_S_LCA_BC_CL_</v>
      </c>
      <c r="AR49" s="70" t="str">
        <f t="shared" si="3"/>
        <v/>
      </c>
      <c r="AS49" s="70" t="str">
        <f t="shared" si="4"/>
        <v/>
      </c>
      <c r="AT49" s="70" t="str">
        <f t="shared" si="1"/>
        <v/>
      </c>
    </row>
    <row r="50" spans="2:46">
      <c r="B50" s="139"/>
      <c r="C50" s="55">
        <f t="shared" si="2"/>
        <v>44</v>
      </c>
      <c r="D50" s="69" t="s">
        <v>70</v>
      </c>
      <c r="E50" s="69" t="s">
        <v>70</v>
      </c>
      <c r="F50" s="69" t="s">
        <v>70</v>
      </c>
      <c r="G50" s="69" t="s">
        <v>70</v>
      </c>
      <c r="H50" s="69" t="s">
        <v>70</v>
      </c>
      <c r="I50" s="69" t="s">
        <v>70</v>
      </c>
      <c r="J50" s="69" t="s">
        <v>70</v>
      </c>
      <c r="K50" s="69" t="s">
        <v>70</v>
      </c>
      <c r="L50" s="69" t="s">
        <v>70</v>
      </c>
      <c r="M50" s="69" t="s">
        <v>70</v>
      </c>
      <c r="N50" s="69" t="s">
        <v>70</v>
      </c>
      <c r="O50" s="69" t="s">
        <v>70</v>
      </c>
      <c r="P50" s="69" t="s">
        <v>70</v>
      </c>
      <c r="Q50" s="69" t="s">
        <v>70</v>
      </c>
      <c r="R50" s="69" t="s">
        <v>70</v>
      </c>
      <c r="S50" s="69" t="s">
        <v>70</v>
      </c>
      <c r="T50" s="69" t="s">
        <v>70</v>
      </c>
      <c r="U50" s="69" t="s">
        <v>70</v>
      </c>
      <c r="V50" s="69" t="s">
        <v>70</v>
      </c>
      <c r="W50" s="69" t="s">
        <v>70</v>
      </c>
      <c r="X50" s="69" t="s">
        <v>70</v>
      </c>
      <c r="Y50" s="69" t="s">
        <v>70</v>
      </c>
      <c r="Z50" s="69" t="s">
        <v>70</v>
      </c>
      <c r="AA50" s="69" t="s">
        <v>70</v>
      </c>
      <c r="AB50" s="69" t="s">
        <v>70</v>
      </c>
      <c r="AC50" s="69" t="s">
        <v>70</v>
      </c>
      <c r="AD50" s="69" t="s">
        <v>70</v>
      </c>
      <c r="AE50" s="69" t="s">
        <v>70</v>
      </c>
      <c r="AF50" s="69" t="s">
        <v>70</v>
      </c>
      <c r="AG50" s="69" t="s">
        <v>70</v>
      </c>
      <c r="AH50" s="69" t="s">
        <v>70</v>
      </c>
      <c r="AI50" s="69" t="s">
        <v>70</v>
      </c>
      <c r="AJ50" s="25"/>
      <c r="AL50" t="str">
        <f t="shared" ca="1" si="0"/>
        <v xml:space="preserve">    (U1)ALERT_REQ_S_LCA_BC_CL_</v>
      </c>
      <c r="AR50" s="70" t="str">
        <f t="shared" si="3"/>
        <v/>
      </c>
      <c r="AS50" s="70" t="str">
        <f t="shared" si="4"/>
        <v/>
      </c>
      <c r="AT50" s="70" t="str">
        <f t="shared" si="1"/>
        <v/>
      </c>
    </row>
    <row r="51" spans="2:46">
      <c r="B51" s="139"/>
      <c r="C51" s="55">
        <f t="shared" si="2"/>
        <v>45</v>
      </c>
      <c r="D51" s="69" t="s">
        <v>70</v>
      </c>
      <c r="E51" s="69" t="s">
        <v>70</v>
      </c>
      <c r="F51" s="69" t="s">
        <v>70</v>
      </c>
      <c r="G51" s="69" t="s">
        <v>70</v>
      </c>
      <c r="H51" s="69" t="s">
        <v>70</v>
      </c>
      <c r="I51" s="69" t="s">
        <v>70</v>
      </c>
      <c r="J51" s="69" t="s">
        <v>70</v>
      </c>
      <c r="K51" s="69" t="s">
        <v>70</v>
      </c>
      <c r="L51" s="69" t="s">
        <v>70</v>
      </c>
      <c r="M51" s="69" t="s">
        <v>70</v>
      </c>
      <c r="N51" s="69" t="s">
        <v>70</v>
      </c>
      <c r="O51" s="69" t="s">
        <v>70</v>
      </c>
      <c r="P51" s="69" t="s">
        <v>70</v>
      </c>
      <c r="Q51" s="69" t="s">
        <v>70</v>
      </c>
      <c r="R51" s="69" t="s">
        <v>70</v>
      </c>
      <c r="S51" s="69" t="s">
        <v>70</v>
      </c>
      <c r="T51" s="69" t="s">
        <v>70</v>
      </c>
      <c r="U51" s="69" t="s">
        <v>70</v>
      </c>
      <c r="V51" s="69" t="s">
        <v>70</v>
      </c>
      <c r="W51" s="69" t="s">
        <v>70</v>
      </c>
      <c r="X51" s="69" t="s">
        <v>70</v>
      </c>
      <c r="Y51" s="69" t="s">
        <v>70</v>
      </c>
      <c r="Z51" s="69" t="s">
        <v>70</v>
      </c>
      <c r="AA51" s="69" t="s">
        <v>70</v>
      </c>
      <c r="AB51" s="69" t="s">
        <v>70</v>
      </c>
      <c r="AC51" s="69" t="s">
        <v>70</v>
      </c>
      <c r="AD51" s="69" t="s">
        <v>70</v>
      </c>
      <c r="AE51" s="69" t="s">
        <v>70</v>
      </c>
      <c r="AF51" s="69" t="s">
        <v>70</v>
      </c>
      <c r="AG51" s="69" t="s">
        <v>70</v>
      </c>
      <c r="AH51" s="69" t="s">
        <v>70</v>
      </c>
      <c r="AI51" s="69" t="s">
        <v>70</v>
      </c>
      <c r="AJ51" s="25"/>
      <c r="AL51" t="str">
        <f t="shared" ca="1" si="0"/>
        <v xml:space="preserve">    (U1)ALERT_REQ_S_LCA_BC_CL_</v>
      </c>
      <c r="AR51" s="70" t="str">
        <f t="shared" si="3"/>
        <v/>
      </c>
      <c r="AS51" s="70" t="str">
        <f t="shared" si="4"/>
        <v/>
      </c>
      <c r="AT51" s="70" t="str">
        <f t="shared" si="1"/>
        <v/>
      </c>
    </row>
    <row r="52" spans="2:46">
      <c r="B52" s="139"/>
      <c r="C52" s="55">
        <f t="shared" si="2"/>
        <v>46</v>
      </c>
      <c r="D52" s="69" t="s">
        <v>70</v>
      </c>
      <c r="E52" s="69" t="s">
        <v>70</v>
      </c>
      <c r="F52" s="69" t="s">
        <v>70</v>
      </c>
      <c r="G52" s="69" t="s">
        <v>70</v>
      </c>
      <c r="H52" s="69" t="s">
        <v>70</v>
      </c>
      <c r="I52" s="69" t="s">
        <v>70</v>
      </c>
      <c r="J52" s="69" t="s">
        <v>70</v>
      </c>
      <c r="K52" s="69" t="s">
        <v>70</v>
      </c>
      <c r="L52" s="69" t="s">
        <v>70</v>
      </c>
      <c r="M52" s="69" t="s">
        <v>70</v>
      </c>
      <c r="N52" s="69" t="s">
        <v>70</v>
      </c>
      <c r="O52" s="69" t="s">
        <v>70</v>
      </c>
      <c r="P52" s="69" t="s">
        <v>70</v>
      </c>
      <c r="Q52" s="69" t="s">
        <v>70</v>
      </c>
      <c r="R52" s="69" t="s">
        <v>70</v>
      </c>
      <c r="S52" s="69" t="s">
        <v>70</v>
      </c>
      <c r="T52" s="69" t="s">
        <v>70</v>
      </c>
      <c r="U52" s="69" t="s">
        <v>70</v>
      </c>
      <c r="V52" s="69" t="s">
        <v>70</v>
      </c>
      <c r="W52" s="69" t="s">
        <v>70</v>
      </c>
      <c r="X52" s="69" t="s">
        <v>70</v>
      </c>
      <c r="Y52" s="69" t="s">
        <v>70</v>
      </c>
      <c r="Z52" s="69" t="s">
        <v>70</v>
      </c>
      <c r="AA52" s="69" t="s">
        <v>70</v>
      </c>
      <c r="AB52" s="69" t="s">
        <v>70</v>
      </c>
      <c r="AC52" s="69" t="s">
        <v>70</v>
      </c>
      <c r="AD52" s="69" t="s">
        <v>70</v>
      </c>
      <c r="AE52" s="69" t="s">
        <v>70</v>
      </c>
      <c r="AF52" s="69" t="s">
        <v>70</v>
      </c>
      <c r="AG52" s="69" t="s">
        <v>70</v>
      </c>
      <c r="AH52" s="69" t="s">
        <v>70</v>
      </c>
      <c r="AI52" s="69" t="s">
        <v>70</v>
      </c>
      <c r="AJ52" s="25"/>
      <c r="AL52" t="str">
        <f t="shared" ca="1" si="0"/>
        <v xml:space="preserve">    (U1)ALERT_REQ_S_LCA_BC_CL_</v>
      </c>
      <c r="AR52" s="70" t="str">
        <f t="shared" si="3"/>
        <v/>
      </c>
      <c r="AS52" s="70" t="str">
        <f t="shared" si="4"/>
        <v/>
      </c>
      <c r="AT52" s="70" t="str">
        <f t="shared" si="1"/>
        <v/>
      </c>
    </row>
    <row r="53" spans="2:46">
      <c r="B53" s="139"/>
      <c r="C53" s="55">
        <f t="shared" si="2"/>
        <v>47</v>
      </c>
      <c r="D53" s="69" t="s">
        <v>70</v>
      </c>
      <c r="E53" s="69" t="s">
        <v>70</v>
      </c>
      <c r="F53" s="69" t="s">
        <v>70</v>
      </c>
      <c r="G53" s="69" t="s">
        <v>70</v>
      </c>
      <c r="H53" s="69" t="s">
        <v>70</v>
      </c>
      <c r="I53" s="69" t="s">
        <v>70</v>
      </c>
      <c r="J53" s="69" t="s">
        <v>70</v>
      </c>
      <c r="K53" s="69" t="s">
        <v>70</v>
      </c>
      <c r="L53" s="69" t="s">
        <v>70</v>
      </c>
      <c r="M53" s="69" t="s">
        <v>70</v>
      </c>
      <c r="N53" s="69" t="s">
        <v>70</v>
      </c>
      <c r="O53" s="69" t="s">
        <v>70</v>
      </c>
      <c r="P53" s="69" t="s">
        <v>70</v>
      </c>
      <c r="Q53" s="69" t="s">
        <v>70</v>
      </c>
      <c r="R53" s="69" t="s">
        <v>70</v>
      </c>
      <c r="S53" s="69" t="s">
        <v>70</v>
      </c>
      <c r="T53" s="69" t="s">
        <v>70</v>
      </c>
      <c r="U53" s="69" t="s">
        <v>70</v>
      </c>
      <c r="V53" s="69" t="s">
        <v>70</v>
      </c>
      <c r="W53" s="69" t="s">
        <v>70</v>
      </c>
      <c r="X53" s="69" t="s">
        <v>70</v>
      </c>
      <c r="Y53" s="69" t="s">
        <v>70</v>
      </c>
      <c r="Z53" s="69" t="s">
        <v>70</v>
      </c>
      <c r="AA53" s="69" t="s">
        <v>70</v>
      </c>
      <c r="AB53" s="69" t="s">
        <v>70</v>
      </c>
      <c r="AC53" s="69" t="s">
        <v>70</v>
      </c>
      <c r="AD53" s="69" t="s">
        <v>70</v>
      </c>
      <c r="AE53" s="69" t="s">
        <v>70</v>
      </c>
      <c r="AF53" s="69" t="s">
        <v>70</v>
      </c>
      <c r="AG53" s="69" t="s">
        <v>70</v>
      </c>
      <c r="AH53" s="69" t="s">
        <v>70</v>
      </c>
      <c r="AI53" s="69" t="s">
        <v>70</v>
      </c>
      <c r="AJ53" s="25"/>
      <c r="AL53" t="str">
        <f t="shared" ca="1" si="0"/>
        <v xml:space="preserve">    (U1)ALERT_REQ_S_LCA_BC_CL_</v>
      </c>
      <c r="AR53" s="70" t="str">
        <f t="shared" si="3"/>
        <v/>
      </c>
      <c r="AS53" s="70" t="str">
        <f t="shared" si="4"/>
        <v/>
      </c>
      <c r="AT53" s="70" t="str">
        <f t="shared" si="1"/>
        <v/>
      </c>
    </row>
    <row r="54" spans="2:46">
      <c r="B54" s="139"/>
      <c r="C54" s="55">
        <f t="shared" si="2"/>
        <v>48</v>
      </c>
      <c r="D54" s="69" t="s">
        <v>70</v>
      </c>
      <c r="E54" s="69" t="s">
        <v>70</v>
      </c>
      <c r="F54" s="69" t="s">
        <v>70</v>
      </c>
      <c r="G54" s="69" t="s">
        <v>70</v>
      </c>
      <c r="H54" s="69" t="s">
        <v>70</v>
      </c>
      <c r="I54" s="69" t="s">
        <v>70</v>
      </c>
      <c r="J54" s="69" t="s">
        <v>70</v>
      </c>
      <c r="K54" s="69" t="s">
        <v>70</v>
      </c>
      <c r="L54" s="69" t="s">
        <v>70</v>
      </c>
      <c r="M54" s="69" t="s">
        <v>70</v>
      </c>
      <c r="N54" s="69" t="s">
        <v>70</v>
      </c>
      <c r="O54" s="69" t="s">
        <v>70</v>
      </c>
      <c r="P54" s="69" t="s">
        <v>70</v>
      </c>
      <c r="Q54" s="69" t="s">
        <v>70</v>
      </c>
      <c r="R54" s="69" t="s">
        <v>70</v>
      </c>
      <c r="S54" s="69" t="s">
        <v>70</v>
      </c>
      <c r="T54" s="69" t="s">
        <v>70</v>
      </c>
      <c r="U54" s="69" t="s">
        <v>70</v>
      </c>
      <c r="V54" s="69" t="s">
        <v>70</v>
      </c>
      <c r="W54" s="69" t="s">
        <v>70</v>
      </c>
      <c r="X54" s="69" t="s">
        <v>70</v>
      </c>
      <c r="Y54" s="69" t="s">
        <v>70</v>
      </c>
      <c r="Z54" s="69" t="s">
        <v>70</v>
      </c>
      <c r="AA54" s="69" t="s">
        <v>70</v>
      </c>
      <c r="AB54" s="69" t="s">
        <v>70</v>
      </c>
      <c r="AC54" s="69" t="s">
        <v>70</v>
      </c>
      <c r="AD54" s="69" t="s">
        <v>70</v>
      </c>
      <c r="AE54" s="69" t="s">
        <v>70</v>
      </c>
      <c r="AF54" s="69" t="s">
        <v>70</v>
      </c>
      <c r="AG54" s="69" t="s">
        <v>70</v>
      </c>
      <c r="AH54" s="69" t="s">
        <v>70</v>
      </c>
      <c r="AI54" s="69" t="s">
        <v>70</v>
      </c>
      <c r="AJ54" s="25"/>
      <c r="AL54" t="str">
        <f t="shared" ca="1" si="0"/>
        <v xml:space="preserve">    (U1)ALERT_REQ_S_LCA_BC_CL_</v>
      </c>
      <c r="AR54" s="70" t="str">
        <f t="shared" si="3"/>
        <v/>
      </c>
      <c r="AS54" s="70" t="str">
        <f t="shared" si="4"/>
        <v/>
      </c>
      <c r="AT54" s="70" t="str">
        <f t="shared" si="1"/>
        <v/>
      </c>
    </row>
    <row r="55" spans="2:46">
      <c r="B55" s="139"/>
      <c r="C55" s="55">
        <f t="shared" si="2"/>
        <v>49</v>
      </c>
      <c r="D55" s="69" t="s">
        <v>70</v>
      </c>
      <c r="E55" s="69" t="s">
        <v>70</v>
      </c>
      <c r="F55" s="69" t="s">
        <v>70</v>
      </c>
      <c r="G55" s="69" t="s">
        <v>70</v>
      </c>
      <c r="H55" s="69" t="s">
        <v>70</v>
      </c>
      <c r="I55" s="69" t="s">
        <v>70</v>
      </c>
      <c r="J55" s="69" t="s">
        <v>70</v>
      </c>
      <c r="K55" s="69" t="s">
        <v>70</v>
      </c>
      <c r="L55" s="69" t="s">
        <v>70</v>
      </c>
      <c r="M55" s="69" t="s">
        <v>70</v>
      </c>
      <c r="N55" s="69" t="s">
        <v>70</v>
      </c>
      <c r="O55" s="69" t="s">
        <v>70</v>
      </c>
      <c r="P55" s="69" t="s">
        <v>70</v>
      </c>
      <c r="Q55" s="69" t="s">
        <v>70</v>
      </c>
      <c r="R55" s="69" t="s">
        <v>70</v>
      </c>
      <c r="S55" s="69" t="s">
        <v>70</v>
      </c>
      <c r="T55" s="69" t="s">
        <v>70</v>
      </c>
      <c r="U55" s="69" t="s">
        <v>70</v>
      </c>
      <c r="V55" s="69" t="s">
        <v>70</v>
      </c>
      <c r="W55" s="69" t="s">
        <v>70</v>
      </c>
      <c r="X55" s="69" t="s">
        <v>70</v>
      </c>
      <c r="Y55" s="69" t="s">
        <v>70</v>
      </c>
      <c r="Z55" s="69" t="s">
        <v>70</v>
      </c>
      <c r="AA55" s="69" t="s">
        <v>70</v>
      </c>
      <c r="AB55" s="69" t="s">
        <v>70</v>
      </c>
      <c r="AC55" s="69" t="s">
        <v>70</v>
      </c>
      <c r="AD55" s="69" t="s">
        <v>70</v>
      </c>
      <c r="AE55" s="69" t="s">
        <v>70</v>
      </c>
      <c r="AF55" s="69" t="s">
        <v>70</v>
      </c>
      <c r="AG55" s="69" t="s">
        <v>70</v>
      </c>
      <c r="AH55" s="69" t="s">
        <v>70</v>
      </c>
      <c r="AI55" s="69" t="s">
        <v>70</v>
      </c>
      <c r="AJ55" s="25"/>
      <c r="AL55" t="str">
        <f t="shared" ca="1" si="0"/>
        <v xml:space="preserve">    (U1)ALERT_REQ_S_LCA_BC_CL_</v>
      </c>
      <c r="AR55" s="70" t="str">
        <f t="shared" si="3"/>
        <v/>
      </c>
      <c r="AS55" s="70" t="str">
        <f t="shared" si="4"/>
        <v/>
      </c>
      <c r="AT55" s="70" t="str">
        <f t="shared" si="1"/>
        <v/>
      </c>
    </row>
    <row r="56" spans="2:46">
      <c r="B56" s="139"/>
      <c r="C56" s="55">
        <f t="shared" si="2"/>
        <v>50</v>
      </c>
      <c r="D56" s="69" t="s">
        <v>70</v>
      </c>
      <c r="E56" s="69" t="s">
        <v>70</v>
      </c>
      <c r="F56" s="69" t="s">
        <v>70</v>
      </c>
      <c r="G56" s="69" t="s">
        <v>70</v>
      </c>
      <c r="H56" s="69" t="s">
        <v>70</v>
      </c>
      <c r="I56" s="69" t="s">
        <v>70</v>
      </c>
      <c r="J56" s="69" t="s">
        <v>70</v>
      </c>
      <c r="K56" s="69" t="s">
        <v>70</v>
      </c>
      <c r="L56" s="69" t="s">
        <v>70</v>
      </c>
      <c r="M56" s="69" t="s">
        <v>70</v>
      </c>
      <c r="N56" s="69" t="s">
        <v>70</v>
      </c>
      <c r="O56" s="69" t="s">
        <v>70</v>
      </c>
      <c r="P56" s="69" t="s">
        <v>70</v>
      </c>
      <c r="Q56" s="69" t="s">
        <v>70</v>
      </c>
      <c r="R56" s="69" t="s">
        <v>70</v>
      </c>
      <c r="S56" s="69" t="s">
        <v>70</v>
      </c>
      <c r="T56" s="69" t="s">
        <v>70</v>
      </c>
      <c r="U56" s="69" t="s">
        <v>70</v>
      </c>
      <c r="V56" s="69" t="s">
        <v>70</v>
      </c>
      <c r="W56" s="69" t="s">
        <v>70</v>
      </c>
      <c r="X56" s="69" t="s">
        <v>70</v>
      </c>
      <c r="Y56" s="69" t="s">
        <v>70</v>
      </c>
      <c r="Z56" s="69" t="s">
        <v>70</v>
      </c>
      <c r="AA56" s="69" t="s">
        <v>70</v>
      </c>
      <c r="AB56" s="69" t="s">
        <v>70</v>
      </c>
      <c r="AC56" s="69" t="s">
        <v>70</v>
      </c>
      <c r="AD56" s="69" t="s">
        <v>70</v>
      </c>
      <c r="AE56" s="69" t="s">
        <v>70</v>
      </c>
      <c r="AF56" s="69" t="s">
        <v>70</v>
      </c>
      <c r="AG56" s="69" t="s">
        <v>70</v>
      </c>
      <c r="AH56" s="69" t="s">
        <v>70</v>
      </c>
      <c r="AI56" s="69" t="s">
        <v>70</v>
      </c>
      <c r="AJ56" s="25"/>
      <c r="AL56" t="str">
        <f t="shared" ca="1" si="0"/>
        <v xml:space="preserve">    (U1)ALERT_REQ_S_LCA_BC_CL_</v>
      </c>
      <c r="AR56" s="70" t="str">
        <f t="shared" si="3"/>
        <v/>
      </c>
      <c r="AS56" s="70" t="str">
        <f t="shared" si="4"/>
        <v/>
      </c>
      <c r="AT56" s="70" t="str">
        <f t="shared" si="1"/>
        <v/>
      </c>
    </row>
    <row r="57" spans="2:46">
      <c r="B57" s="139"/>
      <c r="C57" s="55">
        <f t="shared" si="2"/>
        <v>51</v>
      </c>
      <c r="D57" s="69" t="s">
        <v>70</v>
      </c>
      <c r="E57" s="69" t="s">
        <v>70</v>
      </c>
      <c r="F57" s="69" t="s">
        <v>70</v>
      </c>
      <c r="G57" s="69" t="s">
        <v>70</v>
      </c>
      <c r="H57" s="69" t="s">
        <v>70</v>
      </c>
      <c r="I57" s="69" t="s">
        <v>70</v>
      </c>
      <c r="J57" s="69" t="s">
        <v>70</v>
      </c>
      <c r="K57" s="69" t="s">
        <v>70</v>
      </c>
      <c r="L57" s="69" t="s">
        <v>70</v>
      </c>
      <c r="M57" s="69" t="s">
        <v>70</v>
      </c>
      <c r="N57" s="69" t="s">
        <v>70</v>
      </c>
      <c r="O57" s="69" t="s">
        <v>70</v>
      </c>
      <c r="P57" s="69" t="s">
        <v>70</v>
      </c>
      <c r="Q57" s="69" t="s">
        <v>70</v>
      </c>
      <c r="R57" s="69" t="s">
        <v>70</v>
      </c>
      <c r="S57" s="69" t="s">
        <v>70</v>
      </c>
      <c r="T57" s="69" t="s">
        <v>70</v>
      </c>
      <c r="U57" s="69" t="s">
        <v>70</v>
      </c>
      <c r="V57" s="69" t="s">
        <v>70</v>
      </c>
      <c r="W57" s="69" t="s">
        <v>70</v>
      </c>
      <c r="X57" s="69" t="s">
        <v>70</v>
      </c>
      <c r="Y57" s="69" t="s">
        <v>70</v>
      </c>
      <c r="Z57" s="69" t="s">
        <v>70</v>
      </c>
      <c r="AA57" s="69" t="s">
        <v>70</v>
      </c>
      <c r="AB57" s="69" t="s">
        <v>70</v>
      </c>
      <c r="AC57" s="69" t="s">
        <v>70</v>
      </c>
      <c r="AD57" s="69" t="s">
        <v>70</v>
      </c>
      <c r="AE57" s="69" t="s">
        <v>70</v>
      </c>
      <c r="AF57" s="69" t="s">
        <v>70</v>
      </c>
      <c r="AG57" s="69" t="s">
        <v>70</v>
      </c>
      <c r="AH57" s="69" t="s">
        <v>70</v>
      </c>
      <c r="AI57" s="69" t="s">
        <v>70</v>
      </c>
      <c r="AJ57" s="25"/>
      <c r="AL57" t="str">
        <f t="shared" ca="1" si="0"/>
        <v xml:space="preserve">    (U1)ALERT_REQ_S_LCA_BC_CL_</v>
      </c>
      <c r="AR57" s="70" t="str">
        <f t="shared" si="3"/>
        <v/>
      </c>
      <c r="AS57" s="70" t="str">
        <f t="shared" si="4"/>
        <v/>
      </c>
      <c r="AT57" s="70" t="str">
        <f t="shared" si="1"/>
        <v/>
      </c>
    </row>
    <row r="58" spans="2:46">
      <c r="B58" s="139"/>
      <c r="C58" s="55">
        <f t="shared" si="2"/>
        <v>52</v>
      </c>
      <c r="D58" s="69" t="s">
        <v>70</v>
      </c>
      <c r="E58" s="69" t="s">
        <v>70</v>
      </c>
      <c r="F58" s="69" t="s">
        <v>70</v>
      </c>
      <c r="G58" s="69" t="s">
        <v>70</v>
      </c>
      <c r="H58" s="69" t="s">
        <v>70</v>
      </c>
      <c r="I58" s="69" t="s">
        <v>70</v>
      </c>
      <c r="J58" s="69" t="s">
        <v>70</v>
      </c>
      <c r="K58" s="69" t="s">
        <v>70</v>
      </c>
      <c r="L58" s="69" t="s">
        <v>70</v>
      </c>
      <c r="M58" s="69" t="s">
        <v>70</v>
      </c>
      <c r="N58" s="69" t="s">
        <v>70</v>
      </c>
      <c r="O58" s="69" t="s">
        <v>70</v>
      </c>
      <c r="P58" s="69" t="s">
        <v>70</v>
      </c>
      <c r="Q58" s="69" t="s">
        <v>70</v>
      </c>
      <c r="R58" s="69" t="s">
        <v>70</v>
      </c>
      <c r="S58" s="69" t="s">
        <v>70</v>
      </c>
      <c r="T58" s="69" t="s">
        <v>70</v>
      </c>
      <c r="U58" s="69" t="s">
        <v>70</v>
      </c>
      <c r="V58" s="69" t="s">
        <v>70</v>
      </c>
      <c r="W58" s="69" t="s">
        <v>70</v>
      </c>
      <c r="X58" s="69" t="s">
        <v>70</v>
      </c>
      <c r="Y58" s="69" t="s">
        <v>70</v>
      </c>
      <c r="Z58" s="69" t="s">
        <v>70</v>
      </c>
      <c r="AA58" s="69" t="s">
        <v>70</v>
      </c>
      <c r="AB58" s="69" t="s">
        <v>70</v>
      </c>
      <c r="AC58" s="69" t="s">
        <v>70</v>
      </c>
      <c r="AD58" s="69" t="s">
        <v>70</v>
      </c>
      <c r="AE58" s="69" t="s">
        <v>70</v>
      </c>
      <c r="AF58" s="69" t="s">
        <v>70</v>
      </c>
      <c r="AG58" s="69" t="s">
        <v>70</v>
      </c>
      <c r="AH58" s="69" t="s">
        <v>70</v>
      </c>
      <c r="AI58" s="69" t="s">
        <v>70</v>
      </c>
      <c r="AJ58" s="25"/>
      <c r="AL58" t="str">
        <f t="shared" ca="1" si="0"/>
        <v xml:space="preserve">    (U1)ALERT_REQ_S_LCA_BC_CL_</v>
      </c>
      <c r="AR58" s="70" t="str">
        <f t="shared" si="3"/>
        <v/>
      </c>
      <c r="AS58" s="70" t="str">
        <f t="shared" si="4"/>
        <v/>
      </c>
      <c r="AT58" s="70" t="str">
        <f t="shared" si="1"/>
        <v/>
      </c>
    </row>
    <row r="59" spans="2:46">
      <c r="B59" s="139"/>
      <c r="C59" s="55">
        <f t="shared" si="2"/>
        <v>53</v>
      </c>
      <c r="D59" s="69" t="s">
        <v>70</v>
      </c>
      <c r="E59" s="69" t="s">
        <v>70</v>
      </c>
      <c r="F59" s="69" t="s">
        <v>70</v>
      </c>
      <c r="G59" s="69" t="s">
        <v>70</v>
      </c>
      <c r="H59" s="69" t="s">
        <v>70</v>
      </c>
      <c r="I59" s="69" t="s">
        <v>70</v>
      </c>
      <c r="J59" s="69" t="s">
        <v>70</v>
      </c>
      <c r="K59" s="69" t="s">
        <v>70</v>
      </c>
      <c r="L59" s="69" t="s">
        <v>70</v>
      </c>
      <c r="M59" s="69" t="s">
        <v>70</v>
      </c>
      <c r="N59" s="69" t="s">
        <v>70</v>
      </c>
      <c r="O59" s="69" t="s">
        <v>70</v>
      </c>
      <c r="P59" s="69" t="s">
        <v>70</v>
      </c>
      <c r="Q59" s="69" t="s">
        <v>70</v>
      </c>
      <c r="R59" s="69" t="s">
        <v>70</v>
      </c>
      <c r="S59" s="69" t="s">
        <v>70</v>
      </c>
      <c r="T59" s="69" t="s">
        <v>70</v>
      </c>
      <c r="U59" s="69" t="s">
        <v>70</v>
      </c>
      <c r="V59" s="69" t="s">
        <v>70</v>
      </c>
      <c r="W59" s="69" t="s">
        <v>70</v>
      </c>
      <c r="X59" s="69" t="s">
        <v>70</v>
      </c>
      <c r="Y59" s="69" t="s">
        <v>70</v>
      </c>
      <c r="Z59" s="69" t="s">
        <v>70</v>
      </c>
      <c r="AA59" s="69" t="s">
        <v>70</v>
      </c>
      <c r="AB59" s="69" t="s">
        <v>70</v>
      </c>
      <c r="AC59" s="69" t="s">
        <v>70</v>
      </c>
      <c r="AD59" s="69" t="s">
        <v>70</v>
      </c>
      <c r="AE59" s="69" t="s">
        <v>70</v>
      </c>
      <c r="AF59" s="69" t="s">
        <v>70</v>
      </c>
      <c r="AG59" s="69" t="s">
        <v>70</v>
      </c>
      <c r="AH59" s="69" t="s">
        <v>70</v>
      </c>
      <c r="AI59" s="69" t="s">
        <v>70</v>
      </c>
      <c r="AJ59" s="25"/>
      <c r="AL59" t="str">
        <f t="shared" ca="1" si="0"/>
        <v xml:space="preserve">    (U1)ALERT_REQ_S_LCA_BC_CL_</v>
      </c>
      <c r="AR59" s="70" t="str">
        <f t="shared" si="3"/>
        <v/>
      </c>
      <c r="AS59" s="70" t="str">
        <f t="shared" si="4"/>
        <v/>
      </c>
      <c r="AT59" s="70" t="str">
        <f t="shared" si="1"/>
        <v/>
      </c>
    </row>
    <row r="60" spans="2:46">
      <c r="B60" s="139"/>
      <c r="C60" s="55">
        <f t="shared" si="2"/>
        <v>54</v>
      </c>
      <c r="D60" s="69" t="s">
        <v>70</v>
      </c>
      <c r="E60" s="69" t="s">
        <v>70</v>
      </c>
      <c r="F60" s="69" t="s">
        <v>70</v>
      </c>
      <c r="G60" s="69" t="s">
        <v>70</v>
      </c>
      <c r="H60" s="69" t="s">
        <v>70</v>
      </c>
      <c r="I60" s="69" t="s">
        <v>70</v>
      </c>
      <c r="J60" s="69" t="s">
        <v>70</v>
      </c>
      <c r="K60" s="69" t="s">
        <v>70</v>
      </c>
      <c r="L60" s="69" t="s">
        <v>70</v>
      </c>
      <c r="M60" s="69" t="s">
        <v>70</v>
      </c>
      <c r="N60" s="69" t="s">
        <v>70</v>
      </c>
      <c r="O60" s="69" t="s">
        <v>70</v>
      </c>
      <c r="P60" s="69" t="s">
        <v>70</v>
      </c>
      <c r="Q60" s="69" t="s">
        <v>70</v>
      </c>
      <c r="R60" s="69" t="s">
        <v>70</v>
      </c>
      <c r="S60" s="69" t="s">
        <v>70</v>
      </c>
      <c r="T60" s="69" t="s">
        <v>70</v>
      </c>
      <c r="U60" s="69" t="s">
        <v>70</v>
      </c>
      <c r="V60" s="69" t="s">
        <v>70</v>
      </c>
      <c r="W60" s="69" t="s">
        <v>70</v>
      </c>
      <c r="X60" s="69" t="s">
        <v>70</v>
      </c>
      <c r="Y60" s="69" t="s">
        <v>70</v>
      </c>
      <c r="Z60" s="69" t="s">
        <v>70</v>
      </c>
      <c r="AA60" s="69" t="s">
        <v>70</v>
      </c>
      <c r="AB60" s="69" t="s">
        <v>70</v>
      </c>
      <c r="AC60" s="69" t="s">
        <v>70</v>
      </c>
      <c r="AD60" s="69" t="s">
        <v>70</v>
      </c>
      <c r="AE60" s="69" t="s">
        <v>70</v>
      </c>
      <c r="AF60" s="69" t="s">
        <v>70</v>
      </c>
      <c r="AG60" s="69" t="s">
        <v>70</v>
      </c>
      <c r="AH60" s="69" t="s">
        <v>70</v>
      </c>
      <c r="AI60" s="69" t="s">
        <v>70</v>
      </c>
      <c r="AJ60" s="25"/>
      <c r="AL60" t="str">
        <f t="shared" ca="1" si="0"/>
        <v xml:space="preserve">    (U1)ALERT_REQ_S_LCA_BC_CL_</v>
      </c>
      <c r="AR60" s="70" t="str">
        <f t="shared" si="3"/>
        <v/>
      </c>
      <c r="AS60" s="70" t="str">
        <f t="shared" si="4"/>
        <v/>
      </c>
      <c r="AT60" s="70" t="str">
        <f t="shared" si="1"/>
        <v/>
      </c>
    </row>
    <row r="61" spans="2:46">
      <c r="B61" s="139"/>
      <c r="C61" s="55">
        <f t="shared" si="2"/>
        <v>55</v>
      </c>
      <c r="D61" s="69" t="s">
        <v>70</v>
      </c>
      <c r="E61" s="69" t="s">
        <v>70</v>
      </c>
      <c r="F61" s="69" t="s">
        <v>70</v>
      </c>
      <c r="G61" s="69" t="s">
        <v>70</v>
      </c>
      <c r="H61" s="69" t="s">
        <v>70</v>
      </c>
      <c r="I61" s="69" t="s">
        <v>70</v>
      </c>
      <c r="J61" s="69" t="s">
        <v>70</v>
      </c>
      <c r="K61" s="69" t="s">
        <v>70</v>
      </c>
      <c r="L61" s="69" t="s">
        <v>70</v>
      </c>
      <c r="M61" s="69" t="s">
        <v>70</v>
      </c>
      <c r="N61" s="69" t="s">
        <v>70</v>
      </c>
      <c r="O61" s="69" t="s">
        <v>70</v>
      </c>
      <c r="P61" s="69" t="s">
        <v>70</v>
      </c>
      <c r="Q61" s="69" t="s">
        <v>70</v>
      </c>
      <c r="R61" s="69" t="s">
        <v>70</v>
      </c>
      <c r="S61" s="69" t="s">
        <v>70</v>
      </c>
      <c r="T61" s="69" t="s">
        <v>70</v>
      </c>
      <c r="U61" s="69" t="s">
        <v>70</v>
      </c>
      <c r="V61" s="69" t="s">
        <v>70</v>
      </c>
      <c r="W61" s="69" t="s">
        <v>70</v>
      </c>
      <c r="X61" s="69" t="s">
        <v>70</v>
      </c>
      <c r="Y61" s="69" t="s">
        <v>70</v>
      </c>
      <c r="Z61" s="69" t="s">
        <v>70</v>
      </c>
      <c r="AA61" s="69" t="s">
        <v>70</v>
      </c>
      <c r="AB61" s="69" t="s">
        <v>70</v>
      </c>
      <c r="AC61" s="69" t="s">
        <v>70</v>
      </c>
      <c r="AD61" s="69" t="s">
        <v>70</v>
      </c>
      <c r="AE61" s="69" t="s">
        <v>70</v>
      </c>
      <c r="AF61" s="69" t="s">
        <v>70</v>
      </c>
      <c r="AG61" s="69" t="s">
        <v>70</v>
      </c>
      <c r="AH61" s="69" t="s">
        <v>70</v>
      </c>
      <c r="AI61" s="69" t="s">
        <v>70</v>
      </c>
      <c r="AJ61" s="25"/>
      <c r="AL61" t="str">
        <f t="shared" ca="1" si="0"/>
        <v xml:space="preserve">    (U1)ALERT_REQ_S_LCA_BC_CL_</v>
      </c>
      <c r="AR61" s="70" t="str">
        <f t="shared" si="3"/>
        <v/>
      </c>
      <c r="AS61" s="70" t="str">
        <f t="shared" si="4"/>
        <v/>
      </c>
      <c r="AT61" s="70" t="str">
        <f t="shared" si="1"/>
        <v/>
      </c>
    </row>
    <row r="62" spans="2:46">
      <c r="B62" s="139"/>
      <c r="C62" s="55">
        <f t="shared" si="2"/>
        <v>56</v>
      </c>
      <c r="D62" s="69" t="s">
        <v>70</v>
      </c>
      <c r="E62" s="69" t="s">
        <v>70</v>
      </c>
      <c r="F62" s="69" t="s">
        <v>70</v>
      </c>
      <c r="G62" s="69" t="s">
        <v>70</v>
      </c>
      <c r="H62" s="69" t="s">
        <v>70</v>
      </c>
      <c r="I62" s="69" t="s">
        <v>70</v>
      </c>
      <c r="J62" s="69" t="s">
        <v>70</v>
      </c>
      <c r="K62" s="69" t="s">
        <v>70</v>
      </c>
      <c r="L62" s="69" t="s">
        <v>70</v>
      </c>
      <c r="M62" s="69" t="s">
        <v>70</v>
      </c>
      <c r="N62" s="69" t="s">
        <v>70</v>
      </c>
      <c r="O62" s="69" t="s">
        <v>70</v>
      </c>
      <c r="P62" s="69" t="s">
        <v>70</v>
      </c>
      <c r="Q62" s="69" t="s">
        <v>70</v>
      </c>
      <c r="R62" s="69" t="s">
        <v>70</v>
      </c>
      <c r="S62" s="69" t="s">
        <v>70</v>
      </c>
      <c r="T62" s="69" t="s">
        <v>70</v>
      </c>
      <c r="U62" s="69" t="s">
        <v>70</v>
      </c>
      <c r="V62" s="69" t="s">
        <v>70</v>
      </c>
      <c r="W62" s="69" t="s">
        <v>70</v>
      </c>
      <c r="X62" s="69" t="s">
        <v>70</v>
      </c>
      <c r="Y62" s="69" t="s">
        <v>70</v>
      </c>
      <c r="Z62" s="69" t="s">
        <v>70</v>
      </c>
      <c r="AA62" s="69" t="s">
        <v>70</v>
      </c>
      <c r="AB62" s="69" t="s">
        <v>70</v>
      </c>
      <c r="AC62" s="69" t="s">
        <v>70</v>
      </c>
      <c r="AD62" s="69" t="s">
        <v>70</v>
      </c>
      <c r="AE62" s="69" t="s">
        <v>70</v>
      </c>
      <c r="AF62" s="69" t="s">
        <v>70</v>
      </c>
      <c r="AG62" s="69" t="s">
        <v>70</v>
      </c>
      <c r="AH62" s="69" t="s">
        <v>70</v>
      </c>
      <c r="AI62" s="69" t="s">
        <v>70</v>
      </c>
      <c r="AJ62" s="25"/>
      <c r="AL62" t="str">
        <f t="shared" ca="1" si="0"/>
        <v xml:space="preserve">    (U1)ALERT_REQ_S_LCA_BC_CL_</v>
      </c>
      <c r="AR62" s="70" t="str">
        <f t="shared" si="3"/>
        <v/>
      </c>
      <c r="AS62" s="70" t="str">
        <f t="shared" si="4"/>
        <v/>
      </c>
      <c r="AT62" s="70" t="str">
        <f t="shared" si="1"/>
        <v/>
      </c>
    </row>
    <row r="63" spans="2:46">
      <c r="B63" s="139"/>
      <c r="C63" s="55">
        <f t="shared" si="2"/>
        <v>57</v>
      </c>
      <c r="D63" s="69" t="s">
        <v>70</v>
      </c>
      <c r="E63" s="69" t="s">
        <v>70</v>
      </c>
      <c r="F63" s="69" t="s">
        <v>70</v>
      </c>
      <c r="G63" s="69" t="s">
        <v>70</v>
      </c>
      <c r="H63" s="69" t="s">
        <v>70</v>
      </c>
      <c r="I63" s="69" t="s">
        <v>70</v>
      </c>
      <c r="J63" s="69" t="s">
        <v>70</v>
      </c>
      <c r="K63" s="69" t="s">
        <v>70</v>
      </c>
      <c r="L63" s="69" t="s">
        <v>70</v>
      </c>
      <c r="M63" s="69" t="s">
        <v>70</v>
      </c>
      <c r="N63" s="69" t="s">
        <v>70</v>
      </c>
      <c r="O63" s="69" t="s">
        <v>70</v>
      </c>
      <c r="P63" s="69" t="s">
        <v>70</v>
      </c>
      <c r="Q63" s="69" t="s">
        <v>70</v>
      </c>
      <c r="R63" s="69" t="s">
        <v>70</v>
      </c>
      <c r="S63" s="69" t="s">
        <v>70</v>
      </c>
      <c r="T63" s="69" t="s">
        <v>70</v>
      </c>
      <c r="U63" s="69" t="s">
        <v>70</v>
      </c>
      <c r="V63" s="69" t="s">
        <v>70</v>
      </c>
      <c r="W63" s="69" t="s">
        <v>70</v>
      </c>
      <c r="X63" s="69" t="s">
        <v>70</v>
      </c>
      <c r="Y63" s="69" t="s">
        <v>70</v>
      </c>
      <c r="Z63" s="69" t="s">
        <v>70</v>
      </c>
      <c r="AA63" s="69" t="s">
        <v>70</v>
      </c>
      <c r="AB63" s="69" t="s">
        <v>70</v>
      </c>
      <c r="AC63" s="69" t="s">
        <v>70</v>
      </c>
      <c r="AD63" s="69" t="s">
        <v>70</v>
      </c>
      <c r="AE63" s="69" t="s">
        <v>70</v>
      </c>
      <c r="AF63" s="69" t="s">
        <v>70</v>
      </c>
      <c r="AG63" s="69" t="s">
        <v>70</v>
      </c>
      <c r="AH63" s="69" t="s">
        <v>70</v>
      </c>
      <c r="AI63" s="69" t="s">
        <v>70</v>
      </c>
      <c r="AJ63" s="25"/>
      <c r="AL63" t="str">
        <f t="shared" ca="1" si="0"/>
        <v xml:space="preserve">    (U1)ALERT_REQ_S_LCA_BC_CL_</v>
      </c>
      <c r="AR63" s="70" t="str">
        <f t="shared" si="3"/>
        <v/>
      </c>
      <c r="AS63" s="70" t="str">
        <f t="shared" si="4"/>
        <v/>
      </c>
      <c r="AT63" s="70" t="str">
        <f t="shared" si="1"/>
        <v/>
      </c>
    </row>
    <row r="64" spans="2:46">
      <c r="B64" s="139"/>
      <c r="C64" s="55">
        <f t="shared" si="2"/>
        <v>58</v>
      </c>
      <c r="D64" s="69" t="s">
        <v>70</v>
      </c>
      <c r="E64" s="69" t="s">
        <v>70</v>
      </c>
      <c r="F64" s="69" t="s">
        <v>70</v>
      </c>
      <c r="G64" s="69" t="s">
        <v>70</v>
      </c>
      <c r="H64" s="69" t="s">
        <v>70</v>
      </c>
      <c r="I64" s="69" t="s">
        <v>70</v>
      </c>
      <c r="J64" s="69" t="s">
        <v>70</v>
      </c>
      <c r="K64" s="69" t="s">
        <v>70</v>
      </c>
      <c r="L64" s="69" t="s">
        <v>70</v>
      </c>
      <c r="M64" s="69" t="s">
        <v>70</v>
      </c>
      <c r="N64" s="69" t="s">
        <v>70</v>
      </c>
      <c r="O64" s="69" t="s">
        <v>70</v>
      </c>
      <c r="P64" s="69" t="s">
        <v>70</v>
      </c>
      <c r="Q64" s="69" t="s">
        <v>70</v>
      </c>
      <c r="R64" s="69" t="s">
        <v>70</v>
      </c>
      <c r="S64" s="69" t="s">
        <v>70</v>
      </c>
      <c r="T64" s="69" t="s">
        <v>70</v>
      </c>
      <c r="U64" s="69" t="s">
        <v>70</v>
      </c>
      <c r="V64" s="69" t="s">
        <v>70</v>
      </c>
      <c r="W64" s="69" t="s">
        <v>70</v>
      </c>
      <c r="X64" s="69" t="s">
        <v>70</v>
      </c>
      <c r="Y64" s="69" t="s">
        <v>70</v>
      </c>
      <c r="Z64" s="69" t="s">
        <v>70</v>
      </c>
      <c r="AA64" s="69" t="s">
        <v>70</v>
      </c>
      <c r="AB64" s="69" t="s">
        <v>70</v>
      </c>
      <c r="AC64" s="69" t="s">
        <v>70</v>
      </c>
      <c r="AD64" s="69" t="s">
        <v>70</v>
      </c>
      <c r="AE64" s="69" t="s">
        <v>70</v>
      </c>
      <c r="AF64" s="69" t="s">
        <v>70</v>
      </c>
      <c r="AG64" s="69" t="s">
        <v>70</v>
      </c>
      <c r="AH64" s="69" t="s">
        <v>70</v>
      </c>
      <c r="AI64" s="69" t="s">
        <v>70</v>
      </c>
      <c r="AJ64" s="25"/>
      <c r="AL64" t="str">
        <f t="shared" ca="1" si="0"/>
        <v xml:space="preserve">    (U1)ALERT_REQ_S_LCA_BC_CL_</v>
      </c>
      <c r="AR64" s="70" t="str">
        <f t="shared" si="3"/>
        <v/>
      </c>
      <c r="AS64" s="70" t="str">
        <f t="shared" si="4"/>
        <v/>
      </c>
      <c r="AT64" s="70" t="str">
        <f t="shared" si="1"/>
        <v/>
      </c>
    </row>
    <row r="65" spans="1:46">
      <c r="B65" s="139"/>
      <c r="C65" s="55">
        <f t="shared" si="2"/>
        <v>59</v>
      </c>
      <c r="D65" s="69" t="s">
        <v>70</v>
      </c>
      <c r="E65" s="69" t="s">
        <v>70</v>
      </c>
      <c r="F65" s="69" t="s">
        <v>70</v>
      </c>
      <c r="G65" s="69" t="s">
        <v>70</v>
      </c>
      <c r="H65" s="69" t="s">
        <v>70</v>
      </c>
      <c r="I65" s="69" t="s">
        <v>70</v>
      </c>
      <c r="J65" s="69" t="s">
        <v>70</v>
      </c>
      <c r="K65" s="69" t="s">
        <v>70</v>
      </c>
      <c r="L65" s="69" t="s">
        <v>70</v>
      </c>
      <c r="M65" s="69" t="s">
        <v>70</v>
      </c>
      <c r="N65" s="69" t="s">
        <v>70</v>
      </c>
      <c r="O65" s="69" t="s">
        <v>70</v>
      </c>
      <c r="P65" s="69" t="s">
        <v>70</v>
      </c>
      <c r="Q65" s="69" t="s">
        <v>70</v>
      </c>
      <c r="R65" s="69" t="s">
        <v>70</v>
      </c>
      <c r="S65" s="69" t="s">
        <v>70</v>
      </c>
      <c r="T65" s="69" t="s">
        <v>70</v>
      </c>
      <c r="U65" s="69" t="s">
        <v>70</v>
      </c>
      <c r="V65" s="69" t="s">
        <v>70</v>
      </c>
      <c r="W65" s="69" t="s">
        <v>70</v>
      </c>
      <c r="X65" s="69" t="s">
        <v>70</v>
      </c>
      <c r="Y65" s="69" t="s">
        <v>70</v>
      </c>
      <c r="Z65" s="69" t="s">
        <v>70</v>
      </c>
      <c r="AA65" s="69" t="s">
        <v>70</v>
      </c>
      <c r="AB65" s="69" t="s">
        <v>70</v>
      </c>
      <c r="AC65" s="69" t="s">
        <v>70</v>
      </c>
      <c r="AD65" s="69" t="s">
        <v>70</v>
      </c>
      <c r="AE65" s="69" t="s">
        <v>70</v>
      </c>
      <c r="AF65" s="69" t="s">
        <v>70</v>
      </c>
      <c r="AG65" s="69" t="s">
        <v>70</v>
      </c>
      <c r="AH65" s="69" t="s">
        <v>70</v>
      </c>
      <c r="AI65" s="69" t="s">
        <v>70</v>
      </c>
      <c r="AJ65" s="25"/>
      <c r="AL65" t="str">
        <f t="shared" ca="1" si="0"/>
        <v xml:space="preserve">    (U1)ALERT_REQ_S_LCA_BC_CL_</v>
      </c>
      <c r="AR65" s="70" t="str">
        <f t="shared" si="3"/>
        <v/>
      </c>
      <c r="AS65" s="70" t="str">
        <f t="shared" si="4"/>
        <v/>
      </c>
      <c r="AT65" s="70" t="str">
        <f t="shared" si="1"/>
        <v/>
      </c>
    </row>
    <row r="66" spans="1:46">
      <c r="B66" s="139"/>
      <c r="C66" s="55">
        <f t="shared" si="2"/>
        <v>60</v>
      </c>
      <c r="D66" s="69" t="s">
        <v>70</v>
      </c>
      <c r="E66" s="69" t="s">
        <v>70</v>
      </c>
      <c r="F66" s="69" t="s">
        <v>70</v>
      </c>
      <c r="G66" s="69" t="s">
        <v>70</v>
      </c>
      <c r="H66" s="69" t="s">
        <v>70</v>
      </c>
      <c r="I66" s="69" t="s">
        <v>70</v>
      </c>
      <c r="J66" s="69" t="s">
        <v>70</v>
      </c>
      <c r="K66" s="69" t="s">
        <v>70</v>
      </c>
      <c r="L66" s="69" t="s">
        <v>70</v>
      </c>
      <c r="M66" s="69" t="s">
        <v>70</v>
      </c>
      <c r="N66" s="69" t="s">
        <v>70</v>
      </c>
      <c r="O66" s="69" t="s">
        <v>70</v>
      </c>
      <c r="P66" s="69" t="s">
        <v>70</v>
      </c>
      <c r="Q66" s="69" t="s">
        <v>70</v>
      </c>
      <c r="R66" s="69" t="s">
        <v>70</v>
      </c>
      <c r="S66" s="69" t="s">
        <v>70</v>
      </c>
      <c r="T66" s="69" t="s">
        <v>70</v>
      </c>
      <c r="U66" s="69" t="s">
        <v>70</v>
      </c>
      <c r="V66" s="69" t="s">
        <v>70</v>
      </c>
      <c r="W66" s="69" t="s">
        <v>70</v>
      </c>
      <c r="X66" s="69" t="s">
        <v>70</v>
      </c>
      <c r="Y66" s="69" t="s">
        <v>70</v>
      </c>
      <c r="Z66" s="69" t="s">
        <v>70</v>
      </c>
      <c r="AA66" s="69" t="s">
        <v>70</v>
      </c>
      <c r="AB66" s="69" t="s">
        <v>70</v>
      </c>
      <c r="AC66" s="69" t="s">
        <v>70</v>
      </c>
      <c r="AD66" s="69" t="s">
        <v>70</v>
      </c>
      <c r="AE66" s="69" t="s">
        <v>70</v>
      </c>
      <c r="AF66" s="69" t="s">
        <v>70</v>
      </c>
      <c r="AG66" s="69" t="s">
        <v>70</v>
      </c>
      <c r="AH66" s="69" t="s">
        <v>70</v>
      </c>
      <c r="AI66" s="69" t="s">
        <v>70</v>
      </c>
      <c r="AJ66" s="25"/>
      <c r="AL66" t="str">
        <f t="shared" ca="1" si="0"/>
        <v xml:space="preserve">    (U1)ALERT_REQ_S_LCA_BC_CL_</v>
      </c>
      <c r="AR66" s="70" t="str">
        <f t="shared" si="3"/>
        <v/>
      </c>
      <c r="AS66" s="70" t="str">
        <f t="shared" si="4"/>
        <v/>
      </c>
      <c r="AT66" s="70" t="str">
        <f t="shared" si="1"/>
        <v/>
      </c>
    </row>
    <row r="67" spans="1:46">
      <c r="B67" s="139"/>
      <c r="C67" s="55">
        <f t="shared" si="2"/>
        <v>61</v>
      </c>
      <c r="D67" s="69" t="s">
        <v>70</v>
      </c>
      <c r="E67" s="69" t="s">
        <v>70</v>
      </c>
      <c r="F67" s="69" t="s">
        <v>70</v>
      </c>
      <c r="G67" s="69" t="s">
        <v>70</v>
      </c>
      <c r="H67" s="69" t="s">
        <v>70</v>
      </c>
      <c r="I67" s="69" t="s">
        <v>70</v>
      </c>
      <c r="J67" s="69" t="s">
        <v>70</v>
      </c>
      <c r="K67" s="69" t="s">
        <v>70</v>
      </c>
      <c r="L67" s="69" t="s">
        <v>70</v>
      </c>
      <c r="M67" s="69" t="s">
        <v>70</v>
      </c>
      <c r="N67" s="69" t="s">
        <v>70</v>
      </c>
      <c r="O67" s="69" t="s">
        <v>70</v>
      </c>
      <c r="P67" s="69" t="s">
        <v>70</v>
      </c>
      <c r="Q67" s="69" t="s">
        <v>70</v>
      </c>
      <c r="R67" s="69" t="s">
        <v>70</v>
      </c>
      <c r="S67" s="69" t="s">
        <v>70</v>
      </c>
      <c r="T67" s="69" t="s">
        <v>70</v>
      </c>
      <c r="U67" s="69" t="s">
        <v>70</v>
      </c>
      <c r="V67" s="69" t="s">
        <v>70</v>
      </c>
      <c r="W67" s="69" t="s">
        <v>70</v>
      </c>
      <c r="X67" s="69" t="s">
        <v>70</v>
      </c>
      <c r="Y67" s="69" t="s">
        <v>70</v>
      </c>
      <c r="Z67" s="69" t="s">
        <v>70</v>
      </c>
      <c r="AA67" s="69" t="s">
        <v>70</v>
      </c>
      <c r="AB67" s="69" t="s">
        <v>70</v>
      </c>
      <c r="AC67" s="69" t="s">
        <v>70</v>
      </c>
      <c r="AD67" s="69" t="s">
        <v>70</v>
      </c>
      <c r="AE67" s="69" t="s">
        <v>70</v>
      </c>
      <c r="AF67" s="69" t="s">
        <v>70</v>
      </c>
      <c r="AG67" s="69" t="s">
        <v>70</v>
      </c>
      <c r="AH67" s="69" t="s">
        <v>70</v>
      </c>
      <c r="AI67" s="69" t="s">
        <v>70</v>
      </c>
      <c r="AJ67" s="25"/>
      <c r="AL67" t="str">
        <f t="shared" ca="1" si="0"/>
        <v xml:space="preserve">    (U1)ALERT_REQ_S_LCA_BC_CL_</v>
      </c>
      <c r="AR67" s="70" t="str">
        <f t="shared" si="3"/>
        <v/>
      </c>
      <c r="AS67" s="70" t="str">
        <f t="shared" si="4"/>
        <v/>
      </c>
      <c r="AT67" s="70" t="str">
        <f t="shared" si="1"/>
        <v/>
      </c>
    </row>
    <row r="68" spans="1:46">
      <c r="B68" s="139"/>
      <c r="C68" s="55">
        <f t="shared" si="2"/>
        <v>62</v>
      </c>
      <c r="D68" s="69" t="s">
        <v>70</v>
      </c>
      <c r="E68" s="69" t="s">
        <v>70</v>
      </c>
      <c r="F68" s="69" t="s">
        <v>70</v>
      </c>
      <c r="G68" s="69" t="s">
        <v>70</v>
      </c>
      <c r="H68" s="69" t="s">
        <v>70</v>
      </c>
      <c r="I68" s="69" t="s">
        <v>70</v>
      </c>
      <c r="J68" s="69" t="s">
        <v>70</v>
      </c>
      <c r="K68" s="69" t="s">
        <v>70</v>
      </c>
      <c r="L68" s="69" t="s">
        <v>70</v>
      </c>
      <c r="M68" s="69" t="s">
        <v>70</v>
      </c>
      <c r="N68" s="69" t="s">
        <v>70</v>
      </c>
      <c r="O68" s="69" t="s">
        <v>70</v>
      </c>
      <c r="P68" s="69" t="s">
        <v>70</v>
      </c>
      <c r="Q68" s="69" t="s">
        <v>70</v>
      </c>
      <c r="R68" s="69" t="s">
        <v>70</v>
      </c>
      <c r="S68" s="69" t="s">
        <v>70</v>
      </c>
      <c r="T68" s="69" t="s">
        <v>70</v>
      </c>
      <c r="U68" s="69" t="s">
        <v>70</v>
      </c>
      <c r="V68" s="69" t="s">
        <v>70</v>
      </c>
      <c r="W68" s="69" t="s">
        <v>70</v>
      </c>
      <c r="X68" s="69" t="s">
        <v>70</v>
      </c>
      <c r="Y68" s="69" t="s">
        <v>70</v>
      </c>
      <c r="Z68" s="69" t="s">
        <v>70</v>
      </c>
      <c r="AA68" s="69" t="s">
        <v>70</v>
      </c>
      <c r="AB68" s="69" t="s">
        <v>70</v>
      </c>
      <c r="AC68" s="69" t="s">
        <v>70</v>
      </c>
      <c r="AD68" s="69" t="s">
        <v>70</v>
      </c>
      <c r="AE68" s="69" t="s">
        <v>70</v>
      </c>
      <c r="AF68" s="69" t="s">
        <v>70</v>
      </c>
      <c r="AG68" s="69" t="s">
        <v>70</v>
      </c>
      <c r="AH68" s="69" t="s">
        <v>70</v>
      </c>
      <c r="AI68" s="69" t="s">
        <v>70</v>
      </c>
      <c r="AJ68" s="25"/>
      <c r="AL68" t="str">
        <f t="shared" ca="1" si="0"/>
        <v xml:space="preserve">    (U1)ALERT_REQ_S_LCA_BC_CL_</v>
      </c>
      <c r="AR68" s="70" t="str">
        <f t="shared" si="3"/>
        <v/>
      </c>
      <c r="AS68" s="70" t="str">
        <f t="shared" si="4"/>
        <v/>
      </c>
      <c r="AT68" s="70" t="str">
        <f t="shared" si="1"/>
        <v/>
      </c>
    </row>
    <row r="69" spans="1:46">
      <c r="B69" s="140"/>
      <c r="C69" s="55">
        <f t="shared" si="2"/>
        <v>63</v>
      </c>
      <c r="D69" s="69" t="s">
        <v>70</v>
      </c>
      <c r="E69" s="69" t="s">
        <v>70</v>
      </c>
      <c r="F69" s="69" t="s">
        <v>70</v>
      </c>
      <c r="G69" s="69" t="s">
        <v>70</v>
      </c>
      <c r="H69" s="69" t="s">
        <v>70</v>
      </c>
      <c r="I69" s="69" t="s">
        <v>70</v>
      </c>
      <c r="J69" s="69" t="s">
        <v>70</v>
      </c>
      <c r="K69" s="69" t="s">
        <v>70</v>
      </c>
      <c r="L69" s="69" t="s">
        <v>70</v>
      </c>
      <c r="M69" s="69" t="s">
        <v>70</v>
      </c>
      <c r="N69" s="69" t="s">
        <v>70</v>
      </c>
      <c r="O69" s="69" t="s">
        <v>70</v>
      </c>
      <c r="P69" s="69" t="s">
        <v>70</v>
      </c>
      <c r="Q69" s="69" t="s">
        <v>70</v>
      </c>
      <c r="R69" s="69" t="s">
        <v>70</v>
      </c>
      <c r="S69" s="69" t="s">
        <v>70</v>
      </c>
      <c r="T69" s="69" t="s">
        <v>70</v>
      </c>
      <c r="U69" s="69" t="s">
        <v>70</v>
      </c>
      <c r="V69" s="69" t="s">
        <v>70</v>
      </c>
      <c r="W69" s="69" t="s">
        <v>70</v>
      </c>
      <c r="X69" s="69" t="s">
        <v>70</v>
      </c>
      <c r="Y69" s="69" t="s">
        <v>70</v>
      </c>
      <c r="Z69" s="69" t="s">
        <v>70</v>
      </c>
      <c r="AA69" s="69" t="s">
        <v>70</v>
      </c>
      <c r="AB69" s="69" t="s">
        <v>70</v>
      </c>
      <c r="AC69" s="69" t="s">
        <v>70</v>
      </c>
      <c r="AD69" s="69" t="s">
        <v>70</v>
      </c>
      <c r="AE69" s="69" t="s">
        <v>70</v>
      </c>
      <c r="AF69" s="69" t="s">
        <v>70</v>
      </c>
      <c r="AG69" s="69" t="s">
        <v>70</v>
      </c>
      <c r="AH69" s="69" t="s">
        <v>70</v>
      </c>
      <c r="AI69" s="69" t="s">
        <v>70</v>
      </c>
      <c r="AJ69" s="25"/>
      <c r="AL69" t="str">
        <f t="shared" ca="1" si="0"/>
        <v xml:space="preserve">    (U1)ALERT_REQ_S_LCA_BC_CL_</v>
      </c>
      <c r="AR69" s="70" t="str">
        <f t="shared" si="3"/>
        <v/>
      </c>
      <c r="AS69" s="70" t="str">
        <f t="shared" si="4"/>
        <v/>
      </c>
      <c r="AT69" s="70" t="str">
        <f t="shared" si="1"/>
        <v/>
      </c>
    </row>
    <row r="70" spans="1:46" ht="14.25" thickBot="1">
      <c r="A70" s="64" t="s">
        <v>67</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1" t="str">
        <f t="shared" si="3"/>
        <v/>
      </c>
      <c r="AS70" s="71" t="str">
        <f t="shared" si="4"/>
        <v/>
      </c>
      <c r="AT70" s="71" t="str">
        <f t="shared" ref="AT70" si="5">IF(AJ70&lt;&gt;"",AL70&amp;IF(AJ71&lt;&gt;"",","," ")&amp;REPT(" ",78-LEN(AL70))&amp;"/* "&amp;IF(C70&lt;10,"0"&amp;C70,C70)&amp;" "&amp;AJ70&amp;REPT(" ",48-LEN(AJ70))&amp;"*/",IF(AJ69&lt;&gt;"","};",""))</f>
        <v/>
      </c>
    </row>
    <row r="71" spans="1:46">
      <c r="B71" s="141" t="str">
        <f ca="1">IF(B6&lt;&gt;"",B6,"")</f>
        <v>Table BC_CL</v>
      </c>
      <c r="C71" s="55">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55" t="str">
        <f t="shared" ref="AJ71:AJ134" si="7">IF(AJ6&lt;&gt;"",AJ6,"")</f>
        <v>UNKNOWN</v>
      </c>
      <c r="AK71" s="68"/>
      <c r="AL71" s="68"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55">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55" t="str">
        <f t="shared" si="7"/>
        <v>DOUBLE</v>
      </c>
      <c r="AK72" s="68"/>
      <c r="AL72" s="68"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DOUBLE                                          */</v>
      </c>
    </row>
    <row r="73" spans="1:46">
      <c r="B73" s="139"/>
      <c r="C73" s="55">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55" t="str">
        <f t="shared" si="7"/>
        <v>UNKNOWN</v>
      </c>
      <c r="AK73" s="68"/>
      <c r="AL73" s="68" t="str">
        <f t="shared" si="10"/>
        <v>02</v>
      </c>
      <c r="AM73" s="68" t="str">
        <f t="shared" si="11"/>
        <v>00</v>
      </c>
      <c r="AN73" s="68" t="str">
        <f t="shared" si="12"/>
        <v>00</v>
      </c>
      <c r="AO73" s="68" t="str">
        <f t="shared" si="13"/>
        <v>00</v>
      </c>
      <c r="AQ73" t="str">
        <f t="shared" si="8"/>
        <v xml:space="preserve">    (U4)0x00000002U,                                                           /* 02 UNKNOWN                                         */</v>
      </c>
    </row>
    <row r="74" spans="1:46">
      <c r="B74" s="139"/>
      <c r="C74" s="55">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55" t="str">
        <f t="shared" si="7"/>
        <v>UNKNOWN</v>
      </c>
      <c r="AK74" s="68"/>
      <c r="AL74" s="68" t="str">
        <f t="shared" si="10"/>
        <v>03</v>
      </c>
      <c r="AM74" s="68" t="str">
        <f t="shared" si="11"/>
        <v>00</v>
      </c>
      <c r="AN74" s="68" t="str">
        <f t="shared" si="12"/>
        <v>00</v>
      </c>
      <c r="AO74" s="68" t="str">
        <f t="shared" si="13"/>
        <v>00</v>
      </c>
      <c r="AQ74" t="str">
        <f t="shared" si="8"/>
        <v xml:space="preserve">    (U4)0x00000003U                                                            /* 03 UNKNOWN                                         */</v>
      </c>
    </row>
    <row r="75" spans="1:46">
      <c r="B75" s="139"/>
      <c r="C75" s="55">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0</v>
      </c>
      <c r="AH75" s="133">
        <f t="shared" si="6"/>
        <v>0</v>
      </c>
      <c r="AI75" s="133">
        <f t="shared" si="6"/>
        <v>0</v>
      </c>
      <c r="AJ75" s="55" t="str">
        <f t="shared" si="7"/>
        <v/>
      </c>
      <c r="AK75" s="68"/>
      <c r="AL75" s="68" t="str">
        <f t="shared" si="10"/>
        <v>00</v>
      </c>
      <c r="AM75" s="68" t="str">
        <f t="shared" si="11"/>
        <v>00</v>
      </c>
      <c r="AN75" s="68" t="str">
        <f t="shared" si="12"/>
        <v>00</v>
      </c>
      <c r="AO75" s="68" t="str">
        <f t="shared" si="13"/>
        <v>00</v>
      </c>
      <c r="AQ75" t="str">
        <f t="shared" si="8"/>
        <v/>
      </c>
    </row>
    <row r="76" spans="1:46">
      <c r="B76" s="139"/>
      <c r="C76" s="55">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0</v>
      </c>
      <c r="AH76" s="133">
        <f t="shared" si="6"/>
        <v>0</v>
      </c>
      <c r="AI76" s="133">
        <f t="shared" si="6"/>
        <v>0</v>
      </c>
      <c r="AJ76" s="55" t="str">
        <f t="shared" si="7"/>
        <v/>
      </c>
      <c r="AK76" s="68"/>
      <c r="AL76" s="68" t="str">
        <f t="shared" si="10"/>
        <v>00</v>
      </c>
      <c r="AM76" s="68" t="str">
        <f t="shared" si="11"/>
        <v>00</v>
      </c>
      <c r="AN76" s="68" t="str">
        <f t="shared" si="12"/>
        <v>00</v>
      </c>
      <c r="AO76" s="68" t="str">
        <f t="shared" si="13"/>
        <v>00</v>
      </c>
      <c r="AQ76" t="str">
        <f t="shared" si="8"/>
        <v/>
      </c>
    </row>
    <row r="77" spans="1:46">
      <c r="B77" s="139"/>
      <c r="C77" s="55">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0</v>
      </c>
      <c r="AH77" s="133">
        <f t="shared" si="6"/>
        <v>0</v>
      </c>
      <c r="AI77" s="133">
        <f t="shared" si="6"/>
        <v>0</v>
      </c>
      <c r="AJ77" s="55" t="str">
        <f t="shared" si="7"/>
        <v/>
      </c>
      <c r="AK77" s="68"/>
      <c r="AL77" s="68" t="str">
        <f t="shared" si="10"/>
        <v>00</v>
      </c>
      <c r="AM77" s="68" t="str">
        <f t="shared" si="11"/>
        <v>00</v>
      </c>
      <c r="AN77" s="68" t="str">
        <f t="shared" si="12"/>
        <v>00</v>
      </c>
      <c r="AO77" s="68" t="str">
        <f t="shared" si="13"/>
        <v>00</v>
      </c>
      <c r="AQ77" t="str">
        <f t="shared" si="8"/>
        <v/>
      </c>
    </row>
    <row r="78" spans="1:46">
      <c r="B78" s="139"/>
      <c r="C78" s="55">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0</v>
      </c>
      <c r="AH78" s="133">
        <f t="shared" si="6"/>
        <v>0</v>
      </c>
      <c r="AI78" s="133">
        <f t="shared" ref="AI78" si="14">IF(AI13=1,1,0)</f>
        <v>0</v>
      </c>
      <c r="AJ78" s="55" t="str">
        <f t="shared" si="7"/>
        <v/>
      </c>
      <c r="AK78" s="68"/>
      <c r="AL78" s="68" t="str">
        <f t="shared" si="10"/>
        <v>00</v>
      </c>
      <c r="AM78" s="68" t="str">
        <f t="shared" si="11"/>
        <v>00</v>
      </c>
      <c r="AN78" s="68" t="str">
        <f t="shared" si="12"/>
        <v>00</v>
      </c>
      <c r="AO78" s="68" t="str">
        <f t="shared" si="13"/>
        <v>00</v>
      </c>
      <c r="AQ78" t="str">
        <f t="shared" si="8"/>
        <v/>
      </c>
    </row>
    <row r="79" spans="1:46">
      <c r="B79" s="139"/>
      <c r="C79" s="55">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0</v>
      </c>
      <c r="AG79" s="133">
        <f t="shared" si="15"/>
        <v>0</v>
      </c>
      <c r="AH79" s="133">
        <f t="shared" si="15"/>
        <v>0</v>
      </c>
      <c r="AI79" s="133">
        <f t="shared" si="15"/>
        <v>0</v>
      </c>
      <c r="AJ79" s="55" t="str">
        <f t="shared" si="7"/>
        <v/>
      </c>
      <c r="AK79" s="68"/>
      <c r="AL79" s="68" t="str">
        <f t="shared" si="10"/>
        <v>00</v>
      </c>
      <c r="AM79" s="68" t="str">
        <f t="shared" si="11"/>
        <v>00</v>
      </c>
      <c r="AN79" s="68" t="str">
        <f t="shared" si="12"/>
        <v>00</v>
      </c>
      <c r="AO79" s="68" t="str">
        <f t="shared" si="13"/>
        <v>00</v>
      </c>
      <c r="AQ79" t="str">
        <f t="shared" si="8"/>
        <v/>
      </c>
    </row>
    <row r="80" spans="1:46">
      <c r="B80" s="139"/>
      <c r="C80" s="55">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0</v>
      </c>
      <c r="AG80" s="133">
        <f t="shared" si="15"/>
        <v>0</v>
      </c>
      <c r="AH80" s="133">
        <f t="shared" si="15"/>
        <v>0</v>
      </c>
      <c r="AI80" s="133">
        <f t="shared" si="15"/>
        <v>0</v>
      </c>
      <c r="AJ80" s="55" t="str">
        <f t="shared" si="7"/>
        <v/>
      </c>
      <c r="AK80" s="68"/>
      <c r="AL80" s="68" t="str">
        <f t="shared" si="10"/>
        <v>00</v>
      </c>
      <c r="AM80" s="68" t="str">
        <f t="shared" si="11"/>
        <v>00</v>
      </c>
      <c r="AN80" s="68" t="str">
        <f t="shared" si="12"/>
        <v>00</v>
      </c>
      <c r="AO80" s="68" t="str">
        <f t="shared" si="13"/>
        <v>00</v>
      </c>
      <c r="AQ80" t="str">
        <f t="shared" si="8"/>
        <v/>
      </c>
    </row>
    <row r="81" spans="2:43">
      <c r="B81" s="139"/>
      <c r="C81" s="55">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0</v>
      </c>
      <c r="AG81" s="133">
        <f t="shared" si="15"/>
        <v>0</v>
      </c>
      <c r="AH81" s="133">
        <f t="shared" si="15"/>
        <v>0</v>
      </c>
      <c r="AI81" s="133">
        <f t="shared" si="15"/>
        <v>0</v>
      </c>
      <c r="AJ81" s="55" t="str">
        <f t="shared" si="7"/>
        <v/>
      </c>
      <c r="AK81" s="68"/>
      <c r="AL81" s="68" t="str">
        <f t="shared" si="10"/>
        <v>00</v>
      </c>
      <c r="AM81" s="68" t="str">
        <f t="shared" si="11"/>
        <v>00</v>
      </c>
      <c r="AN81" s="68" t="str">
        <f t="shared" si="12"/>
        <v>00</v>
      </c>
      <c r="AO81" s="68" t="str">
        <f t="shared" si="13"/>
        <v>00</v>
      </c>
      <c r="AQ81" t="str">
        <f t="shared" si="8"/>
        <v/>
      </c>
    </row>
    <row r="82" spans="2:43">
      <c r="B82" s="139"/>
      <c r="C82" s="55">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0</v>
      </c>
      <c r="AG82" s="133">
        <f t="shared" si="15"/>
        <v>0</v>
      </c>
      <c r="AH82" s="133">
        <f t="shared" si="15"/>
        <v>0</v>
      </c>
      <c r="AI82" s="133">
        <f t="shared" si="15"/>
        <v>0</v>
      </c>
      <c r="AJ82" s="55" t="str">
        <f t="shared" si="7"/>
        <v/>
      </c>
      <c r="AK82" s="68"/>
      <c r="AL82" s="68" t="str">
        <f t="shared" si="10"/>
        <v>00</v>
      </c>
      <c r="AM82" s="68" t="str">
        <f t="shared" si="11"/>
        <v>00</v>
      </c>
      <c r="AN82" s="68" t="str">
        <f t="shared" si="12"/>
        <v>00</v>
      </c>
      <c r="AO82" s="68" t="str">
        <f t="shared" si="13"/>
        <v>00</v>
      </c>
      <c r="AQ82" t="str">
        <f t="shared" si="8"/>
        <v/>
      </c>
    </row>
    <row r="83" spans="2:43">
      <c r="B83" s="139"/>
      <c r="C83" s="55">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0</v>
      </c>
      <c r="AG83" s="133">
        <f t="shared" si="15"/>
        <v>0</v>
      </c>
      <c r="AH83" s="133">
        <f t="shared" si="15"/>
        <v>0</v>
      </c>
      <c r="AI83" s="133">
        <f t="shared" si="15"/>
        <v>0</v>
      </c>
      <c r="AJ83" s="55" t="str">
        <f t="shared" si="7"/>
        <v/>
      </c>
      <c r="AK83" s="68"/>
      <c r="AL83" s="68" t="str">
        <f t="shared" si="10"/>
        <v>00</v>
      </c>
      <c r="AM83" s="68" t="str">
        <f t="shared" si="11"/>
        <v>00</v>
      </c>
      <c r="AN83" s="68" t="str">
        <f t="shared" si="12"/>
        <v>00</v>
      </c>
      <c r="AO83" s="68" t="str">
        <f t="shared" si="13"/>
        <v>00</v>
      </c>
      <c r="AQ83" t="str">
        <f t="shared" si="8"/>
        <v/>
      </c>
    </row>
    <row r="84" spans="2:43">
      <c r="B84" s="139"/>
      <c r="C84" s="55">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0</v>
      </c>
      <c r="AG84" s="133">
        <f t="shared" si="15"/>
        <v>0</v>
      </c>
      <c r="AH84" s="133">
        <f t="shared" si="15"/>
        <v>0</v>
      </c>
      <c r="AI84" s="133">
        <f t="shared" si="15"/>
        <v>0</v>
      </c>
      <c r="AJ84" s="55" t="str">
        <f t="shared" si="7"/>
        <v/>
      </c>
      <c r="AK84" s="68"/>
      <c r="AL84" s="68" t="str">
        <f t="shared" si="10"/>
        <v>00</v>
      </c>
      <c r="AM84" s="68" t="str">
        <f t="shared" si="11"/>
        <v>00</v>
      </c>
      <c r="AN84" s="68" t="str">
        <f t="shared" si="12"/>
        <v>00</v>
      </c>
      <c r="AO84" s="68" t="str">
        <f t="shared" si="13"/>
        <v>00</v>
      </c>
      <c r="AQ84" t="str">
        <f t="shared" si="8"/>
        <v/>
      </c>
    </row>
    <row r="85" spans="2:43">
      <c r="B85" s="139"/>
      <c r="C85" s="55">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0</v>
      </c>
      <c r="AG85" s="133">
        <f t="shared" si="15"/>
        <v>0</v>
      </c>
      <c r="AH85" s="133">
        <f t="shared" si="15"/>
        <v>0</v>
      </c>
      <c r="AI85" s="133">
        <f t="shared" si="15"/>
        <v>0</v>
      </c>
      <c r="AJ85" s="55" t="str">
        <f t="shared" si="7"/>
        <v/>
      </c>
      <c r="AK85" s="68"/>
      <c r="AL85" s="68" t="str">
        <f t="shared" si="10"/>
        <v>00</v>
      </c>
      <c r="AM85" s="68" t="str">
        <f t="shared" si="11"/>
        <v>00</v>
      </c>
      <c r="AN85" s="68" t="str">
        <f t="shared" si="12"/>
        <v>00</v>
      </c>
      <c r="AO85" s="68" t="str">
        <f t="shared" si="13"/>
        <v>00</v>
      </c>
      <c r="AQ85" t="str">
        <f t="shared" si="8"/>
        <v/>
      </c>
    </row>
    <row r="86" spans="2:43">
      <c r="B86" s="139"/>
      <c r="C86" s="55">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0</v>
      </c>
      <c r="AG86" s="133">
        <f t="shared" si="15"/>
        <v>0</v>
      </c>
      <c r="AH86" s="133">
        <f t="shared" si="15"/>
        <v>0</v>
      </c>
      <c r="AI86" s="133">
        <f t="shared" ref="AI86" si="16">IF(AI21=1,1,0)</f>
        <v>0</v>
      </c>
      <c r="AJ86" s="55" t="str">
        <f t="shared" si="7"/>
        <v/>
      </c>
      <c r="AK86" s="68"/>
      <c r="AL86" s="68" t="str">
        <f t="shared" si="10"/>
        <v>00</v>
      </c>
      <c r="AM86" s="68" t="str">
        <f t="shared" si="11"/>
        <v>00</v>
      </c>
      <c r="AN86" s="68" t="str">
        <f t="shared" si="12"/>
        <v>00</v>
      </c>
      <c r="AO86" s="68" t="str">
        <f t="shared" si="13"/>
        <v>00</v>
      </c>
      <c r="AQ86" t="str">
        <f t="shared" si="8"/>
        <v/>
      </c>
    </row>
    <row r="87" spans="2:43">
      <c r="B87" s="139"/>
      <c r="C87" s="55">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0</v>
      </c>
      <c r="AF87" s="133">
        <f t="shared" si="17"/>
        <v>0</v>
      </c>
      <c r="AG87" s="133">
        <f t="shared" si="17"/>
        <v>0</v>
      </c>
      <c r="AH87" s="133">
        <f t="shared" si="17"/>
        <v>0</v>
      </c>
      <c r="AI87" s="133">
        <f t="shared" si="17"/>
        <v>0</v>
      </c>
      <c r="AJ87" s="55" t="str">
        <f t="shared" si="7"/>
        <v/>
      </c>
      <c r="AK87" s="68"/>
      <c r="AL87" s="68" t="str">
        <f t="shared" si="10"/>
        <v>00</v>
      </c>
      <c r="AM87" s="68" t="str">
        <f t="shared" si="11"/>
        <v>00</v>
      </c>
      <c r="AN87" s="68" t="str">
        <f t="shared" si="12"/>
        <v>00</v>
      </c>
      <c r="AO87" s="68" t="str">
        <f t="shared" si="13"/>
        <v>00</v>
      </c>
      <c r="AQ87" t="str">
        <f t="shared" si="8"/>
        <v/>
      </c>
    </row>
    <row r="88" spans="2:43">
      <c r="B88" s="139"/>
      <c r="C88" s="55">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0</v>
      </c>
      <c r="AF88" s="133">
        <f t="shared" si="17"/>
        <v>0</v>
      </c>
      <c r="AG88" s="133">
        <f t="shared" si="17"/>
        <v>0</v>
      </c>
      <c r="AH88" s="133">
        <f t="shared" si="17"/>
        <v>0</v>
      </c>
      <c r="AI88" s="133">
        <f t="shared" si="17"/>
        <v>0</v>
      </c>
      <c r="AJ88" s="55" t="str">
        <f t="shared" si="7"/>
        <v/>
      </c>
      <c r="AK88" s="68"/>
      <c r="AL88" s="68" t="str">
        <f t="shared" si="10"/>
        <v>00</v>
      </c>
      <c r="AM88" s="68" t="str">
        <f t="shared" si="11"/>
        <v>00</v>
      </c>
      <c r="AN88" s="68" t="str">
        <f t="shared" si="12"/>
        <v>00</v>
      </c>
      <c r="AO88" s="68" t="str">
        <f t="shared" si="13"/>
        <v>00</v>
      </c>
      <c r="AQ88" t="str">
        <f t="shared" si="8"/>
        <v/>
      </c>
    </row>
    <row r="89" spans="2:43">
      <c r="B89" s="139"/>
      <c r="C89" s="55">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0</v>
      </c>
      <c r="AF89" s="133">
        <f t="shared" si="17"/>
        <v>0</v>
      </c>
      <c r="AG89" s="133">
        <f t="shared" si="17"/>
        <v>0</v>
      </c>
      <c r="AH89" s="133">
        <f t="shared" si="17"/>
        <v>0</v>
      </c>
      <c r="AI89" s="133">
        <f t="shared" si="17"/>
        <v>0</v>
      </c>
      <c r="AJ89" s="55" t="str">
        <f t="shared" si="7"/>
        <v/>
      </c>
      <c r="AK89" s="68"/>
      <c r="AL89" s="68" t="str">
        <f t="shared" si="10"/>
        <v>00</v>
      </c>
      <c r="AM89" s="68" t="str">
        <f t="shared" si="11"/>
        <v>00</v>
      </c>
      <c r="AN89" s="68" t="str">
        <f t="shared" si="12"/>
        <v>00</v>
      </c>
      <c r="AO89" s="68" t="str">
        <f t="shared" si="13"/>
        <v>00</v>
      </c>
      <c r="AQ89" t="str">
        <f t="shared" si="8"/>
        <v/>
      </c>
    </row>
    <row r="90" spans="2:43">
      <c r="B90" s="139"/>
      <c r="C90" s="55">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0</v>
      </c>
      <c r="AF90" s="133">
        <f t="shared" si="17"/>
        <v>0</v>
      </c>
      <c r="AG90" s="133">
        <f t="shared" si="17"/>
        <v>0</v>
      </c>
      <c r="AH90" s="133">
        <f t="shared" si="17"/>
        <v>0</v>
      </c>
      <c r="AI90" s="133">
        <f t="shared" si="17"/>
        <v>0</v>
      </c>
      <c r="AJ90" s="55" t="str">
        <f t="shared" si="7"/>
        <v/>
      </c>
      <c r="AK90" s="68"/>
      <c r="AL90" s="68" t="str">
        <f t="shared" si="10"/>
        <v>00</v>
      </c>
      <c r="AM90" s="68" t="str">
        <f t="shared" si="11"/>
        <v>00</v>
      </c>
      <c r="AN90" s="68" t="str">
        <f t="shared" si="12"/>
        <v>00</v>
      </c>
      <c r="AO90" s="68" t="str">
        <f t="shared" si="13"/>
        <v>00</v>
      </c>
      <c r="AQ90" t="str">
        <f t="shared" si="8"/>
        <v/>
      </c>
    </row>
    <row r="91" spans="2:43">
      <c r="B91" s="139"/>
      <c r="C91" s="55">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0</v>
      </c>
      <c r="AF91" s="133">
        <f t="shared" si="17"/>
        <v>0</v>
      </c>
      <c r="AG91" s="133">
        <f t="shared" si="17"/>
        <v>0</v>
      </c>
      <c r="AH91" s="133">
        <f t="shared" si="17"/>
        <v>0</v>
      </c>
      <c r="AI91" s="133">
        <f t="shared" si="17"/>
        <v>0</v>
      </c>
      <c r="AJ91" s="55" t="str">
        <f t="shared" si="7"/>
        <v/>
      </c>
      <c r="AK91" s="68"/>
      <c r="AL91" s="68" t="str">
        <f t="shared" si="10"/>
        <v>00</v>
      </c>
      <c r="AM91" s="68" t="str">
        <f t="shared" si="11"/>
        <v>00</v>
      </c>
      <c r="AN91" s="68" t="str">
        <f t="shared" si="12"/>
        <v>00</v>
      </c>
      <c r="AO91" s="68" t="str">
        <f t="shared" si="13"/>
        <v>00</v>
      </c>
      <c r="AQ91" t="str">
        <f t="shared" si="8"/>
        <v/>
      </c>
    </row>
    <row r="92" spans="2:43">
      <c r="B92" s="139"/>
      <c r="C92" s="55">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0</v>
      </c>
      <c r="AF92" s="133">
        <f t="shared" si="17"/>
        <v>0</v>
      </c>
      <c r="AG92" s="133">
        <f t="shared" si="17"/>
        <v>0</v>
      </c>
      <c r="AH92" s="133">
        <f t="shared" si="17"/>
        <v>0</v>
      </c>
      <c r="AI92" s="133">
        <f t="shared" si="17"/>
        <v>0</v>
      </c>
      <c r="AJ92" s="55" t="str">
        <f t="shared" si="7"/>
        <v/>
      </c>
      <c r="AK92" s="68"/>
      <c r="AL92" s="68" t="str">
        <f t="shared" si="10"/>
        <v>00</v>
      </c>
      <c r="AM92" s="68" t="str">
        <f t="shared" si="11"/>
        <v>00</v>
      </c>
      <c r="AN92" s="68" t="str">
        <f t="shared" si="12"/>
        <v>00</v>
      </c>
      <c r="AO92" s="68" t="str">
        <f t="shared" si="13"/>
        <v>00</v>
      </c>
      <c r="AQ92" t="str">
        <f t="shared" si="8"/>
        <v/>
      </c>
    </row>
    <row r="93" spans="2:43">
      <c r="B93" s="139"/>
      <c r="C93" s="55">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0</v>
      </c>
      <c r="AF93" s="133">
        <f t="shared" si="17"/>
        <v>0</v>
      </c>
      <c r="AG93" s="133">
        <f t="shared" si="17"/>
        <v>0</v>
      </c>
      <c r="AH93" s="133">
        <f t="shared" si="17"/>
        <v>0</v>
      </c>
      <c r="AI93" s="133">
        <f t="shared" si="17"/>
        <v>0</v>
      </c>
      <c r="AJ93" s="55" t="str">
        <f t="shared" si="7"/>
        <v/>
      </c>
      <c r="AK93" s="68"/>
      <c r="AL93" s="68" t="str">
        <f t="shared" si="10"/>
        <v>00</v>
      </c>
      <c r="AM93" s="68" t="str">
        <f t="shared" si="11"/>
        <v>00</v>
      </c>
      <c r="AN93" s="68" t="str">
        <f t="shared" si="12"/>
        <v>00</v>
      </c>
      <c r="AO93" s="68" t="str">
        <f t="shared" si="13"/>
        <v>00</v>
      </c>
      <c r="AQ93" t="str">
        <f t="shared" si="8"/>
        <v/>
      </c>
    </row>
    <row r="94" spans="2:43">
      <c r="B94" s="139"/>
      <c r="C94" s="55">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0</v>
      </c>
      <c r="AF94" s="133">
        <f t="shared" si="17"/>
        <v>0</v>
      </c>
      <c r="AG94" s="133">
        <f t="shared" si="17"/>
        <v>0</v>
      </c>
      <c r="AH94" s="133">
        <f t="shared" si="17"/>
        <v>0</v>
      </c>
      <c r="AI94" s="133">
        <f t="shared" ref="AI94" si="18">IF(AI29=1,1,0)</f>
        <v>0</v>
      </c>
      <c r="AJ94" s="55" t="str">
        <f t="shared" si="7"/>
        <v/>
      </c>
      <c r="AK94" s="68"/>
      <c r="AL94" s="68" t="str">
        <f t="shared" si="10"/>
        <v>00</v>
      </c>
      <c r="AM94" s="68" t="str">
        <f t="shared" si="11"/>
        <v>00</v>
      </c>
      <c r="AN94" s="68" t="str">
        <f t="shared" si="12"/>
        <v>00</v>
      </c>
      <c r="AO94" s="68" t="str">
        <f t="shared" si="13"/>
        <v>00</v>
      </c>
      <c r="AQ94" t="str">
        <f t="shared" si="8"/>
        <v/>
      </c>
    </row>
    <row r="95" spans="2:43">
      <c r="B95" s="139"/>
      <c r="C95" s="55">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0</v>
      </c>
      <c r="AF95" s="133">
        <f t="shared" si="19"/>
        <v>0</v>
      </c>
      <c r="AG95" s="133">
        <f t="shared" si="19"/>
        <v>0</v>
      </c>
      <c r="AH95" s="133">
        <f t="shared" si="19"/>
        <v>0</v>
      </c>
      <c r="AI95" s="133">
        <f t="shared" si="19"/>
        <v>0</v>
      </c>
      <c r="AJ95" s="55" t="str">
        <f t="shared" si="7"/>
        <v/>
      </c>
      <c r="AK95" s="68"/>
      <c r="AL95" s="68" t="str">
        <f t="shared" si="10"/>
        <v>00</v>
      </c>
      <c r="AM95" s="68" t="str">
        <f t="shared" si="11"/>
        <v>00</v>
      </c>
      <c r="AN95" s="68" t="str">
        <f t="shared" si="12"/>
        <v>00</v>
      </c>
      <c r="AO95" s="68" t="str">
        <f t="shared" si="13"/>
        <v>00</v>
      </c>
      <c r="AQ95" t="str">
        <f t="shared" si="8"/>
        <v/>
      </c>
    </row>
    <row r="96" spans="2:43">
      <c r="B96" s="139"/>
      <c r="C96" s="55">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0</v>
      </c>
      <c r="AF96" s="133">
        <f t="shared" si="19"/>
        <v>0</v>
      </c>
      <c r="AG96" s="133">
        <f t="shared" si="19"/>
        <v>0</v>
      </c>
      <c r="AH96" s="133">
        <f t="shared" si="19"/>
        <v>0</v>
      </c>
      <c r="AI96" s="133">
        <f t="shared" si="19"/>
        <v>0</v>
      </c>
      <c r="AJ96" s="55" t="str">
        <f t="shared" si="7"/>
        <v/>
      </c>
      <c r="AK96" s="68"/>
      <c r="AL96" s="68" t="str">
        <f t="shared" si="10"/>
        <v>00</v>
      </c>
      <c r="AM96" s="68" t="str">
        <f t="shared" si="11"/>
        <v>00</v>
      </c>
      <c r="AN96" s="68" t="str">
        <f t="shared" si="12"/>
        <v>00</v>
      </c>
      <c r="AO96" s="68" t="str">
        <f t="shared" si="13"/>
        <v>00</v>
      </c>
      <c r="AQ96" t="str">
        <f t="shared" si="8"/>
        <v/>
      </c>
    </row>
    <row r="97" spans="2:43">
      <c r="B97" s="139"/>
      <c r="C97" s="55">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0</v>
      </c>
      <c r="AF97" s="133">
        <f t="shared" si="19"/>
        <v>0</v>
      </c>
      <c r="AG97" s="133">
        <f t="shared" si="19"/>
        <v>0</v>
      </c>
      <c r="AH97" s="133">
        <f t="shared" si="19"/>
        <v>0</v>
      </c>
      <c r="AI97" s="133">
        <f t="shared" si="19"/>
        <v>0</v>
      </c>
      <c r="AJ97" s="55" t="str">
        <f t="shared" si="7"/>
        <v/>
      </c>
      <c r="AK97" s="68"/>
      <c r="AL97" s="68" t="str">
        <f t="shared" si="10"/>
        <v>00</v>
      </c>
      <c r="AM97" s="68" t="str">
        <f t="shared" si="11"/>
        <v>00</v>
      </c>
      <c r="AN97" s="68" t="str">
        <f t="shared" si="12"/>
        <v>00</v>
      </c>
      <c r="AO97" s="68" t="str">
        <f t="shared" si="13"/>
        <v>00</v>
      </c>
      <c r="AQ97" t="str">
        <f t="shared" si="8"/>
        <v/>
      </c>
    </row>
    <row r="98" spans="2:43">
      <c r="B98" s="139"/>
      <c r="C98" s="55">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0</v>
      </c>
      <c r="AF98" s="133">
        <f t="shared" si="19"/>
        <v>0</v>
      </c>
      <c r="AG98" s="133">
        <f t="shared" si="19"/>
        <v>0</v>
      </c>
      <c r="AH98" s="133">
        <f t="shared" si="19"/>
        <v>0</v>
      </c>
      <c r="AI98" s="133">
        <f t="shared" si="19"/>
        <v>0</v>
      </c>
      <c r="AJ98" s="55" t="str">
        <f t="shared" si="7"/>
        <v/>
      </c>
      <c r="AK98" s="68"/>
      <c r="AL98" s="68" t="str">
        <f t="shared" si="10"/>
        <v>00</v>
      </c>
      <c r="AM98" s="68" t="str">
        <f t="shared" si="11"/>
        <v>00</v>
      </c>
      <c r="AN98" s="68" t="str">
        <f t="shared" si="12"/>
        <v>00</v>
      </c>
      <c r="AO98" s="68" t="str">
        <f t="shared" si="13"/>
        <v>00</v>
      </c>
      <c r="AQ98" t="str">
        <f t="shared" si="8"/>
        <v/>
      </c>
    </row>
    <row r="99" spans="2:43">
      <c r="B99" s="139"/>
      <c r="C99" s="55">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0</v>
      </c>
      <c r="AF99" s="133">
        <f t="shared" si="19"/>
        <v>0</v>
      </c>
      <c r="AG99" s="133">
        <f t="shared" si="19"/>
        <v>0</v>
      </c>
      <c r="AH99" s="133">
        <f t="shared" si="19"/>
        <v>0</v>
      </c>
      <c r="AI99" s="133">
        <f t="shared" si="19"/>
        <v>0</v>
      </c>
      <c r="AJ99" s="55" t="str">
        <f t="shared" si="7"/>
        <v/>
      </c>
      <c r="AK99" s="68"/>
      <c r="AL99" s="68" t="str">
        <f t="shared" si="10"/>
        <v>00</v>
      </c>
      <c r="AM99" s="68" t="str">
        <f t="shared" si="11"/>
        <v>00</v>
      </c>
      <c r="AN99" s="68" t="str">
        <f t="shared" si="12"/>
        <v>00</v>
      </c>
      <c r="AO99" s="68" t="str">
        <f t="shared" si="13"/>
        <v>00</v>
      </c>
      <c r="AQ99" t="str">
        <f t="shared" si="8"/>
        <v/>
      </c>
    </row>
    <row r="100" spans="2:43">
      <c r="B100" s="139"/>
      <c r="C100" s="55">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0</v>
      </c>
      <c r="AF100" s="133">
        <f t="shared" si="19"/>
        <v>0</v>
      </c>
      <c r="AG100" s="133">
        <f t="shared" si="19"/>
        <v>0</v>
      </c>
      <c r="AH100" s="133">
        <f t="shared" si="19"/>
        <v>0</v>
      </c>
      <c r="AI100" s="133">
        <f t="shared" si="19"/>
        <v>0</v>
      </c>
      <c r="AJ100" s="55" t="str">
        <f t="shared" si="7"/>
        <v/>
      </c>
      <c r="AK100" s="68"/>
      <c r="AL100" s="68" t="str">
        <f t="shared" si="10"/>
        <v>00</v>
      </c>
      <c r="AM100" s="68" t="str">
        <f t="shared" si="11"/>
        <v>00</v>
      </c>
      <c r="AN100" s="68" t="str">
        <f t="shared" si="12"/>
        <v>00</v>
      </c>
      <c r="AO100" s="68" t="str">
        <f t="shared" si="13"/>
        <v>00</v>
      </c>
      <c r="AQ100" t="str">
        <f t="shared" si="8"/>
        <v/>
      </c>
    </row>
    <row r="101" spans="2:43">
      <c r="B101" s="139"/>
      <c r="C101" s="55">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0</v>
      </c>
      <c r="AF101" s="133">
        <f t="shared" si="19"/>
        <v>0</v>
      </c>
      <c r="AG101" s="133">
        <f t="shared" si="19"/>
        <v>0</v>
      </c>
      <c r="AH101" s="133">
        <f t="shared" si="19"/>
        <v>0</v>
      </c>
      <c r="AI101" s="133">
        <f t="shared" si="19"/>
        <v>0</v>
      </c>
      <c r="AJ101" s="55" t="str">
        <f t="shared" si="7"/>
        <v/>
      </c>
      <c r="AK101" s="68"/>
      <c r="AL101" s="68" t="str">
        <f t="shared" si="10"/>
        <v>00</v>
      </c>
      <c r="AM101" s="68" t="str">
        <f t="shared" si="11"/>
        <v>00</v>
      </c>
      <c r="AN101" s="68" t="str">
        <f t="shared" si="12"/>
        <v>00</v>
      </c>
      <c r="AO101" s="68" t="str">
        <f t="shared" si="13"/>
        <v>00</v>
      </c>
      <c r="AQ101" t="str">
        <f t="shared" si="8"/>
        <v/>
      </c>
    </row>
    <row r="102" spans="2:43">
      <c r="B102" s="139"/>
      <c r="C102" s="55">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0</v>
      </c>
      <c r="AF102" s="133">
        <f t="shared" si="19"/>
        <v>0</v>
      </c>
      <c r="AG102" s="133">
        <f t="shared" si="19"/>
        <v>0</v>
      </c>
      <c r="AH102" s="133">
        <f t="shared" si="19"/>
        <v>0</v>
      </c>
      <c r="AI102" s="133">
        <f t="shared" ref="AI102" si="20">IF(AI37=1,1,0)</f>
        <v>0</v>
      </c>
      <c r="AJ102" s="55" t="str">
        <f t="shared" si="7"/>
        <v/>
      </c>
      <c r="AK102" s="68"/>
      <c r="AL102" s="68" t="str">
        <f t="shared" si="10"/>
        <v>00</v>
      </c>
      <c r="AM102" s="68" t="str">
        <f t="shared" si="11"/>
        <v>00</v>
      </c>
      <c r="AN102" s="68" t="str">
        <f t="shared" si="12"/>
        <v>00</v>
      </c>
      <c r="AO102" s="68" t="str">
        <f t="shared" si="13"/>
        <v>00</v>
      </c>
      <c r="AQ102" t="str">
        <f t="shared" si="8"/>
        <v/>
      </c>
    </row>
    <row r="103" spans="2:43">
      <c r="B103" s="139"/>
      <c r="C103" s="55">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0</v>
      </c>
      <c r="AE103" s="133">
        <f t="shared" si="21"/>
        <v>0</v>
      </c>
      <c r="AF103" s="133">
        <f t="shared" si="21"/>
        <v>0</v>
      </c>
      <c r="AG103" s="133">
        <f t="shared" si="21"/>
        <v>0</v>
      </c>
      <c r="AH103" s="133">
        <f t="shared" si="21"/>
        <v>0</v>
      </c>
      <c r="AI103" s="133">
        <f t="shared" si="21"/>
        <v>0</v>
      </c>
      <c r="AJ103" s="55" t="str">
        <f t="shared" si="7"/>
        <v/>
      </c>
      <c r="AK103" s="68"/>
      <c r="AL103" s="68" t="str">
        <f t="shared" si="10"/>
        <v>00</v>
      </c>
      <c r="AM103" s="68" t="str">
        <f t="shared" si="11"/>
        <v>00</v>
      </c>
      <c r="AN103" s="68" t="str">
        <f t="shared" si="12"/>
        <v>00</v>
      </c>
      <c r="AO103" s="68" t="str">
        <f t="shared" si="13"/>
        <v>00</v>
      </c>
      <c r="AQ103" t="str">
        <f t="shared" si="8"/>
        <v/>
      </c>
    </row>
    <row r="104" spans="2:43">
      <c r="B104" s="139"/>
      <c r="C104" s="55">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0</v>
      </c>
      <c r="AE104" s="133">
        <f t="shared" si="21"/>
        <v>0</v>
      </c>
      <c r="AF104" s="133">
        <f t="shared" si="21"/>
        <v>0</v>
      </c>
      <c r="AG104" s="133">
        <f t="shared" si="21"/>
        <v>0</v>
      </c>
      <c r="AH104" s="133">
        <f t="shared" si="21"/>
        <v>0</v>
      </c>
      <c r="AI104" s="133">
        <f t="shared" si="21"/>
        <v>0</v>
      </c>
      <c r="AJ104" s="55" t="str">
        <f t="shared" si="7"/>
        <v/>
      </c>
      <c r="AK104" s="68"/>
      <c r="AL104" s="68" t="str">
        <f t="shared" si="10"/>
        <v>00</v>
      </c>
      <c r="AM104" s="68" t="str">
        <f t="shared" si="11"/>
        <v>00</v>
      </c>
      <c r="AN104" s="68" t="str">
        <f t="shared" si="12"/>
        <v>00</v>
      </c>
      <c r="AO104" s="68" t="str">
        <f t="shared" si="13"/>
        <v>00</v>
      </c>
      <c r="AQ104" t="str">
        <f t="shared" si="8"/>
        <v/>
      </c>
    </row>
    <row r="105" spans="2:43">
      <c r="B105" s="139"/>
      <c r="C105" s="55">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0</v>
      </c>
      <c r="AE105" s="133">
        <f t="shared" si="21"/>
        <v>0</v>
      </c>
      <c r="AF105" s="133">
        <f t="shared" si="21"/>
        <v>0</v>
      </c>
      <c r="AG105" s="133">
        <f t="shared" si="21"/>
        <v>0</v>
      </c>
      <c r="AH105" s="133">
        <f t="shared" si="21"/>
        <v>0</v>
      </c>
      <c r="AI105" s="133">
        <f t="shared" si="21"/>
        <v>0</v>
      </c>
      <c r="AJ105" s="55" t="str">
        <f t="shared" si="7"/>
        <v/>
      </c>
      <c r="AK105" s="68"/>
      <c r="AL105" s="68" t="str">
        <f t="shared" si="10"/>
        <v>00</v>
      </c>
      <c r="AM105" s="68" t="str">
        <f t="shared" si="11"/>
        <v>00</v>
      </c>
      <c r="AN105" s="68" t="str">
        <f t="shared" si="12"/>
        <v>00</v>
      </c>
      <c r="AO105" s="68" t="str">
        <f t="shared" si="13"/>
        <v>00</v>
      </c>
      <c r="AQ105" t="str">
        <f t="shared" si="8"/>
        <v/>
      </c>
    </row>
    <row r="106" spans="2:43">
      <c r="B106" s="139"/>
      <c r="C106" s="55">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0</v>
      </c>
      <c r="AE106" s="133">
        <f t="shared" si="21"/>
        <v>0</v>
      </c>
      <c r="AF106" s="133">
        <f t="shared" si="21"/>
        <v>0</v>
      </c>
      <c r="AG106" s="133">
        <f t="shared" si="21"/>
        <v>0</v>
      </c>
      <c r="AH106" s="133">
        <f t="shared" si="21"/>
        <v>0</v>
      </c>
      <c r="AI106" s="133">
        <f t="shared" si="21"/>
        <v>0</v>
      </c>
      <c r="AJ106" s="55" t="str">
        <f t="shared" si="7"/>
        <v/>
      </c>
      <c r="AK106" s="68"/>
      <c r="AL106" s="68" t="str">
        <f t="shared" si="10"/>
        <v>00</v>
      </c>
      <c r="AM106" s="68" t="str">
        <f t="shared" si="11"/>
        <v>00</v>
      </c>
      <c r="AN106" s="68" t="str">
        <f t="shared" si="12"/>
        <v>00</v>
      </c>
      <c r="AO106" s="68" t="str">
        <f t="shared" si="13"/>
        <v>00</v>
      </c>
      <c r="AQ106" t="str">
        <f t="shared" si="8"/>
        <v/>
      </c>
    </row>
    <row r="107" spans="2:43">
      <c r="B107" s="139"/>
      <c r="C107" s="55">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0</v>
      </c>
      <c r="AE107" s="133">
        <f t="shared" si="21"/>
        <v>0</v>
      </c>
      <c r="AF107" s="133">
        <f t="shared" si="21"/>
        <v>0</v>
      </c>
      <c r="AG107" s="133">
        <f t="shared" si="21"/>
        <v>0</v>
      </c>
      <c r="AH107" s="133">
        <f t="shared" si="21"/>
        <v>0</v>
      </c>
      <c r="AI107" s="133">
        <f t="shared" si="21"/>
        <v>0</v>
      </c>
      <c r="AJ107" s="55" t="str">
        <f t="shared" si="7"/>
        <v/>
      </c>
      <c r="AK107" s="68"/>
      <c r="AL107" s="68" t="str">
        <f t="shared" si="10"/>
        <v>00</v>
      </c>
      <c r="AM107" s="68" t="str">
        <f t="shared" si="11"/>
        <v>00</v>
      </c>
      <c r="AN107" s="68" t="str">
        <f t="shared" si="12"/>
        <v>00</v>
      </c>
      <c r="AO107" s="68" t="str">
        <f t="shared" si="13"/>
        <v>00</v>
      </c>
      <c r="AQ107" t="str">
        <f t="shared" si="8"/>
        <v/>
      </c>
    </row>
    <row r="108" spans="2:43">
      <c r="B108" s="139"/>
      <c r="C108" s="55">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0</v>
      </c>
      <c r="AE108" s="133">
        <f t="shared" si="21"/>
        <v>0</v>
      </c>
      <c r="AF108" s="133">
        <f t="shared" si="21"/>
        <v>0</v>
      </c>
      <c r="AG108" s="133">
        <f t="shared" si="21"/>
        <v>0</v>
      </c>
      <c r="AH108" s="133">
        <f t="shared" si="21"/>
        <v>0</v>
      </c>
      <c r="AI108" s="133">
        <f t="shared" si="21"/>
        <v>0</v>
      </c>
      <c r="AJ108" s="55" t="str">
        <f t="shared" si="7"/>
        <v/>
      </c>
      <c r="AK108" s="68"/>
      <c r="AL108" s="68" t="str">
        <f t="shared" si="10"/>
        <v>00</v>
      </c>
      <c r="AM108" s="68" t="str">
        <f t="shared" si="11"/>
        <v>00</v>
      </c>
      <c r="AN108" s="68" t="str">
        <f t="shared" si="12"/>
        <v>00</v>
      </c>
      <c r="AO108" s="68" t="str">
        <f t="shared" si="13"/>
        <v>00</v>
      </c>
      <c r="AQ108" t="str">
        <f t="shared" si="8"/>
        <v/>
      </c>
    </row>
    <row r="109" spans="2:43">
      <c r="B109" s="139"/>
      <c r="C109" s="55">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0</v>
      </c>
      <c r="AE109" s="133">
        <f t="shared" si="21"/>
        <v>0</v>
      </c>
      <c r="AF109" s="133">
        <f t="shared" si="21"/>
        <v>0</v>
      </c>
      <c r="AG109" s="133">
        <f t="shared" si="21"/>
        <v>0</v>
      </c>
      <c r="AH109" s="133">
        <f t="shared" si="21"/>
        <v>0</v>
      </c>
      <c r="AI109" s="133">
        <f t="shared" si="21"/>
        <v>0</v>
      </c>
      <c r="AJ109" s="55" t="str">
        <f t="shared" si="7"/>
        <v/>
      </c>
      <c r="AK109" s="68"/>
      <c r="AL109" s="68" t="str">
        <f t="shared" si="10"/>
        <v>00</v>
      </c>
      <c r="AM109" s="68" t="str">
        <f t="shared" si="11"/>
        <v>00</v>
      </c>
      <c r="AN109" s="68" t="str">
        <f t="shared" si="12"/>
        <v>00</v>
      </c>
      <c r="AO109" s="68" t="str">
        <f t="shared" si="13"/>
        <v>00</v>
      </c>
      <c r="AQ109" t="str">
        <f t="shared" si="8"/>
        <v/>
      </c>
    </row>
    <row r="110" spans="2:43">
      <c r="B110" s="139"/>
      <c r="C110" s="55">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0</v>
      </c>
      <c r="AE110" s="133">
        <f t="shared" si="21"/>
        <v>0</v>
      </c>
      <c r="AF110" s="133">
        <f t="shared" si="21"/>
        <v>0</v>
      </c>
      <c r="AG110" s="133">
        <f t="shared" si="21"/>
        <v>0</v>
      </c>
      <c r="AH110" s="133">
        <f t="shared" si="21"/>
        <v>0</v>
      </c>
      <c r="AI110" s="133">
        <f t="shared" ref="AI110" si="22">IF(AI45=1,1,0)</f>
        <v>0</v>
      </c>
      <c r="AJ110" s="55" t="str">
        <f t="shared" si="7"/>
        <v/>
      </c>
      <c r="AK110" s="68"/>
      <c r="AL110" s="68" t="str">
        <f t="shared" si="10"/>
        <v>00</v>
      </c>
      <c r="AM110" s="68" t="str">
        <f t="shared" si="11"/>
        <v>00</v>
      </c>
      <c r="AN110" s="68" t="str">
        <f t="shared" si="12"/>
        <v>00</v>
      </c>
      <c r="AO110" s="68" t="str">
        <f t="shared" si="13"/>
        <v>00</v>
      </c>
      <c r="AQ110" t="str">
        <f t="shared" si="8"/>
        <v/>
      </c>
    </row>
    <row r="111" spans="2:43">
      <c r="B111" s="139"/>
      <c r="C111" s="55">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0</v>
      </c>
      <c r="AE111" s="133">
        <f t="shared" si="23"/>
        <v>0</v>
      </c>
      <c r="AF111" s="133">
        <f t="shared" si="23"/>
        <v>0</v>
      </c>
      <c r="AG111" s="133">
        <f t="shared" si="23"/>
        <v>0</v>
      </c>
      <c r="AH111" s="133">
        <f t="shared" si="23"/>
        <v>0</v>
      </c>
      <c r="AI111" s="133">
        <f t="shared" si="23"/>
        <v>0</v>
      </c>
      <c r="AJ111" s="55" t="str">
        <f t="shared" si="7"/>
        <v/>
      </c>
      <c r="AK111" s="68"/>
      <c r="AL111" s="68" t="str">
        <f t="shared" si="10"/>
        <v>00</v>
      </c>
      <c r="AM111" s="68" t="str">
        <f t="shared" si="11"/>
        <v>00</v>
      </c>
      <c r="AN111" s="68" t="str">
        <f t="shared" si="12"/>
        <v>00</v>
      </c>
      <c r="AO111" s="68" t="str">
        <f t="shared" si="13"/>
        <v>00</v>
      </c>
      <c r="AQ111" t="str">
        <f t="shared" si="8"/>
        <v/>
      </c>
    </row>
    <row r="112" spans="2:43">
      <c r="B112" s="139"/>
      <c r="C112" s="55">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0</v>
      </c>
      <c r="AE112" s="133">
        <f t="shared" si="23"/>
        <v>0</v>
      </c>
      <c r="AF112" s="133">
        <f t="shared" si="23"/>
        <v>0</v>
      </c>
      <c r="AG112" s="133">
        <f t="shared" si="23"/>
        <v>0</v>
      </c>
      <c r="AH112" s="133">
        <f t="shared" si="23"/>
        <v>0</v>
      </c>
      <c r="AI112" s="133">
        <f t="shared" si="23"/>
        <v>0</v>
      </c>
      <c r="AJ112" s="55" t="str">
        <f t="shared" si="7"/>
        <v/>
      </c>
      <c r="AK112" s="68"/>
      <c r="AL112" s="68" t="str">
        <f t="shared" si="10"/>
        <v>00</v>
      </c>
      <c r="AM112" s="68" t="str">
        <f t="shared" si="11"/>
        <v>00</v>
      </c>
      <c r="AN112" s="68" t="str">
        <f t="shared" si="12"/>
        <v>00</v>
      </c>
      <c r="AO112" s="68" t="str">
        <f t="shared" si="13"/>
        <v>00</v>
      </c>
      <c r="AQ112" t="str">
        <f t="shared" si="8"/>
        <v/>
      </c>
    </row>
    <row r="113" spans="2:43">
      <c r="B113" s="139"/>
      <c r="C113" s="55">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0</v>
      </c>
      <c r="AE113" s="133">
        <f t="shared" si="23"/>
        <v>0</v>
      </c>
      <c r="AF113" s="133">
        <f t="shared" si="23"/>
        <v>0</v>
      </c>
      <c r="AG113" s="133">
        <f t="shared" si="23"/>
        <v>0</v>
      </c>
      <c r="AH113" s="133">
        <f t="shared" si="23"/>
        <v>0</v>
      </c>
      <c r="AI113" s="133">
        <f t="shared" si="23"/>
        <v>0</v>
      </c>
      <c r="AJ113" s="55" t="str">
        <f t="shared" si="7"/>
        <v/>
      </c>
      <c r="AK113" s="68"/>
      <c r="AL113" s="68" t="str">
        <f t="shared" si="10"/>
        <v>00</v>
      </c>
      <c r="AM113" s="68" t="str">
        <f t="shared" si="11"/>
        <v>00</v>
      </c>
      <c r="AN113" s="68" t="str">
        <f t="shared" si="12"/>
        <v>00</v>
      </c>
      <c r="AO113" s="68" t="str">
        <f t="shared" si="13"/>
        <v>00</v>
      </c>
      <c r="AQ113" t="str">
        <f t="shared" si="8"/>
        <v/>
      </c>
    </row>
    <row r="114" spans="2:43">
      <c r="B114" s="139"/>
      <c r="C114" s="55">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0</v>
      </c>
      <c r="AE114" s="133">
        <f t="shared" si="23"/>
        <v>0</v>
      </c>
      <c r="AF114" s="133">
        <f t="shared" si="23"/>
        <v>0</v>
      </c>
      <c r="AG114" s="133">
        <f t="shared" si="23"/>
        <v>0</v>
      </c>
      <c r="AH114" s="133">
        <f t="shared" si="23"/>
        <v>0</v>
      </c>
      <c r="AI114" s="133">
        <f t="shared" si="23"/>
        <v>0</v>
      </c>
      <c r="AJ114" s="55" t="str">
        <f t="shared" si="7"/>
        <v/>
      </c>
      <c r="AK114" s="68"/>
      <c r="AL114" s="68" t="str">
        <f t="shared" si="10"/>
        <v>00</v>
      </c>
      <c r="AM114" s="68" t="str">
        <f t="shared" si="11"/>
        <v>00</v>
      </c>
      <c r="AN114" s="68" t="str">
        <f t="shared" si="12"/>
        <v>00</v>
      </c>
      <c r="AO114" s="68" t="str">
        <f t="shared" si="13"/>
        <v>00</v>
      </c>
      <c r="AQ114" t="str">
        <f t="shared" si="8"/>
        <v/>
      </c>
    </row>
    <row r="115" spans="2:43">
      <c r="B115" s="139"/>
      <c r="C115" s="55">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0</v>
      </c>
      <c r="AE115" s="133">
        <f t="shared" si="23"/>
        <v>0</v>
      </c>
      <c r="AF115" s="133">
        <f t="shared" si="23"/>
        <v>0</v>
      </c>
      <c r="AG115" s="133">
        <f t="shared" si="23"/>
        <v>0</v>
      </c>
      <c r="AH115" s="133">
        <f t="shared" si="23"/>
        <v>0</v>
      </c>
      <c r="AI115" s="133">
        <f t="shared" si="23"/>
        <v>0</v>
      </c>
      <c r="AJ115" s="55" t="str">
        <f t="shared" si="7"/>
        <v/>
      </c>
      <c r="AK115" s="68"/>
      <c r="AL115" s="68" t="str">
        <f t="shared" si="10"/>
        <v>00</v>
      </c>
      <c r="AM115" s="68" t="str">
        <f t="shared" si="11"/>
        <v>00</v>
      </c>
      <c r="AN115" s="68" t="str">
        <f t="shared" si="12"/>
        <v>00</v>
      </c>
      <c r="AO115" s="68" t="str">
        <f t="shared" si="13"/>
        <v>00</v>
      </c>
      <c r="AQ115" t="str">
        <f t="shared" si="8"/>
        <v/>
      </c>
    </row>
    <row r="116" spans="2:43">
      <c r="B116" s="139"/>
      <c r="C116" s="55">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0</v>
      </c>
      <c r="AE116" s="133">
        <f t="shared" si="23"/>
        <v>0</v>
      </c>
      <c r="AF116" s="133">
        <f t="shared" si="23"/>
        <v>0</v>
      </c>
      <c r="AG116" s="133">
        <f t="shared" si="23"/>
        <v>0</v>
      </c>
      <c r="AH116" s="133">
        <f t="shared" si="23"/>
        <v>0</v>
      </c>
      <c r="AI116" s="133">
        <f t="shared" si="23"/>
        <v>0</v>
      </c>
      <c r="AJ116" s="55" t="str">
        <f t="shared" si="7"/>
        <v/>
      </c>
      <c r="AK116" s="68"/>
      <c r="AL116" s="68" t="str">
        <f t="shared" si="10"/>
        <v>00</v>
      </c>
      <c r="AM116" s="68" t="str">
        <f t="shared" si="11"/>
        <v>00</v>
      </c>
      <c r="AN116" s="68" t="str">
        <f t="shared" si="12"/>
        <v>00</v>
      </c>
      <c r="AO116" s="68" t="str">
        <f t="shared" si="13"/>
        <v>00</v>
      </c>
      <c r="AQ116" t="str">
        <f t="shared" si="8"/>
        <v/>
      </c>
    </row>
    <row r="117" spans="2:43">
      <c r="B117" s="139"/>
      <c r="C117" s="55">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0</v>
      </c>
      <c r="AE117" s="133">
        <f t="shared" si="23"/>
        <v>0</v>
      </c>
      <c r="AF117" s="133">
        <f t="shared" si="23"/>
        <v>0</v>
      </c>
      <c r="AG117" s="133">
        <f t="shared" si="23"/>
        <v>0</v>
      </c>
      <c r="AH117" s="133">
        <f t="shared" si="23"/>
        <v>0</v>
      </c>
      <c r="AI117" s="133">
        <f t="shared" si="23"/>
        <v>0</v>
      </c>
      <c r="AJ117" s="55" t="str">
        <f t="shared" si="7"/>
        <v/>
      </c>
      <c r="AK117" s="68"/>
      <c r="AL117" s="68" t="str">
        <f t="shared" si="10"/>
        <v>00</v>
      </c>
      <c r="AM117" s="68" t="str">
        <f t="shared" si="11"/>
        <v>00</v>
      </c>
      <c r="AN117" s="68" t="str">
        <f t="shared" si="12"/>
        <v>00</v>
      </c>
      <c r="AO117" s="68" t="str">
        <f t="shared" si="13"/>
        <v>00</v>
      </c>
      <c r="AQ117" t="str">
        <f t="shared" si="8"/>
        <v/>
      </c>
    </row>
    <row r="118" spans="2:43">
      <c r="B118" s="139"/>
      <c r="C118" s="55">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0</v>
      </c>
      <c r="AE118" s="133">
        <f t="shared" si="23"/>
        <v>0</v>
      </c>
      <c r="AF118" s="133">
        <f t="shared" si="23"/>
        <v>0</v>
      </c>
      <c r="AG118" s="133">
        <f t="shared" si="23"/>
        <v>0</v>
      </c>
      <c r="AH118" s="133">
        <f t="shared" si="23"/>
        <v>0</v>
      </c>
      <c r="AI118" s="133">
        <f t="shared" ref="AI118" si="24">IF(AI53=1,1,0)</f>
        <v>0</v>
      </c>
      <c r="AJ118" s="55" t="str">
        <f t="shared" si="7"/>
        <v/>
      </c>
      <c r="AK118" s="68"/>
      <c r="AL118" s="68" t="str">
        <f t="shared" si="10"/>
        <v>00</v>
      </c>
      <c r="AM118" s="68" t="str">
        <f t="shared" si="11"/>
        <v>00</v>
      </c>
      <c r="AN118" s="68" t="str">
        <f t="shared" si="12"/>
        <v>00</v>
      </c>
      <c r="AO118" s="68" t="str">
        <f t="shared" si="13"/>
        <v>00</v>
      </c>
      <c r="AQ118" t="str">
        <f t="shared" si="8"/>
        <v/>
      </c>
    </row>
    <row r="119" spans="2:43">
      <c r="B119" s="139"/>
      <c r="C119" s="55">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0</v>
      </c>
      <c r="AE119" s="133">
        <f t="shared" si="25"/>
        <v>0</v>
      </c>
      <c r="AF119" s="133">
        <f t="shared" si="25"/>
        <v>0</v>
      </c>
      <c r="AG119" s="133">
        <f t="shared" si="25"/>
        <v>0</v>
      </c>
      <c r="AH119" s="133">
        <f t="shared" si="25"/>
        <v>0</v>
      </c>
      <c r="AI119" s="133">
        <f t="shared" si="25"/>
        <v>0</v>
      </c>
      <c r="AJ119" s="55" t="str">
        <f t="shared" si="7"/>
        <v/>
      </c>
      <c r="AK119" s="68"/>
      <c r="AL119" s="68" t="str">
        <f t="shared" si="10"/>
        <v>00</v>
      </c>
      <c r="AM119" s="68" t="str">
        <f t="shared" si="11"/>
        <v>00</v>
      </c>
      <c r="AN119" s="68" t="str">
        <f t="shared" si="12"/>
        <v>00</v>
      </c>
      <c r="AO119" s="68" t="str">
        <f t="shared" si="13"/>
        <v>00</v>
      </c>
      <c r="AQ119" t="str">
        <f t="shared" si="8"/>
        <v/>
      </c>
    </row>
    <row r="120" spans="2:43">
      <c r="B120" s="139"/>
      <c r="C120" s="55">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0</v>
      </c>
      <c r="AE120" s="133">
        <f t="shared" si="25"/>
        <v>0</v>
      </c>
      <c r="AF120" s="133">
        <f t="shared" si="25"/>
        <v>0</v>
      </c>
      <c r="AG120" s="133">
        <f t="shared" si="25"/>
        <v>0</v>
      </c>
      <c r="AH120" s="133">
        <f t="shared" si="25"/>
        <v>0</v>
      </c>
      <c r="AI120" s="133">
        <f t="shared" si="25"/>
        <v>0</v>
      </c>
      <c r="AJ120" s="55" t="str">
        <f t="shared" si="7"/>
        <v/>
      </c>
      <c r="AK120" s="68"/>
      <c r="AL120" s="68" t="str">
        <f t="shared" si="10"/>
        <v>00</v>
      </c>
      <c r="AM120" s="68" t="str">
        <f t="shared" si="11"/>
        <v>00</v>
      </c>
      <c r="AN120" s="68" t="str">
        <f t="shared" si="12"/>
        <v>00</v>
      </c>
      <c r="AO120" s="68" t="str">
        <f t="shared" si="13"/>
        <v>00</v>
      </c>
      <c r="AQ120" t="str">
        <f t="shared" si="8"/>
        <v/>
      </c>
    </row>
    <row r="121" spans="2:43">
      <c r="B121" s="139"/>
      <c r="C121" s="55">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0</v>
      </c>
      <c r="AE121" s="133">
        <f t="shared" si="25"/>
        <v>0</v>
      </c>
      <c r="AF121" s="133">
        <f t="shared" si="25"/>
        <v>0</v>
      </c>
      <c r="AG121" s="133">
        <f t="shared" si="25"/>
        <v>0</v>
      </c>
      <c r="AH121" s="133">
        <f t="shared" si="25"/>
        <v>0</v>
      </c>
      <c r="AI121" s="133">
        <f t="shared" si="25"/>
        <v>0</v>
      </c>
      <c r="AJ121" s="55" t="str">
        <f t="shared" si="7"/>
        <v/>
      </c>
      <c r="AK121" s="68"/>
      <c r="AL121" s="68" t="str">
        <f t="shared" si="10"/>
        <v>00</v>
      </c>
      <c r="AM121" s="68" t="str">
        <f t="shared" si="11"/>
        <v>00</v>
      </c>
      <c r="AN121" s="68" t="str">
        <f t="shared" si="12"/>
        <v>00</v>
      </c>
      <c r="AO121" s="68" t="str">
        <f t="shared" si="13"/>
        <v>00</v>
      </c>
      <c r="AQ121" t="str">
        <f t="shared" si="8"/>
        <v/>
      </c>
    </row>
    <row r="122" spans="2:43">
      <c r="B122" s="139"/>
      <c r="C122" s="55">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0</v>
      </c>
      <c r="AE122" s="133">
        <f t="shared" si="25"/>
        <v>0</v>
      </c>
      <c r="AF122" s="133">
        <f t="shared" si="25"/>
        <v>0</v>
      </c>
      <c r="AG122" s="133">
        <f t="shared" si="25"/>
        <v>0</v>
      </c>
      <c r="AH122" s="133">
        <f t="shared" si="25"/>
        <v>0</v>
      </c>
      <c r="AI122" s="133">
        <f t="shared" si="25"/>
        <v>0</v>
      </c>
      <c r="AJ122" s="55" t="str">
        <f t="shared" si="7"/>
        <v/>
      </c>
      <c r="AK122" s="68"/>
      <c r="AL122" s="68" t="str">
        <f t="shared" si="10"/>
        <v>00</v>
      </c>
      <c r="AM122" s="68" t="str">
        <f t="shared" si="11"/>
        <v>00</v>
      </c>
      <c r="AN122" s="68" t="str">
        <f t="shared" si="12"/>
        <v>00</v>
      </c>
      <c r="AO122" s="68" t="str">
        <f t="shared" si="13"/>
        <v>00</v>
      </c>
      <c r="AQ122" t="str">
        <f t="shared" si="8"/>
        <v/>
      </c>
    </row>
    <row r="123" spans="2:43">
      <c r="B123" s="139"/>
      <c r="C123" s="55">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0</v>
      </c>
      <c r="AE123" s="133">
        <f t="shared" si="25"/>
        <v>0</v>
      </c>
      <c r="AF123" s="133">
        <f t="shared" si="25"/>
        <v>0</v>
      </c>
      <c r="AG123" s="133">
        <f t="shared" si="25"/>
        <v>0</v>
      </c>
      <c r="AH123" s="133">
        <f t="shared" si="25"/>
        <v>0</v>
      </c>
      <c r="AI123" s="133">
        <f t="shared" si="25"/>
        <v>0</v>
      </c>
      <c r="AJ123" s="55" t="str">
        <f t="shared" si="7"/>
        <v/>
      </c>
      <c r="AK123" s="68"/>
      <c r="AL123" s="68" t="str">
        <f t="shared" si="10"/>
        <v>00</v>
      </c>
      <c r="AM123" s="68" t="str">
        <f t="shared" si="11"/>
        <v>00</v>
      </c>
      <c r="AN123" s="68" t="str">
        <f t="shared" si="12"/>
        <v>00</v>
      </c>
      <c r="AO123" s="68" t="str">
        <f t="shared" si="13"/>
        <v>00</v>
      </c>
      <c r="AQ123" t="str">
        <f t="shared" si="8"/>
        <v/>
      </c>
    </row>
    <row r="124" spans="2:43">
      <c r="B124" s="139"/>
      <c r="C124" s="55">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0</v>
      </c>
      <c r="AE124" s="133">
        <f t="shared" si="25"/>
        <v>0</v>
      </c>
      <c r="AF124" s="133">
        <f t="shared" si="25"/>
        <v>0</v>
      </c>
      <c r="AG124" s="133">
        <f t="shared" si="25"/>
        <v>0</v>
      </c>
      <c r="AH124" s="133">
        <f t="shared" si="25"/>
        <v>0</v>
      </c>
      <c r="AI124" s="133">
        <f t="shared" si="25"/>
        <v>0</v>
      </c>
      <c r="AJ124" s="55" t="str">
        <f t="shared" si="7"/>
        <v/>
      </c>
      <c r="AK124" s="68"/>
      <c r="AL124" s="68" t="str">
        <f t="shared" si="10"/>
        <v>00</v>
      </c>
      <c r="AM124" s="68" t="str">
        <f t="shared" si="11"/>
        <v>00</v>
      </c>
      <c r="AN124" s="68" t="str">
        <f t="shared" si="12"/>
        <v>00</v>
      </c>
      <c r="AO124" s="68" t="str">
        <f t="shared" si="13"/>
        <v>00</v>
      </c>
      <c r="AQ124" t="str">
        <f t="shared" si="8"/>
        <v/>
      </c>
    </row>
    <row r="125" spans="2:43">
      <c r="B125" s="139"/>
      <c r="C125" s="55">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0</v>
      </c>
      <c r="AE125" s="133">
        <f t="shared" si="25"/>
        <v>0</v>
      </c>
      <c r="AF125" s="133">
        <f t="shared" si="25"/>
        <v>0</v>
      </c>
      <c r="AG125" s="133">
        <f t="shared" si="25"/>
        <v>0</v>
      </c>
      <c r="AH125" s="133">
        <f t="shared" si="25"/>
        <v>0</v>
      </c>
      <c r="AI125" s="133">
        <f t="shared" si="25"/>
        <v>0</v>
      </c>
      <c r="AJ125" s="55" t="str">
        <f t="shared" si="7"/>
        <v/>
      </c>
      <c r="AK125" s="68"/>
      <c r="AL125" s="68" t="str">
        <f t="shared" si="10"/>
        <v>00</v>
      </c>
      <c r="AM125" s="68" t="str">
        <f t="shared" si="11"/>
        <v>00</v>
      </c>
      <c r="AN125" s="68" t="str">
        <f t="shared" si="12"/>
        <v>00</v>
      </c>
      <c r="AO125" s="68" t="str">
        <f t="shared" si="13"/>
        <v>00</v>
      </c>
      <c r="AQ125" t="str">
        <f t="shared" si="8"/>
        <v/>
      </c>
    </row>
    <row r="126" spans="2:43">
      <c r="B126" s="139"/>
      <c r="C126" s="55">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0</v>
      </c>
      <c r="AE126" s="133">
        <f t="shared" si="25"/>
        <v>0</v>
      </c>
      <c r="AF126" s="133">
        <f t="shared" si="25"/>
        <v>0</v>
      </c>
      <c r="AG126" s="133">
        <f t="shared" si="25"/>
        <v>0</v>
      </c>
      <c r="AH126" s="133">
        <f t="shared" si="25"/>
        <v>0</v>
      </c>
      <c r="AI126" s="133">
        <f t="shared" ref="AI126" si="26">IF(AI61=1,1,0)</f>
        <v>0</v>
      </c>
      <c r="AJ126" s="55" t="str">
        <f t="shared" si="7"/>
        <v/>
      </c>
      <c r="AK126" s="68"/>
      <c r="AL126" s="68" t="str">
        <f t="shared" si="10"/>
        <v>00</v>
      </c>
      <c r="AM126" s="68" t="str">
        <f t="shared" si="11"/>
        <v>00</v>
      </c>
      <c r="AN126" s="68" t="str">
        <f t="shared" si="12"/>
        <v>00</v>
      </c>
      <c r="AO126" s="68" t="str">
        <f t="shared" si="13"/>
        <v>00</v>
      </c>
      <c r="AQ126" t="str">
        <f t="shared" si="8"/>
        <v/>
      </c>
    </row>
    <row r="127" spans="2:43">
      <c r="B127" s="139"/>
      <c r="C127" s="55">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0</v>
      </c>
      <c r="AE127" s="133">
        <f t="shared" si="27"/>
        <v>0</v>
      </c>
      <c r="AF127" s="133">
        <f t="shared" si="27"/>
        <v>0</v>
      </c>
      <c r="AG127" s="133">
        <f t="shared" si="27"/>
        <v>0</v>
      </c>
      <c r="AH127" s="133">
        <f t="shared" si="27"/>
        <v>0</v>
      </c>
      <c r="AI127" s="133">
        <f t="shared" si="27"/>
        <v>0</v>
      </c>
      <c r="AJ127" s="55" t="str">
        <f t="shared" si="7"/>
        <v/>
      </c>
      <c r="AK127" s="68"/>
      <c r="AL127" s="68" t="str">
        <f t="shared" si="10"/>
        <v>00</v>
      </c>
      <c r="AM127" s="68" t="str">
        <f t="shared" si="11"/>
        <v>00</v>
      </c>
      <c r="AN127" s="68" t="str">
        <f t="shared" si="12"/>
        <v>00</v>
      </c>
      <c r="AO127" s="68" t="str">
        <f t="shared" si="13"/>
        <v>00</v>
      </c>
      <c r="AQ127" t="str">
        <f t="shared" si="8"/>
        <v/>
      </c>
    </row>
    <row r="128" spans="2:43">
      <c r="B128" s="139"/>
      <c r="C128" s="55">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0</v>
      </c>
      <c r="AE128" s="133">
        <f t="shared" si="27"/>
        <v>0</v>
      </c>
      <c r="AF128" s="133">
        <f t="shared" si="27"/>
        <v>0</v>
      </c>
      <c r="AG128" s="133">
        <f t="shared" si="27"/>
        <v>0</v>
      </c>
      <c r="AH128" s="133">
        <f t="shared" si="27"/>
        <v>0</v>
      </c>
      <c r="AI128" s="133">
        <f t="shared" si="27"/>
        <v>0</v>
      </c>
      <c r="AJ128" s="55" t="str">
        <f t="shared" si="7"/>
        <v/>
      </c>
      <c r="AK128" s="68"/>
      <c r="AL128" s="68" t="str">
        <f t="shared" si="10"/>
        <v>00</v>
      </c>
      <c r="AM128" s="68" t="str">
        <f t="shared" si="11"/>
        <v>00</v>
      </c>
      <c r="AN128" s="68" t="str">
        <f t="shared" si="12"/>
        <v>00</v>
      </c>
      <c r="AO128" s="68" t="str">
        <f t="shared" si="13"/>
        <v>00</v>
      </c>
      <c r="AQ128" t="str">
        <f t="shared" si="8"/>
        <v/>
      </c>
    </row>
    <row r="129" spans="1:43">
      <c r="B129" s="139"/>
      <c r="C129" s="55">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0</v>
      </c>
      <c r="AE129" s="133">
        <f t="shared" si="27"/>
        <v>0</v>
      </c>
      <c r="AF129" s="133">
        <f t="shared" si="27"/>
        <v>0</v>
      </c>
      <c r="AG129" s="133">
        <f t="shared" si="27"/>
        <v>0</v>
      </c>
      <c r="AH129" s="133">
        <f t="shared" si="27"/>
        <v>0</v>
      </c>
      <c r="AI129" s="133">
        <f t="shared" si="27"/>
        <v>0</v>
      </c>
      <c r="AJ129" s="55" t="str">
        <f t="shared" si="7"/>
        <v/>
      </c>
      <c r="AK129" s="68"/>
      <c r="AL129" s="68" t="str">
        <f t="shared" si="10"/>
        <v>00</v>
      </c>
      <c r="AM129" s="68" t="str">
        <f t="shared" si="11"/>
        <v>00</v>
      </c>
      <c r="AN129" s="68" t="str">
        <f t="shared" si="12"/>
        <v>00</v>
      </c>
      <c r="AO129" s="68" t="str">
        <f t="shared" si="13"/>
        <v>00</v>
      </c>
      <c r="AQ129" t="str">
        <f t="shared" si="8"/>
        <v/>
      </c>
    </row>
    <row r="130" spans="1:43">
      <c r="B130" s="139"/>
      <c r="C130" s="55">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0</v>
      </c>
      <c r="AE130" s="133">
        <f t="shared" si="27"/>
        <v>0</v>
      </c>
      <c r="AF130" s="133">
        <f t="shared" si="27"/>
        <v>0</v>
      </c>
      <c r="AG130" s="133">
        <f t="shared" si="27"/>
        <v>0</v>
      </c>
      <c r="AH130" s="133">
        <f t="shared" si="27"/>
        <v>0</v>
      </c>
      <c r="AI130" s="133">
        <f t="shared" si="27"/>
        <v>0</v>
      </c>
      <c r="AJ130" s="55" t="str">
        <f t="shared" si="7"/>
        <v/>
      </c>
      <c r="AK130" s="68"/>
      <c r="AL130" s="68" t="str">
        <f t="shared" si="10"/>
        <v>00</v>
      </c>
      <c r="AM130" s="68" t="str">
        <f t="shared" si="11"/>
        <v>00</v>
      </c>
      <c r="AN130" s="68" t="str">
        <f t="shared" si="12"/>
        <v>00</v>
      </c>
      <c r="AO130" s="68" t="str">
        <f t="shared" si="13"/>
        <v>00</v>
      </c>
      <c r="AQ130" t="str">
        <f t="shared" si="8"/>
        <v/>
      </c>
    </row>
    <row r="131" spans="1:43">
      <c r="B131" s="139"/>
      <c r="C131" s="55">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0</v>
      </c>
      <c r="AE131" s="133">
        <f t="shared" si="27"/>
        <v>0</v>
      </c>
      <c r="AF131" s="133">
        <f t="shared" si="27"/>
        <v>0</v>
      </c>
      <c r="AG131" s="133">
        <f t="shared" si="27"/>
        <v>0</v>
      </c>
      <c r="AH131" s="133">
        <f t="shared" si="27"/>
        <v>0</v>
      </c>
      <c r="AI131" s="133">
        <f t="shared" si="27"/>
        <v>0</v>
      </c>
      <c r="AJ131" s="55" t="str">
        <f t="shared" si="7"/>
        <v/>
      </c>
      <c r="AK131" s="68"/>
      <c r="AL131" s="68" t="str">
        <f t="shared" si="10"/>
        <v>00</v>
      </c>
      <c r="AM131" s="68" t="str">
        <f t="shared" si="11"/>
        <v>00</v>
      </c>
      <c r="AN131" s="68" t="str">
        <f t="shared" si="12"/>
        <v>00</v>
      </c>
      <c r="AO131" s="68" t="str">
        <f t="shared" si="13"/>
        <v>00</v>
      </c>
      <c r="AQ131" t="str">
        <f t="shared" si="8"/>
        <v/>
      </c>
    </row>
    <row r="132" spans="1:43">
      <c r="B132" s="139"/>
      <c r="C132" s="55">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0</v>
      </c>
      <c r="AE132" s="133">
        <f t="shared" si="27"/>
        <v>0</v>
      </c>
      <c r="AF132" s="133">
        <f t="shared" si="27"/>
        <v>0</v>
      </c>
      <c r="AG132" s="133">
        <f t="shared" si="27"/>
        <v>0</v>
      </c>
      <c r="AH132" s="133">
        <f t="shared" si="27"/>
        <v>0</v>
      </c>
      <c r="AI132" s="133">
        <f t="shared" si="27"/>
        <v>0</v>
      </c>
      <c r="AJ132" s="55" t="str">
        <f t="shared" si="7"/>
        <v/>
      </c>
      <c r="AK132" s="68"/>
      <c r="AL132" s="68" t="str">
        <f t="shared" si="10"/>
        <v>00</v>
      </c>
      <c r="AM132" s="68" t="str">
        <f t="shared" si="11"/>
        <v>00</v>
      </c>
      <c r="AN132" s="68" t="str">
        <f t="shared" si="12"/>
        <v>00</v>
      </c>
      <c r="AO132" s="68" t="str">
        <f t="shared" si="13"/>
        <v>00</v>
      </c>
      <c r="AQ132" t="str">
        <f t="shared" si="8"/>
        <v/>
      </c>
    </row>
    <row r="133" spans="1:43">
      <c r="B133" s="139"/>
      <c r="C133" s="55">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0</v>
      </c>
      <c r="AE133" s="133">
        <f t="shared" si="27"/>
        <v>0</v>
      </c>
      <c r="AF133" s="133">
        <f t="shared" si="27"/>
        <v>0</v>
      </c>
      <c r="AG133" s="133">
        <f t="shared" si="27"/>
        <v>0</v>
      </c>
      <c r="AH133" s="133">
        <f t="shared" si="27"/>
        <v>0</v>
      </c>
      <c r="AI133" s="133">
        <f t="shared" si="27"/>
        <v>0</v>
      </c>
      <c r="AJ133" s="55" t="str">
        <f t="shared" si="7"/>
        <v/>
      </c>
      <c r="AK133" s="68"/>
      <c r="AL133" s="68" t="str">
        <f t="shared" si="10"/>
        <v>00</v>
      </c>
      <c r="AM133" s="68" t="str">
        <f t="shared" si="11"/>
        <v>00</v>
      </c>
      <c r="AN133" s="68" t="str">
        <f t="shared" si="12"/>
        <v>00</v>
      </c>
      <c r="AO133" s="68" t="str">
        <f t="shared" si="13"/>
        <v>00</v>
      </c>
      <c r="AQ133" t="str">
        <f t="shared" si="8"/>
        <v/>
      </c>
    </row>
    <row r="134" spans="1:43">
      <c r="B134" s="140"/>
      <c r="C134" s="55">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0</v>
      </c>
      <c r="AE134" s="133">
        <f t="shared" si="27"/>
        <v>0</v>
      </c>
      <c r="AF134" s="133">
        <f t="shared" si="27"/>
        <v>0</v>
      </c>
      <c r="AG134" s="133">
        <f t="shared" si="27"/>
        <v>0</v>
      </c>
      <c r="AH134" s="133">
        <f t="shared" si="27"/>
        <v>0</v>
      </c>
      <c r="AI134" s="133">
        <f t="shared" ref="AI134" si="28">IF(AI69=1,1,0)</f>
        <v>0</v>
      </c>
      <c r="AJ134" s="55" t="str">
        <f t="shared" si="7"/>
        <v/>
      </c>
      <c r="AK134" s="68"/>
      <c r="AL134" s="68" t="str">
        <f t="shared" si="10"/>
        <v>00</v>
      </c>
      <c r="AM134" s="68" t="str">
        <f t="shared" si="11"/>
        <v>00</v>
      </c>
      <c r="AN134" s="68" t="str">
        <f t="shared" si="12"/>
        <v>00</v>
      </c>
      <c r="AO134" s="68" t="str">
        <f t="shared" si="13"/>
        <v>00</v>
      </c>
      <c r="AQ134" t="str">
        <f t="shared" si="8"/>
        <v/>
      </c>
    </row>
    <row r="135" spans="1:43">
      <c r="A135" s="64" t="s">
        <v>68</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1" t="str">
        <f ca="1">IF(B6&lt;&gt;"",B6,"")</f>
        <v>Table BC_CL</v>
      </c>
      <c r="C136" s="55">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0</v>
      </c>
      <c r="AE136" s="133">
        <f t="shared" si="29"/>
        <v>0</v>
      </c>
      <c r="AF136" s="133">
        <f t="shared" si="29"/>
        <v>0</v>
      </c>
      <c r="AG136" s="133">
        <f t="shared" si="29"/>
        <v>0</v>
      </c>
      <c r="AH136" s="133">
        <f t="shared" si="29"/>
        <v>1</v>
      </c>
      <c r="AI136" s="133">
        <f t="shared" si="29"/>
        <v>1</v>
      </c>
      <c r="AJ136" s="55" t="str">
        <f t="shared" ref="AJ136:AJ199" si="30">IF(AJ6&lt;&gt;"",AJ6,"")</f>
        <v>UNKNOWN</v>
      </c>
      <c r="AK136" s="68"/>
      <c r="AL136" s="68" t="str">
        <f>BIN2HEX(AB136&amp;AC136&amp;AD136&amp;AE136&amp;AF136&amp;AG136&amp;AH136&amp;AI136,2)</f>
        <v>03</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39"/>
      <c r="C137" s="55">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0</v>
      </c>
      <c r="AE137" s="133">
        <f t="shared" si="29"/>
        <v>0</v>
      </c>
      <c r="AF137" s="133">
        <f t="shared" si="29"/>
        <v>0</v>
      </c>
      <c r="AG137" s="133">
        <f t="shared" si="29"/>
        <v>0</v>
      </c>
      <c r="AH137" s="133">
        <f t="shared" si="29"/>
        <v>1</v>
      </c>
      <c r="AI137" s="133">
        <f t="shared" si="29"/>
        <v>1</v>
      </c>
      <c r="AJ137" s="55" t="str">
        <f t="shared" si="30"/>
        <v>DOUBLE</v>
      </c>
      <c r="AK137" s="68"/>
      <c r="AL137" s="68" t="str">
        <f t="shared" ref="AL137:AL199" si="33">BIN2HEX(AB137&amp;AC137&amp;AD137&amp;AE137&amp;AF137&amp;AG137&amp;AH137&amp;AI137,2)</f>
        <v>03</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(U4)0x00000003U,                                                           /* 01 DOUBLE                                          */</v>
      </c>
    </row>
    <row r="138" spans="1:43">
      <c r="B138" s="139"/>
      <c r="C138" s="55">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0</v>
      </c>
      <c r="AE138" s="133">
        <f t="shared" si="29"/>
        <v>0</v>
      </c>
      <c r="AF138" s="133">
        <f t="shared" si="29"/>
        <v>0</v>
      </c>
      <c r="AG138" s="133">
        <f t="shared" si="29"/>
        <v>0</v>
      </c>
      <c r="AH138" s="133">
        <f t="shared" si="29"/>
        <v>1</v>
      </c>
      <c r="AI138" s="133">
        <f t="shared" si="29"/>
        <v>1</v>
      </c>
      <c r="AJ138" s="55" t="str">
        <f t="shared" si="30"/>
        <v>UNKNOWN</v>
      </c>
      <c r="AK138" s="68"/>
      <c r="AL138" s="68" t="str">
        <f t="shared" si="33"/>
        <v>03</v>
      </c>
      <c r="AM138" s="68" t="str">
        <f t="shared" si="34"/>
        <v>00</v>
      </c>
      <c r="AN138" s="68" t="str">
        <f t="shared" si="35"/>
        <v>00</v>
      </c>
      <c r="AO138" s="68" t="str">
        <f t="shared" si="36"/>
        <v>00</v>
      </c>
      <c r="AQ138" t="str">
        <f t="shared" si="31"/>
        <v xml:space="preserve">    (U4)0x00000003U,                                                           /* 02 UNKNOWN                                         */</v>
      </c>
    </row>
    <row r="139" spans="1:43">
      <c r="B139" s="139"/>
      <c r="C139" s="55">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0</v>
      </c>
      <c r="AE139" s="133">
        <f t="shared" si="29"/>
        <v>0</v>
      </c>
      <c r="AF139" s="133">
        <f t="shared" si="29"/>
        <v>0</v>
      </c>
      <c r="AG139" s="133">
        <f t="shared" si="29"/>
        <v>0</v>
      </c>
      <c r="AH139" s="133">
        <f t="shared" si="29"/>
        <v>1</v>
      </c>
      <c r="AI139" s="133">
        <f t="shared" si="29"/>
        <v>1</v>
      </c>
      <c r="AJ139" s="55" t="str">
        <f t="shared" si="30"/>
        <v>UNKNOWN</v>
      </c>
      <c r="AK139" s="68"/>
      <c r="AL139" s="68" t="str">
        <f t="shared" si="33"/>
        <v>03</v>
      </c>
      <c r="AM139" s="68" t="str">
        <f t="shared" si="34"/>
        <v>00</v>
      </c>
      <c r="AN139" s="68" t="str">
        <f t="shared" si="35"/>
        <v>00</v>
      </c>
      <c r="AO139" s="68" t="str">
        <f t="shared" si="36"/>
        <v>00</v>
      </c>
      <c r="AQ139" t="str">
        <f t="shared" si="31"/>
        <v xml:space="preserve">    (U4)0x00000003U                                                            /* 03 UNKNOWN                                         */</v>
      </c>
    </row>
    <row r="140" spans="1:43">
      <c r="B140" s="139"/>
      <c r="C140" s="55">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0</v>
      </c>
      <c r="AE140" s="133">
        <f t="shared" si="29"/>
        <v>0</v>
      </c>
      <c r="AF140" s="133">
        <f t="shared" si="29"/>
        <v>0</v>
      </c>
      <c r="AG140" s="133">
        <f t="shared" si="29"/>
        <v>0</v>
      </c>
      <c r="AH140" s="133">
        <f t="shared" si="29"/>
        <v>0</v>
      </c>
      <c r="AI140" s="133">
        <f t="shared" si="29"/>
        <v>0</v>
      </c>
      <c r="AJ140" s="55" t="str">
        <f t="shared" si="30"/>
        <v/>
      </c>
      <c r="AK140" s="68"/>
      <c r="AL140" s="68" t="str">
        <f t="shared" si="33"/>
        <v>00</v>
      </c>
      <c r="AM140" s="68" t="str">
        <f t="shared" si="34"/>
        <v>00</v>
      </c>
      <c r="AN140" s="68" t="str">
        <f t="shared" si="35"/>
        <v>00</v>
      </c>
      <c r="AO140" s="68" t="str">
        <f t="shared" si="36"/>
        <v>00</v>
      </c>
      <c r="AQ140" t="str">
        <f t="shared" si="31"/>
        <v/>
      </c>
    </row>
    <row r="141" spans="1:43">
      <c r="B141" s="139"/>
      <c r="C141" s="55">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0</v>
      </c>
      <c r="AE141" s="133">
        <f t="shared" si="29"/>
        <v>0</v>
      </c>
      <c r="AF141" s="133">
        <f t="shared" si="29"/>
        <v>0</v>
      </c>
      <c r="AG141" s="133">
        <f t="shared" si="29"/>
        <v>0</v>
      </c>
      <c r="AH141" s="133">
        <f t="shared" si="29"/>
        <v>0</v>
      </c>
      <c r="AI141" s="133">
        <f t="shared" si="29"/>
        <v>0</v>
      </c>
      <c r="AJ141" s="55" t="str">
        <f t="shared" si="30"/>
        <v/>
      </c>
      <c r="AK141" s="68"/>
      <c r="AL141" s="68" t="str">
        <f t="shared" si="33"/>
        <v>00</v>
      </c>
      <c r="AM141" s="68" t="str">
        <f t="shared" si="34"/>
        <v>00</v>
      </c>
      <c r="AN141" s="68" t="str">
        <f t="shared" si="35"/>
        <v>00</v>
      </c>
      <c r="AO141" s="68" t="str">
        <f t="shared" si="36"/>
        <v>00</v>
      </c>
      <c r="AQ141" t="str">
        <f t="shared" si="31"/>
        <v/>
      </c>
    </row>
    <row r="142" spans="1:43">
      <c r="B142" s="139"/>
      <c r="C142" s="55">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0</v>
      </c>
      <c r="AE142" s="133">
        <f t="shared" si="29"/>
        <v>0</v>
      </c>
      <c r="AF142" s="133">
        <f t="shared" si="29"/>
        <v>0</v>
      </c>
      <c r="AG142" s="133">
        <f t="shared" si="29"/>
        <v>0</v>
      </c>
      <c r="AH142" s="133">
        <f t="shared" si="29"/>
        <v>0</v>
      </c>
      <c r="AI142" s="133">
        <f t="shared" si="29"/>
        <v>0</v>
      </c>
      <c r="AJ142" s="55" t="str">
        <f t="shared" si="30"/>
        <v/>
      </c>
      <c r="AK142" s="68"/>
      <c r="AL142" s="68" t="str">
        <f t="shared" si="33"/>
        <v>00</v>
      </c>
      <c r="AM142" s="68" t="str">
        <f t="shared" si="34"/>
        <v>00</v>
      </c>
      <c r="AN142" s="68" t="str">
        <f t="shared" si="35"/>
        <v>00</v>
      </c>
      <c r="AO142" s="68" t="str">
        <f t="shared" si="36"/>
        <v>00</v>
      </c>
      <c r="AQ142" t="str">
        <f t="shared" si="31"/>
        <v/>
      </c>
    </row>
    <row r="143" spans="1:43">
      <c r="B143" s="139"/>
      <c r="C143" s="55">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0</v>
      </c>
      <c r="AE143" s="133">
        <f t="shared" si="29"/>
        <v>0</v>
      </c>
      <c r="AF143" s="133">
        <f t="shared" si="29"/>
        <v>0</v>
      </c>
      <c r="AG143" s="133">
        <f t="shared" si="29"/>
        <v>0</v>
      </c>
      <c r="AH143" s="133">
        <f t="shared" si="29"/>
        <v>0</v>
      </c>
      <c r="AI143" s="133">
        <f t="shared" ref="AI143" si="37">IF(OR(AI13=0,AI13=1),1,0)</f>
        <v>0</v>
      </c>
      <c r="AJ143" s="55" t="str">
        <f t="shared" si="30"/>
        <v/>
      </c>
      <c r="AK143" s="68"/>
      <c r="AL143" s="68" t="str">
        <f t="shared" si="33"/>
        <v>00</v>
      </c>
      <c r="AM143" s="68" t="str">
        <f t="shared" si="34"/>
        <v>00</v>
      </c>
      <c r="AN143" s="68" t="str">
        <f t="shared" si="35"/>
        <v>00</v>
      </c>
      <c r="AO143" s="68" t="str">
        <f t="shared" si="36"/>
        <v>00</v>
      </c>
      <c r="AQ143" t="str">
        <f t="shared" si="31"/>
        <v/>
      </c>
    </row>
    <row r="144" spans="1:43">
      <c r="B144" s="139"/>
      <c r="C144" s="55">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0</v>
      </c>
      <c r="AE144" s="133">
        <f t="shared" si="38"/>
        <v>0</v>
      </c>
      <c r="AF144" s="133">
        <f t="shared" si="38"/>
        <v>0</v>
      </c>
      <c r="AG144" s="133">
        <f t="shared" si="38"/>
        <v>0</v>
      </c>
      <c r="AH144" s="133">
        <f t="shared" si="38"/>
        <v>0</v>
      </c>
      <c r="AI144" s="133">
        <f t="shared" si="38"/>
        <v>0</v>
      </c>
      <c r="AJ144" s="55" t="str">
        <f t="shared" si="30"/>
        <v/>
      </c>
      <c r="AK144" s="68"/>
      <c r="AL144" s="68" t="str">
        <f t="shared" si="33"/>
        <v>00</v>
      </c>
      <c r="AM144" s="68" t="str">
        <f t="shared" si="34"/>
        <v>00</v>
      </c>
      <c r="AN144" s="68" t="str">
        <f t="shared" si="35"/>
        <v>00</v>
      </c>
      <c r="AO144" s="68" t="str">
        <f t="shared" si="36"/>
        <v>00</v>
      </c>
      <c r="AQ144" t="str">
        <f t="shared" si="31"/>
        <v/>
      </c>
    </row>
    <row r="145" spans="2:43">
      <c r="B145" s="139"/>
      <c r="C145" s="55">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0</v>
      </c>
      <c r="AE145" s="133">
        <f t="shared" si="38"/>
        <v>0</v>
      </c>
      <c r="AF145" s="133">
        <f t="shared" si="38"/>
        <v>0</v>
      </c>
      <c r="AG145" s="133">
        <f t="shared" si="38"/>
        <v>0</v>
      </c>
      <c r="AH145" s="133">
        <f t="shared" si="38"/>
        <v>0</v>
      </c>
      <c r="AI145" s="133">
        <f t="shared" si="38"/>
        <v>0</v>
      </c>
      <c r="AJ145" s="55" t="str">
        <f t="shared" si="30"/>
        <v/>
      </c>
      <c r="AK145" s="68"/>
      <c r="AL145" s="68" t="str">
        <f t="shared" si="33"/>
        <v>00</v>
      </c>
      <c r="AM145" s="68" t="str">
        <f t="shared" si="34"/>
        <v>00</v>
      </c>
      <c r="AN145" s="68" t="str">
        <f t="shared" si="35"/>
        <v>00</v>
      </c>
      <c r="AO145" s="68" t="str">
        <f t="shared" si="36"/>
        <v>00</v>
      </c>
      <c r="AQ145" t="str">
        <f t="shared" si="31"/>
        <v/>
      </c>
    </row>
    <row r="146" spans="2:43">
      <c r="B146" s="139"/>
      <c r="C146" s="55">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0</v>
      </c>
      <c r="AE146" s="133">
        <f t="shared" si="38"/>
        <v>0</v>
      </c>
      <c r="AF146" s="133">
        <f t="shared" si="38"/>
        <v>0</v>
      </c>
      <c r="AG146" s="133">
        <f t="shared" si="38"/>
        <v>0</v>
      </c>
      <c r="AH146" s="133">
        <f t="shared" si="38"/>
        <v>0</v>
      </c>
      <c r="AI146" s="133">
        <f t="shared" si="38"/>
        <v>0</v>
      </c>
      <c r="AJ146" s="55" t="str">
        <f t="shared" si="30"/>
        <v/>
      </c>
      <c r="AK146" s="68"/>
      <c r="AL146" s="68" t="str">
        <f t="shared" si="33"/>
        <v>00</v>
      </c>
      <c r="AM146" s="68" t="str">
        <f t="shared" si="34"/>
        <v>00</v>
      </c>
      <c r="AN146" s="68" t="str">
        <f t="shared" si="35"/>
        <v>00</v>
      </c>
      <c r="AO146" s="68" t="str">
        <f t="shared" si="36"/>
        <v>00</v>
      </c>
      <c r="AQ146" t="str">
        <f t="shared" si="31"/>
        <v/>
      </c>
    </row>
    <row r="147" spans="2:43">
      <c r="B147" s="139"/>
      <c r="C147" s="55">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0</v>
      </c>
      <c r="AE147" s="133">
        <f t="shared" si="38"/>
        <v>0</v>
      </c>
      <c r="AF147" s="133">
        <f t="shared" si="38"/>
        <v>0</v>
      </c>
      <c r="AG147" s="133">
        <f t="shared" si="38"/>
        <v>0</v>
      </c>
      <c r="AH147" s="133">
        <f t="shared" si="38"/>
        <v>0</v>
      </c>
      <c r="AI147" s="133">
        <f t="shared" si="38"/>
        <v>0</v>
      </c>
      <c r="AJ147" s="55" t="str">
        <f t="shared" si="30"/>
        <v/>
      </c>
      <c r="AK147" s="68"/>
      <c r="AL147" s="68" t="str">
        <f t="shared" si="33"/>
        <v>00</v>
      </c>
      <c r="AM147" s="68" t="str">
        <f t="shared" si="34"/>
        <v>00</v>
      </c>
      <c r="AN147" s="68" t="str">
        <f t="shared" si="35"/>
        <v>00</v>
      </c>
      <c r="AO147" s="68" t="str">
        <f t="shared" si="36"/>
        <v>00</v>
      </c>
      <c r="AQ147" t="str">
        <f t="shared" si="31"/>
        <v/>
      </c>
    </row>
    <row r="148" spans="2:43">
      <c r="B148" s="139"/>
      <c r="C148" s="55">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0</v>
      </c>
      <c r="AE148" s="133">
        <f t="shared" si="38"/>
        <v>0</v>
      </c>
      <c r="AF148" s="133">
        <f t="shared" si="38"/>
        <v>0</v>
      </c>
      <c r="AG148" s="133">
        <f t="shared" si="38"/>
        <v>0</v>
      </c>
      <c r="AH148" s="133">
        <f t="shared" si="38"/>
        <v>0</v>
      </c>
      <c r="AI148" s="133">
        <f t="shared" si="38"/>
        <v>0</v>
      </c>
      <c r="AJ148" s="55" t="str">
        <f t="shared" si="30"/>
        <v/>
      </c>
      <c r="AK148" s="68"/>
      <c r="AL148" s="68" t="str">
        <f t="shared" si="33"/>
        <v>00</v>
      </c>
      <c r="AM148" s="68" t="str">
        <f t="shared" si="34"/>
        <v>00</v>
      </c>
      <c r="AN148" s="68" t="str">
        <f t="shared" si="35"/>
        <v>00</v>
      </c>
      <c r="AO148" s="68" t="str">
        <f t="shared" si="36"/>
        <v>00</v>
      </c>
      <c r="AQ148" t="str">
        <f t="shared" si="31"/>
        <v/>
      </c>
    </row>
    <row r="149" spans="2:43">
      <c r="B149" s="139"/>
      <c r="C149" s="55">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0</v>
      </c>
      <c r="AE149" s="133">
        <f t="shared" si="38"/>
        <v>0</v>
      </c>
      <c r="AF149" s="133">
        <f t="shared" si="38"/>
        <v>0</v>
      </c>
      <c r="AG149" s="133">
        <f t="shared" si="38"/>
        <v>0</v>
      </c>
      <c r="AH149" s="133">
        <f t="shared" si="38"/>
        <v>0</v>
      </c>
      <c r="AI149" s="133">
        <f t="shared" si="38"/>
        <v>0</v>
      </c>
      <c r="AJ149" s="55" t="str">
        <f t="shared" si="30"/>
        <v/>
      </c>
      <c r="AK149" s="68"/>
      <c r="AL149" s="68" t="str">
        <f t="shared" si="33"/>
        <v>00</v>
      </c>
      <c r="AM149" s="68" t="str">
        <f t="shared" si="34"/>
        <v>00</v>
      </c>
      <c r="AN149" s="68" t="str">
        <f t="shared" si="35"/>
        <v>00</v>
      </c>
      <c r="AO149" s="68" t="str">
        <f t="shared" si="36"/>
        <v>00</v>
      </c>
      <c r="AQ149" t="str">
        <f t="shared" si="31"/>
        <v/>
      </c>
    </row>
    <row r="150" spans="2:43">
      <c r="B150" s="139"/>
      <c r="C150" s="55">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0</v>
      </c>
      <c r="AE150" s="133">
        <f t="shared" si="38"/>
        <v>0</v>
      </c>
      <c r="AF150" s="133">
        <f t="shared" si="38"/>
        <v>0</v>
      </c>
      <c r="AG150" s="133">
        <f t="shared" si="38"/>
        <v>0</v>
      </c>
      <c r="AH150" s="133">
        <f t="shared" si="38"/>
        <v>0</v>
      </c>
      <c r="AI150" s="133">
        <f t="shared" si="38"/>
        <v>0</v>
      </c>
      <c r="AJ150" s="55" t="str">
        <f t="shared" si="30"/>
        <v/>
      </c>
      <c r="AK150" s="68"/>
      <c r="AL150" s="68" t="str">
        <f t="shared" si="33"/>
        <v>00</v>
      </c>
      <c r="AM150" s="68" t="str">
        <f t="shared" si="34"/>
        <v>00</v>
      </c>
      <c r="AN150" s="68" t="str">
        <f t="shared" si="35"/>
        <v>00</v>
      </c>
      <c r="AO150" s="68" t="str">
        <f t="shared" si="36"/>
        <v>00</v>
      </c>
      <c r="AQ150" t="str">
        <f t="shared" si="31"/>
        <v/>
      </c>
    </row>
    <row r="151" spans="2:43">
      <c r="B151" s="139"/>
      <c r="C151" s="55">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0</v>
      </c>
      <c r="AE151" s="133">
        <f t="shared" si="38"/>
        <v>0</v>
      </c>
      <c r="AF151" s="133">
        <f t="shared" si="38"/>
        <v>0</v>
      </c>
      <c r="AG151" s="133">
        <f t="shared" si="38"/>
        <v>0</v>
      </c>
      <c r="AH151" s="133">
        <f t="shared" si="38"/>
        <v>0</v>
      </c>
      <c r="AI151" s="133">
        <f t="shared" ref="AI151" si="39">IF(OR(AI21=0,AI21=1),1,0)</f>
        <v>0</v>
      </c>
      <c r="AJ151" s="55" t="str">
        <f t="shared" si="30"/>
        <v/>
      </c>
      <c r="AK151" s="68"/>
      <c r="AL151" s="68" t="str">
        <f t="shared" si="33"/>
        <v>00</v>
      </c>
      <c r="AM151" s="68" t="str">
        <f t="shared" si="34"/>
        <v>00</v>
      </c>
      <c r="AN151" s="68" t="str">
        <f t="shared" si="35"/>
        <v>00</v>
      </c>
      <c r="AO151" s="68" t="str">
        <f t="shared" si="36"/>
        <v>00</v>
      </c>
      <c r="AQ151" t="str">
        <f t="shared" si="31"/>
        <v/>
      </c>
    </row>
    <row r="152" spans="2:43">
      <c r="B152" s="139"/>
      <c r="C152" s="55">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0</v>
      </c>
      <c r="AE152" s="133">
        <f t="shared" si="40"/>
        <v>0</v>
      </c>
      <c r="AF152" s="133">
        <f t="shared" si="40"/>
        <v>0</v>
      </c>
      <c r="AG152" s="133">
        <f t="shared" si="40"/>
        <v>0</v>
      </c>
      <c r="AH152" s="133">
        <f t="shared" si="40"/>
        <v>0</v>
      </c>
      <c r="AI152" s="133">
        <f t="shared" si="40"/>
        <v>0</v>
      </c>
      <c r="AJ152" s="55" t="str">
        <f t="shared" si="30"/>
        <v/>
      </c>
      <c r="AK152" s="68"/>
      <c r="AL152" s="68" t="str">
        <f t="shared" si="33"/>
        <v>00</v>
      </c>
      <c r="AM152" s="68" t="str">
        <f t="shared" si="34"/>
        <v>00</v>
      </c>
      <c r="AN152" s="68" t="str">
        <f t="shared" si="35"/>
        <v>00</v>
      </c>
      <c r="AO152" s="68" t="str">
        <f t="shared" si="36"/>
        <v>00</v>
      </c>
      <c r="AQ152" t="str">
        <f t="shared" si="31"/>
        <v/>
      </c>
    </row>
    <row r="153" spans="2:43">
      <c r="B153" s="139"/>
      <c r="C153" s="55">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0</v>
      </c>
      <c r="AE153" s="133">
        <f t="shared" si="40"/>
        <v>0</v>
      </c>
      <c r="AF153" s="133">
        <f t="shared" si="40"/>
        <v>0</v>
      </c>
      <c r="AG153" s="133">
        <f t="shared" si="40"/>
        <v>0</v>
      </c>
      <c r="AH153" s="133">
        <f t="shared" si="40"/>
        <v>0</v>
      </c>
      <c r="AI153" s="133">
        <f t="shared" si="40"/>
        <v>0</v>
      </c>
      <c r="AJ153" s="55" t="str">
        <f t="shared" si="30"/>
        <v/>
      </c>
      <c r="AK153" s="68"/>
      <c r="AL153" s="68" t="str">
        <f t="shared" si="33"/>
        <v>00</v>
      </c>
      <c r="AM153" s="68" t="str">
        <f t="shared" si="34"/>
        <v>00</v>
      </c>
      <c r="AN153" s="68" t="str">
        <f t="shared" si="35"/>
        <v>00</v>
      </c>
      <c r="AO153" s="68" t="str">
        <f t="shared" si="36"/>
        <v>00</v>
      </c>
      <c r="AQ153" t="str">
        <f t="shared" si="31"/>
        <v/>
      </c>
    </row>
    <row r="154" spans="2:43">
      <c r="B154" s="139"/>
      <c r="C154" s="55">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0</v>
      </c>
      <c r="AE154" s="133">
        <f t="shared" si="40"/>
        <v>0</v>
      </c>
      <c r="AF154" s="133">
        <f t="shared" si="40"/>
        <v>0</v>
      </c>
      <c r="AG154" s="133">
        <f t="shared" si="40"/>
        <v>0</v>
      </c>
      <c r="AH154" s="133">
        <f t="shared" si="40"/>
        <v>0</v>
      </c>
      <c r="AI154" s="133">
        <f t="shared" si="40"/>
        <v>0</v>
      </c>
      <c r="AJ154" s="55" t="str">
        <f t="shared" si="30"/>
        <v/>
      </c>
      <c r="AK154" s="68"/>
      <c r="AL154" s="68" t="str">
        <f t="shared" si="33"/>
        <v>00</v>
      </c>
      <c r="AM154" s="68" t="str">
        <f t="shared" si="34"/>
        <v>00</v>
      </c>
      <c r="AN154" s="68" t="str">
        <f t="shared" si="35"/>
        <v>00</v>
      </c>
      <c r="AO154" s="68" t="str">
        <f t="shared" si="36"/>
        <v>00</v>
      </c>
      <c r="AQ154" t="str">
        <f t="shared" si="31"/>
        <v/>
      </c>
    </row>
    <row r="155" spans="2:43">
      <c r="B155" s="139"/>
      <c r="C155" s="55">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0</v>
      </c>
      <c r="AE155" s="133">
        <f t="shared" si="40"/>
        <v>0</v>
      </c>
      <c r="AF155" s="133">
        <f t="shared" si="40"/>
        <v>0</v>
      </c>
      <c r="AG155" s="133">
        <f t="shared" si="40"/>
        <v>0</v>
      </c>
      <c r="AH155" s="133">
        <f t="shared" si="40"/>
        <v>0</v>
      </c>
      <c r="AI155" s="133">
        <f t="shared" si="40"/>
        <v>0</v>
      </c>
      <c r="AJ155" s="55" t="str">
        <f t="shared" si="30"/>
        <v/>
      </c>
      <c r="AK155" s="68"/>
      <c r="AL155" s="68" t="str">
        <f t="shared" si="33"/>
        <v>00</v>
      </c>
      <c r="AM155" s="68" t="str">
        <f t="shared" si="34"/>
        <v>00</v>
      </c>
      <c r="AN155" s="68" t="str">
        <f t="shared" si="35"/>
        <v>00</v>
      </c>
      <c r="AO155" s="68" t="str">
        <f t="shared" si="36"/>
        <v>00</v>
      </c>
      <c r="AQ155" t="str">
        <f t="shared" si="31"/>
        <v/>
      </c>
    </row>
    <row r="156" spans="2:43">
      <c r="B156" s="139"/>
      <c r="C156" s="55">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0</v>
      </c>
      <c r="AE156" s="133">
        <f t="shared" si="40"/>
        <v>0</v>
      </c>
      <c r="AF156" s="133">
        <f t="shared" si="40"/>
        <v>0</v>
      </c>
      <c r="AG156" s="133">
        <f t="shared" si="40"/>
        <v>0</v>
      </c>
      <c r="AH156" s="133">
        <f t="shared" si="40"/>
        <v>0</v>
      </c>
      <c r="AI156" s="133">
        <f t="shared" si="40"/>
        <v>0</v>
      </c>
      <c r="AJ156" s="55" t="str">
        <f t="shared" si="30"/>
        <v/>
      </c>
      <c r="AK156" s="68"/>
      <c r="AL156" s="68" t="str">
        <f t="shared" si="33"/>
        <v>00</v>
      </c>
      <c r="AM156" s="68" t="str">
        <f t="shared" si="34"/>
        <v>00</v>
      </c>
      <c r="AN156" s="68" t="str">
        <f t="shared" si="35"/>
        <v>00</v>
      </c>
      <c r="AO156" s="68" t="str">
        <f t="shared" si="36"/>
        <v>00</v>
      </c>
      <c r="AQ156" t="str">
        <f t="shared" si="31"/>
        <v/>
      </c>
    </row>
    <row r="157" spans="2:43">
      <c r="B157" s="139"/>
      <c r="C157" s="55">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0</v>
      </c>
      <c r="AE157" s="133">
        <f t="shared" si="40"/>
        <v>0</v>
      </c>
      <c r="AF157" s="133">
        <f t="shared" si="40"/>
        <v>0</v>
      </c>
      <c r="AG157" s="133">
        <f t="shared" si="40"/>
        <v>0</v>
      </c>
      <c r="AH157" s="133">
        <f t="shared" si="40"/>
        <v>0</v>
      </c>
      <c r="AI157" s="133">
        <f t="shared" si="40"/>
        <v>0</v>
      </c>
      <c r="AJ157" s="55" t="str">
        <f t="shared" si="30"/>
        <v/>
      </c>
      <c r="AK157" s="68"/>
      <c r="AL157" s="68" t="str">
        <f t="shared" si="33"/>
        <v>00</v>
      </c>
      <c r="AM157" s="68" t="str">
        <f t="shared" si="34"/>
        <v>00</v>
      </c>
      <c r="AN157" s="68" t="str">
        <f t="shared" si="35"/>
        <v>00</v>
      </c>
      <c r="AO157" s="68" t="str">
        <f t="shared" si="36"/>
        <v>00</v>
      </c>
      <c r="AQ157" t="str">
        <f t="shared" si="31"/>
        <v/>
      </c>
    </row>
    <row r="158" spans="2:43">
      <c r="B158" s="139"/>
      <c r="C158" s="55">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0</v>
      </c>
      <c r="AE158" s="133">
        <f t="shared" si="40"/>
        <v>0</v>
      </c>
      <c r="AF158" s="133">
        <f t="shared" si="40"/>
        <v>0</v>
      </c>
      <c r="AG158" s="133">
        <f t="shared" si="40"/>
        <v>0</v>
      </c>
      <c r="AH158" s="133">
        <f t="shared" si="40"/>
        <v>0</v>
      </c>
      <c r="AI158" s="133">
        <f t="shared" si="40"/>
        <v>0</v>
      </c>
      <c r="AJ158" s="55" t="str">
        <f t="shared" si="30"/>
        <v/>
      </c>
      <c r="AK158" s="68"/>
      <c r="AL158" s="68" t="str">
        <f t="shared" si="33"/>
        <v>00</v>
      </c>
      <c r="AM158" s="68" t="str">
        <f t="shared" si="34"/>
        <v>00</v>
      </c>
      <c r="AN158" s="68" t="str">
        <f t="shared" si="35"/>
        <v>00</v>
      </c>
      <c r="AO158" s="68" t="str">
        <f t="shared" si="36"/>
        <v>00</v>
      </c>
      <c r="AQ158" t="str">
        <f t="shared" si="31"/>
        <v/>
      </c>
    </row>
    <row r="159" spans="2:43">
      <c r="B159" s="139"/>
      <c r="C159" s="55">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0</v>
      </c>
      <c r="AE159" s="133">
        <f t="shared" si="40"/>
        <v>0</v>
      </c>
      <c r="AF159" s="133">
        <f t="shared" si="40"/>
        <v>0</v>
      </c>
      <c r="AG159" s="133">
        <f t="shared" si="40"/>
        <v>0</v>
      </c>
      <c r="AH159" s="133">
        <f t="shared" si="40"/>
        <v>0</v>
      </c>
      <c r="AI159" s="133">
        <f t="shared" ref="AI159" si="41">IF(OR(AI29=0,AI29=1),1,0)</f>
        <v>0</v>
      </c>
      <c r="AJ159" s="55" t="str">
        <f t="shared" si="30"/>
        <v/>
      </c>
      <c r="AK159" s="68"/>
      <c r="AL159" s="68" t="str">
        <f t="shared" si="33"/>
        <v>00</v>
      </c>
      <c r="AM159" s="68" t="str">
        <f t="shared" si="34"/>
        <v>00</v>
      </c>
      <c r="AN159" s="68" t="str">
        <f t="shared" si="35"/>
        <v>00</v>
      </c>
      <c r="AO159" s="68" t="str">
        <f t="shared" si="36"/>
        <v>00</v>
      </c>
      <c r="AQ159" t="str">
        <f t="shared" si="31"/>
        <v/>
      </c>
    </row>
    <row r="160" spans="2:43">
      <c r="B160" s="139"/>
      <c r="C160" s="55">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0</v>
      </c>
      <c r="AE160" s="133">
        <f t="shared" si="42"/>
        <v>0</v>
      </c>
      <c r="AF160" s="133">
        <f t="shared" si="42"/>
        <v>0</v>
      </c>
      <c r="AG160" s="133">
        <f t="shared" si="42"/>
        <v>0</v>
      </c>
      <c r="AH160" s="133">
        <f t="shared" si="42"/>
        <v>0</v>
      </c>
      <c r="AI160" s="133">
        <f t="shared" si="42"/>
        <v>0</v>
      </c>
      <c r="AJ160" s="55" t="str">
        <f t="shared" si="30"/>
        <v/>
      </c>
      <c r="AK160" s="68"/>
      <c r="AL160" s="68" t="str">
        <f t="shared" si="33"/>
        <v>00</v>
      </c>
      <c r="AM160" s="68" t="str">
        <f t="shared" si="34"/>
        <v>00</v>
      </c>
      <c r="AN160" s="68" t="str">
        <f t="shared" si="35"/>
        <v>00</v>
      </c>
      <c r="AO160" s="68" t="str">
        <f t="shared" si="36"/>
        <v>00</v>
      </c>
      <c r="AQ160" t="str">
        <f t="shared" si="31"/>
        <v/>
      </c>
    </row>
    <row r="161" spans="2:43">
      <c r="B161" s="139"/>
      <c r="C161" s="55">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0</v>
      </c>
      <c r="AE161" s="133">
        <f t="shared" si="42"/>
        <v>0</v>
      </c>
      <c r="AF161" s="133">
        <f t="shared" si="42"/>
        <v>0</v>
      </c>
      <c r="AG161" s="133">
        <f t="shared" si="42"/>
        <v>0</v>
      </c>
      <c r="AH161" s="133">
        <f t="shared" si="42"/>
        <v>0</v>
      </c>
      <c r="AI161" s="133">
        <f t="shared" si="42"/>
        <v>0</v>
      </c>
      <c r="AJ161" s="55" t="str">
        <f t="shared" si="30"/>
        <v/>
      </c>
      <c r="AK161" s="68"/>
      <c r="AL161" s="68" t="str">
        <f t="shared" si="33"/>
        <v>00</v>
      </c>
      <c r="AM161" s="68" t="str">
        <f t="shared" si="34"/>
        <v>00</v>
      </c>
      <c r="AN161" s="68" t="str">
        <f t="shared" si="35"/>
        <v>00</v>
      </c>
      <c r="AO161" s="68" t="str">
        <f t="shared" si="36"/>
        <v>00</v>
      </c>
      <c r="AQ161" t="str">
        <f t="shared" si="31"/>
        <v/>
      </c>
    </row>
    <row r="162" spans="2:43">
      <c r="B162" s="139"/>
      <c r="C162" s="55">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0</v>
      </c>
      <c r="AE162" s="133">
        <f t="shared" si="42"/>
        <v>0</v>
      </c>
      <c r="AF162" s="133">
        <f t="shared" si="42"/>
        <v>0</v>
      </c>
      <c r="AG162" s="133">
        <f t="shared" si="42"/>
        <v>0</v>
      </c>
      <c r="AH162" s="133">
        <f t="shared" si="42"/>
        <v>0</v>
      </c>
      <c r="AI162" s="133">
        <f t="shared" si="42"/>
        <v>0</v>
      </c>
      <c r="AJ162" s="55" t="str">
        <f t="shared" si="30"/>
        <v/>
      </c>
      <c r="AK162" s="68"/>
      <c r="AL162" s="68" t="str">
        <f t="shared" si="33"/>
        <v>00</v>
      </c>
      <c r="AM162" s="68" t="str">
        <f t="shared" si="34"/>
        <v>00</v>
      </c>
      <c r="AN162" s="68" t="str">
        <f t="shared" si="35"/>
        <v>00</v>
      </c>
      <c r="AO162" s="68" t="str">
        <f t="shared" si="36"/>
        <v>00</v>
      </c>
      <c r="AQ162" t="str">
        <f t="shared" si="31"/>
        <v/>
      </c>
    </row>
    <row r="163" spans="2:43">
      <c r="B163" s="139"/>
      <c r="C163" s="55">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0</v>
      </c>
      <c r="AE163" s="133">
        <f t="shared" si="42"/>
        <v>0</v>
      </c>
      <c r="AF163" s="133">
        <f t="shared" si="42"/>
        <v>0</v>
      </c>
      <c r="AG163" s="133">
        <f t="shared" si="42"/>
        <v>0</v>
      </c>
      <c r="AH163" s="133">
        <f t="shared" si="42"/>
        <v>0</v>
      </c>
      <c r="AI163" s="133">
        <f t="shared" si="42"/>
        <v>0</v>
      </c>
      <c r="AJ163" s="55" t="str">
        <f t="shared" si="30"/>
        <v/>
      </c>
      <c r="AK163" s="68"/>
      <c r="AL163" s="68" t="str">
        <f t="shared" si="33"/>
        <v>00</v>
      </c>
      <c r="AM163" s="68" t="str">
        <f t="shared" si="34"/>
        <v>00</v>
      </c>
      <c r="AN163" s="68" t="str">
        <f t="shared" si="35"/>
        <v>00</v>
      </c>
      <c r="AO163" s="68" t="str">
        <f t="shared" si="36"/>
        <v>00</v>
      </c>
      <c r="AQ163" t="str">
        <f t="shared" si="31"/>
        <v/>
      </c>
    </row>
    <row r="164" spans="2:43">
      <c r="B164" s="139"/>
      <c r="C164" s="55">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0</v>
      </c>
      <c r="AE164" s="133">
        <f t="shared" si="42"/>
        <v>0</v>
      </c>
      <c r="AF164" s="133">
        <f t="shared" si="42"/>
        <v>0</v>
      </c>
      <c r="AG164" s="133">
        <f t="shared" si="42"/>
        <v>0</v>
      </c>
      <c r="AH164" s="133">
        <f t="shared" si="42"/>
        <v>0</v>
      </c>
      <c r="AI164" s="133">
        <f t="shared" si="42"/>
        <v>0</v>
      </c>
      <c r="AJ164" s="55" t="str">
        <f t="shared" si="30"/>
        <v/>
      </c>
      <c r="AK164" s="68"/>
      <c r="AL164" s="68" t="str">
        <f t="shared" si="33"/>
        <v>00</v>
      </c>
      <c r="AM164" s="68" t="str">
        <f t="shared" si="34"/>
        <v>00</v>
      </c>
      <c r="AN164" s="68" t="str">
        <f t="shared" si="35"/>
        <v>00</v>
      </c>
      <c r="AO164" s="68" t="str">
        <f t="shared" si="36"/>
        <v>00</v>
      </c>
      <c r="AQ164" t="str">
        <f t="shared" si="31"/>
        <v/>
      </c>
    </row>
    <row r="165" spans="2:43">
      <c r="B165" s="139"/>
      <c r="C165" s="55">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0</v>
      </c>
      <c r="AE165" s="133">
        <f t="shared" si="42"/>
        <v>0</v>
      </c>
      <c r="AF165" s="133">
        <f t="shared" si="42"/>
        <v>0</v>
      </c>
      <c r="AG165" s="133">
        <f t="shared" si="42"/>
        <v>0</v>
      </c>
      <c r="AH165" s="133">
        <f t="shared" si="42"/>
        <v>0</v>
      </c>
      <c r="AI165" s="133">
        <f t="shared" si="42"/>
        <v>0</v>
      </c>
      <c r="AJ165" s="55" t="str">
        <f t="shared" si="30"/>
        <v/>
      </c>
      <c r="AK165" s="68"/>
      <c r="AL165" s="68" t="str">
        <f t="shared" si="33"/>
        <v>00</v>
      </c>
      <c r="AM165" s="68" t="str">
        <f t="shared" si="34"/>
        <v>00</v>
      </c>
      <c r="AN165" s="68" t="str">
        <f t="shared" si="35"/>
        <v>00</v>
      </c>
      <c r="AO165" s="68" t="str">
        <f t="shared" si="36"/>
        <v>00</v>
      </c>
      <c r="AQ165" t="str">
        <f t="shared" si="31"/>
        <v/>
      </c>
    </row>
    <row r="166" spans="2:43">
      <c r="B166" s="139"/>
      <c r="C166" s="55">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0</v>
      </c>
      <c r="AE166" s="133">
        <f t="shared" si="42"/>
        <v>0</v>
      </c>
      <c r="AF166" s="133">
        <f t="shared" si="42"/>
        <v>0</v>
      </c>
      <c r="AG166" s="133">
        <f t="shared" si="42"/>
        <v>0</v>
      </c>
      <c r="AH166" s="133">
        <f t="shared" si="42"/>
        <v>0</v>
      </c>
      <c r="AI166" s="133">
        <f t="shared" si="42"/>
        <v>0</v>
      </c>
      <c r="AJ166" s="55" t="str">
        <f t="shared" si="30"/>
        <v/>
      </c>
      <c r="AK166" s="68"/>
      <c r="AL166" s="68" t="str">
        <f t="shared" si="33"/>
        <v>00</v>
      </c>
      <c r="AM166" s="68" t="str">
        <f t="shared" si="34"/>
        <v>00</v>
      </c>
      <c r="AN166" s="68" t="str">
        <f t="shared" si="35"/>
        <v>00</v>
      </c>
      <c r="AO166" s="68" t="str">
        <f t="shared" si="36"/>
        <v>00</v>
      </c>
      <c r="AQ166" t="str">
        <f t="shared" si="31"/>
        <v/>
      </c>
    </row>
    <row r="167" spans="2:43">
      <c r="B167" s="139"/>
      <c r="C167" s="55">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0</v>
      </c>
      <c r="AE167" s="133">
        <f t="shared" si="42"/>
        <v>0</v>
      </c>
      <c r="AF167" s="133">
        <f t="shared" si="42"/>
        <v>0</v>
      </c>
      <c r="AG167" s="133">
        <f t="shared" si="42"/>
        <v>0</v>
      </c>
      <c r="AH167" s="133">
        <f t="shared" si="42"/>
        <v>0</v>
      </c>
      <c r="AI167" s="133">
        <f t="shared" ref="AI167" si="43">IF(OR(AI37=0,AI37=1),1,0)</f>
        <v>0</v>
      </c>
      <c r="AJ167" s="55" t="str">
        <f t="shared" si="30"/>
        <v/>
      </c>
      <c r="AK167" s="68"/>
      <c r="AL167" s="68" t="str">
        <f t="shared" si="33"/>
        <v>00</v>
      </c>
      <c r="AM167" s="68" t="str">
        <f t="shared" si="34"/>
        <v>00</v>
      </c>
      <c r="AN167" s="68" t="str">
        <f t="shared" si="35"/>
        <v>00</v>
      </c>
      <c r="AO167" s="68" t="str">
        <f t="shared" si="36"/>
        <v>00</v>
      </c>
      <c r="AQ167" t="str">
        <f t="shared" si="31"/>
        <v/>
      </c>
    </row>
    <row r="168" spans="2:43">
      <c r="B168" s="139"/>
      <c r="C168" s="55">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0</v>
      </c>
      <c r="AE168" s="133">
        <f t="shared" si="44"/>
        <v>0</v>
      </c>
      <c r="AF168" s="133">
        <f t="shared" si="44"/>
        <v>0</v>
      </c>
      <c r="AG168" s="133">
        <f t="shared" si="44"/>
        <v>0</v>
      </c>
      <c r="AH168" s="133">
        <f t="shared" si="44"/>
        <v>0</v>
      </c>
      <c r="AI168" s="133">
        <f t="shared" si="44"/>
        <v>0</v>
      </c>
      <c r="AJ168" s="55" t="str">
        <f t="shared" si="30"/>
        <v/>
      </c>
      <c r="AK168" s="68"/>
      <c r="AL168" s="68" t="str">
        <f t="shared" si="33"/>
        <v>00</v>
      </c>
      <c r="AM168" s="68" t="str">
        <f t="shared" si="34"/>
        <v>00</v>
      </c>
      <c r="AN168" s="68" t="str">
        <f t="shared" si="35"/>
        <v>00</v>
      </c>
      <c r="AO168" s="68" t="str">
        <f t="shared" si="36"/>
        <v>00</v>
      </c>
      <c r="AQ168" t="str">
        <f t="shared" si="31"/>
        <v/>
      </c>
    </row>
    <row r="169" spans="2:43">
      <c r="B169" s="139"/>
      <c r="C169" s="55">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0</v>
      </c>
      <c r="AE169" s="133">
        <f t="shared" si="44"/>
        <v>0</v>
      </c>
      <c r="AF169" s="133">
        <f t="shared" si="44"/>
        <v>0</v>
      </c>
      <c r="AG169" s="133">
        <f t="shared" si="44"/>
        <v>0</v>
      </c>
      <c r="AH169" s="133">
        <f t="shared" si="44"/>
        <v>0</v>
      </c>
      <c r="AI169" s="133">
        <f t="shared" si="44"/>
        <v>0</v>
      </c>
      <c r="AJ169" s="55" t="str">
        <f t="shared" si="30"/>
        <v/>
      </c>
      <c r="AK169" s="68"/>
      <c r="AL169" s="68" t="str">
        <f t="shared" si="33"/>
        <v>00</v>
      </c>
      <c r="AM169" s="68" t="str">
        <f t="shared" si="34"/>
        <v>00</v>
      </c>
      <c r="AN169" s="68" t="str">
        <f t="shared" si="35"/>
        <v>00</v>
      </c>
      <c r="AO169" s="68" t="str">
        <f t="shared" si="36"/>
        <v>00</v>
      </c>
      <c r="AQ169" t="str">
        <f t="shared" si="31"/>
        <v/>
      </c>
    </row>
    <row r="170" spans="2:43">
      <c r="B170" s="139"/>
      <c r="C170" s="55">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0</v>
      </c>
      <c r="AE170" s="133">
        <f t="shared" si="44"/>
        <v>0</v>
      </c>
      <c r="AF170" s="133">
        <f t="shared" si="44"/>
        <v>0</v>
      </c>
      <c r="AG170" s="133">
        <f t="shared" si="44"/>
        <v>0</v>
      </c>
      <c r="AH170" s="133">
        <f t="shared" si="44"/>
        <v>0</v>
      </c>
      <c r="AI170" s="133">
        <f t="shared" si="44"/>
        <v>0</v>
      </c>
      <c r="AJ170" s="55" t="str">
        <f t="shared" si="30"/>
        <v/>
      </c>
      <c r="AK170" s="68"/>
      <c r="AL170" s="68" t="str">
        <f t="shared" si="33"/>
        <v>00</v>
      </c>
      <c r="AM170" s="68" t="str">
        <f t="shared" si="34"/>
        <v>00</v>
      </c>
      <c r="AN170" s="68" t="str">
        <f t="shared" si="35"/>
        <v>00</v>
      </c>
      <c r="AO170" s="68" t="str">
        <f t="shared" si="36"/>
        <v>00</v>
      </c>
      <c r="AQ170" t="str">
        <f t="shared" si="31"/>
        <v/>
      </c>
    </row>
    <row r="171" spans="2:43">
      <c r="B171" s="139"/>
      <c r="C171" s="55">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0</v>
      </c>
      <c r="AE171" s="133">
        <f t="shared" si="44"/>
        <v>0</v>
      </c>
      <c r="AF171" s="133">
        <f t="shared" si="44"/>
        <v>0</v>
      </c>
      <c r="AG171" s="133">
        <f t="shared" si="44"/>
        <v>0</v>
      </c>
      <c r="AH171" s="133">
        <f t="shared" si="44"/>
        <v>0</v>
      </c>
      <c r="AI171" s="133">
        <f t="shared" si="44"/>
        <v>0</v>
      </c>
      <c r="AJ171" s="55" t="str">
        <f t="shared" si="30"/>
        <v/>
      </c>
      <c r="AK171" s="68"/>
      <c r="AL171" s="68" t="str">
        <f t="shared" si="33"/>
        <v>00</v>
      </c>
      <c r="AM171" s="68" t="str">
        <f t="shared" si="34"/>
        <v>00</v>
      </c>
      <c r="AN171" s="68" t="str">
        <f t="shared" si="35"/>
        <v>00</v>
      </c>
      <c r="AO171" s="68" t="str">
        <f t="shared" si="36"/>
        <v>00</v>
      </c>
      <c r="AQ171" t="str">
        <f t="shared" si="31"/>
        <v/>
      </c>
    </row>
    <row r="172" spans="2:43">
      <c r="B172" s="139"/>
      <c r="C172" s="55">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0</v>
      </c>
      <c r="AE172" s="133">
        <f t="shared" si="44"/>
        <v>0</v>
      </c>
      <c r="AF172" s="133">
        <f t="shared" si="44"/>
        <v>0</v>
      </c>
      <c r="AG172" s="133">
        <f t="shared" si="44"/>
        <v>0</v>
      </c>
      <c r="AH172" s="133">
        <f t="shared" si="44"/>
        <v>0</v>
      </c>
      <c r="AI172" s="133">
        <f t="shared" si="44"/>
        <v>0</v>
      </c>
      <c r="AJ172" s="55" t="str">
        <f t="shared" si="30"/>
        <v/>
      </c>
      <c r="AK172" s="68"/>
      <c r="AL172" s="68" t="str">
        <f t="shared" si="33"/>
        <v>00</v>
      </c>
      <c r="AM172" s="68" t="str">
        <f t="shared" si="34"/>
        <v>00</v>
      </c>
      <c r="AN172" s="68" t="str">
        <f t="shared" si="35"/>
        <v>00</v>
      </c>
      <c r="AO172" s="68" t="str">
        <f t="shared" si="36"/>
        <v>00</v>
      </c>
      <c r="AQ172" t="str">
        <f t="shared" si="31"/>
        <v/>
      </c>
    </row>
    <row r="173" spans="2:43">
      <c r="B173" s="139"/>
      <c r="C173" s="55">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0</v>
      </c>
      <c r="AE173" s="133">
        <f t="shared" si="44"/>
        <v>0</v>
      </c>
      <c r="AF173" s="133">
        <f t="shared" si="44"/>
        <v>0</v>
      </c>
      <c r="AG173" s="133">
        <f t="shared" si="44"/>
        <v>0</v>
      </c>
      <c r="AH173" s="133">
        <f t="shared" si="44"/>
        <v>0</v>
      </c>
      <c r="AI173" s="133">
        <f t="shared" si="44"/>
        <v>0</v>
      </c>
      <c r="AJ173" s="55" t="str">
        <f t="shared" si="30"/>
        <v/>
      </c>
      <c r="AK173" s="68"/>
      <c r="AL173" s="68" t="str">
        <f t="shared" si="33"/>
        <v>00</v>
      </c>
      <c r="AM173" s="68" t="str">
        <f t="shared" si="34"/>
        <v>00</v>
      </c>
      <c r="AN173" s="68" t="str">
        <f t="shared" si="35"/>
        <v>00</v>
      </c>
      <c r="AO173" s="68" t="str">
        <f t="shared" si="36"/>
        <v>00</v>
      </c>
      <c r="AQ173" t="str">
        <f t="shared" si="31"/>
        <v/>
      </c>
    </row>
    <row r="174" spans="2:43">
      <c r="B174" s="139"/>
      <c r="C174" s="55">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0</v>
      </c>
      <c r="AE174" s="133">
        <f t="shared" si="44"/>
        <v>0</v>
      </c>
      <c r="AF174" s="133">
        <f t="shared" si="44"/>
        <v>0</v>
      </c>
      <c r="AG174" s="133">
        <f t="shared" si="44"/>
        <v>0</v>
      </c>
      <c r="AH174" s="133">
        <f t="shared" si="44"/>
        <v>0</v>
      </c>
      <c r="AI174" s="133">
        <f t="shared" si="44"/>
        <v>0</v>
      </c>
      <c r="AJ174" s="55" t="str">
        <f t="shared" si="30"/>
        <v/>
      </c>
      <c r="AK174" s="68"/>
      <c r="AL174" s="68" t="str">
        <f t="shared" si="33"/>
        <v>00</v>
      </c>
      <c r="AM174" s="68" t="str">
        <f t="shared" si="34"/>
        <v>00</v>
      </c>
      <c r="AN174" s="68" t="str">
        <f t="shared" si="35"/>
        <v>00</v>
      </c>
      <c r="AO174" s="68" t="str">
        <f t="shared" si="36"/>
        <v>00</v>
      </c>
      <c r="AQ174" t="str">
        <f t="shared" si="31"/>
        <v/>
      </c>
    </row>
    <row r="175" spans="2:43">
      <c r="B175" s="139"/>
      <c r="C175" s="55">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0</v>
      </c>
      <c r="AE175" s="133">
        <f t="shared" si="44"/>
        <v>0</v>
      </c>
      <c r="AF175" s="133">
        <f t="shared" si="44"/>
        <v>0</v>
      </c>
      <c r="AG175" s="133">
        <f t="shared" si="44"/>
        <v>0</v>
      </c>
      <c r="AH175" s="133">
        <f t="shared" si="44"/>
        <v>0</v>
      </c>
      <c r="AI175" s="133">
        <f t="shared" ref="AI175" si="45">IF(OR(AI45=0,AI45=1),1,0)</f>
        <v>0</v>
      </c>
      <c r="AJ175" s="55" t="str">
        <f t="shared" si="30"/>
        <v/>
      </c>
      <c r="AK175" s="68"/>
      <c r="AL175" s="68" t="str">
        <f t="shared" si="33"/>
        <v>00</v>
      </c>
      <c r="AM175" s="68" t="str">
        <f t="shared" si="34"/>
        <v>00</v>
      </c>
      <c r="AN175" s="68" t="str">
        <f t="shared" si="35"/>
        <v>00</v>
      </c>
      <c r="AO175" s="68" t="str">
        <f t="shared" si="36"/>
        <v>00</v>
      </c>
      <c r="AQ175" t="str">
        <f t="shared" si="31"/>
        <v/>
      </c>
    </row>
    <row r="176" spans="2:43">
      <c r="B176" s="139"/>
      <c r="C176" s="55">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0</v>
      </c>
      <c r="AE176" s="133">
        <f t="shared" si="46"/>
        <v>0</v>
      </c>
      <c r="AF176" s="133">
        <f t="shared" si="46"/>
        <v>0</v>
      </c>
      <c r="AG176" s="133">
        <f t="shared" si="46"/>
        <v>0</v>
      </c>
      <c r="AH176" s="133">
        <f t="shared" si="46"/>
        <v>0</v>
      </c>
      <c r="AI176" s="133">
        <f t="shared" si="46"/>
        <v>0</v>
      </c>
      <c r="AJ176" s="55" t="str">
        <f t="shared" si="30"/>
        <v/>
      </c>
      <c r="AK176" s="68"/>
      <c r="AL176" s="68" t="str">
        <f t="shared" si="33"/>
        <v>00</v>
      </c>
      <c r="AM176" s="68" t="str">
        <f t="shared" si="34"/>
        <v>00</v>
      </c>
      <c r="AN176" s="68" t="str">
        <f t="shared" si="35"/>
        <v>00</v>
      </c>
      <c r="AO176" s="68" t="str">
        <f t="shared" si="36"/>
        <v>00</v>
      </c>
      <c r="AQ176" t="str">
        <f t="shared" si="31"/>
        <v/>
      </c>
    </row>
    <row r="177" spans="2:43">
      <c r="B177" s="139"/>
      <c r="C177" s="55">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0</v>
      </c>
      <c r="AE177" s="133">
        <f t="shared" si="46"/>
        <v>0</v>
      </c>
      <c r="AF177" s="133">
        <f t="shared" si="46"/>
        <v>0</v>
      </c>
      <c r="AG177" s="133">
        <f t="shared" si="46"/>
        <v>0</v>
      </c>
      <c r="AH177" s="133">
        <f t="shared" si="46"/>
        <v>0</v>
      </c>
      <c r="AI177" s="133">
        <f t="shared" si="46"/>
        <v>0</v>
      </c>
      <c r="AJ177" s="55" t="str">
        <f t="shared" si="30"/>
        <v/>
      </c>
      <c r="AK177" s="68"/>
      <c r="AL177" s="68" t="str">
        <f t="shared" si="33"/>
        <v>00</v>
      </c>
      <c r="AM177" s="68" t="str">
        <f t="shared" si="34"/>
        <v>00</v>
      </c>
      <c r="AN177" s="68" t="str">
        <f t="shared" si="35"/>
        <v>00</v>
      </c>
      <c r="AO177" s="68" t="str">
        <f t="shared" si="36"/>
        <v>00</v>
      </c>
      <c r="AQ177" t="str">
        <f t="shared" si="31"/>
        <v/>
      </c>
    </row>
    <row r="178" spans="2:43">
      <c r="B178" s="139"/>
      <c r="C178" s="55">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0</v>
      </c>
      <c r="AE178" s="133">
        <f t="shared" si="46"/>
        <v>0</v>
      </c>
      <c r="AF178" s="133">
        <f t="shared" si="46"/>
        <v>0</v>
      </c>
      <c r="AG178" s="133">
        <f t="shared" si="46"/>
        <v>0</v>
      </c>
      <c r="AH178" s="133">
        <f t="shared" si="46"/>
        <v>0</v>
      </c>
      <c r="AI178" s="133">
        <f t="shared" si="46"/>
        <v>0</v>
      </c>
      <c r="AJ178" s="55" t="str">
        <f t="shared" si="30"/>
        <v/>
      </c>
      <c r="AK178" s="68"/>
      <c r="AL178" s="68" t="str">
        <f t="shared" si="33"/>
        <v>00</v>
      </c>
      <c r="AM178" s="68" t="str">
        <f t="shared" si="34"/>
        <v>00</v>
      </c>
      <c r="AN178" s="68" t="str">
        <f t="shared" si="35"/>
        <v>00</v>
      </c>
      <c r="AO178" s="68" t="str">
        <f t="shared" si="36"/>
        <v>00</v>
      </c>
      <c r="AQ178" t="str">
        <f t="shared" si="31"/>
        <v/>
      </c>
    </row>
    <row r="179" spans="2:43">
      <c r="B179" s="139"/>
      <c r="C179" s="55">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0</v>
      </c>
      <c r="AE179" s="133">
        <f t="shared" si="46"/>
        <v>0</v>
      </c>
      <c r="AF179" s="133">
        <f t="shared" si="46"/>
        <v>0</v>
      </c>
      <c r="AG179" s="133">
        <f t="shared" si="46"/>
        <v>0</v>
      </c>
      <c r="AH179" s="133">
        <f t="shared" si="46"/>
        <v>0</v>
      </c>
      <c r="AI179" s="133">
        <f t="shared" si="46"/>
        <v>0</v>
      </c>
      <c r="AJ179" s="55" t="str">
        <f t="shared" si="30"/>
        <v/>
      </c>
      <c r="AK179" s="68"/>
      <c r="AL179" s="68" t="str">
        <f t="shared" si="33"/>
        <v>00</v>
      </c>
      <c r="AM179" s="68" t="str">
        <f t="shared" si="34"/>
        <v>00</v>
      </c>
      <c r="AN179" s="68" t="str">
        <f t="shared" si="35"/>
        <v>00</v>
      </c>
      <c r="AO179" s="68" t="str">
        <f t="shared" si="36"/>
        <v>00</v>
      </c>
      <c r="AQ179" t="str">
        <f t="shared" si="31"/>
        <v/>
      </c>
    </row>
    <row r="180" spans="2:43">
      <c r="B180" s="139"/>
      <c r="C180" s="55">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0</v>
      </c>
      <c r="AE180" s="133">
        <f t="shared" si="46"/>
        <v>0</v>
      </c>
      <c r="AF180" s="133">
        <f t="shared" si="46"/>
        <v>0</v>
      </c>
      <c r="AG180" s="133">
        <f t="shared" si="46"/>
        <v>0</v>
      </c>
      <c r="AH180" s="133">
        <f t="shared" si="46"/>
        <v>0</v>
      </c>
      <c r="AI180" s="133">
        <f t="shared" si="46"/>
        <v>0</v>
      </c>
      <c r="AJ180" s="55" t="str">
        <f t="shared" si="30"/>
        <v/>
      </c>
      <c r="AK180" s="68"/>
      <c r="AL180" s="68" t="str">
        <f t="shared" si="33"/>
        <v>00</v>
      </c>
      <c r="AM180" s="68" t="str">
        <f t="shared" si="34"/>
        <v>00</v>
      </c>
      <c r="AN180" s="68" t="str">
        <f t="shared" si="35"/>
        <v>00</v>
      </c>
      <c r="AO180" s="68" t="str">
        <f t="shared" si="36"/>
        <v>00</v>
      </c>
      <c r="AQ180" t="str">
        <f t="shared" si="31"/>
        <v/>
      </c>
    </row>
    <row r="181" spans="2:43">
      <c r="B181" s="139"/>
      <c r="C181" s="55">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0</v>
      </c>
      <c r="AE181" s="133">
        <f t="shared" si="46"/>
        <v>0</v>
      </c>
      <c r="AF181" s="133">
        <f t="shared" si="46"/>
        <v>0</v>
      </c>
      <c r="AG181" s="133">
        <f t="shared" si="46"/>
        <v>0</v>
      </c>
      <c r="AH181" s="133">
        <f t="shared" si="46"/>
        <v>0</v>
      </c>
      <c r="AI181" s="133">
        <f t="shared" si="46"/>
        <v>0</v>
      </c>
      <c r="AJ181" s="55" t="str">
        <f t="shared" si="30"/>
        <v/>
      </c>
      <c r="AK181" s="68"/>
      <c r="AL181" s="68" t="str">
        <f t="shared" si="33"/>
        <v>00</v>
      </c>
      <c r="AM181" s="68" t="str">
        <f t="shared" si="34"/>
        <v>00</v>
      </c>
      <c r="AN181" s="68" t="str">
        <f t="shared" si="35"/>
        <v>00</v>
      </c>
      <c r="AO181" s="68" t="str">
        <f t="shared" si="36"/>
        <v>00</v>
      </c>
      <c r="AQ181" t="str">
        <f t="shared" si="31"/>
        <v/>
      </c>
    </row>
    <row r="182" spans="2:43">
      <c r="B182" s="139"/>
      <c r="C182" s="55">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0</v>
      </c>
      <c r="AE182" s="133">
        <f t="shared" si="46"/>
        <v>0</v>
      </c>
      <c r="AF182" s="133">
        <f t="shared" si="46"/>
        <v>0</v>
      </c>
      <c r="AG182" s="133">
        <f t="shared" si="46"/>
        <v>0</v>
      </c>
      <c r="AH182" s="133">
        <f t="shared" si="46"/>
        <v>0</v>
      </c>
      <c r="AI182" s="133">
        <f t="shared" si="46"/>
        <v>0</v>
      </c>
      <c r="AJ182" s="55" t="str">
        <f t="shared" si="30"/>
        <v/>
      </c>
      <c r="AK182" s="68"/>
      <c r="AL182" s="68" t="str">
        <f t="shared" si="33"/>
        <v>00</v>
      </c>
      <c r="AM182" s="68" t="str">
        <f t="shared" si="34"/>
        <v>00</v>
      </c>
      <c r="AN182" s="68" t="str">
        <f t="shared" si="35"/>
        <v>00</v>
      </c>
      <c r="AO182" s="68" t="str">
        <f t="shared" si="36"/>
        <v>00</v>
      </c>
      <c r="AQ182" t="str">
        <f t="shared" si="31"/>
        <v/>
      </c>
    </row>
    <row r="183" spans="2:43">
      <c r="B183" s="139"/>
      <c r="C183" s="55">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0</v>
      </c>
      <c r="AE183" s="133">
        <f t="shared" si="46"/>
        <v>0</v>
      </c>
      <c r="AF183" s="133">
        <f t="shared" si="46"/>
        <v>0</v>
      </c>
      <c r="AG183" s="133">
        <f t="shared" si="46"/>
        <v>0</v>
      </c>
      <c r="AH183" s="133">
        <f t="shared" si="46"/>
        <v>0</v>
      </c>
      <c r="AI183" s="133">
        <f t="shared" ref="AI183" si="47">IF(OR(AI53=0,AI53=1),1,0)</f>
        <v>0</v>
      </c>
      <c r="AJ183" s="55" t="str">
        <f t="shared" si="30"/>
        <v/>
      </c>
      <c r="AK183" s="68"/>
      <c r="AL183" s="68" t="str">
        <f t="shared" si="33"/>
        <v>00</v>
      </c>
      <c r="AM183" s="68" t="str">
        <f t="shared" si="34"/>
        <v>00</v>
      </c>
      <c r="AN183" s="68" t="str">
        <f t="shared" si="35"/>
        <v>00</v>
      </c>
      <c r="AO183" s="68" t="str">
        <f t="shared" si="36"/>
        <v>00</v>
      </c>
      <c r="AQ183" t="str">
        <f t="shared" si="31"/>
        <v/>
      </c>
    </row>
    <row r="184" spans="2:43">
      <c r="B184" s="139"/>
      <c r="C184" s="55">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0</v>
      </c>
      <c r="AE184" s="133">
        <f t="shared" si="48"/>
        <v>0</v>
      </c>
      <c r="AF184" s="133">
        <f t="shared" si="48"/>
        <v>0</v>
      </c>
      <c r="AG184" s="133">
        <f t="shared" si="48"/>
        <v>0</v>
      </c>
      <c r="AH184" s="133">
        <f t="shared" si="48"/>
        <v>0</v>
      </c>
      <c r="AI184" s="133">
        <f t="shared" si="48"/>
        <v>0</v>
      </c>
      <c r="AJ184" s="55" t="str">
        <f t="shared" si="30"/>
        <v/>
      </c>
      <c r="AK184" s="68"/>
      <c r="AL184" s="68" t="str">
        <f t="shared" si="33"/>
        <v>00</v>
      </c>
      <c r="AM184" s="68" t="str">
        <f t="shared" si="34"/>
        <v>00</v>
      </c>
      <c r="AN184" s="68" t="str">
        <f t="shared" si="35"/>
        <v>00</v>
      </c>
      <c r="AO184" s="68" t="str">
        <f t="shared" si="36"/>
        <v>00</v>
      </c>
      <c r="AQ184" t="str">
        <f t="shared" si="31"/>
        <v/>
      </c>
    </row>
    <row r="185" spans="2:43">
      <c r="B185" s="139"/>
      <c r="C185" s="55">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0</v>
      </c>
      <c r="AE185" s="133">
        <f t="shared" si="48"/>
        <v>0</v>
      </c>
      <c r="AF185" s="133">
        <f t="shared" si="48"/>
        <v>0</v>
      </c>
      <c r="AG185" s="133">
        <f t="shared" si="48"/>
        <v>0</v>
      </c>
      <c r="AH185" s="133">
        <f t="shared" si="48"/>
        <v>0</v>
      </c>
      <c r="AI185" s="133">
        <f t="shared" si="48"/>
        <v>0</v>
      </c>
      <c r="AJ185" s="55" t="str">
        <f t="shared" si="30"/>
        <v/>
      </c>
      <c r="AK185" s="68"/>
      <c r="AL185" s="68" t="str">
        <f t="shared" si="33"/>
        <v>00</v>
      </c>
      <c r="AM185" s="68" t="str">
        <f t="shared" si="34"/>
        <v>00</v>
      </c>
      <c r="AN185" s="68" t="str">
        <f t="shared" si="35"/>
        <v>00</v>
      </c>
      <c r="AO185" s="68" t="str">
        <f t="shared" si="36"/>
        <v>00</v>
      </c>
      <c r="AQ185" t="str">
        <f t="shared" si="31"/>
        <v/>
      </c>
    </row>
    <row r="186" spans="2:43">
      <c r="B186" s="139"/>
      <c r="C186" s="55">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0</v>
      </c>
      <c r="AE186" s="133">
        <f t="shared" si="48"/>
        <v>0</v>
      </c>
      <c r="AF186" s="133">
        <f t="shared" si="48"/>
        <v>0</v>
      </c>
      <c r="AG186" s="133">
        <f t="shared" si="48"/>
        <v>0</v>
      </c>
      <c r="AH186" s="133">
        <f t="shared" si="48"/>
        <v>0</v>
      </c>
      <c r="AI186" s="133">
        <f t="shared" si="48"/>
        <v>0</v>
      </c>
      <c r="AJ186" s="55" t="str">
        <f t="shared" si="30"/>
        <v/>
      </c>
      <c r="AK186" s="68"/>
      <c r="AL186" s="68" t="str">
        <f t="shared" si="33"/>
        <v>00</v>
      </c>
      <c r="AM186" s="68" t="str">
        <f t="shared" si="34"/>
        <v>00</v>
      </c>
      <c r="AN186" s="68" t="str">
        <f t="shared" si="35"/>
        <v>00</v>
      </c>
      <c r="AO186" s="68" t="str">
        <f t="shared" si="36"/>
        <v>00</v>
      </c>
      <c r="AQ186" t="str">
        <f t="shared" si="31"/>
        <v/>
      </c>
    </row>
    <row r="187" spans="2:43">
      <c r="B187" s="139"/>
      <c r="C187" s="55">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0</v>
      </c>
      <c r="AE187" s="133">
        <f t="shared" si="48"/>
        <v>0</v>
      </c>
      <c r="AF187" s="133">
        <f t="shared" si="48"/>
        <v>0</v>
      </c>
      <c r="AG187" s="133">
        <f t="shared" si="48"/>
        <v>0</v>
      </c>
      <c r="AH187" s="133">
        <f t="shared" si="48"/>
        <v>0</v>
      </c>
      <c r="AI187" s="133">
        <f t="shared" si="48"/>
        <v>0</v>
      </c>
      <c r="AJ187" s="55" t="str">
        <f t="shared" si="30"/>
        <v/>
      </c>
      <c r="AK187" s="68"/>
      <c r="AL187" s="68" t="str">
        <f t="shared" si="33"/>
        <v>00</v>
      </c>
      <c r="AM187" s="68" t="str">
        <f t="shared" si="34"/>
        <v>00</v>
      </c>
      <c r="AN187" s="68" t="str">
        <f t="shared" si="35"/>
        <v>00</v>
      </c>
      <c r="AO187" s="68" t="str">
        <f t="shared" si="36"/>
        <v>00</v>
      </c>
      <c r="AQ187" t="str">
        <f t="shared" si="31"/>
        <v/>
      </c>
    </row>
    <row r="188" spans="2:43">
      <c r="B188" s="139"/>
      <c r="C188" s="55">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0</v>
      </c>
      <c r="AE188" s="133">
        <f t="shared" si="48"/>
        <v>0</v>
      </c>
      <c r="AF188" s="133">
        <f t="shared" si="48"/>
        <v>0</v>
      </c>
      <c r="AG188" s="133">
        <f t="shared" si="48"/>
        <v>0</v>
      </c>
      <c r="AH188" s="133">
        <f t="shared" si="48"/>
        <v>0</v>
      </c>
      <c r="AI188" s="133">
        <f t="shared" si="48"/>
        <v>0</v>
      </c>
      <c r="AJ188" s="55" t="str">
        <f t="shared" si="30"/>
        <v/>
      </c>
      <c r="AK188" s="68"/>
      <c r="AL188" s="68" t="str">
        <f t="shared" si="33"/>
        <v>00</v>
      </c>
      <c r="AM188" s="68" t="str">
        <f t="shared" si="34"/>
        <v>00</v>
      </c>
      <c r="AN188" s="68" t="str">
        <f t="shared" si="35"/>
        <v>00</v>
      </c>
      <c r="AO188" s="68" t="str">
        <f t="shared" si="36"/>
        <v>00</v>
      </c>
      <c r="AQ188" t="str">
        <f t="shared" si="31"/>
        <v/>
      </c>
    </row>
    <row r="189" spans="2:43">
      <c r="B189" s="139"/>
      <c r="C189" s="55">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0</v>
      </c>
      <c r="AE189" s="133">
        <f t="shared" si="48"/>
        <v>0</v>
      </c>
      <c r="AF189" s="133">
        <f t="shared" si="48"/>
        <v>0</v>
      </c>
      <c r="AG189" s="133">
        <f t="shared" si="48"/>
        <v>0</v>
      </c>
      <c r="AH189" s="133">
        <f t="shared" si="48"/>
        <v>0</v>
      </c>
      <c r="AI189" s="133">
        <f t="shared" si="48"/>
        <v>0</v>
      </c>
      <c r="AJ189" s="55" t="str">
        <f t="shared" si="30"/>
        <v/>
      </c>
      <c r="AK189" s="68"/>
      <c r="AL189" s="68" t="str">
        <f t="shared" si="33"/>
        <v>00</v>
      </c>
      <c r="AM189" s="68" t="str">
        <f t="shared" si="34"/>
        <v>00</v>
      </c>
      <c r="AN189" s="68" t="str">
        <f t="shared" si="35"/>
        <v>00</v>
      </c>
      <c r="AO189" s="68" t="str">
        <f t="shared" si="36"/>
        <v>00</v>
      </c>
      <c r="AQ189" t="str">
        <f t="shared" si="31"/>
        <v/>
      </c>
    </row>
    <row r="190" spans="2:43">
      <c r="B190" s="139"/>
      <c r="C190" s="55">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0</v>
      </c>
      <c r="AE190" s="133">
        <f t="shared" si="48"/>
        <v>0</v>
      </c>
      <c r="AF190" s="133">
        <f t="shared" si="48"/>
        <v>0</v>
      </c>
      <c r="AG190" s="133">
        <f t="shared" si="48"/>
        <v>0</v>
      </c>
      <c r="AH190" s="133">
        <f t="shared" si="48"/>
        <v>0</v>
      </c>
      <c r="AI190" s="133">
        <f t="shared" si="48"/>
        <v>0</v>
      </c>
      <c r="AJ190" s="55" t="str">
        <f t="shared" si="30"/>
        <v/>
      </c>
      <c r="AK190" s="68"/>
      <c r="AL190" s="68" t="str">
        <f t="shared" si="33"/>
        <v>00</v>
      </c>
      <c r="AM190" s="68" t="str">
        <f t="shared" si="34"/>
        <v>00</v>
      </c>
      <c r="AN190" s="68" t="str">
        <f t="shared" si="35"/>
        <v>00</v>
      </c>
      <c r="AO190" s="68" t="str">
        <f t="shared" si="36"/>
        <v>00</v>
      </c>
      <c r="AQ190" t="str">
        <f t="shared" si="31"/>
        <v/>
      </c>
    </row>
    <row r="191" spans="2:43">
      <c r="B191" s="139"/>
      <c r="C191" s="55">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0</v>
      </c>
      <c r="AE191" s="133">
        <f t="shared" si="48"/>
        <v>0</v>
      </c>
      <c r="AF191" s="133">
        <f t="shared" si="48"/>
        <v>0</v>
      </c>
      <c r="AG191" s="133">
        <f t="shared" si="48"/>
        <v>0</v>
      </c>
      <c r="AH191" s="133">
        <f t="shared" si="48"/>
        <v>0</v>
      </c>
      <c r="AI191" s="133">
        <f t="shared" ref="AI191" si="49">IF(OR(AI61=0,AI61=1),1,0)</f>
        <v>0</v>
      </c>
      <c r="AJ191" s="55" t="str">
        <f t="shared" si="30"/>
        <v/>
      </c>
      <c r="AK191" s="68"/>
      <c r="AL191" s="68" t="str">
        <f t="shared" si="33"/>
        <v>00</v>
      </c>
      <c r="AM191" s="68" t="str">
        <f t="shared" si="34"/>
        <v>00</v>
      </c>
      <c r="AN191" s="68" t="str">
        <f t="shared" si="35"/>
        <v>00</v>
      </c>
      <c r="AO191" s="68" t="str">
        <f t="shared" si="36"/>
        <v>00</v>
      </c>
      <c r="AQ191" t="str">
        <f t="shared" si="31"/>
        <v/>
      </c>
    </row>
    <row r="192" spans="2:43">
      <c r="B192" s="139"/>
      <c r="C192" s="55">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0</v>
      </c>
      <c r="AE192" s="133">
        <f t="shared" si="50"/>
        <v>0</v>
      </c>
      <c r="AF192" s="133">
        <f t="shared" si="50"/>
        <v>0</v>
      </c>
      <c r="AG192" s="133">
        <f t="shared" si="50"/>
        <v>0</v>
      </c>
      <c r="AH192" s="133">
        <f t="shared" si="50"/>
        <v>0</v>
      </c>
      <c r="AI192" s="133">
        <f t="shared" si="50"/>
        <v>0</v>
      </c>
      <c r="AJ192" s="55" t="str">
        <f t="shared" si="30"/>
        <v/>
      </c>
      <c r="AK192" s="68"/>
      <c r="AL192" s="68" t="str">
        <f t="shared" si="33"/>
        <v>00</v>
      </c>
      <c r="AM192" s="68" t="str">
        <f t="shared" si="34"/>
        <v>00</v>
      </c>
      <c r="AN192" s="68" t="str">
        <f t="shared" si="35"/>
        <v>00</v>
      </c>
      <c r="AO192" s="68" t="str">
        <f t="shared" si="36"/>
        <v>00</v>
      </c>
      <c r="AQ192" t="str">
        <f t="shared" si="31"/>
        <v/>
      </c>
    </row>
    <row r="193" spans="2:43">
      <c r="B193" s="139"/>
      <c r="C193" s="55">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0</v>
      </c>
      <c r="AE193" s="133">
        <f t="shared" si="50"/>
        <v>0</v>
      </c>
      <c r="AF193" s="133">
        <f t="shared" si="50"/>
        <v>0</v>
      </c>
      <c r="AG193" s="133">
        <f t="shared" si="50"/>
        <v>0</v>
      </c>
      <c r="AH193" s="133">
        <f t="shared" si="50"/>
        <v>0</v>
      </c>
      <c r="AI193" s="133">
        <f t="shared" si="50"/>
        <v>0</v>
      </c>
      <c r="AJ193" s="55" t="str">
        <f t="shared" si="30"/>
        <v/>
      </c>
      <c r="AK193" s="68"/>
      <c r="AL193" s="68" t="str">
        <f t="shared" si="33"/>
        <v>00</v>
      </c>
      <c r="AM193" s="68" t="str">
        <f t="shared" si="34"/>
        <v>00</v>
      </c>
      <c r="AN193" s="68" t="str">
        <f t="shared" si="35"/>
        <v>00</v>
      </c>
      <c r="AO193" s="68" t="str">
        <f t="shared" si="36"/>
        <v>00</v>
      </c>
      <c r="AQ193" t="str">
        <f t="shared" si="31"/>
        <v/>
      </c>
    </row>
    <row r="194" spans="2:43">
      <c r="B194" s="139"/>
      <c r="C194" s="55">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0</v>
      </c>
      <c r="AE194" s="133">
        <f t="shared" si="50"/>
        <v>0</v>
      </c>
      <c r="AF194" s="133">
        <f t="shared" si="50"/>
        <v>0</v>
      </c>
      <c r="AG194" s="133">
        <f t="shared" si="50"/>
        <v>0</v>
      </c>
      <c r="AH194" s="133">
        <f t="shared" si="50"/>
        <v>0</v>
      </c>
      <c r="AI194" s="133">
        <f t="shared" si="50"/>
        <v>0</v>
      </c>
      <c r="AJ194" s="55" t="str">
        <f t="shared" si="30"/>
        <v/>
      </c>
      <c r="AK194" s="68"/>
      <c r="AL194" s="68" t="str">
        <f t="shared" si="33"/>
        <v>00</v>
      </c>
      <c r="AM194" s="68" t="str">
        <f t="shared" si="34"/>
        <v>00</v>
      </c>
      <c r="AN194" s="68" t="str">
        <f t="shared" si="35"/>
        <v>00</v>
      </c>
      <c r="AO194" s="68" t="str">
        <f t="shared" si="36"/>
        <v>00</v>
      </c>
      <c r="AQ194" t="str">
        <f t="shared" si="31"/>
        <v/>
      </c>
    </row>
    <row r="195" spans="2:43">
      <c r="B195" s="139"/>
      <c r="C195" s="55">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0</v>
      </c>
      <c r="AE195" s="133">
        <f t="shared" si="50"/>
        <v>0</v>
      </c>
      <c r="AF195" s="133">
        <f t="shared" si="50"/>
        <v>0</v>
      </c>
      <c r="AG195" s="133">
        <f t="shared" si="50"/>
        <v>0</v>
      </c>
      <c r="AH195" s="133">
        <f t="shared" si="50"/>
        <v>0</v>
      </c>
      <c r="AI195" s="133">
        <f t="shared" si="50"/>
        <v>0</v>
      </c>
      <c r="AJ195" s="55" t="str">
        <f t="shared" si="30"/>
        <v/>
      </c>
      <c r="AK195" s="68"/>
      <c r="AL195" s="68" t="str">
        <f t="shared" si="33"/>
        <v>00</v>
      </c>
      <c r="AM195" s="68" t="str">
        <f t="shared" si="34"/>
        <v>00</v>
      </c>
      <c r="AN195" s="68" t="str">
        <f t="shared" si="35"/>
        <v>00</v>
      </c>
      <c r="AO195" s="68" t="str">
        <f t="shared" si="36"/>
        <v>00</v>
      </c>
      <c r="AQ195" t="str">
        <f t="shared" si="31"/>
        <v/>
      </c>
    </row>
    <row r="196" spans="2:43">
      <c r="B196" s="139"/>
      <c r="C196" s="55">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0</v>
      </c>
      <c r="AE196" s="133">
        <f t="shared" si="50"/>
        <v>0</v>
      </c>
      <c r="AF196" s="133">
        <f t="shared" si="50"/>
        <v>0</v>
      </c>
      <c r="AG196" s="133">
        <f t="shared" si="50"/>
        <v>0</v>
      </c>
      <c r="AH196" s="133">
        <f t="shared" si="50"/>
        <v>0</v>
      </c>
      <c r="AI196" s="133">
        <f t="shared" si="50"/>
        <v>0</v>
      </c>
      <c r="AJ196" s="55" t="str">
        <f t="shared" si="30"/>
        <v/>
      </c>
      <c r="AK196" s="68"/>
      <c r="AL196" s="68" t="str">
        <f t="shared" si="33"/>
        <v>00</v>
      </c>
      <c r="AM196" s="68" t="str">
        <f t="shared" si="34"/>
        <v>00</v>
      </c>
      <c r="AN196" s="68" t="str">
        <f t="shared" si="35"/>
        <v>00</v>
      </c>
      <c r="AO196" s="68" t="str">
        <f t="shared" si="36"/>
        <v>00</v>
      </c>
      <c r="AQ196" t="str">
        <f t="shared" si="31"/>
        <v/>
      </c>
    </row>
    <row r="197" spans="2:43">
      <c r="B197" s="139"/>
      <c r="C197" s="55">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0</v>
      </c>
      <c r="AE197" s="133">
        <f t="shared" si="50"/>
        <v>0</v>
      </c>
      <c r="AF197" s="133">
        <f t="shared" si="50"/>
        <v>0</v>
      </c>
      <c r="AG197" s="133">
        <f t="shared" si="50"/>
        <v>0</v>
      </c>
      <c r="AH197" s="133">
        <f t="shared" si="50"/>
        <v>0</v>
      </c>
      <c r="AI197" s="133">
        <f t="shared" si="50"/>
        <v>0</v>
      </c>
      <c r="AJ197" s="55" t="str">
        <f t="shared" si="30"/>
        <v/>
      </c>
      <c r="AK197" s="68"/>
      <c r="AL197" s="68" t="str">
        <f t="shared" si="33"/>
        <v>00</v>
      </c>
      <c r="AM197" s="68" t="str">
        <f t="shared" si="34"/>
        <v>00</v>
      </c>
      <c r="AN197" s="68" t="str">
        <f t="shared" si="35"/>
        <v>00</v>
      </c>
      <c r="AO197" s="68" t="str">
        <f t="shared" si="36"/>
        <v>00</v>
      </c>
      <c r="AQ197" t="str">
        <f t="shared" si="31"/>
        <v/>
      </c>
    </row>
    <row r="198" spans="2:43">
      <c r="B198" s="139"/>
      <c r="C198" s="55">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0</v>
      </c>
      <c r="AE198" s="133">
        <f t="shared" si="50"/>
        <v>0</v>
      </c>
      <c r="AF198" s="133">
        <f t="shared" si="50"/>
        <v>0</v>
      </c>
      <c r="AG198" s="133">
        <f t="shared" si="50"/>
        <v>0</v>
      </c>
      <c r="AH198" s="133">
        <f t="shared" si="50"/>
        <v>0</v>
      </c>
      <c r="AI198" s="133">
        <f t="shared" si="50"/>
        <v>0</v>
      </c>
      <c r="AJ198" s="55" t="str">
        <f t="shared" si="30"/>
        <v/>
      </c>
      <c r="AK198" s="68"/>
      <c r="AL198" s="68" t="str">
        <f t="shared" si="33"/>
        <v>00</v>
      </c>
      <c r="AM198" s="68" t="str">
        <f t="shared" si="34"/>
        <v>00</v>
      </c>
      <c r="AN198" s="68" t="str">
        <f t="shared" si="35"/>
        <v>00</v>
      </c>
      <c r="AO198" s="68" t="str">
        <f t="shared" si="36"/>
        <v>00</v>
      </c>
      <c r="AQ198" t="str">
        <f t="shared" si="31"/>
        <v/>
      </c>
    </row>
    <row r="199" spans="2:43">
      <c r="B199" s="140"/>
      <c r="C199" s="55">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0</v>
      </c>
      <c r="AE199" s="133">
        <f t="shared" si="50"/>
        <v>0</v>
      </c>
      <c r="AF199" s="133">
        <f t="shared" si="50"/>
        <v>0</v>
      </c>
      <c r="AG199" s="133">
        <f t="shared" si="50"/>
        <v>0</v>
      </c>
      <c r="AH199" s="133">
        <f t="shared" si="50"/>
        <v>0</v>
      </c>
      <c r="AI199" s="133">
        <f t="shared" ref="AI199" si="51">IF(OR(AI69=0,AI69=1),1,0)</f>
        <v>0</v>
      </c>
      <c r="AJ199" s="55" t="str">
        <f t="shared" si="30"/>
        <v/>
      </c>
      <c r="AK199" s="68"/>
      <c r="AL199" s="68" t="str">
        <f t="shared" si="33"/>
        <v>00</v>
      </c>
      <c r="AM199" s="68" t="str">
        <f t="shared" si="34"/>
        <v>00</v>
      </c>
      <c r="AN199" s="68" t="str">
        <f t="shared" si="35"/>
        <v>00</v>
      </c>
      <c r="AO199" s="68" t="str">
        <f t="shared" si="36"/>
        <v>00</v>
      </c>
      <c r="AQ199" t="str">
        <f t="shared" si="31"/>
        <v/>
      </c>
    </row>
  </sheetData>
  <protectedRanges>
    <protectedRange sqref="D6:AJ69 L3:AI3" name="Table作成編集範囲"/>
    <protectedRange sqref="B3" name="Table作成編集範囲_2"/>
  </protectedRanges>
  <mergeCells count="3">
    <mergeCell ref="C2:C3"/>
    <mergeCell ref="AJ2:AJ3"/>
    <mergeCell ref="A4:B5"/>
  </mergeCells>
  <phoneticPr fontId="2"/>
  <conditionalFormatting sqref="D6:AI69">
    <cfRule type="cellIs" dxfId="11" priority="2" operator="equal">
      <formula>1</formula>
    </cfRule>
    <cfRule type="cellIs" dxfId="10" priority="3" operator="equal">
      <formula>"×"</formula>
    </cfRule>
  </conditionalFormatting>
  <conditionalFormatting sqref="AR5:AS70">
    <cfRule type="expression" dxfId="9"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CCECFF"/>
  </sheetPr>
  <dimension ref="A1:AW199"/>
  <sheetViews>
    <sheetView topLeftCell="AD1" zoomScale="85" zoomScaleNormal="85" workbookViewId="0">
      <pane ySplit="3" topLeftCell="A4" activePane="bottomLeft" state="frozen"/>
      <selection pane="bottomLeft" activeCell="AU6" sqref="AU6:AU16"/>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2" t="s">
        <v>123</v>
      </c>
      <c r="C2" s="345" t="s">
        <v>84</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47" t="s">
        <v>155</v>
      </c>
    </row>
    <row r="3" spans="1:49" ht="213" customHeight="1" thickBot="1">
      <c r="B3" s="214" t="str">
        <f>IF(OR(IF(COUNTIF(D6:AC69,"0")&lt;&gt;0,TRUE,FALSE),IF(COUNTIF(D6:AC69,"1")&lt;&gt;0,TRUE,FALSE)),"Search Table","Index Table")</f>
        <v>Index Table</v>
      </c>
      <c r="C3" s="346"/>
      <c r="D3" s="134" t="s">
        <v>64</v>
      </c>
      <c r="E3" s="134" t="s">
        <v>69</v>
      </c>
      <c r="F3" s="134" t="s">
        <v>52</v>
      </c>
      <c r="G3" s="134" t="s">
        <v>51</v>
      </c>
      <c r="H3" s="134" t="s">
        <v>121</v>
      </c>
      <c r="I3" s="134" t="s">
        <v>120</v>
      </c>
      <c r="J3" s="134" t="s">
        <v>125</v>
      </c>
      <c r="K3" s="134" t="s">
        <v>124</v>
      </c>
      <c r="L3" s="135" t="s">
        <v>69</v>
      </c>
      <c r="M3" s="135" t="s">
        <v>65</v>
      </c>
      <c r="N3" s="135" t="s">
        <v>65</v>
      </c>
      <c r="O3" s="135" t="s">
        <v>65</v>
      </c>
      <c r="P3" s="135" t="s">
        <v>65</v>
      </c>
      <c r="Q3" s="135" t="s">
        <v>65</v>
      </c>
      <c r="R3" s="135" t="s">
        <v>65</v>
      </c>
      <c r="S3" s="135" t="s">
        <v>65</v>
      </c>
      <c r="T3" s="135" t="s">
        <v>65</v>
      </c>
      <c r="U3" s="135" t="s">
        <v>65</v>
      </c>
      <c r="V3" s="135" t="s">
        <v>65</v>
      </c>
      <c r="W3" s="135" t="s">
        <v>65</v>
      </c>
      <c r="X3" s="135" t="s">
        <v>65</v>
      </c>
      <c r="Y3" s="135" t="s">
        <v>65</v>
      </c>
      <c r="Z3" s="135" t="s">
        <v>65</v>
      </c>
      <c r="AA3" s="135" t="s">
        <v>65</v>
      </c>
      <c r="AB3" s="135" t="s">
        <v>65</v>
      </c>
      <c r="AC3" s="135" t="s">
        <v>65</v>
      </c>
      <c r="AD3" s="135" t="s">
        <v>65</v>
      </c>
      <c r="AE3" s="135" t="s">
        <v>65</v>
      </c>
      <c r="AF3" s="135" t="s">
        <v>65</v>
      </c>
      <c r="AG3" s="353" t="s">
        <v>413</v>
      </c>
      <c r="AH3" s="355"/>
      <c r="AI3" s="144" t="s">
        <v>435</v>
      </c>
      <c r="AJ3" s="348"/>
      <c r="AR3" s="101" t="s">
        <v>96</v>
      </c>
    </row>
    <row r="4" spans="1:49" ht="14.25" thickBot="1">
      <c r="A4" s="349" t="s">
        <v>66</v>
      </c>
      <c r="B4" s="350"/>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6"/>
      <c r="AR4" s="89" t="s">
        <v>82</v>
      </c>
      <c r="AS4" s="90"/>
      <c r="AT4" s="90"/>
      <c r="AU4" s="90"/>
      <c r="AV4" s="90"/>
      <c r="AW4" s="91"/>
    </row>
    <row r="5" spans="1:49" ht="14.25" thickBot="1">
      <c r="A5" s="351"/>
      <c r="B5" s="352"/>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7"/>
      <c r="AR5" s="92" t="str">
        <f ca="1">"static const U4  "&amp;AW8&amp;"["&amp;AW10&amp;"]"&amp;" = {"</f>
        <v>static const U4  u4_sp_ALERT_S_LCA_BC_VC_CRIT[ALERT_S_LCA_BC_VC_NUM_DST] = {</v>
      </c>
      <c r="AS5" s="92" t="str">
        <f ca="1">"static const U4  "&amp;$AW$9&amp;"["&amp;$AW$10&amp;"] = {"</f>
        <v>static const U4  u4_sp_ALERT_S_LCA_BC_VC_MASK[ALERT_S_LCA_BC_VC_NUM_DST] = {</v>
      </c>
      <c r="AT5" s="92" t="str">
        <f ca="1">"static const U1  "&amp;$AW$11&amp;"["&amp;$AW$10&amp;"] = {"</f>
        <v>static const U1  u1_sp_ALERT_S_LCA_BC_VC_DST[ALERT_S_LCA_BC_VC_NUM_DST] = {</v>
      </c>
      <c r="AU5" s="92" t="str">
        <f ca="1">"const ST_ALERT_MTRX "&amp;$AW$12&amp;" = {"</f>
        <v>const ST_ALERT_MTRX st_gp_ALERT_S_LCA_MTRX[7] = {</v>
      </c>
      <c r="AV5" s="72" t="str">
        <f ca="1">"#define "&amp;AW10&amp;REPT(" ",41-LEN(AW10))&amp;"("&amp;AW13&amp;"U)"</f>
        <v>#define ALERT_S_LCA_BC_VC_NUM_DST                (8U)</v>
      </c>
      <c r="AW5" s="73"/>
    </row>
    <row r="6" spans="1:49">
      <c r="B6" s="139" t="str">
        <f ca="1">"Table "&amp;$AW$6</f>
        <v>Table BC_VC</v>
      </c>
      <c r="C6" s="60">
        <f>ROW()-ROW($C$6)</f>
        <v>0</v>
      </c>
      <c r="D6" s="39" t="s">
        <v>70</v>
      </c>
      <c r="E6" s="39" t="s">
        <v>70</v>
      </c>
      <c r="F6" s="39" t="s">
        <v>70</v>
      </c>
      <c r="G6" s="39" t="s">
        <v>70</v>
      </c>
      <c r="H6" s="39" t="s">
        <v>70</v>
      </c>
      <c r="I6" s="39" t="s">
        <v>70</v>
      </c>
      <c r="J6" s="39" t="s">
        <v>70</v>
      </c>
      <c r="K6" s="39" t="s">
        <v>70</v>
      </c>
      <c r="L6" s="39" t="s">
        <v>70</v>
      </c>
      <c r="M6" s="39" t="s">
        <v>70</v>
      </c>
      <c r="N6" s="39" t="s">
        <v>70</v>
      </c>
      <c r="O6" s="39" t="s">
        <v>70</v>
      </c>
      <c r="P6" s="39" t="s">
        <v>70</v>
      </c>
      <c r="Q6" s="39" t="s">
        <v>70</v>
      </c>
      <c r="R6" s="39" t="s">
        <v>70</v>
      </c>
      <c r="S6" s="39" t="s">
        <v>70</v>
      </c>
      <c r="T6" s="39" t="s">
        <v>70</v>
      </c>
      <c r="U6" s="39" t="s">
        <v>70</v>
      </c>
      <c r="V6" s="39" t="s">
        <v>70</v>
      </c>
      <c r="W6" s="39" t="s">
        <v>70</v>
      </c>
      <c r="X6" s="39" t="s">
        <v>70</v>
      </c>
      <c r="Y6" s="39" t="s">
        <v>70</v>
      </c>
      <c r="Z6" s="39" t="s">
        <v>70</v>
      </c>
      <c r="AA6" s="39" t="s">
        <v>70</v>
      </c>
      <c r="AB6" s="39" t="s">
        <v>70</v>
      </c>
      <c r="AC6" s="39" t="s">
        <v>70</v>
      </c>
      <c r="AD6" s="39" t="s">
        <v>70</v>
      </c>
      <c r="AE6" s="39" t="s">
        <v>70</v>
      </c>
      <c r="AF6" s="69" t="s">
        <v>70</v>
      </c>
      <c r="AG6" s="69">
        <v>0</v>
      </c>
      <c r="AH6" s="69">
        <v>0</v>
      </c>
      <c r="AI6" s="69">
        <v>0</v>
      </c>
      <c r="AJ6" s="59" t="s">
        <v>33</v>
      </c>
      <c r="AL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(U4)0x00000007U,                                                           /* 00 UNKNOWN                                         */</v>
      </c>
      <c r="AT6" s="70" t="str">
        <f t="shared" ref="AT6:AT69" si="1">IF(AJ6&lt;&gt;"",AL6&amp;IF(AJ7&lt;&gt;"",","," ")&amp;REPT(" ",78-LEN(AL6))&amp;"/* "&amp;IF(C6&lt;10,"0"&amp;C6,C6)&amp;" "&amp;AJ6&amp;REPT(" ",48-LEN(AJ6))&amp;"*/",IF(AJ5&lt;&gt;"","};",""))</f>
        <v xml:space="preserve">    (U1)ALERT_REQ_UNKNOWN,                                                     /* 00 UNKNOWN                                         */</v>
      </c>
      <c r="AU6" s="70" t="s">
        <v>466</v>
      </c>
      <c r="AV6" s="56" t="s">
        <v>71</v>
      </c>
      <c r="AW6" s="74" t="str">
        <f ca="1">UPPER(RIGHT(CELL("filename",A1),LEN(CELL("filename",A1))-FIND("]",CELL("filename",A1))))</f>
        <v>BC_VC</v>
      </c>
    </row>
    <row r="7" spans="1:49">
      <c r="B7" s="139"/>
      <c r="C7" s="55">
        <f t="shared" ref="C7:C69" si="2">ROW()-ROW($C$6)</f>
        <v>1</v>
      </c>
      <c r="D7" s="69" t="s">
        <v>70</v>
      </c>
      <c r="E7" s="69" t="s">
        <v>70</v>
      </c>
      <c r="F7" s="69" t="s">
        <v>70</v>
      </c>
      <c r="G7" s="69" t="s">
        <v>70</v>
      </c>
      <c r="H7" s="69" t="s">
        <v>70</v>
      </c>
      <c r="I7" s="69" t="s">
        <v>70</v>
      </c>
      <c r="J7" s="69" t="s">
        <v>70</v>
      </c>
      <c r="K7" s="69" t="s">
        <v>70</v>
      </c>
      <c r="L7" s="69" t="s">
        <v>70</v>
      </c>
      <c r="M7" s="69" t="s">
        <v>70</v>
      </c>
      <c r="N7" s="69" t="s">
        <v>70</v>
      </c>
      <c r="O7" s="69" t="s">
        <v>70</v>
      </c>
      <c r="P7" s="69" t="s">
        <v>70</v>
      </c>
      <c r="Q7" s="69" t="s">
        <v>70</v>
      </c>
      <c r="R7" s="69" t="s">
        <v>70</v>
      </c>
      <c r="S7" s="69" t="s">
        <v>70</v>
      </c>
      <c r="T7" s="69" t="s">
        <v>70</v>
      </c>
      <c r="U7" s="69" t="s">
        <v>70</v>
      </c>
      <c r="V7" s="69" t="s">
        <v>70</v>
      </c>
      <c r="W7" s="69" t="s">
        <v>70</v>
      </c>
      <c r="X7" s="69" t="s">
        <v>70</v>
      </c>
      <c r="Y7" s="69" t="s">
        <v>70</v>
      </c>
      <c r="Z7" s="69" t="s">
        <v>70</v>
      </c>
      <c r="AA7" s="69" t="s">
        <v>70</v>
      </c>
      <c r="AB7" s="69" t="s">
        <v>70</v>
      </c>
      <c r="AC7" s="69" t="s">
        <v>70</v>
      </c>
      <c r="AD7" s="69" t="s">
        <v>70</v>
      </c>
      <c r="AE7" s="69" t="s">
        <v>70</v>
      </c>
      <c r="AF7" s="69" t="s">
        <v>70</v>
      </c>
      <c r="AG7" s="69">
        <v>0</v>
      </c>
      <c r="AH7" s="69">
        <v>0</v>
      </c>
      <c r="AI7" s="69">
        <v>1</v>
      </c>
      <c r="AJ7" s="25" t="s">
        <v>412</v>
      </c>
      <c r="AL7" t="str">
        <f t="shared" ca="1" si="0"/>
        <v xml:space="preserve">    (U1)ALERT_REQ_S_LCA_BC_VC_CYCL</v>
      </c>
      <c r="AR7" s="70" t="str">
        <f t="shared" ref="AR7:AR70" si="3">IF(AQ72&lt;&gt;"",AQ72,IF(AQ71&lt;&gt;"","};",""))</f>
        <v xml:space="preserve">    (U4)0x00000001U,                                                           /* 01 CYCL                                            */</v>
      </c>
      <c r="AS7" s="70" t="str">
        <f t="shared" ref="AS7:AS70" si="4">IF(AQ137&lt;&gt;"",AQ137,IF(AQ136&lt;&gt;"","};",""))</f>
        <v xml:space="preserve">    (U4)0x00000007U,                                                           /* 01 CYCL                                            */</v>
      </c>
      <c r="AT7" s="70" t="str">
        <f t="shared" ca="1" si="1"/>
        <v xml:space="preserve">    (U1)ALERT_REQ_S_LCA_BC_VC_CYCL,                                            /* 01 CYCL                                            */</v>
      </c>
      <c r="AU7" s="70" t="str">
        <f ca="1">"        &amp;"&amp;$AW$14&amp;","&amp;REPT(" ",69-LEN($AW$14))&amp;"/* fp_u4_SRC_CHK                                      */"</f>
        <v xml:space="preserve">        &amp;u4_s_AlertS_lcaBcVcSrcchk,                                            /* fp_u4_SRC_CHK                                      */</v>
      </c>
      <c r="AV7" s="57" t="s">
        <v>72</v>
      </c>
      <c r="AW7" s="138">
        <f>IF(B3="Search Table",1,0)</f>
        <v>0</v>
      </c>
    </row>
    <row r="8" spans="1:49">
      <c r="B8" s="139"/>
      <c r="C8" s="55">
        <f t="shared" si="2"/>
        <v>2</v>
      </c>
      <c r="D8" s="69" t="s">
        <v>70</v>
      </c>
      <c r="E8" s="69" t="s">
        <v>70</v>
      </c>
      <c r="F8" s="69" t="s">
        <v>70</v>
      </c>
      <c r="G8" s="69" t="s">
        <v>70</v>
      </c>
      <c r="H8" s="69" t="s">
        <v>70</v>
      </c>
      <c r="I8" s="69" t="s">
        <v>70</v>
      </c>
      <c r="J8" s="69" t="s">
        <v>70</v>
      </c>
      <c r="K8" s="69" t="s">
        <v>70</v>
      </c>
      <c r="L8" s="69" t="s">
        <v>70</v>
      </c>
      <c r="M8" s="69" t="s">
        <v>70</v>
      </c>
      <c r="N8" s="69" t="s">
        <v>70</v>
      </c>
      <c r="O8" s="69" t="s">
        <v>70</v>
      </c>
      <c r="P8" s="69" t="s">
        <v>70</v>
      </c>
      <c r="Q8" s="69" t="s">
        <v>70</v>
      </c>
      <c r="R8" s="69" t="s">
        <v>70</v>
      </c>
      <c r="S8" s="69" t="s">
        <v>70</v>
      </c>
      <c r="T8" s="69" t="s">
        <v>70</v>
      </c>
      <c r="U8" s="69" t="s">
        <v>70</v>
      </c>
      <c r="V8" s="69" t="s">
        <v>70</v>
      </c>
      <c r="W8" s="69" t="s">
        <v>70</v>
      </c>
      <c r="X8" s="69" t="s">
        <v>70</v>
      </c>
      <c r="Y8" s="69" t="s">
        <v>70</v>
      </c>
      <c r="Z8" s="69" t="s">
        <v>70</v>
      </c>
      <c r="AA8" s="69" t="s">
        <v>70</v>
      </c>
      <c r="AB8" s="69" t="s">
        <v>70</v>
      </c>
      <c r="AC8" s="69" t="s">
        <v>70</v>
      </c>
      <c r="AD8" s="69" t="s">
        <v>70</v>
      </c>
      <c r="AE8" s="69" t="s">
        <v>70</v>
      </c>
      <c r="AF8" s="69" t="s">
        <v>70</v>
      </c>
      <c r="AG8" s="69">
        <v>0</v>
      </c>
      <c r="AH8" s="69">
        <v>1</v>
      </c>
      <c r="AI8" s="69">
        <v>0</v>
      </c>
      <c r="AJ8" s="25" t="s">
        <v>33</v>
      </c>
      <c r="AL8" t="str">
        <f t="shared" si="0"/>
        <v xml:space="preserve">    (U1)ALERT_REQ_UNKNOWN</v>
      </c>
      <c r="AR8" s="70" t="str">
        <f t="shared" si="3"/>
        <v xml:space="preserve">    (U4)0x00000002U,                                                           /* 02 UNKNOWN                                         */</v>
      </c>
      <c r="AS8" s="70" t="str">
        <f t="shared" si="4"/>
        <v xml:space="preserve">    (U4)0x00000007U,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7" t="s">
        <v>73</v>
      </c>
      <c r="AW8" s="75" t="str">
        <f ca="1">"u4_sp_ALERT_"&amp;IF(AW6&lt;&gt;AW17,$AW$17&amp;"_"&amp;$AW$6,AW17)&amp;"_CRIT"</f>
        <v>u4_sp_ALERT_S_LCA_BC_VC_CRIT</v>
      </c>
    </row>
    <row r="9" spans="1:49">
      <c r="B9" s="139"/>
      <c r="C9" s="55">
        <f t="shared" si="2"/>
        <v>3</v>
      </c>
      <c r="D9" s="69" t="s">
        <v>70</v>
      </c>
      <c r="E9" s="69" t="s">
        <v>70</v>
      </c>
      <c r="F9" s="69" t="s">
        <v>70</v>
      </c>
      <c r="G9" s="69" t="s">
        <v>70</v>
      </c>
      <c r="H9" s="69" t="s">
        <v>70</v>
      </c>
      <c r="I9" s="69" t="s">
        <v>70</v>
      </c>
      <c r="J9" s="69" t="s">
        <v>70</v>
      </c>
      <c r="K9" s="69" t="s">
        <v>70</v>
      </c>
      <c r="L9" s="69" t="s">
        <v>70</v>
      </c>
      <c r="M9" s="69" t="s">
        <v>70</v>
      </c>
      <c r="N9" s="69" t="s">
        <v>70</v>
      </c>
      <c r="O9" s="69" t="s">
        <v>70</v>
      </c>
      <c r="P9" s="69" t="s">
        <v>70</v>
      </c>
      <c r="Q9" s="69" t="s">
        <v>70</v>
      </c>
      <c r="R9" s="69" t="s">
        <v>70</v>
      </c>
      <c r="S9" s="69" t="s">
        <v>70</v>
      </c>
      <c r="T9" s="69" t="s">
        <v>70</v>
      </c>
      <c r="U9" s="69" t="s">
        <v>70</v>
      </c>
      <c r="V9" s="69" t="s">
        <v>70</v>
      </c>
      <c r="W9" s="69" t="s">
        <v>70</v>
      </c>
      <c r="X9" s="69" t="s">
        <v>70</v>
      </c>
      <c r="Y9" s="69" t="s">
        <v>70</v>
      </c>
      <c r="Z9" s="69" t="s">
        <v>70</v>
      </c>
      <c r="AA9" s="69" t="s">
        <v>70</v>
      </c>
      <c r="AB9" s="69" t="s">
        <v>70</v>
      </c>
      <c r="AC9" s="69" t="s">
        <v>70</v>
      </c>
      <c r="AD9" s="69" t="s">
        <v>70</v>
      </c>
      <c r="AE9" s="69" t="s">
        <v>70</v>
      </c>
      <c r="AF9" s="69" t="s">
        <v>70</v>
      </c>
      <c r="AG9" s="69">
        <v>0</v>
      </c>
      <c r="AH9" s="69">
        <v>1</v>
      </c>
      <c r="AI9" s="69">
        <v>1</v>
      </c>
      <c r="AJ9" s="25" t="s">
        <v>33</v>
      </c>
      <c r="AL9" t="str">
        <f t="shared" si="0"/>
        <v xml:space="preserve">    (U1)ALERT_REQ_UNKNOWN</v>
      </c>
      <c r="AR9" s="70" t="str">
        <f t="shared" si="3"/>
        <v xml:space="preserve">    (U4)0x00000003U,                                                           /* 03 UNKNOWN                                         */</v>
      </c>
      <c r="AS9" s="70" t="str">
        <f t="shared" si="4"/>
        <v xml:space="preserve">    (U4)0x00000007U,                                                           /* 03 UNKNOWN                                         */</v>
      </c>
      <c r="AT9" s="70" t="str">
        <f t="shared" si="1"/>
        <v xml:space="preserve">    (U1)ALERT_REQ_UNKNOWN,                                                     /* 03 UNKNOWN                                         */</v>
      </c>
      <c r="AU9" s="70"/>
      <c r="AV9" s="57" t="s">
        <v>74</v>
      </c>
      <c r="AW9" s="75" t="str">
        <f ca="1">"u4_sp_ALERT_"&amp;IF(AW6&lt;&gt;AW17,$AW$17&amp;"_"&amp;$AW$6,AW17)&amp;"_MASK"</f>
        <v>u4_sp_ALERT_S_LCA_BC_VC_MASK</v>
      </c>
    </row>
    <row r="10" spans="1:49">
      <c r="B10" s="139"/>
      <c r="C10" s="55">
        <f t="shared" si="2"/>
        <v>4</v>
      </c>
      <c r="D10" s="69" t="s">
        <v>70</v>
      </c>
      <c r="E10" s="69" t="s">
        <v>70</v>
      </c>
      <c r="F10" s="69" t="s">
        <v>70</v>
      </c>
      <c r="G10" s="69" t="s">
        <v>70</v>
      </c>
      <c r="H10" s="69" t="s">
        <v>70</v>
      </c>
      <c r="I10" s="69" t="s">
        <v>70</v>
      </c>
      <c r="J10" s="69" t="s">
        <v>70</v>
      </c>
      <c r="K10" s="69" t="s">
        <v>70</v>
      </c>
      <c r="L10" s="69" t="s">
        <v>70</v>
      </c>
      <c r="M10" s="69" t="s">
        <v>70</v>
      </c>
      <c r="N10" s="69" t="s">
        <v>70</v>
      </c>
      <c r="O10" s="69" t="s">
        <v>70</v>
      </c>
      <c r="P10" s="69" t="s">
        <v>70</v>
      </c>
      <c r="Q10" s="69" t="s">
        <v>70</v>
      </c>
      <c r="R10" s="69" t="s">
        <v>70</v>
      </c>
      <c r="S10" s="69" t="s">
        <v>70</v>
      </c>
      <c r="T10" s="69" t="s">
        <v>70</v>
      </c>
      <c r="U10" s="69" t="s">
        <v>70</v>
      </c>
      <c r="V10" s="69" t="s">
        <v>70</v>
      </c>
      <c r="W10" s="69" t="s">
        <v>70</v>
      </c>
      <c r="X10" s="69" t="s">
        <v>70</v>
      </c>
      <c r="Y10" s="69" t="s">
        <v>70</v>
      </c>
      <c r="Z10" s="69" t="s">
        <v>70</v>
      </c>
      <c r="AA10" s="69" t="s">
        <v>70</v>
      </c>
      <c r="AB10" s="69" t="s">
        <v>70</v>
      </c>
      <c r="AC10" s="69" t="s">
        <v>70</v>
      </c>
      <c r="AD10" s="69" t="s">
        <v>70</v>
      </c>
      <c r="AE10" s="69" t="s">
        <v>70</v>
      </c>
      <c r="AF10" s="69" t="s">
        <v>70</v>
      </c>
      <c r="AG10" s="69">
        <v>1</v>
      </c>
      <c r="AH10" s="69">
        <v>0</v>
      </c>
      <c r="AI10" s="69">
        <v>0</v>
      </c>
      <c r="AJ10" s="25" t="s">
        <v>33</v>
      </c>
      <c r="AL10" t="str">
        <f t="shared" si="0"/>
        <v xml:space="preserve">    (U1)ALERT_REQ_UNKNOWN</v>
      </c>
      <c r="AR10" s="70" t="str">
        <f t="shared" si="3"/>
        <v xml:space="preserve">    (U4)0x00000004U,                                                           /* 04 UNKNOWN                                         */</v>
      </c>
      <c r="AS10" s="70" t="str">
        <f t="shared" si="4"/>
        <v xml:space="preserve">    (U4)0x00000007U,                                                           /* 04 UNKNOWN                                         */</v>
      </c>
      <c r="AT10" s="70" t="str">
        <f t="shared" si="1"/>
        <v xml:space="preserve">    (U1)ALERT_REQ_UNKNOWN,                                                     /* 04 UNKNOWN                                         */</v>
      </c>
      <c r="AU10" s="70" t="str">
        <f>IF($AW$7=1,"        &amp;"&amp;$AW$9&amp;"[0],"&amp;REPT(" ",66-LEN($AW$9))&amp;"/* u4p_MASK                                           */","        (const U4 *)vdp_PTR_NA,                                                /* u4p_MASK                                           */")</f>
        <v xml:space="preserve">        (const U4 *)vdp_PTR_NA,                                                /* u4p_MASK                                           */</v>
      </c>
      <c r="AV10" s="57" t="s">
        <v>75</v>
      </c>
      <c r="AW10" s="75" t="str">
        <f ca="1">"ALERT_"&amp;IF(AW6&lt;&gt;AW17,$AW$17&amp;"_"&amp;$AW$6,AW17)&amp;"_NUM_DST"</f>
        <v>ALERT_S_LCA_BC_VC_NUM_DST</v>
      </c>
    </row>
    <row r="11" spans="1:49">
      <c r="B11" s="139"/>
      <c r="C11" s="55">
        <f t="shared" si="2"/>
        <v>5</v>
      </c>
      <c r="D11" s="69" t="s">
        <v>70</v>
      </c>
      <c r="E11" s="69" t="s">
        <v>70</v>
      </c>
      <c r="F11" s="69" t="s">
        <v>70</v>
      </c>
      <c r="G11" s="69" t="s">
        <v>70</v>
      </c>
      <c r="H11" s="69" t="s">
        <v>70</v>
      </c>
      <c r="I11" s="69" t="s">
        <v>70</v>
      </c>
      <c r="J11" s="69" t="s">
        <v>70</v>
      </c>
      <c r="K11" s="69" t="s">
        <v>70</v>
      </c>
      <c r="L11" s="69" t="s">
        <v>70</v>
      </c>
      <c r="M11" s="69" t="s">
        <v>70</v>
      </c>
      <c r="N11" s="69" t="s">
        <v>70</v>
      </c>
      <c r="O11" s="69" t="s">
        <v>70</v>
      </c>
      <c r="P11" s="69" t="s">
        <v>70</v>
      </c>
      <c r="Q11" s="69" t="s">
        <v>70</v>
      </c>
      <c r="R11" s="69" t="s">
        <v>70</v>
      </c>
      <c r="S11" s="69" t="s">
        <v>70</v>
      </c>
      <c r="T11" s="69" t="s">
        <v>70</v>
      </c>
      <c r="U11" s="69" t="s">
        <v>70</v>
      </c>
      <c r="V11" s="69" t="s">
        <v>70</v>
      </c>
      <c r="W11" s="69" t="s">
        <v>70</v>
      </c>
      <c r="X11" s="69" t="s">
        <v>70</v>
      </c>
      <c r="Y11" s="69" t="s">
        <v>70</v>
      </c>
      <c r="Z11" s="69" t="s">
        <v>70</v>
      </c>
      <c r="AA11" s="69" t="s">
        <v>70</v>
      </c>
      <c r="AB11" s="69" t="s">
        <v>70</v>
      </c>
      <c r="AC11" s="69" t="s">
        <v>70</v>
      </c>
      <c r="AD11" s="69" t="s">
        <v>70</v>
      </c>
      <c r="AE11" s="69" t="s">
        <v>70</v>
      </c>
      <c r="AF11" s="69" t="s">
        <v>70</v>
      </c>
      <c r="AG11" s="69">
        <v>1</v>
      </c>
      <c r="AH11" s="69">
        <v>0</v>
      </c>
      <c r="AI11" s="69">
        <v>1</v>
      </c>
      <c r="AJ11" s="25" t="s">
        <v>33</v>
      </c>
      <c r="AL11" t="str">
        <f t="shared" si="0"/>
        <v xml:space="preserve">    (U1)ALERT_REQ_UNKNOWN</v>
      </c>
      <c r="AR11" s="70" t="str">
        <f t="shared" si="3"/>
        <v xml:space="preserve">    (U4)0x00000005U,                                                           /* 05 UNKNOWN                                         */</v>
      </c>
      <c r="AS11" s="70" t="str">
        <f t="shared" si="4"/>
        <v xml:space="preserve">    (U4)0x00000007U,                                                           /* 05 UNKNOWN                                         */</v>
      </c>
      <c r="AT11" s="70" t="str">
        <f t="shared" si="1"/>
        <v xml:space="preserve">    (U1)ALERT_REQ_UNKNOWN,                                                     /* 05 UNKNOWN                                         */</v>
      </c>
      <c r="AU11" s="70" t="str">
        <f>IF($AW$7=1,"        &amp;"&amp;$AW$8&amp;"[0],"&amp;REPT(" ",66-LEN($AW$8))&amp;"/* u4p_CRIT                                           */","        (const U4 *)vdp_PTR_NA,                                                /* u4p_CRIT                                           */")</f>
        <v xml:space="preserve">        (const U4 *)vdp_PTR_NA,                                                /* u4p_CRIT                                           */</v>
      </c>
      <c r="AV11" s="57" t="s">
        <v>76</v>
      </c>
      <c r="AW11" s="75" t="str">
        <f ca="1">"u1_sp_ALERT_"&amp;IF(AW6&lt;&gt;AW17,$AW$17&amp;"_"&amp;$AW$6,AW17)&amp;"_DST"</f>
        <v>u1_sp_ALERT_S_LCA_BC_VC_DST</v>
      </c>
    </row>
    <row r="12" spans="1:49">
      <c r="B12" s="139"/>
      <c r="C12" s="55">
        <f t="shared" si="2"/>
        <v>6</v>
      </c>
      <c r="D12" s="69" t="s">
        <v>70</v>
      </c>
      <c r="E12" s="69" t="s">
        <v>70</v>
      </c>
      <c r="F12" s="69" t="s">
        <v>70</v>
      </c>
      <c r="G12" s="69" t="s">
        <v>70</v>
      </c>
      <c r="H12" s="69" t="s">
        <v>70</v>
      </c>
      <c r="I12" s="69" t="s">
        <v>70</v>
      </c>
      <c r="J12" s="69" t="s">
        <v>70</v>
      </c>
      <c r="K12" s="69" t="s">
        <v>70</v>
      </c>
      <c r="L12" s="69" t="s">
        <v>70</v>
      </c>
      <c r="M12" s="69" t="s">
        <v>70</v>
      </c>
      <c r="N12" s="69" t="s">
        <v>70</v>
      </c>
      <c r="O12" s="69" t="s">
        <v>70</v>
      </c>
      <c r="P12" s="69" t="s">
        <v>70</v>
      </c>
      <c r="Q12" s="69" t="s">
        <v>70</v>
      </c>
      <c r="R12" s="69" t="s">
        <v>70</v>
      </c>
      <c r="S12" s="69" t="s">
        <v>70</v>
      </c>
      <c r="T12" s="69" t="s">
        <v>70</v>
      </c>
      <c r="U12" s="69" t="s">
        <v>70</v>
      </c>
      <c r="V12" s="69" t="s">
        <v>70</v>
      </c>
      <c r="W12" s="69" t="s">
        <v>70</v>
      </c>
      <c r="X12" s="69" t="s">
        <v>70</v>
      </c>
      <c r="Y12" s="69" t="s">
        <v>70</v>
      </c>
      <c r="Z12" s="69" t="s">
        <v>70</v>
      </c>
      <c r="AA12" s="69" t="s">
        <v>70</v>
      </c>
      <c r="AB12" s="69" t="s">
        <v>70</v>
      </c>
      <c r="AC12" s="69" t="s">
        <v>70</v>
      </c>
      <c r="AD12" s="69" t="s">
        <v>70</v>
      </c>
      <c r="AE12" s="69" t="s">
        <v>70</v>
      </c>
      <c r="AF12" s="69" t="s">
        <v>70</v>
      </c>
      <c r="AG12" s="69">
        <v>1</v>
      </c>
      <c r="AH12" s="69">
        <v>1</v>
      </c>
      <c r="AI12" s="69">
        <v>0</v>
      </c>
      <c r="AJ12" s="25" t="s">
        <v>33</v>
      </c>
      <c r="AL12" t="str">
        <f t="shared" si="0"/>
        <v xml:space="preserve">    (U1)ALERT_REQ_UNKNOWN</v>
      </c>
      <c r="AR12" s="70" t="str">
        <f t="shared" si="3"/>
        <v xml:space="preserve">    (U4)0x00000006U,                                                           /* 06 UNKNOWN                                         */</v>
      </c>
      <c r="AS12" s="70" t="str">
        <f t="shared" si="4"/>
        <v xml:space="preserve">    (U4)0x00000007U,                                                           /* 06 UNKNOWN                                         */</v>
      </c>
      <c r="AT12" s="70" t="str">
        <f t="shared" si="1"/>
        <v xml:space="preserve">    (U1)ALERT_REQ_UNKNOWN,                                                     /* 06 UNKNOWN                                         */</v>
      </c>
      <c r="AU12" s="70"/>
      <c r="AV12" s="57" t="s">
        <v>88</v>
      </c>
      <c r="AW12" s="75" t="str">
        <f ca="1">Matrix!D8&amp;"["&amp;Matrix!D7&amp;"]"</f>
        <v>st_gp_ALERT_S_LCA_MTRX[7]</v>
      </c>
    </row>
    <row r="13" spans="1:49">
      <c r="B13" s="139"/>
      <c r="C13" s="55">
        <f t="shared" si="2"/>
        <v>7</v>
      </c>
      <c r="D13" s="69" t="s">
        <v>70</v>
      </c>
      <c r="E13" s="69" t="s">
        <v>70</v>
      </c>
      <c r="F13" s="69" t="s">
        <v>70</v>
      </c>
      <c r="G13" s="69" t="s">
        <v>70</v>
      </c>
      <c r="H13" s="69" t="s">
        <v>70</v>
      </c>
      <c r="I13" s="69" t="s">
        <v>70</v>
      </c>
      <c r="J13" s="69" t="s">
        <v>70</v>
      </c>
      <c r="K13" s="69" t="s">
        <v>70</v>
      </c>
      <c r="L13" s="69" t="s">
        <v>70</v>
      </c>
      <c r="M13" s="69" t="s">
        <v>70</v>
      </c>
      <c r="N13" s="69" t="s">
        <v>70</v>
      </c>
      <c r="O13" s="69" t="s">
        <v>70</v>
      </c>
      <c r="P13" s="69" t="s">
        <v>70</v>
      </c>
      <c r="Q13" s="69" t="s">
        <v>70</v>
      </c>
      <c r="R13" s="69" t="s">
        <v>70</v>
      </c>
      <c r="S13" s="69" t="s">
        <v>70</v>
      </c>
      <c r="T13" s="69" t="s">
        <v>70</v>
      </c>
      <c r="U13" s="69" t="s">
        <v>70</v>
      </c>
      <c r="V13" s="69" t="s">
        <v>70</v>
      </c>
      <c r="W13" s="69" t="s">
        <v>70</v>
      </c>
      <c r="X13" s="69" t="s">
        <v>70</v>
      </c>
      <c r="Y13" s="69" t="s">
        <v>70</v>
      </c>
      <c r="Z13" s="69" t="s">
        <v>70</v>
      </c>
      <c r="AA13" s="69" t="s">
        <v>70</v>
      </c>
      <c r="AB13" s="69" t="s">
        <v>70</v>
      </c>
      <c r="AC13" s="69" t="s">
        <v>70</v>
      </c>
      <c r="AD13" s="69" t="s">
        <v>70</v>
      </c>
      <c r="AE13" s="69" t="s">
        <v>70</v>
      </c>
      <c r="AF13" s="69" t="s">
        <v>70</v>
      </c>
      <c r="AG13" s="69">
        <v>1</v>
      </c>
      <c r="AH13" s="69">
        <v>1</v>
      </c>
      <c r="AI13" s="69">
        <v>1</v>
      </c>
      <c r="AJ13" s="25" t="s">
        <v>33</v>
      </c>
      <c r="AL13" t="str">
        <f t="shared" si="0"/>
        <v xml:space="preserve">    (U1)ALERT_REQ_UNKNOWN</v>
      </c>
      <c r="AR13" s="70" t="str">
        <f t="shared" si="3"/>
        <v xml:space="preserve">    (U4)0x00000007U                                                            /* 07 UNKNOWN                                         */</v>
      </c>
      <c r="AS13" s="70" t="str">
        <f t="shared" si="4"/>
        <v xml:space="preserve">    (U4)0x00000007U                                                            /* 07 UNKNOWN                                         */</v>
      </c>
      <c r="AT13" s="70" t="str">
        <f t="shared" si="1"/>
        <v xml:space="preserve">    (U1)ALERT_REQ_UNKNOWN                                                      /* 07 UNKNOWN                                         */</v>
      </c>
      <c r="AU13" s="70" t="str">
        <f ca="1">"        &amp;"&amp;$AW$11&amp;"[0],"&amp;REPT(" ",66-LEN($AW$11))&amp;"/* u1p_DST                                            */"</f>
        <v xml:space="preserve">        &amp;u1_sp_ALERT_S_LCA_BC_VC_DST[0],                                       /* u1p_DST                                            */</v>
      </c>
      <c r="AV13" s="57" t="s">
        <v>77</v>
      </c>
      <c r="AW13" s="138">
        <f>COUNTA($AJ$6:$AJ$69)</f>
        <v>8</v>
      </c>
    </row>
    <row r="14" spans="1:49">
      <c r="B14" s="139"/>
      <c r="C14" s="55">
        <f t="shared" si="2"/>
        <v>8</v>
      </c>
      <c r="D14" s="69" t="s">
        <v>70</v>
      </c>
      <c r="E14" s="69" t="s">
        <v>70</v>
      </c>
      <c r="F14" s="69" t="s">
        <v>70</v>
      </c>
      <c r="G14" s="69" t="s">
        <v>70</v>
      </c>
      <c r="H14" s="69" t="s">
        <v>70</v>
      </c>
      <c r="I14" s="69" t="s">
        <v>70</v>
      </c>
      <c r="J14" s="69" t="s">
        <v>70</v>
      </c>
      <c r="K14" s="69" t="s">
        <v>70</v>
      </c>
      <c r="L14" s="69" t="s">
        <v>70</v>
      </c>
      <c r="M14" s="69" t="s">
        <v>70</v>
      </c>
      <c r="N14" s="69" t="s">
        <v>70</v>
      </c>
      <c r="O14" s="69" t="s">
        <v>70</v>
      </c>
      <c r="P14" s="69" t="s">
        <v>70</v>
      </c>
      <c r="Q14" s="69" t="s">
        <v>70</v>
      </c>
      <c r="R14" s="69" t="s">
        <v>70</v>
      </c>
      <c r="S14" s="69" t="s">
        <v>70</v>
      </c>
      <c r="T14" s="69" t="s">
        <v>70</v>
      </c>
      <c r="U14" s="69" t="s">
        <v>70</v>
      </c>
      <c r="V14" s="69" t="s">
        <v>70</v>
      </c>
      <c r="W14" s="69" t="s">
        <v>70</v>
      </c>
      <c r="X14" s="69" t="s">
        <v>70</v>
      </c>
      <c r="Y14" s="69" t="s">
        <v>70</v>
      </c>
      <c r="Z14" s="69" t="s">
        <v>70</v>
      </c>
      <c r="AA14" s="69" t="s">
        <v>70</v>
      </c>
      <c r="AB14" s="69" t="s">
        <v>70</v>
      </c>
      <c r="AC14" s="69" t="s">
        <v>70</v>
      </c>
      <c r="AD14" s="69" t="s">
        <v>70</v>
      </c>
      <c r="AE14" s="69" t="s">
        <v>70</v>
      </c>
      <c r="AF14" s="69" t="s">
        <v>70</v>
      </c>
      <c r="AG14" s="69" t="s">
        <v>70</v>
      </c>
      <c r="AH14" s="69" t="s">
        <v>70</v>
      </c>
      <c r="AI14" s="69" t="s">
        <v>70</v>
      </c>
      <c r="AJ14" s="25"/>
      <c r="AL14" t="str">
        <f t="shared" ca="1" si="0"/>
        <v xml:space="preserve">    (U1)ALERT_REQ_S_LCA_BC_VC_</v>
      </c>
      <c r="AR14" s="70" t="str">
        <f t="shared" si="3"/>
        <v>};</v>
      </c>
      <c r="AS14" s="70" t="str">
        <f t="shared" si="4"/>
        <v>};</v>
      </c>
      <c r="AT14" s="70" t="str">
        <f t="shared" si="1"/>
        <v>};</v>
      </c>
      <c r="AU14" s="70" t="str">
        <f ca="1">"        (U2)"&amp;$AW$10&amp;","&amp;REPT(" ",66-LEN($AW$10))&amp;"/* u2_num_srch                                        */"</f>
        <v xml:space="preserve">        (U2)ALERT_S_LCA_BC_VC_NUM_DST,                                         /* u2_num_srch                                        */</v>
      </c>
      <c r="AV14" s="57" t="s">
        <v>78</v>
      </c>
      <c r="AW14" s="75" t="str">
        <f ca="1">IF(AW6&lt;&gt;AW17,VLOOKUP(AW6,Matrix!$C$13:$G$37,4,FALSE),Matrix!F13)</f>
        <v>u4_s_AlertS_lcaBcVcSrcchk</v>
      </c>
    </row>
    <row r="15" spans="1:49">
      <c r="B15" s="139"/>
      <c r="C15" s="55">
        <f t="shared" si="2"/>
        <v>9</v>
      </c>
      <c r="D15" s="69" t="s">
        <v>70</v>
      </c>
      <c r="E15" s="69" t="s">
        <v>70</v>
      </c>
      <c r="F15" s="69" t="s">
        <v>70</v>
      </c>
      <c r="G15" s="69" t="s">
        <v>70</v>
      </c>
      <c r="H15" s="69" t="s">
        <v>70</v>
      </c>
      <c r="I15" s="69" t="s">
        <v>70</v>
      </c>
      <c r="J15" s="69" t="s">
        <v>70</v>
      </c>
      <c r="K15" s="69" t="s">
        <v>70</v>
      </c>
      <c r="L15" s="69" t="s">
        <v>70</v>
      </c>
      <c r="M15" s="69" t="s">
        <v>70</v>
      </c>
      <c r="N15" s="69" t="s">
        <v>70</v>
      </c>
      <c r="O15" s="69" t="s">
        <v>70</v>
      </c>
      <c r="P15" s="69" t="s">
        <v>70</v>
      </c>
      <c r="Q15" s="69" t="s">
        <v>70</v>
      </c>
      <c r="R15" s="69" t="s">
        <v>70</v>
      </c>
      <c r="S15" s="69" t="s">
        <v>70</v>
      </c>
      <c r="T15" s="69" t="s">
        <v>70</v>
      </c>
      <c r="U15" s="69" t="s">
        <v>70</v>
      </c>
      <c r="V15" s="69" t="s">
        <v>70</v>
      </c>
      <c r="W15" s="69" t="s">
        <v>70</v>
      </c>
      <c r="X15" s="69" t="s">
        <v>70</v>
      </c>
      <c r="Y15" s="69" t="s">
        <v>70</v>
      </c>
      <c r="Z15" s="69" t="s">
        <v>70</v>
      </c>
      <c r="AA15" s="69" t="s">
        <v>70</v>
      </c>
      <c r="AB15" s="69" t="s">
        <v>70</v>
      </c>
      <c r="AC15" s="69" t="s">
        <v>70</v>
      </c>
      <c r="AD15" s="69" t="s">
        <v>70</v>
      </c>
      <c r="AE15" s="69" t="s">
        <v>70</v>
      </c>
      <c r="AF15" s="69" t="s">
        <v>70</v>
      </c>
      <c r="AG15" s="69" t="s">
        <v>70</v>
      </c>
      <c r="AH15" s="69" t="s">
        <v>70</v>
      </c>
      <c r="AI15" s="69" t="s">
        <v>70</v>
      </c>
      <c r="AJ15" s="25"/>
      <c r="AL15" t="str">
        <f t="shared" ca="1" si="0"/>
        <v xml:space="preserve">    (U1)ALERT_REQ_S_LCA_BC_VC_</v>
      </c>
      <c r="AR15" s="70" t="str">
        <f t="shared" si="3"/>
        <v/>
      </c>
      <c r="AS15" s="70" t="str">
        <f t="shared" si="4"/>
        <v/>
      </c>
      <c r="AT15" s="70" t="str">
        <f t="shared" si="1"/>
        <v/>
      </c>
      <c r="AU15" s="70" t="str">
        <f ca="1">"        (U1)"&amp;$AW$16&amp;REPT(" ",67-LEN($AW$16))&amp;"/* u1_vom_act                                         */"</f>
        <v xml:space="preserve">        (U1)ALERT_VOM_IGN_ON                                                   /* u1_vom_act                                         */</v>
      </c>
      <c r="AV15" s="57" t="s">
        <v>81</v>
      </c>
      <c r="AW15" s="75" t="str">
        <f ca="1">IF(AW6&lt;&gt;AW17,VLOOKUP(AW6,Matrix!$C$13:$G$37,5,FALSE),Matrix!G13)</f>
        <v>NULL</v>
      </c>
    </row>
    <row r="16" spans="1:49">
      <c r="B16" s="139"/>
      <c r="C16" s="55">
        <f t="shared" si="2"/>
        <v>10</v>
      </c>
      <c r="D16" s="69" t="s">
        <v>70</v>
      </c>
      <c r="E16" s="69" t="s">
        <v>70</v>
      </c>
      <c r="F16" s="69" t="s">
        <v>70</v>
      </c>
      <c r="G16" s="69" t="s">
        <v>70</v>
      </c>
      <c r="H16" s="69" t="s">
        <v>70</v>
      </c>
      <c r="I16" s="69" t="s">
        <v>70</v>
      </c>
      <c r="J16" s="69" t="s">
        <v>70</v>
      </c>
      <c r="K16" s="69" t="s">
        <v>70</v>
      </c>
      <c r="L16" s="69" t="s">
        <v>70</v>
      </c>
      <c r="M16" s="69" t="s">
        <v>70</v>
      </c>
      <c r="N16" s="69" t="s">
        <v>70</v>
      </c>
      <c r="O16" s="69" t="s">
        <v>70</v>
      </c>
      <c r="P16" s="69" t="s">
        <v>70</v>
      </c>
      <c r="Q16" s="69" t="s">
        <v>70</v>
      </c>
      <c r="R16" s="69" t="s">
        <v>70</v>
      </c>
      <c r="S16" s="69" t="s">
        <v>70</v>
      </c>
      <c r="T16" s="69" t="s">
        <v>70</v>
      </c>
      <c r="U16" s="69" t="s">
        <v>70</v>
      </c>
      <c r="V16" s="69" t="s">
        <v>70</v>
      </c>
      <c r="W16" s="69" t="s">
        <v>70</v>
      </c>
      <c r="X16" s="69" t="s">
        <v>70</v>
      </c>
      <c r="Y16" s="69" t="s">
        <v>70</v>
      </c>
      <c r="Z16" s="69" t="s">
        <v>70</v>
      </c>
      <c r="AA16" s="69" t="s">
        <v>70</v>
      </c>
      <c r="AB16" s="69" t="s">
        <v>70</v>
      </c>
      <c r="AC16" s="69" t="s">
        <v>70</v>
      </c>
      <c r="AD16" s="69" t="s">
        <v>70</v>
      </c>
      <c r="AE16" s="69" t="s">
        <v>70</v>
      </c>
      <c r="AF16" s="69" t="s">
        <v>70</v>
      </c>
      <c r="AG16" s="69" t="s">
        <v>70</v>
      </c>
      <c r="AH16" s="69" t="s">
        <v>70</v>
      </c>
      <c r="AI16" s="69" t="s">
        <v>70</v>
      </c>
      <c r="AJ16" s="25"/>
      <c r="AL16" t="str">
        <f t="shared" ca="1" si="0"/>
        <v xml:space="preserve">    (U1)ALERT_REQ_S_LCA_BC_VC_</v>
      </c>
      <c r="AR16" s="70" t="str">
        <f t="shared" si="3"/>
        <v/>
      </c>
      <c r="AS16" s="70" t="str">
        <f t="shared" si="4"/>
        <v/>
      </c>
      <c r="AT16" s="70" t="str">
        <f t="shared" si="1"/>
        <v/>
      </c>
      <c r="AU16" s="70" t="s">
        <v>467</v>
      </c>
      <c r="AV16" s="57" t="s">
        <v>79</v>
      </c>
      <c r="AW16" s="75" t="str">
        <f ca="1">IF(AW6&lt;&gt;AW17,VLOOKUP(AW6,Matrix!$C$13:$G$37,2,FALSE),Matrix!D13)</f>
        <v>ALERT_VOM_IGN_ON</v>
      </c>
    </row>
    <row r="17" spans="2:49" ht="14.25" thickBot="1">
      <c r="B17" s="139"/>
      <c r="C17" s="55">
        <f t="shared" si="2"/>
        <v>11</v>
      </c>
      <c r="D17" s="69" t="s">
        <v>70</v>
      </c>
      <c r="E17" s="69" t="s">
        <v>70</v>
      </c>
      <c r="F17" s="69" t="s">
        <v>70</v>
      </c>
      <c r="G17" s="69" t="s">
        <v>70</v>
      </c>
      <c r="H17" s="69" t="s">
        <v>70</v>
      </c>
      <c r="I17" s="69" t="s">
        <v>70</v>
      </c>
      <c r="J17" s="69" t="s">
        <v>70</v>
      </c>
      <c r="K17" s="69" t="s">
        <v>70</v>
      </c>
      <c r="L17" s="69" t="s">
        <v>70</v>
      </c>
      <c r="M17" s="69" t="s">
        <v>70</v>
      </c>
      <c r="N17" s="69" t="s">
        <v>70</v>
      </c>
      <c r="O17" s="69" t="s">
        <v>70</v>
      </c>
      <c r="P17" s="69" t="s">
        <v>70</v>
      </c>
      <c r="Q17" s="69" t="s">
        <v>70</v>
      </c>
      <c r="R17" s="69" t="s">
        <v>70</v>
      </c>
      <c r="S17" s="69" t="s">
        <v>70</v>
      </c>
      <c r="T17" s="69" t="s">
        <v>70</v>
      </c>
      <c r="U17" s="69" t="s">
        <v>70</v>
      </c>
      <c r="V17" s="69" t="s">
        <v>70</v>
      </c>
      <c r="W17" s="69" t="s">
        <v>70</v>
      </c>
      <c r="X17" s="69" t="s">
        <v>70</v>
      </c>
      <c r="Y17" s="69" t="s">
        <v>70</v>
      </c>
      <c r="Z17" s="69" t="s">
        <v>70</v>
      </c>
      <c r="AA17" s="69" t="s">
        <v>70</v>
      </c>
      <c r="AB17" s="69" t="s">
        <v>70</v>
      </c>
      <c r="AC17" s="69" t="s">
        <v>70</v>
      </c>
      <c r="AD17" s="69" t="s">
        <v>70</v>
      </c>
      <c r="AE17" s="69" t="s">
        <v>70</v>
      </c>
      <c r="AF17" s="69" t="s">
        <v>70</v>
      </c>
      <c r="AG17" s="69" t="s">
        <v>70</v>
      </c>
      <c r="AH17" s="69" t="s">
        <v>70</v>
      </c>
      <c r="AI17" s="69" t="s">
        <v>70</v>
      </c>
      <c r="AJ17" s="25"/>
      <c r="AL17" t="str">
        <f t="shared" ca="1" si="0"/>
        <v xml:space="preserve">    (U1)ALERT_REQ_S_LCA_BC_VC_</v>
      </c>
      <c r="AR17" s="70" t="str">
        <f t="shared" si="3"/>
        <v/>
      </c>
      <c r="AS17" s="70" t="str">
        <f t="shared" si="4"/>
        <v/>
      </c>
      <c r="AT17" s="70" t="str">
        <f t="shared" si="1"/>
        <v/>
      </c>
      <c r="AU17" s="71" t="s">
        <v>468</v>
      </c>
      <c r="AV17" s="58" t="s">
        <v>80</v>
      </c>
      <c r="AW17" s="76" t="str">
        <f ca="1">UPPER(Matrix!$D$6)</f>
        <v>S_LCA</v>
      </c>
    </row>
    <row r="18" spans="2:49">
      <c r="B18" s="139"/>
      <c r="C18" s="55">
        <f t="shared" si="2"/>
        <v>12</v>
      </c>
      <c r="D18" s="69" t="s">
        <v>70</v>
      </c>
      <c r="E18" s="69" t="s">
        <v>70</v>
      </c>
      <c r="F18" s="69" t="s">
        <v>70</v>
      </c>
      <c r="G18" s="69" t="s">
        <v>70</v>
      </c>
      <c r="H18" s="69" t="s">
        <v>70</v>
      </c>
      <c r="I18" s="69" t="s">
        <v>70</v>
      </c>
      <c r="J18" s="69" t="s">
        <v>70</v>
      </c>
      <c r="K18" s="69" t="s">
        <v>70</v>
      </c>
      <c r="L18" s="69" t="s">
        <v>70</v>
      </c>
      <c r="M18" s="69" t="s">
        <v>70</v>
      </c>
      <c r="N18" s="69" t="s">
        <v>70</v>
      </c>
      <c r="O18" s="69" t="s">
        <v>70</v>
      </c>
      <c r="P18" s="69" t="s">
        <v>70</v>
      </c>
      <c r="Q18" s="69" t="s">
        <v>70</v>
      </c>
      <c r="R18" s="69" t="s">
        <v>70</v>
      </c>
      <c r="S18" s="69" t="s">
        <v>70</v>
      </c>
      <c r="T18" s="69" t="s">
        <v>70</v>
      </c>
      <c r="U18" s="69" t="s">
        <v>70</v>
      </c>
      <c r="V18" s="69" t="s">
        <v>70</v>
      </c>
      <c r="W18" s="69" t="s">
        <v>70</v>
      </c>
      <c r="X18" s="69" t="s">
        <v>70</v>
      </c>
      <c r="Y18" s="69" t="s">
        <v>70</v>
      </c>
      <c r="Z18" s="69" t="s">
        <v>70</v>
      </c>
      <c r="AA18" s="69" t="s">
        <v>70</v>
      </c>
      <c r="AB18" s="69" t="s">
        <v>70</v>
      </c>
      <c r="AC18" s="69" t="s">
        <v>70</v>
      </c>
      <c r="AD18" s="69" t="s">
        <v>70</v>
      </c>
      <c r="AE18" s="69" t="s">
        <v>70</v>
      </c>
      <c r="AF18" s="69" t="s">
        <v>70</v>
      </c>
      <c r="AG18" s="69" t="s">
        <v>70</v>
      </c>
      <c r="AH18" s="69" t="s">
        <v>70</v>
      </c>
      <c r="AI18" s="69" t="s">
        <v>70</v>
      </c>
      <c r="AJ18" s="25"/>
      <c r="AL18" t="str">
        <f t="shared" ca="1" si="0"/>
        <v xml:space="preserve">    (U1)ALERT_REQ_S_LCA_BC_VC_</v>
      </c>
      <c r="AR18" s="70" t="str">
        <f t="shared" si="3"/>
        <v/>
      </c>
      <c r="AS18" s="70" t="str">
        <f t="shared" si="4"/>
        <v/>
      </c>
      <c r="AT18" s="70" t="str">
        <f t="shared" si="1"/>
        <v/>
      </c>
    </row>
    <row r="19" spans="2:49">
      <c r="B19" s="139"/>
      <c r="C19" s="55">
        <f t="shared" si="2"/>
        <v>13</v>
      </c>
      <c r="D19" s="69" t="s">
        <v>70</v>
      </c>
      <c r="E19" s="69" t="s">
        <v>70</v>
      </c>
      <c r="F19" s="69" t="s">
        <v>70</v>
      </c>
      <c r="G19" s="69" t="s">
        <v>70</v>
      </c>
      <c r="H19" s="69" t="s">
        <v>70</v>
      </c>
      <c r="I19" s="69" t="s">
        <v>70</v>
      </c>
      <c r="J19" s="69" t="s">
        <v>70</v>
      </c>
      <c r="K19" s="69" t="s">
        <v>70</v>
      </c>
      <c r="L19" s="69" t="s">
        <v>70</v>
      </c>
      <c r="M19" s="69" t="s">
        <v>70</v>
      </c>
      <c r="N19" s="69" t="s">
        <v>70</v>
      </c>
      <c r="O19" s="69" t="s">
        <v>70</v>
      </c>
      <c r="P19" s="69" t="s">
        <v>70</v>
      </c>
      <c r="Q19" s="69" t="s">
        <v>70</v>
      </c>
      <c r="R19" s="69" t="s">
        <v>70</v>
      </c>
      <c r="S19" s="69" t="s">
        <v>70</v>
      </c>
      <c r="T19" s="69" t="s">
        <v>70</v>
      </c>
      <c r="U19" s="69" t="s">
        <v>70</v>
      </c>
      <c r="V19" s="69" t="s">
        <v>70</v>
      </c>
      <c r="W19" s="69" t="s">
        <v>70</v>
      </c>
      <c r="X19" s="69" t="s">
        <v>70</v>
      </c>
      <c r="Y19" s="69" t="s">
        <v>70</v>
      </c>
      <c r="Z19" s="69" t="s">
        <v>70</v>
      </c>
      <c r="AA19" s="69" t="s">
        <v>70</v>
      </c>
      <c r="AB19" s="69" t="s">
        <v>70</v>
      </c>
      <c r="AC19" s="69" t="s">
        <v>70</v>
      </c>
      <c r="AD19" s="69" t="s">
        <v>70</v>
      </c>
      <c r="AE19" s="69" t="s">
        <v>70</v>
      </c>
      <c r="AF19" s="69" t="s">
        <v>70</v>
      </c>
      <c r="AG19" s="69" t="s">
        <v>70</v>
      </c>
      <c r="AH19" s="69" t="s">
        <v>70</v>
      </c>
      <c r="AI19" s="69" t="s">
        <v>70</v>
      </c>
      <c r="AJ19" s="25"/>
      <c r="AL19" t="str">
        <f t="shared" ca="1" si="0"/>
        <v xml:space="preserve">    (U1)ALERT_REQ_S_LCA_BC_VC_</v>
      </c>
      <c r="AR19" s="70" t="str">
        <f t="shared" si="3"/>
        <v/>
      </c>
      <c r="AS19" s="70" t="str">
        <f t="shared" si="4"/>
        <v/>
      </c>
      <c r="AT19" s="70" t="str">
        <f t="shared" si="1"/>
        <v/>
      </c>
    </row>
    <row r="20" spans="2:49">
      <c r="B20" s="139"/>
      <c r="C20" s="55">
        <f t="shared" si="2"/>
        <v>14</v>
      </c>
      <c r="D20" s="69" t="s">
        <v>70</v>
      </c>
      <c r="E20" s="69" t="s">
        <v>70</v>
      </c>
      <c r="F20" s="69" t="s">
        <v>70</v>
      </c>
      <c r="G20" s="69" t="s">
        <v>70</v>
      </c>
      <c r="H20" s="69" t="s">
        <v>70</v>
      </c>
      <c r="I20" s="69" t="s">
        <v>70</v>
      </c>
      <c r="J20" s="69" t="s">
        <v>70</v>
      </c>
      <c r="K20" s="69" t="s">
        <v>70</v>
      </c>
      <c r="L20" s="69" t="s">
        <v>70</v>
      </c>
      <c r="M20" s="69" t="s">
        <v>70</v>
      </c>
      <c r="N20" s="69" t="s">
        <v>70</v>
      </c>
      <c r="O20" s="69" t="s">
        <v>70</v>
      </c>
      <c r="P20" s="69" t="s">
        <v>70</v>
      </c>
      <c r="Q20" s="69" t="s">
        <v>70</v>
      </c>
      <c r="R20" s="69" t="s">
        <v>70</v>
      </c>
      <c r="S20" s="69" t="s">
        <v>70</v>
      </c>
      <c r="T20" s="69" t="s">
        <v>70</v>
      </c>
      <c r="U20" s="69" t="s">
        <v>70</v>
      </c>
      <c r="V20" s="69" t="s">
        <v>70</v>
      </c>
      <c r="W20" s="69" t="s">
        <v>70</v>
      </c>
      <c r="X20" s="69" t="s">
        <v>70</v>
      </c>
      <c r="Y20" s="69" t="s">
        <v>70</v>
      </c>
      <c r="Z20" s="69" t="s">
        <v>70</v>
      </c>
      <c r="AA20" s="69" t="s">
        <v>70</v>
      </c>
      <c r="AB20" s="69" t="s">
        <v>70</v>
      </c>
      <c r="AC20" s="69" t="s">
        <v>70</v>
      </c>
      <c r="AD20" s="69" t="s">
        <v>70</v>
      </c>
      <c r="AE20" s="69" t="s">
        <v>70</v>
      </c>
      <c r="AF20" s="69" t="s">
        <v>70</v>
      </c>
      <c r="AG20" s="69" t="s">
        <v>70</v>
      </c>
      <c r="AH20" s="69" t="s">
        <v>70</v>
      </c>
      <c r="AI20" s="69" t="s">
        <v>70</v>
      </c>
      <c r="AJ20" s="25"/>
      <c r="AL20" t="str">
        <f t="shared" ca="1" si="0"/>
        <v xml:space="preserve">    (U1)ALERT_REQ_S_LCA_BC_VC_</v>
      </c>
      <c r="AR20" s="70" t="str">
        <f t="shared" si="3"/>
        <v/>
      </c>
      <c r="AS20" s="70" t="str">
        <f t="shared" si="4"/>
        <v/>
      </c>
      <c r="AT20" s="70" t="str">
        <f t="shared" si="1"/>
        <v/>
      </c>
    </row>
    <row r="21" spans="2:49">
      <c r="B21" s="139"/>
      <c r="C21" s="55">
        <f t="shared" si="2"/>
        <v>15</v>
      </c>
      <c r="D21" s="69" t="s">
        <v>70</v>
      </c>
      <c r="E21" s="69" t="s">
        <v>70</v>
      </c>
      <c r="F21" s="69" t="s">
        <v>70</v>
      </c>
      <c r="G21" s="69" t="s">
        <v>70</v>
      </c>
      <c r="H21" s="69" t="s">
        <v>70</v>
      </c>
      <c r="I21" s="69" t="s">
        <v>70</v>
      </c>
      <c r="J21" s="69" t="s">
        <v>70</v>
      </c>
      <c r="K21" s="69" t="s">
        <v>70</v>
      </c>
      <c r="L21" s="69" t="s">
        <v>70</v>
      </c>
      <c r="M21" s="69" t="s">
        <v>70</v>
      </c>
      <c r="N21" s="69" t="s">
        <v>70</v>
      </c>
      <c r="O21" s="69" t="s">
        <v>70</v>
      </c>
      <c r="P21" s="69" t="s">
        <v>70</v>
      </c>
      <c r="Q21" s="69" t="s">
        <v>70</v>
      </c>
      <c r="R21" s="69" t="s">
        <v>70</v>
      </c>
      <c r="S21" s="69" t="s">
        <v>70</v>
      </c>
      <c r="T21" s="69" t="s">
        <v>70</v>
      </c>
      <c r="U21" s="69" t="s">
        <v>70</v>
      </c>
      <c r="V21" s="69" t="s">
        <v>70</v>
      </c>
      <c r="W21" s="69" t="s">
        <v>70</v>
      </c>
      <c r="X21" s="69" t="s">
        <v>70</v>
      </c>
      <c r="Y21" s="69" t="s">
        <v>70</v>
      </c>
      <c r="Z21" s="69" t="s">
        <v>70</v>
      </c>
      <c r="AA21" s="69" t="s">
        <v>70</v>
      </c>
      <c r="AB21" s="69" t="s">
        <v>70</v>
      </c>
      <c r="AC21" s="69" t="s">
        <v>70</v>
      </c>
      <c r="AD21" s="69" t="s">
        <v>70</v>
      </c>
      <c r="AE21" s="69" t="s">
        <v>70</v>
      </c>
      <c r="AF21" s="69" t="s">
        <v>70</v>
      </c>
      <c r="AG21" s="69" t="s">
        <v>70</v>
      </c>
      <c r="AH21" s="69" t="s">
        <v>70</v>
      </c>
      <c r="AI21" s="69" t="s">
        <v>70</v>
      </c>
      <c r="AJ21" s="25"/>
      <c r="AL21" t="str">
        <f t="shared" ca="1" si="0"/>
        <v xml:space="preserve">    (U1)ALERT_REQ_S_LCA_BC_VC_</v>
      </c>
      <c r="AR21" s="70" t="str">
        <f t="shared" si="3"/>
        <v/>
      </c>
      <c r="AS21" s="70" t="str">
        <f t="shared" si="4"/>
        <v/>
      </c>
      <c r="AT21" s="70" t="str">
        <f t="shared" si="1"/>
        <v/>
      </c>
    </row>
    <row r="22" spans="2:49">
      <c r="B22" s="139"/>
      <c r="C22" s="55">
        <f t="shared" si="2"/>
        <v>16</v>
      </c>
      <c r="D22" s="69" t="s">
        <v>70</v>
      </c>
      <c r="E22" s="69" t="s">
        <v>70</v>
      </c>
      <c r="F22" s="69" t="s">
        <v>70</v>
      </c>
      <c r="G22" s="69" t="s">
        <v>70</v>
      </c>
      <c r="H22" s="69" t="s">
        <v>70</v>
      </c>
      <c r="I22" s="69" t="s">
        <v>70</v>
      </c>
      <c r="J22" s="69" t="s">
        <v>70</v>
      </c>
      <c r="K22" s="69" t="s">
        <v>70</v>
      </c>
      <c r="L22" s="69" t="s">
        <v>70</v>
      </c>
      <c r="M22" s="69" t="s">
        <v>70</v>
      </c>
      <c r="N22" s="69" t="s">
        <v>70</v>
      </c>
      <c r="O22" s="69" t="s">
        <v>70</v>
      </c>
      <c r="P22" s="69" t="s">
        <v>70</v>
      </c>
      <c r="Q22" s="69" t="s">
        <v>70</v>
      </c>
      <c r="R22" s="69" t="s">
        <v>70</v>
      </c>
      <c r="S22" s="69" t="s">
        <v>70</v>
      </c>
      <c r="T22" s="69" t="s">
        <v>70</v>
      </c>
      <c r="U22" s="69" t="s">
        <v>70</v>
      </c>
      <c r="V22" s="69" t="s">
        <v>70</v>
      </c>
      <c r="W22" s="69" t="s">
        <v>70</v>
      </c>
      <c r="X22" s="69" t="s">
        <v>70</v>
      </c>
      <c r="Y22" s="69" t="s">
        <v>70</v>
      </c>
      <c r="Z22" s="69" t="s">
        <v>70</v>
      </c>
      <c r="AA22" s="69" t="s">
        <v>70</v>
      </c>
      <c r="AB22" s="69" t="s">
        <v>70</v>
      </c>
      <c r="AC22" s="69" t="s">
        <v>70</v>
      </c>
      <c r="AD22" s="69" t="s">
        <v>70</v>
      </c>
      <c r="AE22" s="69" t="s">
        <v>70</v>
      </c>
      <c r="AF22" s="69" t="s">
        <v>70</v>
      </c>
      <c r="AG22" s="69" t="s">
        <v>70</v>
      </c>
      <c r="AH22" s="69" t="s">
        <v>70</v>
      </c>
      <c r="AI22" s="69" t="s">
        <v>70</v>
      </c>
      <c r="AJ22" s="25"/>
      <c r="AL22" t="str">
        <f t="shared" ca="1" si="0"/>
        <v xml:space="preserve">    (U1)ALERT_REQ_S_LCA_BC_VC_</v>
      </c>
      <c r="AR22" s="70" t="str">
        <f t="shared" si="3"/>
        <v/>
      </c>
      <c r="AS22" s="70" t="str">
        <f t="shared" si="4"/>
        <v/>
      </c>
      <c r="AT22" s="70" t="str">
        <f t="shared" si="1"/>
        <v/>
      </c>
    </row>
    <row r="23" spans="2:49">
      <c r="B23" s="139"/>
      <c r="C23" s="55">
        <f t="shared" si="2"/>
        <v>17</v>
      </c>
      <c r="D23" s="69" t="s">
        <v>70</v>
      </c>
      <c r="E23" s="69" t="s">
        <v>70</v>
      </c>
      <c r="F23" s="69" t="s">
        <v>70</v>
      </c>
      <c r="G23" s="69" t="s">
        <v>70</v>
      </c>
      <c r="H23" s="69" t="s">
        <v>70</v>
      </c>
      <c r="I23" s="69" t="s">
        <v>70</v>
      </c>
      <c r="J23" s="69" t="s">
        <v>70</v>
      </c>
      <c r="K23" s="69" t="s">
        <v>70</v>
      </c>
      <c r="L23" s="69" t="s">
        <v>70</v>
      </c>
      <c r="M23" s="69" t="s">
        <v>70</v>
      </c>
      <c r="N23" s="69" t="s">
        <v>70</v>
      </c>
      <c r="O23" s="69" t="s">
        <v>70</v>
      </c>
      <c r="P23" s="69" t="s">
        <v>70</v>
      </c>
      <c r="Q23" s="69" t="s">
        <v>70</v>
      </c>
      <c r="R23" s="69" t="s">
        <v>70</v>
      </c>
      <c r="S23" s="69" t="s">
        <v>70</v>
      </c>
      <c r="T23" s="69" t="s">
        <v>70</v>
      </c>
      <c r="U23" s="69" t="s">
        <v>70</v>
      </c>
      <c r="V23" s="69" t="s">
        <v>70</v>
      </c>
      <c r="W23" s="69" t="s">
        <v>70</v>
      </c>
      <c r="X23" s="69" t="s">
        <v>70</v>
      </c>
      <c r="Y23" s="69" t="s">
        <v>70</v>
      </c>
      <c r="Z23" s="69" t="s">
        <v>70</v>
      </c>
      <c r="AA23" s="69" t="s">
        <v>70</v>
      </c>
      <c r="AB23" s="69" t="s">
        <v>70</v>
      </c>
      <c r="AC23" s="69" t="s">
        <v>70</v>
      </c>
      <c r="AD23" s="69" t="s">
        <v>70</v>
      </c>
      <c r="AE23" s="69" t="s">
        <v>70</v>
      </c>
      <c r="AF23" s="69" t="s">
        <v>70</v>
      </c>
      <c r="AG23" s="69" t="s">
        <v>70</v>
      </c>
      <c r="AH23" s="69" t="s">
        <v>70</v>
      </c>
      <c r="AI23" s="69" t="s">
        <v>70</v>
      </c>
      <c r="AJ23" s="25"/>
      <c r="AL23" t="str">
        <f t="shared" ca="1" si="0"/>
        <v xml:space="preserve">    (U1)ALERT_REQ_S_LCA_BC_VC_</v>
      </c>
      <c r="AR23" s="70" t="str">
        <f t="shared" si="3"/>
        <v/>
      </c>
      <c r="AS23" s="70" t="str">
        <f t="shared" si="4"/>
        <v/>
      </c>
      <c r="AT23" s="70" t="str">
        <f t="shared" si="1"/>
        <v/>
      </c>
    </row>
    <row r="24" spans="2:49">
      <c r="B24" s="139"/>
      <c r="C24" s="55">
        <f t="shared" si="2"/>
        <v>18</v>
      </c>
      <c r="D24" s="69" t="s">
        <v>70</v>
      </c>
      <c r="E24" s="69" t="s">
        <v>70</v>
      </c>
      <c r="F24" s="69" t="s">
        <v>70</v>
      </c>
      <c r="G24" s="69" t="s">
        <v>70</v>
      </c>
      <c r="H24" s="69" t="s">
        <v>70</v>
      </c>
      <c r="I24" s="69" t="s">
        <v>70</v>
      </c>
      <c r="J24" s="69" t="s">
        <v>70</v>
      </c>
      <c r="K24" s="69" t="s">
        <v>70</v>
      </c>
      <c r="L24" s="69" t="s">
        <v>70</v>
      </c>
      <c r="M24" s="69" t="s">
        <v>70</v>
      </c>
      <c r="N24" s="69" t="s">
        <v>70</v>
      </c>
      <c r="O24" s="69" t="s">
        <v>70</v>
      </c>
      <c r="P24" s="69" t="s">
        <v>70</v>
      </c>
      <c r="Q24" s="69" t="s">
        <v>70</v>
      </c>
      <c r="R24" s="69" t="s">
        <v>70</v>
      </c>
      <c r="S24" s="69" t="s">
        <v>70</v>
      </c>
      <c r="T24" s="69" t="s">
        <v>70</v>
      </c>
      <c r="U24" s="69" t="s">
        <v>70</v>
      </c>
      <c r="V24" s="69" t="s">
        <v>70</v>
      </c>
      <c r="W24" s="69" t="s">
        <v>70</v>
      </c>
      <c r="X24" s="69" t="s">
        <v>70</v>
      </c>
      <c r="Y24" s="69" t="s">
        <v>70</v>
      </c>
      <c r="Z24" s="69" t="s">
        <v>70</v>
      </c>
      <c r="AA24" s="69" t="s">
        <v>70</v>
      </c>
      <c r="AB24" s="69" t="s">
        <v>70</v>
      </c>
      <c r="AC24" s="69" t="s">
        <v>70</v>
      </c>
      <c r="AD24" s="69" t="s">
        <v>70</v>
      </c>
      <c r="AE24" s="69" t="s">
        <v>70</v>
      </c>
      <c r="AF24" s="69" t="s">
        <v>70</v>
      </c>
      <c r="AG24" s="69" t="s">
        <v>70</v>
      </c>
      <c r="AH24" s="69" t="s">
        <v>70</v>
      </c>
      <c r="AI24" s="69" t="s">
        <v>70</v>
      </c>
      <c r="AJ24" s="25"/>
      <c r="AL24" t="str">
        <f t="shared" ca="1" si="0"/>
        <v xml:space="preserve">    (U1)ALERT_REQ_S_LCA_BC_VC_</v>
      </c>
      <c r="AR24" s="70" t="str">
        <f t="shared" si="3"/>
        <v/>
      </c>
      <c r="AS24" s="70" t="str">
        <f t="shared" si="4"/>
        <v/>
      </c>
      <c r="AT24" s="70" t="str">
        <f t="shared" si="1"/>
        <v/>
      </c>
    </row>
    <row r="25" spans="2:49">
      <c r="B25" s="139"/>
      <c r="C25" s="55">
        <f t="shared" si="2"/>
        <v>19</v>
      </c>
      <c r="D25" s="69" t="s">
        <v>70</v>
      </c>
      <c r="E25" s="69" t="s">
        <v>70</v>
      </c>
      <c r="F25" s="69" t="s">
        <v>70</v>
      </c>
      <c r="G25" s="69" t="s">
        <v>70</v>
      </c>
      <c r="H25" s="69" t="s">
        <v>70</v>
      </c>
      <c r="I25" s="69" t="s">
        <v>70</v>
      </c>
      <c r="J25" s="69" t="s">
        <v>70</v>
      </c>
      <c r="K25" s="69" t="s">
        <v>70</v>
      </c>
      <c r="L25" s="69" t="s">
        <v>70</v>
      </c>
      <c r="M25" s="69" t="s">
        <v>70</v>
      </c>
      <c r="N25" s="69" t="s">
        <v>70</v>
      </c>
      <c r="O25" s="69" t="s">
        <v>70</v>
      </c>
      <c r="P25" s="69" t="s">
        <v>70</v>
      </c>
      <c r="Q25" s="69" t="s">
        <v>70</v>
      </c>
      <c r="R25" s="69" t="s">
        <v>70</v>
      </c>
      <c r="S25" s="69" t="s">
        <v>70</v>
      </c>
      <c r="T25" s="69" t="s">
        <v>70</v>
      </c>
      <c r="U25" s="69" t="s">
        <v>70</v>
      </c>
      <c r="V25" s="69" t="s">
        <v>70</v>
      </c>
      <c r="W25" s="69" t="s">
        <v>70</v>
      </c>
      <c r="X25" s="69" t="s">
        <v>70</v>
      </c>
      <c r="Y25" s="69" t="s">
        <v>70</v>
      </c>
      <c r="Z25" s="69" t="s">
        <v>70</v>
      </c>
      <c r="AA25" s="69" t="s">
        <v>70</v>
      </c>
      <c r="AB25" s="69" t="s">
        <v>70</v>
      </c>
      <c r="AC25" s="69" t="s">
        <v>70</v>
      </c>
      <c r="AD25" s="69" t="s">
        <v>70</v>
      </c>
      <c r="AE25" s="69" t="s">
        <v>70</v>
      </c>
      <c r="AF25" s="69" t="s">
        <v>70</v>
      </c>
      <c r="AG25" s="69" t="s">
        <v>70</v>
      </c>
      <c r="AH25" s="69" t="s">
        <v>70</v>
      </c>
      <c r="AI25" s="69" t="s">
        <v>70</v>
      </c>
      <c r="AJ25" s="25"/>
      <c r="AL25" t="str">
        <f t="shared" ca="1" si="0"/>
        <v xml:space="preserve">    (U1)ALERT_REQ_S_LCA_BC_VC_</v>
      </c>
      <c r="AR25" s="70" t="str">
        <f t="shared" si="3"/>
        <v/>
      </c>
      <c r="AS25" s="70" t="str">
        <f t="shared" si="4"/>
        <v/>
      </c>
      <c r="AT25" s="70" t="str">
        <f t="shared" si="1"/>
        <v/>
      </c>
    </row>
    <row r="26" spans="2:49">
      <c r="B26" s="139"/>
      <c r="C26" s="55">
        <f t="shared" si="2"/>
        <v>20</v>
      </c>
      <c r="D26" s="69" t="s">
        <v>70</v>
      </c>
      <c r="E26" s="69" t="s">
        <v>70</v>
      </c>
      <c r="F26" s="69" t="s">
        <v>70</v>
      </c>
      <c r="G26" s="69" t="s">
        <v>70</v>
      </c>
      <c r="H26" s="69" t="s">
        <v>70</v>
      </c>
      <c r="I26" s="69" t="s">
        <v>70</v>
      </c>
      <c r="J26" s="69" t="s">
        <v>70</v>
      </c>
      <c r="K26" s="69" t="s">
        <v>70</v>
      </c>
      <c r="L26" s="69" t="s">
        <v>70</v>
      </c>
      <c r="M26" s="69" t="s">
        <v>70</v>
      </c>
      <c r="N26" s="69" t="s">
        <v>70</v>
      </c>
      <c r="O26" s="69" t="s">
        <v>70</v>
      </c>
      <c r="P26" s="69" t="s">
        <v>70</v>
      </c>
      <c r="Q26" s="69" t="s">
        <v>70</v>
      </c>
      <c r="R26" s="69" t="s">
        <v>70</v>
      </c>
      <c r="S26" s="69" t="s">
        <v>70</v>
      </c>
      <c r="T26" s="69" t="s">
        <v>70</v>
      </c>
      <c r="U26" s="69" t="s">
        <v>70</v>
      </c>
      <c r="V26" s="69" t="s">
        <v>70</v>
      </c>
      <c r="W26" s="69" t="s">
        <v>70</v>
      </c>
      <c r="X26" s="69" t="s">
        <v>70</v>
      </c>
      <c r="Y26" s="69" t="s">
        <v>70</v>
      </c>
      <c r="Z26" s="69" t="s">
        <v>70</v>
      </c>
      <c r="AA26" s="69" t="s">
        <v>70</v>
      </c>
      <c r="AB26" s="69" t="s">
        <v>70</v>
      </c>
      <c r="AC26" s="69" t="s">
        <v>70</v>
      </c>
      <c r="AD26" s="69" t="s">
        <v>70</v>
      </c>
      <c r="AE26" s="69" t="s">
        <v>70</v>
      </c>
      <c r="AF26" s="69" t="s">
        <v>70</v>
      </c>
      <c r="AG26" s="69" t="s">
        <v>70</v>
      </c>
      <c r="AH26" s="69" t="s">
        <v>70</v>
      </c>
      <c r="AI26" s="69" t="s">
        <v>70</v>
      </c>
      <c r="AJ26" s="25"/>
      <c r="AL26" t="str">
        <f t="shared" ca="1" si="0"/>
        <v xml:space="preserve">    (U1)ALERT_REQ_S_LCA_BC_VC_</v>
      </c>
      <c r="AR26" s="70" t="str">
        <f t="shared" si="3"/>
        <v/>
      </c>
      <c r="AS26" s="70" t="str">
        <f t="shared" si="4"/>
        <v/>
      </c>
      <c r="AT26" s="70" t="str">
        <f t="shared" si="1"/>
        <v/>
      </c>
    </row>
    <row r="27" spans="2:49">
      <c r="B27" s="139"/>
      <c r="C27" s="55">
        <f t="shared" si="2"/>
        <v>21</v>
      </c>
      <c r="D27" s="69" t="s">
        <v>70</v>
      </c>
      <c r="E27" s="69" t="s">
        <v>70</v>
      </c>
      <c r="F27" s="69" t="s">
        <v>70</v>
      </c>
      <c r="G27" s="69" t="s">
        <v>70</v>
      </c>
      <c r="H27" s="69" t="s">
        <v>70</v>
      </c>
      <c r="I27" s="69" t="s">
        <v>70</v>
      </c>
      <c r="J27" s="69" t="s">
        <v>70</v>
      </c>
      <c r="K27" s="69" t="s">
        <v>70</v>
      </c>
      <c r="L27" s="69" t="s">
        <v>70</v>
      </c>
      <c r="M27" s="69" t="s">
        <v>70</v>
      </c>
      <c r="N27" s="69" t="s">
        <v>70</v>
      </c>
      <c r="O27" s="69" t="s">
        <v>70</v>
      </c>
      <c r="P27" s="69" t="s">
        <v>70</v>
      </c>
      <c r="Q27" s="69" t="s">
        <v>70</v>
      </c>
      <c r="R27" s="69" t="s">
        <v>70</v>
      </c>
      <c r="S27" s="69" t="s">
        <v>70</v>
      </c>
      <c r="T27" s="69" t="s">
        <v>70</v>
      </c>
      <c r="U27" s="69" t="s">
        <v>70</v>
      </c>
      <c r="V27" s="69" t="s">
        <v>70</v>
      </c>
      <c r="W27" s="69" t="s">
        <v>70</v>
      </c>
      <c r="X27" s="69" t="s">
        <v>70</v>
      </c>
      <c r="Y27" s="69" t="s">
        <v>70</v>
      </c>
      <c r="Z27" s="69" t="s">
        <v>70</v>
      </c>
      <c r="AA27" s="69" t="s">
        <v>70</v>
      </c>
      <c r="AB27" s="69" t="s">
        <v>70</v>
      </c>
      <c r="AC27" s="69" t="s">
        <v>70</v>
      </c>
      <c r="AD27" s="69" t="s">
        <v>70</v>
      </c>
      <c r="AE27" s="69" t="s">
        <v>70</v>
      </c>
      <c r="AF27" s="69" t="s">
        <v>70</v>
      </c>
      <c r="AG27" s="69" t="s">
        <v>70</v>
      </c>
      <c r="AH27" s="69" t="s">
        <v>70</v>
      </c>
      <c r="AI27" s="69" t="s">
        <v>70</v>
      </c>
      <c r="AJ27" s="25"/>
      <c r="AL27" t="str">
        <f t="shared" ca="1" si="0"/>
        <v xml:space="preserve">    (U1)ALERT_REQ_S_LCA_BC_VC_</v>
      </c>
      <c r="AR27" s="70" t="str">
        <f t="shared" si="3"/>
        <v/>
      </c>
      <c r="AS27" s="70" t="str">
        <f t="shared" si="4"/>
        <v/>
      </c>
      <c r="AT27" s="70" t="str">
        <f t="shared" si="1"/>
        <v/>
      </c>
    </row>
    <row r="28" spans="2:49">
      <c r="B28" s="139"/>
      <c r="C28" s="55">
        <f t="shared" si="2"/>
        <v>22</v>
      </c>
      <c r="D28" s="69" t="s">
        <v>70</v>
      </c>
      <c r="E28" s="69" t="s">
        <v>70</v>
      </c>
      <c r="F28" s="69" t="s">
        <v>70</v>
      </c>
      <c r="G28" s="69" t="s">
        <v>70</v>
      </c>
      <c r="H28" s="69" t="s">
        <v>70</v>
      </c>
      <c r="I28" s="69" t="s">
        <v>70</v>
      </c>
      <c r="J28" s="69" t="s">
        <v>70</v>
      </c>
      <c r="K28" s="69" t="s">
        <v>70</v>
      </c>
      <c r="L28" s="69" t="s">
        <v>70</v>
      </c>
      <c r="M28" s="69" t="s">
        <v>70</v>
      </c>
      <c r="N28" s="69" t="s">
        <v>70</v>
      </c>
      <c r="O28" s="69" t="s">
        <v>70</v>
      </c>
      <c r="P28" s="69" t="s">
        <v>70</v>
      </c>
      <c r="Q28" s="69" t="s">
        <v>70</v>
      </c>
      <c r="R28" s="69" t="s">
        <v>70</v>
      </c>
      <c r="S28" s="69" t="s">
        <v>70</v>
      </c>
      <c r="T28" s="69" t="s">
        <v>70</v>
      </c>
      <c r="U28" s="69" t="s">
        <v>70</v>
      </c>
      <c r="V28" s="69" t="s">
        <v>70</v>
      </c>
      <c r="W28" s="69" t="s">
        <v>70</v>
      </c>
      <c r="X28" s="69" t="s">
        <v>70</v>
      </c>
      <c r="Y28" s="69" t="s">
        <v>70</v>
      </c>
      <c r="Z28" s="69" t="s">
        <v>70</v>
      </c>
      <c r="AA28" s="69" t="s">
        <v>70</v>
      </c>
      <c r="AB28" s="69" t="s">
        <v>70</v>
      </c>
      <c r="AC28" s="69" t="s">
        <v>70</v>
      </c>
      <c r="AD28" s="69" t="s">
        <v>70</v>
      </c>
      <c r="AE28" s="69" t="s">
        <v>70</v>
      </c>
      <c r="AF28" s="69" t="s">
        <v>70</v>
      </c>
      <c r="AG28" s="69" t="s">
        <v>70</v>
      </c>
      <c r="AH28" s="69" t="s">
        <v>70</v>
      </c>
      <c r="AI28" s="69" t="s">
        <v>70</v>
      </c>
      <c r="AJ28" s="25"/>
      <c r="AL28" t="str">
        <f t="shared" ca="1" si="0"/>
        <v xml:space="preserve">    (U1)ALERT_REQ_S_LCA_BC_VC_</v>
      </c>
      <c r="AR28" s="70" t="str">
        <f t="shared" si="3"/>
        <v/>
      </c>
      <c r="AS28" s="70" t="str">
        <f t="shared" si="4"/>
        <v/>
      </c>
      <c r="AT28" s="70" t="str">
        <f t="shared" si="1"/>
        <v/>
      </c>
    </row>
    <row r="29" spans="2:49">
      <c r="B29" s="139"/>
      <c r="C29" s="55">
        <f t="shared" si="2"/>
        <v>23</v>
      </c>
      <c r="D29" s="69" t="s">
        <v>70</v>
      </c>
      <c r="E29" s="69" t="s">
        <v>70</v>
      </c>
      <c r="F29" s="69" t="s">
        <v>70</v>
      </c>
      <c r="G29" s="69" t="s">
        <v>70</v>
      </c>
      <c r="H29" s="69" t="s">
        <v>70</v>
      </c>
      <c r="I29" s="69" t="s">
        <v>70</v>
      </c>
      <c r="J29" s="69" t="s">
        <v>70</v>
      </c>
      <c r="K29" s="69" t="s">
        <v>70</v>
      </c>
      <c r="L29" s="69" t="s">
        <v>70</v>
      </c>
      <c r="M29" s="69" t="s">
        <v>70</v>
      </c>
      <c r="N29" s="69" t="s">
        <v>70</v>
      </c>
      <c r="O29" s="69" t="s">
        <v>70</v>
      </c>
      <c r="P29" s="69" t="s">
        <v>70</v>
      </c>
      <c r="Q29" s="69" t="s">
        <v>70</v>
      </c>
      <c r="R29" s="69" t="s">
        <v>70</v>
      </c>
      <c r="S29" s="69" t="s">
        <v>70</v>
      </c>
      <c r="T29" s="69" t="s">
        <v>70</v>
      </c>
      <c r="U29" s="69" t="s">
        <v>70</v>
      </c>
      <c r="V29" s="69" t="s">
        <v>70</v>
      </c>
      <c r="W29" s="69" t="s">
        <v>70</v>
      </c>
      <c r="X29" s="69" t="s">
        <v>70</v>
      </c>
      <c r="Y29" s="69" t="s">
        <v>70</v>
      </c>
      <c r="Z29" s="69" t="s">
        <v>70</v>
      </c>
      <c r="AA29" s="69" t="s">
        <v>70</v>
      </c>
      <c r="AB29" s="69" t="s">
        <v>70</v>
      </c>
      <c r="AC29" s="69" t="s">
        <v>70</v>
      </c>
      <c r="AD29" s="69" t="s">
        <v>70</v>
      </c>
      <c r="AE29" s="69" t="s">
        <v>70</v>
      </c>
      <c r="AF29" s="69" t="s">
        <v>70</v>
      </c>
      <c r="AG29" s="69" t="s">
        <v>70</v>
      </c>
      <c r="AH29" s="69" t="s">
        <v>70</v>
      </c>
      <c r="AI29" s="69" t="s">
        <v>70</v>
      </c>
      <c r="AJ29" s="25"/>
      <c r="AL29" t="str">
        <f t="shared" ca="1" si="0"/>
        <v xml:space="preserve">    (U1)ALERT_REQ_S_LCA_BC_VC_</v>
      </c>
      <c r="AR29" s="70" t="str">
        <f t="shared" si="3"/>
        <v/>
      </c>
      <c r="AS29" s="70" t="str">
        <f t="shared" si="4"/>
        <v/>
      </c>
      <c r="AT29" s="70" t="str">
        <f t="shared" si="1"/>
        <v/>
      </c>
    </row>
    <row r="30" spans="2:49">
      <c r="B30" s="139"/>
      <c r="C30" s="55">
        <f t="shared" si="2"/>
        <v>24</v>
      </c>
      <c r="D30" s="69" t="s">
        <v>70</v>
      </c>
      <c r="E30" s="69" t="s">
        <v>70</v>
      </c>
      <c r="F30" s="69" t="s">
        <v>70</v>
      </c>
      <c r="G30" s="69" t="s">
        <v>70</v>
      </c>
      <c r="H30" s="69" t="s">
        <v>70</v>
      </c>
      <c r="I30" s="69" t="s">
        <v>70</v>
      </c>
      <c r="J30" s="69" t="s">
        <v>70</v>
      </c>
      <c r="K30" s="69" t="s">
        <v>70</v>
      </c>
      <c r="L30" s="69" t="s">
        <v>70</v>
      </c>
      <c r="M30" s="69" t="s">
        <v>70</v>
      </c>
      <c r="N30" s="69" t="s">
        <v>70</v>
      </c>
      <c r="O30" s="69" t="s">
        <v>70</v>
      </c>
      <c r="P30" s="69" t="s">
        <v>70</v>
      </c>
      <c r="Q30" s="69" t="s">
        <v>70</v>
      </c>
      <c r="R30" s="69" t="s">
        <v>70</v>
      </c>
      <c r="S30" s="69" t="s">
        <v>70</v>
      </c>
      <c r="T30" s="69" t="s">
        <v>70</v>
      </c>
      <c r="U30" s="69" t="s">
        <v>70</v>
      </c>
      <c r="V30" s="69" t="s">
        <v>70</v>
      </c>
      <c r="W30" s="69" t="s">
        <v>70</v>
      </c>
      <c r="X30" s="69" t="s">
        <v>70</v>
      </c>
      <c r="Y30" s="69" t="s">
        <v>70</v>
      </c>
      <c r="Z30" s="69" t="s">
        <v>70</v>
      </c>
      <c r="AA30" s="69" t="s">
        <v>70</v>
      </c>
      <c r="AB30" s="69" t="s">
        <v>70</v>
      </c>
      <c r="AC30" s="69" t="s">
        <v>70</v>
      </c>
      <c r="AD30" s="69" t="s">
        <v>70</v>
      </c>
      <c r="AE30" s="69" t="s">
        <v>70</v>
      </c>
      <c r="AF30" s="69" t="s">
        <v>70</v>
      </c>
      <c r="AG30" s="69" t="s">
        <v>70</v>
      </c>
      <c r="AH30" s="69" t="s">
        <v>70</v>
      </c>
      <c r="AI30" s="69" t="s">
        <v>70</v>
      </c>
      <c r="AJ30" s="25"/>
      <c r="AL30" t="str">
        <f t="shared" ca="1" si="0"/>
        <v xml:space="preserve">    (U1)ALERT_REQ_S_LCA_BC_VC_</v>
      </c>
      <c r="AR30" s="70" t="str">
        <f t="shared" si="3"/>
        <v/>
      </c>
      <c r="AS30" s="70" t="str">
        <f t="shared" si="4"/>
        <v/>
      </c>
      <c r="AT30" s="70" t="str">
        <f t="shared" si="1"/>
        <v/>
      </c>
    </row>
    <row r="31" spans="2:49">
      <c r="B31" s="139"/>
      <c r="C31" s="55">
        <f t="shared" si="2"/>
        <v>25</v>
      </c>
      <c r="D31" s="69" t="s">
        <v>70</v>
      </c>
      <c r="E31" s="69" t="s">
        <v>70</v>
      </c>
      <c r="F31" s="69" t="s">
        <v>70</v>
      </c>
      <c r="G31" s="69" t="s">
        <v>70</v>
      </c>
      <c r="H31" s="69" t="s">
        <v>70</v>
      </c>
      <c r="I31" s="69" t="s">
        <v>70</v>
      </c>
      <c r="J31" s="69" t="s">
        <v>70</v>
      </c>
      <c r="K31" s="69" t="s">
        <v>70</v>
      </c>
      <c r="L31" s="69" t="s">
        <v>70</v>
      </c>
      <c r="M31" s="69" t="s">
        <v>70</v>
      </c>
      <c r="N31" s="69" t="s">
        <v>70</v>
      </c>
      <c r="O31" s="69" t="s">
        <v>70</v>
      </c>
      <c r="P31" s="69" t="s">
        <v>70</v>
      </c>
      <c r="Q31" s="69" t="s">
        <v>70</v>
      </c>
      <c r="R31" s="69" t="s">
        <v>70</v>
      </c>
      <c r="S31" s="69" t="s">
        <v>70</v>
      </c>
      <c r="T31" s="69" t="s">
        <v>70</v>
      </c>
      <c r="U31" s="69" t="s">
        <v>70</v>
      </c>
      <c r="V31" s="69" t="s">
        <v>70</v>
      </c>
      <c r="W31" s="69" t="s">
        <v>70</v>
      </c>
      <c r="X31" s="69" t="s">
        <v>70</v>
      </c>
      <c r="Y31" s="69" t="s">
        <v>70</v>
      </c>
      <c r="Z31" s="69" t="s">
        <v>70</v>
      </c>
      <c r="AA31" s="69" t="s">
        <v>70</v>
      </c>
      <c r="AB31" s="69" t="s">
        <v>70</v>
      </c>
      <c r="AC31" s="69" t="s">
        <v>70</v>
      </c>
      <c r="AD31" s="69" t="s">
        <v>70</v>
      </c>
      <c r="AE31" s="69" t="s">
        <v>70</v>
      </c>
      <c r="AF31" s="69" t="s">
        <v>70</v>
      </c>
      <c r="AG31" s="69" t="s">
        <v>70</v>
      </c>
      <c r="AH31" s="69" t="s">
        <v>70</v>
      </c>
      <c r="AI31" s="69" t="s">
        <v>70</v>
      </c>
      <c r="AJ31" s="25"/>
      <c r="AL31" t="str">
        <f t="shared" ca="1" si="0"/>
        <v xml:space="preserve">    (U1)ALERT_REQ_S_LCA_BC_VC_</v>
      </c>
      <c r="AR31" s="70" t="str">
        <f t="shared" si="3"/>
        <v/>
      </c>
      <c r="AS31" s="70" t="str">
        <f t="shared" si="4"/>
        <v/>
      </c>
      <c r="AT31" s="70" t="str">
        <f t="shared" si="1"/>
        <v/>
      </c>
    </row>
    <row r="32" spans="2:49">
      <c r="B32" s="139"/>
      <c r="C32" s="55">
        <f t="shared" si="2"/>
        <v>26</v>
      </c>
      <c r="D32" s="69" t="s">
        <v>70</v>
      </c>
      <c r="E32" s="69" t="s">
        <v>70</v>
      </c>
      <c r="F32" s="69" t="s">
        <v>70</v>
      </c>
      <c r="G32" s="69" t="s">
        <v>70</v>
      </c>
      <c r="H32" s="69" t="s">
        <v>70</v>
      </c>
      <c r="I32" s="69" t="s">
        <v>70</v>
      </c>
      <c r="J32" s="69" t="s">
        <v>70</v>
      </c>
      <c r="K32" s="69" t="s">
        <v>70</v>
      </c>
      <c r="L32" s="69" t="s">
        <v>70</v>
      </c>
      <c r="M32" s="69" t="s">
        <v>70</v>
      </c>
      <c r="N32" s="69" t="s">
        <v>70</v>
      </c>
      <c r="O32" s="69" t="s">
        <v>70</v>
      </c>
      <c r="P32" s="69" t="s">
        <v>70</v>
      </c>
      <c r="Q32" s="69" t="s">
        <v>70</v>
      </c>
      <c r="R32" s="69" t="s">
        <v>70</v>
      </c>
      <c r="S32" s="69" t="s">
        <v>70</v>
      </c>
      <c r="T32" s="69" t="s">
        <v>70</v>
      </c>
      <c r="U32" s="69" t="s">
        <v>70</v>
      </c>
      <c r="V32" s="69" t="s">
        <v>70</v>
      </c>
      <c r="W32" s="69" t="s">
        <v>70</v>
      </c>
      <c r="X32" s="69" t="s">
        <v>70</v>
      </c>
      <c r="Y32" s="69" t="s">
        <v>70</v>
      </c>
      <c r="Z32" s="69" t="s">
        <v>70</v>
      </c>
      <c r="AA32" s="69" t="s">
        <v>70</v>
      </c>
      <c r="AB32" s="69" t="s">
        <v>70</v>
      </c>
      <c r="AC32" s="69" t="s">
        <v>70</v>
      </c>
      <c r="AD32" s="69" t="s">
        <v>70</v>
      </c>
      <c r="AE32" s="69" t="s">
        <v>70</v>
      </c>
      <c r="AF32" s="69" t="s">
        <v>70</v>
      </c>
      <c r="AG32" s="69" t="s">
        <v>70</v>
      </c>
      <c r="AH32" s="69" t="s">
        <v>70</v>
      </c>
      <c r="AI32" s="69" t="s">
        <v>70</v>
      </c>
      <c r="AJ32" s="25"/>
      <c r="AL32" t="str">
        <f t="shared" ca="1" si="0"/>
        <v xml:space="preserve">    (U1)ALERT_REQ_S_LCA_BC_VC_</v>
      </c>
      <c r="AR32" s="70" t="str">
        <f t="shared" si="3"/>
        <v/>
      </c>
      <c r="AS32" s="70" t="str">
        <f t="shared" si="4"/>
        <v/>
      </c>
      <c r="AT32" s="70" t="str">
        <f t="shared" si="1"/>
        <v/>
      </c>
    </row>
    <row r="33" spans="2:46">
      <c r="B33" s="139"/>
      <c r="C33" s="55">
        <f t="shared" si="2"/>
        <v>27</v>
      </c>
      <c r="D33" s="69" t="s">
        <v>70</v>
      </c>
      <c r="E33" s="69" t="s">
        <v>70</v>
      </c>
      <c r="F33" s="69" t="s">
        <v>70</v>
      </c>
      <c r="G33" s="69" t="s">
        <v>70</v>
      </c>
      <c r="H33" s="69" t="s">
        <v>70</v>
      </c>
      <c r="I33" s="69" t="s">
        <v>70</v>
      </c>
      <c r="J33" s="69" t="s">
        <v>70</v>
      </c>
      <c r="K33" s="69" t="s">
        <v>70</v>
      </c>
      <c r="L33" s="69" t="s">
        <v>70</v>
      </c>
      <c r="M33" s="69" t="s">
        <v>70</v>
      </c>
      <c r="N33" s="69" t="s">
        <v>70</v>
      </c>
      <c r="O33" s="69" t="s">
        <v>70</v>
      </c>
      <c r="P33" s="69" t="s">
        <v>70</v>
      </c>
      <c r="Q33" s="69" t="s">
        <v>70</v>
      </c>
      <c r="R33" s="69" t="s">
        <v>70</v>
      </c>
      <c r="S33" s="69" t="s">
        <v>70</v>
      </c>
      <c r="T33" s="69" t="s">
        <v>70</v>
      </c>
      <c r="U33" s="69" t="s">
        <v>70</v>
      </c>
      <c r="V33" s="69" t="s">
        <v>70</v>
      </c>
      <c r="W33" s="69" t="s">
        <v>70</v>
      </c>
      <c r="X33" s="69" t="s">
        <v>70</v>
      </c>
      <c r="Y33" s="69" t="s">
        <v>70</v>
      </c>
      <c r="Z33" s="69" t="s">
        <v>70</v>
      </c>
      <c r="AA33" s="69" t="s">
        <v>70</v>
      </c>
      <c r="AB33" s="69" t="s">
        <v>70</v>
      </c>
      <c r="AC33" s="69" t="s">
        <v>70</v>
      </c>
      <c r="AD33" s="69" t="s">
        <v>70</v>
      </c>
      <c r="AE33" s="69" t="s">
        <v>70</v>
      </c>
      <c r="AF33" s="69" t="s">
        <v>70</v>
      </c>
      <c r="AG33" s="69" t="s">
        <v>70</v>
      </c>
      <c r="AH33" s="69" t="s">
        <v>70</v>
      </c>
      <c r="AI33" s="69" t="s">
        <v>70</v>
      </c>
      <c r="AJ33" s="25"/>
      <c r="AL33" t="str">
        <f t="shared" ca="1" si="0"/>
        <v xml:space="preserve">    (U1)ALERT_REQ_S_LCA_BC_VC_</v>
      </c>
      <c r="AR33" s="70" t="str">
        <f t="shared" si="3"/>
        <v/>
      </c>
      <c r="AS33" s="70" t="str">
        <f t="shared" si="4"/>
        <v/>
      </c>
      <c r="AT33" s="70" t="str">
        <f t="shared" si="1"/>
        <v/>
      </c>
    </row>
    <row r="34" spans="2:46">
      <c r="B34" s="139"/>
      <c r="C34" s="55">
        <f t="shared" si="2"/>
        <v>28</v>
      </c>
      <c r="D34" s="69" t="s">
        <v>70</v>
      </c>
      <c r="E34" s="69" t="s">
        <v>70</v>
      </c>
      <c r="F34" s="69" t="s">
        <v>70</v>
      </c>
      <c r="G34" s="69" t="s">
        <v>70</v>
      </c>
      <c r="H34" s="69" t="s">
        <v>70</v>
      </c>
      <c r="I34" s="69" t="s">
        <v>70</v>
      </c>
      <c r="J34" s="69" t="s">
        <v>70</v>
      </c>
      <c r="K34" s="69" t="s">
        <v>70</v>
      </c>
      <c r="L34" s="69" t="s">
        <v>70</v>
      </c>
      <c r="M34" s="69" t="s">
        <v>70</v>
      </c>
      <c r="N34" s="69" t="s">
        <v>70</v>
      </c>
      <c r="O34" s="69" t="s">
        <v>70</v>
      </c>
      <c r="P34" s="69" t="s">
        <v>70</v>
      </c>
      <c r="Q34" s="69" t="s">
        <v>70</v>
      </c>
      <c r="R34" s="69" t="s">
        <v>70</v>
      </c>
      <c r="S34" s="69" t="s">
        <v>70</v>
      </c>
      <c r="T34" s="69" t="s">
        <v>70</v>
      </c>
      <c r="U34" s="69" t="s">
        <v>70</v>
      </c>
      <c r="V34" s="69" t="s">
        <v>70</v>
      </c>
      <c r="W34" s="69" t="s">
        <v>70</v>
      </c>
      <c r="X34" s="69" t="s">
        <v>70</v>
      </c>
      <c r="Y34" s="69" t="s">
        <v>70</v>
      </c>
      <c r="Z34" s="69" t="s">
        <v>70</v>
      </c>
      <c r="AA34" s="69" t="s">
        <v>70</v>
      </c>
      <c r="AB34" s="69" t="s">
        <v>70</v>
      </c>
      <c r="AC34" s="69" t="s">
        <v>70</v>
      </c>
      <c r="AD34" s="69" t="s">
        <v>70</v>
      </c>
      <c r="AE34" s="69" t="s">
        <v>70</v>
      </c>
      <c r="AF34" s="69" t="s">
        <v>70</v>
      </c>
      <c r="AG34" s="69" t="s">
        <v>70</v>
      </c>
      <c r="AH34" s="69" t="s">
        <v>70</v>
      </c>
      <c r="AI34" s="69" t="s">
        <v>70</v>
      </c>
      <c r="AJ34" s="25"/>
      <c r="AL34" t="str">
        <f t="shared" ca="1" si="0"/>
        <v xml:space="preserve">    (U1)ALERT_REQ_S_LCA_BC_VC_</v>
      </c>
      <c r="AR34" s="70" t="str">
        <f t="shared" si="3"/>
        <v/>
      </c>
      <c r="AS34" s="70" t="str">
        <f t="shared" si="4"/>
        <v/>
      </c>
      <c r="AT34" s="70" t="str">
        <f t="shared" si="1"/>
        <v/>
      </c>
    </row>
    <row r="35" spans="2:46">
      <c r="B35" s="139"/>
      <c r="C35" s="55">
        <f t="shared" si="2"/>
        <v>29</v>
      </c>
      <c r="D35" s="69" t="s">
        <v>70</v>
      </c>
      <c r="E35" s="69" t="s">
        <v>70</v>
      </c>
      <c r="F35" s="69" t="s">
        <v>70</v>
      </c>
      <c r="G35" s="69" t="s">
        <v>70</v>
      </c>
      <c r="H35" s="69" t="s">
        <v>70</v>
      </c>
      <c r="I35" s="69" t="s">
        <v>70</v>
      </c>
      <c r="J35" s="69" t="s">
        <v>70</v>
      </c>
      <c r="K35" s="69" t="s">
        <v>70</v>
      </c>
      <c r="L35" s="69" t="s">
        <v>70</v>
      </c>
      <c r="M35" s="69" t="s">
        <v>70</v>
      </c>
      <c r="N35" s="69" t="s">
        <v>70</v>
      </c>
      <c r="O35" s="69" t="s">
        <v>70</v>
      </c>
      <c r="P35" s="69" t="s">
        <v>70</v>
      </c>
      <c r="Q35" s="69" t="s">
        <v>70</v>
      </c>
      <c r="R35" s="69" t="s">
        <v>70</v>
      </c>
      <c r="S35" s="69" t="s">
        <v>70</v>
      </c>
      <c r="T35" s="69" t="s">
        <v>70</v>
      </c>
      <c r="U35" s="69" t="s">
        <v>70</v>
      </c>
      <c r="V35" s="69" t="s">
        <v>70</v>
      </c>
      <c r="W35" s="69" t="s">
        <v>70</v>
      </c>
      <c r="X35" s="69" t="s">
        <v>70</v>
      </c>
      <c r="Y35" s="69" t="s">
        <v>70</v>
      </c>
      <c r="Z35" s="69" t="s">
        <v>70</v>
      </c>
      <c r="AA35" s="69" t="s">
        <v>70</v>
      </c>
      <c r="AB35" s="69" t="s">
        <v>70</v>
      </c>
      <c r="AC35" s="69" t="s">
        <v>70</v>
      </c>
      <c r="AD35" s="69" t="s">
        <v>70</v>
      </c>
      <c r="AE35" s="69" t="s">
        <v>70</v>
      </c>
      <c r="AF35" s="69" t="s">
        <v>70</v>
      </c>
      <c r="AG35" s="69" t="s">
        <v>70</v>
      </c>
      <c r="AH35" s="69" t="s">
        <v>70</v>
      </c>
      <c r="AI35" s="69" t="s">
        <v>70</v>
      </c>
      <c r="AJ35" s="25"/>
      <c r="AL35" t="str">
        <f t="shared" ca="1" si="0"/>
        <v xml:space="preserve">    (U1)ALERT_REQ_S_LCA_BC_VC_</v>
      </c>
      <c r="AR35" s="70" t="str">
        <f t="shared" si="3"/>
        <v/>
      </c>
      <c r="AS35" s="70" t="str">
        <f t="shared" si="4"/>
        <v/>
      </c>
      <c r="AT35" s="70" t="str">
        <f t="shared" si="1"/>
        <v/>
      </c>
    </row>
    <row r="36" spans="2:46">
      <c r="B36" s="139"/>
      <c r="C36" s="55">
        <f t="shared" si="2"/>
        <v>30</v>
      </c>
      <c r="D36" s="69" t="s">
        <v>70</v>
      </c>
      <c r="E36" s="69" t="s">
        <v>70</v>
      </c>
      <c r="F36" s="69" t="s">
        <v>70</v>
      </c>
      <c r="G36" s="69" t="s">
        <v>70</v>
      </c>
      <c r="H36" s="69" t="s">
        <v>70</v>
      </c>
      <c r="I36" s="69" t="s">
        <v>70</v>
      </c>
      <c r="J36" s="69" t="s">
        <v>70</v>
      </c>
      <c r="K36" s="69" t="s">
        <v>70</v>
      </c>
      <c r="L36" s="69" t="s">
        <v>70</v>
      </c>
      <c r="M36" s="69" t="s">
        <v>70</v>
      </c>
      <c r="N36" s="69" t="s">
        <v>70</v>
      </c>
      <c r="O36" s="69" t="s">
        <v>70</v>
      </c>
      <c r="P36" s="69" t="s">
        <v>70</v>
      </c>
      <c r="Q36" s="69" t="s">
        <v>70</v>
      </c>
      <c r="R36" s="69" t="s">
        <v>70</v>
      </c>
      <c r="S36" s="69" t="s">
        <v>70</v>
      </c>
      <c r="T36" s="69" t="s">
        <v>70</v>
      </c>
      <c r="U36" s="69" t="s">
        <v>70</v>
      </c>
      <c r="V36" s="69" t="s">
        <v>70</v>
      </c>
      <c r="W36" s="69" t="s">
        <v>70</v>
      </c>
      <c r="X36" s="69" t="s">
        <v>70</v>
      </c>
      <c r="Y36" s="69" t="s">
        <v>70</v>
      </c>
      <c r="Z36" s="69" t="s">
        <v>70</v>
      </c>
      <c r="AA36" s="69" t="s">
        <v>70</v>
      </c>
      <c r="AB36" s="69" t="s">
        <v>70</v>
      </c>
      <c r="AC36" s="69" t="s">
        <v>70</v>
      </c>
      <c r="AD36" s="69" t="s">
        <v>70</v>
      </c>
      <c r="AE36" s="69" t="s">
        <v>70</v>
      </c>
      <c r="AF36" s="69" t="s">
        <v>70</v>
      </c>
      <c r="AG36" s="69" t="s">
        <v>70</v>
      </c>
      <c r="AH36" s="69" t="s">
        <v>70</v>
      </c>
      <c r="AI36" s="69" t="s">
        <v>70</v>
      </c>
      <c r="AJ36" s="25"/>
      <c r="AL36" t="str">
        <f t="shared" ca="1" si="0"/>
        <v xml:space="preserve">    (U1)ALERT_REQ_S_LCA_BC_VC_</v>
      </c>
      <c r="AR36" s="70" t="str">
        <f t="shared" si="3"/>
        <v/>
      </c>
      <c r="AS36" s="70" t="str">
        <f t="shared" si="4"/>
        <v/>
      </c>
      <c r="AT36" s="70" t="str">
        <f t="shared" si="1"/>
        <v/>
      </c>
    </row>
    <row r="37" spans="2:46">
      <c r="B37" s="139"/>
      <c r="C37" s="55">
        <f t="shared" si="2"/>
        <v>31</v>
      </c>
      <c r="D37" s="69" t="s">
        <v>70</v>
      </c>
      <c r="E37" s="69" t="s">
        <v>70</v>
      </c>
      <c r="F37" s="69" t="s">
        <v>70</v>
      </c>
      <c r="G37" s="69" t="s">
        <v>70</v>
      </c>
      <c r="H37" s="69" t="s">
        <v>70</v>
      </c>
      <c r="I37" s="69" t="s">
        <v>70</v>
      </c>
      <c r="J37" s="69" t="s">
        <v>70</v>
      </c>
      <c r="K37" s="69" t="s">
        <v>70</v>
      </c>
      <c r="L37" s="69" t="s">
        <v>70</v>
      </c>
      <c r="M37" s="69" t="s">
        <v>70</v>
      </c>
      <c r="N37" s="69" t="s">
        <v>70</v>
      </c>
      <c r="O37" s="69" t="s">
        <v>70</v>
      </c>
      <c r="P37" s="69" t="s">
        <v>70</v>
      </c>
      <c r="Q37" s="69" t="s">
        <v>70</v>
      </c>
      <c r="R37" s="69" t="s">
        <v>70</v>
      </c>
      <c r="S37" s="69" t="s">
        <v>70</v>
      </c>
      <c r="T37" s="69" t="s">
        <v>70</v>
      </c>
      <c r="U37" s="69" t="s">
        <v>70</v>
      </c>
      <c r="V37" s="69" t="s">
        <v>70</v>
      </c>
      <c r="W37" s="69" t="s">
        <v>70</v>
      </c>
      <c r="X37" s="69" t="s">
        <v>70</v>
      </c>
      <c r="Y37" s="69" t="s">
        <v>70</v>
      </c>
      <c r="Z37" s="69" t="s">
        <v>70</v>
      </c>
      <c r="AA37" s="69" t="s">
        <v>70</v>
      </c>
      <c r="AB37" s="69" t="s">
        <v>70</v>
      </c>
      <c r="AC37" s="69" t="s">
        <v>70</v>
      </c>
      <c r="AD37" s="69" t="s">
        <v>70</v>
      </c>
      <c r="AE37" s="69" t="s">
        <v>70</v>
      </c>
      <c r="AF37" s="69" t="s">
        <v>70</v>
      </c>
      <c r="AG37" s="69" t="s">
        <v>70</v>
      </c>
      <c r="AH37" s="69" t="s">
        <v>70</v>
      </c>
      <c r="AI37" s="69" t="s">
        <v>70</v>
      </c>
      <c r="AJ37" s="25"/>
      <c r="AL37" t="str">
        <f t="shared" ca="1" si="0"/>
        <v xml:space="preserve">    (U1)ALERT_REQ_S_LCA_BC_VC_</v>
      </c>
      <c r="AR37" s="70" t="str">
        <f t="shared" si="3"/>
        <v/>
      </c>
      <c r="AS37" s="70" t="str">
        <f t="shared" si="4"/>
        <v/>
      </c>
      <c r="AT37" s="70" t="str">
        <f t="shared" si="1"/>
        <v/>
      </c>
    </row>
    <row r="38" spans="2:46">
      <c r="B38" s="139"/>
      <c r="C38" s="55">
        <f t="shared" si="2"/>
        <v>32</v>
      </c>
      <c r="D38" s="69" t="s">
        <v>70</v>
      </c>
      <c r="E38" s="69" t="s">
        <v>70</v>
      </c>
      <c r="F38" s="69" t="s">
        <v>70</v>
      </c>
      <c r="G38" s="69" t="s">
        <v>70</v>
      </c>
      <c r="H38" s="69" t="s">
        <v>70</v>
      </c>
      <c r="I38" s="69" t="s">
        <v>70</v>
      </c>
      <c r="J38" s="69" t="s">
        <v>70</v>
      </c>
      <c r="K38" s="69" t="s">
        <v>70</v>
      </c>
      <c r="L38" s="69" t="s">
        <v>70</v>
      </c>
      <c r="M38" s="69" t="s">
        <v>70</v>
      </c>
      <c r="N38" s="69" t="s">
        <v>70</v>
      </c>
      <c r="O38" s="69" t="s">
        <v>70</v>
      </c>
      <c r="P38" s="69" t="s">
        <v>70</v>
      </c>
      <c r="Q38" s="69" t="s">
        <v>70</v>
      </c>
      <c r="R38" s="69" t="s">
        <v>70</v>
      </c>
      <c r="S38" s="69" t="s">
        <v>70</v>
      </c>
      <c r="T38" s="69" t="s">
        <v>70</v>
      </c>
      <c r="U38" s="69" t="s">
        <v>70</v>
      </c>
      <c r="V38" s="69" t="s">
        <v>70</v>
      </c>
      <c r="W38" s="69" t="s">
        <v>70</v>
      </c>
      <c r="X38" s="69" t="s">
        <v>70</v>
      </c>
      <c r="Y38" s="69" t="s">
        <v>70</v>
      </c>
      <c r="Z38" s="69" t="s">
        <v>70</v>
      </c>
      <c r="AA38" s="69" t="s">
        <v>70</v>
      </c>
      <c r="AB38" s="69" t="s">
        <v>70</v>
      </c>
      <c r="AC38" s="69" t="s">
        <v>70</v>
      </c>
      <c r="AD38" s="69" t="s">
        <v>70</v>
      </c>
      <c r="AE38" s="69" t="s">
        <v>70</v>
      </c>
      <c r="AF38" s="69" t="s">
        <v>70</v>
      </c>
      <c r="AG38" s="69" t="s">
        <v>70</v>
      </c>
      <c r="AH38" s="69" t="s">
        <v>70</v>
      </c>
      <c r="AI38" s="69" t="s">
        <v>70</v>
      </c>
      <c r="AJ38" s="25"/>
      <c r="AL38" t="str">
        <f t="shared" ca="1" si="0"/>
        <v xml:space="preserve">    (U1)ALERT_REQ_S_LCA_BC_VC_</v>
      </c>
      <c r="AR38" s="70" t="str">
        <f t="shared" si="3"/>
        <v/>
      </c>
      <c r="AS38" s="70" t="str">
        <f t="shared" si="4"/>
        <v/>
      </c>
      <c r="AT38" s="70" t="str">
        <f t="shared" si="1"/>
        <v/>
      </c>
    </row>
    <row r="39" spans="2:46">
      <c r="B39" s="139"/>
      <c r="C39" s="55">
        <f t="shared" si="2"/>
        <v>33</v>
      </c>
      <c r="D39" s="69" t="s">
        <v>70</v>
      </c>
      <c r="E39" s="69" t="s">
        <v>70</v>
      </c>
      <c r="F39" s="69" t="s">
        <v>70</v>
      </c>
      <c r="G39" s="69" t="s">
        <v>70</v>
      </c>
      <c r="H39" s="69" t="s">
        <v>70</v>
      </c>
      <c r="I39" s="69" t="s">
        <v>70</v>
      </c>
      <c r="J39" s="69" t="s">
        <v>70</v>
      </c>
      <c r="K39" s="69" t="s">
        <v>70</v>
      </c>
      <c r="L39" s="69" t="s">
        <v>70</v>
      </c>
      <c r="M39" s="69" t="s">
        <v>70</v>
      </c>
      <c r="N39" s="69" t="s">
        <v>70</v>
      </c>
      <c r="O39" s="69" t="s">
        <v>70</v>
      </c>
      <c r="P39" s="69" t="s">
        <v>70</v>
      </c>
      <c r="Q39" s="69" t="s">
        <v>70</v>
      </c>
      <c r="R39" s="69" t="s">
        <v>70</v>
      </c>
      <c r="S39" s="69" t="s">
        <v>70</v>
      </c>
      <c r="T39" s="69" t="s">
        <v>70</v>
      </c>
      <c r="U39" s="69" t="s">
        <v>70</v>
      </c>
      <c r="V39" s="69" t="s">
        <v>70</v>
      </c>
      <c r="W39" s="69" t="s">
        <v>70</v>
      </c>
      <c r="X39" s="69" t="s">
        <v>70</v>
      </c>
      <c r="Y39" s="69" t="s">
        <v>70</v>
      </c>
      <c r="Z39" s="69" t="s">
        <v>70</v>
      </c>
      <c r="AA39" s="69" t="s">
        <v>70</v>
      </c>
      <c r="AB39" s="69" t="s">
        <v>70</v>
      </c>
      <c r="AC39" s="69" t="s">
        <v>70</v>
      </c>
      <c r="AD39" s="69" t="s">
        <v>70</v>
      </c>
      <c r="AE39" s="69" t="s">
        <v>70</v>
      </c>
      <c r="AF39" s="69" t="s">
        <v>70</v>
      </c>
      <c r="AG39" s="69" t="s">
        <v>70</v>
      </c>
      <c r="AH39" s="69" t="s">
        <v>70</v>
      </c>
      <c r="AI39" s="69" t="s">
        <v>70</v>
      </c>
      <c r="AJ39" s="25"/>
      <c r="AL39" t="str">
        <f t="shared" ca="1" si="0"/>
        <v xml:space="preserve">    (U1)ALERT_REQ_S_LCA_BC_VC_</v>
      </c>
      <c r="AR39" s="70" t="str">
        <f t="shared" si="3"/>
        <v/>
      </c>
      <c r="AS39" s="70" t="str">
        <f t="shared" si="4"/>
        <v/>
      </c>
      <c r="AT39" s="70" t="str">
        <f t="shared" si="1"/>
        <v/>
      </c>
    </row>
    <row r="40" spans="2:46">
      <c r="B40" s="139"/>
      <c r="C40" s="55">
        <f t="shared" si="2"/>
        <v>34</v>
      </c>
      <c r="D40" s="69" t="s">
        <v>70</v>
      </c>
      <c r="E40" s="69" t="s">
        <v>70</v>
      </c>
      <c r="F40" s="69" t="s">
        <v>70</v>
      </c>
      <c r="G40" s="69" t="s">
        <v>70</v>
      </c>
      <c r="H40" s="69" t="s">
        <v>70</v>
      </c>
      <c r="I40" s="69" t="s">
        <v>70</v>
      </c>
      <c r="J40" s="69" t="s">
        <v>70</v>
      </c>
      <c r="K40" s="69" t="s">
        <v>70</v>
      </c>
      <c r="L40" s="69" t="s">
        <v>70</v>
      </c>
      <c r="M40" s="69" t="s">
        <v>70</v>
      </c>
      <c r="N40" s="69" t="s">
        <v>70</v>
      </c>
      <c r="O40" s="69" t="s">
        <v>70</v>
      </c>
      <c r="P40" s="69" t="s">
        <v>70</v>
      </c>
      <c r="Q40" s="69" t="s">
        <v>70</v>
      </c>
      <c r="R40" s="69" t="s">
        <v>70</v>
      </c>
      <c r="S40" s="69" t="s">
        <v>70</v>
      </c>
      <c r="T40" s="69" t="s">
        <v>70</v>
      </c>
      <c r="U40" s="69" t="s">
        <v>70</v>
      </c>
      <c r="V40" s="69" t="s">
        <v>70</v>
      </c>
      <c r="W40" s="69" t="s">
        <v>70</v>
      </c>
      <c r="X40" s="69" t="s">
        <v>70</v>
      </c>
      <c r="Y40" s="69" t="s">
        <v>70</v>
      </c>
      <c r="Z40" s="69" t="s">
        <v>70</v>
      </c>
      <c r="AA40" s="69" t="s">
        <v>70</v>
      </c>
      <c r="AB40" s="69" t="s">
        <v>70</v>
      </c>
      <c r="AC40" s="69" t="s">
        <v>70</v>
      </c>
      <c r="AD40" s="69" t="s">
        <v>70</v>
      </c>
      <c r="AE40" s="69" t="s">
        <v>70</v>
      </c>
      <c r="AF40" s="69" t="s">
        <v>70</v>
      </c>
      <c r="AG40" s="69" t="s">
        <v>70</v>
      </c>
      <c r="AH40" s="69" t="s">
        <v>70</v>
      </c>
      <c r="AI40" s="69" t="s">
        <v>70</v>
      </c>
      <c r="AJ40" s="25"/>
      <c r="AL40" t="str">
        <f t="shared" ca="1" si="0"/>
        <v xml:space="preserve">    (U1)ALERT_REQ_S_LCA_BC_VC_</v>
      </c>
      <c r="AR40" s="70" t="str">
        <f t="shared" si="3"/>
        <v/>
      </c>
      <c r="AS40" s="70" t="str">
        <f t="shared" si="4"/>
        <v/>
      </c>
      <c r="AT40" s="70" t="str">
        <f t="shared" si="1"/>
        <v/>
      </c>
    </row>
    <row r="41" spans="2:46">
      <c r="B41" s="139"/>
      <c r="C41" s="55">
        <f t="shared" si="2"/>
        <v>35</v>
      </c>
      <c r="D41" s="69" t="s">
        <v>70</v>
      </c>
      <c r="E41" s="69" t="s">
        <v>70</v>
      </c>
      <c r="F41" s="69" t="s">
        <v>70</v>
      </c>
      <c r="G41" s="69" t="s">
        <v>70</v>
      </c>
      <c r="H41" s="69" t="s">
        <v>70</v>
      </c>
      <c r="I41" s="69" t="s">
        <v>70</v>
      </c>
      <c r="J41" s="69" t="s">
        <v>70</v>
      </c>
      <c r="K41" s="69" t="s">
        <v>70</v>
      </c>
      <c r="L41" s="69" t="s">
        <v>70</v>
      </c>
      <c r="M41" s="69" t="s">
        <v>70</v>
      </c>
      <c r="N41" s="69" t="s">
        <v>70</v>
      </c>
      <c r="O41" s="69" t="s">
        <v>70</v>
      </c>
      <c r="P41" s="69" t="s">
        <v>70</v>
      </c>
      <c r="Q41" s="69" t="s">
        <v>70</v>
      </c>
      <c r="R41" s="69" t="s">
        <v>70</v>
      </c>
      <c r="S41" s="69" t="s">
        <v>70</v>
      </c>
      <c r="T41" s="69" t="s">
        <v>70</v>
      </c>
      <c r="U41" s="69" t="s">
        <v>70</v>
      </c>
      <c r="V41" s="69" t="s">
        <v>70</v>
      </c>
      <c r="W41" s="69" t="s">
        <v>70</v>
      </c>
      <c r="X41" s="69" t="s">
        <v>70</v>
      </c>
      <c r="Y41" s="69" t="s">
        <v>70</v>
      </c>
      <c r="Z41" s="69" t="s">
        <v>70</v>
      </c>
      <c r="AA41" s="69" t="s">
        <v>70</v>
      </c>
      <c r="AB41" s="69" t="s">
        <v>70</v>
      </c>
      <c r="AC41" s="69" t="s">
        <v>70</v>
      </c>
      <c r="AD41" s="69" t="s">
        <v>70</v>
      </c>
      <c r="AE41" s="69" t="s">
        <v>70</v>
      </c>
      <c r="AF41" s="69" t="s">
        <v>70</v>
      </c>
      <c r="AG41" s="69" t="s">
        <v>70</v>
      </c>
      <c r="AH41" s="69" t="s">
        <v>70</v>
      </c>
      <c r="AI41" s="69" t="s">
        <v>70</v>
      </c>
      <c r="AJ41" s="25"/>
      <c r="AL41" t="str">
        <f t="shared" ca="1" si="0"/>
        <v xml:space="preserve">    (U1)ALERT_REQ_S_LCA_BC_VC_</v>
      </c>
      <c r="AR41" s="70" t="str">
        <f t="shared" si="3"/>
        <v/>
      </c>
      <c r="AS41" s="70" t="str">
        <f t="shared" si="4"/>
        <v/>
      </c>
      <c r="AT41" s="70" t="str">
        <f t="shared" si="1"/>
        <v/>
      </c>
    </row>
    <row r="42" spans="2:46">
      <c r="B42" s="139"/>
      <c r="C42" s="55">
        <f t="shared" si="2"/>
        <v>36</v>
      </c>
      <c r="D42" s="69" t="s">
        <v>70</v>
      </c>
      <c r="E42" s="69" t="s">
        <v>70</v>
      </c>
      <c r="F42" s="69" t="s">
        <v>70</v>
      </c>
      <c r="G42" s="69" t="s">
        <v>70</v>
      </c>
      <c r="H42" s="69" t="s">
        <v>70</v>
      </c>
      <c r="I42" s="69" t="s">
        <v>70</v>
      </c>
      <c r="J42" s="69" t="s">
        <v>70</v>
      </c>
      <c r="K42" s="69" t="s">
        <v>70</v>
      </c>
      <c r="L42" s="69" t="s">
        <v>70</v>
      </c>
      <c r="M42" s="69" t="s">
        <v>70</v>
      </c>
      <c r="N42" s="69" t="s">
        <v>70</v>
      </c>
      <c r="O42" s="69" t="s">
        <v>70</v>
      </c>
      <c r="P42" s="69" t="s">
        <v>70</v>
      </c>
      <c r="Q42" s="69" t="s">
        <v>70</v>
      </c>
      <c r="R42" s="69" t="s">
        <v>70</v>
      </c>
      <c r="S42" s="69" t="s">
        <v>70</v>
      </c>
      <c r="T42" s="69" t="s">
        <v>70</v>
      </c>
      <c r="U42" s="69" t="s">
        <v>70</v>
      </c>
      <c r="V42" s="69" t="s">
        <v>70</v>
      </c>
      <c r="W42" s="69" t="s">
        <v>70</v>
      </c>
      <c r="X42" s="69" t="s">
        <v>70</v>
      </c>
      <c r="Y42" s="69" t="s">
        <v>70</v>
      </c>
      <c r="Z42" s="69" t="s">
        <v>70</v>
      </c>
      <c r="AA42" s="69" t="s">
        <v>70</v>
      </c>
      <c r="AB42" s="69" t="s">
        <v>70</v>
      </c>
      <c r="AC42" s="69" t="s">
        <v>70</v>
      </c>
      <c r="AD42" s="69" t="s">
        <v>70</v>
      </c>
      <c r="AE42" s="69" t="s">
        <v>70</v>
      </c>
      <c r="AF42" s="69" t="s">
        <v>70</v>
      </c>
      <c r="AG42" s="69" t="s">
        <v>70</v>
      </c>
      <c r="AH42" s="69" t="s">
        <v>70</v>
      </c>
      <c r="AI42" s="69" t="s">
        <v>70</v>
      </c>
      <c r="AJ42" s="25"/>
      <c r="AL42" t="str">
        <f t="shared" ca="1" si="0"/>
        <v xml:space="preserve">    (U1)ALERT_REQ_S_LCA_BC_VC_</v>
      </c>
      <c r="AR42" s="70" t="str">
        <f t="shared" si="3"/>
        <v/>
      </c>
      <c r="AS42" s="70" t="str">
        <f t="shared" si="4"/>
        <v/>
      </c>
      <c r="AT42" s="70" t="str">
        <f t="shared" si="1"/>
        <v/>
      </c>
    </row>
    <row r="43" spans="2:46">
      <c r="B43" s="139"/>
      <c r="C43" s="55">
        <f t="shared" si="2"/>
        <v>37</v>
      </c>
      <c r="D43" s="69" t="s">
        <v>70</v>
      </c>
      <c r="E43" s="69" t="s">
        <v>70</v>
      </c>
      <c r="F43" s="69" t="s">
        <v>70</v>
      </c>
      <c r="G43" s="69" t="s">
        <v>70</v>
      </c>
      <c r="H43" s="69" t="s">
        <v>70</v>
      </c>
      <c r="I43" s="69" t="s">
        <v>70</v>
      </c>
      <c r="J43" s="69" t="s">
        <v>70</v>
      </c>
      <c r="K43" s="69" t="s">
        <v>70</v>
      </c>
      <c r="L43" s="69" t="s">
        <v>70</v>
      </c>
      <c r="M43" s="69" t="s">
        <v>70</v>
      </c>
      <c r="N43" s="69" t="s">
        <v>70</v>
      </c>
      <c r="O43" s="69" t="s">
        <v>70</v>
      </c>
      <c r="P43" s="69" t="s">
        <v>70</v>
      </c>
      <c r="Q43" s="69" t="s">
        <v>70</v>
      </c>
      <c r="R43" s="69" t="s">
        <v>70</v>
      </c>
      <c r="S43" s="69" t="s">
        <v>70</v>
      </c>
      <c r="T43" s="69" t="s">
        <v>70</v>
      </c>
      <c r="U43" s="69" t="s">
        <v>70</v>
      </c>
      <c r="V43" s="69" t="s">
        <v>70</v>
      </c>
      <c r="W43" s="69" t="s">
        <v>70</v>
      </c>
      <c r="X43" s="69" t="s">
        <v>70</v>
      </c>
      <c r="Y43" s="69" t="s">
        <v>70</v>
      </c>
      <c r="Z43" s="69" t="s">
        <v>70</v>
      </c>
      <c r="AA43" s="69" t="s">
        <v>70</v>
      </c>
      <c r="AB43" s="69" t="s">
        <v>70</v>
      </c>
      <c r="AC43" s="69" t="s">
        <v>70</v>
      </c>
      <c r="AD43" s="69" t="s">
        <v>70</v>
      </c>
      <c r="AE43" s="69" t="s">
        <v>70</v>
      </c>
      <c r="AF43" s="69" t="s">
        <v>70</v>
      </c>
      <c r="AG43" s="69" t="s">
        <v>70</v>
      </c>
      <c r="AH43" s="69" t="s">
        <v>70</v>
      </c>
      <c r="AI43" s="69" t="s">
        <v>70</v>
      </c>
      <c r="AJ43" s="25"/>
      <c r="AL43" t="str">
        <f t="shared" ca="1" si="0"/>
        <v xml:space="preserve">    (U1)ALERT_REQ_S_LCA_BC_VC_</v>
      </c>
      <c r="AR43" s="70" t="str">
        <f t="shared" si="3"/>
        <v/>
      </c>
      <c r="AS43" s="70" t="str">
        <f t="shared" si="4"/>
        <v/>
      </c>
      <c r="AT43" s="70" t="str">
        <f t="shared" si="1"/>
        <v/>
      </c>
    </row>
    <row r="44" spans="2:46">
      <c r="B44" s="139"/>
      <c r="C44" s="55">
        <f t="shared" si="2"/>
        <v>38</v>
      </c>
      <c r="D44" s="69" t="s">
        <v>70</v>
      </c>
      <c r="E44" s="69" t="s">
        <v>70</v>
      </c>
      <c r="F44" s="69" t="s">
        <v>70</v>
      </c>
      <c r="G44" s="69" t="s">
        <v>70</v>
      </c>
      <c r="H44" s="69" t="s">
        <v>70</v>
      </c>
      <c r="I44" s="69" t="s">
        <v>70</v>
      </c>
      <c r="J44" s="69" t="s">
        <v>70</v>
      </c>
      <c r="K44" s="69" t="s">
        <v>70</v>
      </c>
      <c r="L44" s="69" t="s">
        <v>70</v>
      </c>
      <c r="M44" s="69" t="s">
        <v>70</v>
      </c>
      <c r="N44" s="69" t="s">
        <v>70</v>
      </c>
      <c r="O44" s="69" t="s">
        <v>70</v>
      </c>
      <c r="P44" s="69" t="s">
        <v>70</v>
      </c>
      <c r="Q44" s="69" t="s">
        <v>70</v>
      </c>
      <c r="R44" s="69" t="s">
        <v>70</v>
      </c>
      <c r="S44" s="69" t="s">
        <v>70</v>
      </c>
      <c r="T44" s="69" t="s">
        <v>70</v>
      </c>
      <c r="U44" s="69" t="s">
        <v>70</v>
      </c>
      <c r="V44" s="69" t="s">
        <v>70</v>
      </c>
      <c r="W44" s="69" t="s">
        <v>70</v>
      </c>
      <c r="X44" s="69" t="s">
        <v>70</v>
      </c>
      <c r="Y44" s="69" t="s">
        <v>70</v>
      </c>
      <c r="Z44" s="69" t="s">
        <v>70</v>
      </c>
      <c r="AA44" s="69" t="s">
        <v>70</v>
      </c>
      <c r="AB44" s="69" t="s">
        <v>70</v>
      </c>
      <c r="AC44" s="69" t="s">
        <v>70</v>
      </c>
      <c r="AD44" s="69" t="s">
        <v>70</v>
      </c>
      <c r="AE44" s="69" t="s">
        <v>70</v>
      </c>
      <c r="AF44" s="69" t="s">
        <v>70</v>
      </c>
      <c r="AG44" s="69" t="s">
        <v>70</v>
      </c>
      <c r="AH44" s="69" t="s">
        <v>70</v>
      </c>
      <c r="AI44" s="69" t="s">
        <v>70</v>
      </c>
      <c r="AJ44" s="25"/>
      <c r="AL44" t="str">
        <f t="shared" ca="1" si="0"/>
        <v xml:space="preserve">    (U1)ALERT_REQ_S_LCA_BC_VC_</v>
      </c>
      <c r="AR44" s="70" t="str">
        <f t="shared" si="3"/>
        <v/>
      </c>
      <c r="AS44" s="70" t="str">
        <f t="shared" si="4"/>
        <v/>
      </c>
      <c r="AT44" s="70" t="str">
        <f t="shared" si="1"/>
        <v/>
      </c>
    </row>
    <row r="45" spans="2:46">
      <c r="B45" s="139"/>
      <c r="C45" s="55">
        <f t="shared" si="2"/>
        <v>39</v>
      </c>
      <c r="D45" s="69" t="s">
        <v>70</v>
      </c>
      <c r="E45" s="69" t="s">
        <v>70</v>
      </c>
      <c r="F45" s="69" t="s">
        <v>70</v>
      </c>
      <c r="G45" s="69" t="s">
        <v>70</v>
      </c>
      <c r="H45" s="69" t="s">
        <v>70</v>
      </c>
      <c r="I45" s="69" t="s">
        <v>70</v>
      </c>
      <c r="J45" s="69" t="s">
        <v>70</v>
      </c>
      <c r="K45" s="69" t="s">
        <v>70</v>
      </c>
      <c r="L45" s="69" t="s">
        <v>70</v>
      </c>
      <c r="M45" s="69" t="s">
        <v>70</v>
      </c>
      <c r="N45" s="69" t="s">
        <v>70</v>
      </c>
      <c r="O45" s="69" t="s">
        <v>70</v>
      </c>
      <c r="P45" s="69" t="s">
        <v>70</v>
      </c>
      <c r="Q45" s="69" t="s">
        <v>70</v>
      </c>
      <c r="R45" s="69" t="s">
        <v>70</v>
      </c>
      <c r="S45" s="69" t="s">
        <v>70</v>
      </c>
      <c r="T45" s="69" t="s">
        <v>70</v>
      </c>
      <c r="U45" s="69" t="s">
        <v>70</v>
      </c>
      <c r="V45" s="69" t="s">
        <v>70</v>
      </c>
      <c r="W45" s="69" t="s">
        <v>70</v>
      </c>
      <c r="X45" s="69" t="s">
        <v>70</v>
      </c>
      <c r="Y45" s="69" t="s">
        <v>70</v>
      </c>
      <c r="Z45" s="69" t="s">
        <v>70</v>
      </c>
      <c r="AA45" s="69" t="s">
        <v>70</v>
      </c>
      <c r="AB45" s="69" t="s">
        <v>70</v>
      </c>
      <c r="AC45" s="69" t="s">
        <v>70</v>
      </c>
      <c r="AD45" s="69" t="s">
        <v>70</v>
      </c>
      <c r="AE45" s="69" t="s">
        <v>70</v>
      </c>
      <c r="AF45" s="69" t="s">
        <v>70</v>
      </c>
      <c r="AG45" s="69" t="s">
        <v>70</v>
      </c>
      <c r="AH45" s="69" t="s">
        <v>70</v>
      </c>
      <c r="AI45" s="69" t="s">
        <v>70</v>
      </c>
      <c r="AJ45" s="25"/>
      <c r="AL45" t="str">
        <f t="shared" ca="1" si="0"/>
        <v xml:space="preserve">    (U1)ALERT_REQ_S_LCA_BC_VC_</v>
      </c>
      <c r="AR45" s="70" t="str">
        <f t="shared" si="3"/>
        <v/>
      </c>
      <c r="AS45" s="70" t="str">
        <f t="shared" si="4"/>
        <v/>
      </c>
      <c r="AT45" s="70" t="str">
        <f t="shared" si="1"/>
        <v/>
      </c>
    </row>
    <row r="46" spans="2:46">
      <c r="B46" s="139"/>
      <c r="C46" s="55">
        <f t="shared" si="2"/>
        <v>40</v>
      </c>
      <c r="D46" s="69" t="s">
        <v>70</v>
      </c>
      <c r="E46" s="69" t="s">
        <v>70</v>
      </c>
      <c r="F46" s="69" t="s">
        <v>70</v>
      </c>
      <c r="G46" s="69" t="s">
        <v>70</v>
      </c>
      <c r="H46" s="69" t="s">
        <v>70</v>
      </c>
      <c r="I46" s="69" t="s">
        <v>70</v>
      </c>
      <c r="J46" s="69" t="s">
        <v>70</v>
      </c>
      <c r="K46" s="69" t="s">
        <v>70</v>
      </c>
      <c r="L46" s="69" t="s">
        <v>70</v>
      </c>
      <c r="M46" s="69" t="s">
        <v>70</v>
      </c>
      <c r="N46" s="69" t="s">
        <v>70</v>
      </c>
      <c r="O46" s="69" t="s">
        <v>70</v>
      </c>
      <c r="P46" s="69" t="s">
        <v>70</v>
      </c>
      <c r="Q46" s="69" t="s">
        <v>70</v>
      </c>
      <c r="R46" s="69" t="s">
        <v>70</v>
      </c>
      <c r="S46" s="69" t="s">
        <v>70</v>
      </c>
      <c r="T46" s="69" t="s">
        <v>70</v>
      </c>
      <c r="U46" s="69" t="s">
        <v>70</v>
      </c>
      <c r="V46" s="69" t="s">
        <v>70</v>
      </c>
      <c r="W46" s="69" t="s">
        <v>70</v>
      </c>
      <c r="X46" s="69" t="s">
        <v>70</v>
      </c>
      <c r="Y46" s="69" t="s">
        <v>70</v>
      </c>
      <c r="Z46" s="69" t="s">
        <v>70</v>
      </c>
      <c r="AA46" s="69" t="s">
        <v>70</v>
      </c>
      <c r="AB46" s="69" t="s">
        <v>70</v>
      </c>
      <c r="AC46" s="69" t="s">
        <v>70</v>
      </c>
      <c r="AD46" s="69" t="s">
        <v>70</v>
      </c>
      <c r="AE46" s="69" t="s">
        <v>70</v>
      </c>
      <c r="AF46" s="69" t="s">
        <v>70</v>
      </c>
      <c r="AG46" s="69" t="s">
        <v>70</v>
      </c>
      <c r="AH46" s="69" t="s">
        <v>70</v>
      </c>
      <c r="AI46" s="69" t="s">
        <v>70</v>
      </c>
      <c r="AJ46" s="25"/>
      <c r="AL46" t="str">
        <f t="shared" ca="1" si="0"/>
        <v xml:space="preserve">    (U1)ALERT_REQ_S_LCA_BC_VC_</v>
      </c>
      <c r="AR46" s="70" t="str">
        <f t="shared" si="3"/>
        <v/>
      </c>
      <c r="AS46" s="70" t="str">
        <f t="shared" si="4"/>
        <v/>
      </c>
      <c r="AT46" s="70" t="str">
        <f t="shared" si="1"/>
        <v/>
      </c>
    </row>
    <row r="47" spans="2:46">
      <c r="B47" s="139"/>
      <c r="C47" s="55">
        <f t="shared" si="2"/>
        <v>41</v>
      </c>
      <c r="D47" s="69" t="s">
        <v>70</v>
      </c>
      <c r="E47" s="69" t="s">
        <v>70</v>
      </c>
      <c r="F47" s="69" t="s">
        <v>70</v>
      </c>
      <c r="G47" s="69" t="s">
        <v>70</v>
      </c>
      <c r="H47" s="69" t="s">
        <v>70</v>
      </c>
      <c r="I47" s="69" t="s">
        <v>70</v>
      </c>
      <c r="J47" s="69" t="s">
        <v>70</v>
      </c>
      <c r="K47" s="69" t="s">
        <v>70</v>
      </c>
      <c r="L47" s="69" t="s">
        <v>70</v>
      </c>
      <c r="M47" s="69" t="s">
        <v>70</v>
      </c>
      <c r="N47" s="69" t="s">
        <v>70</v>
      </c>
      <c r="O47" s="69" t="s">
        <v>70</v>
      </c>
      <c r="P47" s="69" t="s">
        <v>70</v>
      </c>
      <c r="Q47" s="69" t="s">
        <v>70</v>
      </c>
      <c r="R47" s="69" t="s">
        <v>70</v>
      </c>
      <c r="S47" s="69" t="s">
        <v>70</v>
      </c>
      <c r="T47" s="69" t="s">
        <v>70</v>
      </c>
      <c r="U47" s="69" t="s">
        <v>70</v>
      </c>
      <c r="V47" s="69" t="s">
        <v>70</v>
      </c>
      <c r="W47" s="69" t="s">
        <v>70</v>
      </c>
      <c r="X47" s="69" t="s">
        <v>70</v>
      </c>
      <c r="Y47" s="69" t="s">
        <v>70</v>
      </c>
      <c r="Z47" s="69" t="s">
        <v>70</v>
      </c>
      <c r="AA47" s="69" t="s">
        <v>70</v>
      </c>
      <c r="AB47" s="69" t="s">
        <v>70</v>
      </c>
      <c r="AC47" s="69" t="s">
        <v>70</v>
      </c>
      <c r="AD47" s="69" t="s">
        <v>70</v>
      </c>
      <c r="AE47" s="69" t="s">
        <v>70</v>
      </c>
      <c r="AF47" s="69" t="s">
        <v>70</v>
      </c>
      <c r="AG47" s="69" t="s">
        <v>70</v>
      </c>
      <c r="AH47" s="69" t="s">
        <v>70</v>
      </c>
      <c r="AI47" s="69" t="s">
        <v>70</v>
      </c>
      <c r="AJ47" s="25"/>
      <c r="AL47" t="str">
        <f t="shared" ca="1" si="0"/>
        <v xml:space="preserve">    (U1)ALERT_REQ_S_LCA_BC_VC_</v>
      </c>
      <c r="AR47" s="70" t="str">
        <f t="shared" si="3"/>
        <v/>
      </c>
      <c r="AS47" s="70" t="str">
        <f t="shared" si="4"/>
        <v/>
      </c>
      <c r="AT47" s="70" t="str">
        <f t="shared" si="1"/>
        <v/>
      </c>
    </row>
    <row r="48" spans="2:46">
      <c r="B48" s="139"/>
      <c r="C48" s="55">
        <f t="shared" si="2"/>
        <v>42</v>
      </c>
      <c r="D48" s="69" t="s">
        <v>70</v>
      </c>
      <c r="E48" s="69" t="s">
        <v>70</v>
      </c>
      <c r="F48" s="69" t="s">
        <v>70</v>
      </c>
      <c r="G48" s="69" t="s">
        <v>70</v>
      </c>
      <c r="H48" s="69" t="s">
        <v>70</v>
      </c>
      <c r="I48" s="69" t="s">
        <v>70</v>
      </c>
      <c r="J48" s="69" t="s">
        <v>70</v>
      </c>
      <c r="K48" s="69" t="s">
        <v>70</v>
      </c>
      <c r="L48" s="69" t="s">
        <v>70</v>
      </c>
      <c r="M48" s="69" t="s">
        <v>70</v>
      </c>
      <c r="N48" s="69" t="s">
        <v>70</v>
      </c>
      <c r="O48" s="69" t="s">
        <v>70</v>
      </c>
      <c r="P48" s="69" t="s">
        <v>70</v>
      </c>
      <c r="Q48" s="69" t="s">
        <v>70</v>
      </c>
      <c r="R48" s="69" t="s">
        <v>70</v>
      </c>
      <c r="S48" s="69" t="s">
        <v>70</v>
      </c>
      <c r="T48" s="69" t="s">
        <v>70</v>
      </c>
      <c r="U48" s="69" t="s">
        <v>70</v>
      </c>
      <c r="V48" s="69" t="s">
        <v>70</v>
      </c>
      <c r="W48" s="69" t="s">
        <v>70</v>
      </c>
      <c r="X48" s="69" t="s">
        <v>70</v>
      </c>
      <c r="Y48" s="69" t="s">
        <v>70</v>
      </c>
      <c r="Z48" s="69" t="s">
        <v>70</v>
      </c>
      <c r="AA48" s="69" t="s">
        <v>70</v>
      </c>
      <c r="AB48" s="69" t="s">
        <v>70</v>
      </c>
      <c r="AC48" s="69" t="s">
        <v>70</v>
      </c>
      <c r="AD48" s="69" t="s">
        <v>70</v>
      </c>
      <c r="AE48" s="69" t="s">
        <v>70</v>
      </c>
      <c r="AF48" s="69" t="s">
        <v>70</v>
      </c>
      <c r="AG48" s="69" t="s">
        <v>70</v>
      </c>
      <c r="AH48" s="69" t="s">
        <v>70</v>
      </c>
      <c r="AI48" s="69" t="s">
        <v>70</v>
      </c>
      <c r="AJ48" s="25"/>
      <c r="AL48" t="str">
        <f t="shared" ca="1" si="0"/>
        <v xml:space="preserve">    (U1)ALERT_REQ_S_LCA_BC_VC_</v>
      </c>
      <c r="AR48" s="70" t="str">
        <f t="shared" si="3"/>
        <v/>
      </c>
      <c r="AS48" s="70" t="str">
        <f t="shared" si="4"/>
        <v/>
      </c>
      <c r="AT48" s="70" t="str">
        <f t="shared" si="1"/>
        <v/>
      </c>
    </row>
    <row r="49" spans="2:46">
      <c r="B49" s="139"/>
      <c r="C49" s="55">
        <f t="shared" si="2"/>
        <v>43</v>
      </c>
      <c r="D49" s="69" t="s">
        <v>70</v>
      </c>
      <c r="E49" s="69" t="s">
        <v>70</v>
      </c>
      <c r="F49" s="69" t="s">
        <v>70</v>
      </c>
      <c r="G49" s="69" t="s">
        <v>70</v>
      </c>
      <c r="H49" s="69" t="s">
        <v>70</v>
      </c>
      <c r="I49" s="69" t="s">
        <v>70</v>
      </c>
      <c r="J49" s="69" t="s">
        <v>70</v>
      </c>
      <c r="K49" s="69" t="s">
        <v>70</v>
      </c>
      <c r="L49" s="69" t="s">
        <v>70</v>
      </c>
      <c r="M49" s="69" t="s">
        <v>70</v>
      </c>
      <c r="N49" s="69" t="s">
        <v>70</v>
      </c>
      <c r="O49" s="69" t="s">
        <v>70</v>
      </c>
      <c r="P49" s="69" t="s">
        <v>70</v>
      </c>
      <c r="Q49" s="69" t="s">
        <v>70</v>
      </c>
      <c r="R49" s="69" t="s">
        <v>70</v>
      </c>
      <c r="S49" s="69" t="s">
        <v>70</v>
      </c>
      <c r="T49" s="69" t="s">
        <v>70</v>
      </c>
      <c r="U49" s="69" t="s">
        <v>70</v>
      </c>
      <c r="V49" s="69" t="s">
        <v>70</v>
      </c>
      <c r="W49" s="69" t="s">
        <v>70</v>
      </c>
      <c r="X49" s="69" t="s">
        <v>70</v>
      </c>
      <c r="Y49" s="69" t="s">
        <v>70</v>
      </c>
      <c r="Z49" s="69" t="s">
        <v>70</v>
      </c>
      <c r="AA49" s="69" t="s">
        <v>70</v>
      </c>
      <c r="AB49" s="69" t="s">
        <v>70</v>
      </c>
      <c r="AC49" s="69" t="s">
        <v>70</v>
      </c>
      <c r="AD49" s="69" t="s">
        <v>70</v>
      </c>
      <c r="AE49" s="69" t="s">
        <v>70</v>
      </c>
      <c r="AF49" s="69" t="s">
        <v>70</v>
      </c>
      <c r="AG49" s="69" t="s">
        <v>70</v>
      </c>
      <c r="AH49" s="69" t="s">
        <v>70</v>
      </c>
      <c r="AI49" s="69" t="s">
        <v>70</v>
      </c>
      <c r="AJ49" s="25"/>
      <c r="AL49" t="str">
        <f t="shared" ca="1" si="0"/>
        <v xml:space="preserve">    (U1)ALERT_REQ_S_LCA_BC_VC_</v>
      </c>
      <c r="AR49" s="70" t="str">
        <f t="shared" si="3"/>
        <v/>
      </c>
      <c r="AS49" s="70" t="str">
        <f t="shared" si="4"/>
        <v/>
      </c>
      <c r="AT49" s="70" t="str">
        <f t="shared" si="1"/>
        <v/>
      </c>
    </row>
    <row r="50" spans="2:46">
      <c r="B50" s="139"/>
      <c r="C50" s="55">
        <f t="shared" si="2"/>
        <v>44</v>
      </c>
      <c r="D50" s="69" t="s">
        <v>70</v>
      </c>
      <c r="E50" s="69" t="s">
        <v>70</v>
      </c>
      <c r="F50" s="69" t="s">
        <v>70</v>
      </c>
      <c r="G50" s="69" t="s">
        <v>70</v>
      </c>
      <c r="H50" s="69" t="s">
        <v>70</v>
      </c>
      <c r="I50" s="69" t="s">
        <v>70</v>
      </c>
      <c r="J50" s="69" t="s">
        <v>70</v>
      </c>
      <c r="K50" s="69" t="s">
        <v>70</v>
      </c>
      <c r="L50" s="69" t="s">
        <v>70</v>
      </c>
      <c r="M50" s="69" t="s">
        <v>70</v>
      </c>
      <c r="N50" s="69" t="s">
        <v>70</v>
      </c>
      <c r="O50" s="69" t="s">
        <v>70</v>
      </c>
      <c r="P50" s="69" t="s">
        <v>70</v>
      </c>
      <c r="Q50" s="69" t="s">
        <v>70</v>
      </c>
      <c r="R50" s="69" t="s">
        <v>70</v>
      </c>
      <c r="S50" s="69" t="s">
        <v>70</v>
      </c>
      <c r="T50" s="69" t="s">
        <v>70</v>
      </c>
      <c r="U50" s="69" t="s">
        <v>70</v>
      </c>
      <c r="V50" s="69" t="s">
        <v>70</v>
      </c>
      <c r="W50" s="69" t="s">
        <v>70</v>
      </c>
      <c r="X50" s="69" t="s">
        <v>70</v>
      </c>
      <c r="Y50" s="69" t="s">
        <v>70</v>
      </c>
      <c r="Z50" s="69" t="s">
        <v>70</v>
      </c>
      <c r="AA50" s="69" t="s">
        <v>70</v>
      </c>
      <c r="AB50" s="69" t="s">
        <v>70</v>
      </c>
      <c r="AC50" s="69" t="s">
        <v>70</v>
      </c>
      <c r="AD50" s="69" t="s">
        <v>70</v>
      </c>
      <c r="AE50" s="69" t="s">
        <v>70</v>
      </c>
      <c r="AF50" s="69" t="s">
        <v>70</v>
      </c>
      <c r="AG50" s="69" t="s">
        <v>70</v>
      </c>
      <c r="AH50" s="69" t="s">
        <v>70</v>
      </c>
      <c r="AI50" s="69" t="s">
        <v>70</v>
      </c>
      <c r="AJ50" s="25"/>
      <c r="AL50" t="str">
        <f t="shared" ca="1" si="0"/>
        <v xml:space="preserve">    (U1)ALERT_REQ_S_LCA_BC_VC_</v>
      </c>
      <c r="AR50" s="70" t="str">
        <f t="shared" si="3"/>
        <v/>
      </c>
      <c r="AS50" s="70" t="str">
        <f t="shared" si="4"/>
        <v/>
      </c>
      <c r="AT50" s="70" t="str">
        <f t="shared" si="1"/>
        <v/>
      </c>
    </row>
    <row r="51" spans="2:46">
      <c r="B51" s="139"/>
      <c r="C51" s="55">
        <f t="shared" si="2"/>
        <v>45</v>
      </c>
      <c r="D51" s="69" t="s">
        <v>70</v>
      </c>
      <c r="E51" s="69" t="s">
        <v>70</v>
      </c>
      <c r="F51" s="69" t="s">
        <v>70</v>
      </c>
      <c r="G51" s="69" t="s">
        <v>70</v>
      </c>
      <c r="H51" s="69" t="s">
        <v>70</v>
      </c>
      <c r="I51" s="69" t="s">
        <v>70</v>
      </c>
      <c r="J51" s="69" t="s">
        <v>70</v>
      </c>
      <c r="K51" s="69" t="s">
        <v>70</v>
      </c>
      <c r="L51" s="69" t="s">
        <v>70</v>
      </c>
      <c r="M51" s="69" t="s">
        <v>70</v>
      </c>
      <c r="N51" s="69" t="s">
        <v>70</v>
      </c>
      <c r="O51" s="69" t="s">
        <v>70</v>
      </c>
      <c r="P51" s="69" t="s">
        <v>70</v>
      </c>
      <c r="Q51" s="69" t="s">
        <v>70</v>
      </c>
      <c r="R51" s="69" t="s">
        <v>70</v>
      </c>
      <c r="S51" s="69" t="s">
        <v>70</v>
      </c>
      <c r="T51" s="69" t="s">
        <v>70</v>
      </c>
      <c r="U51" s="69" t="s">
        <v>70</v>
      </c>
      <c r="V51" s="69" t="s">
        <v>70</v>
      </c>
      <c r="W51" s="69" t="s">
        <v>70</v>
      </c>
      <c r="X51" s="69" t="s">
        <v>70</v>
      </c>
      <c r="Y51" s="69" t="s">
        <v>70</v>
      </c>
      <c r="Z51" s="69" t="s">
        <v>70</v>
      </c>
      <c r="AA51" s="69" t="s">
        <v>70</v>
      </c>
      <c r="AB51" s="69" t="s">
        <v>70</v>
      </c>
      <c r="AC51" s="69" t="s">
        <v>70</v>
      </c>
      <c r="AD51" s="69" t="s">
        <v>70</v>
      </c>
      <c r="AE51" s="69" t="s">
        <v>70</v>
      </c>
      <c r="AF51" s="69" t="s">
        <v>70</v>
      </c>
      <c r="AG51" s="69" t="s">
        <v>70</v>
      </c>
      <c r="AH51" s="69" t="s">
        <v>70</v>
      </c>
      <c r="AI51" s="69" t="s">
        <v>70</v>
      </c>
      <c r="AJ51" s="25"/>
      <c r="AL51" t="str">
        <f t="shared" ca="1" si="0"/>
        <v xml:space="preserve">    (U1)ALERT_REQ_S_LCA_BC_VC_</v>
      </c>
      <c r="AR51" s="70" t="str">
        <f t="shared" si="3"/>
        <v/>
      </c>
      <c r="AS51" s="70" t="str">
        <f t="shared" si="4"/>
        <v/>
      </c>
      <c r="AT51" s="70" t="str">
        <f t="shared" si="1"/>
        <v/>
      </c>
    </row>
    <row r="52" spans="2:46">
      <c r="B52" s="139"/>
      <c r="C52" s="55">
        <f t="shared" si="2"/>
        <v>46</v>
      </c>
      <c r="D52" s="69" t="s">
        <v>70</v>
      </c>
      <c r="E52" s="69" t="s">
        <v>70</v>
      </c>
      <c r="F52" s="69" t="s">
        <v>70</v>
      </c>
      <c r="G52" s="69" t="s">
        <v>70</v>
      </c>
      <c r="H52" s="69" t="s">
        <v>70</v>
      </c>
      <c r="I52" s="69" t="s">
        <v>70</v>
      </c>
      <c r="J52" s="69" t="s">
        <v>70</v>
      </c>
      <c r="K52" s="69" t="s">
        <v>70</v>
      </c>
      <c r="L52" s="69" t="s">
        <v>70</v>
      </c>
      <c r="M52" s="69" t="s">
        <v>70</v>
      </c>
      <c r="N52" s="69" t="s">
        <v>70</v>
      </c>
      <c r="O52" s="69" t="s">
        <v>70</v>
      </c>
      <c r="P52" s="69" t="s">
        <v>70</v>
      </c>
      <c r="Q52" s="69" t="s">
        <v>70</v>
      </c>
      <c r="R52" s="69" t="s">
        <v>70</v>
      </c>
      <c r="S52" s="69" t="s">
        <v>70</v>
      </c>
      <c r="T52" s="69" t="s">
        <v>70</v>
      </c>
      <c r="U52" s="69" t="s">
        <v>70</v>
      </c>
      <c r="V52" s="69" t="s">
        <v>70</v>
      </c>
      <c r="W52" s="69" t="s">
        <v>70</v>
      </c>
      <c r="X52" s="69" t="s">
        <v>70</v>
      </c>
      <c r="Y52" s="69" t="s">
        <v>70</v>
      </c>
      <c r="Z52" s="69" t="s">
        <v>70</v>
      </c>
      <c r="AA52" s="69" t="s">
        <v>70</v>
      </c>
      <c r="AB52" s="69" t="s">
        <v>70</v>
      </c>
      <c r="AC52" s="69" t="s">
        <v>70</v>
      </c>
      <c r="AD52" s="69" t="s">
        <v>70</v>
      </c>
      <c r="AE52" s="69" t="s">
        <v>70</v>
      </c>
      <c r="AF52" s="69" t="s">
        <v>70</v>
      </c>
      <c r="AG52" s="69" t="s">
        <v>70</v>
      </c>
      <c r="AH52" s="69" t="s">
        <v>70</v>
      </c>
      <c r="AI52" s="69" t="s">
        <v>70</v>
      </c>
      <c r="AJ52" s="25"/>
      <c r="AL52" t="str">
        <f t="shared" ca="1" si="0"/>
        <v xml:space="preserve">    (U1)ALERT_REQ_S_LCA_BC_VC_</v>
      </c>
      <c r="AR52" s="70" t="str">
        <f t="shared" si="3"/>
        <v/>
      </c>
      <c r="AS52" s="70" t="str">
        <f t="shared" si="4"/>
        <v/>
      </c>
      <c r="AT52" s="70" t="str">
        <f t="shared" si="1"/>
        <v/>
      </c>
    </row>
    <row r="53" spans="2:46">
      <c r="B53" s="139"/>
      <c r="C53" s="55">
        <f t="shared" si="2"/>
        <v>47</v>
      </c>
      <c r="D53" s="69" t="s">
        <v>70</v>
      </c>
      <c r="E53" s="69" t="s">
        <v>70</v>
      </c>
      <c r="F53" s="69" t="s">
        <v>70</v>
      </c>
      <c r="G53" s="69" t="s">
        <v>70</v>
      </c>
      <c r="H53" s="69" t="s">
        <v>70</v>
      </c>
      <c r="I53" s="69" t="s">
        <v>70</v>
      </c>
      <c r="J53" s="69" t="s">
        <v>70</v>
      </c>
      <c r="K53" s="69" t="s">
        <v>70</v>
      </c>
      <c r="L53" s="69" t="s">
        <v>70</v>
      </c>
      <c r="M53" s="69" t="s">
        <v>70</v>
      </c>
      <c r="N53" s="69" t="s">
        <v>70</v>
      </c>
      <c r="O53" s="69" t="s">
        <v>70</v>
      </c>
      <c r="P53" s="69" t="s">
        <v>70</v>
      </c>
      <c r="Q53" s="69" t="s">
        <v>70</v>
      </c>
      <c r="R53" s="69" t="s">
        <v>70</v>
      </c>
      <c r="S53" s="69" t="s">
        <v>70</v>
      </c>
      <c r="T53" s="69" t="s">
        <v>70</v>
      </c>
      <c r="U53" s="69" t="s">
        <v>70</v>
      </c>
      <c r="V53" s="69" t="s">
        <v>70</v>
      </c>
      <c r="W53" s="69" t="s">
        <v>70</v>
      </c>
      <c r="X53" s="69" t="s">
        <v>70</v>
      </c>
      <c r="Y53" s="69" t="s">
        <v>70</v>
      </c>
      <c r="Z53" s="69" t="s">
        <v>70</v>
      </c>
      <c r="AA53" s="69" t="s">
        <v>70</v>
      </c>
      <c r="AB53" s="69" t="s">
        <v>70</v>
      </c>
      <c r="AC53" s="69" t="s">
        <v>70</v>
      </c>
      <c r="AD53" s="69" t="s">
        <v>70</v>
      </c>
      <c r="AE53" s="69" t="s">
        <v>70</v>
      </c>
      <c r="AF53" s="69" t="s">
        <v>70</v>
      </c>
      <c r="AG53" s="69" t="s">
        <v>70</v>
      </c>
      <c r="AH53" s="69" t="s">
        <v>70</v>
      </c>
      <c r="AI53" s="69" t="s">
        <v>70</v>
      </c>
      <c r="AJ53" s="25"/>
      <c r="AL53" t="str">
        <f t="shared" ca="1" si="0"/>
        <v xml:space="preserve">    (U1)ALERT_REQ_S_LCA_BC_VC_</v>
      </c>
      <c r="AR53" s="70" t="str">
        <f t="shared" si="3"/>
        <v/>
      </c>
      <c r="AS53" s="70" t="str">
        <f t="shared" si="4"/>
        <v/>
      </c>
      <c r="AT53" s="70" t="str">
        <f t="shared" si="1"/>
        <v/>
      </c>
    </row>
    <row r="54" spans="2:46">
      <c r="B54" s="139"/>
      <c r="C54" s="55">
        <f t="shared" si="2"/>
        <v>48</v>
      </c>
      <c r="D54" s="69" t="s">
        <v>70</v>
      </c>
      <c r="E54" s="69" t="s">
        <v>70</v>
      </c>
      <c r="F54" s="69" t="s">
        <v>70</v>
      </c>
      <c r="G54" s="69" t="s">
        <v>70</v>
      </c>
      <c r="H54" s="69" t="s">
        <v>70</v>
      </c>
      <c r="I54" s="69" t="s">
        <v>70</v>
      </c>
      <c r="J54" s="69" t="s">
        <v>70</v>
      </c>
      <c r="K54" s="69" t="s">
        <v>70</v>
      </c>
      <c r="L54" s="69" t="s">
        <v>70</v>
      </c>
      <c r="M54" s="69" t="s">
        <v>70</v>
      </c>
      <c r="N54" s="69" t="s">
        <v>70</v>
      </c>
      <c r="O54" s="69" t="s">
        <v>70</v>
      </c>
      <c r="P54" s="69" t="s">
        <v>70</v>
      </c>
      <c r="Q54" s="69" t="s">
        <v>70</v>
      </c>
      <c r="R54" s="69" t="s">
        <v>70</v>
      </c>
      <c r="S54" s="69" t="s">
        <v>70</v>
      </c>
      <c r="T54" s="69" t="s">
        <v>70</v>
      </c>
      <c r="U54" s="69" t="s">
        <v>70</v>
      </c>
      <c r="V54" s="69" t="s">
        <v>70</v>
      </c>
      <c r="W54" s="69" t="s">
        <v>70</v>
      </c>
      <c r="X54" s="69" t="s">
        <v>70</v>
      </c>
      <c r="Y54" s="69" t="s">
        <v>70</v>
      </c>
      <c r="Z54" s="69" t="s">
        <v>70</v>
      </c>
      <c r="AA54" s="69" t="s">
        <v>70</v>
      </c>
      <c r="AB54" s="69" t="s">
        <v>70</v>
      </c>
      <c r="AC54" s="69" t="s">
        <v>70</v>
      </c>
      <c r="AD54" s="69" t="s">
        <v>70</v>
      </c>
      <c r="AE54" s="69" t="s">
        <v>70</v>
      </c>
      <c r="AF54" s="69" t="s">
        <v>70</v>
      </c>
      <c r="AG54" s="69" t="s">
        <v>70</v>
      </c>
      <c r="AH54" s="69" t="s">
        <v>70</v>
      </c>
      <c r="AI54" s="69" t="s">
        <v>70</v>
      </c>
      <c r="AJ54" s="25"/>
      <c r="AL54" t="str">
        <f t="shared" ca="1" si="0"/>
        <v xml:space="preserve">    (U1)ALERT_REQ_S_LCA_BC_VC_</v>
      </c>
      <c r="AR54" s="70" t="str">
        <f t="shared" si="3"/>
        <v/>
      </c>
      <c r="AS54" s="70" t="str">
        <f t="shared" si="4"/>
        <v/>
      </c>
      <c r="AT54" s="70" t="str">
        <f t="shared" si="1"/>
        <v/>
      </c>
    </row>
    <row r="55" spans="2:46">
      <c r="B55" s="139"/>
      <c r="C55" s="55">
        <f t="shared" si="2"/>
        <v>49</v>
      </c>
      <c r="D55" s="69" t="s">
        <v>70</v>
      </c>
      <c r="E55" s="69" t="s">
        <v>70</v>
      </c>
      <c r="F55" s="69" t="s">
        <v>70</v>
      </c>
      <c r="G55" s="69" t="s">
        <v>70</v>
      </c>
      <c r="H55" s="69" t="s">
        <v>70</v>
      </c>
      <c r="I55" s="69" t="s">
        <v>70</v>
      </c>
      <c r="J55" s="69" t="s">
        <v>70</v>
      </c>
      <c r="K55" s="69" t="s">
        <v>70</v>
      </c>
      <c r="L55" s="69" t="s">
        <v>70</v>
      </c>
      <c r="M55" s="69" t="s">
        <v>70</v>
      </c>
      <c r="N55" s="69" t="s">
        <v>70</v>
      </c>
      <c r="O55" s="69" t="s">
        <v>70</v>
      </c>
      <c r="P55" s="69" t="s">
        <v>70</v>
      </c>
      <c r="Q55" s="69" t="s">
        <v>70</v>
      </c>
      <c r="R55" s="69" t="s">
        <v>70</v>
      </c>
      <c r="S55" s="69" t="s">
        <v>70</v>
      </c>
      <c r="T55" s="69" t="s">
        <v>70</v>
      </c>
      <c r="U55" s="69" t="s">
        <v>70</v>
      </c>
      <c r="V55" s="69" t="s">
        <v>70</v>
      </c>
      <c r="W55" s="69" t="s">
        <v>70</v>
      </c>
      <c r="X55" s="69" t="s">
        <v>70</v>
      </c>
      <c r="Y55" s="69" t="s">
        <v>70</v>
      </c>
      <c r="Z55" s="69" t="s">
        <v>70</v>
      </c>
      <c r="AA55" s="69" t="s">
        <v>70</v>
      </c>
      <c r="AB55" s="69" t="s">
        <v>70</v>
      </c>
      <c r="AC55" s="69" t="s">
        <v>70</v>
      </c>
      <c r="AD55" s="69" t="s">
        <v>70</v>
      </c>
      <c r="AE55" s="69" t="s">
        <v>70</v>
      </c>
      <c r="AF55" s="69" t="s">
        <v>70</v>
      </c>
      <c r="AG55" s="69" t="s">
        <v>70</v>
      </c>
      <c r="AH55" s="69" t="s">
        <v>70</v>
      </c>
      <c r="AI55" s="69" t="s">
        <v>70</v>
      </c>
      <c r="AJ55" s="25"/>
      <c r="AL55" t="str">
        <f t="shared" ca="1" si="0"/>
        <v xml:space="preserve">    (U1)ALERT_REQ_S_LCA_BC_VC_</v>
      </c>
      <c r="AR55" s="70" t="str">
        <f t="shared" si="3"/>
        <v/>
      </c>
      <c r="AS55" s="70" t="str">
        <f t="shared" si="4"/>
        <v/>
      </c>
      <c r="AT55" s="70" t="str">
        <f t="shared" si="1"/>
        <v/>
      </c>
    </row>
    <row r="56" spans="2:46">
      <c r="B56" s="139"/>
      <c r="C56" s="55">
        <f t="shared" si="2"/>
        <v>50</v>
      </c>
      <c r="D56" s="69" t="s">
        <v>70</v>
      </c>
      <c r="E56" s="69" t="s">
        <v>70</v>
      </c>
      <c r="F56" s="69" t="s">
        <v>70</v>
      </c>
      <c r="G56" s="69" t="s">
        <v>70</v>
      </c>
      <c r="H56" s="69" t="s">
        <v>70</v>
      </c>
      <c r="I56" s="69" t="s">
        <v>70</v>
      </c>
      <c r="J56" s="69" t="s">
        <v>70</v>
      </c>
      <c r="K56" s="69" t="s">
        <v>70</v>
      </c>
      <c r="L56" s="69" t="s">
        <v>70</v>
      </c>
      <c r="M56" s="69" t="s">
        <v>70</v>
      </c>
      <c r="N56" s="69" t="s">
        <v>70</v>
      </c>
      <c r="O56" s="69" t="s">
        <v>70</v>
      </c>
      <c r="P56" s="69" t="s">
        <v>70</v>
      </c>
      <c r="Q56" s="69" t="s">
        <v>70</v>
      </c>
      <c r="R56" s="69" t="s">
        <v>70</v>
      </c>
      <c r="S56" s="69" t="s">
        <v>70</v>
      </c>
      <c r="T56" s="69" t="s">
        <v>70</v>
      </c>
      <c r="U56" s="69" t="s">
        <v>70</v>
      </c>
      <c r="V56" s="69" t="s">
        <v>70</v>
      </c>
      <c r="W56" s="69" t="s">
        <v>70</v>
      </c>
      <c r="X56" s="69" t="s">
        <v>70</v>
      </c>
      <c r="Y56" s="69" t="s">
        <v>70</v>
      </c>
      <c r="Z56" s="69" t="s">
        <v>70</v>
      </c>
      <c r="AA56" s="69" t="s">
        <v>70</v>
      </c>
      <c r="AB56" s="69" t="s">
        <v>70</v>
      </c>
      <c r="AC56" s="69" t="s">
        <v>70</v>
      </c>
      <c r="AD56" s="69" t="s">
        <v>70</v>
      </c>
      <c r="AE56" s="69" t="s">
        <v>70</v>
      </c>
      <c r="AF56" s="69" t="s">
        <v>70</v>
      </c>
      <c r="AG56" s="69" t="s">
        <v>70</v>
      </c>
      <c r="AH56" s="69" t="s">
        <v>70</v>
      </c>
      <c r="AI56" s="69" t="s">
        <v>70</v>
      </c>
      <c r="AJ56" s="25"/>
      <c r="AL56" t="str">
        <f t="shared" ca="1" si="0"/>
        <v xml:space="preserve">    (U1)ALERT_REQ_S_LCA_BC_VC_</v>
      </c>
      <c r="AR56" s="70" t="str">
        <f t="shared" si="3"/>
        <v/>
      </c>
      <c r="AS56" s="70" t="str">
        <f t="shared" si="4"/>
        <v/>
      </c>
      <c r="AT56" s="70" t="str">
        <f t="shared" si="1"/>
        <v/>
      </c>
    </row>
    <row r="57" spans="2:46">
      <c r="B57" s="139"/>
      <c r="C57" s="55">
        <f t="shared" si="2"/>
        <v>51</v>
      </c>
      <c r="D57" s="69" t="s">
        <v>70</v>
      </c>
      <c r="E57" s="69" t="s">
        <v>70</v>
      </c>
      <c r="F57" s="69" t="s">
        <v>70</v>
      </c>
      <c r="G57" s="69" t="s">
        <v>70</v>
      </c>
      <c r="H57" s="69" t="s">
        <v>70</v>
      </c>
      <c r="I57" s="69" t="s">
        <v>70</v>
      </c>
      <c r="J57" s="69" t="s">
        <v>70</v>
      </c>
      <c r="K57" s="69" t="s">
        <v>70</v>
      </c>
      <c r="L57" s="69" t="s">
        <v>70</v>
      </c>
      <c r="M57" s="69" t="s">
        <v>70</v>
      </c>
      <c r="N57" s="69" t="s">
        <v>70</v>
      </c>
      <c r="O57" s="69" t="s">
        <v>70</v>
      </c>
      <c r="P57" s="69" t="s">
        <v>70</v>
      </c>
      <c r="Q57" s="69" t="s">
        <v>70</v>
      </c>
      <c r="R57" s="69" t="s">
        <v>70</v>
      </c>
      <c r="S57" s="69" t="s">
        <v>70</v>
      </c>
      <c r="T57" s="69" t="s">
        <v>70</v>
      </c>
      <c r="U57" s="69" t="s">
        <v>70</v>
      </c>
      <c r="V57" s="69" t="s">
        <v>70</v>
      </c>
      <c r="W57" s="69" t="s">
        <v>70</v>
      </c>
      <c r="X57" s="69" t="s">
        <v>70</v>
      </c>
      <c r="Y57" s="69" t="s">
        <v>70</v>
      </c>
      <c r="Z57" s="69" t="s">
        <v>70</v>
      </c>
      <c r="AA57" s="69" t="s">
        <v>70</v>
      </c>
      <c r="AB57" s="69" t="s">
        <v>70</v>
      </c>
      <c r="AC57" s="69" t="s">
        <v>70</v>
      </c>
      <c r="AD57" s="69" t="s">
        <v>70</v>
      </c>
      <c r="AE57" s="69" t="s">
        <v>70</v>
      </c>
      <c r="AF57" s="69" t="s">
        <v>70</v>
      </c>
      <c r="AG57" s="69" t="s">
        <v>70</v>
      </c>
      <c r="AH57" s="69" t="s">
        <v>70</v>
      </c>
      <c r="AI57" s="69" t="s">
        <v>70</v>
      </c>
      <c r="AJ57" s="25"/>
      <c r="AL57" t="str">
        <f t="shared" ca="1" si="0"/>
        <v xml:space="preserve">    (U1)ALERT_REQ_S_LCA_BC_VC_</v>
      </c>
      <c r="AR57" s="70" t="str">
        <f t="shared" si="3"/>
        <v/>
      </c>
      <c r="AS57" s="70" t="str">
        <f t="shared" si="4"/>
        <v/>
      </c>
      <c r="AT57" s="70" t="str">
        <f t="shared" si="1"/>
        <v/>
      </c>
    </row>
    <row r="58" spans="2:46">
      <c r="B58" s="139"/>
      <c r="C58" s="55">
        <f t="shared" si="2"/>
        <v>52</v>
      </c>
      <c r="D58" s="69" t="s">
        <v>70</v>
      </c>
      <c r="E58" s="69" t="s">
        <v>70</v>
      </c>
      <c r="F58" s="69" t="s">
        <v>70</v>
      </c>
      <c r="G58" s="69" t="s">
        <v>70</v>
      </c>
      <c r="H58" s="69" t="s">
        <v>70</v>
      </c>
      <c r="I58" s="69" t="s">
        <v>70</v>
      </c>
      <c r="J58" s="69" t="s">
        <v>70</v>
      </c>
      <c r="K58" s="69" t="s">
        <v>70</v>
      </c>
      <c r="L58" s="69" t="s">
        <v>70</v>
      </c>
      <c r="M58" s="69" t="s">
        <v>70</v>
      </c>
      <c r="N58" s="69" t="s">
        <v>70</v>
      </c>
      <c r="O58" s="69" t="s">
        <v>70</v>
      </c>
      <c r="P58" s="69" t="s">
        <v>70</v>
      </c>
      <c r="Q58" s="69" t="s">
        <v>70</v>
      </c>
      <c r="R58" s="69" t="s">
        <v>70</v>
      </c>
      <c r="S58" s="69" t="s">
        <v>70</v>
      </c>
      <c r="T58" s="69" t="s">
        <v>70</v>
      </c>
      <c r="U58" s="69" t="s">
        <v>70</v>
      </c>
      <c r="V58" s="69" t="s">
        <v>70</v>
      </c>
      <c r="W58" s="69" t="s">
        <v>70</v>
      </c>
      <c r="X58" s="69" t="s">
        <v>70</v>
      </c>
      <c r="Y58" s="69" t="s">
        <v>70</v>
      </c>
      <c r="Z58" s="69" t="s">
        <v>70</v>
      </c>
      <c r="AA58" s="69" t="s">
        <v>70</v>
      </c>
      <c r="AB58" s="69" t="s">
        <v>70</v>
      </c>
      <c r="AC58" s="69" t="s">
        <v>70</v>
      </c>
      <c r="AD58" s="69" t="s">
        <v>70</v>
      </c>
      <c r="AE58" s="69" t="s">
        <v>70</v>
      </c>
      <c r="AF58" s="69" t="s">
        <v>70</v>
      </c>
      <c r="AG58" s="69" t="s">
        <v>70</v>
      </c>
      <c r="AH58" s="69" t="s">
        <v>70</v>
      </c>
      <c r="AI58" s="69" t="s">
        <v>70</v>
      </c>
      <c r="AJ58" s="25"/>
      <c r="AL58" t="str">
        <f t="shared" ca="1" si="0"/>
        <v xml:space="preserve">    (U1)ALERT_REQ_S_LCA_BC_VC_</v>
      </c>
      <c r="AR58" s="70" t="str">
        <f t="shared" si="3"/>
        <v/>
      </c>
      <c r="AS58" s="70" t="str">
        <f t="shared" si="4"/>
        <v/>
      </c>
      <c r="AT58" s="70" t="str">
        <f t="shared" si="1"/>
        <v/>
      </c>
    </row>
    <row r="59" spans="2:46">
      <c r="B59" s="139"/>
      <c r="C59" s="55">
        <f t="shared" si="2"/>
        <v>53</v>
      </c>
      <c r="D59" s="69" t="s">
        <v>70</v>
      </c>
      <c r="E59" s="69" t="s">
        <v>70</v>
      </c>
      <c r="F59" s="69" t="s">
        <v>70</v>
      </c>
      <c r="G59" s="69" t="s">
        <v>70</v>
      </c>
      <c r="H59" s="69" t="s">
        <v>70</v>
      </c>
      <c r="I59" s="69" t="s">
        <v>70</v>
      </c>
      <c r="J59" s="69" t="s">
        <v>70</v>
      </c>
      <c r="K59" s="69" t="s">
        <v>70</v>
      </c>
      <c r="L59" s="69" t="s">
        <v>70</v>
      </c>
      <c r="M59" s="69" t="s">
        <v>70</v>
      </c>
      <c r="N59" s="69" t="s">
        <v>70</v>
      </c>
      <c r="O59" s="69" t="s">
        <v>70</v>
      </c>
      <c r="P59" s="69" t="s">
        <v>70</v>
      </c>
      <c r="Q59" s="69" t="s">
        <v>70</v>
      </c>
      <c r="R59" s="69" t="s">
        <v>70</v>
      </c>
      <c r="S59" s="69" t="s">
        <v>70</v>
      </c>
      <c r="T59" s="69" t="s">
        <v>70</v>
      </c>
      <c r="U59" s="69" t="s">
        <v>70</v>
      </c>
      <c r="V59" s="69" t="s">
        <v>70</v>
      </c>
      <c r="W59" s="69" t="s">
        <v>70</v>
      </c>
      <c r="X59" s="69" t="s">
        <v>70</v>
      </c>
      <c r="Y59" s="69" t="s">
        <v>70</v>
      </c>
      <c r="Z59" s="69" t="s">
        <v>70</v>
      </c>
      <c r="AA59" s="69" t="s">
        <v>70</v>
      </c>
      <c r="AB59" s="69" t="s">
        <v>70</v>
      </c>
      <c r="AC59" s="69" t="s">
        <v>70</v>
      </c>
      <c r="AD59" s="69" t="s">
        <v>70</v>
      </c>
      <c r="AE59" s="69" t="s">
        <v>70</v>
      </c>
      <c r="AF59" s="69" t="s">
        <v>70</v>
      </c>
      <c r="AG59" s="69" t="s">
        <v>70</v>
      </c>
      <c r="AH59" s="69" t="s">
        <v>70</v>
      </c>
      <c r="AI59" s="69" t="s">
        <v>70</v>
      </c>
      <c r="AJ59" s="25"/>
      <c r="AL59" t="str">
        <f t="shared" ca="1" si="0"/>
        <v xml:space="preserve">    (U1)ALERT_REQ_S_LCA_BC_VC_</v>
      </c>
      <c r="AR59" s="70" t="str">
        <f t="shared" si="3"/>
        <v/>
      </c>
      <c r="AS59" s="70" t="str">
        <f t="shared" si="4"/>
        <v/>
      </c>
      <c r="AT59" s="70" t="str">
        <f t="shared" si="1"/>
        <v/>
      </c>
    </row>
    <row r="60" spans="2:46">
      <c r="B60" s="139"/>
      <c r="C60" s="55">
        <f t="shared" si="2"/>
        <v>54</v>
      </c>
      <c r="D60" s="69" t="s">
        <v>70</v>
      </c>
      <c r="E60" s="69" t="s">
        <v>70</v>
      </c>
      <c r="F60" s="69" t="s">
        <v>70</v>
      </c>
      <c r="G60" s="69" t="s">
        <v>70</v>
      </c>
      <c r="H60" s="69" t="s">
        <v>70</v>
      </c>
      <c r="I60" s="69" t="s">
        <v>70</v>
      </c>
      <c r="J60" s="69" t="s">
        <v>70</v>
      </c>
      <c r="K60" s="69" t="s">
        <v>70</v>
      </c>
      <c r="L60" s="69" t="s">
        <v>70</v>
      </c>
      <c r="M60" s="69" t="s">
        <v>70</v>
      </c>
      <c r="N60" s="69" t="s">
        <v>70</v>
      </c>
      <c r="O60" s="69" t="s">
        <v>70</v>
      </c>
      <c r="P60" s="69" t="s">
        <v>70</v>
      </c>
      <c r="Q60" s="69" t="s">
        <v>70</v>
      </c>
      <c r="R60" s="69" t="s">
        <v>70</v>
      </c>
      <c r="S60" s="69" t="s">
        <v>70</v>
      </c>
      <c r="T60" s="69" t="s">
        <v>70</v>
      </c>
      <c r="U60" s="69" t="s">
        <v>70</v>
      </c>
      <c r="V60" s="69" t="s">
        <v>70</v>
      </c>
      <c r="W60" s="69" t="s">
        <v>70</v>
      </c>
      <c r="X60" s="69" t="s">
        <v>70</v>
      </c>
      <c r="Y60" s="69" t="s">
        <v>70</v>
      </c>
      <c r="Z60" s="69" t="s">
        <v>70</v>
      </c>
      <c r="AA60" s="69" t="s">
        <v>70</v>
      </c>
      <c r="AB60" s="69" t="s">
        <v>70</v>
      </c>
      <c r="AC60" s="69" t="s">
        <v>70</v>
      </c>
      <c r="AD60" s="69" t="s">
        <v>70</v>
      </c>
      <c r="AE60" s="69" t="s">
        <v>70</v>
      </c>
      <c r="AF60" s="69" t="s">
        <v>70</v>
      </c>
      <c r="AG60" s="69" t="s">
        <v>70</v>
      </c>
      <c r="AH60" s="69" t="s">
        <v>70</v>
      </c>
      <c r="AI60" s="69" t="s">
        <v>70</v>
      </c>
      <c r="AJ60" s="25"/>
      <c r="AL60" t="str">
        <f t="shared" ca="1" si="0"/>
        <v xml:space="preserve">    (U1)ALERT_REQ_S_LCA_BC_VC_</v>
      </c>
      <c r="AR60" s="70" t="str">
        <f t="shared" si="3"/>
        <v/>
      </c>
      <c r="AS60" s="70" t="str">
        <f t="shared" si="4"/>
        <v/>
      </c>
      <c r="AT60" s="70" t="str">
        <f t="shared" si="1"/>
        <v/>
      </c>
    </row>
    <row r="61" spans="2:46">
      <c r="B61" s="139"/>
      <c r="C61" s="55">
        <f t="shared" si="2"/>
        <v>55</v>
      </c>
      <c r="D61" s="69" t="s">
        <v>70</v>
      </c>
      <c r="E61" s="69" t="s">
        <v>70</v>
      </c>
      <c r="F61" s="69" t="s">
        <v>70</v>
      </c>
      <c r="G61" s="69" t="s">
        <v>70</v>
      </c>
      <c r="H61" s="69" t="s">
        <v>70</v>
      </c>
      <c r="I61" s="69" t="s">
        <v>70</v>
      </c>
      <c r="J61" s="69" t="s">
        <v>70</v>
      </c>
      <c r="K61" s="69" t="s">
        <v>70</v>
      </c>
      <c r="L61" s="69" t="s">
        <v>70</v>
      </c>
      <c r="M61" s="69" t="s">
        <v>70</v>
      </c>
      <c r="N61" s="69" t="s">
        <v>70</v>
      </c>
      <c r="O61" s="69" t="s">
        <v>70</v>
      </c>
      <c r="P61" s="69" t="s">
        <v>70</v>
      </c>
      <c r="Q61" s="69" t="s">
        <v>70</v>
      </c>
      <c r="R61" s="69" t="s">
        <v>70</v>
      </c>
      <c r="S61" s="69" t="s">
        <v>70</v>
      </c>
      <c r="T61" s="69" t="s">
        <v>70</v>
      </c>
      <c r="U61" s="69" t="s">
        <v>70</v>
      </c>
      <c r="V61" s="69" t="s">
        <v>70</v>
      </c>
      <c r="W61" s="69" t="s">
        <v>70</v>
      </c>
      <c r="X61" s="69" t="s">
        <v>70</v>
      </c>
      <c r="Y61" s="69" t="s">
        <v>70</v>
      </c>
      <c r="Z61" s="69" t="s">
        <v>70</v>
      </c>
      <c r="AA61" s="69" t="s">
        <v>70</v>
      </c>
      <c r="AB61" s="69" t="s">
        <v>70</v>
      </c>
      <c r="AC61" s="69" t="s">
        <v>70</v>
      </c>
      <c r="AD61" s="69" t="s">
        <v>70</v>
      </c>
      <c r="AE61" s="69" t="s">
        <v>70</v>
      </c>
      <c r="AF61" s="69" t="s">
        <v>70</v>
      </c>
      <c r="AG61" s="69" t="s">
        <v>70</v>
      </c>
      <c r="AH61" s="69" t="s">
        <v>70</v>
      </c>
      <c r="AI61" s="69" t="s">
        <v>70</v>
      </c>
      <c r="AJ61" s="25"/>
      <c r="AL61" t="str">
        <f t="shared" ca="1" si="0"/>
        <v xml:space="preserve">    (U1)ALERT_REQ_S_LCA_BC_VC_</v>
      </c>
      <c r="AR61" s="70" t="str">
        <f t="shared" si="3"/>
        <v/>
      </c>
      <c r="AS61" s="70" t="str">
        <f t="shared" si="4"/>
        <v/>
      </c>
      <c r="AT61" s="70" t="str">
        <f t="shared" si="1"/>
        <v/>
      </c>
    </row>
    <row r="62" spans="2:46">
      <c r="B62" s="139"/>
      <c r="C62" s="55">
        <f t="shared" si="2"/>
        <v>56</v>
      </c>
      <c r="D62" s="69" t="s">
        <v>70</v>
      </c>
      <c r="E62" s="69" t="s">
        <v>70</v>
      </c>
      <c r="F62" s="69" t="s">
        <v>70</v>
      </c>
      <c r="G62" s="69" t="s">
        <v>70</v>
      </c>
      <c r="H62" s="69" t="s">
        <v>70</v>
      </c>
      <c r="I62" s="69" t="s">
        <v>70</v>
      </c>
      <c r="J62" s="69" t="s">
        <v>70</v>
      </c>
      <c r="K62" s="69" t="s">
        <v>70</v>
      </c>
      <c r="L62" s="69" t="s">
        <v>70</v>
      </c>
      <c r="M62" s="69" t="s">
        <v>70</v>
      </c>
      <c r="N62" s="69" t="s">
        <v>70</v>
      </c>
      <c r="O62" s="69" t="s">
        <v>70</v>
      </c>
      <c r="P62" s="69" t="s">
        <v>70</v>
      </c>
      <c r="Q62" s="69" t="s">
        <v>70</v>
      </c>
      <c r="R62" s="69" t="s">
        <v>70</v>
      </c>
      <c r="S62" s="69" t="s">
        <v>70</v>
      </c>
      <c r="T62" s="69" t="s">
        <v>70</v>
      </c>
      <c r="U62" s="69" t="s">
        <v>70</v>
      </c>
      <c r="V62" s="69" t="s">
        <v>70</v>
      </c>
      <c r="W62" s="69" t="s">
        <v>70</v>
      </c>
      <c r="X62" s="69" t="s">
        <v>70</v>
      </c>
      <c r="Y62" s="69" t="s">
        <v>70</v>
      </c>
      <c r="Z62" s="69" t="s">
        <v>70</v>
      </c>
      <c r="AA62" s="69" t="s">
        <v>70</v>
      </c>
      <c r="AB62" s="69" t="s">
        <v>70</v>
      </c>
      <c r="AC62" s="69" t="s">
        <v>70</v>
      </c>
      <c r="AD62" s="69" t="s">
        <v>70</v>
      </c>
      <c r="AE62" s="69" t="s">
        <v>70</v>
      </c>
      <c r="AF62" s="69" t="s">
        <v>70</v>
      </c>
      <c r="AG62" s="69" t="s">
        <v>70</v>
      </c>
      <c r="AH62" s="69" t="s">
        <v>70</v>
      </c>
      <c r="AI62" s="69" t="s">
        <v>70</v>
      </c>
      <c r="AJ62" s="25"/>
      <c r="AL62" t="str">
        <f t="shared" ca="1" si="0"/>
        <v xml:space="preserve">    (U1)ALERT_REQ_S_LCA_BC_VC_</v>
      </c>
      <c r="AR62" s="70" t="str">
        <f t="shared" si="3"/>
        <v/>
      </c>
      <c r="AS62" s="70" t="str">
        <f t="shared" si="4"/>
        <v/>
      </c>
      <c r="AT62" s="70" t="str">
        <f t="shared" si="1"/>
        <v/>
      </c>
    </row>
    <row r="63" spans="2:46">
      <c r="B63" s="139"/>
      <c r="C63" s="55">
        <f t="shared" si="2"/>
        <v>57</v>
      </c>
      <c r="D63" s="69" t="s">
        <v>70</v>
      </c>
      <c r="E63" s="69" t="s">
        <v>70</v>
      </c>
      <c r="F63" s="69" t="s">
        <v>70</v>
      </c>
      <c r="G63" s="69" t="s">
        <v>70</v>
      </c>
      <c r="H63" s="69" t="s">
        <v>70</v>
      </c>
      <c r="I63" s="69" t="s">
        <v>70</v>
      </c>
      <c r="J63" s="69" t="s">
        <v>70</v>
      </c>
      <c r="K63" s="69" t="s">
        <v>70</v>
      </c>
      <c r="L63" s="69" t="s">
        <v>70</v>
      </c>
      <c r="M63" s="69" t="s">
        <v>70</v>
      </c>
      <c r="N63" s="69" t="s">
        <v>70</v>
      </c>
      <c r="O63" s="69" t="s">
        <v>70</v>
      </c>
      <c r="P63" s="69" t="s">
        <v>70</v>
      </c>
      <c r="Q63" s="69" t="s">
        <v>70</v>
      </c>
      <c r="R63" s="69" t="s">
        <v>70</v>
      </c>
      <c r="S63" s="69" t="s">
        <v>70</v>
      </c>
      <c r="T63" s="69" t="s">
        <v>70</v>
      </c>
      <c r="U63" s="69" t="s">
        <v>70</v>
      </c>
      <c r="V63" s="69" t="s">
        <v>70</v>
      </c>
      <c r="W63" s="69" t="s">
        <v>70</v>
      </c>
      <c r="X63" s="69" t="s">
        <v>70</v>
      </c>
      <c r="Y63" s="69" t="s">
        <v>70</v>
      </c>
      <c r="Z63" s="69" t="s">
        <v>70</v>
      </c>
      <c r="AA63" s="69" t="s">
        <v>70</v>
      </c>
      <c r="AB63" s="69" t="s">
        <v>70</v>
      </c>
      <c r="AC63" s="69" t="s">
        <v>70</v>
      </c>
      <c r="AD63" s="69" t="s">
        <v>70</v>
      </c>
      <c r="AE63" s="69" t="s">
        <v>70</v>
      </c>
      <c r="AF63" s="69" t="s">
        <v>70</v>
      </c>
      <c r="AG63" s="69" t="s">
        <v>70</v>
      </c>
      <c r="AH63" s="69" t="s">
        <v>70</v>
      </c>
      <c r="AI63" s="69" t="s">
        <v>70</v>
      </c>
      <c r="AJ63" s="25"/>
      <c r="AL63" t="str">
        <f t="shared" ca="1" si="0"/>
        <v xml:space="preserve">    (U1)ALERT_REQ_S_LCA_BC_VC_</v>
      </c>
      <c r="AR63" s="70" t="str">
        <f t="shared" si="3"/>
        <v/>
      </c>
      <c r="AS63" s="70" t="str">
        <f t="shared" si="4"/>
        <v/>
      </c>
      <c r="AT63" s="70" t="str">
        <f t="shared" si="1"/>
        <v/>
      </c>
    </row>
    <row r="64" spans="2:46">
      <c r="B64" s="139"/>
      <c r="C64" s="55">
        <f t="shared" si="2"/>
        <v>58</v>
      </c>
      <c r="D64" s="69" t="s">
        <v>70</v>
      </c>
      <c r="E64" s="69" t="s">
        <v>70</v>
      </c>
      <c r="F64" s="69" t="s">
        <v>70</v>
      </c>
      <c r="G64" s="69" t="s">
        <v>70</v>
      </c>
      <c r="H64" s="69" t="s">
        <v>70</v>
      </c>
      <c r="I64" s="69" t="s">
        <v>70</v>
      </c>
      <c r="J64" s="69" t="s">
        <v>70</v>
      </c>
      <c r="K64" s="69" t="s">
        <v>70</v>
      </c>
      <c r="L64" s="69" t="s">
        <v>70</v>
      </c>
      <c r="M64" s="69" t="s">
        <v>70</v>
      </c>
      <c r="N64" s="69" t="s">
        <v>70</v>
      </c>
      <c r="O64" s="69" t="s">
        <v>70</v>
      </c>
      <c r="P64" s="69" t="s">
        <v>70</v>
      </c>
      <c r="Q64" s="69" t="s">
        <v>70</v>
      </c>
      <c r="R64" s="69" t="s">
        <v>70</v>
      </c>
      <c r="S64" s="69" t="s">
        <v>70</v>
      </c>
      <c r="T64" s="69" t="s">
        <v>70</v>
      </c>
      <c r="U64" s="69" t="s">
        <v>70</v>
      </c>
      <c r="V64" s="69" t="s">
        <v>70</v>
      </c>
      <c r="W64" s="69" t="s">
        <v>70</v>
      </c>
      <c r="X64" s="69" t="s">
        <v>70</v>
      </c>
      <c r="Y64" s="69" t="s">
        <v>70</v>
      </c>
      <c r="Z64" s="69" t="s">
        <v>70</v>
      </c>
      <c r="AA64" s="69" t="s">
        <v>70</v>
      </c>
      <c r="AB64" s="69" t="s">
        <v>70</v>
      </c>
      <c r="AC64" s="69" t="s">
        <v>70</v>
      </c>
      <c r="AD64" s="69" t="s">
        <v>70</v>
      </c>
      <c r="AE64" s="69" t="s">
        <v>70</v>
      </c>
      <c r="AF64" s="69" t="s">
        <v>70</v>
      </c>
      <c r="AG64" s="69" t="s">
        <v>70</v>
      </c>
      <c r="AH64" s="69" t="s">
        <v>70</v>
      </c>
      <c r="AI64" s="69" t="s">
        <v>70</v>
      </c>
      <c r="AJ64" s="25"/>
      <c r="AL64" t="str">
        <f t="shared" ca="1" si="0"/>
        <v xml:space="preserve">    (U1)ALERT_REQ_S_LCA_BC_VC_</v>
      </c>
      <c r="AR64" s="70" t="str">
        <f t="shared" si="3"/>
        <v/>
      </c>
      <c r="AS64" s="70" t="str">
        <f t="shared" si="4"/>
        <v/>
      </c>
      <c r="AT64" s="70" t="str">
        <f t="shared" si="1"/>
        <v/>
      </c>
    </row>
    <row r="65" spans="1:46">
      <c r="B65" s="139"/>
      <c r="C65" s="55">
        <f t="shared" si="2"/>
        <v>59</v>
      </c>
      <c r="D65" s="69" t="s">
        <v>70</v>
      </c>
      <c r="E65" s="69" t="s">
        <v>70</v>
      </c>
      <c r="F65" s="69" t="s">
        <v>70</v>
      </c>
      <c r="G65" s="69" t="s">
        <v>70</v>
      </c>
      <c r="H65" s="69" t="s">
        <v>70</v>
      </c>
      <c r="I65" s="69" t="s">
        <v>70</v>
      </c>
      <c r="J65" s="69" t="s">
        <v>70</v>
      </c>
      <c r="K65" s="69" t="s">
        <v>70</v>
      </c>
      <c r="L65" s="69" t="s">
        <v>70</v>
      </c>
      <c r="M65" s="69" t="s">
        <v>70</v>
      </c>
      <c r="N65" s="69" t="s">
        <v>70</v>
      </c>
      <c r="O65" s="69" t="s">
        <v>70</v>
      </c>
      <c r="P65" s="69" t="s">
        <v>70</v>
      </c>
      <c r="Q65" s="69" t="s">
        <v>70</v>
      </c>
      <c r="R65" s="69" t="s">
        <v>70</v>
      </c>
      <c r="S65" s="69" t="s">
        <v>70</v>
      </c>
      <c r="T65" s="69" t="s">
        <v>70</v>
      </c>
      <c r="U65" s="69" t="s">
        <v>70</v>
      </c>
      <c r="V65" s="69" t="s">
        <v>70</v>
      </c>
      <c r="W65" s="69" t="s">
        <v>70</v>
      </c>
      <c r="X65" s="69" t="s">
        <v>70</v>
      </c>
      <c r="Y65" s="69" t="s">
        <v>70</v>
      </c>
      <c r="Z65" s="69" t="s">
        <v>70</v>
      </c>
      <c r="AA65" s="69" t="s">
        <v>70</v>
      </c>
      <c r="AB65" s="69" t="s">
        <v>70</v>
      </c>
      <c r="AC65" s="69" t="s">
        <v>70</v>
      </c>
      <c r="AD65" s="69" t="s">
        <v>70</v>
      </c>
      <c r="AE65" s="69" t="s">
        <v>70</v>
      </c>
      <c r="AF65" s="69" t="s">
        <v>70</v>
      </c>
      <c r="AG65" s="69" t="s">
        <v>70</v>
      </c>
      <c r="AH65" s="69" t="s">
        <v>70</v>
      </c>
      <c r="AI65" s="69" t="s">
        <v>70</v>
      </c>
      <c r="AJ65" s="25"/>
      <c r="AL65" t="str">
        <f t="shared" ca="1" si="0"/>
        <v xml:space="preserve">    (U1)ALERT_REQ_S_LCA_BC_VC_</v>
      </c>
      <c r="AR65" s="70" t="str">
        <f t="shared" si="3"/>
        <v/>
      </c>
      <c r="AS65" s="70" t="str">
        <f t="shared" si="4"/>
        <v/>
      </c>
      <c r="AT65" s="70" t="str">
        <f t="shared" si="1"/>
        <v/>
      </c>
    </row>
    <row r="66" spans="1:46">
      <c r="B66" s="139"/>
      <c r="C66" s="55">
        <f t="shared" si="2"/>
        <v>60</v>
      </c>
      <c r="D66" s="69" t="s">
        <v>70</v>
      </c>
      <c r="E66" s="69" t="s">
        <v>70</v>
      </c>
      <c r="F66" s="69" t="s">
        <v>70</v>
      </c>
      <c r="G66" s="69" t="s">
        <v>70</v>
      </c>
      <c r="H66" s="69" t="s">
        <v>70</v>
      </c>
      <c r="I66" s="69" t="s">
        <v>70</v>
      </c>
      <c r="J66" s="69" t="s">
        <v>70</v>
      </c>
      <c r="K66" s="69" t="s">
        <v>70</v>
      </c>
      <c r="L66" s="69" t="s">
        <v>70</v>
      </c>
      <c r="M66" s="69" t="s">
        <v>70</v>
      </c>
      <c r="N66" s="69" t="s">
        <v>70</v>
      </c>
      <c r="O66" s="69" t="s">
        <v>70</v>
      </c>
      <c r="P66" s="69" t="s">
        <v>70</v>
      </c>
      <c r="Q66" s="69" t="s">
        <v>70</v>
      </c>
      <c r="R66" s="69" t="s">
        <v>70</v>
      </c>
      <c r="S66" s="69" t="s">
        <v>70</v>
      </c>
      <c r="T66" s="69" t="s">
        <v>70</v>
      </c>
      <c r="U66" s="69" t="s">
        <v>70</v>
      </c>
      <c r="V66" s="69" t="s">
        <v>70</v>
      </c>
      <c r="W66" s="69" t="s">
        <v>70</v>
      </c>
      <c r="X66" s="69" t="s">
        <v>70</v>
      </c>
      <c r="Y66" s="69" t="s">
        <v>70</v>
      </c>
      <c r="Z66" s="69" t="s">
        <v>70</v>
      </c>
      <c r="AA66" s="69" t="s">
        <v>70</v>
      </c>
      <c r="AB66" s="69" t="s">
        <v>70</v>
      </c>
      <c r="AC66" s="69" t="s">
        <v>70</v>
      </c>
      <c r="AD66" s="69" t="s">
        <v>70</v>
      </c>
      <c r="AE66" s="69" t="s">
        <v>70</v>
      </c>
      <c r="AF66" s="69" t="s">
        <v>70</v>
      </c>
      <c r="AG66" s="69" t="s">
        <v>70</v>
      </c>
      <c r="AH66" s="69" t="s">
        <v>70</v>
      </c>
      <c r="AI66" s="69" t="s">
        <v>70</v>
      </c>
      <c r="AJ66" s="25"/>
      <c r="AL66" t="str">
        <f t="shared" ca="1" si="0"/>
        <v xml:space="preserve">    (U1)ALERT_REQ_S_LCA_BC_VC_</v>
      </c>
      <c r="AR66" s="70" t="str">
        <f t="shared" si="3"/>
        <v/>
      </c>
      <c r="AS66" s="70" t="str">
        <f t="shared" si="4"/>
        <v/>
      </c>
      <c r="AT66" s="70" t="str">
        <f t="shared" si="1"/>
        <v/>
      </c>
    </row>
    <row r="67" spans="1:46">
      <c r="B67" s="139"/>
      <c r="C67" s="55">
        <f t="shared" si="2"/>
        <v>61</v>
      </c>
      <c r="D67" s="69" t="s">
        <v>70</v>
      </c>
      <c r="E67" s="69" t="s">
        <v>70</v>
      </c>
      <c r="F67" s="69" t="s">
        <v>70</v>
      </c>
      <c r="G67" s="69" t="s">
        <v>70</v>
      </c>
      <c r="H67" s="69" t="s">
        <v>70</v>
      </c>
      <c r="I67" s="69" t="s">
        <v>70</v>
      </c>
      <c r="J67" s="69" t="s">
        <v>70</v>
      </c>
      <c r="K67" s="69" t="s">
        <v>70</v>
      </c>
      <c r="L67" s="69" t="s">
        <v>70</v>
      </c>
      <c r="M67" s="69" t="s">
        <v>70</v>
      </c>
      <c r="N67" s="69" t="s">
        <v>70</v>
      </c>
      <c r="O67" s="69" t="s">
        <v>70</v>
      </c>
      <c r="P67" s="69" t="s">
        <v>70</v>
      </c>
      <c r="Q67" s="69" t="s">
        <v>70</v>
      </c>
      <c r="R67" s="69" t="s">
        <v>70</v>
      </c>
      <c r="S67" s="69" t="s">
        <v>70</v>
      </c>
      <c r="T67" s="69" t="s">
        <v>70</v>
      </c>
      <c r="U67" s="69" t="s">
        <v>70</v>
      </c>
      <c r="V67" s="69" t="s">
        <v>70</v>
      </c>
      <c r="W67" s="69" t="s">
        <v>70</v>
      </c>
      <c r="X67" s="69" t="s">
        <v>70</v>
      </c>
      <c r="Y67" s="69" t="s">
        <v>70</v>
      </c>
      <c r="Z67" s="69" t="s">
        <v>70</v>
      </c>
      <c r="AA67" s="69" t="s">
        <v>70</v>
      </c>
      <c r="AB67" s="69" t="s">
        <v>70</v>
      </c>
      <c r="AC67" s="69" t="s">
        <v>70</v>
      </c>
      <c r="AD67" s="69" t="s">
        <v>70</v>
      </c>
      <c r="AE67" s="69" t="s">
        <v>70</v>
      </c>
      <c r="AF67" s="69" t="s">
        <v>70</v>
      </c>
      <c r="AG67" s="69" t="s">
        <v>70</v>
      </c>
      <c r="AH67" s="69" t="s">
        <v>70</v>
      </c>
      <c r="AI67" s="69" t="s">
        <v>70</v>
      </c>
      <c r="AJ67" s="25"/>
      <c r="AL67" t="str">
        <f t="shared" ca="1" si="0"/>
        <v xml:space="preserve">    (U1)ALERT_REQ_S_LCA_BC_VC_</v>
      </c>
      <c r="AR67" s="70" t="str">
        <f t="shared" si="3"/>
        <v/>
      </c>
      <c r="AS67" s="70" t="str">
        <f t="shared" si="4"/>
        <v/>
      </c>
      <c r="AT67" s="70" t="str">
        <f t="shared" si="1"/>
        <v/>
      </c>
    </row>
    <row r="68" spans="1:46">
      <c r="B68" s="139"/>
      <c r="C68" s="55">
        <f t="shared" si="2"/>
        <v>62</v>
      </c>
      <c r="D68" s="69" t="s">
        <v>70</v>
      </c>
      <c r="E68" s="69" t="s">
        <v>70</v>
      </c>
      <c r="F68" s="69" t="s">
        <v>70</v>
      </c>
      <c r="G68" s="69" t="s">
        <v>70</v>
      </c>
      <c r="H68" s="69" t="s">
        <v>70</v>
      </c>
      <c r="I68" s="69" t="s">
        <v>70</v>
      </c>
      <c r="J68" s="69" t="s">
        <v>70</v>
      </c>
      <c r="K68" s="69" t="s">
        <v>70</v>
      </c>
      <c r="L68" s="69" t="s">
        <v>70</v>
      </c>
      <c r="M68" s="69" t="s">
        <v>70</v>
      </c>
      <c r="N68" s="69" t="s">
        <v>70</v>
      </c>
      <c r="O68" s="69" t="s">
        <v>70</v>
      </c>
      <c r="P68" s="69" t="s">
        <v>70</v>
      </c>
      <c r="Q68" s="69" t="s">
        <v>70</v>
      </c>
      <c r="R68" s="69" t="s">
        <v>70</v>
      </c>
      <c r="S68" s="69" t="s">
        <v>70</v>
      </c>
      <c r="T68" s="69" t="s">
        <v>70</v>
      </c>
      <c r="U68" s="69" t="s">
        <v>70</v>
      </c>
      <c r="V68" s="69" t="s">
        <v>70</v>
      </c>
      <c r="W68" s="69" t="s">
        <v>70</v>
      </c>
      <c r="X68" s="69" t="s">
        <v>70</v>
      </c>
      <c r="Y68" s="69" t="s">
        <v>70</v>
      </c>
      <c r="Z68" s="69" t="s">
        <v>70</v>
      </c>
      <c r="AA68" s="69" t="s">
        <v>70</v>
      </c>
      <c r="AB68" s="69" t="s">
        <v>70</v>
      </c>
      <c r="AC68" s="69" t="s">
        <v>70</v>
      </c>
      <c r="AD68" s="69" t="s">
        <v>70</v>
      </c>
      <c r="AE68" s="69" t="s">
        <v>70</v>
      </c>
      <c r="AF68" s="69" t="s">
        <v>70</v>
      </c>
      <c r="AG68" s="69" t="s">
        <v>70</v>
      </c>
      <c r="AH68" s="69" t="s">
        <v>70</v>
      </c>
      <c r="AI68" s="69" t="s">
        <v>70</v>
      </c>
      <c r="AJ68" s="25"/>
      <c r="AL68" t="str">
        <f t="shared" ca="1" si="0"/>
        <v xml:space="preserve">    (U1)ALERT_REQ_S_LCA_BC_VC_</v>
      </c>
      <c r="AR68" s="70" t="str">
        <f t="shared" si="3"/>
        <v/>
      </c>
      <c r="AS68" s="70" t="str">
        <f t="shared" si="4"/>
        <v/>
      </c>
      <c r="AT68" s="70" t="str">
        <f t="shared" si="1"/>
        <v/>
      </c>
    </row>
    <row r="69" spans="1:46">
      <c r="B69" s="140"/>
      <c r="C69" s="55">
        <f t="shared" si="2"/>
        <v>63</v>
      </c>
      <c r="D69" s="69" t="s">
        <v>70</v>
      </c>
      <c r="E69" s="69" t="s">
        <v>70</v>
      </c>
      <c r="F69" s="69" t="s">
        <v>70</v>
      </c>
      <c r="G69" s="69" t="s">
        <v>70</v>
      </c>
      <c r="H69" s="69" t="s">
        <v>70</v>
      </c>
      <c r="I69" s="69" t="s">
        <v>70</v>
      </c>
      <c r="J69" s="69" t="s">
        <v>70</v>
      </c>
      <c r="K69" s="69" t="s">
        <v>70</v>
      </c>
      <c r="L69" s="69" t="s">
        <v>70</v>
      </c>
      <c r="M69" s="69" t="s">
        <v>70</v>
      </c>
      <c r="N69" s="69" t="s">
        <v>70</v>
      </c>
      <c r="O69" s="69" t="s">
        <v>70</v>
      </c>
      <c r="P69" s="69" t="s">
        <v>70</v>
      </c>
      <c r="Q69" s="69" t="s">
        <v>70</v>
      </c>
      <c r="R69" s="69" t="s">
        <v>70</v>
      </c>
      <c r="S69" s="69" t="s">
        <v>70</v>
      </c>
      <c r="T69" s="69" t="s">
        <v>70</v>
      </c>
      <c r="U69" s="69" t="s">
        <v>70</v>
      </c>
      <c r="V69" s="69" t="s">
        <v>70</v>
      </c>
      <c r="W69" s="69" t="s">
        <v>70</v>
      </c>
      <c r="X69" s="69" t="s">
        <v>70</v>
      </c>
      <c r="Y69" s="69" t="s">
        <v>70</v>
      </c>
      <c r="Z69" s="69" t="s">
        <v>70</v>
      </c>
      <c r="AA69" s="69" t="s">
        <v>70</v>
      </c>
      <c r="AB69" s="69" t="s">
        <v>70</v>
      </c>
      <c r="AC69" s="69" t="s">
        <v>70</v>
      </c>
      <c r="AD69" s="69" t="s">
        <v>70</v>
      </c>
      <c r="AE69" s="69" t="s">
        <v>70</v>
      </c>
      <c r="AF69" s="69" t="s">
        <v>70</v>
      </c>
      <c r="AG69" s="69" t="s">
        <v>70</v>
      </c>
      <c r="AH69" s="69" t="s">
        <v>70</v>
      </c>
      <c r="AI69" s="69" t="s">
        <v>70</v>
      </c>
      <c r="AJ69" s="25"/>
      <c r="AL69" t="str">
        <f t="shared" ca="1" si="0"/>
        <v xml:space="preserve">    (U1)ALERT_REQ_S_LCA_BC_VC_</v>
      </c>
      <c r="AR69" s="70" t="str">
        <f t="shared" si="3"/>
        <v/>
      </c>
      <c r="AS69" s="70" t="str">
        <f t="shared" si="4"/>
        <v/>
      </c>
      <c r="AT69" s="70" t="str">
        <f t="shared" si="1"/>
        <v/>
      </c>
    </row>
    <row r="70" spans="1:46" ht="14.25" thickBot="1">
      <c r="A70" s="64" t="s">
        <v>67</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1" t="str">
        <f t="shared" si="3"/>
        <v/>
      </c>
      <c r="AS70" s="71" t="str">
        <f t="shared" si="4"/>
        <v/>
      </c>
      <c r="AT70" s="71" t="str">
        <f t="shared" ref="AT70" si="5">IF(AJ70&lt;&gt;"",AL70&amp;IF(AJ71&lt;&gt;"",","," ")&amp;REPT(" ",78-LEN(AL70))&amp;"/* "&amp;IF(C70&lt;10,"0"&amp;C70,C70)&amp;" "&amp;AJ70&amp;REPT(" ",48-LEN(AJ70))&amp;"*/",IF(AJ69&lt;&gt;"","};",""))</f>
        <v/>
      </c>
    </row>
    <row r="71" spans="1:46">
      <c r="B71" s="141" t="str">
        <f ca="1">IF(B6&lt;&gt;"",B6,"")</f>
        <v>Table BC_VC</v>
      </c>
      <c r="C71" s="55">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55" t="str">
        <f t="shared" ref="AJ71:AJ134" si="7">IF(AJ6&lt;&gt;"",AJ6,"")</f>
        <v>UNKNOWN</v>
      </c>
      <c r="AK71" s="68"/>
      <c r="AL71" s="68"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55">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55" t="str">
        <f t="shared" si="7"/>
        <v>CYCL</v>
      </c>
      <c r="AK72" s="68"/>
      <c r="AL72" s="68"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CYCL                                            */</v>
      </c>
    </row>
    <row r="73" spans="1:46">
      <c r="B73" s="139"/>
      <c r="C73" s="55">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55" t="str">
        <f t="shared" si="7"/>
        <v>UNKNOWN</v>
      </c>
      <c r="AK73" s="68"/>
      <c r="AL73" s="68" t="str">
        <f t="shared" si="10"/>
        <v>02</v>
      </c>
      <c r="AM73" s="68" t="str">
        <f t="shared" si="11"/>
        <v>00</v>
      </c>
      <c r="AN73" s="68" t="str">
        <f t="shared" si="12"/>
        <v>00</v>
      </c>
      <c r="AO73" s="68" t="str">
        <f t="shared" si="13"/>
        <v>00</v>
      </c>
      <c r="AQ73" t="str">
        <f t="shared" si="8"/>
        <v xml:space="preserve">    (U4)0x00000002U,                                                           /* 02 UNKNOWN                                         */</v>
      </c>
    </row>
    <row r="74" spans="1:46">
      <c r="B74" s="139"/>
      <c r="C74" s="55">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55" t="str">
        <f t="shared" si="7"/>
        <v>UNKNOWN</v>
      </c>
      <c r="AK74" s="68"/>
      <c r="AL74" s="68" t="str">
        <f t="shared" si="10"/>
        <v>03</v>
      </c>
      <c r="AM74" s="68" t="str">
        <f t="shared" si="11"/>
        <v>00</v>
      </c>
      <c r="AN74" s="68" t="str">
        <f t="shared" si="12"/>
        <v>00</v>
      </c>
      <c r="AO74" s="68" t="str">
        <f t="shared" si="13"/>
        <v>00</v>
      </c>
      <c r="AQ74" t="str">
        <f t="shared" si="8"/>
        <v xml:space="preserve">    (U4)0x00000003U,                                                           /* 03 UNKNOWN                                         */</v>
      </c>
    </row>
    <row r="75" spans="1:46">
      <c r="B75" s="139"/>
      <c r="C75" s="55">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1</v>
      </c>
      <c r="AH75" s="133">
        <f t="shared" si="6"/>
        <v>0</v>
      </c>
      <c r="AI75" s="133">
        <f t="shared" si="6"/>
        <v>0</v>
      </c>
      <c r="AJ75" s="55" t="str">
        <f t="shared" si="7"/>
        <v>UNKNOWN</v>
      </c>
      <c r="AK75" s="68"/>
      <c r="AL75" s="68" t="str">
        <f t="shared" si="10"/>
        <v>04</v>
      </c>
      <c r="AM75" s="68" t="str">
        <f t="shared" si="11"/>
        <v>00</v>
      </c>
      <c r="AN75" s="68" t="str">
        <f t="shared" si="12"/>
        <v>00</v>
      </c>
      <c r="AO75" s="68" t="str">
        <f t="shared" si="13"/>
        <v>00</v>
      </c>
      <c r="AQ75" t="str">
        <f t="shared" si="8"/>
        <v xml:space="preserve">    (U4)0x00000004U,                                                           /* 04 UNKNOWN                                         */</v>
      </c>
    </row>
    <row r="76" spans="1:46">
      <c r="B76" s="139"/>
      <c r="C76" s="55">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1</v>
      </c>
      <c r="AH76" s="133">
        <f t="shared" si="6"/>
        <v>0</v>
      </c>
      <c r="AI76" s="133">
        <f t="shared" si="6"/>
        <v>1</v>
      </c>
      <c r="AJ76" s="55" t="str">
        <f t="shared" si="7"/>
        <v>UNKNOWN</v>
      </c>
      <c r="AK76" s="68"/>
      <c r="AL76" s="68" t="str">
        <f t="shared" si="10"/>
        <v>05</v>
      </c>
      <c r="AM76" s="68" t="str">
        <f t="shared" si="11"/>
        <v>00</v>
      </c>
      <c r="AN76" s="68" t="str">
        <f t="shared" si="12"/>
        <v>00</v>
      </c>
      <c r="AO76" s="68" t="str">
        <f t="shared" si="13"/>
        <v>00</v>
      </c>
      <c r="AQ76" t="str">
        <f t="shared" si="8"/>
        <v xml:space="preserve">    (U4)0x00000005U,                                                           /* 05 UNKNOWN                                         */</v>
      </c>
    </row>
    <row r="77" spans="1:46">
      <c r="B77" s="139"/>
      <c r="C77" s="55">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1</v>
      </c>
      <c r="AH77" s="133">
        <f t="shared" si="6"/>
        <v>1</v>
      </c>
      <c r="AI77" s="133">
        <f t="shared" si="6"/>
        <v>0</v>
      </c>
      <c r="AJ77" s="55" t="str">
        <f t="shared" si="7"/>
        <v>UNKNOWN</v>
      </c>
      <c r="AK77" s="68"/>
      <c r="AL77" s="68" t="str">
        <f t="shared" si="10"/>
        <v>06</v>
      </c>
      <c r="AM77" s="68" t="str">
        <f t="shared" si="11"/>
        <v>00</v>
      </c>
      <c r="AN77" s="68" t="str">
        <f t="shared" si="12"/>
        <v>00</v>
      </c>
      <c r="AO77" s="68" t="str">
        <f t="shared" si="13"/>
        <v>00</v>
      </c>
      <c r="AQ77" t="str">
        <f t="shared" si="8"/>
        <v xml:space="preserve">    (U4)0x00000006U,                                                           /* 06 UNKNOWN                                         */</v>
      </c>
    </row>
    <row r="78" spans="1:46">
      <c r="B78" s="139"/>
      <c r="C78" s="55">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1</v>
      </c>
      <c r="AH78" s="133">
        <f t="shared" si="6"/>
        <v>1</v>
      </c>
      <c r="AI78" s="133">
        <f t="shared" ref="AI78" si="14">IF(AI13=1,1,0)</f>
        <v>1</v>
      </c>
      <c r="AJ78" s="55" t="str">
        <f t="shared" si="7"/>
        <v>UNKNOWN</v>
      </c>
      <c r="AK78" s="68"/>
      <c r="AL78" s="68" t="str">
        <f t="shared" si="10"/>
        <v>07</v>
      </c>
      <c r="AM78" s="68" t="str">
        <f t="shared" si="11"/>
        <v>00</v>
      </c>
      <c r="AN78" s="68" t="str">
        <f t="shared" si="12"/>
        <v>00</v>
      </c>
      <c r="AO78" s="68" t="str">
        <f t="shared" si="13"/>
        <v>00</v>
      </c>
      <c r="AQ78" t="str">
        <f t="shared" si="8"/>
        <v xml:space="preserve">    (U4)0x00000007U                                                            /* 07 UNKNOWN                                         */</v>
      </c>
    </row>
    <row r="79" spans="1:46">
      <c r="B79" s="139"/>
      <c r="C79" s="55">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0</v>
      </c>
      <c r="AG79" s="133">
        <f t="shared" si="15"/>
        <v>0</v>
      </c>
      <c r="AH79" s="133">
        <f t="shared" si="15"/>
        <v>0</v>
      </c>
      <c r="AI79" s="133">
        <f t="shared" si="15"/>
        <v>0</v>
      </c>
      <c r="AJ79" s="55" t="str">
        <f t="shared" si="7"/>
        <v/>
      </c>
      <c r="AK79" s="68"/>
      <c r="AL79" s="68" t="str">
        <f t="shared" si="10"/>
        <v>00</v>
      </c>
      <c r="AM79" s="68" t="str">
        <f t="shared" si="11"/>
        <v>00</v>
      </c>
      <c r="AN79" s="68" t="str">
        <f t="shared" si="12"/>
        <v>00</v>
      </c>
      <c r="AO79" s="68" t="str">
        <f t="shared" si="13"/>
        <v>00</v>
      </c>
      <c r="AQ79" t="str">
        <f t="shared" si="8"/>
        <v/>
      </c>
    </row>
    <row r="80" spans="1:46">
      <c r="B80" s="139"/>
      <c r="C80" s="55">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0</v>
      </c>
      <c r="AG80" s="133">
        <f t="shared" si="15"/>
        <v>0</v>
      </c>
      <c r="AH80" s="133">
        <f t="shared" si="15"/>
        <v>0</v>
      </c>
      <c r="AI80" s="133">
        <f t="shared" si="15"/>
        <v>0</v>
      </c>
      <c r="AJ80" s="55" t="str">
        <f t="shared" si="7"/>
        <v/>
      </c>
      <c r="AK80" s="68"/>
      <c r="AL80" s="68" t="str">
        <f t="shared" si="10"/>
        <v>00</v>
      </c>
      <c r="AM80" s="68" t="str">
        <f t="shared" si="11"/>
        <v>00</v>
      </c>
      <c r="AN80" s="68" t="str">
        <f t="shared" si="12"/>
        <v>00</v>
      </c>
      <c r="AO80" s="68" t="str">
        <f t="shared" si="13"/>
        <v>00</v>
      </c>
      <c r="AQ80" t="str">
        <f t="shared" si="8"/>
        <v/>
      </c>
    </row>
    <row r="81" spans="2:43">
      <c r="B81" s="139"/>
      <c r="C81" s="55">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0</v>
      </c>
      <c r="AG81" s="133">
        <f t="shared" si="15"/>
        <v>0</v>
      </c>
      <c r="AH81" s="133">
        <f t="shared" si="15"/>
        <v>0</v>
      </c>
      <c r="AI81" s="133">
        <f t="shared" si="15"/>
        <v>0</v>
      </c>
      <c r="AJ81" s="55" t="str">
        <f t="shared" si="7"/>
        <v/>
      </c>
      <c r="AK81" s="68"/>
      <c r="AL81" s="68" t="str">
        <f t="shared" si="10"/>
        <v>00</v>
      </c>
      <c r="AM81" s="68" t="str">
        <f t="shared" si="11"/>
        <v>00</v>
      </c>
      <c r="AN81" s="68" t="str">
        <f t="shared" si="12"/>
        <v>00</v>
      </c>
      <c r="AO81" s="68" t="str">
        <f t="shared" si="13"/>
        <v>00</v>
      </c>
      <c r="AQ81" t="str">
        <f t="shared" si="8"/>
        <v/>
      </c>
    </row>
    <row r="82" spans="2:43">
      <c r="B82" s="139"/>
      <c r="C82" s="55">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0</v>
      </c>
      <c r="AG82" s="133">
        <f t="shared" si="15"/>
        <v>0</v>
      </c>
      <c r="AH82" s="133">
        <f t="shared" si="15"/>
        <v>0</v>
      </c>
      <c r="AI82" s="133">
        <f t="shared" si="15"/>
        <v>0</v>
      </c>
      <c r="AJ82" s="55" t="str">
        <f t="shared" si="7"/>
        <v/>
      </c>
      <c r="AK82" s="68"/>
      <c r="AL82" s="68" t="str">
        <f t="shared" si="10"/>
        <v>00</v>
      </c>
      <c r="AM82" s="68" t="str">
        <f t="shared" si="11"/>
        <v>00</v>
      </c>
      <c r="AN82" s="68" t="str">
        <f t="shared" si="12"/>
        <v>00</v>
      </c>
      <c r="AO82" s="68" t="str">
        <f t="shared" si="13"/>
        <v>00</v>
      </c>
      <c r="AQ82" t="str">
        <f t="shared" si="8"/>
        <v/>
      </c>
    </row>
    <row r="83" spans="2:43">
      <c r="B83" s="139"/>
      <c r="C83" s="55">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0</v>
      </c>
      <c r="AG83" s="133">
        <f t="shared" si="15"/>
        <v>0</v>
      </c>
      <c r="AH83" s="133">
        <f t="shared" si="15"/>
        <v>0</v>
      </c>
      <c r="AI83" s="133">
        <f t="shared" si="15"/>
        <v>0</v>
      </c>
      <c r="AJ83" s="55" t="str">
        <f t="shared" si="7"/>
        <v/>
      </c>
      <c r="AK83" s="68"/>
      <c r="AL83" s="68" t="str">
        <f t="shared" si="10"/>
        <v>00</v>
      </c>
      <c r="AM83" s="68" t="str">
        <f t="shared" si="11"/>
        <v>00</v>
      </c>
      <c r="AN83" s="68" t="str">
        <f t="shared" si="12"/>
        <v>00</v>
      </c>
      <c r="AO83" s="68" t="str">
        <f t="shared" si="13"/>
        <v>00</v>
      </c>
      <c r="AQ83" t="str">
        <f t="shared" si="8"/>
        <v/>
      </c>
    </row>
    <row r="84" spans="2:43">
      <c r="B84" s="139"/>
      <c r="C84" s="55">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0</v>
      </c>
      <c r="AG84" s="133">
        <f t="shared" si="15"/>
        <v>0</v>
      </c>
      <c r="AH84" s="133">
        <f t="shared" si="15"/>
        <v>0</v>
      </c>
      <c r="AI84" s="133">
        <f t="shared" si="15"/>
        <v>0</v>
      </c>
      <c r="AJ84" s="55" t="str">
        <f t="shared" si="7"/>
        <v/>
      </c>
      <c r="AK84" s="68"/>
      <c r="AL84" s="68" t="str">
        <f t="shared" si="10"/>
        <v>00</v>
      </c>
      <c r="AM84" s="68" t="str">
        <f t="shared" si="11"/>
        <v>00</v>
      </c>
      <c r="AN84" s="68" t="str">
        <f t="shared" si="12"/>
        <v>00</v>
      </c>
      <c r="AO84" s="68" t="str">
        <f t="shared" si="13"/>
        <v>00</v>
      </c>
      <c r="AQ84" t="str">
        <f t="shared" si="8"/>
        <v/>
      </c>
    </row>
    <row r="85" spans="2:43">
      <c r="B85" s="139"/>
      <c r="C85" s="55">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0</v>
      </c>
      <c r="AG85" s="133">
        <f t="shared" si="15"/>
        <v>0</v>
      </c>
      <c r="AH85" s="133">
        <f t="shared" si="15"/>
        <v>0</v>
      </c>
      <c r="AI85" s="133">
        <f t="shared" si="15"/>
        <v>0</v>
      </c>
      <c r="AJ85" s="55" t="str">
        <f t="shared" si="7"/>
        <v/>
      </c>
      <c r="AK85" s="68"/>
      <c r="AL85" s="68" t="str">
        <f t="shared" si="10"/>
        <v>00</v>
      </c>
      <c r="AM85" s="68" t="str">
        <f t="shared" si="11"/>
        <v>00</v>
      </c>
      <c r="AN85" s="68" t="str">
        <f t="shared" si="12"/>
        <v>00</v>
      </c>
      <c r="AO85" s="68" t="str">
        <f t="shared" si="13"/>
        <v>00</v>
      </c>
      <c r="AQ85" t="str">
        <f t="shared" si="8"/>
        <v/>
      </c>
    </row>
    <row r="86" spans="2:43">
      <c r="B86" s="139"/>
      <c r="C86" s="55">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0</v>
      </c>
      <c r="AG86" s="133">
        <f t="shared" si="15"/>
        <v>0</v>
      </c>
      <c r="AH86" s="133">
        <f t="shared" si="15"/>
        <v>0</v>
      </c>
      <c r="AI86" s="133">
        <f t="shared" ref="AI86" si="16">IF(AI21=1,1,0)</f>
        <v>0</v>
      </c>
      <c r="AJ86" s="55" t="str">
        <f t="shared" si="7"/>
        <v/>
      </c>
      <c r="AK86" s="68"/>
      <c r="AL86" s="68" t="str">
        <f t="shared" si="10"/>
        <v>00</v>
      </c>
      <c r="AM86" s="68" t="str">
        <f t="shared" si="11"/>
        <v>00</v>
      </c>
      <c r="AN86" s="68" t="str">
        <f t="shared" si="12"/>
        <v>00</v>
      </c>
      <c r="AO86" s="68" t="str">
        <f t="shared" si="13"/>
        <v>00</v>
      </c>
      <c r="AQ86" t="str">
        <f t="shared" si="8"/>
        <v/>
      </c>
    </row>
    <row r="87" spans="2:43">
      <c r="B87" s="139"/>
      <c r="C87" s="55">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0</v>
      </c>
      <c r="AF87" s="133">
        <f t="shared" si="17"/>
        <v>0</v>
      </c>
      <c r="AG87" s="133">
        <f t="shared" si="17"/>
        <v>0</v>
      </c>
      <c r="AH87" s="133">
        <f t="shared" si="17"/>
        <v>0</v>
      </c>
      <c r="AI87" s="133">
        <f t="shared" si="17"/>
        <v>0</v>
      </c>
      <c r="AJ87" s="55" t="str">
        <f t="shared" si="7"/>
        <v/>
      </c>
      <c r="AK87" s="68"/>
      <c r="AL87" s="68" t="str">
        <f t="shared" si="10"/>
        <v>00</v>
      </c>
      <c r="AM87" s="68" t="str">
        <f t="shared" si="11"/>
        <v>00</v>
      </c>
      <c r="AN87" s="68" t="str">
        <f t="shared" si="12"/>
        <v>00</v>
      </c>
      <c r="AO87" s="68" t="str">
        <f t="shared" si="13"/>
        <v>00</v>
      </c>
      <c r="AQ87" t="str">
        <f t="shared" si="8"/>
        <v/>
      </c>
    </row>
    <row r="88" spans="2:43">
      <c r="B88" s="139"/>
      <c r="C88" s="55">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0</v>
      </c>
      <c r="AF88" s="133">
        <f t="shared" si="17"/>
        <v>0</v>
      </c>
      <c r="AG88" s="133">
        <f t="shared" si="17"/>
        <v>0</v>
      </c>
      <c r="AH88" s="133">
        <f t="shared" si="17"/>
        <v>0</v>
      </c>
      <c r="AI88" s="133">
        <f t="shared" si="17"/>
        <v>0</v>
      </c>
      <c r="AJ88" s="55" t="str">
        <f t="shared" si="7"/>
        <v/>
      </c>
      <c r="AK88" s="68"/>
      <c r="AL88" s="68" t="str">
        <f t="shared" si="10"/>
        <v>00</v>
      </c>
      <c r="AM88" s="68" t="str">
        <f t="shared" si="11"/>
        <v>00</v>
      </c>
      <c r="AN88" s="68" t="str">
        <f t="shared" si="12"/>
        <v>00</v>
      </c>
      <c r="AO88" s="68" t="str">
        <f t="shared" si="13"/>
        <v>00</v>
      </c>
      <c r="AQ88" t="str">
        <f t="shared" si="8"/>
        <v/>
      </c>
    </row>
    <row r="89" spans="2:43">
      <c r="B89" s="139"/>
      <c r="C89" s="55">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0</v>
      </c>
      <c r="AF89" s="133">
        <f t="shared" si="17"/>
        <v>0</v>
      </c>
      <c r="AG89" s="133">
        <f t="shared" si="17"/>
        <v>0</v>
      </c>
      <c r="AH89" s="133">
        <f t="shared" si="17"/>
        <v>0</v>
      </c>
      <c r="AI89" s="133">
        <f t="shared" si="17"/>
        <v>0</v>
      </c>
      <c r="AJ89" s="55" t="str">
        <f t="shared" si="7"/>
        <v/>
      </c>
      <c r="AK89" s="68"/>
      <c r="AL89" s="68" t="str">
        <f t="shared" si="10"/>
        <v>00</v>
      </c>
      <c r="AM89" s="68" t="str">
        <f t="shared" si="11"/>
        <v>00</v>
      </c>
      <c r="AN89" s="68" t="str">
        <f t="shared" si="12"/>
        <v>00</v>
      </c>
      <c r="AO89" s="68" t="str">
        <f t="shared" si="13"/>
        <v>00</v>
      </c>
      <c r="AQ89" t="str">
        <f t="shared" si="8"/>
        <v/>
      </c>
    </row>
    <row r="90" spans="2:43">
      <c r="B90" s="139"/>
      <c r="C90" s="55">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0</v>
      </c>
      <c r="AF90" s="133">
        <f t="shared" si="17"/>
        <v>0</v>
      </c>
      <c r="AG90" s="133">
        <f t="shared" si="17"/>
        <v>0</v>
      </c>
      <c r="AH90" s="133">
        <f t="shared" si="17"/>
        <v>0</v>
      </c>
      <c r="AI90" s="133">
        <f t="shared" si="17"/>
        <v>0</v>
      </c>
      <c r="AJ90" s="55" t="str">
        <f t="shared" si="7"/>
        <v/>
      </c>
      <c r="AK90" s="68"/>
      <c r="AL90" s="68" t="str">
        <f t="shared" si="10"/>
        <v>00</v>
      </c>
      <c r="AM90" s="68" t="str">
        <f t="shared" si="11"/>
        <v>00</v>
      </c>
      <c r="AN90" s="68" t="str">
        <f t="shared" si="12"/>
        <v>00</v>
      </c>
      <c r="AO90" s="68" t="str">
        <f t="shared" si="13"/>
        <v>00</v>
      </c>
      <c r="AQ90" t="str">
        <f t="shared" si="8"/>
        <v/>
      </c>
    </row>
    <row r="91" spans="2:43">
      <c r="B91" s="139"/>
      <c r="C91" s="55">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0</v>
      </c>
      <c r="AF91" s="133">
        <f t="shared" si="17"/>
        <v>0</v>
      </c>
      <c r="AG91" s="133">
        <f t="shared" si="17"/>
        <v>0</v>
      </c>
      <c r="AH91" s="133">
        <f t="shared" si="17"/>
        <v>0</v>
      </c>
      <c r="AI91" s="133">
        <f t="shared" si="17"/>
        <v>0</v>
      </c>
      <c r="AJ91" s="55" t="str">
        <f t="shared" si="7"/>
        <v/>
      </c>
      <c r="AK91" s="68"/>
      <c r="AL91" s="68" t="str">
        <f t="shared" si="10"/>
        <v>00</v>
      </c>
      <c r="AM91" s="68" t="str">
        <f t="shared" si="11"/>
        <v>00</v>
      </c>
      <c r="AN91" s="68" t="str">
        <f t="shared" si="12"/>
        <v>00</v>
      </c>
      <c r="AO91" s="68" t="str">
        <f t="shared" si="13"/>
        <v>00</v>
      </c>
      <c r="AQ91" t="str">
        <f t="shared" si="8"/>
        <v/>
      </c>
    </row>
    <row r="92" spans="2:43">
      <c r="B92" s="139"/>
      <c r="C92" s="55">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0</v>
      </c>
      <c r="AF92" s="133">
        <f t="shared" si="17"/>
        <v>0</v>
      </c>
      <c r="AG92" s="133">
        <f t="shared" si="17"/>
        <v>0</v>
      </c>
      <c r="AH92" s="133">
        <f t="shared" si="17"/>
        <v>0</v>
      </c>
      <c r="AI92" s="133">
        <f t="shared" si="17"/>
        <v>0</v>
      </c>
      <c r="AJ92" s="55" t="str">
        <f t="shared" si="7"/>
        <v/>
      </c>
      <c r="AK92" s="68"/>
      <c r="AL92" s="68" t="str">
        <f t="shared" si="10"/>
        <v>00</v>
      </c>
      <c r="AM92" s="68" t="str">
        <f t="shared" si="11"/>
        <v>00</v>
      </c>
      <c r="AN92" s="68" t="str">
        <f t="shared" si="12"/>
        <v>00</v>
      </c>
      <c r="AO92" s="68" t="str">
        <f t="shared" si="13"/>
        <v>00</v>
      </c>
      <c r="AQ92" t="str">
        <f t="shared" si="8"/>
        <v/>
      </c>
    </row>
    <row r="93" spans="2:43">
      <c r="B93" s="139"/>
      <c r="C93" s="55">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0</v>
      </c>
      <c r="AF93" s="133">
        <f t="shared" si="17"/>
        <v>0</v>
      </c>
      <c r="AG93" s="133">
        <f t="shared" si="17"/>
        <v>0</v>
      </c>
      <c r="AH93" s="133">
        <f t="shared" si="17"/>
        <v>0</v>
      </c>
      <c r="AI93" s="133">
        <f t="shared" si="17"/>
        <v>0</v>
      </c>
      <c r="AJ93" s="55" t="str">
        <f t="shared" si="7"/>
        <v/>
      </c>
      <c r="AK93" s="68"/>
      <c r="AL93" s="68" t="str">
        <f t="shared" si="10"/>
        <v>00</v>
      </c>
      <c r="AM93" s="68" t="str">
        <f t="shared" si="11"/>
        <v>00</v>
      </c>
      <c r="AN93" s="68" t="str">
        <f t="shared" si="12"/>
        <v>00</v>
      </c>
      <c r="AO93" s="68" t="str">
        <f t="shared" si="13"/>
        <v>00</v>
      </c>
      <c r="AQ93" t="str">
        <f t="shared" si="8"/>
        <v/>
      </c>
    </row>
    <row r="94" spans="2:43">
      <c r="B94" s="139"/>
      <c r="C94" s="55">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0</v>
      </c>
      <c r="AF94" s="133">
        <f t="shared" si="17"/>
        <v>0</v>
      </c>
      <c r="AG94" s="133">
        <f t="shared" si="17"/>
        <v>0</v>
      </c>
      <c r="AH94" s="133">
        <f t="shared" si="17"/>
        <v>0</v>
      </c>
      <c r="AI94" s="133">
        <f t="shared" ref="AI94" si="18">IF(AI29=1,1,0)</f>
        <v>0</v>
      </c>
      <c r="AJ94" s="55" t="str">
        <f t="shared" si="7"/>
        <v/>
      </c>
      <c r="AK94" s="68"/>
      <c r="AL94" s="68" t="str">
        <f t="shared" si="10"/>
        <v>00</v>
      </c>
      <c r="AM94" s="68" t="str">
        <f t="shared" si="11"/>
        <v>00</v>
      </c>
      <c r="AN94" s="68" t="str">
        <f t="shared" si="12"/>
        <v>00</v>
      </c>
      <c r="AO94" s="68" t="str">
        <f t="shared" si="13"/>
        <v>00</v>
      </c>
      <c r="AQ94" t="str">
        <f t="shared" si="8"/>
        <v/>
      </c>
    </row>
    <row r="95" spans="2:43">
      <c r="B95" s="139"/>
      <c r="C95" s="55">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0</v>
      </c>
      <c r="AF95" s="133">
        <f t="shared" si="19"/>
        <v>0</v>
      </c>
      <c r="AG95" s="133">
        <f t="shared" si="19"/>
        <v>0</v>
      </c>
      <c r="AH95" s="133">
        <f t="shared" si="19"/>
        <v>0</v>
      </c>
      <c r="AI95" s="133">
        <f t="shared" si="19"/>
        <v>0</v>
      </c>
      <c r="AJ95" s="55" t="str">
        <f t="shared" si="7"/>
        <v/>
      </c>
      <c r="AK95" s="68"/>
      <c r="AL95" s="68" t="str">
        <f t="shared" si="10"/>
        <v>00</v>
      </c>
      <c r="AM95" s="68" t="str">
        <f t="shared" si="11"/>
        <v>00</v>
      </c>
      <c r="AN95" s="68" t="str">
        <f t="shared" si="12"/>
        <v>00</v>
      </c>
      <c r="AO95" s="68" t="str">
        <f t="shared" si="13"/>
        <v>00</v>
      </c>
      <c r="AQ95" t="str">
        <f t="shared" si="8"/>
        <v/>
      </c>
    </row>
    <row r="96" spans="2:43">
      <c r="B96" s="139"/>
      <c r="C96" s="55">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0</v>
      </c>
      <c r="AF96" s="133">
        <f t="shared" si="19"/>
        <v>0</v>
      </c>
      <c r="AG96" s="133">
        <f t="shared" si="19"/>
        <v>0</v>
      </c>
      <c r="AH96" s="133">
        <f t="shared" si="19"/>
        <v>0</v>
      </c>
      <c r="AI96" s="133">
        <f t="shared" si="19"/>
        <v>0</v>
      </c>
      <c r="AJ96" s="55" t="str">
        <f t="shared" si="7"/>
        <v/>
      </c>
      <c r="AK96" s="68"/>
      <c r="AL96" s="68" t="str">
        <f t="shared" si="10"/>
        <v>00</v>
      </c>
      <c r="AM96" s="68" t="str">
        <f t="shared" si="11"/>
        <v>00</v>
      </c>
      <c r="AN96" s="68" t="str">
        <f t="shared" si="12"/>
        <v>00</v>
      </c>
      <c r="AO96" s="68" t="str">
        <f t="shared" si="13"/>
        <v>00</v>
      </c>
      <c r="AQ96" t="str">
        <f t="shared" si="8"/>
        <v/>
      </c>
    </row>
    <row r="97" spans="2:43">
      <c r="B97" s="139"/>
      <c r="C97" s="55">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0</v>
      </c>
      <c r="AF97" s="133">
        <f t="shared" si="19"/>
        <v>0</v>
      </c>
      <c r="AG97" s="133">
        <f t="shared" si="19"/>
        <v>0</v>
      </c>
      <c r="AH97" s="133">
        <f t="shared" si="19"/>
        <v>0</v>
      </c>
      <c r="AI97" s="133">
        <f t="shared" si="19"/>
        <v>0</v>
      </c>
      <c r="AJ97" s="55" t="str">
        <f t="shared" si="7"/>
        <v/>
      </c>
      <c r="AK97" s="68"/>
      <c r="AL97" s="68" t="str">
        <f t="shared" si="10"/>
        <v>00</v>
      </c>
      <c r="AM97" s="68" t="str">
        <f t="shared" si="11"/>
        <v>00</v>
      </c>
      <c r="AN97" s="68" t="str">
        <f t="shared" si="12"/>
        <v>00</v>
      </c>
      <c r="AO97" s="68" t="str">
        <f t="shared" si="13"/>
        <v>00</v>
      </c>
      <c r="AQ97" t="str">
        <f t="shared" si="8"/>
        <v/>
      </c>
    </row>
    <row r="98" spans="2:43">
      <c r="B98" s="139"/>
      <c r="C98" s="55">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0</v>
      </c>
      <c r="AF98" s="133">
        <f t="shared" si="19"/>
        <v>0</v>
      </c>
      <c r="AG98" s="133">
        <f t="shared" si="19"/>
        <v>0</v>
      </c>
      <c r="AH98" s="133">
        <f t="shared" si="19"/>
        <v>0</v>
      </c>
      <c r="AI98" s="133">
        <f t="shared" si="19"/>
        <v>0</v>
      </c>
      <c r="AJ98" s="55" t="str">
        <f t="shared" si="7"/>
        <v/>
      </c>
      <c r="AK98" s="68"/>
      <c r="AL98" s="68" t="str">
        <f t="shared" si="10"/>
        <v>00</v>
      </c>
      <c r="AM98" s="68" t="str">
        <f t="shared" si="11"/>
        <v>00</v>
      </c>
      <c r="AN98" s="68" t="str">
        <f t="shared" si="12"/>
        <v>00</v>
      </c>
      <c r="AO98" s="68" t="str">
        <f t="shared" si="13"/>
        <v>00</v>
      </c>
      <c r="AQ98" t="str">
        <f t="shared" si="8"/>
        <v/>
      </c>
    </row>
    <row r="99" spans="2:43">
      <c r="B99" s="139"/>
      <c r="C99" s="55">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0</v>
      </c>
      <c r="AF99" s="133">
        <f t="shared" si="19"/>
        <v>0</v>
      </c>
      <c r="AG99" s="133">
        <f t="shared" si="19"/>
        <v>0</v>
      </c>
      <c r="AH99" s="133">
        <f t="shared" si="19"/>
        <v>0</v>
      </c>
      <c r="AI99" s="133">
        <f t="shared" si="19"/>
        <v>0</v>
      </c>
      <c r="AJ99" s="55" t="str">
        <f t="shared" si="7"/>
        <v/>
      </c>
      <c r="AK99" s="68"/>
      <c r="AL99" s="68" t="str">
        <f t="shared" si="10"/>
        <v>00</v>
      </c>
      <c r="AM99" s="68" t="str">
        <f t="shared" si="11"/>
        <v>00</v>
      </c>
      <c r="AN99" s="68" t="str">
        <f t="shared" si="12"/>
        <v>00</v>
      </c>
      <c r="AO99" s="68" t="str">
        <f t="shared" si="13"/>
        <v>00</v>
      </c>
      <c r="AQ99" t="str">
        <f t="shared" si="8"/>
        <v/>
      </c>
    </row>
    <row r="100" spans="2:43">
      <c r="B100" s="139"/>
      <c r="C100" s="55">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0</v>
      </c>
      <c r="AF100" s="133">
        <f t="shared" si="19"/>
        <v>0</v>
      </c>
      <c r="AG100" s="133">
        <f t="shared" si="19"/>
        <v>0</v>
      </c>
      <c r="AH100" s="133">
        <f t="shared" si="19"/>
        <v>0</v>
      </c>
      <c r="AI100" s="133">
        <f t="shared" si="19"/>
        <v>0</v>
      </c>
      <c r="AJ100" s="55" t="str">
        <f t="shared" si="7"/>
        <v/>
      </c>
      <c r="AK100" s="68"/>
      <c r="AL100" s="68" t="str">
        <f t="shared" si="10"/>
        <v>00</v>
      </c>
      <c r="AM100" s="68" t="str">
        <f t="shared" si="11"/>
        <v>00</v>
      </c>
      <c r="AN100" s="68" t="str">
        <f t="shared" si="12"/>
        <v>00</v>
      </c>
      <c r="AO100" s="68" t="str">
        <f t="shared" si="13"/>
        <v>00</v>
      </c>
      <c r="AQ100" t="str">
        <f t="shared" si="8"/>
        <v/>
      </c>
    </row>
    <row r="101" spans="2:43">
      <c r="B101" s="139"/>
      <c r="C101" s="55">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0</v>
      </c>
      <c r="AF101" s="133">
        <f t="shared" si="19"/>
        <v>0</v>
      </c>
      <c r="AG101" s="133">
        <f t="shared" si="19"/>
        <v>0</v>
      </c>
      <c r="AH101" s="133">
        <f t="shared" si="19"/>
        <v>0</v>
      </c>
      <c r="AI101" s="133">
        <f t="shared" si="19"/>
        <v>0</v>
      </c>
      <c r="AJ101" s="55" t="str">
        <f t="shared" si="7"/>
        <v/>
      </c>
      <c r="AK101" s="68"/>
      <c r="AL101" s="68" t="str">
        <f t="shared" si="10"/>
        <v>00</v>
      </c>
      <c r="AM101" s="68" t="str">
        <f t="shared" si="11"/>
        <v>00</v>
      </c>
      <c r="AN101" s="68" t="str">
        <f t="shared" si="12"/>
        <v>00</v>
      </c>
      <c r="AO101" s="68" t="str">
        <f t="shared" si="13"/>
        <v>00</v>
      </c>
      <c r="AQ101" t="str">
        <f t="shared" si="8"/>
        <v/>
      </c>
    </row>
    <row r="102" spans="2:43">
      <c r="B102" s="139"/>
      <c r="C102" s="55">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0</v>
      </c>
      <c r="AF102" s="133">
        <f t="shared" si="19"/>
        <v>0</v>
      </c>
      <c r="AG102" s="133">
        <f t="shared" si="19"/>
        <v>0</v>
      </c>
      <c r="AH102" s="133">
        <f t="shared" si="19"/>
        <v>0</v>
      </c>
      <c r="AI102" s="133">
        <f t="shared" ref="AI102" si="20">IF(AI37=1,1,0)</f>
        <v>0</v>
      </c>
      <c r="AJ102" s="55" t="str">
        <f t="shared" si="7"/>
        <v/>
      </c>
      <c r="AK102" s="68"/>
      <c r="AL102" s="68" t="str">
        <f t="shared" si="10"/>
        <v>00</v>
      </c>
      <c r="AM102" s="68" t="str">
        <f t="shared" si="11"/>
        <v>00</v>
      </c>
      <c r="AN102" s="68" t="str">
        <f t="shared" si="12"/>
        <v>00</v>
      </c>
      <c r="AO102" s="68" t="str">
        <f t="shared" si="13"/>
        <v>00</v>
      </c>
      <c r="AQ102" t="str">
        <f t="shared" si="8"/>
        <v/>
      </c>
    </row>
    <row r="103" spans="2:43">
      <c r="B103" s="139"/>
      <c r="C103" s="55">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0</v>
      </c>
      <c r="AE103" s="133">
        <f t="shared" si="21"/>
        <v>0</v>
      </c>
      <c r="AF103" s="133">
        <f t="shared" si="21"/>
        <v>0</v>
      </c>
      <c r="AG103" s="133">
        <f t="shared" si="21"/>
        <v>0</v>
      </c>
      <c r="AH103" s="133">
        <f t="shared" si="21"/>
        <v>0</v>
      </c>
      <c r="AI103" s="133">
        <f t="shared" si="21"/>
        <v>0</v>
      </c>
      <c r="AJ103" s="55" t="str">
        <f t="shared" si="7"/>
        <v/>
      </c>
      <c r="AK103" s="68"/>
      <c r="AL103" s="68" t="str">
        <f t="shared" si="10"/>
        <v>00</v>
      </c>
      <c r="AM103" s="68" t="str">
        <f t="shared" si="11"/>
        <v>00</v>
      </c>
      <c r="AN103" s="68" t="str">
        <f t="shared" si="12"/>
        <v>00</v>
      </c>
      <c r="AO103" s="68" t="str">
        <f t="shared" si="13"/>
        <v>00</v>
      </c>
      <c r="AQ103" t="str">
        <f t="shared" si="8"/>
        <v/>
      </c>
    </row>
    <row r="104" spans="2:43">
      <c r="B104" s="139"/>
      <c r="C104" s="55">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0</v>
      </c>
      <c r="AE104" s="133">
        <f t="shared" si="21"/>
        <v>0</v>
      </c>
      <c r="AF104" s="133">
        <f t="shared" si="21"/>
        <v>0</v>
      </c>
      <c r="AG104" s="133">
        <f t="shared" si="21"/>
        <v>0</v>
      </c>
      <c r="AH104" s="133">
        <f t="shared" si="21"/>
        <v>0</v>
      </c>
      <c r="AI104" s="133">
        <f t="shared" si="21"/>
        <v>0</v>
      </c>
      <c r="AJ104" s="55" t="str">
        <f t="shared" si="7"/>
        <v/>
      </c>
      <c r="AK104" s="68"/>
      <c r="AL104" s="68" t="str">
        <f t="shared" si="10"/>
        <v>00</v>
      </c>
      <c r="AM104" s="68" t="str">
        <f t="shared" si="11"/>
        <v>00</v>
      </c>
      <c r="AN104" s="68" t="str">
        <f t="shared" si="12"/>
        <v>00</v>
      </c>
      <c r="AO104" s="68" t="str">
        <f t="shared" si="13"/>
        <v>00</v>
      </c>
      <c r="AQ104" t="str">
        <f t="shared" si="8"/>
        <v/>
      </c>
    </row>
    <row r="105" spans="2:43">
      <c r="B105" s="139"/>
      <c r="C105" s="55">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0</v>
      </c>
      <c r="AE105" s="133">
        <f t="shared" si="21"/>
        <v>0</v>
      </c>
      <c r="AF105" s="133">
        <f t="shared" si="21"/>
        <v>0</v>
      </c>
      <c r="AG105" s="133">
        <f t="shared" si="21"/>
        <v>0</v>
      </c>
      <c r="AH105" s="133">
        <f t="shared" si="21"/>
        <v>0</v>
      </c>
      <c r="AI105" s="133">
        <f t="shared" si="21"/>
        <v>0</v>
      </c>
      <c r="AJ105" s="55" t="str">
        <f t="shared" si="7"/>
        <v/>
      </c>
      <c r="AK105" s="68"/>
      <c r="AL105" s="68" t="str">
        <f t="shared" si="10"/>
        <v>00</v>
      </c>
      <c r="AM105" s="68" t="str">
        <f t="shared" si="11"/>
        <v>00</v>
      </c>
      <c r="AN105" s="68" t="str">
        <f t="shared" si="12"/>
        <v>00</v>
      </c>
      <c r="AO105" s="68" t="str">
        <f t="shared" si="13"/>
        <v>00</v>
      </c>
      <c r="AQ105" t="str">
        <f t="shared" si="8"/>
        <v/>
      </c>
    </row>
    <row r="106" spans="2:43">
      <c r="B106" s="139"/>
      <c r="C106" s="55">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0</v>
      </c>
      <c r="AE106" s="133">
        <f t="shared" si="21"/>
        <v>0</v>
      </c>
      <c r="AF106" s="133">
        <f t="shared" si="21"/>
        <v>0</v>
      </c>
      <c r="AG106" s="133">
        <f t="shared" si="21"/>
        <v>0</v>
      </c>
      <c r="AH106" s="133">
        <f t="shared" si="21"/>
        <v>0</v>
      </c>
      <c r="AI106" s="133">
        <f t="shared" si="21"/>
        <v>0</v>
      </c>
      <c r="AJ106" s="55" t="str">
        <f t="shared" si="7"/>
        <v/>
      </c>
      <c r="AK106" s="68"/>
      <c r="AL106" s="68" t="str">
        <f t="shared" si="10"/>
        <v>00</v>
      </c>
      <c r="AM106" s="68" t="str">
        <f t="shared" si="11"/>
        <v>00</v>
      </c>
      <c r="AN106" s="68" t="str">
        <f t="shared" si="12"/>
        <v>00</v>
      </c>
      <c r="AO106" s="68" t="str">
        <f t="shared" si="13"/>
        <v>00</v>
      </c>
      <c r="AQ106" t="str">
        <f t="shared" si="8"/>
        <v/>
      </c>
    </row>
    <row r="107" spans="2:43">
      <c r="B107" s="139"/>
      <c r="C107" s="55">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0</v>
      </c>
      <c r="AE107" s="133">
        <f t="shared" si="21"/>
        <v>0</v>
      </c>
      <c r="AF107" s="133">
        <f t="shared" si="21"/>
        <v>0</v>
      </c>
      <c r="AG107" s="133">
        <f t="shared" si="21"/>
        <v>0</v>
      </c>
      <c r="AH107" s="133">
        <f t="shared" si="21"/>
        <v>0</v>
      </c>
      <c r="AI107" s="133">
        <f t="shared" si="21"/>
        <v>0</v>
      </c>
      <c r="AJ107" s="55" t="str">
        <f t="shared" si="7"/>
        <v/>
      </c>
      <c r="AK107" s="68"/>
      <c r="AL107" s="68" t="str">
        <f t="shared" si="10"/>
        <v>00</v>
      </c>
      <c r="AM107" s="68" t="str">
        <f t="shared" si="11"/>
        <v>00</v>
      </c>
      <c r="AN107" s="68" t="str">
        <f t="shared" si="12"/>
        <v>00</v>
      </c>
      <c r="AO107" s="68" t="str">
        <f t="shared" si="13"/>
        <v>00</v>
      </c>
      <c r="AQ107" t="str">
        <f t="shared" si="8"/>
        <v/>
      </c>
    </row>
    <row r="108" spans="2:43">
      <c r="B108" s="139"/>
      <c r="C108" s="55">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0</v>
      </c>
      <c r="AE108" s="133">
        <f t="shared" si="21"/>
        <v>0</v>
      </c>
      <c r="AF108" s="133">
        <f t="shared" si="21"/>
        <v>0</v>
      </c>
      <c r="AG108" s="133">
        <f t="shared" si="21"/>
        <v>0</v>
      </c>
      <c r="AH108" s="133">
        <f t="shared" si="21"/>
        <v>0</v>
      </c>
      <c r="AI108" s="133">
        <f t="shared" si="21"/>
        <v>0</v>
      </c>
      <c r="AJ108" s="55" t="str">
        <f t="shared" si="7"/>
        <v/>
      </c>
      <c r="AK108" s="68"/>
      <c r="AL108" s="68" t="str">
        <f t="shared" si="10"/>
        <v>00</v>
      </c>
      <c r="AM108" s="68" t="str">
        <f t="shared" si="11"/>
        <v>00</v>
      </c>
      <c r="AN108" s="68" t="str">
        <f t="shared" si="12"/>
        <v>00</v>
      </c>
      <c r="AO108" s="68" t="str">
        <f t="shared" si="13"/>
        <v>00</v>
      </c>
      <c r="AQ108" t="str">
        <f t="shared" si="8"/>
        <v/>
      </c>
    </row>
    <row r="109" spans="2:43">
      <c r="B109" s="139"/>
      <c r="C109" s="55">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0</v>
      </c>
      <c r="AE109" s="133">
        <f t="shared" si="21"/>
        <v>0</v>
      </c>
      <c r="AF109" s="133">
        <f t="shared" si="21"/>
        <v>0</v>
      </c>
      <c r="AG109" s="133">
        <f t="shared" si="21"/>
        <v>0</v>
      </c>
      <c r="AH109" s="133">
        <f t="shared" si="21"/>
        <v>0</v>
      </c>
      <c r="AI109" s="133">
        <f t="shared" si="21"/>
        <v>0</v>
      </c>
      <c r="AJ109" s="55" t="str">
        <f t="shared" si="7"/>
        <v/>
      </c>
      <c r="AK109" s="68"/>
      <c r="AL109" s="68" t="str">
        <f t="shared" si="10"/>
        <v>00</v>
      </c>
      <c r="AM109" s="68" t="str">
        <f t="shared" si="11"/>
        <v>00</v>
      </c>
      <c r="AN109" s="68" t="str">
        <f t="shared" si="12"/>
        <v>00</v>
      </c>
      <c r="AO109" s="68" t="str">
        <f t="shared" si="13"/>
        <v>00</v>
      </c>
      <c r="AQ109" t="str">
        <f t="shared" si="8"/>
        <v/>
      </c>
    </row>
    <row r="110" spans="2:43">
      <c r="B110" s="139"/>
      <c r="C110" s="55">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0</v>
      </c>
      <c r="AE110" s="133">
        <f t="shared" si="21"/>
        <v>0</v>
      </c>
      <c r="AF110" s="133">
        <f t="shared" si="21"/>
        <v>0</v>
      </c>
      <c r="AG110" s="133">
        <f t="shared" si="21"/>
        <v>0</v>
      </c>
      <c r="AH110" s="133">
        <f t="shared" si="21"/>
        <v>0</v>
      </c>
      <c r="AI110" s="133">
        <f t="shared" ref="AI110" si="22">IF(AI45=1,1,0)</f>
        <v>0</v>
      </c>
      <c r="AJ110" s="55" t="str">
        <f t="shared" si="7"/>
        <v/>
      </c>
      <c r="AK110" s="68"/>
      <c r="AL110" s="68" t="str">
        <f t="shared" si="10"/>
        <v>00</v>
      </c>
      <c r="AM110" s="68" t="str">
        <f t="shared" si="11"/>
        <v>00</v>
      </c>
      <c r="AN110" s="68" t="str">
        <f t="shared" si="12"/>
        <v>00</v>
      </c>
      <c r="AO110" s="68" t="str">
        <f t="shared" si="13"/>
        <v>00</v>
      </c>
      <c r="AQ110" t="str">
        <f t="shared" si="8"/>
        <v/>
      </c>
    </row>
    <row r="111" spans="2:43">
      <c r="B111" s="139"/>
      <c r="C111" s="55">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0</v>
      </c>
      <c r="AE111" s="133">
        <f t="shared" si="23"/>
        <v>0</v>
      </c>
      <c r="AF111" s="133">
        <f t="shared" si="23"/>
        <v>0</v>
      </c>
      <c r="AG111" s="133">
        <f t="shared" si="23"/>
        <v>0</v>
      </c>
      <c r="AH111" s="133">
        <f t="shared" si="23"/>
        <v>0</v>
      </c>
      <c r="AI111" s="133">
        <f t="shared" si="23"/>
        <v>0</v>
      </c>
      <c r="AJ111" s="55" t="str">
        <f t="shared" si="7"/>
        <v/>
      </c>
      <c r="AK111" s="68"/>
      <c r="AL111" s="68" t="str">
        <f t="shared" si="10"/>
        <v>00</v>
      </c>
      <c r="AM111" s="68" t="str">
        <f t="shared" si="11"/>
        <v>00</v>
      </c>
      <c r="AN111" s="68" t="str">
        <f t="shared" si="12"/>
        <v>00</v>
      </c>
      <c r="AO111" s="68" t="str">
        <f t="shared" si="13"/>
        <v>00</v>
      </c>
      <c r="AQ111" t="str">
        <f t="shared" si="8"/>
        <v/>
      </c>
    </row>
    <row r="112" spans="2:43">
      <c r="B112" s="139"/>
      <c r="C112" s="55">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0</v>
      </c>
      <c r="AE112" s="133">
        <f t="shared" si="23"/>
        <v>0</v>
      </c>
      <c r="AF112" s="133">
        <f t="shared" si="23"/>
        <v>0</v>
      </c>
      <c r="AG112" s="133">
        <f t="shared" si="23"/>
        <v>0</v>
      </c>
      <c r="AH112" s="133">
        <f t="shared" si="23"/>
        <v>0</v>
      </c>
      <c r="AI112" s="133">
        <f t="shared" si="23"/>
        <v>0</v>
      </c>
      <c r="AJ112" s="55" t="str">
        <f t="shared" si="7"/>
        <v/>
      </c>
      <c r="AK112" s="68"/>
      <c r="AL112" s="68" t="str">
        <f t="shared" si="10"/>
        <v>00</v>
      </c>
      <c r="AM112" s="68" t="str">
        <f t="shared" si="11"/>
        <v>00</v>
      </c>
      <c r="AN112" s="68" t="str">
        <f t="shared" si="12"/>
        <v>00</v>
      </c>
      <c r="AO112" s="68" t="str">
        <f t="shared" si="13"/>
        <v>00</v>
      </c>
      <c r="AQ112" t="str">
        <f t="shared" si="8"/>
        <v/>
      </c>
    </row>
    <row r="113" spans="2:43">
      <c r="B113" s="139"/>
      <c r="C113" s="55">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0</v>
      </c>
      <c r="AE113" s="133">
        <f t="shared" si="23"/>
        <v>0</v>
      </c>
      <c r="AF113" s="133">
        <f t="shared" si="23"/>
        <v>0</v>
      </c>
      <c r="AG113" s="133">
        <f t="shared" si="23"/>
        <v>0</v>
      </c>
      <c r="AH113" s="133">
        <f t="shared" si="23"/>
        <v>0</v>
      </c>
      <c r="AI113" s="133">
        <f t="shared" si="23"/>
        <v>0</v>
      </c>
      <c r="AJ113" s="55" t="str">
        <f t="shared" si="7"/>
        <v/>
      </c>
      <c r="AK113" s="68"/>
      <c r="AL113" s="68" t="str">
        <f t="shared" si="10"/>
        <v>00</v>
      </c>
      <c r="AM113" s="68" t="str">
        <f t="shared" si="11"/>
        <v>00</v>
      </c>
      <c r="AN113" s="68" t="str">
        <f t="shared" si="12"/>
        <v>00</v>
      </c>
      <c r="AO113" s="68" t="str">
        <f t="shared" si="13"/>
        <v>00</v>
      </c>
      <c r="AQ113" t="str">
        <f t="shared" si="8"/>
        <v/>
      </c>
    </row>
    <row r="114" spans="2:43">
      <c r="B114" s="139"/>
      <c r="C114" s="55">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0</v>
      </c>
      <c r="AE114" s="133">
        <f t="shared" si="23"/>
        <v>0</v>
      </c>
      <c r="AF114" s="133">
        <f t="shared" si="23"/>
        <v>0</v>
      </c>
      <c r="AG114" s="133">
        <f t="shared" si="23"/>
        <v>0</v>
      </c>
      <c r="AH114" s="133">
        <f t="shared" si="23"/>
        <v>0</v>
      </c>
      <c r="AI114" s="133">
        <f t="shared" si="23"/>
        <v>0</v>
      </c>
      <c r="AJ114" s="55" t="str">
        <f t="shared" si="7"/>
        <v/>
      </c>
      <c r="AK114" s="68"/>
      <c r="AL114" s="68" t="str">
        <f t="shared" si="10"/>
        <v>00</v>
      </c>
      <c r="AM114" s="68" t="str">
        <f t="shared" si="11"/>
        <v>00</v>
      </c>
      <c r="AN114" s="68" t="str">
        <f t="shared" si="12"/>
        <v>00</v>
      </c>
      <c r="AO114" s="68" t="str">
        <f t="shared" si="13"/>
        <v>00</v>
      </c>
      <c r="AQ114" t="str">
        <f t="shared" si="8"/>
        <v/>
      </c>
    </row>
    <row r="115" spans="2:43">
      <c r="B115" s="139"/>
      <c r="C115" s="55">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0</v>
      </c>
      <c r="AE115" s="133">
        <f t="shared" si="23"/>
        <v>0</v>
      </c>
      <c r="AF115" s="133">
        <f t="shared" si="23"/>
        <v>0</v>
      </c>
      <c r="AG115" s="133">
        <f t="shared" si="23"/>
        <v>0</v>
      </c>
      <c r="AH115" s="133">
        <f t="shared" si="23"/>
        <v>0</v>
      </c>
      <c r="AI115" s="133">
        <f t="shared" si="23"/>
        <v>0</v>
      </c>
      <c r="AJ115" s="55" t="str">
        <f t="shared" si="7"/>
        <v/>
      </c>
      <c r="AK115" s="68"/>
      <c r="AL115" s="68" t="str">
        <f t="shared" si="10"/>
        <v>00</v>
      </c>
      <c r="AM115" s="68" t="str">
        <f t="shared" si="11"/>
        <v>00</v>
      </c>
      <c r="AN115" s="68" t="str">
        <f t="shared" si="12"/>
        <v>00</v>
      </c>
      <c r="AO115" s="68" t="str">
        <f t="shared" si="13"/>
        <v>00</v>
      </c>
      <c r="AQ115" t="str">
        <f t="shared" si="8"/>
        <v/>
      </c>
    </row>
    <row r="116" spans="2:43">
      <c r="B116" s="139"/>
      <c r="C116" s="55">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0</v>
      </c>
      <c r="AE116" s="133">
        <f t="shared" si="23"/>
        <v>0</v>
      </c>
      <c r="AF116" s="133">
        <f t="shared" si="23"/>
        <v>0</v>
      </c>
      <c r="AG116" s="133">
        <f t="shared" si="23"/>
        <v>0</v>
      </c>
      <c r="AH116" s="133">
        <f t="shared" si="23"/>
        <v>0</v>
      </c>
      <c r="AI116" s="133">
        <f t="shared" si="23"/>
        <v>0</v>
      </c>
      <c r="AJ116" s="55" t="str">
        <f t="shared" si="7"/>
        <v/>
      </c>
      <c r="AK116" s="68"/>
      <c r="AL116" s="68" t="str">
        <f t="shared" si="10"/>
        <v>00</v>
      </c>
      <c r="AM116" s="68" t="str">
        <f t="shared" si="11"/>
        <v>00</v>
      </c>
      <c r="AN116" s="68" t="str">
        <f t="shared" si="12"/>
        <v>00</v>
      </c>
      <c r="AO116" s="68" t="str">
        <f t="shared" si="13"/>
        <v>00</v>
      </c>
      <c r="AQ116" t="str">
        <f t="shared" si="8"/>
        <v/>
      </c>
    </row>
    <row r="117" spans="2:43">
      <c r="B117" s="139"/>
      <c r="C117" s="55">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0</v>
      </c>
      <c r="AE117" s="133">
        <f t="shared" si="23"/>
        <v>0</v>
      </c>
      <c r="AF117" s="133">
        <f t="shared" si="23"/>
        <v>0</v>
      </c>
      <c r="AG117" s="133">
        <f t="shared" si="23"/>
        <v>0</v>
      </c>
      <c r="AH117" s="133">
        <f t="shared" si="23"/>
        <v>0</v>
      </c>
      <c r="AI117" s="133">
        <f t="shared" si="23"/>
        <v>0</v>
      </c>
      <c r="AJ117" s="55" t="str">
        <f t="shared" si="7"/>
        <v/>
      </c>
      <c r="AK117" s="68"/>
      <c r="AL117" s="68" t="str">
        <f t="shared" si="10"/>
        <v>00</v>
      </c>
      <c r="AM117" s="68" t="str">
        <f t="shared" si="11"/>
        <v>00</v>
      </c>
      <c r="AN117" s="68" t="str">
        <f t="shared" si="12"/>
        <v>00</v>
      </c>
      <c r="AO117" s="68" t="str">
        <f t="shared" si="13"/>
        <v>00</v>
      </c>
      <c r="AQ117" t="str">
        <f t="shared" si="8"/>
        <v/>
      </c>
    </row>
    <row r="118" spans="2:43">
      <c r="B118" s="139"/>
      <c r="C118" s="55">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0</v>
      </c>
      <c r="AE118" s="133">
        <f t="shared" si="23"/>
        <v>0</v>
      </c>
      <c r="AF118" s="133">
        <f t="shared" si="23"/>
        <v>0</v>
      </c>
      <c r="AG118" s="133">
        <f t="shared" si="23"/>
        <v>0</v>
      </c>
      <c r="AH118" s="133">
        <f t="shared" si="23"/>
        <v>0</v>
      </c>
      <c r="AI118" s="133">
        <f t="shared" ref="AI118" si="24">IF(AI53=1,1,0)</f>
        <v>0</v>
      </c>
      <c r="AJ118" s="55" t="str">
        <f t="shared" si="7"/>
        <v/>
      </c>
      <c r="AK118" s="68"/>
      <c r="AL118" s="68" t="str">
        <f t="shared" si="10"/>
        <v>00</v>
      </c>
      <c r="AM118" s="68" t="str">
        <f t="shared" si="11"/>
        <v>00</v>
      </c>
      <c r="AN118" s="68" t="str">
        <f t="shared" si="12"/>
        <v>00</v>
      </c>
      <c r="AO118" s="68" t="str">
        <f t="shared" si="13"/>
        <v>00</v>
      </c>
      <c r="AQ118" t="str">
        <f t="shared" si="8"/>
        <v/>
      </c>
    </row>
    <row r="119" spans="2:43">
      <c r="B119" s="139"/>
      <c r="C119" s="55">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0</v>
      </c>
      <c r="AE119" s="133">
        <f t="shared" si="25"/>
        <v>0</v>
      </c>
      <c r="AF119" s="133">
        <f t="shared" si="25"/>
        <v>0</v>
      </c>
      <c r="AG119" s="133">
        <f t="shared" si="25"/>
        <v>0</v>
      </c>
      <c r="AH119" s="133">
        <f t="shared" si="25"/>
        <v>0</v>
      </c>
      <c r="AI119" s="133">
        <f t="shared" si="25"/>
        <v>0</v>
      </c>
      <c r="AJ119" s="55" t="str">
        <f t="shared" si="7"/>
        <v/>
      </c>
      <c r="AK119" s="68"/>
      <c r="AL119" s="68" t="str">
        <f t="shared" si="10"/>
        <v>00</v>
      </c>
      <c r="AM119" s="68" t="str">
        <f t="shared" si="11"/>
        <v>00</v>
      </c>
      <c r="AN119" s="68" t="str">
        <f t="shared" si="12"/>
        <v>00</v>
      </c>
      <c r="AO119" s="68" t="str">
        <f t="shared" si="13"/>
        <v>00</v>
      </c>
      <c r="AQ119" t="str">
        <f t="shared" si="8"/>
        <v/>
      </c>
    </row>
    <row r="120" spans="2:43">
      <c r="B120" s="139"/>
      <c r="C120" s="55">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0</v>
      </c>
      <c r="AE120" s="133">
        <f t="shared" si="25"/>
        <v>0</v>
      </c>
      <c r="AF120" s="133">
        <f t="shared" si="25"/>
        <v>0</v>
      </c>
      <c r="AG120" s="133">
        <f t="shared" si="25"/>
        <v>0</v>
      </c>
      <c r="AH120" s="133">
        <f t="shared" si="25"/>
        <v>0</v>
      </c>
      <c r="AI120" s="133">
        <f t="shared" si="25"/>
        <v>0</v>
      </c>
      <c r="AJ120" s="55" t="str">
        <f t="shared" si="7"/>
        <v/>
      </c>
      <c r="AK120" s="68"/>
      <c r="AL120" s="68" t="str">
        <f t="shared" si="10"/>
        <v>00</v>
      </c>
      <c r="AM120" s="68" t="str">
        <f t="shared" si="11"/>
        <v>00</v>
      </c>
      <c r="AN120" s="68" t="str">
        <f t="shared" si="12"/>
        <v>00</v>
      </c>
      <c r="AO120" s="68" t="str">
        <f t="shared" si="13"/>
        <v>00</v>
      </c>
      <c r="AQ120" t="str">
        <f t="shared" si="8"/>
        <v/>
      </c>
    </row>
    <row r="121" spans="2:43">
      <c r="B121" s="139"/>
      <c r="C121" s="55">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0</v>
      </c>
      <c r="AE121" s="133">
        <f t="shared" si="25"/>
        <v>0</v>
      </c>
      <c r="AF121" s="133">
        <f t="shared" si="25"/>
        <v>0</v>
      </c>
      <c r="AG121" s="133">
        <f t="shared" si="25"/>
        <v>0</v>
      </c>
      <c r="AH121" s="133">
        <f t="shared" si="25"/>
        <v>0</v>
      </c>
      <c r="AI121" s="133">
        <f t="shared" si="25"/>
        <v>0</v>
      </c>
      <c r="AJ121" s="55" t="str">
        <f t="shared" si="7"/>
        <v/>
      </c>
      <c r="AK121" s="68"/>
      <c r="AL121" s="68" t="str">
        <f t="shared" si="10"/>
        <v>00</v>
      </c>
      <c r="AM121" s="68" t="str">
        <f t="shared" si="11"/>
        <v>00</v>
      </c>
      <c r="AN121" s="68" t="str">
        <f t="shared" si="12"/>
        <v>00</v>
      </c>
      <c r="AO121" s="68" t="str">
        <f t="shared" si="13"/>
        <v>00</v>
      </c>
      <c r="AQ121" t="str">
        <f t="shared" si="8"/>
        <v/>
      </c>
    </row>
    <row r="122" spans="2:43">
      <c r="B122" s="139"/>
      <c r="C122" s="55">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0</v>
      </c>
      <c r="AE122" s="133">
        <f t="shared" si="25"/>
        <v>0</v>
      </c>
      <c r="AF122" s="133">
        <f t="shared" si="25"/>
        <v>0</v>
      </c>
      <c r="AG122" s="133">
        <f t="shared" si="25"/>
        <v>0</v>
      </c>
      <c r="AH122" s="133">
        <f t="shared" si="25"/>
        <v>0</v>
      </c>
      <c r="AI122" s="133">
        <f t="shared" si="25"/>
        <v>0</v>
      </c>
      <c r="AJ122" s="55" t="str">
        <f t="shared" si="7"/>
        <v/>
      </c>
      <c r="AK122" s="68"/>
      <c r="AL122" s="68" t="str">
        <f t="shared" si="10"/>
        <v>00</v>
      </c>
      <c r="AM122" s="68" t="str">
        <f t="shared" si="11"/>
        <v>00</v>
      </c>
      <c r="AN122" s="68" t="str">
        <f t="shared" si="12"/>
        <v>00</v>
      </c>
      <c r="AO122" s="68" t="str">
        <f t="shared" si="13"/>
        <v>00</v>
      </c>
      <c r="AQ122" t="str">
        <f t="shared" si="8"/>
        <v/>
      </c>
    </row>
    <row r="123" spans="2:43">
      <c r="B123" s="139"/>
      <c r="C123" s="55">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0</v>
      </c>
      <c r="AE123" s="133">
        <f t="shared" si="25"/>
        <v>0</v>
      </c>
      <c r="AF123" s="133">
        <f t="shared" si="25"/>
        <v>0</v>
      </c>
      <c r="AG123" s="133">
        <f t="shared" si="25"/>
        <v>0</v>
      </c>
      <c r="AH123" s="133">
        <f t="shared" si="25"/>
        <v>0</v>
      </c>
      <c r="AI123" s="133">
        <f t="shared" si="25"/>
        <v>0</v>
      </c>
      <c r="AJ123" s="55" t="str">
        <f t="shared" si="7"/>
        <v/>
      </c>
      <c r="AK123" s="68"/>
      <c r="AL123" s="68" t="str">
        <f t="shared" si="10"/>
        <v>00</v>
      </c>
      <c r="AM123" s="68" t="str">
        <f t="shared" si="11"/>
        <v>00</v>
      </c>
      <c r="AN123" s="68" t="str">
        <f t="shared" si="12"/>
        <v>00</v>
      </c>
      <c r="AO123" s="68" t="str">
        <f t="shared" si="13"/>
        <v>00</v>
      </c>
      <c r="AQ123" t="str">
        <f t="shared" si="8"/>
        <v/>
      </c>
    </row>
    <row r="124" spans="2:43">
      <c r="B124" s="139"/>
      <c r="C124" s="55">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0</v>
      </c>
      <c r="AE124" s="133">
        <f t="shared" si="25"/>
        <v>0</v>
      </c>
      <c r="AF124" s="133">
        <f t="shared" si="25"/>
        <v>0</v>
      </c>
      <c r="AG124" s="133">
        <f t="shared" si="25"/>
        <v>0</v>
      </c>
      <c r="AH124" s="133">
        <f t="shared" si="25"/>
        <v>0</v>
      </c>
      <c r="AI124" s="133">
        <f t="shared" si="25"/>
        <v>0</v>
      </c>
      <c r="AJ124" s="55" t="str">
        <f t="shared" si="7"/>
        <v/>
      </c>
      <c r="AK124" s="68"/>
      <c r="AL124" s="68" t="str">
        <f t="shared" si="10"/>
        <v>00</v>
      </c>
      <c r="AM124" s="68" t="str">
        <f t="shared" si="11"/>
        <v>00</v>
      </c>
      <c r="AN124" s="68" t="str">
        <f t="shared" si="12"/>
        <v>00</v>
      </c>
      <c r="AO124" s="68" t="str">
        <f t="shared" si="13"/>
        <v>00</v>
      </c>
      <c r="AQ124" t="str">
        <f t="shared" si="8"/>
        <v/>
      </c>
    </row>
    <row r="125" spans="2:43">
      <c r="B125" s="139"/>
      <c r="C125" s="55">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0</v>
      </c>
      <c r="AE125" s="133">
        <f t="shared" si="25"/>
        <v>0</v>
      </c>
      <c r="AF125" s="133">
        <f t="shared" si="25"/>
        <v>0</v>
      </c>
      <c r="AG125" s="133">
        <f t="shared" si="25"/>
        <v>0</v>
      </c>
      <c r="AH125" s="133">
        <f t="shared" si="25"/>
        <v>0</v>
      </c>
      <c r="AI125" s="133">
        <f t="shared" si="25"/>
        <v>0</v>
      </c>
      <c r="AJ125" s="55" t="str">
        <f t="shared" si="7"/>
        <v/>
      </c>
      <c r="AK125" s="68"/>
      <c r="AL125" s="68" t="str">
        <f t="shared" si="10"/>
        <v>00</v>
      </c>
      <c r="AM125" s="68" t="str">
        <f t="shared" si="11"/>
        <v>00</v>
      </c>
      <c r="AN125" s="68" t="str">
        <f t="shared" si="12"/>
        <v>00</v>
      </c>
      <c r="AO125" s="68" t="str">
        <f t="shared" si="13"/>
        <v>00</v>
      </c>
      <c r="AQ125" t="str">
        <f t="shared" si="8"/>
        <v/>
      </c>
    </row>
    <row r="126" spans="2:43">
      <c r="B126" s="139"/>
      <c r="C126" s="55">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0</v>
      </c>
      <c r="AE126" s="133">
        <f t="shared" si="25"/>
        <v>0</v>
      </c>
      <c r="AF126" s="133">
        <f t="shared" si="25"/>
        <v>0</v>
      </c>
      <c r="AG126" s="133">
        <f t="shared" si="25"/>
        <v>0</v>
      </c>
      <c r="AH126" s="133">
        <f t="shared" si="25"/>
        <v>0</v>
      </c>
      <c r="AI126" s="133">
        <f t="shared" ref="AI126" si="26">IF(AI61=1,1,0)</f>
        <v>0</v>
      </c>
      <c r="AJ126" s="55" t="str">
        <f t="shared" si="7"/>
        <v/>
      </c>
      <c r="AK126" s="68"/>
      <c r="AL126" s="68" t="str">
        <f t="shared" si="10"/>
        <v>00</v>
      </c>
      <c r="AM126" s="68" t="str">
        <f t="shared" si="11"/>
        <v>00</v>
      </c>
      <c r="AN126" s="68" t="str">
        <f t="shared" si="12"/>
        <v>00</v>
      </c>
      <c r="AO126" s="68" t="str">
        <f t="shared" si="13"/>
        <v>00</v>
      </c>
      <c r="AQ126" t="str">
        <f t="shared" si="8"/>
        <v/>
      </c>
    </row>
    <row r="127" spans="2:43">
      <c r="B127" s="139"/>
      <c r="C127" s="55">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0</v>
      </c>
      <c r="AE127" s="133">
        <f t="shared" si="27"/>
        <v>0</v>
      </c>
      <c r="AF127" s="133">
        <f t="shared" si="27"/>
        <v>0</v>
      </c>
      <c r="AG127" s="133">
        <f t="shared" si="27"/>
        <v>0</v>
      </c>
      <c r="AH127" s="133">
        <f t="shared" si="27"/>
        <v>0</v>
      </c>
      <c r="AI127" s="133">
        <f t="shared" si="27"/>
        <v>0</v>
      </c>
      <c r="AJ127" s="55" t="str">
        <f t="shared" si="7"/>
        <v/>
      </c>
      <c r="AK127" s="68"/>
      <c r="AL127" s="68" t="str">
        <f t="shared" si="10"/>
        <v>00</v>
      </c>
      <c r="AM127" s="68" t="str">
        <f t="shared" si="11"/>
        <v>00</v>
      </c>
      <c r="AN127" s="68" t="str">
        <f t="shared" si="12"/>
        <v>00</v>
      </c>
      <c r="AO127" s="68" t="str">
        <f t="shared" si="13"/>
        <v>00</v>
      </c>
      <c r="AQ127" t="str">
        <f t="shared" si="8"/>
        <v/>
      </c>
    </row>
    <row r="128" spans="2:43">
      <c r="B128" s="139"/>
      <c r="C128" s="55">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0</v>
      </c>
      <c r="AE128" s="133">
        <f t="shared" si="27"/>
        <v>0</v>
      </c>
      <c r="AF128" s="133">
        <f t="shared" si="27"/>
        <v>0</v>
      </c>
      <c r="AG128" s="133">
        <f t="shared" si="27"/>
        <v>0</v>
      </c>
      <c r="AH128" s="133">
        <f t="shared" si="27"/>
        <v>0</v>
      </c>
      <c r="AI128" s="133">
        <f t="shared" si="27"/>
        <v>0</v>
      </c>
      <c r="AJ128" s="55" t="str">
        <f t="shared" si="7"/>
        <v/>
      </c>
      <c r="AK128" s="68"/>
      <c r="AL128" s="68" t="str">
        <f t="shared" si="10"/>
        <v>00</v>
      </c>
      <c r="AM128" s="68" t="str">
        <f t="shared" si="11"/>
        <v>00</v>
      </c>
      <c r="AN128" s="68" t="str">
        <f t="shared" si="12"/>
        <v>00</v>
      </c>
      <c r="AO128" s="68" t="str">
        <f t="shared" si="13"/>
        <v>00</v>
      </c>
      <c r="AQ128" t="str">
        <f t="shared" si="8"/>
        <v/>
      </c>
    </row>
    <row r="129" spans="1:43">
      <c r="B129" s="139"/>
      <c r="C129" s="55">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0</v>
      </c>
      <c r="AE129" s="133">
        <f t="shared" si="27"/>
        <v>0</v>
      </c>
      <c r="AF129" s="133">
        <f t="shared" si="27"/>
        <v>0</v>
      </c>
      <c r="AG129" s="133">
        <f t="shared" si="27"/>
        <v>0</v>
      </c>
      <c r="AH129" s="133">
        <f t="shared" si="27"/>
        <v>0</v>
      </c>
      <c r="AI129" s="133">
        <f t="shared" si="27"/>
        <v>0</v>
      </c>
      <c r="AJ129" s="55" t="str">
        <f t="shared" si="7"/>
        <v/>
      </c>
      <c r="AK129" s="68"/>
      <c r="AL129" s="68" t="str">
        <f t="shared" si="10"/>
        <v>00</v>
      </c>
      <c r="AM129" s="68" t="str">
        <f t="shared" si="11"/>
        <v>00</v>
      </c>
      <c r="AN129" s="68" t="str">
        <f t="shared" si="12"/>
        <v>00</v>
      </c>
      <c r="AO129" s="68" t="str">
        <f t="shared" si="13"/>
        <v>00</v>
      </c>
      <c r="AQ129" t="str">
        <f t="shared" si="8"/>
        <v/>
      </c>
    </row>
    <row r="130" spans="1:43">
      <c r="B130" s="139"/>
      <c r="C130" s="55">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0</v>
      </c>
      <c r="AE130" s="133">
        <f t="shared" si="27"/>
        <v>0</v>
      </c>
      <c r="AF130" s="133">
        <f t="shared" si="27"/>
        <v>0</v>
      </c>
      <c r="AG130" s="133">
        <f t="shared" si="27"/>
        <v>0</v>
      </c>
      <c r="AH130" s="133">
        <f t="shared" si="27"/>
        <v>0</v>
      </c>
      <c r="AI130" s="133">
        <f t="shared" si="27"/>
        <v>0</v>
      </c>
      <c r="AJ130" s="55" t="str">
        <f t="shared" si="7"/>
        <v/>
      </c>
      <c r="AK130" s="68"/>
      <c r="AL130" s="68" t="str">
        <f t="shared" si="10"/>
        <v>00</v>
      </c>
      <c r="AM130" s="68" t="str">
        <f t="shared" si="11"/>
        <v>00</v>
      </c>
      <c r="AN130" s="68" t="str">
        <f t="shared" si="12"/>
        <v>00</v>
      </c>
      <c r="AO130" s="68" t="str">
        <f t="shared" si="13"/>
        <v>00</v>
      </c>
      <c r="AQ130" t="str">
        <f t="shared" si="8"/>
        <v/>
      </c>
    </row>
    <row r="131" spans="1:43">
      <c r="B131" s="139"/>
      <c r="C131" s="55">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0</v>
      </c>
      <c r="AE131" s="133">
        <f t="shared" si="27"/>
        <v>0</v>
      </c>
      <c r="AF131" s="133">
        <f t="shared" si="27"/>
        <v>0</v>
      </c>
      <c r="AG131" s="133">
        <f t="shared" si="27"/>
        <v>0</v>
      </c>
      <c r="AH131" s="133">
        <f t="shared" si="27"/>
        <v>0</v>
      </c>
      <c r="AI131" s="133">
        <f t="shared" si="27"/>
        <v>0</v>
      </c>
      <c r="AJ131" s="55" t="str">
        <f t="shared" si="7"/>
        <v/>
      </c>
      <c r="AK131" s="68"/>
      <c r="AL131" s="68" t="str">
        <f t="shared" si="10"/>
        <v>00</v>
      </c>
      <c r="AM131" s="68" t="str">
        <f t="shared" si="11"/>
        <v>00</v>
      </c>
      <c r="AN131" s="68" t="str">
        <f t="shared" si="12"/>
        <v>00</v>
      </c>
      <c r="AO131" s="68" t="str">
        <f t="shared" si="13"/>
        <v>00</v>
      </c>
      <c r="AQ131" t="str">
        <f t="shared" si="8"/>
        <v/>
      </c>
    </row>
    <row r="132" spans="1:43">
      <c r="B132" s="139"/>
      <c r="C132" s="55">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0</v>
      </c>
      <c r="AE132" s="133">
        <f t="shared" si="27"/>
        <v>0</v>
      </c>
      <c r="AF132" s="133">
        <f t="shared" si="27"/>
        <v>0</v>
      </c>
      <c r="AG132" s="133">
        <f t="shared" si="27"/>
        <v>0</v>
      </c>
      <c r="AH132" s="133">
        <f t="shared" si="27"/>
        <v>0</v>
      </c>
      <c r="AI132" s="133">
        <f t="shared" si="27"/>
        <v>0</v>
      </c>
      <c r="AJ132" s="55" t="str">
        <f t="shared" si="7"/>
        <v/>
      </c>
      <c r="AK132" s="68"/>
      <c r="AL132" s="68" t="str">
        <f t="shared" si="10"/>
        <v>00</v>
      </c>
      <c r="AM132" s="68" t="str">
        <f t="shared" si="11"/>
        <v>00</v>
      </c>
      <c r="AN132" s="68" t="str">
        <f t="shared" si="12"/>
        <v>00</v>
      </c>
      <c r="AO132" s="68" t="str">
        <f t="shared" si="13"/>
        <v>00</v>
      </c>
      <c r="AQ132" t="str">
        <f t="shared" si="8"/>
        <v/>
      </c>
    </row>
    <row r="133" spans="1:43">
      <c r="B133" s="139"/>
      <c r="C133" s="55">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0</v>
      </c>
      <c r="AE133" s="133">
        <f t="shared" si="27"/>
        <v>0</v>
      </c>
      <c r="AF133" s="133">
        <f t="shared" si="27"/>
        <v>0</v>
      </c>
      <c r="AG133" s="133">
        <f t="shared" si="27"/>
        <v>0</v>
      </c>
      <c r="AH133" s="133">
        <f t="shared" si="27"/>
        <v>0</v>
      </c>
      <c r="AI133" s="133">
        <f t="shared" si="27"/>
        <v>0</v>
      </c>
      <c r="AJ133" s="55" t="str">
        <f t="shared" si="7"/>
        <v/>
      </c>
      <c r="AK133" s="68"/>
      <c r="AL133" s="68" t="str">
        <f t="shared" si="10"/>
        <v>00</v>
      </c>
      <c r="AM133" s="68" t="str">
        <f t="shared" si="11"/>
        <v>00</v>
      </c>
      <c r="AN133" s="68" t="str">
        <f t="shared" si="12"/>
        <v>00</v>
      </c>
      <c r="AO133" s="68" t="str">
        <f t="shared" si="13"/>
        <v>00</v>
      </c>
      <c r="AQ133" t="str">
        <f t="shared" si="8"/>
        <v/>
      </c>
    </row>
    <row r="134" spans="1:43">
      <c r="B134" s="140"/>
      <c r="C134" s="55">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0</v>
      </c>
      <c r="AE134" s="133">
        <f t="shared" si="27"/>
        <v>0</v>
      </c>
      <c r="AF134" s="133">
        <f t="shared" si="27"/>
        <v>0</v>
      </c>
      <c r="AG134" s="133">
        <f t="shared" si="27"/>
        <v>0</v>
      </c>
      <c r="AH134" s="133">
        <f t="shared" si="27"/>
        <v>0</v>
      </c>
      <c r="AI134" s="133">
        <f t="shared" ref="AI134" si="28">IF(AI69=1,1,0)</f>
        <v>0</v>
      </c>
      <c r="AJ134" s="55" t="str">
        <f t="shared" si="7"/>
        <v/>
      </c>
      <c r="AK134" s="68"/>
      <c r="AL134" s="68" t="str">
        <f t="shared" si="10"/>
        <v>00</v>
      </c>
      <c r="AM134" s="68" t="str">
        <f t="shared" si="11"/>
        <v>00</v>
      </c>
      <c r="AN134" s="68" t="str">
        <f t="shared" si="12"/>
        <v>00</v>
      </c>
      <c r="AO134" s="68" t="str">
        <f t="shared" si="13"/>
        <v>00</v>
      </c>
      <c r="AQ134" t="str">
        <f t="shared" si="8"/>
        <v/>
      </c>
    </row>
    <row r="135" spans="1:43">
      <c r="A135" s="64" t="s">
        <v>68</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1" t="str">
        <f ca="1">IF(B6&lt;&gt;"",B6,"")</f>
        <v>Table BC_VC</v>
      </c>
      <c r="C136" s="55">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0</v>
      </c>
      <c r="AE136" s="133">
        <f t="shared" si="29"/>
        <v>0</v>
      </c>
      <c r="AF136" s="133">
        <f t="shared" si="29"/>
        <v>0</v>
      </c>
      <c r="AG136" s="133">
        <f t="shared" si="29"/>
        <v>1</v>
      </c>
      <c r="AH136" s="133">
        <f t="shared" si="29"/>
        <v>1</v>
      </c>
      <c r="AI136" s="133">
        <f t="shared" si="29"/>
        <v>1</v>
      </c>
      <c r="AJ136" s="55" t="str">
        <f t="shared" ref="AJ136:AJ199" si="30">IF(AJ6&lt;&gt;"",AJ6,"")</f>
        <v>UNKNOWN</v>
      </c>
      <c r="AK136" s="68"/>
      <c r="AL136" s="68" t="str">
        <f>BIN2HEX(AB136&amp;AC136&amp;AD136&amp;AE136&amp;AF136&amp;AG136&amp;AH136&amp;AI136,2)</f>
        <v>07</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39"/>
      <c r="C137" s="55">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0</v>
      </c>
      <c r="AE137" s="133">
        <f t="shared" si="29"/>
        <v>0</v>
      </c>
      <c r="AF137" s="133">
        <f t="shared" si="29"/>
        <v>0</v>
      </c>
      <c r="AG137" s="133">
        <f t="shared" si="29"/>
        <v>1</v>
      </c>
      <c r="AH137" s="133">
        <f t="shared" si="29"/>
        <v>1</v>
      </c>
      <c r="AI137" s="133">
        <f t="shared" si="29"/>
        <v>1</v>
      </c>
      <c r="AJ137" s="55" t="str">
        <f t="shared" si="30"/>
        <v>CYCL</v>
      </c>
      <c r="AK137" s="68"/>
      <c r="AL137" s="68" t="str">
        <f t="shared" ref="AL137:AL199" si="33">BIN2HEX(AB137&amp;AC137&amp;AD137&amp;AE137&amp;AF137&amp;AG137&amp;AH137&amp;AI137,2)</f>
        <v>07</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(U4)0x00000007U,                                                           /* 01 CYCL                                            */</v>
      </c>
    </row>
    <row r="138" spans="1:43">
      <c r="B138" s="139"/>
      <c r="C138" s="55">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0</v>
      </c>
      <c r="AE138" s="133">
        <f t="shared" si="29"/>
        <v>0</v>
      </c>
      <c r="AF138" s="133">
        <f t="shared" si="29"/>
        <v>0</v>
      </c>
      <c r="AG138" s="133">
        <f t="shared" si="29"/>
        <v>1</v>
      </c>
      <c r="AH138" s="133">
        <f t="shared" si="29"/>
        <v>1</v>
      </c>
      <c r="AI138" s="133">
        <f t="shared" si="29"/>
        <v>1</v>
      </c>
      <c r="AJ138" s="55" t="str">
        <f t="shared" si="30"/>
        <v>UNKNOWN</v>
      </c>
      <c r="AK138" s="68"/>
      <c r="AL138" s="68" t="str">
        <f t="shared" si="33"/>
        <v>07</v>
      </c>
      <c r="AM138" s="68" t="str">
        <f t="shared" si="34"/>
        <v>00</v>
      </c>
      <c r="AN138" s="68" t="str">
        <f t="shared" si="35"/>
        <v>00</v>
      </c>
      <c r="AO138" s="68" t="str">
        <f t="shared" si="36"/>
        <v>00</v>
      </c>
      <c r="AQ138" t="str">
        <f t="shared" si="31"/>
        <v xml:space="preserve">    (U4)0x00000007U,                                                           /* 02 UNKNOWN                                         */</v>
      </c>
    </row>
    <row r="139" spans="1:43">
      <c r="B139" s="139"/>
      <c r="C139" s="55">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0</v>
      </c>
      <c r="AE139" s="133">
        <f t="shared" si="29"/>
        <v>0</v>
      </c>
      <c r="AF139" s="133">
        <f t="shared" si="29"/>
        <v>0</v>
      </c>
      <c r="AG139" s="133">
        <f t="shared" si="29"/>
        <v>1</v>
      </c>
      <c r="AH139" s="133">
        <f t="shared" si="29"/>
        <v>1</v>
      </c>
      <c r="AI139" s="133">
        <f t="shared" si="29"/>
        <v>1</v>
      </c>
      <c r="AJ139" s="55" t="str">
        <f t="shared" si="30"/>
        <v>UNKNOWN</v>
      </c>
      <c r="AK139" s="68"/>
      <c r="AL139" s="68" t="str">
        <f t="shared" si="33"/>
        <v>07</v>
      </c>
      <c r="AM139" s="68" t="str">
        <f t="shared" si="34"/>
        <v>00</v>
      </c>
      <c r="AN139" s="68" t="str">
        <f t="shared" si="35"/>
        <v>00</v>
      </c>
      <c r="AO139" s="68" t="str">
        <f t="shared" si="36"/>
        <v>00</v>
      </c>
      <c r="AQ139" t="str">
        <f t="shared" si="31"/>
        <v xml:space="preserve">    (U4)0x00000007U,                                                           /* 03 UNKNOWN                                         */</v>
      </c>
    </row>
    <row r="140" spans="1:43">
      <c r="B140" s="139"/>
      <c r="C140" s="55">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0</v>
      </c>
      <c r="AE140" s="133">
        <f t="shared" si="29"/>
        <v>0</v>
      </c>
      <c r="AF140" s="133">
        <f t="shared" si="29"/>
        <v>0</v>
      </c>
      <c r="AG140" s="133">
        <f t="shared" si="29"/>
        <v>1</v>
      </c>
      <c r="AH140" s="133">
        <f t="shared" si="29"/>
        <v>1</v>
      </c>
      <c r="AI140" s="133">
        <f t="shared" si="29"/>
        <v>1</v>
      </c>
      <c r="AJ140" s="55" t="str">
        <f t="shared" si="30"/>
        <v>UNKNOWN</v>
      </c>
      <c r="AK140" s="68"/>
      <c r="AL140" s="68" t="str">
        <f t="shared" si="33"/>
        <v>07</v>
      </c>
      <c r="AM140" s="68" t="str">
        <f t="shared" si="34"/>
        <v>00</v>
      </c>
      <c r="AN140" s="68" t="str">
        <f t="shared" si="35"/>
        <v>00</v>
      </c>
      <c r="AO140" s="68" t="str">
        <f t="shared" si="36"/>
        <v>00</v>
      </c>
      <c r="AQ140" t="str">
        <f t="shared" si="31"/>
        <v xml:space="preserve">    (U4)0x00000007U,                                                           /* 04 UNKNOWN                                         */</v>
      </c>
    </row>
    <row r="141" spans="1:43">
      <c r="B141" s="139"/>
      <c r="C141" s="55">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0</v>
      </c>
      <c r="AE141" s="133">
        <f t="shared" si="29"/>
        <v>0</v>
      </c>
      <c r="AF141" s="133">
        <f t="shared" si="29"/>
        <v>0</v>
      </c>
      <c r="AG141" s="133">
        <f t="shared" si="29"/>
        <v>1</v>
      </c>
      <c r="AH141" s="133">
        <f t="shared" si="29"/>
        <v>1</v>
      </c>
      <c r="AI141" s="133">
        <f t="shared" si="29"/>
        <v>1</v>
      </c>
      <c r="AJ141" s="55" t="str">
        <f t="shared" si="30"/>
        <v>UNKNOWN</v>
      </c>
      <c r="AK141" s="68"/>
      <c r="AL141" s="68" t="str">
        <f t="shared" si="33"/>
        <v>07</v>
      </c>
      <c r="AM141" s="68" t="str">
        <f t="shared" si="34"/>
        <v>00</v>
      </c>
      <c r="AN141" s="68" t="str">
        <f t="shared" si="35"/>
        <v>00</v>
      </c>
      <c r="AO141" s="68" t="str">
        <f t="shared" si="36"/>
        <v>00</v>
      </c>
      <c r="AQ141" t="str">
        <f t="shared" si="31"/>
        <v xml:space="preserve">    (U4)0x00000007U,                                                           /* 05 UNKNOWN                                         */</v>
      </c>
    </row>
    <row r="142" spans="1:43">
      <c r="B142" s="139"/>
      <c r="C142" s="55">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0</v>
      </c>
      <c r="AE142" s="133">
        <f t="shared" si="29"/>
        <v>0</v>
      </c>
      <c r="AF142" s="133">
        <f t="shared" si="29"/>
        <v>0</v>
      </c>
      <c r="AG142" s="133">
        <f t="shared" si="29"/>
        <v>1</v>
      </c>
      <c r="AH142" s="133">
        <f t="shared" si="29"/>
        <v>1</v>
      </c>
      <c r="AI142" s="133">
        <f t="shared" si="29"/>
        <v>1</v>
      </c>
      <c r="AJ142" s="55" t="str">
        <f t="shared" si="30"/>
        <v>UNKNOWN</v>
      </c>
      <c r="AK142" s="68"/>
      <c r="AL142" s="68" t="str">
        <f t="shared" si="33"/>
        <v>07</v>
      </c>
      <c r="AM142" s="68" t="str">
        <f t="shared" si="34"/>
        <v>00</v>
      </c>
      <c r="AN142" s="68" t="str">
        <f t="shared" si="35"/>
        <v>00</v>
      </c>
      <c r="AO142" s="68" t="str">
        <f t="shared" si="36"/>
        <v>00</v>
      </c>
      <c r="AQ142" t="str">
        <f t="shared" si="31"/>
        <v xml:space="preserve">    (U4)0x00000007U,                                                           /* 06 UNKNOWN                                         */</v>
      </c>
    </row>
    <row r="143" spans="1:43">
      <c r="B143" s="139"/>
      <c r="C143" s="55">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0</v>
      </c>
      <c r="AE143" s="133">
        <f t="shared" si="29"/>
        <v>0</v>
      </c>
      <c r="AF143" s="133">
        <f t="shared" si="29"/>
        <v>0</v>
      </c>
      <c r="AG143" s="133">
        <f t="shared" si="29"/>
        <v>1</v>
      </c>
      <c r="AH143" s="133">
        <f t="shared" si="29"/>
        <v>1</v>
      </c>
      <c r="AI143" s="133">
        <f t="shared" ref="AI143" si="37">IF(OR(AI13=0,AI13=1),1,0)</f>
        <v>1</v>
      </c>
      <c r="AJ143" s="55" t="str">
        <f t="shared" si="30"/>
        <v>UNKNOWN</v>
      </c>
      <c r="AK143" s="68"/>
      <c r="AL143" s="68" t="str">
        <f t="shared" si="33"/>
        <v>07</v>
      </c>
      <c r="AM143" s="68" t="str">
        <f t="shared" si="34"/>
        <v>00</v>
      </c>
      <c r="AN143" s="68" t="str">
        <f t="shared" si="35"/>
        <v>00</v>
      </c>
      <c r="AO143" s="68" t="str">
        <f t="shared" si="36"/>
        <v>00</v>
      </c>
      <c r="AQ143" t="str">
        <f t="shared" si="31"/>
        <v xml:space="preserve">    (U4)0x00000007U                                                            /* 07 UNKNOWN                                         */</v>
      </c>
    </row>
    <row r="144" spans="1:43">
      <c r="B144" s="139"/>
      <c r="C144" s="55">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0</v>
      </c>
      <c r="AE144" s="133">
        <f t="shared" si="38"/>
        <v>0</v>
      </c>
      <c r="AF144" s="133">
        <f t="shared" si="38"/>
        <v>0</v>
      </c>
      <c r="AG144" s="133">
        <f t="shared" si="38"/>
        <v>0</v>
      </c>
      <c r="AH144" s="133">
        <f t="shared" si="38"/>
        <v>0</v>
      </c>
      <c r="AI144" s="133">
        <f t="shared" si="38"/>
        <v>0</v>
      </c>
      <c r="AJ144" s="55" t="str">
        <f t="shared" si="30"/>
        <v/>
      </c>
      <c r="AK144" s="68"/>
      <c r="AL144" s="68" t="str">
        <f t="shared" si="33"/>
        <v>00</v>
      </c>
      <c r="AM144" s="68" t="str">
        <f t="shared" si="34"/>
        <v>00</v>
      </c>
      <c r="AN144" s="68" t="str">
        <f t="shared" si="35"/>
        <v>00</v>
      </c>
      <c r="AO144" s="68" t="str">
        <f t="shared" si="36"/>
        <v>00</v>
      </c>
      <c r="AQ144" t="str">
        <f t="shared" si="31"/>
        <v/>
      </c>
    </row>
    <row r="145" spans="2:43">
      <c r="B145" s="139"/>
      <c r="C145" s="55">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0</v>
      </c>
      <c r="AE145" s="133">
        <f t="shared" si="38"/>
        <v>0</v>
      </c>
      <c r="AF145" s="133">
        <f t="shared" si="38"/>
        <v>0</v>
      </c>
      <c r="AG145" s="133">
        <f t="shared" si="38"/>
        <v>0</v>
      </c>
      <c r="AH145" s="133">
        <f t="shared" si="38"/>
        <v>0</v>
      </c>
      <c r="AI145" s="133">
        <f t="shared" si="38"/>
        <v>0</v>
      </c>
      <c r="AJ145" s="55" t="str">
        <f t="shared" si="30"/>
        <v/>
      </c>
      <c r="AK145" s="68"/>
      <c r="AL145" s="68" t="str">
        <f t="shared" si="33"/>
        <v>00</v>
      </c>
      <c r="AM145" s="68" t="str">
        <f t="shared" si="34"/>
        <v>00</v>
      </c>
      <c r="AN145" s="68" t="str">
        <f t="shared" si="35"/>
        <v>00</v>
      </c>
      <c r="AO145" s="68" t="str">
        <f t="shared" si="36"/>
        <v>00</v>
      </c>
      <c r="AQ145" t="str">
        <f t="shared" si="31"/>
        <v/>
      </c>
    </row>
    <row r="146" spans="2:43">
      <c r="B146" s="139"/>
      <c r="C146" s="55">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0</v>
      </c>
      <c r="AE146" s="133">
        <f t="shared" si="38"/>
        <v>0</v>
      </c>
      <c r="AF146" s="133">
        <f t="shared" si="38"/>
        <v>0</v>
      </c>
      <c r="AG146" s="133">
        <f t="shared" si="38"/>
        <v>0</v>
      </c>
      <c r="AH146" s="133">
        <f t="shared" si="38"/>
        <v>0</v>
      </c>
      <c r="AI146" s="133">
        <f t="shared" si="38"/>
        <v>0</v>
      </c>
      <c r="AJ146" s="55" t="str">
        <f t="shared" si="30"/>
        <v/>
      </c>
      <c r="AK146" s="68"/>
      <c r="AL146" s="68" t="str">
        <f t="shared" si="33"/>
        <v>00</v>
      </c>
      <c r="AM146" s="68" t="str">
        <f t="shared" si="34"/>
        <v>00</v>
      </c>
      <c r="AN146" s="68" t="str">
        <f t="shared" si="35"/>
        <v>00</v>
      </c>
      <c r="AO146" s="68" t="str">
        <f t="shared" si="36"/>
        <v>00</v>
      </c>
      <c r="AQ146" t="str">
        <f t="shared" si="31"/>
        <v/>
      </c>
    </row>
    <row r="147" spans="2:43">
      <c r="B147" s="139"/>
      <c r="C147" s="55">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0</v>
      </c>
      <c r="AE147" s="133">
        <f t="shared" si="38"/>
        <v>0</v>
      </c>
      <c r="AF147" s="133">
        <f t="shared" si="38"/>
        <v>0</v>
      </c>
      <c r="AG147" s="133">
        <f t="shared" si="38"/>
        <v>0</v>
      </c>
      <c r="AH147" s="133">
        <f t="shared" si="38"/>
        <v>0</v>
      </c>
      <c r="AI147" s="133">
        <f t="shared" si="38"/>
        <v>0</v>
      </c>
      <c r="AJ147" s="55" t="str">
        <f t="shared" si="30"/>
        <v/>
      </c>
      <c r="AK147" s="68"/>
      <c r="AL147" s="68" t="str">
        <f t="shared" si="33"/>
        <v>00</v>
      </c>
      <c r="AM147" s="68" t="str">
        <f t="shared" si="34"/>
        <v>00</v>
      </c>
      <c r="AN147" s="68" t="str">
        <f t="shared" si="35"/>
        <v>00</v>
      </c>
      <c r="AO147" s="68" t="str">
        <f t="shared" si="36"/>
        <v>00</v>
      </c>
      <c r="AQ147" t="str">
        <f t="shared" si="31"/>
        <v/>
      </c>
    </row>
    <row r="148" spans="2:43">
      <c r="B148" s="139"/>
      <c r="C148" s="55">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0</v>
      </c>
      <c r="AE148" s="133">
        <f t="shared" si="38"/>
        <v>0</v>
      </c>
      <c r="AF148" s="133">
        <f t="shared" si="38"/>
        <v>0</v>
      </c>
      <c r="AG148" s="133">
        <f t="shared" si="38"/>
        <v>0</v>
      </c>
      <c r="AH148" s="133">
        <f t="shared" si="38"/>
        <v>0</v>
      </c>
      <c r="AI148" s="133">
        <f t="shared" si="38"/>
        <v>0</v>
      </c>
      <c r="AJ148" s="55" t="str">
        <f t="shared" si="30"/>
        <v/>
      </c>
      <c r="AK148" s="68"/>
      <c r="AL148" s="68" t="str">
        <f t="shared" si="33"/>
        <v>00</v>
      </c>
      <c r="AM148" s="68" t="str">
        <f t="shared" si="34"/>
        <v>00</v>
      </c>
      <c r="AN148" s="68" t="str">
        <f t="shared" si="35"/>
        <v>00</v>
      </c>
      <c r="AO148" s="68" t="str">
        <f t="shared" si="36"/>
        <v>00</v>
      </c>
      <c r="AQ148" t="str">
        <f t="shared" si="31"/>
        <v/>
      </c>
    </row>
    <row r="149" spans="2:43">
      <c r="B149" s="139"/>
      <c r="C149" s="55">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0</v>
      </c>
      <c r="AE149" s="133">
        <f t="shared" si="38"/>
        <v>0</v>
      </c>
      <c r="AF149" s="133">
        <f t="shared" si="38"/>
        <v>0</v>
      </c>
      <c r="AG149" s="133">
        <f t="shared" si="38"/>
        <v>0</v>
      </c>
      <c r="AH149" s="133">
        <f t="shared" si="38"/>
        <v>0</v>
      </c>
      <c r="AI149" s="133">
        <f t="shared" si="38"/>
        <v>0</v>
      </c>
      <c r="AJ149" s="55" t="str">
        <f t="shared" si="30"/>
        <v/>
      </c>
      <c r="AK149" s="68"/>
      <c r="AL149" s="68" t="str">
        <f t="shared" si="33"/>
        <v>00</v>
      </c>
      <c r="AM149" s="68" t="str">
        <f t="shared" si="34"/>
        <v>00</v>
      </c>
      <c r="AN149" s="68" t="str">
        <f t="shared" si="35"/>
        <v>00</v>
      </c>
      <c r="AO149" s="68" t="str">
        <f t="shared" si="36"/>
        <v>00</v>
      </c>
      <c r="AQ149" t="str">
        <f t="shared" si="31"/>
        <v/>
      </c>
    </row>
    <row r="150" spans="2:43">
      <c r="B150" s="139"/>
      <c r="C150" s="55">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0</v>
      </c>
      <c r="AE150" s="133">
        <f t="shared" si="38"/>
        <v>0</v>
      </c>
      <c r="AF150" s="133">
        <f t="shared" si="38"/>
        <v>0</v>
      </c>
      <c r="AG150" s="133">
        <f t="shared" si="38"/>
        <v>0</v>
      </c>
      <c r="AH150" s="133">
        <f t="shared" si="38"/>
        <v>0</v>
      </c>
      <c r="AI150" s="133">
        <f t="shared" si="38"/>
        <v>0</v>
      </c>
      <c r="AJ150" s="55" t="str">
        <f t="shared" si="30"/>
        <v/>
      </c>
      <c r="AK150" s="68"/>
      <c r="AL150" s="68" t="str">
        <f t="shared" si="33"/>
        <v>00</v>
      </c>
      <c r="AM150" s="68" t="str">
        <f t="shared" si="34"/>
        <v>00</v>
      </c>
      <c r="AN150" s="68" t="str">
        <f t="shared" si="35"/>
        <v>00</v>
      </c>
      <c r="AO150" s="68" t="str">
        <f t="shared" si="36"/>
        <v>00</v>
      </c>
      <c r="AQ150" t="str">
        <f t="shared" si="31"/>
        <v/>
      </c>
    </row>
    <row r="151" spans="2:43">
      <c r="B151" s="139"/>
      <c r="C151" s="55">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0</v>
      </c>
      <c r="AE151" s="133">
        <f t="shared" si="38"/>
        <v>0</v>
      </c>
      <c r="AF151" s="133">
        <f t="shared" si="38"/>
        <v>0</v>
      </c>
      <c r="AG151" s="133">
        <f t="shared" si="38"/>
        <v>0</v>
      </c>
      <c r="AH151" s="133">
        <f t="shared" si="38"/>
        <v>0</v>
      </c>
      <c r="AI151" s="133">
        <f t="shared" ref="AI151" si="39">IF(OR(AI21=0,AI21=1),1,0)</f>
        <v>0</v>
      </c>
      <c r="AJ151" s="55" t="str">
        <f t="shared" si="30"/>
        <v/>
      </c>
      <c r="AK151" s="68"/>
      <c r="AL151" s="68" t="str">
        <f t="shared" si="33"/>
        <v>00</v>
      </c>
      <c r="AM151" s="68" t="str">
        <f t="shared" si="34"/>
        <v>00</v>
      </c>
      <c r="AN151" s="68" t="str">
        <f t="shared" si="35"/>
        <v>00</v>
      </c>
      <c r="AO151" s="68" t="str">
        <f t="shared" si="36"/>
        <v>00</v>
      </c>
      <c r="AQ151" t="str">
        <f t="shared" si="31"/>
        <v/>
      </c>
    </row>
    <row r="152" spans="2:43">
      <c r="B152" s="139"/>
      <c r="C152" s="55">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0</v>
      </c>
      <c r="AE152" s="133">
        <f t="shared" si="40"/>
        <v>0</v>
      </c>
      <c r="AF152" s="133">
        <f t="shared" si="40"/>
        <v>0</v>
      </c>
      <c r="AG152" s="133">
        <f t="shared" si="40"/>
        <v>0</v>
      </c>
      <c r="AH152" s="133">
        <f t="shared" si="40"/>
        <v>0</v>
      </c>
      <c r="AI152" s="133">
        <f t="shared" si="40"/>
        <v>0</v>
      </c>
      <c r="AJ152" s="55" t="str">
        <f t="shared" si="30"/>
        <v/>
      </c>
      <c r="AK152" s="68"/>
      <c r="AL152" s="68" t="str">
        <f t="shared" si="33"/>
        <v>00</v>
      </c>
      <c r="AM152" s="68" t="str">
        <f t="shared" si="34"/>
        <v>00</v>
      </c>
      <c r="AN152" s="68" t="str">
        <f t="shared" si="35"/>
        <v>00</v>
      </c>
      <c r="AO152" s="68" t="str">
        <f t="shared" si="36"/>
        <v>00</v>
      </c>
      <c r="AQ152" t="str">
        <f t="shared" si="31"/>
        <v/>
      </c>
    </row>
    <row r="153" spans="2:43">
      <c r="B153" s="139"/>
      <c r="C153" s="55">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0</v>
      </c>
      <c r="AE153" s="133">
        <f t="shared" si="40"/>
        <v>0</v>
      </c>
      <c r="AF153" s="133">
        <f t="shared" si="40"/>
        <v>0</v>
      </c>
      <c r="AG153" s="133">
        <f t="shared" si="40"/>
        <v>0</v>
      </c>
      <c r="AH153" s="133">
        <f t="shared" si="40"/>
        <v>0</v>
      </c>
      <c r="AI153" s="133">
        <f t="shared" si="40"/>
        <v>0</v>
      </c>
      <c r="AJ153" s="55" t="str">
        <f t="shared" si="30"/>
        <v/>
      </c>
      <c r="AK153" s="68"/>
      <c r="AL153" s="68" t="str">
        <f t="shared" si="33"/>
        <v>00</v>
      </c>
      <c r="AM153" s="68" t="str">
        <f t="shared" si="34"/>
        <v>00</v>
      </c>
      <c r="AN153" s="68" t="str">
        <f t="shared" si="35"/>
        <v>00</v>
      </c>
      <c r="AO153" s="68" t="str">
        <f t="shared" si="36"/>
        <v>00</v>
      </c>
      <c r="AQ153" t="str">
        <f t="shared" si="31"/>
        <v/>
      </c>
    </row>
    <row r="154" spans="2:43">
      <c r="B154" s="139"/>
      <c r="C154" s="55">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0</v>
      </c>
      <c r="AE154" s="133">
        <f t="shared" si="40"/>
        <v>0</v>
      </c>
      <c r="AF154" s="133">
        <f t="shared" si="40"/>
        <v>0</v>
      </c>
      <c r="AG154" s="133">
        <f t="shared" si="40"/>
        <v>0</v>
      </c>
      <c r="AH154" s="133">
        <f t="shared" si="40"/>
        <v>0</v>
      </c>
      <c r="AI154" s="133">
        <f t="shared" si="40"/>
        <v>0</v>
      </c>
      <c r="AJ154" s="55" t="str">
        <f t="shared" si="30"/>
        <v/>
      </c>
      <c r="AK154" s="68"/>
      <c r="AL154" s="68" t="str">
        <f t="shared" si="33"/>
        <v>00</v>
      </c>
      <c r="AM154" s="68" t="str">
        <f t="shared" si="34"/>
        <v>00</v>
      </c>
      <c r="AN154" s="68" t="str">
        <f t="shared" si="35"/>
        <v>00</v>
      </c>
      <c r="AO154" s="68" t="str">
        <f t="shared" si="36"/>
        <v>00</v>
      </c>
      <c r="AQ154" t="str">
        <f t="shared" si="31"/>
        <v/>
      </c>
    </row>
    <row r="155" spans="2:43">
      <c r="B155" s="139"/>
      <c r="C155" s="55">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0</v>
      </c>
      <c r="AE155" s="133">
        <f t="shared" si="40"/>
        <v>0</v>
      </c>
      <c r="AF155" s="133">
        <f t="shared" si="40"/>
        <v>0</v>
      </c>
      <c r="AG155" s="133">
        <f t="shared" si="40"/>
        <v>0</v>
      </c>
      <c r="AH155" s="133">
        <f t="shared" si="40"/>
        <v>0</v>
      </c>
      <c r="AI155" s="133">
        <f t="shared" si="40"/>
        <v>0</v>
      </c>
      <c r="AJ155" s="55" t="str">
        <f t="shared" si="30"/>
        <v/>
      </c>
      <c r="AK155" s="68"/>
      <c r="AL155" s="68" t="str">
        <f t="shared" si="33"/>
        <v>00</v>
      </c>
      <c r="AM155" s="68" t="str">
        <f t="shared" si="34"/>
        <v>00</v>
      </c>
      <c r="AN155" s="68" t="str">
        <f t="shared" si="35"/>
        <v>00</v>
      </c>
      <c r="AO155" s="68" t="str">
        <f t="shared" si="36"/>
        <v>00</v>
      </c>
      <c r="AQ155" t="str">
        <f t="shared" si="31"/>
        <v/>
      </c>
    </row>
    <row r="156" spans="2:43">
      <c r="B156" s="139"/>
      <c r="C156" s="55">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0</v>
      </c>
      <c r="AE156" s="133">
        <f t="shared" si="40"/>
        <v>0</v>
      </c>
      <c r="AF156" s="133">
        <f t="shared" si="40"/>
        <v>0</v>
      </c>
      <c r="AG156" s="133">
        <f t="shared" si="40"/>
        <v>0</v>
      </c>
      <c r="AH156" s="133">
        <f t="shared" si="40"/>
        <v>0</v>
      </c>
      <c r="AI156" s="133">
        <f t="shared" si="40"/>
        <v>0</v>
      </c>
      <c r="AJ156" s="55" t="str">
        <f t="shared" si="30"/>
        <v/>
      </c>
      <c r="AK156" s="68"/>
      <c r="AL156" s="68" t="str">
        <f t="shared" si="33"/>
        <v>00</v>
      </c>
      <c r="AM156" s="68" t="str">
        <f t="shared" si="34"/>
        <v>00</v>
      </c>
      <c r="AN156" s="68" t="str">
        <f t="shared" si="35"/>
        <v>00</v>
      </c>
      <c r="AO156" s="68" t="str">
        <f t="shared" si="36"/>
        <v>00</v>
      </c>
      <c r="AQ156" t="str">
        <f t="shared" si="31"/>
        <v/>
      </c>
    </row>
    <row r="157" spans="2:43">
      <c r="B157" s="139"/>
      <c r="C157" s="55">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0</v>
      </c>
      <c r="AE157" s="133">
        <f t="shared" si="40"/>
        <v>0</v>
      </c>
      <c r="AF157" s="133">
        <f t="shared" si="40"/>
        <v>0</v>
      </c>
      <c r="AG157" s="133">
        <f t="shared" si="40"/>
        <v>0</v>
      </c>
      <c r="AH157" s="133">
        <f t="shared" si="40"/>
        <v>0</v>
      </c>
      <c r="AI157" s="133">
        <f t="shared" si="40"/>
        <v>0</v>
      </c>
      <c r="AJ157" s="55" t="str">
        <f t="shared" si="30"/>
        <v/>
      </c>
      <c r="AK157" s="68"/>
      <c r="AL157" s="68" t="str">
        <f t="shared" si="33"/>
        <v>00</v>
      </c>
      <c r="AM157" s="68" t="str">
        <f t="shared" si="34"/>
        <v>00</v>
      </c>
      <c r="AN157" s="68" t="str">
        <f t="shared" si="35"/>
        <v>00</v>
      </c>
      <c r="AO157" s="68" t="str">
        <f t="shared" si="36"/>
        <v>00</v>
      </c>
      <c r="AQ157" t="str">
        <f t="shared" si="31"/>
        <v/>
      </c>
    </row>
    <row r="158" spans="2:43">
      <c r="B158" s="139"/>
      <c r="C158" s="55">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0</v>
      </c>
      <c r="AE158" s="133">
        <f t="shared" si="40"/>
        <v>0</v>
      </c>
      <c r="AF158" s="133">
        <f t="shared" si="40"/>
        <v>0</v>
      </c>
      <c r="AG158" s="133">
        <f t="shared" si="40"/>
        <v>0</v>
      </c>
      <c r="AH158" s="133">
        <f t="shared" si="40"/>
        <v>0</v>
      </c>
      <c r="AI158" s="133">
        <f t="shared" si="40"/>
        <v>0</v>
      </c>
      <c r="AJ158" s="55" t="str">
        <f t="shared" si="30"/>
        <v/>
      </c>
      <c r="AK158" s="68"/>
      <c r="AL158" s="68" t="str">
        <f t="shared" si="33"/>
        <v>00</v>
      </c>
      <c r="AM158" s="68" t="str">
        <f t="shared" si="34"/>
        <v>00</v>
      </c>
      <c r="AN158" s="68" t="str">
        <f t="shared" si="35"/>
        <v>00</v>
      </c>
      <c r="AO158" s="68" t="str">
        <f t="shared" si="36"/>
        <v>00</v>
      </c>
      <c r="AQ158" t="str">
        <f t="shared" si="31"/>
        <v/>
      </c>
    </row>
    <row r="159" spans="2:43">
      <c r="B159" s="139"/>
      <c r="C159" s="55">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0</v>
      </c>
      <c r="AE159" s="133">
        <f t="shared" si="40"/>
        <v>0</v>
      </c>
      <c r="AF159" s="133">
        <f t="shared" si="40"/>
        <v>0</v>
      </c>
      <c r="AG159" s="133">
        <f t="shared" si="40"/>
        <v>0</v>
      </c>
      <c r="AH159" s="133">
        <f t="shared" si="40"/>
        <v>0</v>
      </c>
      <c r="AI159" s="133">
        <f t="shared" ref="AI159" si="41">IF(OR(AI29=0,AI29=1),1,0)</f>
        <v>0</v>
      </c>
      <c r="AJ159" s="55" t="str">
        <f t="shared" si="30"/>
        <v/>
      </c>
      <c r="AK159" s="68"/>
      <c r="AL159" s="68" t="str">
        <f t="shared" si="33"/>
        <v>00</v>
      </c>
      <c r="AM159" s="68" t="str">
        <f t="shared" si="34"/>
        <v>00</v>
      </c>
      <c r="AN159" s="68" t="str">
        <f t="shared" si="35"/>
        <v>00</v>
      </c>
      <c r="AO159" s="68" t="str">
        <f t="shared" si="36"/>
        <v>00</v>
      </c>
      <c r="AQ159" t="str">
        <f t="shared" si="31"/>
        <v/>
      </c>
    </row>
    <row r="160" spans="2:43">
      <c r="B160" s="139"/>
      <c r="C160" s="55">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0</v>
      </c>
      <c r="AE160" s="133">
        <f t="shared" si="42"/>
        <v>0</v>
      </c>
      <c r="AF160" s="133">
        <f t="shared" si="42"/>
        <v>0</v>
      </c>
      <c r="AG160" s="133">
        <f t="shared" si="42"/>
        <v>0</v>
      </c>
      <c r="AH160" s="133">
        <f t="shared" si="42"/>
        <v>0</v>
      </c>
      <c r="AI160" s="133">
        <f t="shared" si="42"/>
        <v>0</v>
      </c>
      <c r="AJ160" s="55" t="str">
        <f t="shared" si="30"/>
        <v/>
      </c>
      <c r="AK160" s="68"/>
      <c r="AL160" s="68" t="str">
        <f t="shared" si="33"/>
        <v>00</v>
      </c>
      <c r="AM160" s="68" t="str">
        <f t="shared" si="34"/>
        <v>00</v>
      </c>
      <c r="AN160" s="68" t="str">
        <f t="shared" si="35"/>
        <v>00</v>
      </c>
      <c r="AO160" s="68" t="str">
        <f t="shared" si="36"/>
        <v>00</v>
      </c>
      <c r="AQ160" t="str">
        <f t="shared" si="31"/>
        <v/>
      </c>
    </row>
    <row r="161" spans="2:43">
      <c r="B161" s="139"/>
      <c r="C161" s="55">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0</v>
      </c>
      <c r="AE161" s="133">
        <f t="shared" si="42"/>
        <v>0</v>
      </c>
      <c r="AF161" s="133">
        <f t="shared" si="42"/>
        <v>0</v>
      </c>
      <c r="AG161" s="133">
        <f t="shared" si="42"/>
        <v>0</v>
      </c>
      <c r="AH161" s="133">
        <f t="shared" si="42"/>
        <v>0</v>
      </c>
      <c r="AI161" s="133">
        <f t="shared" si="42"/>
        <v>0</v>
      </c>
      <c r="AJ161" s="55" t="str">
        <f t="shared" si="30"/>
        <v/>
      </c>
      <c r="AK161" s="68"/>
      <c r="AL161" s="68" t="str">
        <f t="shared" si="33"/>
        <v>00</v>
      </c>
      <c r="AM161" s="68" t="str">
        <f t="shared" si="34"/>
        <v>00</v>
      </c>
      <c r="AN161" s="68" t="str">
        <f t="shared" si="35"/>
        <v>00</v>
      </c>
      <c r="AO161" s="68" t="str">
        <f t="shared" si="36"/>
        <v>00</v>
      </c>
      <c r="AQ161" t="str">
        <f t="shared" si="31"/>
        <v/>
      </c>
    </row>
    <row r="162" spans="2:43">
      <c r="B162" s="139"/>
      <c r="C162" s="55">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0</v>
      </c>
      <c r="AE162" s="133">
        <f t="shared" si="42"/>
        <v>0</v>
      </c>
      <c r="AF162" s="133">
        <f t="shared" si="42"/>
        <v>0</v>
      </c>
      <c r="AG162" s="133">
        <f t="shared" si="42"/>
        <v>0</v>
      </c>
      <c r="AH162" s="133">
        <f t="shared" si="42"/>
        <v>0</v>
      </c>
      <c r="AI162" s="133">
        <f t="shared" si="42"/>
        <v>0</v>
      </c>
      <c r="AJ162" s="55" t="str">
        <f t="shared" si="30"/>
        <v/>
      </c>
      <c r="AK162" s="68"/>
      <c r="AL162" s="68" t="str">
        <f t="shared" si="33"/>
        <v>00</v>
      </c>
      <c r="AM162" s="68" t="str">
        <f t="shared" si="34"/>
        <v>00</v>
      </c>
      <c r="AN162" s="68" t="str">
        <f t="shared" si="35"/>
        <v>00</v>
      </c>
      <c r="AO162" s="68" t="str">
        <f t="shared" si="36"/>
        <v>00</v>
      </c>
      <c r="AQ162" t="str">
        <f t="shared" si="31"/>
        <v/>
      </c>
    </row>
    <row r="163" spans="2:43">
      <c r="B163" s="139"/>
      <c r="C163" s="55">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0</v>
      </c>
      <c r="AE163" s="133">
        <f t="shared" si="42"/>
        <v>0</v>
      </c>
      <c r="AF163" s="133">
        <f t="shared" si="42"/>
        <v>0</v>
      </c>
      <c r="AG163" s="133">
        <f t="shared" si="42"/>
        <v>0</v>
      </c>
      <c r="AH163" s="133">
        <f t="shared" si="42"/>
        <v>0</v>
      </c>
      <c r="AI163" s="133">
        <f t="shared" si="42"/>
        <v>0</v>
      </c>
      <c r="AJ163" s="55" t="str">
        <f t="shared" si="30"/>
        <v/>
      </c>
      <c r="AK163" s="68"/>
      <c r="AL163" s="68" t="str">
        <f t="shared" si="33"/>
        <v>00</v>
      </c>
      <c r="AM163" s="68" t="str">
        <f t="shared" si="34"/>
        <v>00</v>
      </c>
      <c r="AN163" s="68" t="str">
        <f t="shared" si="35"/>
        <v>00</v>
      </c>
      <c r="AO163" s="68" t="str">
        <f t="shared" si="36"/>
        <v>00</v>
      </c>
      <c r="AQ163" t="str">
        <f t="shared" si="31"/>
        <v/>
      </c>
    </row>
    <row r="164" spans="2:43">
      <c r="B164" s="139"/>
      <c r="C164" s="55">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0</v>
      </c>
      <c r="AE164" s="133">
        <f t="shared" si="42"/>
        <v>0</v>
      </c>
      <c r="AF164" s="133">
        <f t="shared" si="42"/>
        <v>0</v>
      </c>
      <c r="AG164" s="133">
        <f t="shared" si="42"/>
        <v>0</v>
      </c>
      <c r="AH164" s="133">
        <f t="shared" si="42"/>
        <v>0</v>
      </c>
      <c r="AI164" s="133">
        <f t="shared" si="42"/>
        <v>0</v>
      </c>
      <c r="AJ164" s="55" t="str">
        <f t="shared" si="30"/>
        <v/>
      </c>
      <c r="AK164" s="68"/>
      <c r="AL164" s="68" t="str">
        <f t="shared" si="33"/>
        <v>00</v>
      </c>
      <c r="AM164" s="68" t="str">
        <f t="shared" si="34"/>
        <v>00</v>
      </c>
      <c r="AN164" s="68" t="str">
        <f t="shared" si="35"/>
        <v>00</v>
      </c>
      <c r="AO164" s="68" t="str">
        <f t="shared" si="36"/>
        <v>00</v>
      </c>
      <c r="AQ164" t="str">
        <f t="shared" si="31"/>
        <v/>
      </c>
    </row>
    <row r="165" spans="2:43">
      <c r="B165" s="139"/>
      <c r="C165" s="55">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0</v>
      </c>
      <c r="AE165" s="133">
        <f t="shared" si="42"/>
        <v>0</v>
      </c>
      <c r="AF165" s="133">
        <f t="shared" si="42"/>
        <v>0</v>
      </c>
      <c r="AG165" s="133">
        <f t="shared" si="42"/>
        <v>0</v>
      </c>
      <c r="AH165" s="133">
        <f t="shared" si="42"/>
        <v>0</v>
      </c>
      <c r="AI165" s="133">
        <f t="shared" si="42"/>
        <v>0</v>
      </c>
      <c r="AJ165" s="55" t="str">
        <f t="shared" si="30"/>
        <v/>
      </c>
      <c r="AK165" s="68"/>
      <c r="AL165" s="68" t="str">
        <f t="shared" si="33"/>
        <v>00</v>
      </c>
      <c r="AM165" s="68" t="str">
        <f t="shared" si="34"/>
        <v>00</v>
      </c>
      <c r="AN165" s="68" t="str">
        <f t="shared" si="35"/>
        <v>00</v>
      </c>
      <c r="AO165" s="68" t="str">
        <f t="shared" si="36"/>
        <v>00</v>
      </c>
      <c r="AQ165" t="str">
        <f t="shared" si="31"/>
        <v/>
      </c>
    </row>
    <row r="166" spans="2:43">
      <c r="B166" s="139"/>
      <c r="C166" s="55">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0</v>
      </c>
      <c r="AE166" s="133">
        <f t="shared" si="42"/>
        <v>0</v>
      </c>
      <c r="AF166" s="133">
        <f t="shared" si="42"/>
        <v>0</v>
      </c>
      <c r="AG166" s="133">
        <f t="shared" si="42"/>
        <v>0</v>
      </c>
      <c r="AH166" s="133">
        <f t="shared" si="42"/>
        <v>0</v>
      </c>
      <c r="AI166" s="133">
        <f t="shared" si="42"/>
        <v>0</v>
      </c>
      <c r="AJ166" s="55" t="str">
        <f t="shared" si="30"/>
        <v/>
      </c>
      <c r="AK166" s="68"/>
      <c r="AL166" s="68" t="str">
        <f t="shared" si="33"/>
        <v>00</v>
      </c>
      <c r="AM166" s="68" t="str">
        <f t="shared" si="34"/>
        <v>00</v>
      </c>
      <c r="AN166" s="68" t="str">
        <f t="shared" si="35"/>
        <v>00</v>
      </c>
      <c r="AO166" s="68" t="str">
        <f t="shared" si="36"/>
        <v>00</v>
      </c>
      <c r="AQ166" t="str">
        <f t="shared" si="31"/>
        <v/>
      </c>
    </row>
    <row r="167" spans="2:43">
      <c r="B167" s="139"/>
      <c r="C167" s="55">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0</v>
      </c>
      <c r="AE167" s="133">
        <f t="shared" si="42"/>
        <v>0</v>
      </c>
      <c r="AF167" s="133">
        <f t="shared" si="42"/>
        <v>0</v>
      </c>
      <c r="AG167" s="133">
        <f t="shared" si="42"/>
        <v>0</v>
      </c>
      <c r="AH167" s="133">
        <f t="shared" si="42"/>
        <v>0</v>
      </c>
      <c r="AI167" s="133">
        <f t="shared" ref="AI167" si="43">IF(OR(AI37=0,AI37=1),1,0)</f>
        <v>0</v>
      </c>
      <c r="AJ167" s="55" t="str">
        <f t="shared" si="30"/>
        <v/>
      </c>
      <c r="AK167" s="68"/>
      <c r="AL167" s="68" t="str">
        <f t="shared" si="33"/>
        <v>00</v>
      </c>
      <c r="AM167" s="68" t="str">
        <f t="shared" si="34"/>
        <v>00</v>
      </c>
      <c r="AN167" s="68" t="str">
        <f t="shared" si="35"/>
        <v>00</v>
      </c>
      <c r="AO167" s="68" t="str">
        <f t="shared" si="36"/>
        <v>00</v>
      </c>
      <c r="AQ167" t="str">
        <f t="shared" si="31"/>
        <v/>
      </c>
    </row>
    <row r="168" spans="2:43">
      <c r="B168" s="139"/>
      <c r="C168" s="55">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0</v>
      </c>
      <c r="AE168" s="133">
        <f t="shared" si="44"/>
        <v>0</v>
      </c>
      <c r="AF168" s="133">
        <f t="shared" si="44"/>
        <v>0</v>
      </c>
      <c r="AG168" s="133">
        <f t="shared" si="44"/>
        <v>0</v>
      </c>
      <c r="AH168" s="133">
        <f t="shared" si="44"/>
        <v>0</v>
      </c>
      <c r="AI168" s="133">
        <f t="shared" si="44"/>
        <v>0</v>
      </c>
      <c r="AJ168" s="55" t="str">
        <f t="shared" si="30"/>
        <v/>
      </c>
      <c r="AK168" s="68"/>
      <c r="AL168" s="68" t="str">
        <f t="shared" si="33"/>
        <v>00</v>
      </c>
      <c r="AM168" s="68" t="str">
        <f t="shared" si="34"/>
        <v>00</v>
      </c>
      <c r="AN168" s="68" t="str">
        <f t="shared" si="35"/>
        <v>00</v>
      </c>
      <c r="AO168" s="68" t="str">
        <f t="shared" si="36"/>
        <v>00</v>
      </c>
      <c r="AQ168" t="str">
        <f t="shared" si="31"/>
        <v/>
      </c>
    </row>
    <row r="169" spans="2:43">
      <c r="B169" s="139"/>
      <c r="C169" s="55">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0</v>
      </c>
      <c r="AE169" s="133">
        <f t="shared" si="44"/>
        <v>0</v>
      </c>
      <c r="AF169" s="133">
        <f t="shared" si="44"/>
        <v>0</v>
      </c>
      <c r="AG169" s="133">
        <f t="shared" si="44"/>
        <v>0</v>
      </c>
      <c r="AH169" s="133">
        <f t="shared" si="44"/>
        <v>0</v>
      </c>
      <c r="AI169" s="133">
        <f t="shared" si="44"/>
        <v>0</v>
      </c>
      <c r="AJ169" s="55" t="str">
        <f t="shared" si="30"/>
        <v/>
      </c>
      <c r="AK169" s="68"/>
      <c r="AL169" s="68" t="str">
        <f t="shared" si="33"/>
        <v>00</v>
      </c>
      <c r="AM169" s="68" t="str">
        <f t="shared" si="34"/>
        <v>00</v>
      </c>
      <c r="AN169" s="68" t="str">
        <f t="shared" si="35"/>
        <v>00</v>
      </c>
      <c r="AO169" s="68" t="str">
        <f t="shared" si="36"/>
        <v>00</v>
      </c>
      <c r="AQ169" t="str">
        <f t="shared" si="31"/>
        <v/>
      </c>
    </row>
    <row r="170" spans="2:43">
      <c r="B170" s="139"/>
      <c r="C170" s="55">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0</v>
      </c>
      <c r="AE170" s="133">
        <f t="shared" si="44"/>
        <v>0</v>
      </c>
      <c r="AF170" s="133">
        <f t="shared" si="44"/>
        <v>0</v>
      </c>
      <c r="AG170" s="133">
        <f t="shared" si="44"/>
        <v>0</v>
      </c>
      <c r="AH170" s="133">
        <f t="shared" si="44"/>
        <v>0</v>
      </c>
      <c r="AI170" s="133">
        <f t="shared" si="44"/>
        <v>0</v>
      </c>
      <c r="AJ170" s="55" t="str">
        <f t="shared" si="30"/>
        <v/>
      </c>
      <c r="AK170" s="68"/>
      <c r="AL170" s="68" t="str">
        <f t="shared" si="33"/>
        <v>00</v>
      </c>
      <c r="AM170" s="68" t="str">
        <f t="shared" si="34"/>
        <v>00</v>
      </c>
      <c r="AN170" s="68" t="str">
        <f t="shared" si="35"/>
        <v>00</v>
      </c>
      <c r="AO170" s="68" t="str">
        <f t="shared" si="36"/>
        <v>00</v>
      </c>
      <c r="AQ170" t="str">
        <f t="shared" si="31"/>
        <v/>
      </c>
    </row>
    <row r="171" spans="2:43">
      <c r="B171" s="139"/>
      <c r="C171" s="55">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0</v>
      </c>
      <c r="AE171" s="133">
        <f t="shared" si="44"/>
        <v>0</v>
      </c>
      <c r="AF171" s="133">
        <f t="shared" si="44"/>
        <v>0</v>
      </c>
      <c r="AG171" s="133">
        <f t="shared" si="44"/>
        <v>0</v>
      </c>
      <c r="AH171" s="133">
        <f t="shared" si="44"/>
        <v>0</v>
      </c>
      <c r="AI171" s="133">
        <f t="shared" si="44"/>
        <v>0</v>
      </c>
      <c r="AJ171" s="55" t="str">
        <f t="shared" si="30"/>
        <v/>
      </c>
      <c r="AK171" s="68"/>
      <c r="AL171" s="68" t="str">
        <f t="shared" si="33"/>
        <v>00</v>
      </c>
      <c r="AM171" s="68" t="str">
        <f t="shared" si="34"/>
        <v>00</v>
      </c>
      <c r="AN171" s="68" t="str">
        <f t="shared" si="35"/>
        <v>00</v>
      </c>
      <c r="AO171" s="68" t="str">
        <f t="shared" si="36"/>
        <v>00</v>
      </c>
      <c r="AQ171" t="str">
        <f t="shared" si="31"/>
        <v/>
      </c>
    </row>
    <row r="172" spans="2:43">
      <c r="B172" s="139"/>
      <c r="C172" s="55">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0</v>
      </c>
      <c r="AE172" s="133">
        <f t="shared" si="44"/>
        <v>0</v>
      </c>
      <c r="AF172" s="133">
        <f t="shared" si="44"/>
        <v>0</v>
      </c>
      <c r="AG172" s="133">
        <f t="shared" si="44"/>
        <v>0</v>
      </c>
      <c r="AH172" s="133">
        <f t="shared" si="44"/>
        <v>0</v>
      </c>
      <c r="AI172" s="133">
        <f t="shared" si="44"/>
        <v>0</v>
      </c>
      <c r="AJ172" s="55" t="str">
        <f t="shared" si="30"/>
        <v/>
      </c>
      <c r="AK172" s="68"/>
      <c r="AL172" s="68" t="str">
        <f t="shared" si="33"/>
        <v>00</v>
      </c>
      <c r="AM172" s="68" t="str">
        <f t="shared" si="34"/>
        <v>00</v>
      </c>
      <c r="AN172" s="68" t="str">
        <f t="shared" si="35"/>
        <v>00</v>
      </c>
      <c r="AO172" s="68" t="str">
        <f t="shared" si="36"/>
        <v>00</v>
      </c>
      <c r="AQ172" t="str">
        <f t="shared" si="31"/>
        <v/>
      </c>
    </row>
    <row r="173" spans="2:43">
      <c r="B173" s="139"/>
      <c r="C173" s="55">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0</v>
      </c>
      <c r="AE173" s="133">
        <f t="shared" si="44"/>
        <v>0</v>
      </c>
      <c r="AF173" s="133">
        <f t="shared" si="44"/>
        <v>0</v>
      </c>
      <c r="AG173" s="133">
        <f t="shared" si="44"/>
        <v>0</v>
      </c>
      <c r="AH173" s="133">
        <f t="shared" si="44"/>
        <v>0</v>
      </c>
      <c r="AI173" s="133">
        <f t="shared" si="44"/>
        <v>0</v>
      </c>
      <c r="AJ173" s="55" t="str">
        <f t="shared" si="30"/>
        <v/>
      </c>
      <c r="AK173" s="68"/>
      <c r="AL173" s="68" t="str">
        <f t="shared" si="33"/>
        <v>00</v>
      </c>
      <c r="AM173" s="68" t="str">
        <f t="shared" si="34"/>
        <v>00</v>
      </c>
      <c r="AN173" s="68" t="str">
        <f t="shared" si="35"/>
        <v>00</v>
      </c>
      <c r="AO173" s="68" t="str">
        <f t="shared" si="36"/>
        <v>00</v>
      </c>
      <c r="AQ173" t="str">
        <f t="shared" si="31"/>
        <v/>
      </c>
    </row>
    <row r="174" spans="2:43">
      <c r="B174" s="139"/>
      <c r="C174" s="55">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0</v>
      </c>
      <c r="AE174" s="133">
        <f t="shared" si="44"/>
        <v>0</v>
      </c>
      <c r="AF174" s="133">
        <f t="shared" si="44"/>
        <v>0</v>
      </c>
      <c r="AG174" s="133">
        <f t="shared" si="44"/>
        <v>0</v>
      </c>
      <c r="AH174" s="133">
        <f t="shared" si="44"/>
        <v>0</v>
      </c>
      <c r="AI174" s="133">
        <f t="shared" si="44"/>
        <v>0</v>
      </c>
      <c r="AJ174" s="55" t="str">
        <f t="shared" si="30"/>
        <v/>
      </c>
      <c r="AK174" s="68"/>
      <c r="AL174" s="68" t="str">
        <f t="shared" si="33"/>
        <v>00</v>
      </c>
      <c r="AM174" s="68" t="str">
        <f t="shared" si="34"/>
        <v>00</v>
      </c>
      <c r="AN174" s="68" t="str">
        <f t="shared" si="35"/>
        <v>00</v>
      </c>
      <c r="AO174" s="68" t="str">
        <f t="shared" si="36"/>
        <v>00</v>
      </c>
      <c r="AQ174" t="str">
        <f t="shared" si="31"/>
        <v/>
      </c>
    </row>
    <row r="175" spans="2:43">
      <c r="B175" s="139"/>
      <c r="C175" s="55">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0</v>
      </c>
      <c r="AE175" s="133">
        <f t="shared" si="44"/>
        <v>0</v>
      </c>
      <c r="AF175" s="133">
        <f t="shared" si="44"/>
        <v>0</v>
      </c>
      <c r="AG175" s="133">
        <f t="shared" si="44"/>
        <v>0</v>
      </c>
      <c r="AH175" s="133">
        <f t="shared" si="44"/>
        <v>0</v>
      </c>
      <c r="AI175" s="133">
        <f t="shared" ref="AI175" si="45">IF(OR(AI45=0,AI45=1),1,0)</f>
        <v>0</v>
      </c>
      <c r="AJ175" s="55" t="str">
        <f t="shared" si="30"/>
        <v/>
      </c>
      <c r="AK175" s="68"/>
      <c r="AL175" s="68" t="str">
        <f t="shared" si="33"/>
        <v>00</v>
      </c>
      <c r="AM175" s="68" t="str">
        <f t="shared" si="34"/>
        <v>00</v>
      </c>
      <c r="AN175" s="68" t="str">
        <f t="shared" si="35"/>
        <v>00</v>
      </c>
      <c r="AO175" s="68" t="str">
        <f t="shared" si="36"/>
        <v>00</v>
      </c>
      <c r="AQ175" t="str">
        <f t="shared" si="31"/>
        <v/>
      </c>
    </row>
    <row r="176" spans="2:43">
      <c r="B176" s="139"/>
      <c r="C176" s="55">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0</v>
      </c>
      <c r="AE176" s="133">
        <f t="shared" si="46"/>
        <v>0</v>
      </c>
      <c r="AF176" s="133">
        <f t="shared" si="46"/>
        <v>0</v>
      </c>
      <c r="AG176" s="133">
        <f t="shared" si="46"/>
        <v>0</v>
      </c>
      <c r="AH176" s="133">
        <f t="shared" si="46"/>
        <v>0</v>
      </c>
      <c r="AI176" s="133">
        <f t="shared" si="46"/>
        <v>0</v>
      </c>
      <c r="AJ176" s="55" t="str">
        <f t="shared" si="30"/>
        <v/>
      </c>
      <c r="AK176" s="68"/>
      <c r="AL176" s="68" t="str">
        <f t="shared" si="33"/>
        <v>00</v>
      </c>
      <c r="AM176" s="68" t="str">
        <f t="shared" si="34"/>
        <v>00</v>
      </c>
      <c r="AN176" s="68" t="str">
        <f t="shared" si="35"/>
        <v>00</v>
      </c>
      <c r="AO176" s="68" t="str">
        <f t="shared" si="36"/>
        <v>00</v>
      </c>
      <c r="AQ176" t="str">
        <f t="shared" si="31"/>
        <v/>
      </c>
    </row>
    <row r="177" spans="2:43">
      <c r="B177" s="139"/>
      <c r="C177" s="55">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0</v>
      </c>
      <c r="AE177" s="133">
        <f t="shared" si="46"/>
        <v>0</v>
      </c>
      <c r="AF177" s="133">
        <f t="shared" si="46"/>
        <v>0</v>
      </c>
      <c r="AG177" s="133">
        <f t="shared" si="46"/>
        <v>0</v>
      </c>
      <c r="AH177" s="133">
        <f t="shared" si="46"/>
        <v>0</v>
      </c>
      <c r="AI177" s="133">
        <f t="shared" si="46"/>
        <v>0</v>
      </c>
      <c r="AJ177" s="55" t="str">
        <f t="shared" si="30"/>
        <v/>
      </c>
      <c r="AK177" s="68"/>
      <c r="AL177" s="68" t="str">
        <f t="shared" si="33"/>
        <v>00</v>
      </c>
      <c r="AM177" s="68" t="str">
        <f t="shared" si="34"/>
        <v>00</v>
      </c>
      <c r="AN177" s="68" t="str">
        <f t="shared" si="35"/>
        <v>00</v>
      </c>
      <c r="AO177" s="68" t="str">
        <f t="shared" si="36"/>
        <v>00</v>
      </c>
      <c r="AQ177" t="str">
        <f t="shared" si="31"/>
        <v/>
      </c>
    </row>
    <row r="178" spans="2:43">
      <c r="B178" s="139"/>
      <c r="C178" s="55">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0</v>
      </c>
      <c r="AE178" s="133">
        <f t="shared" si="46"/>
        <v>0</v>
      </c>
      <c r="AF178" s="133">
        <f t="shared" si="46"/>
        <v>0</v>
      </c>
      <c r="AG178" s="133">
        <f t="shared" si="46"/>
        <v>0</v>
      </c>
      <c r="AH178" s="133">
        <f t="shared" si="46"/>
        <v>0</v>
      </c>
      <c r="AI178" s="133">
        <f t="shared" si="46"/>
        <v>0</v>
      </c>
      <c r="AJ178" s="55" t="str">
        <f t="shared" si="30"/>
        <v/>
      </c>
      <c r="AK178" s="68"/>
      <c r="AL178" s="68" t="str">
        <f t="shared" si="33"/>
        <v>00</v>
      </c>
      <c r="AM178" s="68" t="str">
        <f t="shared" si="34"/>
        <v>00</v>
      </c>
      <c r="AN178" s="68" t="str">
        <f t="shared" si="35"/>
        <v>00</v>
      </c>
      <c r="AO178" s="68" t="str">
        <f t="shared" si="36"/>
        <v>00</v>
      </c>
      <c r="AQ178" t="str">
        <f t="shared" si="31"/>
        <v/>
      </c>
    </row>
    <row r="179" spans="2:43">
      <c r="B179" s="139"/>
      <c r="C179" s="55">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0</v>
      </c>
      <c r="AE179" s="133">
        <f t="shared" si="46"/>
        <v>0</v>
      </c>
      <c r="AF179" s="133">
        <f t="shared" si="46"/>
        <v>0</v>
      </c>
      <c r="AG179" s="133">
        <f t="shared" si="46"/>
        <v>0</v>
      </c>
      <c r="AH179" s="133">
        <f t="shared" si="46"/>
        <v>0</v>
      </c>
      <c r="AI179" s="133">
        <f t="shared" si="46"/>
        <v>0</v>
      </c>
      <c r="AJ179" s="55" t="str">
        <f t="shared" si="30"/>
        <v/>
      </c>
      <c r="AK179" s="68"/>
      <c r="AL179" s="68" t="str">
        <f t="shared" si="33"/>
        <v>00</v>
      </c>
      <c r="AM179" s="68" t="str">
        <f t="shared" si="34"/>
        <v>00</v>
      </c>
      <c r="AN179" s="68" t="str">
        <f t="shared" si="35"/>
        <v>00</v>
      </c>
      <c r="AO179" s="68" t="str">
        <f t="shared" si="36"/>
        <v>00</v>
      </c>
      <c r="AQ179" t="str">
        <f t="shared" si="31"/>
        <v/>
      </c>
    </row>
    <row r="180" spans="2:43">
      <c r="B180" s="139"/>
      <c r="C180" s="55">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0</v>
      </c>
      <c r="AE180" s="133">
        <f t="shared" si="46"/>
        <v>0</v>
      </c>
      <c r="AF180" s="133">
        <f t="shared" si="46"/>
        <v>0</v>
      </c>
      <c r="AG180" s="133">
        <f t="shared" si="46"/>
        <v>0</v>
      </c>
      <c r="AH180" s="133">
        <f t="shared" si="46"/>
        <v>0</v>
      </c>
      <c r="AI180" s="133">
        <f t="shared" si="46"/>
        <v>0</v>
      </c>
      <c r="AJ180" s="55" t="str">
        <f t="shared" si="30"/>
        <v/>
      </c>
      <c r="AK180" s="68"/>
      <c r="AL180" s="68" t="str">
        <f t="shared" si="33"/>
        <v>00</v>
      </c>
      <c r="AM180" s="68" t="str">
        <f t="shared" si="34"/>
        <v>00</v>
      </c>
      <c r="AN180" s="68" t="str">
        <f t="shared" si="35"/>
        <v>00</v>
      </c>
      <c r="AO180" s="68" t="str">
        <f t="shared" si="36"/>
        <v>00</v>
      </c>
      <c r="AQ180" t="str">
        <f t="shared" si="31"/>
        <v/>
      </c>
    </row>
    <row r="181" spans="2:43">
      <c r="B181" s="139"/>
      <c r="C181" s="55">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0</v>
      </c>
      <c r="AE181" s="133">
        <f t="shared" si="46"/>
        <v>0</v>
      </c>
      <c r="AF181" s="133">
        <f t="shared" si="46"/>
        <v>0</v>
      </c>
      <c r="AG181" s="133">
        <f t="shared" si="46"/>
        <v>0</v>
      </c>
      <c r="AH181" s="133">
        <f t="shared" si="46"/>
        <v>0</v>
      </c>
      <c r="AI181" s="133">
        <f t="shared" si="46"/>
        <v>0</v>
      </c>
      <c r="AJ181" s="55" t="str">
        <f t="shared" si="30"/>
        <v/>
      </c>
      <c r="AK181" s="68"/>
      <c r="AL181" s="68" t="str">
        <f t="shared" si="33"/>
        <v>00</v>
      </c>
      <c r="AM181" s="68" t="str">
        <f t="shared" si="34"/>
        <v>00</v>
      </c>
      <c r="AN181" s="68" t="str">
        <f t="shared" si="35"/>
        <v>00</v>
      </c>
      <c r="AO181" s="68" t="str">
        <f t="shared" si="36"/>
        <v>00</v>
      </c>
      <c r="AQ181" t="str">
        <f t="shared" si="31"/>
        <v/>
      </c>
    </row>
    <row r="182" spans="2:43">
      <c r="B182" s="139"/>
      <c r="C182" s="55">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0</v>
      </c>
      <c r="AE182" s="133">
        <f t="shared" si="46"/>
        <v>0</v>
      </c>
      <c r="AF182" s="133">
        <f t="shared" si="46"/>
        <v>0</v>
      </c>
      <c r="AG182" s="133">
        <f t="shared" si="46"/>
        <v>0</v>
      </c>
      <c r="AH182" s="133">
        <f t="shared" si="46"/>
        <v>0</v>
      </c>
      <c r="AI182" s="133">
        <f t="shared" si="46"/>
        <v>0</v>
      </c>
      <c r="AJ182" s="55" t="str">
        <f t="shared" si="30"/>
        <v/>
      </c>
      <c r="AK182" s="68"/>
      <c r="AL182" s="68" t="str">
        <f t="shared" si="33"/>
        <v>00</v>
      </c>
      <c r="AM182" s="68" t="str">
        <f t="shared" si="34"/>
        <v>00</v>
      </c>
      <c r="AN182" s="68" t="str">
        <f t="shared" si="35"/>
        <v>00</v>
      </c>
      <c r="AO182" s="68" t="str">
        <f t="shared" si="36"/>
        <v>00</v>
      </c>
      <c r="AQ182" t="str">
        <f t="shared" si="31"/>
        <v/>
      </c>
    </row>
    <row r="183" spans="2:43">
      <c r="B183" s="139"/>
      <c r="C183" s="55">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0</v>
      </c>
      <c r="AE183" s="133">
        <f t="shared" si="46"/>
        <v>0</v>
      </c>
      <c r="AF183" s="133">
        <f t="shared" si="46"/>
        <v>0</v>
      </c>
      <c r="AG183" s="133">
        <f t="shared" si="46"/>
        <v>0</v>
      </c>
      <c r="AH183" s="133">
        <f t="shared" si="46"/>
        <v>0</v>
      </c>
      <c r="AI183" s="133">
        <f t="shared" ref="AI183" si="47">IF(OR(AI53=0,AI53=1),1,0)</f>
        <v>0</v>
      </c>
      <c r="AJ183" s="55" t="str">
        <f t="shared" si="30"/>
        <v/>
      </c>
      <c r="AK183" s="68"/>
      <c r="AL183" s="68" t="str">
        <f t="shared" si="33"/>
        <v>00</v>
      </c>
      <c r="AM183" s="68" t="str">
        <f t="shared" si="34"/>
        <v>00</v>
      </c>
      <c r="AN183" s="68" t="str">
        <f t="shared" si="35"/>
        <v>00</v>
      </c>
      <c r="AO183" s="68" t="str">
        <f t="shared" si="36"/>
        <v>00</v>
      </c>
      <c r="AQ183" t="str">
        <f t="shared" si="31"/>
        <v/>
      </c>
    </row>
    <row r="184" spans="2:43">
      <c r="B184" s="139"/>
      <c r="C184" s="55">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0</v>
      </c>
      <c r="AE184" s="133">
        <f t="shared" si="48"/>
        <v>0</v>
      </c>
      <c r="AF184" s="133">
        <f t="shared" si="48"/>
        <v>0</v>
      </c>
      <c r="AG184" s="133">
        <f t="shared" si="48"/>
        <v>0</v>
      </c>
      <c r="AH184" s="133">
        <f t="shared" si="48"/>
        <v>0</v>
      </c>
      <c r="AI184" s="133">
        <f t="shared" si="48"/>
        <v>0</v>
      </c>
      <c r="AJ184" s="55" t="str">
        <f t="shared" si="30"/>
        <v/>
      </c>
      <c r="AK184" s="68"/>
      <c r="AL184" s="68" t="str">
        <f t="shared" si="33"/>
        <v>00</v>
      </c>
      <c r="AM184" s="68" t="str">
        <f t="shared" si="34"/>
        <v>00</v>
      </c>
      <c r="AN184" s="68" t="str">
        <f t="shared" si="35"/>
        <v>00</v>
      </c>
      <c r="AO184" s="68" t="str">
        <f t="shared" si="36"/>
        <v>00</v>
      </c>
      <c r="AQ184" t="str">
        <f t="shared" si="31"/>
        <v/>
      </c>
    </row>
    <row r="185" spans="2:43">
      <c r="B185" s="139"/>
      <c r="C185" s="55">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0</v>
      </c>
      <c r="AE185" s="133">
        <f t="shared" si="48"/>
        <v>0</v>
      </c>
      <c r="AF185" s="133">
        <f t="shared" si="48"/>
        <v>0</v>
      </c>
      <c r="AG185" s="133">
        <f t="shared" si="48"/>
        <v>0</v>
      </c>
      <c r="AH185" s="133">
        <f t="shared" si="48"/>
        <v>0</v>
      </c>
      <c r="AI185" s="133">
        <f t="shared" si="48"/>
        <v>0</v>
      </c>
      <c r="AJ185" s="55" t="str">
        <f t="shared" si="30"/>
        <v/>
      </c>
      <c r="AK185" s="68"/>
      <c r="AL185" s="68" t="str">
        <f t="shared" si="33"/>
        <v>00</v>
      </c>
      <c r="AM185" s="68" t="str">
        <f t="shared" si="34"/>
        <v>00</v>
      </c>
      <c r="AN185" s="68" t="str">
        <f t="shared" si="35"/>
        <v>00</v>
      </c>
      <c r="AO185" s="68" t="str">
        <f t="shared" si="36"/>
        <v>00</v>
      </c>
      <c r="AQ185" t="str">
        <f t="shared" si="31"/>
        <v/>
      </c>
    </row>
    <row r="186" spans="2:43">
      <c r="B186" s="139"/>
      <c r="C186" s="55">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0</v>
      </c>
      <c r="AE186" s="133">
        <f t="shared" si="48"/>
        <v>0</v>
      </c>
      <c r="AF186" s="133">
        <f t="shared" si="48"/>
        <v>0</v>
      </c>
      <c r="AG186" s="133">
        <f t="shared" si="48"/>
        <v>0</v>
      </c>
      <c r="AH186" s="133">
        <f t="shared" si="48"/>
        <v>0</v>
      </c>
      <c r="AI186" s="133">
        <f t="shared" si="48"/>
        <v>0</v>
      </c>
      <c r="AJ186" s="55" t="str">
        <f t="shared" si="30"/>
        <v/>
      </c>
      <c r="AK186" s="68"/>
      <c r="AL186" s="68" t="str">
        <f t="shared" si="33"/>
        <v>00</v>
      </c>
      <c r="AM186" s="68" t="str">
        <f t="shared" si="34"/>
        <v>00</v>
      </c>
      <c r="AN186" s="68" t="str">
        <f t="shared" si="35"/>
        <v>00</v>
      </c>
      <c r="AO186" s="68" t="str">
        <f t="shared" si="36"/>
        <v>00</v>
      </c>
      <c r="AQ186" t="str">
        <f t="shared" si="31"/>
        <v/>
      </c>
    </row>
    <row r="187" spans="2:43">
      <c r="B187" s="139"/>
      <c r="C187" s="55">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0</v>
      </c>
      <c r="AE187" s="133">
        <f t="shared" si="48"/>
        <v>0</v>
      </c>
      <c r="AF187" s="133">
        <f t="shared" si="48"/>
        <v>0</v>
      </c>
      <c r="AG187" s="133">
        <f t="shared" si="48"/>
        <v>0</v>
      </c>
      <c r="AH187" s="133">
        <f t="shared" si="48"/>
        <v>0</v>
      </c>
      <c r="AI187" s="133">
        <f t="shared" si="48"/>
        <v>0</v>
      </c>
      <c r="AJ187" s="55" t="str">
        <f t="shared" si="30"/>
        <v/>
      </c>
      <c r="AK187" s="68"/>
      <c r="AL187" s="68" t="str">
        <f t="shared" si="33"/>
        <v>00</v>
      </c>
      <c r="AM187" s="68" t="str">
        <f t="shared" si="34"/>
        <v>00</v>
      </c>
      <c r="AN187" s="68" t="str">
        <f t="shared" si="35"/>
        <v>00</v>
      </c>
      <c r="AO187" s="68" t="str">
        <f t="shared" si="36"/>
        <v>00</v>
      </c>
      <c r="AQ187" t="str">
        <f t="shared" si="31"/>
        <v/>
      </c>
    </row>
    <row r="188" spans="2:43">
      <c r="B188" s="139"/>
      <c r="C188" s="55">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0</v>
      </c>
      <c r="AE188" s="133">
        <f t="shared" si="48"/>
        <v>0</v>
      </c>
      <c r="AF188" s="133">
        <f t="shared" si="48"/>
        <v>0</v>
      </c>
      <c r="AG188" s="133">
        <f t="shared" si="48"/>
        <v>0</v>
      </c>
      <c r="AH188" s="133">
        <f t="shared" si="48"/>
        <v>0</v>
      </c>
      <c r="AI188" s="133">
        <f t="shared" si="48"/>
        <v>0</v>
      </c>
      <c r="AJ188" s="55" t="str">
        <f t="shared" si="30"/>
        <v/>
      </c>
      <c r="AK188" s="68"/>
      <c r="AL188" s="68" t="str">
        <f t="shared" si="33"/>
        <v>00</v>
      </c>
      <c r="AM188" s="68" t="str">
        <f t="shared" si="34"/>
        <v>00</v>
      </c>
      <c r="AN188" s="68" t="str">
        <f t="shared" si="35"/>
        <v>00</v>
      </c>
      <c r="AO188" s="68" t="str">
        <f t="shared" si="36"/>
        <v>00</v>
      </c>
      <c r="AQ188" t="str">
        <f t="shared" si="31"/>
        <v/>
      </c>
    </row>
    <row r="189" spans="2:43">
      <c r="B189" s="139"/>
      <c r="C189" s="55">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0</v>
      </c>
      <c r="AE189" s="133">
        <f t="shared" si="48"/>
        <v>0</v>
      </c>
      <c r="AF189" s="133">
        <f t="shared" si="48"/>
        <v>0</v>
      </c>
      <c r="AG189" s="133">
        <f t="shared" si="48"/>
        <v>0</v>
      </c>
      <c r="AH189" s="133">
        <f t="shared" si="48"/>
        <v>0</v>
      </c>
      <c r="AI189" s="133">
        <f t="shared" si="48"/>
        <v>0</v>
      </c>
      <c r="AJ189" s="55" t="str">
        <f t="shared" si="30"/>
        <v/>
      </c>
      <c r="AK189" s="68"/>
      <c r="AL189" s="68" t="str">
        <f t="shared" si="33"/>
        <v>00</v>
      </c>
      <c r="AM189" s="68" t="str">
        <f t="shared" si="34"/>
        <v>00</v>
      </c>
      <c r="AN189" s="68" t="str">
        <f t="shared" si="35"/>
        <v>00</v>
      </c>
      <c r="AO189" s="68" t="str">
        <f t="shared" si="36"/>
        <v>00</v>
      </c>
      <c r="AQ189" t="str">
        <f t="shared" si="31"/>
        <v/>
      </c>
    </row>
    <row r="190" spans="2:43">
      <c r="B190" s="139"/>
      <c r="C190" s="55">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0</v>
      </c>
      <c r="AE190" s="133">
        <f t="shared" si="48"/>
        <v>0</v>
      </c>
      <c r="AF190" s="133">
        <f t="shared" si="48"/>
        <v>0</v>
      </c>
      <c r="AG190" s="133">
        <f t="shared" si="48"/>
        <v>0</v>
      </c>
      <c r="AH190" s="133">
        <f t="shared" si="48"/>
        <v>0</v>
      </c>
      <c r="AI190" s="133">
        <f t="shared" si="48"/>
        <v>0</v>
      </c>
      <c r="AJ190" s="55" t="str">
        <f t="shared" si="30"/>
        <v/>
      </c>
      <c r="AK190" s="68"/>
      <c r="AL190" s="68" t="str">
        <f t="shared" si="33"/>
        <v>00</v>
      </c>
      <c r="AM190" s="68" t="str">
        <f t="shared" si="34"/>
        <v>00</v>
      </c>
      <c r="AN190" s="68" t="str">
        <f t="shared" si="35"/>
        <v>00</v>
      </c>
      <c r="AO190" s="68" t="str">
        <f t="shared" si="36"/>
        <v>00</v>
      </c>
      <c r="AQ190" t="str">
        <f t="shared" si="31"/>
        <v/>
      </c>
    </row>
    <row r="191" spans="2:43">
      <c r="B191" s="139"/>
      <c r="C191" s="55">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0</v>
      </c>
      <c r="AE191" s="133">
        <f t="shared" si="48"/>
        <v>0</v>
      </c>
      <c r="AF191" s="133">
        <f t="shared" si="48"/>
        <v>0</v>
      </c>
      <c r="AG191" s="133">
        <f t="shared" si="48"/>
        <v>0</v>
      </c>
      <c r="AH191" s="133">
        <f t="shared" si="48"/>
        <v>0</v>
      </c>
      <c r="AI191" s="133">
        <f t="shared" ref="AI191" si="49">IF(OR(AI61=0,AI61=1),1,0)</f>
        <v>0</v>
      </c>
      <c r="AJ191" s="55" t="str">
        <f t="shared" si="30"/>
        <v/>
      </c>
      <c r="AK191" s="68"/>
      <c r="AL191" s="68" t="str">
        <f t="shared" si="33"/>
        <v>00</v>
      </c>
      <c r="AM191" s="68" t="str">
        <f t="shared" si="34"/>
        <v>00</v>
      </c>
      <c r="AN191" s="68" t="str">
        <f t="shared" si="35"/>
        <v>00</v>
      </c>
      <c r="AO191" s="68" t="str">
        <f t="shared" si="36"/>
        <v>00</v>
      </c>
      <c r="AQ191" t="str">
        <f t="shared" si="31"/>
        <v/>
      </c>
    </row>
    <row r="192" spans="2:43">
      <c r="B192" s="139"/>
      <c r="C192" s="55">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0</v>
      </c>
      <c r="AE192" s="133">
        <f t="shared" si="50"/>
        <v>0</v>
      </c>
      <c r="AF192" s="133">
        <f t="shared" si="50"/>
        <v>0</v>
      </c>
      <c r="AG192" s="133">
        <f t="shared" si="50"/>
        <v>0</v>
      </c>
      <c r="AH192" s="133">
        <f t="shared" si="50"/>
        <v>0</v>
      </c>
      <c r="AI192" s="133">
        <f t="shared" si="50"/>
        <v>0</v>
      </c>
      <c r="AJ192" s="55" t="str">
        <f t="shared" si="30"/>
        <v/>
      </c>
      <c r="AK192" s="68"/>
      <c r="AL192" s="68" t="str">
        <f t="shared" si="33"/>
        <v>00</v>
      </c>
      <c r="AM192" s="68" t="str">
        <f t="shared" si="34"/>
        <v>00</v>
      </c>
      <c r="AN192" s="68" t="str">
        <f t="shared" si="35"/>
        <v>00</v>
      </c>
      <c r="AO192" s="68" t="str">
        <f t="shared" si="36"/>
        <v>00</v>
      </c>
      <c r="AQ192" t="str">
        <f t="shared" si="31"/>
        <v/>
      </c>
    </row>
    <row r="193" spans="2:43">
      <c r="B193" s="139"/>
      <c r="C193" s="55">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0</v>
      </c>
      <c r="AE193" s="133">
        <f t="shared" si="50"/>
        <v>0</v>
      </c>
      <c r="AF193" s="133">
        <f t="shared" si="50"/>
        <v>0</v>
      </c>
      <c r="AG193" s="133">
        <f t="shared" si="50"/>
        <v>0</v>
      </c>
      <c r="AH193" s="133">
        <f t="shared" si="50"/>
        <v>0</v>
      </c>
      <c r="AI193" s="133">
        <f t="shared" si="50"/>
        <v>0</v>
      </c>
      <c r="AJ193" s="55" t="str">
        <f t="shared" si="30"/>
        <v/>
      </c>
      <c r="AK193" s="68"/>
      <c r="AL193" s="68" t="str">
        <f t="shared" si="33"/>
        <v>00</v>
      </c>
      <c r="AM193" s="68" t="str">
        <f t="shared" si="34"/>
        <v>00</v>
      </c>
      <c r="AN193" s="68" t="str">
        <f t="shared" si="35"/>
        <v>00</v>
      </c>
      <c r="AO193" s="68" t="str">
        <f t="shared" si="36"/>
        <v>00</v>
      </c>
      <c r="AQ193" t="str">
        <f t="shared" si="31"/>
        <v/>
      </c>
    </row>
    <row r="194" spans="2:43">
      <c r="B194" s="139"/>
      <c r="C194" s="55">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0</v>
      </c>
      <c r="AE194" s="133">
        <f t="shared" si="50"/>
        <v>0</v>
      </c>
      <c r="AF194" s="133">
        <f t="shared" si="50"/>
        <v>0</v>
      </c>
      <c r="AG194" s="133">
        <f t="shared" si="50"/>
        <v>0</v>
      </c>
      <c r="AH194" s="133">
        <f t="shared" si="50"/>
        <v>0</v>
      </c>
      <c r="AI194" s="133">
        <f t="shared" si="50"/>
        <v>0</v>
      </c>
      <c r="AJ194" s="55" t="str">
        <f t="shared" si="30"/>
        <v/>
      </c>
      <c r="AK194" s="68"/>
      <c r="AL194" s="68" t="str">
        <f t="shared" si="33"/>
        <v>00</v>
      </c>
      <c r="AM194" s="68" t="str">
        <f t="shared" si="34"/>
        <v>00</v>
      </c>
      <c r="AN194" s="68" t="str">
        <f t="shared" si="35"/>
        <v>00</v>
      </c>
      <c r="AO194" s="68" t="str">
        <f t="shared" si="36"/>
        <v>00</v>
      </c>
      <c r="AQ194" t="str">
        <f t="shared" si="31"/>
        <v/>
      </c>
    </row>
    <row r="195" spans="2:43">
      <c r="B195" s="139"/>
      <c r="C195" s="55">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0</v>
      </c>
      <c r="AE195" s="133">
        <f t="shared" si="50"/>
        <v>0</v>
      </c>
      <c r="AF195" s="133">
        <f t="shared" si="50"/>
        <v>0</v>
      </c>
      <c r="AG195" s="133">
        <f t="shared" si="50"/>
        <v>0</v>
      </c>
      <c r="AH195" s="133">
        <f t="shared" si="50"/>
        <v>0</v>
      </c>
      <c r="AI195" s="133">
        <f t="shared" si="50"/>
        <v>0</v>
      </c>
      <c r="AJ195" s="55" t="str">
        <f t="shared" si="30"/>
        <v/>
      </c>
      <c r="AK195" s="68"/>
      <c r="AL195" s="68" t="str">
        <f t="shared" si="33"/>
        <v>00</v>
      </c>
      <c r="AM195" s="68" t="str">
        <f t="shared" si="34"/>
        <v>00</v>
      </c>
      <c r="AN195" s="68" t="str">
        <f t="shared" si="35"/>
        <v>00</v>
      </c>
      <c r="AO195" s="68" t="str">
        <f t="shared" si="36"/>
        <v>00</v>
      </c>
      <c r="AQ195" t="str">
        <f t="shared" si="31"/>
        <v/>
      </c>
    </row>
    <row r="196" spans="2:43">
      <c r="B196" s="139"/>
      <c r="C196" s="55">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0</v>
      </c>
      <c r="AE196" s="133">
        <f t="shared" si="50"/>
        <v>0</v>
      </c>
      <c r="AF196" s="133">
        <f t="shared" si="50"/>
        <v>0</v>
      </c>
      <c r="AG196" s="133">
        <f t="shared" si="50"/>
        <v>0</v>
      </c>
      <c r="AH196" s="133">
        <f t="shared" si="50"/>
        <v>0</v>
      </c>
      <c r="AI196" s="133">
        <f t="shared" si="50"/>
        <v>0</v>
      </c>
      <c r="AJ196" s="55" t="str">
        <f t="shared" si="30"/>
        <v/>
      </c>
      <c r="AK196" s="68"/>
      <c r="AL196" s="68" t="str">
        <f t="shared" si="33"/>
        <v>00</v>
      </c>
      <c r="AM196" s="68" t="str">
        <f t="shared" si="34"/>
        <v>00</v>
      </c>
      <c r="AN196" s="68" t="str">
        <f t="shared" si="35"/>
        <v>00</v>
      </c>
      <c r="AO196" s="68" t="str">
        <f t="shared" si="36"/>
        <v>00</v>
      </c>
      <c r="AQ196" t="str">
        <f t="shared" si="31"/>
        <v/>
      </c>
    </row>
    <row r="197" spans="2:43">
      <c r="B197" s="139"/>
      <c r="C197" s="55">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0</v>
      </c>
      <c r="AE197" s="133">
        <f t="shared" si="50"/>
        <v>0</v>
      </c>
      <c r="AF197" s="133">
        <f t="shared" si="50"/>
        <v>0</v>
      </c>
      <c r="AG197" s="133">
        <f t="shared" si="50"/>
        <v>0</v>
      </c>
      <c r="AH197" s="133">
        <f t="shared" si="50"/>
        <v>0</v>
      </c>
      <c r="AI197" s="133">
        <f t="shared" si="50"/>
        <v>0</v>
      </c>
      <c r="AJ197" s="55" t="str">
        <f t="shared" si="30"/>
        <v/>
      </c>
      <c r="AK197" s="68"/>
      <c r="AL197" s="68" t="str">
        <f t="shared" si="33"/>
        <v>00</v>
      </c>
      <c r="AM197" s="68" t="str">
        <f t="shared" si="34"/>
        <v>00</v>
      </c>
      <c r="AN197" s="68" t="str">
        <f t="shared" si="35"/>
        <v>00</v>
      </c>
      <c r="AO197" s="68" t="str">
        <f t="shared" si="36"/>
        <v>00</v>
      </c>
      <c r="AQ197" t="str">
        <f t="shared" si="31"/>
        <v/>
      </c>
    </row>
    <row r="198" spans="2:43">
      <c r="B198" s="139"/>
      <c r="C198" s="55">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0</v>
      </c>
      <c r="AE198" s="133">
        <f t="shared" si="50"/>
        <v>0</v>
      </c>
      <c r="AF198" s="133">
        <f t="shared" si="50"/>
        <v>0</v>
      </c>
      <c r="AG198" s="133">
        <f t="shared" si="50"/>
        <v>0</v>
      </c>
      <c r="AH198" s="133">
        <f t="shared" si="50"/>
        <v>0</v>
      </c>
      <c r="AI198" s="133">
        <f t="shared" si="50"/>
        <v>0</v>
      </c>
      <c r="AJ198" s="55" t="str">
        <f t="shared" si="30"/>
        <v/>
      </c>
      <c r="AK198" s="68"/>
      <c r="AL198" s="68" t="str">
        <f t="shared" si="33"/>
        <v>00</v>
      </c>
      <c r="AM198" s="68" t="str">
        <f t="shared" si="34"/>
        <v>00</v>
      </c>
      <c r="AN198" s="68" t="str">
        <f t="shared" si="35"/>
        <v>00</v>
      </c>
      <c r="AO198" s="68" t="str">
        <f t="shared" si="36"/>
        <v>00</v>
      </c>
      <c r="AQ198" t="str">
        <f t="shared" si="31"/>
        <v/>
      </c>
    </row>
    <row r="199" spans="2:43">
      <c r="B199" s="140"/>
      <c r="C199" s="55">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0</v>
      </c>
      <c r="AE199" s="133">
        <f t="shared" si="50"/>
        <v>0</v>
      </c>
      <c r="AF199" s="133">
        <f t="shared" si="50"/>
        <v>0</v>
      </c>
      <c r="AG199" s="133">
        <f t="shared" si="50"/>
        <v>0</v>
      </c>
      <c r="AH199" s="133">
        <f t="shared" si="50"/>
        <v>0</v>
      </c>
      <c r="AI199" s="133">
        <f t="shared" ref="AI199" si="51">IF(OR(AI69=0,AI69=1),1,0)</f>
        <v>0</v>
      </c>
      <c r="AJ199" s="55" t="str">
        <f t="shared" si="30"/>
        <v/>
      </c>
      <c r="AK199" s="68"/>
      <c r="AL199" s="68" t="str">
        <f t="shared" si="33"/>
        <v>00</v>
      </c>
      <c r="AM199" s="68" t="str">
        <f t="shared" si="34"/>
        <v>00</v>
      </c>
      <c r="AN199" s="68" t="str">
        <f t="shared" si="35"/>
        <v>00</v>
      </c>
      <c r="AO199" s="68" t="str">
        <f t="shared" si="36"/>
        <v>00</v>
      </c>
      <c r="AQ199" t="str">
        <f t="shared" si="31"/>
        <v/>
      </c>
    </row>
  </sheetData>
  <protectedRanges>
    <protectedRange sqref="L3:AI3 D6:AJ69" name="Table作成編集範囲"/>
    <protectedRange sqref="B3" name="Table作成編集範囲_2"/>
  </protectedRanges>
  <mergeCells count="4">
    <mergeCell ref="C2:C3"/>
    <mergeCell ref="AJ2:AJ3"/>
    <mergeCell ref="A4:B5"/>
    <mergeCell ref="AG3:AH3"/>
  </mergeCells>
  <phoneticPr fontId="2"/>
  <conditionalFormatting sqref="D6:AI69">
    <cfRule type="cellIs" dxfId="8" priority="2" operator="equal">
      <formula>1</formula>
    </cfRule>
    <cfRule type="cellIs" dxfId="7" priority="3" operator="equal">
      <formula>"×"</formula>
    </cfRule>
  </conditionalFormatting>
  <conditionalFormatting sqref="AR5:AS70">
    <cfRule type="expression" dxfId="6"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CCECFF"/>
  </sheetPr>
  <dimension ref="A1:AW199"/>
  <sheetViews>
    <sheetView topLeftCell="AK1" zoomScale="85" zoomScaleNormal="85" workbookViewId="0">
      <pane ySplit="3" topLeftCell="A4" activePane="bottomLeft" state="frozen"/>
      <selection pane="bottomLeft" activeCell="AU6" sqref="AU6:AU16"/>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2" t="s">
        <v>123</v>
      </c>
      <c r="C2" s="345" t="s">
        <v>84</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47" t="s">
        <v>155</v>
      </c>
    </row>
    <row r="3" spans="1:49" ht="213" customHeight="1" thickBot="1">
      <c r="B3" s="214" t="str">
        <f>IF(OR(IF(COUNTIF(D6:AC69,"0")&lt;&gt;0,TRUE,FALSE),IF(COUNTIF(D6:AC69,"1")&lt;&gt;0,TRUE,FALSE)),"Search Table","Index Table")</f>
        <v>Index Table</v>
      </c>
      <c r="C3" s="346"/>
      <c r="D3" s="134" t="s">
        <v>64</v>
      </c>
      <c r="E3" s="134" t="s">
        <v>69</v>
      </c>
      <c r="F3" s="134" t="s">
        <v>52</v>
      </c>
      <c r="G3" s="134" t="s">
        <v>51</v>
      </c>
      <c r="H3" s="134" t="s">
        <v>121</v>
      </c>
      <c r="I3" s="134" t="s">
        <v>120</v>
      </c>
      <c r="J3" s="134" t="s">
        <v>125</v>
      </c>
      <c r="K3" s="134" t="s">
        <v>124</v>
      </c>
      <c r="L3" s="135" t="s">
        <v>69</v>
      </c>
      <c r="M3" s="135" t="s">
        <v>65</v>
      </c>
      <c r="N3" s="135" t="s">
        <v>65</v>
      </c>
      <c r="O3" s="135" t="s">
        <v>65</v>
      </c>
      <c r="P3" s="135" t="s">
        <v>65</v>
      </c>
      <c r="Q3" s="135" t="s">
        <v>65</v>
      </c>
      <c r="R3" s="135" t="s">
        <v>65</v>
      </c>
      <c r="S3" s="135" t="s">
        <v>65</v>
      </c>
      <c r="T3" s="135" t="s">
        <v>65</v>
      </c>
      <c r="U3" s="135" t="s">
        <v>65</v>
      </c>
      <c r="V3" s="135" t="s">
        <v>65</v>
      </c>
      <c r="W3" s="135" t="s">
        <v>65</v>
      </c>
      <c r="X3" s="135" t="s">
        <v>65</v>
      </c>
      <c r="Y3" s="135" t="s">
        <v>65</v>
      </c>
      <c r="Z3" s="135" t="s">
        <v>65</v>
      </c>
      <c r="AA3" s="135" t="s">
        <v>65</v>
      </c>
      <c r="AB3" s="135" t="s">
        <v>65</v>
      </c>
      <c r="AC3" s="135" t="s">
        <v>65</v>
      </c>
      <c r="AD3" s="353" t="s">
        <v>413</v>
      </c>
      <c r="AE3" s="355"/>
      <c r="AF3" s="353" t="s">
        <v>436</v>
      </c>
      <c r="AG3" s="354"/>
      <c r="AH3" s="354"/>
      <c r="AI3" s="355"/>
      <c r="AJ3" s="348"/>
      <c r="AR3" s="101" t="s">
        <v>96</v>
      </c>
    </row>
    <row r="4" spans="1:49" ht="14.25" thickBot="1">
      <c r="A4" s="349" t="s">
        <v>66</v>
      </c>
      <c r="B4" s="350"/>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6"/>
      <c r="AR4" s="89" t="s">
        <v>82</v>
      </c>
      <c r="AS4" s="90"/>
      <c r="AT4" s="90"/>
      <c r="AU4" s="90"/>
      <c r="AV4" s="90"/>
      <c r="AW4" s="91"/>
    </row>
    <row r="5" spans="1:49" ht="14.25" thickBot="1">
      <c r="A5" s="351"/>
      <c r="B5" s="352"/>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7"/>
      <c r="AR5" s="92" t="str">
        <f ca="1">"static const U4  "&amp;AW8&amp;"["&amp;AW10&amp;"]"&amp;" = {"</f>
        <v>static const U4  u4_sp_ALERT_S_LCA_PD_MG_CRIT[ALERT_S_LCA_PD_MG_NUM_DST] = {</v>
      </c>
      <c r="AS5" s="92" t="str">
        <f ca="1">"static const U4  "&amp;$AW$9&amp;"["&amp;$AW$10&amp;"] = {"</f>
        <v>static const U4  u4_sp_ALERT_S_LCA_PD_MG_MASK[ALERT_S_LCA_PD_MG_NUM_DST] = {</v>
      </c>
      <c r="AT5" s="92" t="str">
        <f ca="1">"static const U1  "&amp;$AW$11&amp;"["&amp;$AW$10&amp;"] = {"</f>
        <v>static const U1  u1_sp_ALERT_S_LCA_PD_MG_DST[ALERT_S_LCA_PD_MG_NUM_DST] = {</v>
      </c>
      <c r="AU5" s="92" t="str">
        <f ca="1">"const ST_ALERT_MTRX "&amp;$AW$12&amp;" = {"</f>
        <v>const ST_ALERT_MTRX st_gp_ALERT_S_LCA_MTRX[7] = {</v>
      </c>
      <c r="AV5" s="72" t="str">
        <f ca="1">"#define "&amp;AW10&amp;REPT(" ",41-LEN(AW10))&amp;"("&amp;AW13&amp;"U)"</f>
        <v>#define ALERT_S_LCA_PD_MG_NUM_DST                (64U)</v>
      </c>
      <c r="AW5" s="73"/>
    </row>
    <row r="6" spans="1:49">
      <c r="B6" s="139" t="str">
        <f ca="1">"Table "&amp;$AW$6</f>
        <v>Table PD_MG</v>
      </c>
      <c r="C6" s="60">
        <f>ROW()-ROW($C$6)</f>
        <v>0</v>
      </c>
      <c r="D6" s="39" t="s">
        <v>70</v>
      </c>
      <c r="E6" s="39" t="s">
        <v>70</v>
      </c>
      <c r="F6" s="39" t="s">
        <v>70</v>
      </c>
      <c r="G6" s="39" t="s">
        <v>70</v>
      </c>
      <c r="H6" s="39" t="s">
        <v>70</v>
      </c>
      <c r="I6" s="39" t="s">
        <v>70</v>
      </c>
      <c r="J6" s="39" t="s">
        <v>70</v>
      </c>
      <c r="K6" s="39" t="s">
        <v>70</v>
      </c>
      <c r="L6" s="39" t="s">
        <v>70</v>
      </c>
      <c r="M6" s="39" t="s">
        <v>70</v>
      </c>
      <c r="N6" s="39" t="s">
        <v>70</v>
      </c>
      <c r="O6" s="39" t="s">
        <v>70</v>
      </c>
      <c r="P6" s="39" t="s">
        <v>70</v>
      </c>
      <c r="Q6" s="39" t="s">
        <v>70</v>
      </c>
      <c r="R6" s="39" t="s">
        <v>70</v>
      </c>
      <c r="S6" s="39" t="s">
        <v>70</v>
      </c>
      <c r="T6" s="39" t="s">
        <v>70</v>
      </c>
      <c r="U6" s="39" t="s">
        <v>70</v>
      </c>
      <c r="V6" s="39" t="s">
        <v>70</v>
      </c>
      <c r="W6" s="39" t="s">
        <v>70</v>
      </c>
      <c r="X6" s="39" t="s">
        <v>70</v>
      </c>
      <c r="Y6" s="39" t="s">
        <v>70</v>
      </c>
      <c r="Z6" s="39" t="s">
        <v>70</v>
      </c>
      <c r="AA6" s="39" t="s">
        <v>70</v>
      </c>
      <c r="AB6" s="39" t="s">
        <v>70</v>
      </c>
      <c r="AC6" s="39" t="s">
        <v>70</v>
      </c>
      <c r="AD6" s="39">
        <v>0</v>
      </c>
      <c r="AE6" s="39">
        <v>0</v>
      </c>
      <c r="AF6" s="69">
        <v>0</v>
      </c>
      <c r="AG6" s="69">
        <v>0</v>
      </c>
      <c r="AH6" s="69">
        <v>0</v>
      </c>
      <c r="AI6" s="69">
        <v>0</v>
      </c>
      <c r="AJ6" s="59" t="s">
        <v>33</v>
      </c>
      <c r="AL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466</v>
      </c>
      <c r="AV6" s="56" t="s">
        <v>71</v>
      </c>
      <c r="AW6" s="74" t="str">
        <f ca="1">UPPER(RIGHT(CELL("filename",A1),LEN(CELL("filename",A1))-FIND("]",CELL("filename",A1))))</f>
        <v>PD_MG</v>
      </c>
    </row>
    <row r="7" spans="1:49">
      <c r="B7" s="139"/>
      <c r="C7" s="55">
        <f t="shared" ref="C7:C69" si="2">ROW()-ROW($C$6)</f>
        <v>1</v>
      </c>
      <c r="D7" s="69" t="s">
        <v>70</v>
      </c>
      <c r="E7" s="69" t="s">
        <v>70</v>
      </c>
      <c r="F7" s="69" t="s">
        <v>70</v>
      </c>
      <c r="G7" s="69" t="s">
        <v>70</v>
      </c>
      <c r="H7" s="69" t="s">
        <v>70</v>
      </c>
      <c r="I7" s="69" t="s">
        <v>70</v>
      </c>
      <c r="J7" s="69" t="s">
        <v>70</v>
      </c>
      <c r="K7" s="69" t="s">
        <v>70</v>
      </c>
      <c r="L7" s="69" t="s">
        <v>70</v>
      </c>
      <c r="M7" s="69" t="s">
        <v>70</v>
      </c>
      <c r="N7" s="69" t="s">
        <v>70</v>
      </c>
      <c r="O7" s="69" t="s">
        <v>70</v>
      </c>
      <c r="P7" s="69" t="s">
        <v>70</v>
      </c>
      <c r="Q7" s="69" t="s">
        <v>70</v>
      </c>
      <c r="R7" s="69" t="s">
        <v>70</v>
      </c>
      <c r="S7" s="69" t="s">
        <v>70</v>
      </c>
      <c r="T7" s="69" t="s">
        <v>70</v>
      </c>
      <c r="U7" s="69" t="s">
        <v>70</v>
      </c>
      <c r="V7" s="69" t="s">
        <v>70</v>
      </c>
      <c r="W7" s="69" t="s">
        <v>70</v>
      </c>
      <c r="X7" s="69" t="s">
        <v>70</v>
      </c>
      <c r="Y7" s="69" t="s">
        <v>70</v>
      </c>
      <c r="Z7" s="69" t="s">
        <v>70</v>
      </c>
      <c r="AA7" s="69" t="s">
        <v>70</v>
      </c>
      <c r="AB7" s="69" t="s">
        <v>70</v>
      </c>
      <c r="AC7" s="69" t="s">
        <v>70</v>
      </c>
      <c r="AD7" s="69">
        <v>0</v>
      </c>
      <c r="AE7" s="69">
        <v>0</v>
      </c>
      <c r="AF7" s="69">
        <v>0</v>
      </c>
      <c r="AG7" s="69">
        <v>0</v>
      </c>
      <c r="AH7" s="69">
        <v>0</v>
      </c>
      <c r="AI7" s="69">
        <v>1</v>
      </c>
      <c r="AJ7" s="25" t="s">
        <v>417</v>
      </c>
      <c r="AL7" t="str">
        <f t="shared" ca="1" si="0"/>
        <v xml:space="preserve">    (U1)ALERT_REQ_S_LCA_PD_MG_CANCEL</v>
      </c>
      <c r="AR7" s="70" t="str">
        <f t="shared" ref="AR7:AR70" si="3">IF(AQ72&lt;&gt;"",AQ72,IF(AQ71&lt;&gt;"","};",""))</f>
        <v xml:space="preserve">    (U4)0x00000001U,                                                           /* 01 CANCEL                                          */</v>
      </c>
      <c r="AS7" s="70" t="str">
        <f t="shared" ref="AS7:AS70" si="4">IF(AQ137&lt;&gt;"",AQ137,IF(AQ136&lt;&gt;"","};",""))</f>
        <v xml:space="preserve">    (U4)0x0000003FU,                                                           /* 01 CANCEL                                          */</v>
      </c>
      <c r="AT7" s="70" t="str">
        <f t="shared" ca="1" si="1"/>
        <v xml:space="preserve">    (U1)ALERT_REQ_S_LCA_PD_MG_CANCEL,                                          /* 01 CANCEL                                          */</v>
      </c>
      <c r="AU7" s="70" t="str">
        <f ca="1">"        &amp;"&amp;$AW$14&amp;","&amp;REPT(" ",69-LEN($AW$14))&amp;"/* fp_u4_SRC_CHK                                      */"</f>
        <v xml:space="preserve">        &amp;u4_s_AlertS_lcaPdMgSrcchk,                                            /* fp_u4_SRC_CHK                                      */</v>
      </c>
      <c r="AV7" s="57" t="s">
        <v>72</v>
      </c>
      <c r="AW7" s="138">
        <f>IF(B3="Search Table",1,0)</f>
        <v>0</v>
      </c>
    </row>
    <row r="8" spans="1:49">
      <c r="B8" s="139"/>
      <c r="C8" s="55">
        <f t="shared" si="2"/>
        <v>2</v>
      </c>
      <c r="D8" s="69" t="s">
        <v>70</v>
      </c>
      <c r="E8" s="69" t="s">
        <v>70</v>
      </c>
      <c r="F8" s="69" t="s">
        <v>70</v>
      </c>
      <c r="G8" s="69" t="s">
        <v>70</v>
      </c>
      <c r="H8" s="69" t="s">
        <v>70</v>
      </c>
      <c r="I8" s="69" t="s">
        <v>70</v>
      </c>
      <c r="J8" s="69" t="s">
        <v>70</v>
      </c>
      <c r="K8" s="69" t="s">
        <v>70</v>
      </c>
      <c r="L8" s="69" t="s">
        <v>70</v>
      </c>
      <c r="M8" s="69" t="s">
        <v>70</v>
      </c>
      <c r="N8" s="69" t="s">
        <v>70</v>
      </c>
      <c r="O8" s="69" t="s">
        <v>70</v>
      </c>
      <c r="P8" s="69" t="s">
        <v>70</v>
      </c>
      <c r="Q8" s="69" t="s">
        <v>70</v>
      </c>
      <c r="R8" s="69" t="s">
        <v>70</v>
      </c>
      <c r="S8" s="69" t="s">
        <v>70</v>
      </c>
      <c r="T8" s="69" t="s">
        <v>70</v>
      </c>
      <c r="U8" s="69" t="s">
        <v>70</v>
      </c>
      <c r="V8" s="69" t="s">
        <v>70</v>
      </c>
      <c r="W8" s="69" t="s">
        <v>70</v>
      </c>
      <c r="X8" s="69" t="s">
        <v>70</v>
      </c>
      <c r="Y8" s="69" t="s">
        <v>70</v>
      </c>
      <c r="Z8" s="69" t="s">
        <v>70</v>
      </c>
      <c r="AA8" s="69" t="s">
        <v>70</v>
      </c>
      <c r="AB8" s="69" t="s">
        <v>70</v>
      </c>
      <c r="AC8" s="69" t="s">
        <v>70</v>
      </c>
      <c r="AD8" s="69">
        <v>0</v>
      </c>
      <c r="AE8" s="69">
        <v>0</v>
      </c>
      <c r="AF8" s="69">
        <v>0</v>
      </c>
      <c r="AG8" s="69">
        <v>0</v>
      </c>
      <c r="AH8" s="69">
        <v>1</v>
      </c>
      <c r="AI8" s="69">
        <v>0</v>
      </c>
      <c r="AJ8" s="25" t="s">
        <v>33</v>
      </c>
      <c r="AL8" t="str">
        <f t="shared" si="0"/>
        <v xml:space="preserve">    (U1)ALERT_REQ_UNKNOWN</v>
      </c>
      <c r="AR8" s="70" t="str">
        <f t="shared" si="3"/>
        <v xml:space="preserve">    (U4)0x00000002U,                                                           /* 02 UNKNOWN                                         */</v>
      </c>
      <c r="AS8" s="70" t="str">
        <f t="shared" si="4"/>
        <v xml:space="preserve">    (U4)0x0000003FU,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7" t="s">
        <v>73</v>
      </c>
      <c r="AW8" s="75" t="str">
        <f ca="1">"u4_sp_ALERT_"&amp;IF(AW6&lt;&gt;AW17,$AW$17&amp;"_"&amp;$AW$6,AW17)&amp;"_CRIT"</f>
        <v>u4_sp_ALERT_S_LCA_PD_MG_CRIT</v>
      </c>
    </row>
    <row r="9" spans="1:49">
      <c r="B9" s="139"/>
      <c r="C9" s="55">
        <f t="shared" si="2"/>
        <v>3</v>
      </c>
      <c r="D9" s="69" t="s">
        <v>70</v>
      </c>
      <c r="E9" s="69" t="s">
        <v>70</v>
      </c>
      <c r="F9" s="69" t="s">
        <v>70</v>
      </c>
      <c r="G9" s="69" t="s">
        <v>70</v>
      </c>
      <c r="H9" s="69" t="s">
        <v>70</v>
      </c>
      <c r="I9" s="69" t="s">
        <v>70</v>
      </c>
      <c r="J9" s="69" t="s">
        <v>70</v>
      </c>
      <c r="K9" s="69" t="s">
        <v>70</v>
      </c>
      <c r="L9" s="69" t="s">
        <v>70</v>
      </c>
      <c r="M9" s="69" t="s">
        <v>70</v>
      </c>
      <c r="N9" s="69" t="s">
        <v>70</v>
      </c>
      <c r="O9" s="69" t="s">
        <v>70</v>
      </c>
      <c r="P9" s="69" t="s">
        <v>70</v>
      </c>
      <c r="Q9" s="69" t="s">
        <v>70</v>
      </c>
      <c r="R9" s="69" t="s">
        <v>70</v>
      </c>
      <c r="S9" s="69" t="s">
        <v>70</v>
      </c>
      <c r="T9" s="69" t="s">
        <v>70</v>
      </c>
      <c r="U9" s="69" t="s">
        <v>70</v>
      </c>
      <c r="V9" s="69" t="s">
        <v>70</v>
      </c>
      <c r="W9" s="69" t="s">
        <v>70</v>
      </c>
      <c r="X9" s="69" t="s">
        <v>70</v>
      </c>
      <c r="Y9" s="69" t="s">
        <v>70</v>
      </c>
      <c r="Z9" s="69" t="s">
        <v>70</v>
      </c>
      <c r="AA9" s="69" t="s">
        <v>70</v>
      </c>
      <c r="AB9" s="69" t="s">
        <v>70</v>
      </c>
      <c r="AC9" s="69" t="s">
        <v>70</v>
      </c>
      <c r="AD9" s="69">
        <v>0</v>
      </c>
      <c r="AE9" s="69">
        <v>0</v>
      </c>
      <c r="AF9" s="69">
        <v>0</v>
      </c>
      <c r="AG9" s="69">
        <v>0</v>
      </c>
      <c r="AH9" s="69">
        <v>1</v>
      </c>
      <c r="AI9" s="69">
        <v>1</v>
      </c>
      <c r="AJ9" s="25" t="s">
        <v>33</v>
      </c>
      <c r="AL9" t="str">
        <f t="shared" si="0"/>
        <v xml:space="preserve">    (U1)ALERT_REQ_UNKNOWN</v>
      </c>
      <c r="AR9" s="70" t="str">
        <f t="shared" si="3"/>
        <v xml:space="preserve">    (U4)0x00000003U,                                                           /* 03 UNKNOWN                                         */</v>
      </c>
      <c r="AS9" s="70" t="str">
        <f t="shared" si="4"/>
        <v xml:space="preserve">    (U4)0x0000003FU,                                                           /* 03 UNKNOWN                                         */</v>
      </c>
      <c r="AT9" s="70" t="str">
        <f t="shared" si="1"/>
        <v xml:space="preserve">    (U1)ALERT_REQ_UNKNOWN,                                                     /* 03 UNKNOWN                                         */</v>
      </c>
      <c r="AU9" s="70"/>
      <c r="AV9" s="57" t="s">
        <v>74</v>
      </c>
      <c r="AW9" s="75" t="str">
        <f ca="1">"u4_sp_ALERT_"&amp;IF(AW6&lt;&gt;AW17,$AW$17&amp;"_"&amp;$AW$6,AW17)&amp;"_MASK"</f>
        <v>u4_sp_ALERT_S_LCA_PD_MG_MASK</v>
      </c>
    </row>
    <row r="10" spans="1:49">
      <c r="B10" s="139"/>
      <c r="C10" s="55">
        <f t="shared" si="2"/>
        <v>4</v>
      </c>
      <c r="D10" s="69" t="s">
        <v>70</v>
      </c>
      <c r="E10" s="69" t="s">
        <v>70</v>
      </c>
      <c r="F10" s="69" t="s">
        <v>70</v>
      </c>
      <c r="G10" s="69" t="s">
        <v>70</v>
      </c>
      <c r="H10" s="69" t="s">
        <v>70</v>
      </c>
      <c r="I10" s="69" t="s">
        <v>70</v>
      </c>
      <c r="J10" s="69" t="s">
        <v>70</v>
      </c>
      <c r="K10" s="69" t="s">
        <v>70</v>
      </c>
      <c r="L10" s="69" t="s">
        <v>70</v>
      </c>
      <c r="M10" s="69" t="s">
        <v>70</v>
      </c>
      <c r="N10" s="69" t="s">
        <v>70</v>
      </c>
      <c r="O10" s="69" t="s">
        <v>70</v>
      </c>
      <c r="P10" s="69" t="s">
        <v>70</v>
      </c>
      <c r="Q10" s="69" t="s">
        <v>70</v>
      </c>
      <c r="R10" s="69" t="s">
        <v>70</v>
      </c>
      <c r="S10" s="69" t="s">
        <v>70</v>
      </c>
      <c r="T10" s="69" t="s">
        <v>70</v>
      </c>
      <c r="U10" s="69" t="s">
        <v>70</v>
      </c>
      <c r="V10" s="69" t="s">
        <v>70</v>
      </c>
      <c r="W10" s="69" t="s">
        <v>70</v>
      </c>
      <c r="X10" s="69" t="s">
        <v>70</v>
      </c>
      <c r="Y10" s="69" t="s">
        <v>70</v>
      </c>
      <c r="Z10" s="69" t="s">
        <v>70</v>
      </c>
      <c r="AA10" s="69" t="s">
        <v>70</v>
      </c>
      <c r="AB10" s="69" t="s">
        <v>70</v>
      </c>
      <c r="AC10" s="69" t="s">
        <v>70</v>
      </c>
      <c r="AD10" s="69">
        <v>0</v>
      </c>
      <c r="AE10" s="69">
        <v>0</v>
      </c>
      <c r="AF10" s="69">
        <v>0</v>
      </c>
      <c r="AG10" s="69">
        <v>1</v>
      </c>
      <c r="AH10" s="69">
        <v>0</v>
      </c>
      <c r="AI10" s="69">
        <v>0</v>
      </c>
      <c r="AJ10" s="25" t="s">
        <v>304</v>
      </c>
      <c r="AL10" t="str">
        <f t="shared" ca="1" si="0"/>
        <v xml:space="preserve">    (U1)ALERT_REQ_S_LCA_PD_MG_UNAVLBL1</v>
      </c>
      <c r="AR10" s="70" t="str">
        <f t="shared" si="3"/>
        <v xml:space="preserve">    (U4)0x00000004U,                                                           /* 04 UNAVLBL1                                        */</v>
      </c>
      <c r="AS10" s="70" t="str">
        <f t="shared" si="4"/>
        <v xml:space="preserve">    (U4)0x0000003FU,                                                           /* 04 UNAVLBL1                                        */</v>
      </c>
      <c r="AT10" s="70" t="str">
        <f t="shared" ca="1" si="1"/>
        <v xml:space="preserve">    (U1)ALERT_REQ_S_LCA_PD_MG_UNAVLBL1,                                        /* 04 UNAVLBL1                                        */</v>
      </c>
      <c r="AU10" s="70" t="str">
        <f>IF($AW$7=1,"        &amp;"&amp;$AW$9&amp;"[0],"&amp;REPT(" ",66-LEN($AW$9))&amp;"/* u4p_MASK                                           */","        (const U4 *)vdp_PTR_NA,                                                /* u4p_MASK                                           */")</f>
        <v xml:space="preserve">        (const U4 *)vdp_PTR_NA,                                                /* u4p_MASK                                           */</v>
      </c>
      <c r="AV10" s="57" t="s">
        <v>75</v>
      </c>
      <c r="AW10" s="75" t="str">
        <f ca="1">"ALERT_"&amp;IF(AW6&lt;&gt;AW17,$AW$17&amp;"_"&amp;$AW$6,AW17)&amp;"_NUM_DST"</f>
        <v>ALERT_S_LCA_PD_MG_NUM_DST</v>
      </c>
    </row>
    <row r="11" spans="1:49">
      <c r="B11" s="139"/>
      <c r="C11" s="55">
        <f t="shared" si="2"/>
        <v>5</v>
      </c>
      <c r="D11" s="69" t="s">
        <v>70</v>
      </c>
      <c r="E11" s="69" t="s">
        <v>70</v>
      </c>
      <c r="F11" s="69" t="s">
        <v>70</v>
      </c>
      <c r="G11" s="69" t="s">
        <v>70</v>
      </c>
      <c r="H11" s="69" t="s">
        <v>70</v>
      </c>
      <c r="I11" s="69" t="s">
        <v>70</v>
      </c>
      <c r="J11" s="69" t="s">
        <v>70</v>
      </c>
      <c r="K11" s="69" t="s">
        <v>70</v>
      </c>
      <c r="L11" s="69" t="s">
        <v>70</v>
      </c>
      <c r="M11" s="69" t="s">
        <v>70</v>
      </c>
      <c r="N11" s="69" t="s">
        <v>70</v>
      </c>
      <c r="O11" s="69" t="s">
        <v>70</v>
      </c>
      <c r="P11" s="69" t="s">
        <v>70</v>
      </c>
      <c r="Q11" s="69" t="s">
        <v>70</v>
      </c>
      <c r="R11" s="69" t="s">
        <v>70</v>
      </c>
      <c r="S11" s="69" t="s">
        <v>70</v>
      </c>
      <c r="T11" s="69" t="s">
        <v>70</v>
      </c>
      <c r="U11" s="69" t="s">
        <v>70</v>
      </c>
      <c r="V11" s="69" t="s">
        <v>70</v>
      </c>
      <c r="W11" s="69" t="s">
        <v>70</v>
      </c>
      <c r="X11" s="69" t="s">
        <v>70</v>
      </c>
      <c r="Y11" s="69" t="s">
        <v>70</v>
      </c>
      <c r="Z11" s="69" t="s">
        <v>70</v>
      </c>
      <c r="AA11" s="69" t="s">
        <v>70</v>
      </c>
      <c r="AB11" s="69" t="s">
        <v>70</v>
      </c>
      <c r="AC11" s="69" t="s">
        <v>70</v>
      </c>
      <c r="AD11" s="69">
        <v>0</v>
      </c>
      <c r="AE11" s="69">
        <v>0</v>
      </c>
      <c r="AF11" s="69">
        <v>0</v>
      </c>
      <c r="AG11" s="69">
        <v>1</v>
      </c>
      <c r="AH11" s="69">
        <v>0</v>
      </c>
      <c r="AI11" s="69">
        <v>1</v>
      </c>
      <c r="AJ11" s="25" t="s">
        <v>306</v>
      </c>
      <c r="AL11" t="str">
        <f t="shared" ca="1" si="0"/>
        <v xml:space="preserve">    (U1)ALERT_REQ_S_LCA_PD_MG_UNAVLBL2</v>
      </c>
      <c r="AR11" s="70" t="str">
        <f t="shared" si="3"/>
        <v xml:space="preserve">    (U4)0x00000005U,                                                           /* 05 UNAVLBL2                                        */</v>
      </c>
      <c r="AS11" s="70" t="str">
        <f t="shared" si="4"/>
        <v xml:space="preserve">    (U4)0x0000003FU,                                                           /* 05 UNAVLBL2                                        */</v>
      </c>
      <c r="AT11" s="70" t="str">
        <f t="shared" ca="1" si="1"/>
        <v xml:space="preserve">    (U1)ALERT_REQ_S_LCA_PD_MG_UNAVLBL2,                                        /* 05 UNAVLBL2                                        */</v>
      </c>
      <c r="AU11" s="70" t="str">
        <f>IF($AW$7=1,"        &amp;"&amp;$AW$8&amp;"[0],"&amp;REPT(" ",66-LEN($AW$8))&amp;"/* u4p_CRIT                                           */","        (const U4 *)vdp_PTR_NA,                                                /* u4p_CRIT                                           */")</f>
        <v xml:space="preserve">        (const U4 *)vdp_PTR_NA,                                                /* u4p_CRIT                                           */</v>
      </c>
      <c r="AV11" s="57" t="s">
        <v>76</v>
      </c>
      <c r="AW11" s="75" t="str">
        <f ca="1">"u1_sp_ALERT_"&amp;IF(AW6&lt;&gt;AW17,$AW$17&amp;"_"&amp;$AW$6,AW17)&amp;"_DST"</f>
        <v>u1_sp_ALERT_S_LCA_PD_MG_DST</v>
      </c>
    </row>
    <row r="12" spans="1:49">
      <c r="B12" s="139"/>
      <c r="C12" s="55">
        <f t="shared" si="2"/>
        <v>6</v>
      </c>
      <c r="D12" s="69" t="s">
        <v>70</v>
      </c>
      <c r="E12" s="69" t="s">
        <v>70</v>
      </c>
      <c r="F12" s="69" t="s">
        <v>70</v>
      </c>
      <c r="G12" s="69" t="s">
        <v>70</v>
      </c>
      <c r="H12" s="69" t="s">
        <v>70</v>
      </c>
      <c r="I12" s="69" t="s">
        <v>70</v>
      </c>
      <c r="J12" s="69" t="s">
        <v>70</v>
      </c>
      <c r="K12" s="69" t="s">
        <v>70</v>
      </c>
      <c r="L12" s="69" t="s">
        <v>70</v>
      </c>
      <c r="M12" s="69" t="s">
        <v>70</v>
      </c>
      <c r="N12" s="69" t="s">
        <v>70</v>
      </c>
      <c r="O12" s="69" t="s">
        <v>70</v>
      </c>
      <c r="P12" s="69" t="s">
        <v>70</v>
      </c>
      <c r="Q12" s="69" t="s">
        <v>70</v>
      </c>
      <c r="R12" s="69" t="s">
        <v>70</v>
      </c>
      <c r="S12" s="69" t="s">
        <v>70</v>
      </c>
      <c r="T12" s="69" t="s">
        <v>70</v>
      </c>
      <c r="U12" s="69" t="s">
        <v>70</v>
      </c>
      <c r="V12" s="69" t="s">
        <v>70</v>
      </c>
      <c r="W12" s="69" t="s">
        <v>70</v>
      </c>
      <c r="X12" s="69" t="s">
        <v>70</v>
      </c>
      <c r="Y12" s="69" t="s">
        <v>70</v>
      </c>
      <c r="Z12" s="69" t="s">
        <v>70</v>
      </c>
      <c r="AA12" s="69" t="s">
        <v>70</v>
      </c>
      <c r="AB12" s="69" t="s">
        <v>70</v>
      </c>
      <c r="AC12" s="69" t="s">
        <v>70</v>
      </c>
      <c r="AD12" s="69">
        <v>0</v>
      </c>
      <c r="AE12" s="69">
        <v>0</v>
      </c>
      <c r="AF12" s="69">
        <v>0</v>
      </c>
      <c r="AG12" s="69">
        <v>1</v>
      </c>
      <c r="AH12" s="69">
        <v>1</v>
      </c>
      <c r="AI12" s="69">
        <v>0</v>
      </c>
      <c r="AJ12" s="25" t="s">
        <v>308</v>
      </c>
      <c r="AL12" t="str">
        <f t="shared" ca="1" si="0"/>
        <v xml:space="preserve">    (U1)ALERT_REQ_S_LCA_PD_MG_UNAVLBL3</v>
      </c>
      <c r="AR12" s="70" t="str">
        <f t="shared" si="3"/>
        <v xml:space="preserve">    (U4)0x00000006U,                                                           /* 06 UNAVLBL3                                        */</v>
      </c>
      <c r="AS12" s="70" t="str">
        <f t="shared" si="4"/>
        <v xml:space="preserve">    (U4)0x0000003FU,                                                           /* 06 UNAVLBL3                                        */</v>
      </c>
      <c r="AT12" s="70" t="str">
        <f t="shared" ca="1" si="1"/>
        <v xml:space="preserve">    (U1)ALERT_REQ_S_LCA_PD_MG_UNAVLBL3,                                        /* 06 UNAVLBL3                                        */</v>
      </c>
      <c r="AU12" s="70"/>
      <c r="AV12" s="57" t="s">
        <v>88</v>
      </c>
      <c r="AW12" s="75" t="str">
        <f ca="1">Matrix!D8&amp;"["&amp;Matrix!D7&amp;"]"</f>
        <v>st_gp_ALERT_S_LCA_MTRX[7]</v>
      </c>
    </row>
    <row r="13" spans="1:49">
      <c r="B13" s="139"/>
      <c r="C13" s="55">
        <f t="shared" si="2"/>
        <v>7</v>
      </c>
      <c r="D13" s="69" t="s">
        <v>70</v>
      </c>
      <c r="E13" s="69" t="s">
        <v>70</v>
      </c>
      <c r="F13" s="69" t="s">
        <v>70</v>
      </c>
      <c r="G13" s="69" t="s">
        <v>70</v>
      </c>
      <c r="H13" s="69" t="s">
        <v>70</v>
      </c>
      <c r="I13" s="69" t="s">
        <v>70</v>
      </c>
      <c r="J13" s="69" t="s">
        <v>70</v>
      </c>
      <c r="K13" s="69" t="s">
        <v>70</v>
      </c>
      <c r="L13" s="69" t="s">
        <v>70</v>
      </c>
      <c r="M13" s="69" t="s">
        <v>70</v>
      </c>
      <c r="N13" s="69" t="s">
        <v>70</v>
      </c>
      <c r="O13" s="69" t="s">
        <v>70</v>
      </c>
      <c r="P13" s="69" t="s">
        <v>70</v>
      </c>
      <c r="Q13" s="69" t="s">
        <v>70</v>
      </c>
      <c r="R13" s="69" t="s">
        <v>70</v>
      </c>
      <c r="S13" s="69" t="s">
        <v>70</v>
      </c>
      <c r="T13" s="69" t="s">
        <v>70</v>
      </c>
      <c r="U13" s="69" t="s">
        <v>70</v>
      </c>
      <c r="V13" s="69" t="s">
        <v>70</v>
      </c>
      <c r="W13" s="69" t="s">
        <v>70</v>
      </c>
      <c r="X13" s="69" t="s">
        <v>70</v>
      </c>
      <c r="Y13" s="69" t="s">
        <v>70</v>
      </c>
      <c r="Z13" s="69" t="s">
        <v>70</v>
      </c>
      <c r="AA13" s="69" t="s">
        <v>70</v>
      </c>
      <c r="AB13" s="69" t="s">
        <v>70</v>
      </c>
      <c r="AC13" s="69" t="s">
        <v>70</v>
      </c>
      <c r="AD13" s="69">
        <v>0</v>
      </c>
      <c r="AE13" s="69">
        <v>0</v>
      </c>
      <c r="AF13" s="69">
        <v>0</v>
      </c>
      <c r="AG13" s="69">
        <v>1</v>
      </c>
      <c r="AH13" s="69">
        <v>1</v>
      </c>
      <c r="AI13" s="69">
        <v>1</v>
      </c>
      <c r="AJ13" s="25" t="s">
        <v>33</v>
      </c>
      <c r="AL13" t="str">
        <f t="shared" si="0"/>
        <v xml:space="preserve">    (U1)ALERT_REQ_UNKNOWN</v>
      </c>
      <c r="AR13" s="70" t="str">
        <f t="shared" si="3"/>
        <v xml:space="preserve">    (U4)0x00000007U,                                                           /* 07 UNKNOWN                                         */</v>
      </c>
      <c r="AS13" s="70" t="str">
        <f t="shared" si="4"/>
        <v xml:space="preserve">    (U4)0x0000003FU,                                                           /* 07 UNKNOWN                                         */</v>
      </c>
      <c r="AT13" s="70" t="str">
        <f t="shared" si="1"/>
        <v xml:space="preserve">    (U1)ALERT_REQ_UNKNOWN,                                                     /* 07 UNKNOWN                                         */</v>
      </c>
      <c r="AU13" s="70" t="str">
        <f ca="1">"        &amp;"&amp;$AW$11&amp;"[0],"&amp;REPT(" ",66-LEN($AW$11))&amp;"/* u1p_DST                                            */"</f>
        <v xml:space="preserve">        &amp;u1_sp_ALERT_S_LCA_PD_MG_DST[0],                                       /* u1p_DST                                            */</v>
      </c>
      <c r="AV13" s="57" t="s">
        <v>77</v>
      </c>
      <c r="AW13" s="138">
        <f>COUNTA($AJ$6:$AJ$69)</f>
        <v>64</v>
      </c>
    </row>
    <row r="14" spans="1:49">
      <c r="B14" s="139"/>
      <c r="C14" s="55">
        <f t="shared" si="2"/>
        <v>8</v>
      </c>
      <c r="D14" s="69" t="s">
        <v>70</v>
      </c>
      <c r="E14" s="69" t="s">
        <v>70</v>
      </c>
      <c r="F14" s="69" t="s">
        <v>70</v>
      </c>
      <c r="G14" s="69" t="s">
        <v>70</v>
      </c>
      <c r="H14" s="69" t="s">
        <v>70</v>
      </c>
      <c r="I14" s="69" t="s">
        <v>70</v>
      </c>
      <c r="J14" s="69" t="s">
        <v>70</v>
      </c>
      <c r="K14" s="69" t="s">
        <v>70</v>
      </c>
      <c r="L14" s="69" t="s">
        <v>70</v>
      </c>
      <c r="M14" s="69" t="s">
        <v>70</v>
      </c>
      <c r="N14" s="69" t="s">
        <v>70</v>
      </c>
      <c r="O14" s="69" t="s">
        <v>70</v>
      </c>
      <c r="P14" s="69" t="s">
        <v>70</v>
      </c>
      <c r="Q14" s="69" t="s">
        <v>70</v>
      </c>
      <c r="R14" s="69" t="s">
        <v>70</v>
      </c>
      <c r="S14" s="69" t="s">
        <v>70</v>
      </c>
      <c r="T14" s="69" t="s">
        <v>70</v>
      </c>
      <c r="U14" s="69" t="s">
        <v>70</v>
      </c>
      <c r="V14" s="69" t="s">
        <v>70</v>
      </c>
      <c r="W14" s="69" t="s">
        <v>70</v>
      </c>
      <c r="X14" s="69" t="s">
        <v>70</v>
      </c>
      <c r="Y14" s="69" t="s">
        <v>70</v>
      </c>
      <c r="Z14" s="69" t="s">
        <v>70</v>
      </c>
      <c r="AA14" s="69" t="s">
        <v>70</v>
      </c>
      <c r="AB14" s="69" t="s">
        <v>70</v>
      </c>
      <c r="AC14" s="69" t="s">
        <v>70</v>
      </c>
      <c r="AD14" s="69">
        <v>0</v>
      </c>
      <c r="AE14" s="69">
        <v>0</v>
      </c>
      <c r="AF14" s="69">
        <v>1</v>
      </c>
      <c r="AG14" s="69">
        <v>0</v>
      </c>
      <c r="AH14" s="69">
        <v>0</v>
      </c>
      <c r="AI14" s="69">
        <v>0</v>
      </c>
      <c r="AJ14" s="25" t="s">
        <v>414</v>
      </c>
      <c r="AL14" t="str">
        <f t="shared" ca="1" si="0"/>
        <v xml:space="preserve">    (U1)ALERT_REQ_S_LCA_PD_MG_NTHOLD</v>
      </c>
      <c r="AR14" s="70" t="str">
        <f t="shared" si="3"/>
        <v xml:space="preserve">    (U4)0x00000008U,                                                           /* 08 NTHOLD                                          */</v>
      </c>
      <c r="AS14" s="70" t="str">
        <f t="shared" si="4"/>
        <v xml:space="preserve">    (U4)0x0000003FU,                                                           /* 08 NTHOLD                                          */</v>
      </c>
      <c r="AT14" s="70" t="str">
        <f t="shared" ca="1" si="1"/>
        <v xml:space="preserve">    (U1)ALERT_REQ_S_LCA_PD_MG_NTHOLD,                                          /* 08 NTHOLD                                          */</v>
      </c>
      <c r="AU14" s="70" t="str">
        <f ca="1">"        (U2)"&amp;$AW$10&amp;","&amp;REPT(" ",66-LEN($AW$10))&amp;"/* u2_num_srch                                        */"</f>
        <v xml:space="preserve">        (U2)ALERT_S_LCA_PD_MG_NUM_DST,                                         /* u2_num_srch                                        */</v>
      </c>
      <c r="AV14" s="57" t="s">
        <v>78</v>
      </c>
      <c r="AW14" s="75" t="str">
        <f ca="1">IF(AW6&lt;&gt;AW17,VLOOKUP(AW6,Matrix!$C$13:$G$37,4,FALSE),Matrix!F13)</f>
        <v>u4_s_AlertS_lcaPdMgSrcchk</v>
      </c>
    </row>
    <row r="15" spans="1:49">
      <c r="B15" s="139"/>
      <c r="C15" s="55">
        <f t="shared" si="2"/>
        <v>9</v>
      </c>
      <c r="D15" s="69" t="s">
        <v>70</v>
      </c>
      <c r="E15" s="69" t="s">
        <v>70</v>
      </c>
      <c r="F15" s="69" t="s">
        <v>70</v>
      </c>
      <c r="G15" s="69" t="s">
        <v>70</v>
      </c>
      <c r="H15" s="69" t="s">
        <v>70</v>
      </c>
      <c r="I15" s="69" t="s">
        <v>70</v>
      </c>
      <c r="J15" s="69" t="s">
        <v>70</v>
      </c>
      <c r="K15" s="69" t="s">
        <v>70</v>
      </c>
      <c r="L15" s="69" t="s">
        <v>70</v>
      </c>
      <c r="M15" s="69" t="s">
        <v>70</v>
      </c>
      <c r="N15" s="69" t="s">
        <v>70</v>
      </c>
      <c r="O15" s="69" t="s">
        <v>70</v>
      </c>
      <c r="P15" s="69" t="s">
        <v>70</v>
      </c>
      <c r="Q15" s="69" t="s">
        <v>70</v>
      </c>
      <c r="R15" s="69" t="s">
        <v>70</v>
      </c>
      <c r="S15" s="69" t="s">
        <v>70</v>
      </c>
      <c r="T15" s="69" t="s">
        <v>70</v>
      </c>
      <c r="U15" s="69" t="s">
        <v>70</v>
      </c>
      <c r="V15" s="69" t="s">
        <v>70</v>
      </c>
      <c r="W15" s="69" t="s">
        <v>70</v>
      </c>
      <c r="X15" s="69" t="s">
        <v>70</v>
      </c>
      <c r="Y15" s="69" t="s">
        <v>70</v>
      </c>
      <c r="Z15" s="69" t="s">
        <v>70</v>
      </c>
      <c r="AA15" s="69" t="s">
        <v>70</v>
      </c>
      <c r="AB15" s="69" t="s">
        <v>70</v>
      </c>
      <c r="AC15" s="69" t="s">
        <v>70</v>
      </c>
      <c r="AD15" s="69">
        <v>0</v>
      </c>
      <c r="AE15" s="69">
        <v>0</v>
      </c>
      <c r="AF15" s="69">
        <v>1</v>
      </c>
      <c r="AG15" s="69">
        <v>0</v>
      </c>
      <c r="AH15" s="69">
        <v>0</v>
      </c>
      <c r="AI15" s="69">
        <v>1</v>
      </c>
      <c r="AJ15" s="25" t="s">
        <v>497</v>
      </c>
      <c r="AL15" t="str">
        <f t="shared" ca="1" si="0"/>
        <v xml:space="preserve">    (U1)ALERT_REQ_S_LCA_PD_MG_AVAIL</v>
      </c>
      <c r="AR15" s="70" t="str">
        <f t="shared" si="3"/>
        <v xml:space="preserve">    (U4)0x00000009U,                                                           /* 09 AVAIL                                           */</v>
      </c>
      <c r="AS15" s="70" t="str">
        <f t="shared" si="4"/>
        <v xml:space="preserve">    (U4)0x0000003FU,                                                           /* 09 AVAIL                                           */</v>
      </c>
      <c r="AT15" s="70" t="str">
        <f t="shared" ca="1" si="1"/>
        <v xml:space="preserve">    (U1)ALERT_REQ_S_LCA_PD_MG_AVAIL,                                           /* 09 AVAIL                                           */</v>
      </c>
      <c r="AU15" s="70" t="str">
        <f ca="1">"        (U1)"&amp;$AW$16&amp;REPT(" ",67-LEN($AW$16))&amp;"/* u1_vom_act                                         */"</f>
        <v xml:space="preserve">        (U1)ALERT_VOM_IGN_ON                                                   /* u1_vom_act                                         */</v>
      </c>
      <c r="AV15" s="57" t="s">
        <v>81</v>
      </c>
      <c r="AW15" s="75" t="str">
        <f ca="1">IF(AW6&lt;&gt;AW17,VLOOKUP(AW6,Matrix!$C$13:$G$37,5,FALSE),Matrix!G13)</f>
        <v>NULL</v>
      </c>
    </row>
    <row r="16" spans="1:49">
      <c r="B16" s="139"/>
      <c r="C16" s="55">
        <f t="shared" si="2"/>
        <v>10</v>
      </c>
      <c r="D16" s="69" t="s">
        <v>70</v>
      </c>
      <c r="E16" s="69" t="s">
        <v>70</v>
      </c>
      <c r="F16" s="69" t="s">
        <v>70</v>
      </c>
      <c r="G16" s="69" t="s">
        <v>70</v>
      </c>
      <c r="H16" s="69" t="s">
        <v>70</v>
      </c>
      <c r="I16" s="69" t="s">
        <v>70</v>
      </c>
      <c r="J16" s="69" t="s">
        <v>70</v>
      </c>
      <c r="K16" s="69" t="s">
        <v>70</v>
      </c>
      <c r="L16" s="69" t="s">
        <v>70</v>
      </c>
      <c r="M16" s="69" t="s">
        <v>70</v>
      </c>
      <c r="N16" s="69" t="s">
        <v>70</v>
      </c>
      <c r="O16" s="69" t="s">
        <v>70</v>
      </c>
      <c r="P16" s="69" t="s">
        <v>70</v>
      </c>
      <c r="Q16" s="69" t="s">
        <v>70</v>
      </c>
      <c r="R16" s="69" t="s">
        <v>70</v>
      </c>
      <c r="S16" s="69" t="s">
        <v>70</v>
      </c>
      <c r="T16" s="69" t="s">
        <v>70</v>
      </c>
      <c r="U16" s="69" t="s">
        <v>70</v>
      </c>
      <c r="V16" s="69" t="s">
        <v>70</v>
      </c>
      <c r="W16" s="69" t="s">
        <v>70</v>
      </c>
      <c r="X16" s="69" t="s">
        <v>70</v>
      </c>
      <c r="Y16" s="69" t="s">
        <v>70</v>
      </c>
      <c r="Z16" s="69" t="s">
        <v>70</v>
      </c>
      <c r="AA16" s="69" t="s">
        <v>70</v>
      </c>
      <c r="AB16" s="69" t="s">
        <v>70</v>
      </c>
      <c r="AC16" s="69" t="s">
        <v>70</v>
      </c>
      <c r="AD16" s="69">
        <v>0</v>
      </c>
      <c r="AE16" s="69">
        <v>0</v>
      </c>
      <c r="AF16" s="69">
        <v>1</v>
      </c>
      <c r="AG16" s="69">
        <v>0</v>
      </c>
      <c r="AH16" s="69">
        <v>1</v>
      </c>
      <c r="AI16" s="69">
        <v>0</v>
      </c>
      <c r="AJ16" s="25" t="s">
        <v>33</v>
      </c>
      <c r="AL16" t="str">
        <f t="shared" si="0"/>
        <v xml:space="preserve">    (U1)ALERT_REQ_UNKNOWN</v>
      </c>
      <c r="AR16" s="70" t="str">
        <f t="shared" si="3"/>
        <v xml:space="preserve">    (U4)0x0000000AU,                                                           /* 10 UNKNOWN                                         */</v>
      </c>
      <c r="AS16" s="70" t="str">
        <f t="shared" si="4"/>
        <v xml:space="preserve">    (U4)0x0000003FU,                                                           /* 10 UNKNOWN                                         */</v>
      </c>
      <c r="AT16" s="70" t="str">
        <f t="shared" si="1"/>
        <v xml:space="preserve">    (U1)ALERT_REQ_UNKNOWN,                                                     /* 10 UNKNOWN                                         */</v>
      </c>
      <c r="AU16" s="70" t="s">
        <v>467</v>
      </c>
      <c r="AV16" s="57" t="s">
        <v>79</v>
      </c>
      <c r="AW16" s="75" t="str">
        <f ca="1">IF(AW6&lt;&gt;AW17,VLOOKUP(AW6,Matrix!$C$13:$G$37,2,FALSE),Matrix!D13)</f>
        <v>ALERT_VOM_IGN_ON</v>
      </c>
    </row>
    <row r="17" spans="2:49" ht="14.25" thickBot="1">
      <c r="B17" s="139"/>
      <c r="C17" s="55">
        <f t="shared" si="2"/>
        <v>11</v>
      </c>
      <c r="D17" s="69" t="s">
        <v>70</v>
      </c>
      <c r="E17" s="69" t="s">
        <v>70</v>
      </c>
      <c r="F17" s="69" t="s">
        <v>70</v>
      </c>
      <c r="G17" s="69" t="s">
        <v>70</v>
      </c>
      <c r="H17" s="69" t="s">
        <v>70</v>
      </c>
      <c r="I17" s="69" t="s">
        <v>70</v>
      </c>
      <c r="J17" s="69" t="s">
        <v>70</v>
      </c>
      <c r="K17" s="69" t="s">
        <v>70</v>
      </c>
      <c r="L17" s="69" t="s">
        <v>70</v>
      </c>
      <c r="M17" s="69" t="s">
        <v>70</v>
      </c>
      <c r="N17" s="69" t="s">
        <v>70</v>
      </c>
      <c r="O17" s="69" t="s">
        <v>70</v>
      </c>
      <c r="P17" s="69" t="s">
        <v>70</v>
      </c>
      <c r="Q17" s="69" t="s">
        <v>70</v>
      </c>
      <c r="R17" s="69" t="s">
        <v>70</v>
      </c>
      <c r="S17" s="69" t="s">
        <v>70</v>
      </c>
      <c r="T17" s="69" t="s">
        <v>70</v>
      </c>
      <c r="U17" s="69" t="s">
        <v>70</v>
      </c>
      <c r="V17" s="69" t="s">
        <v>70</v>
      </c>
      <c r="W17" s="69" t="s">
        <v>70</v>
      </c>
      <c r="X17" s="69" t="s">
        <v>70</v>
      </c>
      <c r="Y17" s="69" t="s">
        <v>70</v>
      </c>
      <c r="Z17" s="69" t="s">
        <v>70</v>
      </c>
      <c r="AA17" s="69" t="s">
        <v>70</v>
      </c>
      <c r="AB17" s="69" t="s">
        <v>70</v>
      </c>
      <c r="AC17" s="69" t="s">
        <v>70</v>
      </c>
      <c r="AD17" s="69">
        <v>0</v>
      </c>
      <c r="AE17" s="69">
        <v>0</v>
      </c>
      <c r="AF17" s="69">
        <v>1</v>
      </c>
      <c r="AG17" s="69">
        <v>0</v>
      </c>
      <c r="AH17" s="69">
        <v>1</v>
      </c>
      <c r="AI17" s="69">
        <v>1</v>
      </c>
      <c r="AJ17" s="25" t="s">
        <v>33</v>
      </c>
      <c r="AL17" t="str">
        <f t="shared" si="0"/>
        <v xml:space="preserve">    (U1)ALERT_REQ_UNKNOWN</v>
      </c>
      <c r="AR17" s="70" t="str">
        <f t="shared" si="3"/>
        <v xml:space="preserve">    (U4)0x0000000BU,                                                           /* 11 UNKNOWN                                         */</v>
      </c>
      <c r="AS17" s="70" t="str">
        <f t="shared" si="4"/>
        <v xml:space="preserve">    (U4)0x0000003FU,                                                           /* 11 UNKNOWN                                         */</v>
      </c>
      <c r="AT17" s="70" t="str">
        <f t="shared" si="1"/>
        <v xml:space="preserve">    (U1)ALERT_REQ_UNKNOWN,                                                     /* 11 UNKNOWN                                         */</v>
      </c>
      <c r="AU17" s="71" t="s">
        <v>468</v>
      </c>
      <c r="AV17" s="58" t="s">
        <v>80</v>
      </c>
      <c r="AW17" s="76" t="str">
        <f ca="1">UPPER(Matrix!$D$6)</f>
        <v>S_LCA</v>
      </c>
    </row>
    <row r="18" spans="2:49">
      <c r="B18" s="139"/>
      <c r="C18" s="55">
        <f t="shared" si="2"/>
        <v>12</v>
      </c>
      <c r="D18" s="69" t="s">
        <v>70</v>
      </c>
      <c r="E18" s="69" t="s">
        <v>70</v>
      </c>
      <c r="F18" s="69" t="s">
        <v>70</v>
      </c>
      <c r="G18" s="69" t="s">
        <v>70</v>
      </c>
      <c r="H18" s="69" t="s">
        <v>70</v>
      </c>
      <c r="I18" s="69" t="s">
        <v>70</v>
      </c>
      <c r="J18" s="69" t="s">
        <v>70</v>
      </c>
      <c r="K18" s="69" t="s">
        <v>70</v>
      </c>
      <c r="L18" s="69" t="s">
        <v>70</v>
      </c>
      <c r="M18" s="69" t="s">
        <v>70</v>
      </c>
      <c r="N18" s="69" t="s">
        <v>70</v>
      </c>
      <c r="O18" s="69" t="s">
        <v>70</v>
      </c>
      <c r="P18" s="69" t="s">
        <v>70</v>
      </c>
      <c r="Q18" s="69" t="s">
        <v>70</v>
      </c>
      <c r="R18" s="69" t="s">
        <v>70</v>
      </c>
      <c r="S18" s="69" t="s">
        <v>70</v>
      </c>
      <c r="T18" s="69" t="s">
        <v>70</v>
      </c>
      <c r="U18" s="69" t="s">
        <v>70</v>
      </c>
      <c r="V18" s="69" t="s">
        <v>70</v>
      </c>
      <c r="W18" s="69" t="s">
        <v>70</v>
      </c>
      <c r="X18" s="69" t="s">
        <v>70</v>
      </c>
      <c r="Y18" s="69" t="s">
        <v>70</v>
      </c>
      <c r="Z18" s="69" t="s">
        <v>70</v>
      </c>
      <c r="AA18" s="69" t="s">
        <v>70</v>
      </c>
      <c r="AB18" s="69" t="s">
        <v>70</v>
      </c>
      <c r="AC18" s="69" t="s">
        <v>70</v>
      </c>
      <c r="AD18" s="69">
        <v>0</v>
      </c>
      <c r="AE18" s="69">
        <v>0</v>
      </c>
      <c r="AF18" s="69">
        <v>1</v>
      </c>
      <c r="AG18" s="69">
        <v>1</v>
      </c>
      <c r="AH18" s="69">
        <v>0</v>
      </c>
      <c r="AI18" s="69">
        <v>0</v>
      </c>
      <c r="AJ18" s="25" t="s">
        <v>33</v>
      </c>
      <c r="AL18" t="str">
        <f t="shared" si="0"/>
        <v xml:space="preserve">    (U1)ALERT_REQ_UNKNOWN</v>
      </c>
      <c r="AR18" s="70" t="str">
        <f t="shared" si="3"/>
        <v xml:space="preserve">    (U4)0x0000000CU,                                                           /* 12 UNKNOWN                                         */</v>
      </c>
      <c r="AS18" s="70" t="str">
        <f t="shared" si="4"/>
        <v xml:space="preserve">    (U4)0x0000003FU,                                                           /* 12 UNKNOWN                                         */</v>
      </c>
      <c r="AT18" s="70" t="str">
        <f t="shared" si="1"/>
        <v xml:space="preserve">    (U1)ALERT_REQ_UNKNOWN,                                                     /* 12 UNKNOWN                                         */</v>
      </c>
    </row>
    <row r="19" spans="2:49">
      <c r="B19" s="139"/>
      <c r="C19" s="55">
        <f t="shared" si="2"/>
        <v>13</v>
      </c>
      <c r="D19" s="69" t="s">
        <v>70</v>
      </c>
      <c r="E19" s="69" t="s">
        <v>70</v>
      </c>
      <c r="F19" s="69" t="s">
        <v>70</v>
      </c>
      <c r="G19" s="69" t="s">
        <v>70</v>
      </c>
      <c r="H19" s="69" t="s">
        <v>70</v>
      </c>
      <c r="I19" s="69" t="s">
        <v>70</v>
      </c>
      <c r="J19" s="69" t="s">
        <v>70</v>
      </c>
      <c r="K19" s="69" t="s">
        <v>70</v>
      </c>
      <c r="L19" s="69" t="s">
        <v>70</v>
      </c>
      <c r="M19" s="69" t="s">
        <v>70</v>
      </c>
      <c r="N19" s="69" t="s">
        <v>70</v>
      </c>
      <c r="O19" s="69" t="s">
        <v>70</v>
      </c>
      <c r="P19" s="69" t="s">
        <v>70</v>
      </c>
      <c r="Q19" s="69" t="s">
        <v>70</v>
      </c>
      <c r="R19" s="69" t="s">
        <v>70</v>
      </c>
      <c r="S19" s="69" t="s">
        <v>70</v>
      </c>
      <c r="T19" s="69" t="s">
        <v>70</v>
      </c>
      <c r="U19" s="69" t="s">
        <v>70</v>
      </c>
      <c r="V19" s="69" t="s">
        <v>70</v>
      </c>
      <c r="W19" s="69" t="s">
        <v>70</v>
      </c>
      <c r="X19" s="69" t="s">
        <v>70</v>
      </c>
      <c r="Y19" s="69" t="s">
        <v>70</v>
      </c>
      <c r="Z19" s="69" t="s">
        <v>70</v>
      </c>
      <c r="AA19" s="69" t="s">
        <v>70</v>
      </c>
      <c r="AB19" s="69" t="s">
        <v>70</v>
      </c>
      <c r="AC19" s="69" t="s">
        <v>70</v>
      </c>
      <c r="AD19" s="69">
        <v>0</v>
      </c>
      <c r="AE19" s="69">
        <v>0</v>
      </c>
      <c r="AF19" s="69">
        <v>1</v>
      </c>
      <c r="AG19" s="69">
        <v>1</v>
      </c>
      <c r="AH19" s="69">
        <v>0</v>
      </c>
      <c r="AI19" s="69">
        <v>1</v>
      </c>
      <c r="AJ19" s="25" t="s">
        <v>33</v>
      </c>
      <c r="AL19" t="str">
        <f t="shared" si="0"/>
        <v xml:space="preserve">    (U1)ALERT_REQ_UNKNOWN</v>
      </c>
      <c r="AR19" s="70" t="str">
        <f t="shared" si="3"/>
        <v xml:space="preserve">    (U4)0x0000000DU,                                                           /* 13 UNKNOWN                                         */</v>
      </c>
      <c r="AS19" s="70" t="str">
        <f t="shared" si="4"/>
        <v xml:space="preserve">    (U4)0x0000003FU,                                                           /* 13 UNKNOWN                                         */</v>
      </c>
      <c r="AT19" s="70" t="str">
        <f t="shared" si="1"/>
        <v xml:space="preserve">    (U1)ALERT_REQ_UNKNOWN,                                                     /* 13 UNKNOWN                                         */</v>
      </c>
    </row>
    <row r="20" spans="2:49">
      <c r="B20" s="139"/>
      <c r="C20" s="55">
        <f t="shared" si="2"/>
        <v>14</v>
      </c>
      <c r="D20" s="69" t="s">
        <v>70</v>
      </c>
      <c r="E20" s="69" t="s">
        <v>70</v>
      </c>
      <c r="F20" s="69" t="s">
        <v>70</v>
      </c>
      <c r="G20" s="69" t="s">
        <v>70</v>
      </c>
      <c r="H20" s="69" t="s">
        <v>70</v>
      </c>
      <c r="I20" s="69" t="s">
        <v>70</v>
      </c>
      <c r="J20" s="69" t="s">
        <v>70</v>
      </c>
      <c r="K20" s="69" t="s">
        <v>70</v>
      </c>
      <c r="L20" s="69" t="s">
        <v>70</v>
      </c>
      <c r="M20" s="69" t="s">
        <v>70</v>
      </c>
      <c r="N20" s="69" t="s">
        <v>70</v>
      </c>
      <c r="O20" s="69" t="s">
        <v>70</v>
      </c>
      <c r="P20" s="69" t="s">
        <v>70</v>
      </c>
      <c r="Q20" s="69" t="s">
        <v>70</v>
      </c>
      <c r="R20" s="69" t="s">
        <v>70</v>
      </c>
      <c r="S20" s="69" t="s">
        <v>70</v>
      </c>
      <c r="T20" s="69" t="s">
        <v>70</v>
      </c>
      <c r="U20" s="69" t="s">
        <v>70</v>
      </c>
      <c r="V20" s="69" t="s">
        <v>70</v>
      </c>
      <c r="W20" s="69" t="s">
        <v>70</v>
      </c>
      <c r="X20" s="69" t="s">
        <v>70</v>
      </c>
      <c r="Y20" s="69" t="s">
        <v>70</v>
      </c>
      <c r="Z20" s="69" t="s">
        <v>70</v>
      </c>
      <c r="AA20" s="69" t="s">
        <v>70</v>
      </c>
      <c r="AB20" s="69" t="s">
        <v>70</v>
      </c>
      <c r="AC20" s="69" t="s">
        <v>70</v>
      </c>
      <c r="AD20" s="69">
        <v>0</v>
      </c>
      <c r="AE20" s="69">
        <v>0</v>
      </c>
      <c r="AF20" s="69">
        <v>1</v>
      </c>
      <c r="AG20" s="69">
        <v>1</v>
      </c>
      <c r="AH20" s="69">
        <v>1</v>
      </c>
      <c r="AI20" s="69">
        <v>0</v>
      </c>
      <c r="AJ20" s="25" t="s">
        <v>33</v>
      </c>
      <c r="AL20" t="str">
        <f t="shared" si="0"/>
        <v xml:space="preserve">    (U1)ALERT_REQ_UNKNOWN</v>
      </c>
      <c r="AR20" s="70" t="str">
        <f t="shared" si="3"/>
        <v xml:space="preserve">    (U4)0x0000000EU,                                                           /* 14 UNKNOWN                                         */</v>
      </c>
      <c r="AS20" s="70" t="str">
        <f t="shared" si="4"/>
        <v xml:space="preserve">    (U4)0x0000003FU,                                                           /* 14 UNKNOWN                                         */</v>
      </c>
      <c r="AT20" s="70" t="str">
        <f t="shared" si="1"/>
        <v xml:space="preserve">    (U1)ALERT_REQ_UNKNOWN,                                                     /* 14 UNKNOWN                                         */</v>
      </c>
    </row>
    <row r="21" spans="2:49">
      <c r="B21" s="139"/>
      <c r="C21" s="55">
        <f t="shared" si="2"/>
        <v>15</v>
      </c>
      <c r="D21" s="69" t="s">
        <v>70</v>
      </c>
      <c r="E21" s="69" t="s">
        <v>70</v>
      </c>
      <c r="F21" s="69" t="s">
        <v>70</v>
      </c>
      <c r="G21" s="69" t="s">
        <v>70</v>
      </c>
      <c r="H21" s="69" t="s">
        <v>70</v>
      </c>
      <c r="I21" s="69" t="s">
        <v>70</v>
      </c>
      <c r="J21" s="69" t="s">
        <v>70</v>
      </c>
      <c r="K21" s="69" t="s">
        <v>70</v>
      </c>
      <c r="L21" s="69" t="s">
        <v>70</v>
      </c>
      <c r="M21" s="69" t="s">
        <v>70</v>
      </c>
      <c r="N21" s="69" t="s">
        <v>70</v>
      </c>
      <c r="O21" s="69" t="s">
        <v>70</v>
      </c>
      <c r="P21" s="69" t="s">
        <v>70</v>
      </c>
      <c r="Q21" s="69" t="s">
        <v>70</v>
      </c>
      <c r="R21" s="69" t="s">
        <v>70</v>
      </c>
      <c r="S21" s="69" t="s">
        <v>70</v>
      </c>
      <c r="T21" s="69" t="s">
        <v>70</v>
      </c>
      <c r="U21" s="69" t="s">
        <v>70</v>
      </c>
      <c r="V21" s="69" t="s">
        <v>70</v>
      </c>
      <c r="W21" s="69" t="s">
        <v>70</v>
      </c>
      <c r="X21" s="69" t="s">
        <v>70</v>
      </c>
      <c r="Y21" s="69" t="s">
        <v>70</v>
      </c>
      <c r="Z21" s="69" t="s">
        <v>70</v>
      </c>
      <c r="AA21" s="69" t="s">
        <v>70</v>
      </c>
      <c r="AB21" s="69" t="s">
        <v>70</v>
      </c>
      <c r="AC21" s="69" t="s">
        <v>70</v>
      </c>
      <c r="AD21" s="69">
        <v>0</v>
      </c>
      <c r="AE21" s="69">
        <v>0</v>
      </c>
      <c r="AF21" s="69">
        <v>1</v>
      </c>
      <c r="AG21" s="69">
        <v>1</v>
      </c>
      <c r="AH21" s="69">
        <v>1</v>
      </c>
      <c r="AI21" s="69">
        <v>1</v>
      </c>
      <c r="AJ21" s="25" t="s">
        <v>33</v>
      </c>
      <c r="AL21" t="str">
        <f t="shared" si="0"/>
        <v xml:space="preserve">    (U1)ALERT_REQ_UNKNOWN</v>
      </c>
      <c r="AR21" s="70" t="str">
        <f t="shared" si="3"/>
        <v xml:space="preserve">    (U4)0x0000000FU,                                                           /* 15 UNKNOWN                                         */</v>
      </c>
      <c r="AS21" s="70" t="str">
        <f t="shared" si="4"/>
        <v xml:space="preserve">    (U4)0x0000003FU,                                                           /* 15 UNKNOWN                                         */</v>
      </c>
      <c r="AT21" s="70" t="str">
        <f t="shared" si="1"/>
        <v xml:space="preserve">    (U1)ALERT_REQ_UNKNOWN,                                                     /* 15 UNKNOWN                                         */</v>
      </c>
    </row>
    <row r="22" spans="2:49">
      <c r="B22" s="139"/>
      <c r="C22" s="55">
        <f t="shared" si="2"/>
        <v>16</v>
      </c>
      <c r="D22" s="69" t="s">
        <v>70</v>
      </c>
      <c r="E22" s="69" t="s">
        <v>70</v>
      </c>
      <c r="F22" s="69" t="s">
        <v>70</v>
      </c>
      <c r="G22" s="69" t="s">
        <v>70</v>
      </c>
      <c r="H22" s="69" t="s">
        <v>70</v>
      </c>
      <c r="I22" s="69" t="s">
        <v>70</v>
      </c>
      <c r="J22" s="69" t="s">
        <v>70</v>
      </c>
      <c r="K22" s="69" t="s">
        <v>70</v>
      </c>
      <c r="L22" s="69" t="s">
        <v>70</v>
      </c>
      <c r="M22" s="69" t="s">
        <v>70</v>
      </c>
      <c r="N22" s="69" t="s">
        <v>70</v>
      </c>
      <c r="O22" s="69" t="s">
        <v>70</v>
      </c>
      <c r="P22" s="69" t="s">
        <v>70</v>
      </c>
      <c r="Q22" s="69" t="s">
        <v>70</v>
      </c>
      <c r="R22" s="69" t="s">
        <v>70</v>
      </c>
      <c r="S22" s="69" t="s">
        <v>70</v>
      </c>
      <c r="T22" s="69" t="s">
        <v>70</v>
      </c>
      <c r="U22" s="69" t="s">
        <v>70</v>
      </c>
      <c r="V22" s="69" t="s">
        <v>70</v>
      </c>
      <c r="W22" s="69" t="s">
        <v>70</v>
      </c>
      <c r="X22" s="69" t="s">
        <v>70</v>
      </c>
      <c r="Y22" s="69" t="s">
        <v>70</v>
      </c>
      <c r="Z22" s="69" t="s">
        <v>70</v>
      </c>
      <c r="AA22" s="69" t="s">
        <v>70</v>
      </c>
      <c r="AB22" s="69" t="s">
        <v>70</v>
      </c>
      <c r="AC22" s="69" t="s">
        <v>70</v>
      </c>
      <c r="AD22" s="69">
        <v>0</v>
      </c>
      <c r="AE22" s="69">
        <v>1</v>
      </c>
      <c r="AF22" s="69">
        <v>0</v>
      </c>
      <c r="AG22" s="69">
        <v>0</v>
      </c>
      <c r="AH22" s="69">
        <v>0</v>
      </c>
      <c r="AI22" s="69">
        <v>0</v>
      </c>
      <c r="AJ22" s="25" t="s">
        <v>33</v>
      </c>
      <c r="AL22" t="str">
        <f t="shared" si="0"/>
        <v xml:space="preserve">    (U1)ALERT_REQ_UNKNOWN</v>
      </c>
      <c r="AR22" s="70" t="str">
        <f t="shared" si="3"/>
        <v xml:space="preserve">    (U4)0x00000010U,                                                           /* 16 UNKNOWN                                         */</v>
      </c>
      <c r="AS22" s="70" t="str">
        <f t="shared" si="4"/>
        <v xml:space="preserve">    (U4)0x0000003FU,                                                           /* 16 UNKNOWN                                         */</v>
      </c>
      <c r="AT22" s="70" t="str">
        <f t="shared" si="1"/>
        <v xml:space="preserve">    (U1)ALERT_REQ_UNKNOWN,                                                     /* 16 UNKNOWN                                         */</v>
      </c>
    </row>
    <row r="23" spans="2:49">
      <c r="B23" s="139"/>
      <c r="C23" s="55">
        <f t="shared" si="2"/>
        <v>17</v>
      </c>
      <c r="D23" s="69" t="s">
        <v>70</v>
      </c>
      <c r="E23" s="69" t="s">
        <v>70</v>
      </c>
      <c r="F23" s="69" t="s">
        <v>70</v>
      </c>
      <c r="G23" s="69" t="s">
        <v>70</v>
      </c>
      <c r="H23" s="69" t="s">
        <v>70</v>
      </c>
      <c r="I23" s="69" t="s">
        <v>70</v>
      </c>
      <c r="J23" s="69" t="s">
        <v>70</v>
      </c>
      <c r="K23" s="69" t="s">
        <v>70</v>
      </c>
      <c r="L23" s="69" t="s">
        <v>70</v>
      </c>
      <c r="M23" s="69" t="s">
        <v>70</v>
      </c>
      <c r="N23" s="69" t="s">
        <v>70</v>
      </c>
      <c r="O23" s="69" t="s">
        <v>70</v>
      </c>
      <c r="P23" s="69" t="s">
        <v>70</v>
      </c>
      <c r="Q23" s="69" t="s">
        <v>70</v>
      </c>
      <c r="R23" s="69" t="s">
        <v>70</v>
      </c>
      <c r="S23" s="69" t="s">
        <v>70</v>
      </c>
      <c r="T23" s="69" t="s">
        <v>70</v>
      </c>
      <c r="U23" s="69" t="s">
        <v>70</v>
      </c>
      <c r="V23" s="69" t="s">
        <v>70</v>
      </c>
      <c r="W23" s="69" t="s">
        <v>70</v>
      </c>
      <c r="X23" s="69" t="s">
        <v>70</v>
      </c>
      <c r="Y23" s="69" t="s">
        <v>70</v>
      </c>
      <c r="Z23" s="69" t="s">
        <v>70</v>
      </c>
      <c r="AA23" s="69" t="s">
        <v>70</v>
      </c>
      <c r="AB23" s="69" t="s">
        <v>70</v>
      </c>
      <c r="AC23" s="69" t="s">
        <v>70</v>
      </c>
      <c r="AD23" s="69">
        <v>0</v>
      </c>
      <c r="AE23" s="69">
        <v>1</v>
      </c>
      <c r="AF23" s="69">
        <v>0</v>
      </c>
      <c r="AG23" s="69">
        <v>0</v>
      </c>
      <c r="AH23" s="69">
        <v>0</v>
      </c>
      <c r="AI23" s="69">
        <v>1</v>
      </c>
      <c r="AJ23" s="25" t="s">
        <v>33</v>
      </c>
      <c r="AL23" t="str">
        <f t="shared" si="0"/>
        <v xml:space="preserve">    (U1)ALERT_REQ_UNKNOWN</v>
      </c>
      <c r="AR23" s="70" t="str">
        <f t="shared" si="3"/>
        <v xml:space="preserve">    (U4)0x00000011U,                                                           /* 17 UNKNOWN                                         */</v>
      </c>
      <c r="AS23" s="70" t="str">
        <f t="shared" si="4"/>
        <v xml:space="preserve">    (U4)0x0000003FU,                                                           /* 17 UNKNOWN                                         */</v>
      </c>
      <c r="AT23" s="70" t="str">
        <f t="shared" si="1"/>
        <v xml:space="preserve">    (U1)ALERT_REQ_UNKNOWN,                                                     /* 17 UNKNOWN                                         */</v>
      </c>
    </row>
    <row r="24" spans="2:49">
      <c r="B24" s="139"/>
      <c r="C24" s="55">
        <f t="shared" si="2"/>
        <v>18</v>
      </c>
      <c r="D24" s="69" t="s">
        <v>70</v>
      </c>
      <c r="E24" s="69" t="s">
        <v>70</v>
      </c>
      <c r="F24" s="69" t="s">
        <v>70</v>
      </c>
      <c r="G24" s="69" t="s">
        <v>70</v>
      </c>
      <c r="H24" s="69" t="s">
        <v>70</v>
      </c>
      <c r="I24" s="69" t="s">
        <v>70</v>
      </c>
      <c r="J24" s="69" t="s">
        <v>70</v>
      </c>
      <c r="K24" s="69" t="s">
        <v>70</v>
      </c>
      <c r="L24" s="69" t="s">
        <v>70</v>
      </c>
      <c r="M24" s="69" t="s">
        <v>70</v>
      </c>
      <c r="N24" s="69" t="s">
        <v>70</v>
      </c>
      <c r="O24" s="69" t="s">
        <v>70</v>
      </c>
      <c r="P24" s="69" t="s">
        <v>70</v>
      </c>
      <c r="Q24" s="69" t="s">
        <v>70</v>
      </c>
      <c r="R24" s="69" t="s">
        <v>70</v>
      </c>
      <c r="S24" s="69" t="s">
        <v>70</v>
      </c>
      <c r="T24" s="69" t="s">
        <v>70</v>
      </c>
      <c r="U24" s="69" t="s">
        <v>70</v>
      </c>
      <c r="V24" s="69" t="s">
        <v>70</v>
      </c>
      <c r="W24" s="69" t="s">
        <v>70</v>
      </c>
      <c r="X24" s="69" t="s">
        <v>70</v>
      </c>
      <c r="Y24" s="69" t="s">
        <v>70</v>
      </c>
      <c r="Z24" s="69" t="s">
        <v>70</v>
      </c>
      <c r="AA24" s="69" t="s">
        <v>70</v>
      </c>
      <c r="AB24" s="69" t="s">
        <v>70</v>
      </c>
      <c r="AC24" s="69" t="s">
        <v>70</v>
      </c>
      <c r="AD24" s="69">
        <v>0</v>
      </c>
      <c r="AE24" s="69">
        <v>1</v>
      </c>
      <c r="AF24" s="69">
        <v>0</v>
      </c>
      <c r="AG24" s="69">
        <v>0</v>
      </c>
      <c r="AH24" s="69">
        <v>1</v>
      </c>
      <c r="AI24" s="69">
        <v>0</v>
      </c>
      <c r="AJ24" s="25" t="s">
        <v>33</v>
      </c>
      <c r="AL24" t="str">
        <f t="shared" si="0"/>
        <v xml:space="preserve">    (U1)ALERT_REQ_UNKNOWN</v>
      </c>
      <c r="AR24" s="70" t="str">
        <f t="shared" si="3"/>
        <v xml:space="preserve">    (U4)0x00000012U,                                                           /* 18 UNKNOWN                                         */</v>
      </c>
      <c r="AS24" s="70" t="str">
        <f t="shared" si="4"/>
        <v xml:space="preserve">    (U4)0x0000003FU,                                                           /* 18 UNKNOWN                                         */</v>
      </c>
      <c r="AT24" s="70" t="str">
        <f t="shared" si="1"/>
        <v xml:space="preserve">    (U1)ALERT_REQ_UNKNOWN,                                                     /* 18 UNKNOWN                                         */</v>
      </c>
    </row>
    <row r="25" spans="2:49">
      <c r="B25" s="139"/>
      <c r="C25" s="55">
        <f t="shared" si="2"/>
        <v>19</v>
      </c>
      <c r="D25" s="69" t="s">
        <v>70</v>
      </c>
      <c r="E25" s="69" t="s">
        <v>70</v>
      </c>
      <c r="F25" s="69" t="s">
        <v>70</v>
      </c>
      <c r="G25" s="69" t="s">
        <v>70</v>
      </c>
      <c r="H25" s="69" t="s">
        <v>70</v>
      </c>
      <c r="I25" s="69" t="s">
        <v>70</v>
      </c>
      <c r="J25" s="69" t="s">
        <v>70</v>
      </c>
      <c r="K25" s="69" t="s">
        <v>70</v>
      </c>
      <c r="L25" s="69" t="s">
        <v>70</v>
      </c>
      <c r="M25" s="69" t="s">
        <v>70</v>
      </c>
      <c r="N25" s="69" t="s">
        <v>70</v>
      </c>
      <c r="O25" s="69" t="s">
        <v>70</v>
      </c>
      <c r="P25" s="69" t="s">
        <v>70</v>
      </c>
      <c r="Q25" s="69" t="s">
        <v>70</v>
      </c>
      <c r="R25" s="69" t="s">
        <v>70</v>
      </c>
      <c r="S25" s="69" t="s">
        <v>70</v>
      </c>
      <c r="T25" s="69" t="s">
        <v>70</v>
      </c>
      <c r="U25" s="69" t="s">
        <v>70</v>
      </c>
      <c r="V25" s="69" t="s">
        <v>70</v>
      </c>
      <c r="W25" s="69" t="s">
        <v>70</v>
      </c>
      <c r="X25" s="69" t="s">
        <v>70</v>
      </c>
      <c r="Y25" s="69" t="s">
        <v>70</v>
      </c>
      <c r="Z25" s="69" t="s">
        <v>70</v>
      </c>
      <c r="AA25" s="69" t="s">
        <v>70</v>
      </c>
      <c r="AB25" s="69" t="s">
        <v>70</v>
      </c>
      <c r="AC25" s="69" t="s">
        <v>70</v>
      </c>
      <c r="AD25" s="69">
        <v>0</v>
      </c>
      <c r="AE25" s="69">
        <v>1</v>
      </c>
      <c r="AF25" s="69">
        <v>0</v>
      </c>
      <c r="AG25" s="69">
        <v>0</v>
      </c>
      <c r="AH25" s="69">
        <v>1</v>
      </c>
      <c r="AI25" s="69">
        <v>1</v>
      </c>
      <c r="AJ25" s="25" t="s">
        <v>33</v>
      </c>
      <c r="AL25" t="str">
        <f t="shared" si="0"/>
        <v xml:space="preserve">    (U1)ALERT_REQ_UNKNOWN</v>
      </c>
      <c r="AR25" s="70" t="str">
        <f t="shared" si="3"/>
        <v xml:space="preserve">    (U4)0x00000013U,                                                           /* 19 UNKNOWN                                         */</v>
      </c>
      <c r="AS25" s="70" t="str">
        <f t="shared" si="4"/>
        <v xml:space="preserve">    (U4)0x0000003FU,                                                           /* 19 UNKNOWN                                         */</v>
      </c>
      <c r="AT25" s="70" t="str">
        <f t="shared" si="1"/>
        <v xml:space="preserve">    (U1)ALERT_REQ_UNKNOWN,                                                     /* 19 UNKNOWN                                         */</v>
      </c>
    </row>
    <row r="26" spans="2:49">
      <c r="B26" s="139"/>
      <c r="C26" s="55">
        <f t="shared" si="2"/>
        <v>20</v>
      </c>
      <c r="D26" s="69" t="s">
        <v>70</v>
      </c>
      <c r="E26" s="69" t="s">
        <v>70</v>
      </c>
      <c r="F26" s="69" t="s">
        <v>70</v>
      </c>
      <c r="G26" s="69" t="s">
        <v>70</v>
      </c>
      <c r="H26" s="69" t="s">
        <v>70</v>
      </c>
      <c r="I26" s="69" t="s">
        <v>70</v>
      </c>
      <c r="J26" s="69" t="s">
        <v>70</v>
      </c>
      <c r="K26" s="69" t="s">
        <v>70</v>
      </c>
      <c r="L26" s="69" t="s">
        <v>70</v>
      </c>
      <c r="M26" s="69" t="s">
        <v>70</v>
      </c>
      <c r="N26" s="69" t="s">
        <v>70</v>
      </c>
      <c r="O26" s="69" t="s">
        <v>70</v>
      </c>
      <c r="P26" s="69" t="s">
        <v>70</v>
      </c>
      <c r="Q26" s="69" t="s">
        <v>70</v>
      </c>
      <c r="R26" s="69" t="s">
        <v>70</v>
      </c>
      <c r="S26" s="69" t="s">
        <v>70</v>
      </c>
      <c r="T26" s="69" t="s">
        <v>70</v>
      </c>
      <c r="U26" s="69" t="s">
        <v>70</v>
      </c>
      <c r="V26" s="69" t="s">
        <v>70</v>
      </c>
      <c r="W26" s="69" t="s">
        <v>70</v>
      </c>
      <c r="X26" s="69" t="s">
        <v>70</v>
      </c>
      <c r="Y26" s="69" t="s">
        <v>70</v>
      </c>
      <c r="Z26" s="69" t="s">
        <v>70</v>
      </c>
      <c r="AA26" s="69" t="s">
        <v>70</v>
      </c>
      <c r="AB26" s="69" t="s">
        <v>70</v>
      </c>
      <c r="AC26" s="69" t="s">
        <v>70</v>
      </c>
      <c r="AD26" s="69">
        <v>0</v>
      </c>
      <c r="AE26" s="69">
        <v>1</v>
      </c>
      <c r="AF26" s="69">
        <v>0</v>
      </c>
      <c r="AG26" s="69">
        <v>1</v>
      </c>
      <c r="AH26" s="69">
        <v>0</v>
      </c>
      <c r="AI26" s="69">
        <v>0</v>
      </c>
      <c r="AJ26" s="25" t="s">
        <v>33</v>
      </c>
      <c r="AL26" t="str">
        <f t="shared" si="0"/>
        <v xml:space="preserve">    (U1)ALERT_REQ_UNKNOWN</v>
      </c>
      <c r="AR26" s="70" t="str">
        <f t="shared" si="3"/>
        <v xml:space="preserve">    (U4)0x00000014U,                                                           /* 20 UNKNOWN                                         */</v>
      </c>
      <c r="AS26" s="70" t="str">
        <f t="shared" si="4"/>
        <v xml:space="preserve">    (U4)0x0000003FU,                                                           /* 20 UNKNOWN                                         */</v>
      </c>
      <c r="AT26" s="70" t="str">
        <f t="shared" si="1"/>
        <v xml:space="preserve">    (U1)ALERT_REQ_UNKNOWN,                                                     /* 20 UNKNOWN                                         */</v>
      </c>
    </row>
    <row r="27" spans="2:49">
      <c r="B27" s="139"/>
      <c r="C27" s="55">
        <f t="shared" si="2"/>
        <v>21</v>
      </c>
      <c r="D27" s="69" t="s">
        <v>70</v>
      </c>
      <c r="E27" s="69" t="s">
        <v>70</v>
      </c>
      <c r="F27" s="69" t="s">
        <v>70</v>
      </c>
      <c r="G27" s="69" t="s">
        <v>70</v>
      </c>
      <c r="H27" s="69" t="s">
        <v>70</v>
      </c>
      <c r="I27" s="69" t="s">
        <v>70</v>
      </c>
      <c r="J27" s="69" t="s">
        <v>70</v>
      </c>
      <c r="K27" s="69" t="s">
        <v>70</v>
      </c>
      <c r="L27" s="69" t="s">
        <v>70</v>
      </c>
      <c r="M27" s="69" t="s">
        <v>70</v>
      </c>
      <c r="N27" s="69" t="s">
        <v>70</v>
      </c>
      <c r="O27" s="69" t="s">
        <v>70</v>
      </c>
      <c r="P27" s="69" t="s">
        <v>70</v>
      </c>
      <c r="Q27" s="69" t="s">
        <v>70</v>
      </c>
      <c r="R27" s="69" t="s">
        <v>70</v>
      </c>
      <c r="S27" s="69" t="s">
        <v>70</v>
      </c>
      <c r="T27" s="69" t="s">
        <v>70</v>
      </c>
      <c r="U27" s="69" t="s">
        <v>70</v>
      </c>
      <c r="V27" s="69" t="s">
        <v>70</v>
      </c>
      <c r="W27" s="69" t="s">
        <v>70</v>
      </c>
      <c r="X27" s="69" t="s">
        <v>70</v>
      </c>
      <c r="Y27" s="69" t="s">
        <v>70</v>
      </c>
      <c r="Z27" s="69" t="s">
        <v>70</v>
      </c>
      <c r="AA27" s="69" t="s">
        <v>70</v>
      </c>
      <c r="AB27" s="69" t="s">
        <v>70</v>
      </c>
      <c r="AC27" s="69" t="s">
        <v>70</v>
      </c>
      <c r="AD27" s="69">
        <v>0</v>
      </c>
      <c r="AE27" s="69">
        <v>1</v>
      </c>
      <c r="AF27" s="69">
        <v>0</v>
      </c>
      <c r="AG27" s="69">
        <v>1</v>
      </c>
      <c r="AH27" s="69">
        <v>0</v>
      </c>
      <c r="AI27" s="69">
        <v>1</v>
      </c>
      <c r="AJ27" s="25" t="s">
        <v>33</v>
      </c>
      <c r="AL27" t="str">
        <f t="shared" si="0"/>
        <v xml:space="preserve">    (U1)ALERT_REQ_UNKNOWN</v>
      </c>
      <c r="AR27" s="70" t="str">
        <f t="shared" si="3"/>
        <v xml:space="preserve">    (U4)0x00000015U,                                                           /* 21 UNKNOWN                                         */</v>
      </c>
      <c r="AS27" s="70" t="str">
        <f t="shared" si="4"/>
        <v xml:space="preserve">    (U4)0x0000003FU,                                                           /* 21 UNKNOWN                                         */</v>
      </c>
      <c r="AT27" s="70" t="str">
        <f t="shared" si="1"/>
        <v xml:space="preserve">    (U1)ALERT_REQ_UNKNOWN,                                                     /* 21 UNKNOWN                                         */</v>
      </c>
    </row>
    <row r="28" spans="2:49">
      <c r="B28" s="139"/>
      <c r="C28" s="55">
        <f t="shared" si="2"/>
        <v>22</v>
      </c>
      <c r="D28" s="69" t="s">
        <v>70</v>
      </c>
      <c r="E28" s="69" t="s">
        <v>70</v>
      </c>
      <c r="F28" s="69" t="s">
        <v>70</v>
      </c>
      <c r="G28" s="69" t="s">
        <v>70</v>
      </c>
      <c r="H28" s="69" t="s">
        <v>70</v>
      </c>
      <c r="I28" s="69" t="s">
        <v>70</v>
      </c>
      <c r="J28" s="69" t="s">
        <v>70</v>
      </c>
      <c r="K28" s="69" t="s">
        <v>70</v>
      </c>
      <c r="L28" s="69" t="s">
        <v>70</v>
      </c>
      <c r="M28" s="69" t="s">
        <v>70</v>
      </c>
      <c r="N28" s="69" t="s">
        <v>70</v>
      </c>
      <c r="O28" s="69" t="s">
        <v>70</v>
      </c>
      <c r="P28" s="69" t="s">
        <v>70</v>
      </c>
      <c r="Q28" s="69" t="s">
        <v>70</v>
      </c>
      <c r="R28" s="69" t="s">
        <v>70</v>
      </c>
      <c r="S28" s="69" t="s">
        <v>70</v>
      </c>
      <c r="T28" s="69" t="s">
        <v>70</v>
      </c>
      <c r="U28" s="69" t="s">
        <v>70</v>
      </c>
      <c r="V28" s="69" t="s">
        <v>70</v>
      </c>
      <c r="W28" s="69" t="s">
        <v>70</v>
      </c>
      <c r="X28" s="69" t="s">
        <v>70</v>
      </c>
      <c r="Y28" s="69" t="s">
        <v>70</v>
      </c>
      <c r="Z28" s="69" t="s">
        <v>70</v>
      </c>
      <c r="AA28" s="69" t="s">
        <v>70</v>
      </c>
      <c r="AB28" s="69" t="s">
        <v>70</v>
      </c>
      <c r="AC28" s="69" t="s">
        <v>70</v>
      </c>
      <c r="AD28" s="69">
        <v>0</v>
      </c>
      <c r="AE28" s="69">
        <v>1</v>
      </c>
      <c r="AF28" s="69">
        <v>0</v>
      </c>
      <c r="AG28" s="69">
        <v>1</v>
      </c>
      <c r="AH28" s="69">
        <v>1</v>
      </c>
      <c r="AI28" s="69">
        <v>0</v>
      </c>
      <c r="AJ28" s="25" t="s">
        <v>33</v>
      </c>
      <c r="AL28" t="str">
        <f t="shared" si="0"/>
        <v xml:space="preserve">    (U1)ALERT_REQ_UNKNOWN</v>
      </c>
      <c r="AR28" s="70" t="str">
        <f t="shared" si="3"/>
        <v xml:space="preserve">    (U4)0x00000016U,                                                           /* 22 UNKNOWN                                         */</v>
      </c>
      <c r="AS28" s="70" t="str">
        <f t="shared" si="4"/>
        <v xml:space="preserve">    (U4)0x0000003FU,                                                           /* 22 UNKNOWN                                         */</v>
      </c>
      <c r="AT28" s="70" t="str">
        <f t="shared" si="1"/>
        <v xml:space="preserve">    (U1)ALERT_REQ_UNKNOWN,                                                     /* 22 UNKNOWN                                         */</v>
      </c>
    </row>
    <row r="29" spans="2:49">
      <c r="B29" s="139"/>
      <c r="C29" s="55">
        <f t="shared" si="2"/>
        <v>23</v>
      </c>
      <c r="D29" s="69" t="s">
        <v>70</v>
      </c>
      <c r="E29" s="69" t="s">
        <v>70</v>
      </c>
      <c r="F29" s="69" t="s">
        <v>70</v>
      </c>
      <c r="G29" s="69" t="s">
        <v>70</v>
      </c>
      <c r="H29" s="69" t="s">
        <v>70</v>
      </c>
      <c r="I29" s="69" t="s">
        <v>70</v>
      </c>
      <c r="J29" s="69" t="s">
        <v>70</v>
      </c>
      <c r="K29" s="69" t="s">
        <v>70</v>
      </c>
      <c r="L29" s="69" t="s">
        <v>70</v>
      </c>
      <c r="M29" s="69" t="s">
        <v>70</v>
      </c>
      <c r="N29" s="69" t="s">
        <v>70</v>
      </c>
      <c r="O29" s="69" t="s">
        <v>70</v>
      </c>
      <c r="P29" s="69" t="s">
        <v>70</v>
      </c>
      <c r="Q29" s="69" t="s">
        <v>70</v>
      </c>
      <c r="R29" s="69" t="s">
        <v>70</v>
      </c>
      <c r="S29" s="69" t="s">
        <v>70</v>
      </c>
      <c r="T29" s="69" t="s">
        <v>70</v>
      </c>
      <c r="U29" s="69" t="s">
        <v>70</v>
      </c>
      <c r="V29" s="69" t="s">
        <v>70</v>
      </c>
      <c r="W29" s="69" t="s">
        <v>70</v>
      </c>
      <c r="X29" s="69" t="s">
        <v>70</v>
      </c>
      <c r="Y29" s="69" t="s">
        <v>70</v>
      </c>
      <c r="Z29" s="69" t="s">
        <v>70</v>
      </c>
      <c r="AA29" s="69" t="s">
        <v>70</v>
      </c>
      <c r="AB29" s="69" t="s">
        <v>70</v>
      </c>
      <c r="AC29" s="69" t="s">
        <v>70</v>
      </c>
      <c r="AD29" s="69">
        <v>0</v>
      </c>
      <c r="AE29" s="69">
        <v>1</v>
      </c>
      <c r="AF29" s="69">
        <v>0</v>
      </c>
      <c r="AG29" s="69">
        <v>1</v>
      </c>
      <c r="AH29" s="69">
        <v>1</v>
      </c>
      <c r="AI29" s="69">
        <v>1</v>
      </c>
      <c r="AJ29" s="25" t="s">
        <v>33</v>
      </c>
      <c r="AL29" t="str">
        <f t="shared" si="0"/>
        <v xml:space="preserve">    (U1)ALERT_REQ_UNKNOWN</v>
      </c>
      <c r="AR29" s="70" t="str">
        <f t="shared" si="3"/>
        <v xml:space="preserve">    (U4)0x00000017U,                                                           /* 23 UNKNOWN                                         */</v>
      </c>
      <c r="AS29" s="70" t="str">
        <f t="shared" si="4"/>
        <v xml:space="preserve">    (U4)0x0000003FU,                                                           /* 23 UNKNOWN                                         */</v>
      </c>
      <c r="AT29" s="70" t="str">
        <f t="shared" si="1"/>
        <v xml:space="preserve">    (U1)ALERT_REQ_UNKNOWN,                                                     /* 23 UNKNOWN                                         */</v>
      </c>
    </row>
    <row r="30" spans="2:49">
      <c r="B30" s="139"/>
      <c r="C30" s="55">
        <f t="shared" si="2"/>
        <v>24</v>
      </c>
      <c r="D30" s="69" t="s">
        <v>70</v>
      </c>
      <c r="E30" s="69" t="s">
        <v>70</v>
      </c>
      <c r="F30" s="69" t="s">
        <v>70</v>
      </c>
      <c r="G30" s="69" t="s">
        <v>70</v>
      </c>
      <c r="H30" s="69" t="s">
        <v>70</v>
      </c>
      <c r="I30" s="69" t="s">
        <v>70</v>
      </c>
      <c r="J30" s="69" t="s">
        <v>70</v>
      </c>
      <c r="K30" s="69" t="s">
        <v>70</v>
      </c>
      <c r="L30" s="69" t="s">
        <v>70</v>
      </c>
      <c r="M30" s="69" t="s">
        <v>70</v>
      </c>
      <c r="N30" s="69" t="s">
        <v>70</v>
      </c>
      <c r="O30" s="69" t="s">
        <v>70</v>
      </c>
      <c r="P30" s="69" t="s">
        <v>70</v>
      </c>
      <c r="Q30" s="69" t="s">
        <v>70</v>
      </c>
      <c r="R30" s="69" t="s">
        <v>70</v>
      </c>
      <c r="S30" s="69" t="s">
        <v>70</v>
      </c>
      <c r="T30" s="69" t="s">
        <v>70</v>
      </c>
      <c r="U30" s="69" t="s">
        <v>70</v>
      </c>
      <c r="V30" s="69" t="s">
        <v>70</v>
      </c>
      <c r="W30" s="69" t="s">
        <v>70</v>
      </c>
      <c r="X30" s="69" t="s">
        <v>70</v>
      </c>
      <c r="Y30" s="69" t="s">
        <v>70</v>
      </c>
      <c r="Z30" s="69" t="s">
        <v>70</v>
      </c>
      <c r="AA30" s="69" t="s">
        <v>70</v>
      </c>
      <c r="AB30" s="69" t="s">
        <v>70</v>
      </c>
      <c r="AC30" s="69" t="s">
        <v>70</v>
      </c>
      <c r="AD30" s="69">
        <v>0</v>
      </c>
      <c r="AE30" s="69">
        <v>1</v>
      </c>
      <c r="AF30" s="69">
        <v>1</v>
      </c>
      <c r="AG30" s="69">
        <v>0</v>
      </c>
      <c r="AH30" s="69">
        <v>0</v>
      </c>
      <c r="AI30" s="69">
        <v>0</v>
      </c>
      <c r="AJ30" s="25" t="s">
        <v>33</v>
      </c>
      <c r="AL30" t="str">
        <f t="shared" si="0"/>
        <v xml:space="preserve">    (U1)ALERT_REQ_UNKNOWN</v>
      </c>
      <c r="AR30" s="70" t="str">
        <f t="shared" si="3"/>
        <v xml:space="preserve">    (U4)0x00000018U,                                                           /* 24 UNKNOWN                                         */</v>
      </c>
      <c r="AS30" s="70" t="str">
        <f t="shared" si="4"/>
        <v xml:space="preserve">    (U4)0x0000003FU,                                                           /* 24 UNKNOWN                                         */</v>
      </c>
      <c r="AT30" s="70" t="str">
        <f t="shared" si="1"/>
        <v xml:space="preserve">    (U1)ALERT_REQ_UNKNOWN,                                                     /* 24 UNKNOWN                                         */</v>
      </c>
    </row>
    <row r="31" spans="2:49">
      <c r="B31" s="139"/>
      <c r="C31" s="55">
        <f t="shared" si="2"/>
        <v>25</v>
      </c>
      <c r="D31" s="69" t="s">
        <v>70</v>
      </c>
      <c r="E31" s="69" t="s">
        <v>70</v>
      </c>
      <c r="F31" s="69" t="s">
        <v>70</v>
      </c>
      <c r="G31" s="69" t="s">
        <v>70</v>
      </c>
      <c r="H31" s="69" t="s">
        <v>70</v>
      </c>
      <c r="I31" s="69" t="s">
        <v>70</v>
      </c>
      <c r="J31" s="69" t="s">
        <v>70</v>
      </c>
      <c r="K31" s="69" t="s">
        <v>70</v>
      </c>
      <c r="L31" s="69" t="s">
        <v>70</v>
      </c>
      <c r="M31" s="69" t="s">
        <v>70</v>
      </c>
      <c r="N31" s="69" t="s">
        <v>70</v>
      </c>
      <c r="O31" s="69" t="s">
        <v>70</v>
      </c>
      <c r="P31" s="69" t="s">
        <v>70</v>
      </c>
      <c r="Q31" s="69" t="s">
        <v>70</v>
      </c>
      <c r="R31" s="69" t="s">
        <v>70</v>
      </c>
      <c r="S31" s="69" t="s">
        <v>70</v>
      </c>
      <c r="T31" s="69" t="s">
        <v>70</v>
      </c>
      <c r="U31" s="69" t="s">
        <v>70</v>
      </c>
      <c r="V31" s="69" t="s">
        <v>70</v>
      </c>
      <c r="W31" s="69" t="s">
        <v>70</v>
      </c>
      <c r="X31" s="69" t="s">
        <v>70</v>
      </c>
      <c r="Y31" s="69" t="s">
        <v>70</v>
      </c>
      <c r="Z31" s="69" t="s">
        <v>70</v>
      </c>
      <c r="AA31" s="69" t="s">
        <v>70</v>
      </c>
      <c r="AB31" s="69" t="s">
        <v>70</v>
      </c>
      <c r="AC31" s="69" t="s">
        <v>70</v>
      </c>
      <c r="AD31" s="69">
        <v>0</v>
      </c>
      <c r="AE31" s="69">
        <v>1</v>
      </c>
      <c r="AF31" s="69">
        <v>1</v>
      </c>
      <c r="AG31" s="69">
        <v>0</v>
      </c>
      <c r="AH31" s="69">
        <v>0</v>
      </c>
      <c r="AI31" s="69">
        <v>1</v>
      </c>
      <c r="AJ31" s="25" t="s">
        <v>33</v>
      </c>
      <c r="AL31" t="str">
        <f t="shared" si="0"/>
        <v xml:space="preserve">    (U1)ALERT_REQ_UNKNOWN</v>
      </c>
      <c r="AR31" s="70" t="str">
        <f t="shared" si="3"/>
        <v xml:space="preserve">    (U4)0x00000019U,                                                           /* 25 UNKNOWN                                         */</v>
      </c>
      <c r="AS31" s="70" t="str">
        <f t="shared" si="4"/>
        <v xml:space="preserve">    (U4)0x0000003FU,                                                           /* 25 UNKNOWN                                         */</v>
      </c>
      <c r="AT31" s="70" t="str">
        <f t="shared" si="1"/>
        <v xml:space="preserve">    (U1)ALERT_REQ_UNKNOWN,                                                     /* 25 UNKNOWN                                         */</v>
      </c>
    </row>
    <row r="32" spans="2:49">
      <c r="B32" s="139"/>
      <c r="C32" s="55">
        <f t="shared" si="2"/>
        <v>26</v>
      </c>
      <c r="D32" s="69" t="s">
        <v>70</v>
      </c>
      <c r="E32" s="69" t="s">
        <v>70</v>
      </c>
      <c r="F32" s="69" t="s">
        <v>70</v>
      </c>
      <c r="G32" s="69" t="s">
        <v>70</v>
      </c>
      <c r="H32" s="69" t="s">
        <v>70</v>
      </c>
      <c r="I32" s="69" t="s">
        <v>70</v>
      </c>
      <c r="J32" s="69" t="s">
        <v>70</v>
      </c>
      <c r="K32" s="69" t="s">
        <v>70</v>
      </c>
      <c r="L32" s="69" t="s">
        <v>70</v>
      </c>
      <c r="M32" s="69" t="s">
        <v>70</v>
      </c>
      <c r="N32" s="69" t="s">
        <v>70</v>
      </c>
      <c r="O32" s="69" t="s">
        <v>70</v>
      </c>
      <c r="P32" s="69" t="s">
        <v>70</v>
      </c>
      <c r="Q32" s="69" t="s">
        <v>70</v>
      </c>
      <c r="R32" s="69" t="s">
        <v>70</v>
      </c>
      <c r="S32" s="69" t="s">
        <v>70</v>
      </c>
      <c r="T32" s="69" t="s">
        <v>70</v>
      </c>
      <c r="U32" s="69" t="s">
        <v>70</v>
      </c>
      <c r="V32" s="69" t="s">
        <v>70</v>
      </c>
      <c r="W32" s="69" t="s">
        <v>70</v>
      </c>
      <c r="X32" s="69" t="s">
        <v>70</v>
      </c>
      <c r="Y32" s="69" t="s">
        <v>70</v>
      </c>
      <c r="Z32" s="69" t="s">
        <v>70</v>
      </c>
      <c r="AA32" s="69" t="s">
        <v>70</v>
      </c>
      <c r="AB32" s="69" t="s">
        <v>70</v>
      </c>
      <c r="AC32" s="69" t="s">
        <v>70</v>
      </c>
      <c r="AD32" s="69">
        <v>0</v>
      </c>
      <c r="AE32" s="69">
        <v>1</v>
      </c>
      <c r="AF32" s="69">
        <v>1</v>
      </c>
      <c r="AG32" s="69">
        <v>0</v>
      </c>
      <c r="AH32" s="69">
        <v>1</v>
      </c>
      <c r="AI32" s="69">
        <v>0</v>
      </c>
      <c r="AJ32" s="25" t="s">
        <v>33</v>
      </c>
      <c r="AL32" t="str">
        <f t="shared" si="0"/>
        <v xml:space="preserve">    (U1)ALERT_REQ_UNKNOWN</v>
      </c>
      <c r="AR32" s="70" t="str">
        <f t="shared" si="3"/>
        <v xml:space="preserve">    (U4)0x0000001AU,                                                           /* 26 UNKNOWN                                         */</v>
      </c>
      <c r="AS32" s="70" t="str">
        <f t="shared" si="4"/>
        <v xml:space="preserve">    (U4)0x0000003FU,                                                           /* 26 UNKNOWN                                         */</v>
      </c>
      <c r="AT32" s="70" t="str">
        <f t="shared" si="1"/>
        <v xml:space="preserve">    (U1)ALERT_REQ_UNKNOWN,                                                     /* 26 UNKNOWN                                         */</v>
      </c>
    </row>
    <row r="33" spans="2:46">
      <c r="B33" s="139"/>
      <c r="C33" s="55">
        <f t="shared" si="2"/>
        <v>27</v>
      </c>
      <c r="D33" s="69" t="s">
        <v>70</v>
      </c>
      <c r="E33" s="69" t="s">
        <v>70</v>
      </c>
      <c r="F33" s="69" t="s">
        <v>70</v>
      </c>
      <c r="G33" s="69" t="s">
        <v>70</v>
      </c>
      <c r="H33" s="69" t="s">
        <v>70</v>
      </c>
      <c r="I33" s="69" t="s">
        <v>70</v>
      </c>
      <c r="J33" s="69" t="s">
        <v>70</v>
      </c>
      <c r="K33" s="69" t="s">
        <v>70</v>
      </c>
      <c r="L33" s="69" t="s">
        <v>70</v>
      </c>
      <c r="M33" s="69" t="s">
        <v>70</v>
      </c>
      <c r="N33" s="69" t="s">
        <v>70</v>
      </c>
      <c r="O33" s="69" t="s">
        <v>70</v>
      </c>
      <c r="P33" s="69" t="s">
        <v>70</v>
      </c>
      <c r="Q33" s="69" t="s">
        <v>70</v>
      </c>
      <c r="R33" s="69" t="s">
        <v>70</v>
      </c>
      <c r="S33" s="69" t="s">
        <v>70</v>
      </c>
      <c r="T33" s="69" t="s">
        <v>70</v>
      </c>
      <c r="U33" s="69" t="s">
        <v>70</v>
      </c>
      <c r="V33" s="69" t="s">
        <v>70</v>
      </c>
      <c r="W33" s="69" t="s">
        <v>70</v>
      </c>
      <c r="X33" s="69" t="s">
        <v>70</v>
      </c>
      <c r="Y33" s="69" t="s">
        <v>70</v>
      </c>
      <c r="Z33" s="69" t="s">
        <v>70</v>
      </c>
      <c r="AA33" s="69" t="s">
        <v>70</v>
      </c>
      <c r="AB33" s="69" t="s">
        <v>70</v>
      </c>
      <c r="AC33" s="69" t="s">
        <v>70</v>
      </c>
      <c r="AD33" s="69">
        <v>0</v>
      </c>
      <c r="AE33" s="69">
        <v>1</v>
      </c>
      <c r="AF33" s="69">
        <v>1</v>
      </c>
      <c r="AG33" s="69">
        <v>0</v>
      </c>
      <c r="AH33" s="69">
        <v>1</v>
      </c>
      <c r="AI33" s="69">
        <v>1</v>
      </c>
      <c r="AJ33" s="25" t="s">
        <v>33</v>
      </c>
      <c r="AL33" t="str">
        <f t="shared" si="0"/>
        <v xml:space="preserve">    (U1)ALERT_REQ_UNKNOWN</v>
      </c>
      <c r="AR33" s="70" t="str">
        <f t="shared" si="3"/>
        <v xml:space="preserve">    (U4)0x0000001BU,                                                           /* 27 UNKNOWN                                         */</v>
      </c>
      <c r="AS33" s="70" t="str">
        <f t="shared" si="4"/>
        <v xml:space="preserve">    (U4)0x0000003FU,                                                           /* 27 UNKNOWN                                         */</v>
      </c>
      <c r="AT33" s="70" t="str">
        <f t="shared" si="1"/>
        <v xml:space="preserve">    (U1)ALERT_REQ_UNKNOWN,                                                     /* 27 UNKNOWN                                         */</v>
      </c>
    </row>
    <row r="34" spans="2:46">
      <c r="B34" s="139"/>
      <c r="C34" s="55">
        <f t="shared" si="2"/>
        <v>28</v>
      </c>
      <c r="D34" s="69" t="s">
        <v>70</v>
      </c>
      <c r="E34" s="69" t="s">
        <v>70</v>
      </c>
      <c r="F34" s="69" t="s">
        <v>70</v>
      </c>
      <c r="G34" s="69" t="s">
        <v>70</v>
      </c>
      <c r="H34" s="69" t="s">
        <v>70</v>
      </c>
      <c r="I34" s="69" t="s">
        <v>70</v>
      </c>
      <c r="J34" s="69" t="s">
        <v>70</v>
      </c>
      <c r="K34" s="69" t="s">
        <v>70</v>
      </c>
      <c r="L34" s="69" t="s">
        <v>70</v>
      </c>
      <c r="M34" s="69" t="s">
        <v>70</v>
      </c>
      <c r="N34" s="69" t="s">
        <v>70</v>
      </c>
      <c r="O34" s="69" t="s">
        <v>70</v>
      </c>
      <c r="P34" s="69" t="s">
        <v>70</v>
      </c>
      <c r="Q34" s="69" t="s">
        <v>70</v>
      </c>
      <c r="R34" s="69" t="s">
        <v>70</v>
      </c>
      <c r="S34" s="69" t="s">
        <v>70</v>
      </c>
      <c r="T34" s="69" t="s">
        <v>70</v>
      </c>
      <c r="U34" s="69" t="s">
        <v>70</v>
      </c>
      <c r="V34" s="69" t="s">
        <v>70</v>
      </c>
      <c r="W34" s="69" t="s">
        <v>70</v>
      </c>
      <c r="X34" s="69" t="s">
        <v>70</v>
      </c>
      <c r="Y34" s="69" t="s">
        <v>70</v>
      </c>
      <c r="Z34" s="69" t="s">
        <v>70</v>
      </c>
      <c r="AA34" s="69" t="s">
        <v>70</v>
      </c>
      <c r="AB34" s="69" t="s">
        <v>70</v>
      </c>
      <c r="AC34" s="69" t="s">
        <v>70</v>
      </c>
      <c r="AD34" s="69">
        <v>0</v>
      </c>
      <c r="AE34" s="69">
        <v>1</v>
      </c>
      <c r="AF34" s="69">
        <v>1</v>
      </c>
      <c r="AG34" s="69">
        <v>1</v>
      </c>
      <c r="AH34" s="69">
        <v>0</v>
      </c>
      <c r="AI34" s="69">
        <v>0</v>
      </c>
      <c r="AJ34" s="25" t="s">
        <v>33</v>
      </c>
      <c r="AL34" t="str">
        <f t="shared" si="0"/>
        <v xml:space="preserve">    (U1)ALERT_REQ_UNKNOWN</v>
      </c>
      <c r="AR34" s="70" t="str">
        <f t="shared" si="3"/>
        <v xml:space="preserve">    (U4)0x0000001CU,                                                           /* 28 UNKNOWN                                         */</v>
      </c>
      <c r="AS34" s="70" t="str">
        <f t="shared" si="4"/>
        <v xml:space="preserve">    (U4)0x0000003FU,                                                           /* 28 UNKNOWN                                         */</v>
      </c>
      <c r="AT34" s="70" t="str">
        <f t="shared" si="1"/>
        <v xml:space="preserve">    (U1)ALERT_REQ_UNKNOWN,                                                     /* 28 UNKNOWN                                         */</v>
      </c>
    </row>
    <row r="35" spans="2:46">
      <c r="B35" s="139"/>
      <c r="C35" s="55">
        <f t="shared" si="2"/>
        <v>29</v>
      </c>
      <c r="D35" s="69" t="s">
        <v>70</v>
      </c>
      <c r="E35" s="69" t="s">
        <v>70</v>
      </c>
      <c r="F35" s="69" t="s">
        <v>70</v>
      </c>
      <c r="G35" s="69" t="s">
        <v>70</v>
      </c>
      <c r="H35" s="69" t="s">
        <v>70</v>
      </c>
      <c r="I35" s="69" t="s">
        <v>70</v>
      </c>
      <c r="J35" s="69" t="s">
        <v>70</v>
      </c>
      <c r="K35" s="69" t="s">
        <v>70</v>
      </c>
      <c r="L35" s="69" t="s">
        <v>70</v>
      </c>
      <c r="M35" s="69" t="s">
        <v>70</v>
      </c>
      <c r="N35" s="69" t="s">
        <v>70</v>
      </c>
      <c r="O35" s="69" t="s">
        <v>70</v>
      </c>
      <c r="P35" s="69" t="s">
        <v>70</v>
      </c>
      <c r="Q35" s="69" t="s">
        <v>70</v>
      </c>
      <c r="R35" s="69" t="s">
        <v>70</v>
      </c>
      <c r="S35" s="69" t="s">
        <v>70</v>
      </c>
      <c r="T35" s="69" t="s">
        <v>70</v>
      </c>
      <c r="U35" s="69" t="s">
        <v>70</v>
      </c>
      <c r="V35" s="69" t="s">
        <v>70</v>
      </c>
      <c r="W35" s="69" t="s">
        <v>70</v>
      </c>
      <c r="X35" s="69" t="s">
        <v>70</v>
      </c>
      <c r="Y35" s="69" t="s">
        <v>70</v>
      </c>
      <c r="Z35" s="69" t="s">
        <v>70</v>
      </c>
      <c r="AA35" s="69" t="s">
        <v>70</v>
      </c>
      <c r="AB35" s="69" t="s">
        <v>70</v>
      </c>
      <c r="AC35" s="69" t="s">
        <v>70</v>
      </c>
      <c r="AD35" s="69">
        <v>0</v>
      </c>
      <c r="AE35" s="69">
        <v>1</v>
      </c>
      <c r="AF35" s="69">
        <v>1</v>
      </c>
      <c r="AG35" s="69">
        <v>1</v>
      </c>
      <c r="AH35" s="69">
        <v>0</v>
      </c>
      <c r="AI35" s="69">
        <v>1</v>
      </c>
      <c r="AJ35" s="25" t="s">
        <v>33</v>
      </c>
      <c r="AL35" t="str">
        <f t="shared" si="0"/>
        <v xml:space="preserve">    (U1)ALERT_REQ_UNKNOWN</v>
      </c>
      <c r="AR35" s="70" t="str">
        <f t="shared" si="3"/>
        <v xml:space="preserve">    (U4)0x0000001DU,                                                           /* 29 UNKNOWN                                         */</v>
      </c>
      <c r="AS35" s="70" t="str">
        <f t="shared" si="4"/>
        <v xml:space="preserve">    (U4)0x0000003FU,                                                           /* 29 UNKNOWN                                         */</v>
      </c>
      <c r="AT35" s="70" t="str">
        <f t="shared" si="1"/>
        <v xml:space="preserve">    (U1)ALERT_REQ_UNKNOWN,                                                     /* 29 UNKNOWN                                         */</v>
      </c>
    </row>
    <row r="36" spans="2:46">
      <c r="B36" s="139"/>
      <c r="C36" s="55">
        <f t="shared" si="2"/>
        <v>30</v>
      </c>
      <c r="D36" s="69" t="s">
        <v>70</v>
      </c>
      <c r="E36" s="69" t="s">
        <v>70</v>
      </c>
      <c r="F36" s="69" t="s">
        <v>70</v>
      </c>
      <c r="G36" s="69" t="s">
        <v>70</v>
      </c>
      <c r="H36" s="69" t="s">
        <v>70</v>
      </c>
      <c r="I36" s="69" t="s">
        <v>70</v>
      </c>
      <c r="J36" s="69" t="s">
        <v>70</v>
      </c>
      <c r="K36" s="69" t="s">
        <v>70</v>
      </c>
      <c r="L36" s="69" t="s">
        <v>70</v>
      </c>
      <c r="M36" s="69" t="s">
        <v>70</v>
      </c>
      <c r="N36" s="69" t="s">
        <v>70</v>
      </c>
      <c r="O36" s="69" t="s">
        <v>70</v>
      </c>
      <c r="P36" s="69" t="s">
        <v>70</v>
      </c>
      <c r="Q36" s="69" t="s">
        <v>70</v>
      </c>
      <c r="R36" s="69" t="s">
        <v>70</v>
      </c>
      <c r="S36" s="69" t="s">
        <v>70</v>
      </c>
      <c r="T36" s="69" t="s">
        <v>70</v>
      </c>
      <c r="U36" s="69" t="s">
        <v>70</v>
      </c>
      <c r="V36" s="69" t="s">
        <v>70</v>
      </c>
      <c r="W36" s="69" t="s">
        <v>70</v>
      </c>
      <c r="X36" s="69" t="s">
        <v>70</v>
      </c>
      <c r="Y36" s="69" t="s">
        <v>70</v>
      </c>
      <c r="Z36" s="69" t="s">
        <v>70</v>
      </c>
      <c r="AA36" s="69" t="s">
        <v>70</v>
      </c>
      <c r="AB36" s="69" t="s">
        <v>70</v>
      </c>
      <c r="AC36" s="69" t="s">
        <v>70</v>
      </c>
      <c r="AD36" s="69">
        <v>0</v>
      </c>
      <c r="AE36" s="69">
        <v>1</v>
      </c>
      <c r="AF36" s="69">
        <v>1</v>
      </c>
      <c r="AG36" s="69">
        <v>1</v>
      </c>
      <c r="AH36" s="69">
        <v>1</v>
      </c>
      <c r="AI36" s="69">
        <v>0</v>
      </c>
      <c r="AJ36" s="25" t="s">
        <v>33</v>
      </c>
      <c r="AL36" t="str">
        <f t="shared" si="0"/>
        <v xml:space="preserve">    (U1)ALERT_REQ_UNKNOWN</v>
      </c>
      <c r="AR36" s="70" t="str">
        <f t="shared" si="3"/>
        <v xml:space="preserve">    (U4)0x0000001EU,                                                           /* 30 UNKNOWN                                         */</v>
      </c>
      <c r="AS36" s="70" t="str">
        <f t="shared" si="4"/>
        <v xml:space="preserve">    (U4)0x0000003FU,                                                           /* 30 UNKNOWN                                         */</v>
      </c>
      <c r="AT36" s="70" t="str">
        <f t="shared" si="1"/>
        <v xml:space="preserve">    (U1)ALERT_REQ_UNKNOWN,                                                     /* 30 UNKNOWN                                         */</v>
      </c>
    </row>
    <row r="37" spans="2:46">
      <c r="B37" s="139"/>
      <c r="C37" s="55">
        <f t="shared" si="2"/>
        <v>31</v>
      </c>
      <c r="D37" s="69" t="s">
        <v>70</v>
      </c>
      <c r="E37" s="69" t="s">
        <v>70</v>
      </c>
      <c r="F37" s="69" t="s">
        <v>70</v>
      </c>
      <c r="G37" s="69" t="s">
        <v>70</v>
      </c>
      <c r="H37" s="69" t="s">
        <v>70</v>
      </c>
      <c r="I37" s="69" t="s">
        <v>70</v>
      </c>
      <c r="J37" s="69" t="s">
        <v>70</v>
      </c>
      <c r="K37" s="69" t="s">
        <v>70</v>
      </c>
      <c r="L37" s="69" t="s">
        <v>70</v>
      </c>
      <c r="M37" s="69" t="s">
        <v>70</v>
      </c>
      <c r="N37" s="69" t="s">
        <v>70</v>
      </c>
      <c r="O37" s="69" t="s">
        <v>70</v>
      </c>
      <c r="P37" s="69" t="s">
        <v>70</v>
      </c>
      <c r="Q37" s="69" t="s">
        <v>70</v>
      </c>
      <c r="R37" s="69" t="s">
        <v>70</v>
      </c>
      <c r="S37" s="69" t="s">
        <v>70</v>
      </c>
      <c r="T37" s="69" t="s">
        <v>70</v>
      </c>
      <c r="U37" s="69" t="s">
        <v>70</v>
      </c>
      <c r="V37" s="69" t="s">
        <v>70</v>
      </c>
      <c r="W37" s="69" t="s">
        <v>70</v>
      </c>
      <c r="X37" s="69" t="s">
        <v>70</v>
      </c>
      <c r="Y37" s="69" t="s">
        <v>70</v>
      </c>
      <c r="Z37" s="69" t="s">
        <v>70</v>
      </c>
      <c r="AA37" s="69" t="s">
        <v>70</v>
      </c>
      <c r="AB37" s="69" t="s">
        <v>70</v>
      </c>
      <c r="AC37" s="69" t="s">
        <v>70</v>
      </c>
      <c r="AD37" s="69">
        <v>0</v>
      </c>
      <c r="AE37" s="69">
        <v>1</v>
      </c>
      <c r="AF37" s="69">
        <v>1</v>
      </c>
      <c r="AG37" s="69">
        <v>1</v>
      </c>
      <c r="AH37" s="69">
        <v>1</v>
      </c>
      <c r="AI37" s="69">
        <v>1</v>
      </c>
      <c r="AJ37" s="25" t="s">
        <v>33</v>
      </c>
      <c r="AL37" t="str">
        <f t="shared" si="0"/>
        <v xml:space="preserve">    (U1)ALERT_REQ_UNKNOWN</v>
      </c>
      <c r="AR37" s="70" t="str">
        <f t="shared" si="3"/>
        <v xml:space="preserve">    (U4)0x0000001FU,                                                           /* 31 UNKNOWN                                         */</v>
      </c>
      <c r="AS37" s="70" t="str">
        <f t="shared" si="4"/>
        <v xml:space="preserve">    (U4)0x0000003FU,                                                           /* 31 UNKNOWN                                         */</v>
      </c>
      <c r="AT37" s="70" t="str">
        <f t="shared" si="1"/>
        <v xml:space="preserve">    (U1)ALERT_REQ_UNKNOWN,                                                     /* 31 UNKNOWN                                         */</v>
      </c>
    </row>
    <row r="38" spans="2:46">
      <c r="B38" s="139"/>
      <c r="C38" s="55">
        <f t="shared" si="2"/>
        <v>32</v>
      </c>
      <c r="D38" s="69" t="s">
        <v>70</v>
      </c>
      <c r="E38" s="69" t="s">
        <v>70</v>
      </c>
      <c r="F38" s="69" t="s">
        <v>70</v>
      </c>
      <c r="G38" s="69" t="s">
        <v>70</v>
      </c>
      <c r="H38" s="69" t="s">
        <v>70</v>
      </c>
      <c r="I38" s="69" t="s">
        <v>70</v>
      </c>
      <c r="J38" s="69" t="s">
        <v>70</v>
      </c>
      <c r="K38" s="69" t="s">
        <v>70</v>
      </c>
      <c r="L38" s="69" t="s">
        <v>70</v>
      </c>
      <c r="M38" s="69" t="s">
        <v>70</v>
      </c>
      <c r="N38" s="69" t="s">
        <v>70</v>
      </c>
      <c r="O38" s="69" t="s">
        <v>70</v>
      </c>
      <c r="P38" s="69" t="s">
        <v>70</v>
      </c>
      <c r="Q38" s="69" t="s">
        <v>70</v>
      </c>
      <c r="R38" s="69" t="s">
        <v>70</v>
      </c>
      <c r="S38" s="69" t="s">
        <v>70</v>
      </c>
      <c r="T38" s="69" t="s">
        <v>70</v>
      </c>
      <c r="U38" s="69" t="s">
        <v>70</v>
      </c>
      <c r="V38" s="69" t="s">
        <v>70</v>
      </c>
      <c r="W38" s="69" t="s">
        <v>70</v>
      </c>
      <c r="X38" s="69" t="s">
        <v>70</v>
      </c>
      <c r="Y38" s="69" t="s">
        <v>70</v>
      </c>
      <c r="Z38" s="69" t="s">
        <v>70</v>
      </c>
      <c r="AA38" s="69" t="s">
        <v>70</v>
      </c>
      <c r="AB38" s="69" t="s">
        <v>70</v>
      </c>
      <c r="AC38" s="69" t="s">
        <v>70</v>
      </c>
      <c r="AD38" s="69">
        <v>1</v>
      </c>
      <c r="AE38" s="69">
        <v>0</v>
      </c>
      <c r="AF38" s="69">
        <v>0</v>
      </c>
      <c r="AG38" s="69">
        <v>0</v>
      </c>
      <c r="AH38" s="69">
        <v>0</v>
      </c>
      <c r="AI38" s="69">
        <v>0</v>
      </c>
      <c r="AJ38" s="25" t="s">
        <v>33</v>
      </c>
      <c r="AL38" t="str">
        <f t="shared" si="0"/>
        <v xml:space="preserve">    (U1)ALERT_REQ_UNKNOWN</v>
      </c>
      <c r="AR38" s="70" t="str">
        <f t="shared" si="3"/>
        <v xml:space="preserve">    (U4)0x00000020U,                                                           /* 32 UNKNOWN                                         */</v>
      </c>
      <c r="AS38" s="70" t="str">
        <f t="shared" si="4"/>
        <v xml:space="preserve">    (U4)0x0000003FU,                                                           /* 32 UNKNOWN                                         */</v>
      </c>
      <c r="AT38" s="70" t="str">
        <f t="shared" si="1"/>
        <v xml:space="preserve">    (U1)ALERT_REQ_UNKNOWN,                                                     /* 32 UNKNOWN                                         */</v>
      </c>
    </row>
    <row r="39" spans="2:46">
      <c r="B39" s="139"/>
      <c r="C39" s="55">
        <f t="shared" si="2"/>
        <v>33</v>
      </c>
      <c r="D39" s="69" t="s">
        <v>70</v>
      </c>
      <c r="E39" s="69" t="s">
        <v>70</v>
      </c>
      <c r="F39" s="69" t="s">
        <v>70</v>
      </c>
      <c r="G39" s="69" t="s">
        <v>70</v>
      </c>
      <c r="H39" s="69" t="s">
        <v>70</v>
      </c>
      <c r="I39" s="69" t="s">
        <v>70</v>
      </c>
      <c r="J39" s="69" t="s">
        <v>70</v>
      </c>
      <c r="K39" s="69" t="s">
        <v>70</v>
      </c>
      <c r="L39" s="69" t="s">
        <v>70</v>
      </c>
      <c r="M39" s="69" t="s">
        <v>70</v>
      </c>
      <c r="N39" s="69" t="s">
        <v>70</v>
      </c>
      <c r="O39" s="69" t="s">
        <v>70</v>
      </c>
      <c r="P39" s="69" t="s">
        <v>70</v>
      </c>
      <c r="Q39" s="69" t="s">
        <v>70</v>
      </c>
      <c r="R39" s="69" t="s">
        <v>70</v>
      </c>
      <c r="S39" s="69" t="s">
        <v>70</v>
      </c>
      <c r="T39" s="69" t="s">
        <v>70</v>
      </c>
      <c r="U39" s="69" t="s">
        <v>70</v>
      </c>
      <c r="V39" s="69" t="s">
        <v>70</v>
      </c>
      <c r="W39" s="69" t="s">
        <v>70</v>
      </c>
      <c r="X39" s="69" t="s">
        <v>70</v>
      </c>
      <c r="Y39" s="69" t="s">
        <v>70</v>
      </c>
      <c r="Z39" s="69" t="s">
        <v>70</v>
      </c>
      <c r="AA39" s="69" t="s">
        <v>70</v>
      </c>
      <c r="AB39" s="69" t="s">
        <v>70</v>
      </c>
      <c r="AC39" s="69" t="s">
        <v>70</v>
      </c>
      <c r="AD39" s="69">
        <v>1</v>
      </c>
      <c r="AE39" s="69">
        <v>0</v>
      </c>
      <c r="AF39" s="69">
        <v>0</v>
      </c>
      <c r="AG39" s="69">
        <v>0</v>
      </c>
      <c r="AH39" s="69">
        <v>0</v>
      </c>
      <c r="AI39" s="69">
        <v>1</v>
      </c>
      <c r="AJ39" s="25" t="s">
        <v>33</v>
      </c>
      <c r="AL39" t="str">
        <f t="shared" si="0"/>
        <v xml:space="preserve">    (U1)ALERT_REQ_UNKNOWN</v>
      </c>
      <c r="AR39" s="70" t="str">
        <f t="shared" si="3"/>
        <v xml:space="preserve">    (U4)0x00000021U,                                                           /* 33 UNKNOWN                                         */</v>
      </c>
      <c r="AS39" s="70" t="str">
        <f t="shared" si="4"/>
        <v xml:space="preserve">    (U4)0x0000003FU,                                                           /* 33 UNKNOWN                                         */</v>
      </c>
      <c r="AT39" s="70" t="str">
        <f t="shared" si="1"/>
        <v xml:space="preserve">    (U1)ALERT_REQ_UNKNOWN,                                                     /* 33 UNKNOWN                                         */</v>
      </c>
    </row>
    <row r="40" spans="2:46">
      <c r="B40" s="139"/>
      <c r="C40" s="55">
        <f t="shared" si="2"/>
        <v>34</v>
      </c>
      <c r="D40" s="69" t="s">
        <v>70</v>
      </c>
      <c r="E40" s="69" t="s">
        <v>70</v>
      </c>
      <c r="F40" s="69" t="s">
        <v>70</v>
      </c>
      <c r="G40" s="69" t="s">
        <v>70</v>
      </c>
      <c r="H40" s="69" t="s">
        <v>70</v>
      </c>
      <c r="I40" s="69" t="s">
        <v>70</v>
      </c>
      <c r="J40" s="69" t="s">
        <v>70</v>
      </c>
      <c r="K40" s="69" t="s">
        <v>70</v>
      </c>
      <c r="L40" s="69" t="s">
        <v>70</v>
      </c>
      <c r="M40" s="69" t="s">
        <v>70</v>
      </c>
      <c r="N40" s="69" t="s">
        <v>70</v>
      </c>
      <c r="O40" s="69" t="s">
        <v>70</v>
      </c>
      <c r="P40" s="69" t="s">
        <v>70</v>
      </c>
      <c r="Q40" s="69" t="s">
        <v>70</v>
      </c>
      <c r="R40" s="69" t="s">
        <v>70</v>
      </c>
      <c r="S40" s="69" t="s">
        <v>70</v>
      </c>
      <c r="T40" s="69" t="s">
        <v>70</v>
      </c>
      <c r="U40" s="69" t="s">
        <v>70</v>
      </c>
      <c r="V40" s="69" t="s">
        <v>70</v>
      </c>
      <c r="W40" s="69" t="s">
        <v>70</v>
      </c>
      <c r="X40" s="69" t="s">
        <v>70</v>
      </c>
      <c r="Y40" s="69" t="s">
        <v>70</v>
      </c>
      <c r="Z40" s="69" t="s">
        <v>70</v>
      </c>
      <c r="AA40" s="69" t="s">
        <v>70</v>
      </c>
      <c r="AB40" s="69" t="s">
        <v>70</v>
      </c>
      <c r="AC40" s="69" t="s">
        <v>70</v>
      </c>
      <c r="AD40" s="69">
        <v>1</v>
      </c>
      <c r="AE40" s="69">
        <v>0</v>
      </c>
      <c r="AF40" s="69">
        <v>0</v>
      </c>
      <c r="AG40" s="69">
        <v>0</v>
      </c>
      <c r="AH40" s="69">
        <v>1</v>
      </c>
      <c r="AI40" s="69">
        <v>0</v>
      </c>
      <c r="AJ40" s="25" t="s">
        <v>33</v>
      </c>
      <c r="AL40" t="str">
        <f t="shared" si="0"/>
        <v xml:space="preserve">    (U1)ALERT_REQ_UNKNOWN</v>
      </c>
      <c r="AR40" s="70" t="str">
        <f t="shared" si="3"/>
        <v xml:space="preserve">    (U4)0x00000022U,                                                           /* 34 UNKNOWN                                         */</v>
      </c>
      <c r="AS40" s="70" t="str">
        <f t="shared" si="4"/>
        <v xml:space="preserve">    (U4)0x0000003FU,                                                           /* 34 UNKNOWN                                         */</v>
      </c>
      <c r="AT40" s="70" t="str">
        <f t="shared" si="1"/>
        <v xml:space="preserve">    (U1)ALERT_REQ_UNKNOWN,                                                     /* 34 UNKNOWN                                         */</v>
      </c>
    </row>
    <row r="41" spans="2:46">
      <c r="B41" s="139"/>
      <c r="C41" s="55">
        <f t="shared" si="2"/>
        <v>35</v>
      </c>
      <c r="D41" s="69" t="s">
        <v>70</v>
      </c>
      <c r="E41" s="69" t="s">
        <v>70</v>
      </c>
      <c r="F41" s="69" t="s">
        <v>70</v>
      </c>
      <c r="G41" s="69" t="s">
        <v>70</v>
      </c>
      <c r="H41" s="69" t="s">
        <v>70</v>
      </c>
      <c r="I41" s="69" t="s">
        <v>70</v>
      </c>
      <c r="J41" s="69" t="s">
        <v>70</v>
      </c>
      <c r="K41" s="69" t="s">
        <v>70</v>
      </c>
      <c r="L41" s="69" t="s">
        <v>70</v>
      </c>
      <c r="M41" s="69" t="s">
        <v>70</v>
      </c>
      <c r="N41" s="69" t="s">
        <v>70</v>
      </c>
      <c r="O41" s="69" t="s">
        <v>70</v>
      </c>
      <c r="P41" s="69" t="s">
        <v>70</v>
      </c>
      <c r="Q41" s="69" t="s">
        <v>70</v>
      </c>
      <c r="R41" s="69" t="s">
        <v>70</v>
      </c>
      <c r="S41" s="69" t="s">
        <v>70</v>
      </c>
      <c r="T41" s="69" t="s">
        <v>70</v>
      </c>
      <c r="U41" s="69" t="s">
        <v>70</v>
      </c>
      <c r="V41" s="69" t="s">
        <v>70</v>
      </c>
      <c r="W41" s="69" t="s">
        <v>70</v>
      </c>
      <c r="X41" s="69" t="s">
        <v>70</v>
      </c>
      <c r="Y41" s="69" t="s">
        <v>70</v>
      </c>
      <c r="Z41" s="69" t="s">
        <v>70</v>
      </c>
      <c r="AA41" s="69" t="s">
        <v>70</v>
      </c>
      <c r="AB41" s="69" t="s">
        <v>70</v>
      </c>
      <c r="AC41" s="69" t="s">
        <v>70</v>
      </c>
      <c r="AD41" s="69">
        <v>1</v>
      </c>
      <c r="AE41" s="69">
        <v>0</v>
      </c>
      <c r="AF41" s="69">
        <v>0</v>
      </c>
      <c r="AG41" s="69">
        <v>0</v>
      </c>
      <c r="AH41" s="69">
        <v>1</v>
      </c>
      <c r="AI41" s="69">
        <v>1</v>
      </c>
      <c r="AJ41" s="25" t="s">
        <v>33</v>
      </c>
      <c r="AL41" t="str">
        <f t="shared" si="0"/>
        <v xml:space="preserve">    (U1)ALERT_REQ_UNKNOWN</v>
      </c>
      <c r="AR41" s="70" t="str">
        <f t="shared" si="3"/>
        <v xml:space="preserve">    (U4)0x00000023U,                                                           /* 35 UNKNOWN                                         */</v>
      </c>
      <c r="AS41" s="70" t="str">
        <f t="shared" si="4"/>
        <v xml:space="preserve">    (U4)0x0000003FU,                                                           /* 35 UNKNOWN                                         */</v>
      </c>
      <c r="AT41" s="70" t="str">
        <f t="shared" si="1"/>
        <v xml:space="preserve">    (U1)ALERT_REQ_UNKNOWN,                                                     /* 35 UNKNOWN                                         */</v>
      </c>
    </row>
    <row r="42" spans="2:46">
      <c r="B42" s="139"/>
      <c r="C42" s="55">
        <f t="shared" si="2"/>
        <v>36</v>
      </c>
      <c r="D42" s="69" t="s">
        <v>70</v>
      </c>
      <c r="E42" s="69" t="s">
        <v>70</v>
      </c>
      <c r="F42" s="69" t="s">
        <v>70</v>
      </c>
      <c r="G42" s="69" t="s">
        <v>70</v>
      </c>
      <c r="H42" s="69" t="s">
        <v>70</v>
      </c>
      <c r="I42" s="69" t="s">
        <v>70</v>
      </c>
      <c r="J42" s="69" t="s">
        <v>70</v>
      </c>
      <c r="K42" s="69" t="s">
        <v>70</v>
      </c>
      <c r="L42" s="69" t="s">
        <v>70</v>
      </c>
      <c r="M42" s="69" t="s">
        <v>70</v>
      </c>
      <c r="N42" s="69" t="s">
        <v>70</v>
      </c>
      <c r="O42" s="69" t="s">
        <v>70</v>
      </c>
      <c r="P42" s="69" t="s">
        <v>70</v>
      </c>
      <c r="Q42" s="69" t="s">
        <v>70</v>
      </c>
      <c r="R42" s="69" t="s">
        <v>70</v>
      </c>
      <c r="S42" s="69" t="s">
        <v>70</v>
      </c>
      <c r="T42" s="69" t="s">
        <v>70</v>
      </c>
      <c r="U42" s="69" t="s">
        <v>70</v>
      </c>
      <c r="V42" s="69" t="s">
        <v>70</v>
      </c>
      <c r="W42" s="69" t="s">
        <v>70</v>
      </c>
      <c r="X42" s="69" t="s">
        <v>70</v>
      </c>
      <c r="Y42" s="69" t="s">
        <v>70</v>
      </c>
      <c r="Z42" s="69" t="s">
        <v>70</v>
      </c>
      <c r="AA42" s="69" t="s">
        <v>70</v>
      </c>
      <c r="AB42" s="69" t="s">
        <v>70</v>
      </c>
      <c r="AC42" s="69" t="s">
        <v>70</v>
      </c>
      <c r="AD42" s="69">
        <v>1</v>
      </c>
      <c r="AE42" s="69">
        <v>0</v>
      </c>
      <c r="AF42" s="69">
        <v>0</v>
      </c>
      <c r="AG42" s="69">
        <v>1</v>
      </c>
      <c r="AH42" s="69">
        <v>0</v>
      </c>
      <c r="AI42" s="69">
        <v>0</v>
      </c>
      <c r="AJ42" s="25" t="s">
        <v>33</v>
      </c>
      <c r="AL42" t="str">
        <f t="shared" si="0"/>
        <v xml:space="preserve">    (U1)ALERT_REQ_UNKNOWN</v>
      </c>
      <c r="AR42" s="70" t="str">
        <f t="shared" si="3"/>
        <v xml:space="preserve">    (U4)0x00000024U,                                                           /* 36 UNKNOWN                                         */</v>
      </c>
      <c r="AS42" s="70" t="str">
        <f t="shared" si="4"/>
        <v xml:space="preserve">    (U4)0x0000003FU,                                                           /* 36 UNKNOWN                                         */</v>
      </c>
      <c r="AT42" s="70" t="str">
        <f t="shared" si="1"/>
        <v xml:space="preserve">    (U1)ALERT_REQ_UNKNOWN,                                                     /* 36 UNKNOWN                                         */</v>
      </c>
    </row>
    <row r="43" spans="2:46">
      <c r="B43" s="139"/>
      <c r="C43" s="55">
        <f t="shared" si="2"/>
        <v>37</v>
      </c>
      <c r="D43" s="69" t="s">
        <v>70</v>
      </c>
      <c r="E43" s="69" t="s">
        <v>70</v>
      </c>
      <c r="F43" s="69" t="s">
        <v>70</v>
      </c>
      <c r="G43" s="69" t="s">
        <v>70</v>
      </c>
      <c r="H43" s="69" t="s">
        <v>70</v>
      </c>
      <c r="I43" s="69" t="s">
        <v>70</v>
      </c>
      <c r="J43" s="69" t="s">
        <v>70</v>
      </c>
      <c r="K43" s="69" t="s">
        <v>70</v>
      </c>
      <c r="L43" s="69" t="s">
        <v>70</v>
      </c>
      <c r="M43" s="69" t="s">
        <v>70</v>
      </c>
      <c r="N43" s="69" t="s">
        <v>70</v>
      </c>
      <c r="O43" s="69" t="s">
        <v>70</v>
      </c>
      <c r="P43" s="69" t="s">
        <v>70</v>
      </c>
      <c r="Q43" s="69" t="s">
        <v>70</v>
      </c>
      <c r="R43" s="69" t="s">
        <v>70</v>
      </c>
      <c r="S43" s="69" t="s">
        <v>70</v>
      </c>
      <c r="T43" s="69" t="s">
        <v>70</v>
      </c>
      <c r="U43" s="69" t="s">
        <v>70</v>
      </c>
      <c r="V43" s="69" t="s">
        <v>70</v>
      </c>
      <c r="W43" s="69" t="s">
        <v>70</v>
      </c>
      <c r="X43" s="69" t="s">
        <v>70</v>
      </c>
      <c r="Y43" s="69" t="s">
        <v>70</v>
      </c>
      <c r="Z43" s="69" t="s">
        <v>70</v>
      </c>
      <c r="AA43" s="69" t="s">
        <v>70</v>
      </c>
      <c r="AB43" s="69" t="s">
        <v>70</v>
      </c>
      <c r="AC43" s="69" t="s">
        <v>70</v>
      </c>
      <c r="AD43" s="69">
        <v>1</v>
      </c>
      <c r="AE43" s="69">
        <v>0</v>
      </c>
      <c r="AF43" s="69">
        <v>0</v>
      </c>
      <c r="AG43" s="69">
        <v>1</v>
      </c>
      <c r="AH43" s="69">
        <v>0</v>
      </c>
      <c r="AI43" s="69">
        <v>1</v>
      </c>
      <c r="AJ43" s="25" t="s">
        <v>33</v>
      </c>
      <c r="AL43" t="str">
        <f t="shared" si="0"/>
        <v xml:space="preserve">    (U1)ALERT_REQ_UNKNOWN</v>
      </c>
      <c r="AR43" s="70" t="str">
        <f t="shared" si="3"/>
        <v xml:space="preserve">    (U4)0x00000025U,                                                           /* 37 UNKNOWN                                         */</v>
      </c>
      <c r="AS43" s="70" t="str">
        <f t="shared" si="4"/>
        <v xml:space="preserve">    (U4)0x0000003FU,                                                           /* 37 UNKNOWN                                         */</v>
      </c>
      <c r="AT43" s="70" t="str">
        <f t="shared" si="1"/>
        <v xml:space="preserve">    (U1)ALERT_REQ_UNKNOWN,                                                     /* 37 UNKNOWN                                         */</v>
      </c>
    </row>
    <row r="44" spans="2:46">
      <c r="B44" s="139"/>
      <c r="C44" s="55">
        <f t="shared" si="2"/>
        <v>38</v>
      </c>
      <c r="D44" s="69" t="s">
        <v>70</v>
      </c>
      <c r="E44" s="69" t="s">
        <v>70</v>
      </c>
      <c r="F44" s="69" t="s">
        <v>70</v>
      </c>
      <c r="G44" s="69" t="s">
        <v>70</v>
      </c>
      <c r="H44" s="69" t="s">
        <v>70</v>
      </c>
      <c r="I44" s="69" t="s">
        <v>70</v>
      </c>
      <c r="J44" s="69" t="s">
        <v>70</v>
      </c>
      <c r="K44" s="69" t="s">
        <v>70</v>
      </c>
      <c r="L44" s="69" t="s">
        <v>70</v>
      </c>
      <c r="M44" s="69" t="s">
        <v>70</v>
      </c>
      <c r="N44" s="69" t="s">
        <v>70</v>
      </c>
      <c r="O44" s="69" t="s">
        <v>70</v>
      </c>
      <c r="P44" s="69" t="s">
        <v>70</v>
      </c>
      <c r="Q44" s="69" t="s">
        <v>70</v>
      </c>
      <c r="R44" s="69" t="s">
        <v>70</v>
      </c>
      <c r="S44" s="69" t="s">
        <v>70</v>
      </c>
      <c r="T44" s="69" t="s">
        <v>70</v>
      </c>
      <c r="U44" s="69" t="s">
        <v>70</v>
      </c>
      <c r="V44" s="69" t="s">
        <v>70</v>
      </c>
      <c r="W44" s="69" t="s">
        <v>70</v>
      </c>
      <c r="X44" s="69" t="s">
        <v>70</v>
      </c>
      <c r="Y44" s="69" t="s">
        <v>70</v>
      </c>
      <c r="Z44" s="69" t="s">
        <v>70</v>
      </c>
      <c r="AA44" s="69" t="s">
        <v>70</v>
      </c>
      <c r="AB44" s="69" t="s">
        <v>70</v>
      </c>
      <c r="AC44" s="69" t="s">
        <v>70</v>
      </c>
      <c r="AD44" s="69">
        <v>1</v>
      </c>
      <c r="AE44" s="69">
        <v>0</v>
      </c>
      <c r="AF44" s="69">
        <v>0</v>
      </c>
      <c r="AG44" s="69">
        <v>1</v>
      </c>
      <c r="AH44" s="69">
        <v>1</v>
      </c>
      <c r="AI44" s="69">
        <v>0</v>
      </c>
      <c r="AJ44" s="25" t="s">
        <v>33</v>
      </c>
      <c r="AL44" t="str">
        <f t="shared" si="0"/>
        <v xml:space="preserve">    (U1)ALERT_REQ_UNKNOWN</v>
      </c>
      <c r="AR44" s="70" t="str">
        <f t="shared" si="3"/>
        <v xml:space="preserve">    (U4)0x00000026U,                                                           /* 38 UNKNOWN                                         */</v>
      </c>
      <c r="AS44" s="70" t="str">
        <f t="shared" si="4"/>
        <v xml:space="preserve">    (U4)0x0000003FU,                                                           /* 38 UNKNOWN                                         */</v>
      </c>
      <c r="AT44" s="70" t="str">
        <f t="shared" si="1"/>
        <v xml:space="preserve">    (U1)ALERT_REQ_UNKNOWN,                                                     /* 38 UNKNOWN                                         */</v>
      </c>
    </row>
    <row r="45" spans="2:46">
      <c r="B45" s="139"/>
      <c r="C45" s="55">
        <f t="shared" si="2"/>
        <v>39</v>
      </c>
      <c r="D45" s="69" t="s">
        <v>70</v>
      </c>
      <c r="E45" s="69" t="s">
        <v>70</v>
      </c>
      <c r="F45" s="69" t="s">
        <v>70</v>
      </c>
      <c r="G45" s="69" t="s">
        <v>70</v>
      </c>
      <c r="H45" s="69" t="s">
        <v>70</v>
      </c>
      <c r="I45" s="69" t="s">
        <v>70</v>
      </c>
      <c r="J45" s="69" t="s">
        <v>70</v>
      </c>
      <c r="K45" s="69" t="s">
        <v>70</v>
      </c>
      <c r="L45" s="69" t="s">
        <v>70</v>
      </c>
      <c r="M45" s="69" t="s">
        <v>70</v>
      </c>
      <c r="N45" s="69" t="s">
        <v>70</v>
      </c>
      <c r="O45" s="69" t="s">
        <v>70</v>
      </c>
      <c r="P45" s="69" t="s">
        <v>70</v>
      </c>
      <c r="Q45" s="69" t="s">
        <v>70</v>
      </c>
      <c r="R45" s="69" t="s">
        <v>70</v>
      </c>
      <c r="S45" s="69" t="s">
        <v>70</v>
      </c>
      <c r="T45" s="69" t="s">
        <v>70</v>
      </c>
      <c r="U45" s="69" t="s">
        <v>70</v>
      </c>
      <c r="V45" s="69" t="s">
        <v>70</v>
      </c>
      <c r="W45" s="69" t="s">
        <v>70</v>
      </c>
      <c r="X45" s="69" t="s">
        <v>70</v>
      </c>
      <c r="Y45" s="69" t="s">
        <v>70</v>
      </c>
      <c r="Z45" s="69" t="s">
        <v>70</v>
      </c>
      <c r="AA45" s="69" t="s">
        <v>70</v>
      </c>
      <c r="AB45" s="69" t="s">
        <v>70</v>
      </c>
      <c r="AC45" s="69" t="s">
        <v>70</v>
      </c>
      <c r="AD45" s="69">
        <v>1</v>
      </c>
      <c r="AE45" s="69">
        <v>0</v>
      </c>
      <c r="AF45" s="69">
        <v>0</v>
      </c>
      <c r="AG45" s="69">
        <v>1</v>
      </c>
      <c r="AH45" s="69">
        <v>1</v>
      </c>
      <c r="AI45" s="69">
        <v>1</v>
      </c>
      <c r="AJ45" s="25" t="s">
        <v>33</v>
      </c>
      <c r="AL45" t="str">
        <f t="shared" si="0"/>
        <v xml:space="preserve">    (U1)ALERT_REQ_UNKNOWN</v>
      </c>
      <c r="AR45" s="70" t="str">
        <f t="shared" si="3"/>
        <v xml:space="preserve">    (U4)0x00000027U,                                                           /* 39 UNKNOWN                                         */</v>
      </c>
      <c r="AS45" s="70" t="str">
        <f t="shared" si="4"/>
        <v xml:space="preserve">    (U4)0x0000003FU,                                                           /* 39 UNKNOWN                                         */</v>
      </c>
      <c r="AT45" s="70" t="str">
        <f t="shared" si="1"/>
        <v xml:space="preserve">    (U1)ALERT_REQ_UNKNOWN,                                                     /* 39 UNKNOWN                                         */</v>
      </c>
    </row>
    <row r="46" spans="2:46">
      <c r="B46" s="139"/>
      <c r="C46" s="55">
        <f t="shared" si="2"/>
        <v>40</v>
      </c>
      <c r="D46" s="69" t="s">
        <v>70</v>
      </c>
      <c r="E46" s="69" t="s">
        <v>70</v>
      </c>
      <c r="F46" s="69" t="s">
        <v>70</v>
      </c>
      <c r="G46" s="69" t="s">
        <v>70</v>
      </c>
      <c r="H46" s="69" t="s">
        <v>70</v>
      </c>
      <c r="I46" s="69" t="s">
        <v>70</v>
      </c>
      <c r="J46" s="69" t="s">
        <v>70</v>
      </c>
      <c r="K46" s="69" t="s">
        <v>70</v>
      </c>
      <c r="L46" s="69" t="s">
        <v>70</v>
      </c>
      <c r="M46" s="69" t="s">
        <v>70</v>
      </c>
      <c r="N46" s="69" t="s">
        <v>70</v>
      </c>
      <c r="O46" s="69" t="s">
        <v>70</v>
      </c>
      <c r="P46" s="69" t="s">
        <v>70</v>
      </c>
      <c r="Q46" s="69" t="s">
        <v>70</v>
      </c>
      <c r="R46" s="69" t="s">
        <v>70</v>
      </c>
      <c r="S46" s="69" t="s">
        <v>70</v>
      </c>
      <c r="T46" s="69" t="s">
        <v>70</v>
      </c>
      <c r="U46" s="69" t="s">
        <v>70</v>
      </c>
      <c r="V46" s="69" t="s">
        <v>70</v>
      </c>
      <c r="W46" s="69" t="s">
        <v>70</v>
      </c>
      <c r="X46" s="69" t="s">
        <v>70</v>
      </c>
      <c r="Y46" s="69" t="s">
        <v>70</v>
      </c>
      <c r="Z46" s="69" t="s">
        <v>70</v>
      </c>
      <c r="AA46" s="69" t="s">
        <v>70</v>
      </c>
      <c r="AB46" s="69" t="s">
        <v>70</v>
      </c>
      <c r="AC46" s="69" t="s">
        <v>70</v>
      </c>
      <c r="AD46" s="69">
        <v>1</v>
      </c>
      <c r="AE46" s="69">
        <v>0</v>
      </c>
      <c r="AF46" s="69">
        <v>1</v>
      </c>
      <c r="AG46" s="69">
        <v>0</v>
      </c>
      <c r="AH46" s="69">
        <v>0</v>
      </c>
      <c r="AI46" s="69">
        <v>0</v>
      </c>
      <c r="AJ46" s="25" t="s">
        <v>33</v>
      </c>
      <c r="AL46" t="str">
        <f t="shared" si="0"/>
        <v xml:space="preserve">    (U1)ALERT_REQ_UNKNOWN</v>
      </c>
      <c r="AR46" s="70" t="str">
        <f t="shared" si="3"/>
        <v xml:space="preserve">    (U4)0x00000028U,                                                           /* 40 UNKNOWN                                         */</v>
      </c>
      <c r="AS46" s="70" t="str">
        <f t="shared" si="4"/>
        <v xml:space="preserve">    (U4)0x0000003FU,                                                           /* 40 UNKNOWN                                         */</v>
      </c>
      <c r="AT46" s="70" t="str">
        <f t="shared" si="1"/>
        <v xml:space="preserve">    (U1)ALERT_REQ_UNKNOWN,                                                     /* 40 UNKNOWN                                         */</v>
      </c>
    </row>
    <row r="47" spans="2:46">
      <c r="B47" s="139"/>
      <c r="C47" s="55">
        <f t="shared" si="2"/>
        <v>41</v>
      </c>
      <c r="D47" s="69" t="s">
        <v>70</v>
      </c>
      <c r="E47" s="69" t="s">
        <v>70</v>
      </c>
      <c r="F47" s="69" t="s">
        <v>70</v>
      </c>
      <c r="G47" s="69" t="s">
        <v>70</v>
      </c>
      <c r="H47" s="69" t="s">
        <v>70</v>
      </c>
      <c r="I47" s="69" t="s">
        <v>70</v>
      </c>
      <c r="J47" s="69" t="s">
        <v>70</v>
      </c>
      <c r="K47" s="69" t="s">
        <v>70</v>
      </c>
      <c r="L47" s="69" t="s">
        <v>70</v>
      </c>
      <c r="M47" s="69" t="s">
        <v>70</v>
      </c>
      <c r="N47" s="69" t="s">
        <v>70</v>
      </c>
      <c r="O47" s="69" t="s">
        <v>70</v>
      </c>
      <c r="P47" s="69" t="s">
        <v>70</v>
      </c>
      <c r="Q47" s="69" t="s">
        <v>70</v>
      </c>
      <c r="R47" s="69" t="s">
        <v>70</v>
      </c>
      <c r="S47" s="69" t="s">
        <v>70</v>
      </c>
      <c r="T47" s="69" t="s">
        <v>70</v>
      </c>
      <c r="U47" s="69" t="s">
        <v>70</v>
      </c>
      <c r="V47" s="69" t="s">
        <v>70</v>
      </c>
      <c r="W47" s="69" t="s">
        <v>70</v>
      </c>
      <c r="X47" s="69" t="s">
        <v>70</v>
      </c>
      <c r="Y47" s="69" t="s">
        <v>70</v>
      </c>
      <c r="Z47" s="69" t="s">
        <v>70</v>
      </c>
      <c r="AA47" s="69" t="s">
        <v>70</v>
      </c>
      <c r="AB47" s="69" t="s">
        <v>70</v>
      </c>
      <c r="AC47" s="69" t="s">
        <v>70</v>
      </c>
      <c r="AD47" s="69">
        <v>1</v>
      </c>
      <c r="AE47" s="69">
        <v>0</v>
      </c>
      <c r="AF47" s="69">
        <v>1</v>
      </c>
      <c r="AG47" s="69">
        <v>0</v>
      </c>
      <c r="AH47" s="69">
        <v>0</v>
      </c>
      <c r="AI47" s="69">
        <v>1</v>
      </c>
      <c r="AJ47" s="25" t="s">
        <v>33</v>
      </c>
      <c r="AL47" t="str">
        <f t="shared" si="0"/>
        <v xml:space="preserve">    (U1)ALERT_REQ_UNKNOWN</v>
      </c>
      <c r="AR47" s="70" t="str">
        <f t="shared" si="3"/>
        <v xml:space="preserve">    (U4)0x00000029U,                                                           /* 41 UNKNOWN                                         */</v>
      </c>
      <c r="AS47" s="70" t="str">
        <f t="shared" si="4"/>
        <v xml:space="preserve">    (U4)0x0000003FU,                                                           /* 41 UNKNOWN                                         */</v>
      </c>
      <c r="AT47" s="70" t="str">
        <f t="shared" si="1"/>
        <v xml:space="preserve">    (U1)ALERT_REQ_UNKNOWN,                                                     /* 41 UNKNOWN                                         */</v>
      </c>
    </row>
    <row r="48" spans="2:46">
      <c r="B48" s="139"/>
      <c r="C48" s="55">
        <f t="shared" si="2"/>
        <v>42</v>
      </c>
      <c r="D48" s="69" t="s">
        <v>70</v>
      </c>
      <c r="E48" s="69" t="s">
        <v>70</v>
      </c>
      <c r="F48" s="69" t="s">
        <v>70</v>
      </c>
      <c r="G48" s="69" t="s">
        <v>70</v>
      </c>
      <c r="H48" s="69" t="s">
        <v>70</v>
      </c>
      <c r="I48" s="69" t="s">
        <v>70</v>
      </c>
      <c r="J48" s="69" t="s">
        <v>70</v>
      </c>
      <c r="K48" s="69" t="s">
        <v>70</v>
      </c>
      <c r="L48" s="69" t="s">
        <v>70</v>
      </c>
      <c r="M48" s="69" t="s">
        <v>70</v>
      </c>
      <c r="N48" s="69" t="s">
        <v>70</v>
      </c>
      <c r="O48" s="69" t="s">
        <v>70</v>
      </c>
      <c r="P48" s="69" t="s">
        <v>70</v>
      </c>
      <c r="Q48" s="69" t="s">
        <v>70</v>
      </c>
      <c r="R48" s="69" t="s">
        <v>70</v>
      </c>
      <c r="S48" s="69" t="s">
        <v>70</v>
      </c>
      <c r="T48" s="69" t="s">
        <v>70</v>
      </c>
      <c r="U48" s="69" t="s">
        <v>70</v>
      </c>
      <c r="V48" s="69" t="s">
        <v>70</v>
      </c>
      <c r="W48" s="69" t="s">
        <v>70</v>
      </c>
      <c r="X48" s="69" t="s">
        <v>70</v>
      </c>
      <c r="Y48" s="69" t="s">
        <v>70</v>
      </c>
      <c r="Z48" s="69" t="s">
        <v>70</v>
      </c>
      <c r="AA48" s="69" t="s">
        <v>70</v>
      </c>
      <c r="AB48" s="69" t="s">
        <v>70</v>
      </c>
      <c r="AC48" s="69" t="s">
        <v>70</v>
      </c>
      <c r="AD48" s="69">
        <v>1</v>
      </c>
      <c r="AE48" s="69">
        <v>0</v>
      </c>
      <c r="AF48" s="69">
        <v>1</v>
      </c>
      <c r="AG48" s="69">
        <v>0</v>
      </c>
      <c r="AH48" s="69">
        <v>1</v>
      </c>
      <c r="AI48" s="69">
        <v>0</v>
      </c>
      <c r="AJ48" s="25" t="s">
        <v>33</v>
      </c>
      <c r="AL48" t="str">
        <f t="shared" si="0"/>
        <v xml:space="preserve">    (U1)ALERT_REQ_UNKNOWN</v>
      </c>
      <c r="AR48" s="70" t="str">
        <f t="shared" si="3"/>
        <v xml:space="preserve">    (U4)0x0000002AU,                                                           /* 42 UNKNOWN                                         */</v>
      </c>
      <c r="AS48" s="70" t="str">
        <f t="shared" si="4"/>
        <v xml:space="preserve">    (U4)0x0000003FU,                                                           /* 42 UNKNOWN                                         */</v>
      </c>
      <c r="AT48" s="70" t="str">
        <f t="shared" si="1"/>
        <v xml:space="preserve">    (U1)ALERT_REQ_UNKNOWN,                                                     /* 42 UNKNOWN                                         */</v>
      </c>
    </row>
    <row r="49" spans="2:46">
      <c r="B49" s="139"/>
      <c r="C49" s="55">
        <f t="shared" si="2"/>
        <v>43</v>
      </c>
      <c r="D49" s="69" t="s">
        <v>70</v>
      </c>
      <c r="E49" s="69" t="s">
        <v>70</v>
      </c>
      <c r="F49" s="69" t="s">
        <v>70</v>
      </c>
      <c r="G49" s="69" t="s">
        <v>70</v>
      </c>
      <c r="H49" s="69" t="s">
        <v>70</v>
      </c>
      <c r="I49" s="69" t="s">
        <v>70</v>
      </c>
      <c r="J49" s="69" t="s">
        <v>70</v>
      </c>
      <c r="K49" s="69" t="s">
        <v>70</v>
      </c>
      <c r="L49" s="69" t="s">
        <v>70</v>
      </c>
      <c r="M49" s="69" t="s">
        <v>70</v>
      </c>
      <c r="N49" s="69" t="s">
        <v>70</v>
      </c>
      <c r="O49" s="69" t="s">
        <v>70</v>
      </c>
      <c r="P49" s="69" t="s">
        <v>70</v>
      </c>
      <c r="Q49" s="69" t="s">
        <v>70</v>
      </c>
      <c r="R49" s="69" t="s">
        <v>70</v>
      </c>
      <c r="S49" s="69" t="s">
        <v>70</v>
      </c>
      <c r="T49" s="69" t="s">
        <v>70</v>
      </c>
      <c r="U49" s="69" t="s">
        <v>70</v>
      </c>
      <c r="V49" s="69" t="s">
        <v>70</v>
      </c>
      <c r="W49" s="69" t="s">
        <v>70</v>
      </c>
      <c r="X49" s="69" t="s">
        <v>70</v>
      </c>
      <c r="Y49" s="69" t="s">
        <v>70</v>
      </c>
      <c r="Z49" s="69" t="s">
        <v>70</v>
      </c>
      <c r="AA49" s="69" t="s">
        <v>70</v>
      </c>
      <c r="AB49" s="69" t="s">
        <v>70</v>
      </c>
      <c r="AC49" s="69" t="s">
        <v>70</v>
      </c>
      <c r="AD49" s="69">
        <v>1</v>
      </c>
      <c r="AE49" s="69">
        <v>0</v>
      </c>
      <c r="AF49" s="69">
        <v>1</v>
      </c>
      <c r="AG49" s="69">
        <v>0</v>
      </c>
      <c r="AH49" s="69">
        <v>1</v>
      </c>
      <c r="AI49" s="69">
        <v>1</v>
      </c>
      <c r="AJ49" s="25" t="s">
        <v>33</v>
      </c>
      <c r="AL49" t="str">
        <f t="shared" si="0"/>
        <v xml:space="preserve">    (U1)ALERT_REQ_UNKNOWN</v>
      </c>
      <c r="AR49" s="70" t="str">
        <f t="shared" si="3"/>
        <v xml:space="preserve">    (U4)0x0000002BU,                                                           /* 43 UNKNOWN                                         */</v>
      </c>
      <c r="AS49" s="70" t="str">
        <f t="shared" si="4"/>
        <v xml:space="preserve">    (U4)0x0000003FU,                                                           /* 43 UNKNOWN                                         */</v>
      </c>
      <c r="AT49" s="70" t="str">
        <f t="shared" si="1"/>
        <v xml:space="preserve">    (U1)ALERT_REQ_UNKNOWN,                                                     /* 43 UNKNOWN                                         */</v>
      </c>
    </row>
    <row r="50" spans="2:46">
      <c r="B50" s="139"/>
      <c r="C50" s="55">
        <f t="shared" si="2"/>
        <v>44</v>
      </c>
      <c r="D50" s="69" t="s">
        <v>70</v>
      </c>
      <c r="E50" s="69" t="s">
        <v>70</v>
      </c>
      <c r="F50" s="69" t="s">
        <v>70</v>
      </c>
      <c r="G50" s="69" t="s">
        <v>70</v>
      </c>
      <c r="H50" s="69" t="s">
        <v>70</v>
      </c>
      <c r="I50" s="69" t="s">
        <v>70</v>
      </c>
      <c r="J50" s="69" t="s">
        <v>70</v>
      </c>
      <c r="K50" s="69" t="s">
        <v>70</v>
      </c>
      <c r="L50" s="69" t="s">
        <v>70</v>
      </c>
      <c r="M50" s="69" t="s">
        <v>70</v>
      </c>
      <c r="N50" s="69" t="s">
        <v>70</v>
      </c>
      <c r="O50" s="69" t="s">
        <v>70</v>
      </c>
      <c r="P50" s="69" t="s">
        <v>70</v>
      </c>
      <c r="Q50" s="69" t="s">
        <v>70</v>
      </c>
      <c r="R50" s="69" t="s">
        <v>70</v>
      </c>
      <c r="S50" s="69" t="s">
        <v>70</v>
      </c>
      <c r="T50" s="69" t="s">
        <v>70</v>
      </c>
      <c r="U50" s="69" t="s">
        <v>70</v>
      </c>
      <c r="V50" s="69" t="s">
        <v>70</v>
      </c>
      <c r="W50" s="69" t="s">
        <v>70</v>
      </c>
      <c r="X50" s="69" t="s">
        <v>70</v>
      </c>
      <c r="Y50" s="69" t="s">
        <v>70</v>
      </c>
      <c r="Z50" s="69" t="s">
        <v>70</v>
      </c>
      <c r="AA50" s="69" t="s">
        <v>70</v>
      </c>
      <c r="AB50" s="69" t="s">
        <v>70</v>
      </c>
      <c r="AC50" s="69" t="s">
        <v>70</v>
      </c>
      <c r="AD50" s="69">
        <v>1</v>
      </c>
      <c r="AE50" s="69">
        <v>0</v>
      </c>
      <c r="AF50" s="69">
        <v>1</v>
      </c>
      <c r="AG50" s="69">
        <v>1</v>
      </c>
      <c r="AH50" s="69">
        <v>0</v>
      </c>
      <c r="AI50" s="69">
        <v>0</v>
      </c>
      <c r="AJ50" s="25" t="s">
        <v>33</v>
      </c>
      <c r="AL50" t="str">
        <f t="shared" si="0"/>
        <v xml:space="preserve">    (U1)ALERT_REQ_UNKNOWN</v>
      </c>
      <c r="AR50" s="70" t="str">
        <f t="shared" si="3"/>
        <v xml:space="preserve">    (U4)0x0000002CU,                                                           /* 44 UNKNOWN                                         */</v>
      </c>
      <c r="AS50" s="70" t="str">
        <f t="shared" si="4"/>
        <v xml:space="preserve">    (U4)0x0000003FU,                                                           /* 44 UNKNOWN                                         */</v>
      </c>
      <c r="AT50" s="70" t="str">
        <f t="shared" si="1"/>
        <v xml:space="preserve">    (U1)ALERT_REQ_UNKNOWN,                                                     /* 44 UNKNOWN                                         */</v>
      </c>
    </row>
    <row r="51" spans="2:46">
      <c r="B51" s="139"/>
      <c r="C51" s="55">
        <f t="shared" si="2"/>
        <v>45</v>
      </c>
      <c r="D51" s="69" t="s">
        <v>70</v>
      </c>
      <c r="E51" s="69" t="s">
        <v>70</v>
      </c>
      <c r="F51" s="69" t="s">
        <v>70</v>
      </c>
      <c r="G51" s="69" t="s">
        <v>70</v>
      </c>
      <c r="H51" s="69" t="s">
        <v>70</v>
      </c>
      <c r="I51" s="69" t="s">
        <v>70</v>
      </c>
      <c r="J51" s="69" t="s">
        <v>70</v>
      </c>
      <c r="K51" s="69" t="s">
        <v>70</v>
      </c>
      <c r="L51" s="69" t="s">
        <v>70</v>
      </c>
      <c r="M51" s="69" t="s">
        <v>70</v>
      </c>
      <c r="N51" s="69" t="s">
        <v>70</v>
      </c>
      <c r="O51" s="69" t="s">
        <v>70</v>
      </c>
      <c r="P51" s="69" t="s">
        <v>70</v>
      </c>
      <c r="Q51" s="69" t="s">
        <v>70</v>
      </c>
      <c r="R51" s="69" t="s">
        <v>70</v>
      </c>
      <c r="S51" s="69" t="s">
        <v>70</v>
      </c>
      <c r="T51" s="69" t="s">
        <v>70</v>
      </c>
      <c r="U51" s="69" t="s">
        <v>70</v>
      </c>
      <c r="V51" s="69" t="s">
        <v>70</v>
      </c>
      <c r="W51" s="69" t="s">
        <v>70</v>
      </c>
      <c r="X51" s="69" t="s">
        <v>70</v>
      </c>
      <c r="Y51" s="69" t="s">
        <v>70</v>
      </c>
      <c r="Z51" s="69" t="s">
        <v>70</v>
      </c>
      <c r="AA51" s="69" t="s">
        <v>70</v>
      </c>
      <c r="AB51" s="69" t="s">
        <v>70</v>
      </c>
      <c r="AC51" s="69" t="s">
        <v>70</v>
      </c>
      <c r="AD51" s="69">
        <v>1</v>
      </c>
      <c r="AE51" s="69">
        <v>0</v>
      </c>
      <c r="AF51" s="69">
        <v>1</v>
      </c>
      <c r="AG51" s="69">
        <v>1</v>
      </c>
      <c r="AH51" s="69">
        <v>0</v>
      </c>
      <c r="AI51" s="69">
        <v>1</v>
      </c>
      <c r="AJ51" s="25" t="s">
        <v>33</v>
      </c>
      <c r="AL51" t="str">
        <f t="shared" si="0"/>
        <v xml:space="preserve">    (U1)ALERT_REQ_UNKNOWN</v>
      </c>
      <c r="AR51" s="70" t="str">
        <f t="shared" si="3"/>
        <v xml:space="preserve">    (U4)0x0000002DU,                                                           /* 45 UNKNOWN                                         */</v>
      </c>
      <c r="AS51" s="70" t="str">
        <f t="shared" si="4"/>
        <v xml:space="preserve">    (U4)0x0000003FU,                                                           /* 45 UNKNOWN                                         */</v>
      </c>
      <c r="AT51" s="70" t="str">
        <f t="shared" si="1"/>
        <v xml:space="preserve">    (U1)ALERT_REQ_UNKNOWN,                                                     /* 45 UNKNOWN                                         */</v>
      </c>
    </row>
    <row r="52" spans="2:46">
      <c r="B52" s="139"/>
      <c r="C52" s="55">
        <f t="shared" si="2"/>
        <v>46</v>
      </c>
      <c r="D52" s="69" t="s">
        <v>70</v>
      </c>
      <c r="E52" s="69" t="s">
        <v>70</v>
      </c>
      <c r="F52" s="69" t="s">
        <v>70</v>
      </c>
      <c r="G52" s="69" t="s">
        <v>70</v>
      </c>
      <c r="H52" s="69" t="s">
        <v>70</v>
      </c>
      <c r="I52" s="69" t="s">
        <v>70</v>
      </c>
      <c r="J52" s="69" t="s">
        <v>70</v>
      </c>
      <c r="K52" s="69" t="s">
        <v>70</v>
      </c>
      <c r="L52" s="69" t="s">
        <v>70</v>
      </c>
      <c r="M52" s="69" t="s">
        <v>70</v>
      </c>
      <c r="N52" s="69" t="s">
        <v>70</v>
      </c>
      <c r="O52" s="69" t="s">
        <v>70</v>
      </c>
      <c r="P52" s="69" t="s">
        <v>70</v>
      </c>
      <c r="Q52" s="69" t="s">
        <v>70</v>
      </c>
      <c r="R52" s="69" t="s">
        <v>70</v>
      </c>
      <c r="S52" s="69" t="s">
        <v>70</v>
      </c>
      <c r="T52" s="69" t="s">
        <v>70</v>
      </c>
      <c r="U52" s="69" t="s">
        <v>70</v>
      </c>
      <c r="V52" s="69" t="s">
        <v>70</v>
      </c>
      <c r="W52" s="69" t="s">
        <v>70</v>
      </c>
      <c r="X52" s="69" t="s">
        <v>70</v>
      </c>
      <c r="Y52" s="69" t="s">
        <v>70</v>
      </c>
      <c r="Z52" s="69" t="s">
        <v>70</v>
      </c>
      <c r="AA52" s="69" t="s">
        <v>70</v>
      </c>
      <c r="AB52" s="69" t="s">
        <v>70</v>
      </c>
      <c r="AC52" s="69" t="s">
        <v>70</v>
      </c>
      <c r="AD52" s="69">
        <v>1</v>
      </c>
      <c r="AE52" s="69">
        <v>0</v>
      </c>
      <c r="AF52" s="69">
        <v>1</v>
      </c>
      <c r="AG52" s="69">
        <v>1</v>
      </c>
      <c r="AH52" s="69">
        <v>1</v>
      </c>
      <c r="AI52" s="69">
        <v>0</v>
      </c>
      <c r="AJ52" s="25" t="s">
        <v>33</v>
      </c>
      <c r="AL52" t="str">
        <f t="shared" si="0"/>
        <v xml:space="preserve">    (U1)ALERT_REQ_UNKNOWN</v>
      </c>
      <c r="AR52" s="70" t="str">
        <f t="shared" si="3"/>
        <v xml:space="preserve">    (U4)0x0000002EU,                                                           /* 46 UNKNOWN                                         */</v>
      </c>
      <c r="AS52" s="70" t="str">
        <f t="shared" si="4"/>
        <v xml:space="preserve">    (U4)0x0000003FU,                                                           /* 46 UNKNOWN                                         */</v>
      </c>
      <c r="AT52" s="70" t="str">
        <f t="shared" si="1"/>
        <v xml:space="preserve">    (U1)ALERT_REQ_UNKNOWN,                                                     /* 46 UNKNOWN                                         */</v>
      </c>
    </row>
    <row r="53" spans="2:46">
      <c r="B53" s="139"/>
      <c r="C53" s="55">
        <f t="shared" si="2"/>
        <v>47</v>
      </c>
      <c r="D53" s="69" t="s">
        <v>70</v>
      </c>
      <c r="E53" s="69" t="s">
        <v>70</v>
      </c>
      <c r="F53" s="69" t="s">
        <v>70</v>
      </c>
      <c r="G53" s="69" t="s">
        <v>70</v>
      </c>
      <c r="H53" s="69" t="s">
        <v>70</v>
      </c>
      <c r="I53" s="69" t="s">
        <v>70</v>
      </c>
      <c r="J53" s="69" t="s">
        <v>70</v>
      </c>
      <c r="K53" s="69" t="s">
        <v>70</v>
      </c>
      <c r="L53" s="69" t="s">
        <v>70</v>
      </c>
      <c r="M53" s="69" t="s">
        <v>70</v>
      </c>
      <c r="N53" s="69" t="s">
        <v>70</v>
      </c>
      <c r="O53" s="69" t="s">
        <v>70</v>
      </c>
      <c r="P53" s="69" t="s">
        <v>70</v>
      </c>
      <c r="Q53" s="69" t="s">
        <v>70</v>
      </c>
      <c r="R53" s="69" t="s">
        <v>70</v>
      </c>
      <c r="S53" s="69" t="s">
        <v>70</v>
      </c>
      <c r="T53" s="69" t="s">
        <v>70</v>
      </c>
      <c r="U53" s="69" t="s">
        <v>70</v>
      </c>
      <c r="V53" s="69" t="s">
        <v>70</v>
      </c>
      <c r="W53" s="69" t="s">
        <v>70</v>
      </c>
      <c r="X53" s="69" t="s">
        <v>70</v>
      </c>
      <c r="Y53" s="69" t="s">
        <v>70</v>
      </c>
      <c r="Z53" s="69" t="s">
        <v>70</v>
      </c>
      <c r="AA53" s="69" t="s">
        <v>70</v>
      </c>
      <c r="AB53" s="69" t="s">
        <v>70</v>
      </c>
      <c r="AC53" s="69" t="s">
        <v>70</v>
      </c>
      <c r="AD53" s="69">
        <v>1</v>
      </c>
      <c r="AE53" s="69">
        <v>0</v>
      </c>
      <c r="AF53" s="69">
        <v>1</v>
      </c>
      <c r="AG53" s="69">
        <v>1</v>
      </c>
      <c r="AH53" s="69">
        <v>1</v>
      </c>
      <c r="AI53" s="69">
        <v>1</v>
      </c>
      <c r="AJ53" s="25" t="s">
        <v>33</v>
      </c>
      <c r="AL53" t="str">
        <f t="shared" si="0"/>
        <v xml:space="preserve">    (U1)ALERT_REQ_UNKNOWN</v>
      </c>
      <c r="AR53" s="70" t="str">
        <f t="shared" si="3"/>
        <v xml:space="preserve">    (U4)0x0000002FU,                                                           /* 47 UNKNOWN                                         */</v>
      </c>
      <c r="AS53" s="70" t="str">
        <f t="shared" si="4"/>
        <v xml:space="preserve">    (U4)0x0000003FU,                                                           /* 47 UNKNOWN                                         */</v>
      </c>
      <c r="AT53" s="70" t="str">
        <f t="shared" si="1"/>
        <v xml:space="preserve">    (U1)ALERT_REQ_UNKNOWN,                                                     /* 47 UNKNOWN                                         */</v>
      </c>
    </row>
    <row r="54" spans="2:46">
      <c r="B54" s="139"/>
      <c r="C54" s="55">
        <f t="shared" si="2"/>
        <v>48</v>
      </c>
      <c r="D54" s="69" t="s">
        <v>70</v>
      </c>
      <c r="E54" s="69" t="s">
        <v>70</v>
      </c>
      <c r="F54" s="69" t="s">
        <v>70</v>
      </c>
      <c r="G54" s="69" t="s">
        <v>70</v>
      </c>
      <c r="H54" s="69" t="s">
        <v>70</v>
      </c>
      <c r="I54" s="69" t="s">
        <v>70</v>
      </c>
      <c r="J54" s="69" t="s">
        <v>70</v>
      </c>
      <c r="K54" s="69" t="s">
        <v>70</v>
      </c>
      <c r="L54" s="69" t="s">
        <v>70</v>
      </c>
      <c r="M54" s="69" t="s">
        <v>70</v>
      </c>
      <c r="N54" s="69" t="s">
        <v>70</v>
      </c>
      <c r="O54" s="69" t="s">
        <v>70</v>
      </c>
      <c r="P54" s="69" t="s">
        <v>70</v>
      </c>
      <c r="Q54" s="69" t="s">
        <v>70</v>
      </c>
      <c r="R54" s="69" t="s">
        <v>70</v>
      </c>
      <c r="S54" s="69" t="s">
        <v>70</v>
      </c>
      <c r="T54" s="69" t="s">
        <v>70</v>
      </c>
      <c r="U54" s="69" t="s">
        <v>70</v>
      </c>
      <c r="V54" s="69" t="s">
        <v>70</v>
      </c>
      <c r="W54" s="69" t="s">
        <v>70</v>
      </c>
      <c r="X54" s="69" t="s">
        <v>70</v>
      </c>
      <c r="Y54" s="69" t="s">
        <v>70</v>
      </c>
      <c r="Z54" s="69" t="s">
        <v>70</v>
      </c>
      <c r="AA54" s="69" t="s">
        <v>70</v>
      </c>
      <c r="AB54" s="69" t="s">
        <v>70</v>
      </c>
      <c r="AC54" s="69" t="s">
        <v>70</v>
      </c>
      <c r="AD54" s="69">
        <v>1</v>
      </c>
      <c r="AE54" s="69">
        <v>1</v>
      </c>
      <c r="AF54" s="69">
        <v>0</v>
      </c>
      <c r="AG54" s="69">
        <v>0</v>
      </c>
      <c r="AH54" s="69">
        <v>0</v>
      </c>
      <c r="AI54" s="69">
        <v>0</v>
      </c>
      <c r="AJ54" s="25" t="s">
        <v>33</v>
      </c>
      <c r="AL54"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39"/>
      <c r="C55" s="55">
        <f t="shared" si="2"/>
        <v>49</v>
      </c>
      <c r="D55" s="69" t="s">
        <v>70</v>
      </c>
      <c r="E55" s="69" t="s">
        <v>70</v>
      </c>
      <c r="F55" s="69" t="s">
        <v>70</v>
      </c>
      <c r="G55" s="69" t="s">
        <v>70</v>
      </c>
      <c r="H55" s="69" t="s">
        <v>70</v>
      </c>
      <c r="I55" s="69" t="s">
        <v>70</v>
      </c>
      <c r="J55" s="69" t="s">
        <v>70</v>
      </c>
      <c r="K55" s="69" t="s">
        <v>70</v>
      </c>
      <c r="L55" s="69" t="s">
        <v>70</v>
      </c>
      <c r="M55" s="69" t="s">
        <v>70</v>
      </c>
      <c r="N55" s="69" t="s">
        <v>70</v>
      </c>
      <c r="O55" s="69" t="s">
        <v>70</v>
      </c>
      <c r="P55" s="69" t="s">
        <v>70</v>
      </c>
      <c r="Q55" s="69" t="s">
        <v>70</v>
      </c>
      <c r="R55" s="69" t="s">
        <v>70</v>
      </c>
      <c r="S55" s="69" t="s">
        <v>70</v>
      </c>
      <c r="T55" s="69" t="s">
        <v>70</v>
      </c>
      <c r="U55" s="69" t="s">
        <v>70</v>
      </c>
      <c r="V55" s="69" t="s">
        <v>70</v>
      </c>
      <c r="W55" s="69" t="s">
        <v>70</v>
      </c>
      <c r="X55" s="69" t="s">
        <v>70</v>
      </c>
      <c r="Y55" s="69" t="s">
        <v>70</v>
      </c>
      <c r="Z55" s="69" t="s">
        <v>70</v>
      </c>
      <c r="AA55" s="69" t="s">
        <v>70</v>
      </c>
      <c r="AB55" s="69" t="s">
        <v>70</v>
      </c>
      <c r="AC55" s="69" t="s">
        <v>70</v>
      </c>
      <c r="AD55" s="69">
        <v>1</v>
      </c>
      <c r="AE55" s="69">
        <v>1</v>
      </c>
      <c r="AF55" s="69">
        <v>0</v>
      </c>
      <c r="AG55" s="69">
        <v>0</v>
      </c>
      <c r="AH55" s="69">
        <v>0</v>
      </c>
      <c r="AI55" s="69">
        <v>1</v>
      </c>
      <c r="AJ55" s="25" t="s">
        <v>33</v>
      </c>
      <c r="AL55" t="str">
        <f t="shared" si="0"/>
        <v xml:space="preserve">    (U1)ALERT_REQ_UNKNOWN</v>
      </c>
      <c r="AR55" s="70" t="str">
        <f t="shared" si="3"/>
        <v xml:space="preserve">    (U4)0x00000031U,                                                           /* 49 UNKNOWN                                         */</v>
      </c>
      <c r="AS55" s="70" t="str">
        <f t="shared" si="4"/>
        <v xml:space="preserve">    (U4)0x0000003FU,                                                           /* 49 UNKNOWN                                         */</v>
      </c>
      <c r="AT55" s="70" t="str">
        <f t="shared" si="1"/>
        <v xml:space="preserve">    (U1)ALERT_REQ_UNKNOWN,                                                     /* 49 UNKNOWN                                         */</v>
      </c>
    </row>
    <row r="56" spans="2:46">
      <c r="B56" s="139"/>
      <c r="C56" s="55">
        <f t="shared" si="2"/>
        <v>50</v>
      </c>
      <c r="D56" s="69" t="s">
        <v>70</v>
      </c>
      <c r="E56" s="69" t="s">
        <v>70</v>
      </c>
      <c r="F56" s="69" t="s">
        <v>70</v>
      </c>
      <c r="G56" s="69" t="s">
        <v>70</v>
      </c>
      <c r="H56" s="69" t="s">
        <v>70</v>
      </c>
      <c r="I56" s="69" t="s">
        <v>70</v>
      </c>
      <c r="J56" s="69" t="s">
        <v>70</v>
      </c>
      <c r="K56" s="69" t="s">
        <v>70</v>
      </c>
      <c r="L56" s="69" t="s">
        <v>70</v>
      </c>
      <c r="M56" s="69" t="s">
        <v>70</v>
      </c>
      <c r="N56" s="69" t="s">
        <v>70</v>
      </c>
      <c r="O56" s="69" t="s">
        <v>70</v>
      </c>
      <c r="P56" s="69" t="s">
        <v>70</v>
      </c>
      <c r="Q56" s="69" t="s">
        <v>70</v>
      </c>
      <c r="R56" s="69" t="s">
        <v>70</v>
      </c>
      <c r="S56" s="69" t="s">
        <v>70</v>
      </c>
      <c r="T56" s="69" t="s">
        <v>70</v>
      </c>
      <c r="U56" s="69" t="s">
        <v>70</v>
      </c>
      <c r="V56" s="69" t="s">
        <v>70</v>
      </c>
      <c r="W56" s="69" t="s">
        <v>70</v>
      </c>
      <c r="X56" s="69" t="s">
        <v>70</v>
      </c>
      <c r="Y56" s="69" t="s">
        <v>70</v>
      </c>
      <c r="Z56" s="69" t="s">
        <v>70</v>
      </c>
      <c r="AA56" s="69" t="s">
        <v>70</v>
      </c>
      <c r="AB56" s="69" t="s">
        <v>70</v>
      </c>
      <c r="AC56" s="69" t="s">
        <v>70</v>
      </c>
      <c r="AD56" s="69">
        <v>1</v>
      </c>
      <c r="AE56" s="69">
        <v>1</v>
      </c>
      <c r="AF56" s="69">
        <v>0</v>
      </c>
      <c r="AG56" s="69">
        <v>0</v>
      </c>
      <c r="AH56" s="69">
        <v>1</v>
      </c>
      <c r="AI56" s="69">
        <v>0</v>
      </c>
      <c r="AJ56" s="25" t="s">
        <v>33</v>
      </c>
      <c r="AL56" t="str">
        <f t="shared" si="0"/>
        <v xml:space="preserve">    (U1)ALERT_REQ_UNKNOWN</v>
      </c>
      <c r="AR56" s="70" t="str">
        <f t="shared" si="3"/>
        <v xml:space="preserve">    (U4)0x00000032U,                                                           /* 50 UNKNOWN                                         */</v>
      </c>
      <c r="AS56" s="70" t="str">
        <f t="shared" si="4"/>
        <v xml:space="preserve">    (U4)0x0000003FU,                                                           /* 50 UNKNOWN                                         */</v>
      </c>
      <c r="AT56" s="70" t="str">
        <f t="shared" si="1"/>
        <v xml:space="preserve">    (U1)ALERT_REQ_UNKNOWN,                                                     /* 50 UNKNOWN                                         */</v>
      </c>
    </row>
    <row r="57" spans="2:46">
      <c r="B57" s="139"/>
      <c r="C57" s="55">
        <f t="shared" si="2"/>
        <v>51</v>
      </c>
      <c r="D57" s="69" t="s">
        <v>70</v>
      </c>
      <c r="E57" s="69" t="s">
        <v>70</v>
      </c>
      <c r="F57" s="69" t="s">
        <v>70</v>
      </c>
      <c r="G57" s="69" t="s">
        <v>70</v>
      </c>
      <c r="H57" s="69" t="s">
        <v>70</v>
      </c>
      <c r="I57" s="69" t="s">
        <v>70</v>
      </c>
      <c r="J57" s="69" t="s">
        <v>70</v>
      </c>
      <c r="K57" s="69" t="s">
        <v>70</v>
      </c>
      <c r="L57" s="69" t="s">
        <v>70</v>
      </c>
      <c r="M57" s="69" t="s">
        <v>70</v>
      </c>
      <c r="N57" s="69" t="s">
        <v>70</v>
      </c>
      <c r="O57" s="69" t="s">
        <v>70</v>
      </c>
      <c r="P57" s="69" t="s">
        <v>70</v>
      </c>
      <c r="Q57" s="69" t="s">
        <v>70</v>
      </c>
      <c r="R57" s="69" t="s">
        <v>70</v>
      </c>
      <c r="S57" s="69" t="s">
        <v>70</v>
      </c>
      <c r="T57" s="69" t="s">
        <v>70</v>
      </c>
      <c r="U57" s="69" t="s">
        <v>70</v>
      </c>
      <c r="V57" s="69" t="s">
        <v>70</v>
      </c>
      <c r="W57" s="69" t="s">
        <v>70</v>
      </c>
      <c r="X57" s="69" t="s">
        <v>70</v>
      </c>
      <c r="Y57" s="69" t="s">
        <v>70</v>
      </c>
      <c r="Z57" s="69" t="s">
        <v>70</v>
      </c>
      <c r="AA57" s="69" t="s">
        <v>70</v>
      </c>
      <c r="AB57" s="69" t="s">
        <v>70</v>
      </c>
      <c r="AC57" s="69" t="s">
        <v>70</v>
      </c>
      <c r="AD57" s="69">
        <v>1</v>
      </c>
      <c r="AE57" s="69">
        <v>1</v>
      </c>
      <c r="AF57" s="69">
        <v>0</v>
      </c>
      <c r="AG57" s="69">
        <v>0</v>
      </c>
      <c r="AH57" s="69">
        <v>1</v>
      </c>
      <c r="AI57" s="69">
        <v>1</v>
      </c>
      <c r="AJ57" s="25" t="s">
        <v>33</v>
      </c>
      <c r="AL57"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39"/>
      <c r="C58" s="55">
        <f t="shared" si="2"/>
        <v>52</v>
      </c>
      <c r="D58" s="69" t="s">
        <v>70</v>
      </c>
      <c r="E58" s="69" t="s">
        <v>70</v>
      </c>
      <c r="F58" s="69" t="s">
        <v>70</v>
      </c>
      <c r="G58" s="69" t="s">
        <v>70</v>
      </c>
      <c r="H58" s="69" t="s">
        <v>70</v>
      </c>
      <c r="I58" s="69" t="s">
        <v>70</v>
      </c>
      <c r="J58" s="69" t="s">
        <v>70</v>
      </c>
      <c r="K58" s="69" t="s">
        <v>70</v>
      </c>
      <c r="L58" s="69" t="s">
        <v>70</v>
      </c>
      <c r="M58" s="69" t="s">
        <v>70</v>
      </c>
      <c r="N58" s="69" t="s">
        <v>70</v>
      </c>
      <c r="O58" s="69" t="s">
        <v>70</v>
      </c>
      <c r="P58" s="69" t="s">
        <v>70</v>
      </c>
      <c r="Q58" s="69" t="s">
        <v>70</v>
      </c>
      <c r="R58" s="69" t="s">
        <v>70</v>
      </c>
      <c r="S58" s="69" t="s">
        <v>70</v>
      </c>
      <c r="T58" s="69" t="s">
        <v>70</v>
      </c>
      <c r="U58" s="69" t="s">
        <v>70</v>
      </c>
      <c r="V58" s="69" t="s">
        <v>70</v>
      </c>
      <c r="W58" s="69" t="s">
        <v>70</v>
      </c>
      <c r="X58" s="69" t="s">
        <v>70</v>
      </c>
      <c r="Y58" s="69" t="s">
        <v>70</v>
      </c>
      <c r="Z58" s="69" t="s">
        <v>70</v>
      </c>
      <c r="AA58" s="69" t="s">
        <v>70</v>
      </c>
      <c r="AB58" s="69" t="s">
        <v>70</v>
      </c>
      <c r="AC58" s="69" t="s">
        <v>70</v>
      </c>
      <c r="AD58" s="69">
        <v>1</v>
      </c>
      <c r="AE58" s="69">
        <v>1</v>
      </c>
      <c r="AF58" s="69">
        <v>0</v>
      </c>
      <c r="AG58" s="69">
        <v>1</v>
      </c>
      <c r="AH58" s="69">
        <v>0</v>
      </c>
      <c r="AI58" s="69">
        <v>0</v>
      </c>
      <c r="AJ58" s="25" t="s">
        <v>33</v>
      </c>
      <c r="AL58" t="str">
        <f t="shared" si="0"/>
        <v xml:space="preserve">    (U1)ALERT_REQ_UNKNOWN</v>
      </c>
      <c r="AR58" s="70" t="str">
        <f t="shared" si="3"/>
        <v xml:space="preserve">    (U4)0x00000034U,                                                           /* 52 UNKNOWN                                         */</v>
      </c>
      <c r="AS58" s="70" t="str">
        <f t="shared" si="4"/>
        <v xml:space="preserve">    (U4)0x0000003FU,                                                           /* 52 UNKNOWN                                         */</v>
      </c>
      <c r="AT58" s="70" t="str">
        <f t="shared" si="1"/>
        <v xml:space="preserve">    (U1)ALERT_REQ_UNKNOWN,                                                     /* 52 UNKNOWN                                         */</v>
      </c>
    </row>
    <row r="59" spans="2:46">
      <c r="B59" s="139"/>
      <c r="C59" s="55">
        <f t="shared" si="2"/>
        <v>53</v>
      </c>
      <c r="D59" s="69" t="s">
        <v>70</v>
      </c>
      <c r="E59" s="69" t="s">
        <v>70</v>
      </c>
      <c r="F59" s="69" t="s">
        <v>70</v>
      </c>
      <c r="G59" s="69" t="s">
        <v>70</v>
      </c>
      <c r="H59" s="69" t="s">
        <v>70</v>
      </c>
      <c r="I59" s="69" t="s">
        <v>70</v>
      </c>
      <c r="J59" s="69" t="s">
        <v>70</v>
      </c>
      <c r="K59" s="69" t="s">
        <v>70</v>
      </c>
      <c r="L59" s="69" t="s">
        <v>70</v>
      </c>
      <c r="M59" s="69" t="s">
        <v>70</v>
      </c>
      <c r="N59" s="69" t="s">
        <v>70</v>
      </c>
      <c r="O59" s="69" t="s">
        <v>70</v>
      </c>
      <c r="P59" s="69" t="s">
        <v>70</v>
      </c>
      <c r="Q59" s="69" t="s">
        <v>70</v>
      </c>
      <c r="R59" s="69" t="s">
        <v>70</v>
      </c>
      <c r="S59" s="69" t="s">
        <v>70</v>
      </c>
      <c r="T59" s="69" t="s">
        <v>70</v>
      </c>
      <c r="U59" s="69" t="s">
        <v>70</v>
      </c>
      <c r="V59" s="69" t="s">
        <v>70</v>
      </c>
      <c r="W59" s="69" t="s">
        <v>70</v>
      </c>
      <c r="X59" s="69" t="s">
        <v>70</v>
      </c>
      <c r="Y59" s="69" t="s">
        <v>70</v>
      </c>
      <c r="Z59" s="69" t="s">
        <v>70</v>
      </c>
      <c r="AA59" s="69" t="s">
        <v>70</v>
      </c>
      <c r="AB59" s="69" t="s">
        <v>70</v>
      </c>
      <c r="AC59" s="69" t="s">
        <v>70</v>
      </c>
      <c r="AD59" s="69">
        <v>1</v>
      </c>
      <c r="AE59" s="69">
        <v>1</v>
      </c>
      <c r="AF59" s="69">
        <v>0</v>
      </c>
      <c r="AG59" s="69">
        <v>1</v>
      </c>
      <c r="AH59" s="69">
        <v>0</v>
      </c>
      <c r="AI59" s="69">
        <v>1</v>
      </c>
      <c r="AJ59" s="25" t="s">
        <v>33</v>
      </c>
      <c r="AL59" t="str">
        <f t="shared" si="0"/>
        <v xml:space="preserve">    (U1)ALERT_REQ_UNKNOWN</v>
      </c>
      <c r="AR59" s="70" t="str">
        <f t="shared" si="3"/>
        <v xml:space="preserve">    (U4)0x00000035U,                                                           /* 53 UNKNOWN                                         */</v>
      </c>
      <c r="AS59" s="70" t="str">
        <f t="shared" si="4"/>
        <v xml:space="preserve">    (U4)0x0000003FU,                                                           /* 53 UNKNOWN                                         */</v>
      </c>
      <c r="AT59" s="70" t="str">
        <f t="shared" si="1"/>
        <v xml:space="preserve">    (U1)ALERT_REQ_UNKNOWN,                                                     /* 53 UNKNOWN                                         */</v>
      </c>
    </row>
    <row r="60" spans="2:46">
      <c r="B60" s="139"/>
      <c r="C60" s="55">
        <f t="shared" si="2"/>
        <v>54</v>
      </c>
      <c r="D60" s="69" t="s">
        <v>70</v>
      </c>
      <c r="E60" s="69" t="s">
        <v>70</v>
      </c>
      <c r="F60" s="69" t="s">
        <v>70</v>
      </c>
      <c r="G60" s="69" t="s">
        <v>70</v>
      </c>
      <c r="H60" s="69" t="s">
        <v>70</v>
      </c>
      <c r="I60" s="69" t="s">
        <v>70</v>
      </c>
      <c r="J60" s="69" t="s">
        <v>70</v>
      </c>
      <c r="K60" s="69" t="s">
        <v>70</v>
      </c>
      <c r="L60" s="69" t="s">
        <v>70</v>
      </c>
      <c r="M60" s="69" t="s">
        <v>70</v>
      </c>
      <c r="N60" s="69" t="s">
        <v>70</v>
      </c>
      <c r="O60" s="69" t="s">
        <v>70</v>
      </c>
      <c r="P60" s="69" t="s">
        <v>70</v>
      </c>
      <c r="Q60" s="69" t="s">
        <v>70</v>
      </c>
      <c r="R60" s="69" t="s">
        <v>70</v>
      </c>
      <c r="S60" s="69" t="s">
        <v>70</v>
      </c>
      <c r="T60" s="69" t="s">
        <v>70</v>
      </c>
      <c r="U60" s="69" t="s">
        <v>70</v>
      </c>
      <c r="V60" s="69" t="s">
        <v>70</v>
      </c>
      <c r="W60" s="69" t="s">
        <v>70</v>
      </c>
      <c r="X60" s="69" t="s">
        <v>70</v>
      </c>
      <c r="Y60" s="69" t="s">
        <v>70</v>
      </c>
      <c r="Z60" s="69" t="s">
        <v>70</v>
      </c>
      <c r="AA60" s="69" t="s">
        <v>70</v>
      </c>
      <c r="AB60" s="69" t="s">
        <v>70</v>
      </c>
      <c r="AC60" s="69" t="s">
        <v>70</v>
      </c>
      <c r="AD60" s="69">
        <v>1</v>
      </c>
      <c r="AE60" s="69">
        <v>1</v>
      </c>
      <c r="AF60" s="69">
        <v>0</v>
      </c>
      <c r="AG60" s="69">
        <v>1</v>
      </c>
      <c r="AH60" s="69">
        <v>1</v>
      </c>
      <c r="AI60" s="69">
        <v>0</v>
      </c>
      <c r="AJ60" s="25" t="s">
        <v>33</v>
      </c>
      <c r="AL60" t="str">
        <f t="shared" si="0"/>
        <v xml:space="preserve">    (U1)ALERT_REQ_UNKNOWN</v>
      </c>
      <c r="AR60" s="70" t="str">
        <f t="shared" si="3"/>
        <v xml:space="preserve">    (U4)0x00000036U,                                                           /* 54 UNKNOWN                                         */</v>
      </c>
      <c r="AS60" s="70" t="str">
        <f t="shared" si="4"/>
        <v xml:space="preserve">    (U4)0x0000003FU,                                                           /* 54 UNKNOWN                                         */</v>
      </c>
      <c r="AT60" s="70" t="str">
        <f t="shared" si="1"/>
        <v xml:space="preserve">    (U1)ALERT_REQ_UNKNOWN,                                                     /* 54 UNKNOWN                                         */</v>
      </c>
    </row>
    <row r="61" spans="2:46">
      <c r="B61" s="139"/>
      <c r="C61" s="55">
        <f t="shared" si="2"/>
        <v>55</v>
      </c>
      <c r="D61" s="69" t="s">
        <v>70</v>
      </c>
      <c r="E61" s="69" t="s">
        <v>70</v>
      </c>
      <c r="F61" s="69" t="s">
        <v>70</v>
      </c>
      <c r="G61" s="69" t="s">
        <v>70</v>
      </c>
      <c r="H61" s="69" t="s">
        <v>70</v>
      </c>
      <c r="I61" s="69" t="s">
        <v>70</v>
      </c>
      <c r="J61" s="69" t="s">
        <v>70</v>
      </c>
      <c r="K61" s="69" t="s">
        <v>70</v>
      </c>
      <c r="L61" s="69" t="s">
        <v>70</v>
      </c>
      <c r="M61" s="69" t="s">
        <v>70</v>
      </c>
      <c r="N61" s="69" t="s">
        <v>70</v>
      </c>
      <c r="O61" s="69" t="s">
        <v>70</v>
      </c>
      <c r="P61" s="69" t="s">
        <v>70</v>
      </c>
      <c r="Q61" s="69" t="s">
        <v>70</v>
      </c>
      <c r="R61" s="69" t="s">
        <v>70</v>
      </c>
      <c r="S61" s="69" t="s">
        <v>70</v>
      </c>
      <c r="T61" s="69" t="s">
        <v>70</v>
      </c>
      <c r="U61" s="69" t="s">
        <v>70</v>
      </c>
      <c r="V61" s="69" t="s">
        <v>70</v>
      </c>
      <c r="W61" s="69" t="s">
        <v>70</v>
      </c>
      <c r="X61" s="69" t="s">
        <v>70</v>
      </c>
      <c r="Y61" s="69" t="s">
        <v>70</v>
      </c>
      <c r="Z61" s="69" t="s">
        <v>70</v>
      </c>
      <c r="AA61" s="69" t="s">
        <v>70</v>
      </c>
      <c r="AB61" s="69" t="s">
        <v>70</v>
      </c>
      <c r="AC61" s="69" t="s">
        <v>70</v>
      </c>
      <c r="AD61" s="69">
        <v>1</v>
      </c>
      <c r="AE61" s="69">
        <v>1</v>
      </c>
      <c r="AF61" s="69">
        <v>0</v>
      </c>
      <c r="AG61" s="69">
        <v>1</v>
      </c>
      <c r="AH61" s="69">
        <v>1</v>
      </c>
      <c r="AI61" s="69">
        <v>1</v>
      </c>
      <c r="AJ61" s="25" t="s">
        <v>33</v>
      </c>
      <c r="AL61" t="str">
        <f t="shared" si="0"/>
        <v xml:space="preserve">    (U1)ALERT_REQ_UNKNOWN</v>
      </c>
      <c r="AR61" s="70" t="str">
        <f t="shared" si="3"/>
        <v xml:space="preserve">    (U4)0x00000037U,                                                           /* 55 UNKNOWN                                         */</v>
      </c>
      <c r="AS61" s="70" t="str">
        <f t="shared" si="4"/>
        <v xml:space="preserve">    (U4)0x0000003FU,                                                           /* 55 UNKNOWN                                         */</v>
      </c>
      <c r="AT61" s="70" t="str">
        <f t="shared" si="1"/>
        <v xml:space="preserve">    (U1)ALERT_REQ_UNKNOWN,                                                     /* 55 UNKNOWN                                         */</v>
      </c>
    </row>
    <row r="62" spans="2:46">
      <c r="B62" s="139"/>
      <c r="C62" s="55">
        <f t="shared" si="2"/>
        <v>56</v>
      </c>
      <c r="D62" s="69" t="s">
        <v>70</v>
      </c>
      <c r="E62" s="69" t="s">
        <v>70</v>
      </c>
      <c r="F62" s="69" t="s">
        <v>70</v>
      </c>
      <c r="G62" s="69" t="s">
        <v>70</v>
      </c>
      <c r="H62" s="69" t="s">
        <v>70</v>
      </c>
      <c r="I62" s="69" t="s">
        <v>70</v>
      </c>
      <c r="J62" s="69" t="s">
        <v>70</v>
      </c>
      <c r="K62" s="69" t="s">
        <v>70</v>
      </c>
      <c r="L62" s="69" t="s">
        <v>70</v>
      </c>
      <c r="M62" s="69" t="s">
        <v>70</v>
      </c>
      <c r="N62" s="69" t="s">
        <v>70</v>
      </c>
      <c r="O62" s="69" t="s">
        <v>70</v>
      </c>
      <c r="P62" s="69" t="s">
        <v>70</v>
      </c>
      <c r="Q62" s="69" t="s">
        <v>70</v>
      </c>
      <c r="R62" s="69" t="s">
        <v>70</v>
      </c>
      <c r="S62" s="69" t="s">
        <v>70</v>
      </c>
      <c r="T62" s="69" t="s">
        <v>70</v>
      </c>
      <c r="U62" s="69" t="s">
        <v>70</v>
      </c>
      <c r="V62" s="69" t="s">
        <v>70</v>
      </c>
      <c r="W62" s="69" t="s">
        <v>70</v>
      </c>
      <c r="X62" s="69" t="s">
        <v>70</v>
      </c>
      <c r="Y62" s="69" t="s">
        <v>70</v>
      </c>
      <c r="Z62" s="69" t="s">
        <v>70</v>
      </c>
      <c r="AA62" s="69" t="s">
        <v>70</v>
      </c>
      <c r="AB62" s="69" t="s">
        <v>70</v>
      </c>
      <c r="AC62" s="69" t="s">
        <v>70</v>
      </c>
      <c r="AD62" s="69">
        <v>1</v>
      </c>
      <c r="AE62" s="69">
        <v>1</v>
      </c>
      <c r="AF62" s="69">
        <v>1</v>
      </c>
      <c r="AG62" s="69">
        <v>0</v>
      </c>
      <c r="AH62" s="69">
        <v>0</v>
      </c>
      <c r="AI62" s="69">
        <v>0</v>
      </c>
      <c r="AJ62" s="25" t="s">
        <v>33</v>
      </c>
      <c r="AL62" t="str">
        <f t="shared" si="0"/>
        <v xml:space="preserve">    (U1)ALERT_REQ_UNKNOWN</v>
      </c>
      <c r="AR62" s="70" t="str">
        <f t="shared" si="3"/>
        <v xml:space="preserve">    (U4)0x00000038U,                                                           /* 56 UNKNOWN                                         */</v>
      </c>
      <c r="AS62" s="70" t="str">
        <f t="shared" si="4"/>
        <v xml:space="preserve">    (U4)0x0000003FU,                                                           /* 56 UNKNOWN                                         */</v>
      </c>
      <c r="AT62" s="70" t="str">
        <f t="shared" si="1"/>
        <v xml:space="preserve">    (U1)ALERT_REQ_UNKNOWN,                                                     /* 56 UNKNOWN                                         */</v>
      </c>
    </row>
    <row r="63" spans="2:46">
      <c r="B63" s="139"/>
      <c r="C63" s="55">
        <f t="shared" si="2"/>
        <v>57</v>
      </c>
      <c r="D63" s="69" t="s">
        <v>70</v>
      </c>
      <c r="E63" s="69" t="s">
        <v>70</v>
      </c>
      <c r="F63" s="69" t="s">
        <v>70</v>
      </c>
      <c r="G63" s="69" t="s">
        <v>70</v>
      </c>
      <c r="H63" s="69" t="s">
        <v>70</v>
      </c>
      <c r="I63" s="69" t="s">
        <v>70</v>
      </c>
      <c r="J63" s="69" t="s">
        <v>70</v>
      </c>
      <c r="K63" s="69" t="s">
        <v>70</v>
      </c>
      <c r="L63" s="69" t="s">
        <v>70</v>
      </c>
      <c r="M63" s="69" t="s">
        <v>70</v>
      </c>
      <c r="N63" s="69" t="s">
        <v>70</v>
      </c>
      <c r="O63" s="69" t="s">
        <v>70</v>
      </c>
      <c r="P63" s="69" t="s">
        <v>70</v>
      </c>
      <c r="Q63" s="69" t="s">
        <v>70</v>
      </c>
      <c r="R63" s="69" t="s">
        <v>70</v>
      </c>
      <c r="S63" s="69" t="s">
        <v>70</v>
      </c>
      <c r="T63" s="69" t="s">
        <v>70</v>
      </c>
      <c r="U63" s="69" t="s">
        <v>70</v>
      </c>
      <c r="V63" s="69" t="s">
        <v>70</v>
      </c>
      <c r="W63" s="69" t="s">
        <v>70</v>
      </c>
      <c r="X63" s="69" t="s">
        <v>70</v>
      </c>
      <c r="Y63" s="69" t="s">
        <v>70</v>
      </c>
      <c r="Z63" s="69" t="s">
        <v>70</v>
      </c>
      <c r="AA63" s="69" t="s">
        <v>70</v>
      </c>
      <c r="AB63" s="69" t="s">
        <v>70</v>
      </c>
      <c r="AC63" s="69" t="s">
        <v>70</v>
      </c>
      <c r="AD63" s="69">
        <v>1</v>
      </c>
      <c r="AE63" s="69">
        <v>1</v>
      </c>
      <c r="AF63" s="69">
        <v>1</v>
      </c>
      <c r="AG63" s="69">
        <v>0</v>
      </c>
      <c r="AH63" s="69">
        <v>0</v>
      </c>
      <c r="AI63" s="69">
        <v>1</v>
      </c>
      <c r="AJ63" s="25" t="s">
        <v>33</v>
      </c>
      <c r="AL63" t="str">
        <f t="shared" si="0"/>
        <v xml:space="preserve">    (U1)ALERT_REQ_UNKNOWN</v>
      </c>
      <c r="AR63" s="70" t="str">
        <f t="shared" si="3"/>
        <v xml:space="preserve">    (U4)0x00000039U,                                                           /* 57 UNKNOWN                                         */</v>
      </c>
      <c r="AS63" s="70" t="str">
        <f t="shared" si="4"/>
        <v xml:space="preserve">    (U4)0x0000003FU,                                                           /* 57 UNKNOWN                                         */</v>
      </c>
      <c r="AT63" s="70" t="str">
        <f t="shared" si="1"/>
        <v xml:space="preserve">    (U1)ALERT_REQ_UNKNOWN,                                                     /* 57 UNKNOWN                                         */</v>
      </c>
    </row>
    <row r="64" spans="2:46">
      <c r="B64" s="139"/>
      <c r="C64" s="55">
        <f t="shared" si="2"/>
        <v>58</v>
      </c>
      <c r="D64" s="69" t="s">
        <v>70</v>
      </c>
      <c r="E64" s="69" t="s">
        <v>70</v>
      </c>
      <c r="F64" s="69" t="s">
        <v>70</v>
      </c>
      <c r="G64" s="69" t="s">
        <v>70</v>
      </c>
      <c r="H64" s="69" t="s">
        <v>70</v>
      </c>
      <c r="I64" s="69" t="s">
        <v>70</v>
      </c>
      <c r="J64" s="69" t="s">
        <v>70</v>
      </c>
      <c r="K64" s="69" t="s">
        <v>70</v>
      </c>
      <c r="L64" s="69" t="s">
        <v>70</v>
      </c>
      <c r="M64" s="69" t="s">
        <v>70</v>
      </c>
      <c r="N64" s="69" t="s">
        <v>70</v>
      </c>
      <c r="O64" s="69" t="s">
        <v>70</v>
      </c>
      <c r="P64" s="69" t="s">
        <v>70</v>
      </c>
      <c r="Q64" s="69" t="s">
        <v>70</v>
      </c>
      <c r="R64" s="69" t="s">
        <v>70</v>
      </c>
      <c r="S64" s="69" t="s">
        <v>70</v>
      </c>
      <c r="T64" s="69" t="s">
        <v>70</v>
      </c>
      <c r="U64" s="69" t="s">
        <v>70</v>
      </c>
      <c r="V64" s="69" t="s">
        <v>70</v>
      </c>
      <c r="W64" s="69" t="s">
        <v>70</v>
      </c>
      <c r="X64" s="69" t="s">
        <v>70</v>
      </c>
      <c r="Y64" s="69" t="s">
        <v>70</v>
      </c>
      <c r="Z64" s="69" t="s">
        <v>70</v>
      </c>
      <c r="AA64" s="69" t="s">
        <v>70</v>
      </c>
      <c r="AB64" s="69" t="s">
        <v>70</v>
      </c>
      <c r="AC64" s="69" t="s">
        <v>70</v>
      </c>
      <c r="AD64" s="69">
        <v>1</v>
      </c>
      <c r="AE64" s="69">
        <v>1</v>
      </c>
      <c r="AF64" s="69">
        <v>1</v>
      </c>
      <c r="AG64" s="69">
        <v>0</v>
      </c>
      <c r="AH64" s="69">
        <v>1</v>
      </c>
      <c r="AI64" s="69">
        <v>0</v>
      </c>
      <c r="AJ64" s="25" t="s">
        <v>33</v>
      </c>
      <c r="AL64" t="str">
        <f t="shared" si="0"/>
        <v xml:space="preserve">    (U1)ALERT_REQ_UNKNOWN</v>
      </c>
      <c r="AR64" s="70" t="str">
        <f t="shared" si="3"/>
        <v xml:space="preserve">    (U4)0x0000003AU,                                                           /* 58 UNKNOWN                                         */</v>
      </c>
      <c r="AS64" s="70" t="str">
        <f t="shared" si="4"/>
        <v xml:space="preserve">    (U4)0x0000003FU,                                                           /* 58 UNKNOWN                                         */</v>
      </c>
      <c r="AT64" s="70" t="str">
        <f t="shared" si="1"/>
        <v xml:space="preserve">    (U1)ALERT_REQ_UNKNOWN,                                                     /* 58 UNKNOWN                                         */</v>
      </c>
    </row>
    <row r="65" spans="1:46">
      <c r="B65" s="139"/>
      <c r="C65" s="55">
        <f t="shared" si="2"/>
        <v>59</v>
      </c>
      <c r="D65" s="69" t="s">
        <v>70</v>
      </c>
      <c r="E65" s="69" t="s">
        <v>70</v>
      </c>
      <c r="F65" s="69" t="s">
        <v>70</v>
      </c>
      <c r="G65" s="69" t="s">
        <v>70</v>
      </c>
      <c r="H65" s="69" t="s">
        <v>70</v>
      </c>
      <c r="I65" s="69" t="s">
        <v>70</v>
      </c>
      <c r="J65" s="69" t="s">
        <v>70</v>
      </c>
      <c r="K65" s="69" t="s">
        <v>70</v>
      </c>
      <c r="L65" s="69" t="s">
        <v>70</v>
      </c>
      <c r="M65" s="69" t="s">
        <v>70</v>
      </c>
      <c r="N65" s="69" t="s">
        <v>70</v>
      </c>
      <c r="O65" s="69" t="s">
        <v>70</v>
      </c>
      <c r="P65" s="69" t="s">
        <v>70</v>
      </c>
      <c r="Q65" s="69" t="s">
        <v>70</v>
      </c>
      <c r="R65" s="69" t="s">
        <v>70</v>
      </c>
      <c r="S65" s="69" t="s">
        <v>70</v>
      </c>
      <c r="T65" s="69" t="s">
        <v>70</v>
      </c>
      <c r="U65" s="69" t="s">
        <v>70</v>
      </c>
      <c r="V65" s="69" t="s">
        <v>70</v>
      </c>
      <c r="W65" s="69" t="s">
        <v>70</v>
      </c>
      <c r="X65" s="69" t="s">
        <v>70</v>
      </c>
      <c r="Y65" s="69" t="s">
        <v>70</v>
      </c>
      <c r="Z65" s="69" t="s">
        <v>70</v>
      </c>
      <c r="AA65" s="69" t="s">
        <v>70</v>
      </c>
      <c r="AB65" s="69" t="s">
        <v>70</v>
      </c>
      <c r="AC65" s="69" t="s">
        <v>70</v>
      </c>
      <c r="AD65" s="69">
        <v>1</v>
      </c>
      <c r="AE65" s="69">
        <v>1</v>
      </c>
      <c r="AF65" s="69">
        <v>1</v>
      </c>
      <c r="AG65" s="69">
        <v>0</v>
      </c>
      <c r="AH65" s="69">
        <v>1</v>
      </c>
      <c r="AI65" s="69">
        <v>1</v>
      </c>
      <c r="AJ65" s="25" t="s">
        <v>33</v>
      </c>
      <c r="AL65" t="str">
        <f t="shared" si="0"/>
        <v xml:space="preserve">    (U1)ALERT_REQ_UNKNOWN</v>
      </c>
      <c r="AR65" s="70" t="str">
        <f t="shared" si="3"/>
        <v xml:space="preserve">    (U4)0x0000003BU,                                                           /* 59 UNKNOWN                                         */</v>
      </c>
      <c r="AS65" s="70" t="str">
        <f t="shared" si="4"/>
        <v xml:space="preserve">    (U4)0x0000003FU,                                                           /* 59 UNKNOWN                                         */</v>
      </c>
      <c r="AT65" s="70" t="str">
        <f t="shared" si="1"/>
        <v xml:space="preserve">    (U1)ALERT_REQ_UNKNOWN,                                                     /* 59 UNKNOWN                                         */</v>
      </c>
    </row>
    <row r="66" spans="1:46">
      <c r="B66" s="139"/>
      <c r="C66" s="55">
        <f t="shared" si="2"/>
        <v>60</v>
      </c>
      <c r="D66" s="69" t="s">
        <v>70</v>
      </c>
      <c r="E66" s="69" t="s">
        <v>70</v>
      </c>
      <c r="F66" s="69" t="s">
        <v>70</v>
      </c>
      <c r="G66" s="69" t="s">
        <v>70</v>
      </c>
      <c r="H66" s="69" t="s">
        <v>70</v>
      </c>
      <c r="I66" s="69" t="s">
        <v>70</v>
      </c>
      <c r="J66" s="69" t="s">
        <v>70</v>
      </c>
      <c r="K66" s="69" t="s">
        <v>70</v>
      </c>
      <c r="L66" s="69" t="s">
        <v>70</v>
      </c>
      <c r="M66" s="69" t="s">
        <v>70</v>
      </c>
      <c r="N66" s="69" t="s">
        <v>70</v>
      </c>
      <c r="O66" s="69" t="s">
        <v>70</v>
      </c>
      <c r="P66" s="69" t="s">
        <v>70</v>
      </c>
      <c r="Q66" s="69" t="s">
        <v>70</v>
      </c>
      <c r="R66" s="69" t="s">
        <v>70</v>
      </c>
      <c r="S66" s="69" t="s">
        <v>70</v>
      </c>
      <c r="T66" s="69" t="s">
        <v>70</v>
      </c>
      <c r="U66" s="69" t="s">
        <v>70</v>
      </c>
      <c r="V66" s="69" t="s">
        <v>70</v>
      </c>
      <c r="W66" s="69" t="s">
        <v>70</v>
      </c>
      <c r="X66" s="69" t="s">
        <v>70</v>
      </c>
      <c r="Y66" s="69" t="s">
        <v>70</v>
      </c>
      <c r="Z66" s="69" t="s">
        <v>70</v>
      </c>
      <c r="AA66" s="69" t="s">
        <v>70</v>
      </c>
      <c r="AB66" s="69" t="s">
        <v>70</v>
      </c>
      <c r="AC66" s="69" t="s">
        <v>70</v>
      </c>
      <c r="AD66" s="69">
        <v>1</v>
      </c>
      <c r="AE66" s="69">
        <v>1</v>
      </c>
      <c r="AF66" s="69">
        <v>1</v>
      </c>
      <c r="AG66" s="69">
        <v>1</v>
      </c>
      <c r="AH66" s="69">
        <v>0</v>
      </c>
      <c r="AI66" s="69">
        <v>0</v>
      </c>
      <c r="AJ66" s="25" t="s">
        <v>33</v>
      </c>
      <c r="AL66"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39"/>
      <c r="C67" s="55">
        <f t="shared" si="2"/>
        <v>61</v>
      </c>
      <c r="D67" s="69" t="s">
        <v>70</v>
      </c>
      <c r="E67" s="69" t="s">
        <v>70</v>
      </c>
      <c r="F67" s="69" t="s">
        <v>70</v>
      </c>
      <c r="G67" s="69" t="s">
        <v>70</v>
      </c>
      <c r="H67" s="69" t="s">
        <v>70</v>
      </c>
      <c r="I67" s="69" t="s">
        <v>70</v>
      </c>
      <c r="J67" s="69" t="s">
        <v>70</v>
      </c>
      <c r="K67" s="69" t="s">
        <v>70</v>
      </c>
      <c r="L67" s="69" t="s">
        <v>70</v>
      </c>
      <c r="M67" s="69" t="s">
        <v>70</v>
      </c>
      <c r="N67" s="69" t="s">
        <v>70</v>
      </c>
      <c r="O67" s="69" t="s">
        <v>70</v>
      </c>
      <c r="P67" s="69" t="s">
        <v>70</v>
      </c>
      <c r="Q67" s="69" t="s">
        <v>70</v>
      </c>
      <c r="R67" s="69" t="s">
        <v>70</v>
      </c>
      <c r="S67" s="69" t="s">
        <v>70</v>
      </c>
      <c r="T67" s="69" t="s">
        <v>70</v>
      </c>
      <c r="U67" s="69" t="s">
        <v>70</v>
      </c>
      <c r="V67" s="69" t="s">
        <v>70</v>
      </c>
      <c r="W67" s="69" t="s">
        <v>70</v>
      </c>
      <c r="X67" s="69" t="s">
        <v>70</v>
      </c>
      <c r="Y67" s="69" t="s">
        <v>70</v>
      </c>
      <c r="Z67" s="69" t="s">
        <v>70</v>
      </c>
      <c r="AA67" s="69" t="s">
        <v>70</v>
      </c>
      <c r="AB67" s="69" t="s">
        <v>70</v>
      </c>
      <c r="AC67" s="69" t="s">
        <v>70</v>
      </c>
      <c r="AD67" s="69">
        <v>1</v>
      </c>
      <c r="AE67" s="69">
        <v>1</v>
      </c>
      <c r="AF67" s="69">
        <v>1</v>
      </c>
      <c r="AG67" s="69">
        <v>1</v>
      </c>
      <c r="AH67" s="69">
        <v>0</v>
      </c>
      <c r="AI67" s="69">
        <v>1</v>
      </c>
      <c r="AJ67" s="25" t="s">
        <v>33</v>
      </c>
      <c r="AL67" t="str">
        <f t="shared" si="0"/>
        <v xml:space="preserve">    (U1)ALERT_REQ_UNKNOWN</v>
      </c>
      <c r="AR67" s="70" t="str">
        <f t="shared" si="3"/>
        <v xml:space="preserve">    (U4)0x0000003DU,                                                           /* 61 UNKNOWN                                         */</v>
      </c>
      <c r="AS67" s="70" t="str">
        <f t="shared" si="4"/>
        <v xml:space="preserve">    (U4)0x0000003FU,                                                           /* 61 UNKNOWN                                         */</v>
      </c>
      <c r="AT67" s="70" t="str">
        <f t="shared" si="1"/>
        <v xml:space="preserve">    (U1)ALERT_REQ_UNKNOWN,                                                     /* 61 UNKNOWN                                         */</v>
      </c>
    </row>
    <row r="68" spans="1:46">
      <c r="B68" s="139"/>
      <c r="C68" s="55">
        <f t="shared" si="2"/>
        <v>62</v>
      </c>
      <c r="D68" s="69" t="s">
        <v>70</v>
      </c>
      <c r="E68" s="69" t="s">
        <v>70</v>
      </c>
      <c r="F68" s="69" t="s">
        <v>70</v>
      </c>
      <c r="G68" s="69" t="s">
        <v>70</v>
      </c>
      <c r="H68" s="69" t="s">
        <v>70</v>
      </c>
      <c r="I68" s="69" t="s">
        <v>70</v>
      </c>
      <c r="J68" s="69" t="s">
        <v>70</v>
      </c>
      <c r="K68" s="69" t="s">
        <v>70</v>
      </c>
      <c r="L68" s="69" t="s">
        <v>70</v>
      </c>
      <c r="M68" s="69" t="s">
        <v>70</v>
      </c>
      <c r="N68" s="69" t="s">
        <v>70</v>
      </c>
      <c r="O68" s="69" t="s">
        <v>70</v>
      </c>
      <c r="P68" s="69" t="s">
        <v>70</v>
      </c>
      <c r="Q68" s="69" t="s">
        <v>70</v>
      </c>
      <c r="R68" s="69" t="s">
        <v>70</v>
      </c>
      <c r="S68" s="69" t="s">
        <v>70</v>
      </c>
      <c r="T68" s="69" t="s">
        <v>70</v>
      </c>
      <c r="U68" s="69" t="s">
        <v>70</v>
      </c>
      <c r="V68" s="69" t="s">
        <v>70</v>
      </c>
      <c r="W68" s="69" t="s">
        <v>70</v>
      </c>
      <c r="X68" s="69" t="s">
        <v>70</v>
      </c>
      <c r="Y68" s="69" t="s">
        <v>70</v>
      </c>
      <c r="Z68" s="69" t="s">
        <v>70</v>
      </c>
      <c r="AA68" s="69" t="s">
        <v>70</v>
      </c>
      <c r="AB68" s="69" t="s">
        <v>70</v>
      </c>
      <c r="AC68" s="69" t="s">
        <v>70</v>
      </c>
      <c r="AD68" s="69">
        <v>1</v>
      </c>
      <c r="AE68" s="69">
        <v>1</v>
      </c>
      <c r="AF68" s="69">
        <v>1</v>
      </c>
      <c r="AG68" s="69">
        <v>1</v>
      </c>
      <c r="AH68" s="69">
        <v>1</v>
      </c>
      <c r="AI68" s="69">
        <v>0</v>
      </c>
      <c r="AJ68" s="25" t="s">
        <v>33</v>
      </c>
      <c r="AL68" t="str">
        <f t="shared" si="0"/>
        <v xml:space="preserve">    (U1)ALERT_REQ_UNKNOWN</v>
      </c>
      <c r="AR68" s="70" t="str">
        <f t="shared" si="3"/>
        <v xml:space="preserve">    (U4)0x0000003EU,                                                           /* 62 UNKNOWN                                         */</v>
      </c>
      <c r="AS68" s="70" t="str">
        <f t="shared" si="4"/>
        <v xml:space="preserve">    (U4)0x0000003FU,                                                           /* 62 UNKNOWN                                         */</v>
      </c>
      <c r="AT68" s="70" t="str">
        <f t="shared" si="1"/>
        <v xml:space="preserve">    (U1)ALERT_REQ_UNKNOWN,                                                     /* 62 UNKNOWN                                         */</v>
      </c>
    </row>
    <row r="69" spans="1:46">
      <c r="B69" s="140"/>
      <c r="C69" s="55">
        <f t="shared" si="2"/>
        <v>63</v>
      </c>
      <c r="D69" s="69" t="s">
        <v>70</v>
      </c>
      <c r="E69" s="69" t="s">
        <v>70</v>
      </c>
      <c r="F69" s="69" t="s">
        <v>70</v>
      </c>
      <c r="G69" s="69" t="s">
        <v>70</v>
      </c>
      <c r="H69" s="69" t="s">
        <v>70</v>
      </c>
      <c r="I69" s="69" t="s">
        <v>70</v>
      </c>
      <c r="J69" s="69" t="s">
        <v>70</v>
      </c>
      <c r="K69" s="69" t="s">
        <v>70</v>
      </c>
      <c r="L69" s="69" t="s">
        <v>70</v>
      </c>
      <c r="M69" s="69" t="s">
        <v>70</v>
      </c>
      <c r="N69" s="69" t="s">
        <v>70</v>
      </c>
      <c r="O69" s="69" t="s">
        <v>70</v>
      </c>
      <c r="P69" s="69" t="s">
        <v>70</v>
      </c>
      <c r="Q69" s="69" t="s">
        <v>70</v>
      </c>
      <c r="R69" s="69" t="s">
        <v>70</v>
      </c>
      <c r="S69" s="69" t="s">
        <v>70</v>
      </c>
      <c r="T69" s="69" t="s">
        <v>70</v>
      </c>
      <c r="U69" s="69" t="s">
        <v>70</v>
      </c>
      <c r="V69" s="69" t="s">
        <v>70</v>
      </c>
      <c r="W69" s="69" t="s">
        <v>70</v>
      </c>
      <c r="X69" s="69" t="s">
        <v>70</v>
      </c>
      <c r="Y69" s="69" t="s">
        <v>70</v>
      </c>
      <c r="Z69" s="69" t="s">
        <v>70</v>
      </c>
      <c r="AA69" s="69" t="s">
        <v>70</v>
      </c>
      <c r="AB69" s="69" t="s">
        <v>70</v>
      </c>
      <c r="AC69" s="69" t="s">
        <v>70</v>
      </c>
      <c r="AD69" s="69">
        <v>1</v>
      </c>
      <c r="AE69" s="69">
        <v>1</v>
      </c>
      <c r="AF69" s="69">
        <v>1</v>
      </c>
      <c r="AG69" s="69">
        <v>1</v>
      </c>
      <c r="AH69" s="69">
        <v>1</v>
      </c>
      <c r="AI69" s="69">
        <v>1</v>
      </c>
      <c r="AJ69" s="25" t="s">
        <v>33</v>
      </c>
      <c r="AL69"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4.25" thickBot="1">
      <c r="A70" s="64" t="s">
        <v>67</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1" t="str">
        <f t="shared" si="3"/>
        <v>};</v>
      </c>
      <c r="AS70" s="71" t="str">
        <f t="shared" si="4"/>
        <v>};</v>
      </c>
      <c r="AT70" s="71" t="str">
        <f t="shared" ref="AT70" si="5">IF(AJ70&lt;&gt;"",AL70&amp;IF(AJ71&lt;&gt;"",","," ")&amp;REPT(" ",78-LEN(AL70))&amp;"/* "&amp;IF(C70&lt;10,"0"&amp;C70,C70)&amp;" "&amp;AJ70&amp;REPT(" ",48-LEN(AJ70))&amp;"*/",IF(AJ69&lt;&gt;"","};",""))</f>
        <v>};</v>
      </c>
    </row>
    <row r="71" spans="1:46">
      <c r="B71" s="141" t="str">
        <f ca="1">IF(B6&lt;&gt;"",B6,"")</f>
        <v>Table PD_MG</v>
      </c>
      <c r="C71" s="55">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55" t="str">
        <f t="shared" ref="AJ71:AJ134" si="7">IF(AJ6&lt;&gt;"",AJ6,"")</f>
        <v>UNKNOWN</v>
      </c>
      <c r="AK71" s="68"/>
      <c r="AL71" s="68"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55">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55" t="str">
        <f t="shared" si="7"/>
        <v>CANCEL</v>
      </c>
      <c r="AK72" s="68"/>
      <c r="AL72" s="68"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CANCEL                                          */</v>
      </c>
    </row>
    <row r="73" spans="1:46">
      <c r="B73" s="139"/>
      <c r="C73" s="55">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55" t="str">
        <f t="shared" si="7"/>
        <v>UNKNOWN</v>
      </c>
      <c r="AK73" s="68"/>
      <c r="AL73" s="68" t="str">
        <f t="shared" si="10"/>
        <v>02</v>
      </c>
      <c r="AM73" s="68" t="str">
        <f t="shared" si="11"/>
        <v>00</v>
      </c>
      <c r="AN73" s="68" t="str">
        <f t="shared" si="12"/>
        <v>00</v>
      </c>
      <c r="AO73" s="68" t="str">
        <f t="shared" si="13"/>
        <v>00</v>
      </c>
      <c r="AQ73" t="str">
        <f t="shared" si="8"/>
        <v xml:space="preserve">    (U4)0x00000002U,                                                           /* 02 UNKNOWN                                         */</v>
      </c>
    </row>
    <row r="74" spans="1:46">
      <c r="B74" s="139"/>
      <c r="C74" s="55">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55" t="str">
        <f t="shared" si="7"/>
        <v>UNKNOWN</v>
      </c>
      <c r="AK74" s="68"/>
      <c r="AL74" s="68" t="str">
        <f t="shared" si="10"/>
        <v>03</v>
      </c>
      <c r="AM74" s="68" t="str">
        <f t="shared" si="11"/>
        <v>00</v>
      </c>
      <c r="AN74" s="68" t="str">
        <f t="shared" si="12"/>
        <v>00</v>
      </c>
      <c r="AO74" s="68" t="str">
        <f t="shared" si="13"/>
        <v>00</v>
      </c>
      <c r="AQ74" t="str">
        <f t="shared" si="8"/>
        <v xml:space="preserve">    (U4)0x00000003U,                                                           /* 03 UNKNOWN                                         */</v>
      </c>
    </row>
    <row r="75" spans="1:46">
      <c r="B75" s="139"/>
      <c r="C75" s="55">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1</v>
      </c>
      <c r="AH75" s="133">
        <f t="shared" si="6"/>
        <v>0</v>
      </c>
      <c r="AI75" s="133">
        <f t="shared" si="6"/>
        <v>0</v>
      </c>
      <c r="AJ75" s="55" t="str">
        <f t="shared" si="7"/>
        <v>UNAVLBL1</v>
      </c>
      <c r="AK75" s="68"/>
      <c r="AL75" s="68" t="str">
        <f t="shared" si="10"/>
        <v>04</v>
      </c>
      <c r="AM75" s="68" t="str">
        <f t="shared" si="11"/>
        <v>00</v>
      </c>
      <c r="AN75" s="68" t="str">
        <f t="shared" si="12"/>
        <v>00</v>
      </c>
      <c r="AO75" s="68" t="str">
        <f t="shared" si="13"/>
        <v>00</v>
      </c>
      <c r="AQ75" t="str">
        <f t="shared" si="8"/>
        <v xml:space="preserve">    (U4)0x00000004U,                                                           /* 04 UNAVLBL1                                        */</v>
      </c>
    </row>
    <row r="76" spans="1:46">
      <c r="B76" s="139"/>
      <c r="C76" s="55">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1</v>
      </c>
      <c r="AH76" s="133">
        <f t="shared" si="6"/>
        <v>0</v>
      </c>
      <c r="AI76" s="133">
        <f t="shared" si="6"/>
        <v>1</v>
      </c>
      <c r="AJ76" s="55" t="str">
        <f t="shared" si="7"/>
        <v>UNAVLBL2</v>
      </c>
      <c r="AK76" s="68"/>
      <c r="AL76" s="68" t="str">
        <f t="shared" si="10"/>
        <v>05</v>
      </c>
      <c r="AM76" s="68" t="str">
        <f t="shared" si="11"/>
        <v>00</v>
      </c>
      <c r="AN76" s="68" t="str">
        <f t="shared" si="12"/>
        <v>00</v>
      </c>
      <c r="AO76" s="68" t="str">
        <f t="shared" si="13"/>
        <v>00</v>
      </c>
      <c r="AQ76" t="str">
        <f t="shared" si="8"/>
        <v xml:space="preserve">    (U4)0x00000005U,                                                           /* 05 UNAVLBL2                                        */</v>
      </c>
    </row>
    <row r="77" spans="1:46">
      <c r="B77" s="139"/>
      <c r="C77" s="55">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1</v>
      </c>
      <c r="AH77" s="133">
        <f t="shared" si="6"/>
        <v>1</v>
      </c>
      <c r="AI77" s="133">
        <f t="shared" si="6"/>
        <v>0</v>
      </c>
      <c r="AJ77" s="55" t="str">
        <f t="shared" si="7"/>
        <v>UNAVLBL3</v>
      </c>
      <c r="AK77" s="68"/>
      <c r="AL77" s="68" t="str">
        <f t="shared" si="10"/>
        <v>06</v>
      </c>
      <c r="AM77" s="68" t="str">
        <f t="shared" si="11"/>
        <v>00</v>
      </c>
      <c r="AN77" s="68" t="str">
        <f t="shared" si="12"/>
        <v>00</v>
      </c>
      <c r="AO77" s="68" t="str">
        <f t="shared" si="13"/>
        <v>00</v>
      </c>
      <c r="AQ77" t="str">
        <f t="shared" si="8"/>
        <v xml:space="preserve">    (U4)0x00000006U,                                                           /* 06 UNAVLBL3                                        */</v>
      </c>
    </row>
    <row r="78" spans="1:46">
      <c r="B78" s="139"/>
      <c r="C78" s="55">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1</v>
      </c>
      <c r="AH78" s="133">
        <f t="shared" si="6"/>
        <v>1</v>
      </c>
      <c r="AI78" s="133">
        <f t="shared" ref="AI78" si="14">IF(AI13=1,1,0)</f>
        <v>1</v>
      </c>
      <c r="AJ78" s="55" t="str">
        <f t="shared" si="7"/>
        <v>UNKNOWN</v>
      </c>
      <c r="AK78" s="68"/>
      <c r="AL78" s="68" t="str">
        <f t="shared" si="10"/>
        <v>07</v>
      </c>
      <c r="AM78" s="68" t="str">
        <f t="shared" si="11"/>
        <v>00</v>
      </c>
      <c r="AN78" s="68" t="str">
        <f t="shared" si="12"/>
        <v>00</v>
      </c>
      <c r="AO78" s="68" t="str">
        <f t="shared" si="13"/>
        <v>00</v>
      </c>
      <c r="AQ78" t="str">
        <f t="shared" si="8"/>
        <v xml:space="preserve">    (U4)0x00000007U,                                                           /* 07 UNKNOWN                                         */</v>
      </c>
    </row>
    <row r="79" spans="1:46">
      <c r="B79" s="139"/>
      <c r="C79" s="55">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1</v>
      </c>
      <c r="AG79" s="133">
        <f t="shared" si="15"/>
        <v>0</v>
      </c>
      <c r="AH79" s="133">
        <f t="shared" si="15"/>
        <v>0</v>
      </c>
      <c r="AI79" s="133">
        <f t="shared" si="15"/>
        <v>0</v>
      </c>
      <c r="AJ79" s="55" t="str">
        <f t="shared" si="7"/>
        <v>NTHOLD</v>
      </c>
      <c r="AK79" s="68"/>
      <c r="AL79" s="68" t="str">
        <f t="shared" si="10"/>
        <v>08</v>
      </c>
      <c r="AM79" s="68" t="str">
        <f t="shared" si="11"/>
        <v>00</v>
      </c>
      <c r="AN79" s="68" t="str">
        <f t="shared" si="12"/>
        <v>00</v>
      </c>
      <c r="AO79" s="68" t="str">
        <f t="shared" si="13"/>
        <v>00</v>
      </c>
      <c r="AQ79" t="str">
        <f t="shared" si="8"/>
        <v xml:space="preserve">    (U4)0x00000008U,                                                           /* 08 NTHOLD                                          */</v>
      </c>
    </row>
    <row r="80" spans="1:46">
      <c r="B80" s="139"/>
      <c r="C80" s="55">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1</v>
      </c>
      <c r="AG80" s="133">
        <f t="shared" si="15"/>
        <v>0</v>
      </c>
      <c r="AH80" s="133">
        <f t="shared" si="15"/>
        <v>0</v>
      </c>
      <c r="AI80" s="133">
        <f t="shared" si="15"/>
        <v>1</v>
      </c>
      <c r="AJ80" s="55" t="str">
        <f t="shared" si="7"/>
        <v>AVAIL</v>
      </c>
      <c r="AK80" s="68"/>
      <c r="AL80" s="68" t="str">
        <f t="shared" si="10"/>
        <v>09</v>
      </c>
      <c r="AM80" s="68" t="str">
        <f t="shared" si="11"/>
        <v>00</v>
      </c>
      <c r="AN80" s="68" t="str">
        <f t="shared" si="12"/>
        <v>00</v>
      </c>
      <c r="AO80" s="68" t="str">
        <f t="shared" si="13"/>
        <v>00</v>
      </c>
      <c r="AQ80" t="str">
        <f t="shared" si="8"/>
        <v xml:space="preserve">    (U4)0x00000009U,                                                           /* 09 AVAIL                                           */</v>
      </c>
    </row>
    <row r="81" spans="2:43">
      <c r="B81" s="139"/>
      <c r="C81" s="55">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1</v>
      </c>
      <c r="AG81" s="133">
        <f t="shared" si="15"/>
        <v>0</v>
      </c>
      <c r="AH81" s="133">
        <f t="shared" si="15"/>
        <v>1</v>
      </c>
      <c r="AI81" s="133">
        <f t="shared" si="15"/>
        <v>0</v>
      </c>
      <c r="AJ81" s="55" t="str">
        <f t="shared" si="7"/>
        <v>UNKNOWN</v>
      </c>
      <c r="AK81" s="68"/>
      <c r="AL81" s="68" t="str">
        <f t="shared" si="10"/>
        <v>0A</v>
      </c>
      <c r="AM81" s="68" t="str">
        <f t="shared" si="11"/>
        <v>00</v>
      </c>
      <c r="AN81" s="68" t="str">
        <f t="shared" si="12"/>
        <v>00</v>
      </c>
      <c r="AO81" s="68" t="str">
        <f t="shared" si="13"/>
        <v>00</v>
      </c>
      <c r="AQ81" t="str">
        <f t="shared" si="8"/>
        <v xml:space="preserve">    (U4)0x0000000AU,                                                           /* 10 UNKNOWN                                         */</v>
      </c>
    </row>
    <row r="82" spans="2:43">
      <c r="B82" s="139"/>
      <c r="C82" s="55">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1</v>
      </c>
      <c r="AG82" s="133">
        <f t="shared" si="15"/>
        <v>0</v>
      </c>
      <c r="AH82" s="133">
        <f t="shared" si="15"/>
        <v>1</v>
      </c>
      <c r="AI82" s="133">
        <f t="shared" si="15"/>
        <v>1</v>
      </c>
      <c r="AJ82" s="55" t="str">
        <f t="shared" si="7"/>
        <v>UNKNOWN</v>
      </c>
      <c r="AK82" s="68"/>
      <c r="AL82" s="68" t="str">
        <f t="shared" si="10"/>
        <v>0B</v>
      </c>
      <c r="AM82" s="68" t="str">
        <f t="shared" si="11"/>
        <v>00</v>
      </c>
      <c r="AN82" s="68" t="str">
        <f t="shared" si="12"/>
        <v>00</v>
      </c>
      <c r="AO82" s="68" t="str">
        <f t="shared" si="13"/>
        <v>00</v>
      </c>
      <c r="AQ82" t="str">
        <f t="shared" si="8"/>
        <v xml:space="preserve">    (U4)0x0000000BU,                                                           /* 11 UNKNOWN                                         */</v>
      </c>
    </row>
    <row r="83" spans="2:43">
      <c r="B83" s="139"/>
      <c r="C83" s="55">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1</v>
      </c>
      <c r="AG83" s="133">
        <f t="shared" si="15"/>
        <v>1</v>
      </c>
      <c r="AH83" s="133">
        <f t="shared" si="15"/>
        <v>0</v>
      </c>
      <c r="AI83" s="133">
        <f t="shared" si="15"/>
        <v>0</v>
      </c>
      <c r="AJ83" s="55" t="str">
        <f t="shared" si="7"/>
        <v>UNKNOWN</v>
      </c>
      <c r="AK83" s="68"/>
      <c r="AL83" s="68" t="str">
        <f t="shared" si="10"/>
        <v>0C</v>
      </c>
      <c r="AM83" s="68" t="str">
        <f t="shared" si="11"/>
        <v>00</v>
      </c>
      <c r="AN83" s="68" t="str">
        <f t="shared" si="12"/>
        <v>00</v>
      </c>
      <c r="AO83" s="68" t="str">
        <f t="shared" si="13"/>
        <v>00</v>
      </c>
      <c r="AQ83" t="str">
        <f t="shared" si="8"/>
        <v xml:space="preserve">    (U4)0x0000000CU,                                                           /* 12 UNKNOWN                                         */</v>
      </c>
    </row>
    <row r="84" spans="2:43">
      <c r="B84" s="139"/>
      <c r="C84" s="55">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1</v>
      </c>
      <c r="AG84" s="133">
        <f t="shared" si="15"/>
        <v>1</v>
      </c>
      <c r="AH84" s="133">
        <f t="shared" si="15"/>
        <v>0</v>
      </c>
      <c r="AI84" s="133">
        <f t="shared" si="15"/>
        <v>1</v>
      </c>
      <c r="AJ84" s="55" t="str">
        <f t="shared" si="7"/>
        <v>UNKNOWN</v>
      </c>
      <c r="AK84" s="68"/>
      <c r="AL84" s="68" t="str">
        <f t="shared" si="10"/>
        <v>0D</v>
      </c>
      <c r="AM84" s="68" t="str">
        <f t="shared" si="11"/>
        <v>00</v>
      </c>
      <c r="AN84" s="68" t="str">
        <f t="shared" si="12"/>
        <v>00</v>
      </c>
      <c r="AO84" s="68" t="str">
        <f t="shared" si="13"/>
        <v>00</v>
      </c>
      <c r="AQ84" t="str">
        <f t="shared" si="8"/>
        <v xml:space="preserve">    (U4)0x0000000DU,                                                           /* 13 UNKNOWN                                         */</v>
      </c>
    </row>
    <row r="85" spans="2:43">
      <c r="B85" s="139"/>
      <c r="C85" s="55">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1</v>
      </c>
      <c r="AG85" s="133">
        <f t="shared" si="15"/>
        <v>1</v>
      </c>
      <c r="AH85" s="133">
        <f t="shared" si="15"/>
        <v>1</v>
      </c>
      <c r="AI85" s="133">
        <f t="shared" si="15"/>
        <v>0</v>
      </c>
      <c r="AJ85" s="55" t="str">
        <f t="shared" si="7"/>
        <v>UNKNOWN</v>
      </c>
      <c r="AK85" s="68"/>
      <c r="AL85" s="68" t="str">
        <f t="shared" si="10"/>
        <v>0E</v>
      </c>
      <c r="AM85" s="68" t="str">
        <f t="shared" si="11"/>
        <v>00</v>
      </c>
      <c r="AN85" s="68" t="str">
        <f t="shared" si="12"/>
        <v>00</v>
      </c>
      <c r="AO85" s="68" t="str">
        <f t="shared" si="13"/>
        <v>00</v>
      </c>
      <c r="AQ85" t="str">
        <f t="shared" si="8"/>
        <v xml:space="preserve">    (U4)0x0000000EU,                                                           /* 14 UNKNOWN                                         */</v>
      </c>
    </row>
    <row r="86" spans="2:43">
      <c r="B86" s="139"/>
      <c r="C86" s="55">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1</v>
      </c>
      <c r="AG86" s="133">
        <f t="shared" si="15"/>
        <v>1</v>
      </c>
      <c r="AH86" s="133">
        <f t="shared" si="15"/>
        <v>1</v>
      </c>
      <c r="AI86" s="133">
        <f t="shared" ref="AI86" si="16">IF(AI21=1,1,0)</f>
        <v>1</v>
      </c>
      <c r="AJ86" s="55" t="str">
        <f t="shared" si="7"/>
        <v>UNKNOWN</v>
      </c>
      <c r="AK86" s="68"/>
      <c r="AL86" s="68" t="str">
        <f t="shared" si="10"/>
        <v>0F</v>
      </c>
      <c r="AM86" s="68" t="str">
        <f t="shared" si="11"/>
        <v>00</v>
      </c>
      <c r="AN86" s="68" t="str">
        <f t="shared" si="12"/>
        <v>00</v>
      </c>
      <c r="AO86" s="68" t="str">
        <f t="shared" si="13"/>
        <v>00</v>
      </c>
      <c r="AQ86" t="str">
        <f t="shared" si="8"/>
        <v xml:space="preserve">    (U4)0x0000000FU,                                                           /* 15 UNKNOWN                                         */</v>
      </c>
    </row>
    <row r="87" spans="2:43">
      <c r="B87" s="139"/>
      <c r="C87" s="55">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1</v>
      </c>
      <c r="AF87" s="133">
        <f t="shared" si="17"/>
        <v>0</v>
      </c>
      <c r="AG87" s="133">
        <f t="shared" si="17"/>
        <v>0</v>
      </c>
      <c r="AH87" s="133">
        <f t="shared" si="17"/>
        <v>0</v>
      </c>
      <c r="AI87" s="133">
        <f t="shared" si="17"/>
        <v>0</v>
      </c>
      <c r="AJ87" s="55" t="str">
        <f t="shared" si="7"/>
        <v>UNKNOWN</v>
      </c>
      <c r="AK87" s="68"/>
      <c r="AL87" s="68" t="str">
        <f t="shared" si="10"/>
        <v>10</v>
      </c>
      <c r="AM87" s="68" t="str">
        <f t="shared" si="11"/>
        <v>00</v>
      </c>
      <c r="AN87" s="68" t="str">
        <f t="shared" si="12"/>
        <v>00</v>
      </c>
      <c r="AO87" s="68" t="str">
        <f t="shared" si="13"/>
        <v>00</v>
      </c>
      <c r="AQ87" t="str">
        <f t="shared" si="8"/>
        <v xml:space="preserve">    (U4)0x00000010U,                                                           /* 16 UNKNOWN                                         */</v>
      </c>
    </row>
    <row r="88" spans="2:43">
      <c r="B88" s="139"/>
      <c r="C88" s="55">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1</v>
      </c>
      <c r="AF88" s="133">
        <f t="shared" si="17"/>
        <v>0</v>
      </c>
      <c r="AG88" s="133">
        <f t="shared" si="17"/>
        <v>0</v>
      </c>
      <c r="AH88" s="133">
        <f t="shared" si="17"/>
        <v>0</v>
      </c>
      <c r="AI88" s="133">
        <f t="shared" si="17"/>
        <v>1</v>
      </c>
      <c r="AJ88" s="55" t="str">
        <f t="shared" si="7"/>
        <v>UNKNOWN</v>
      </c>
      <c r="AK88" s="68"/>
      <c r="AL88" s="68" t="str">
        <f t="shared" si="10"/>
        <v>11</v>
      </c>
      <c r="AM88" s="68" t="str">
        <f t="shared" si="11"/>
        <v>00</v>
      </c>
      <c r="AN88" s="68" t="str">
        <f t="shared" si="12"/>
        <v>00</v>
      </c>
      <c r="AO88" s="68" t="str">
        <f t="shared" si="13"/>
        <v>00</v>
      </c>
      <c r="AQ88" t="str">
        <f t="shared" si="8"/>
        <v xml:space="preserve">    (U4)0x00000011U,                                                           /* 17 UNKNOWN                                         */</v>
      </c>
    </row>
    <row r="89" spans="2:43">
      <c r="B89" s="139"/>
      <c r="C89" s="55">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1</v>
      </c>
      <c r="AF89" s="133">
        <f t="shared" si="17"/>
        <v>0</v>
      </c>
      <c r="AG89" s="133">
        <f t="shared" si="17"/>
        <v>0</v>
      </c>
      <c r="AH89" s="133">
        <f t="shared" si="17"/>
        <v>1</v>
      </c>
      <c r="AI89" s="133">
        <f t="shared" si="17"/>
        <v>0</v>
      </c>
      <c r="AJ89" s="55" t="str">
        <f t="shared" si="7"/>
        <v>UNKNOWN</v>
      </c>
      <c r="AK89" s="68"/>
      <c r="AL89" s="68" t="str">
        <f t="shared" si="10"/>
        <v>12</v>
      </c>
      <c r="AM89" s="68" t="str">
        <f t="shared" si="11"/>
        <v>00</v>
      </c>
      <c r="AN89" s="68" t="str">
        <f t="shared" si="12"/>
        <v>00</v>
      </c>
      <c r="AO89" s="68" t="str">
        <f t="shared" si="13"/>
        <v>00</v>
      </c>
      <c r="AQ89" t="str">
        <f t="shared" si="8"/>
        <v xml:space="preserve">    (U4)0x00000012U,                                                           /* 18 UNKNOWN                                         */</v>
      </c>
    </row>
    <row r="90" spans="2:43">
      <c r="B90" s="139"/>
      <c r="C90" s="55">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1</v>
      </c>
      <c r="AF90" s="133">
        <f t="shared" si="17"/>
        <v>0</v>
      </c>
      <c r="AG90" s="133">
        <f t="shared" si="17"/>
        <v>0</v>
      </c>
      <c r="AH90" s="133">
        <f t="shared" si="17"/>
        <v>1</v>
      </c>
      <c r="AI90" s="133">
        <f t="shared" si="17"/>
        <v>1</v>
      </c>
      <c r="AJ90" s="55" t="str">
        <f t="shared" si="7"/>
        <v>UNKNOWN</v>
      </c>
      <c r="AK90" s="68"/>
      <c r="AL90" s="68" t="str">
        <f t="shared" si="10"/>
        <v>13</v>
      </c>
      <c r="AM90" s="68" t="str">
        <f t="shared" si="11"/>
        <v>00</v>
      </c>
      <c r="AN90" s="68" t="str">
        <f t="shared" si="12"/>
        <v>00</v>
      </c>
      <c r="AO90" s="68" t="str">
        <f t="shared" si="13"/>
        <v>00</v>
      </c>
      <c r="AQ90" t="str">
        <f t="shared" si="8"/>
        <v xml:space="preserve">    (U4)0x00000013U,                                                           /* 19 UNKNOWN                                         */</v>
      </c>
    </row>
    <row r="91" spans="2:43">
      <c r="B91" s="139"/>
      <c r="C91" s="55">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1</v>
      </c>
      <c r="AF91" s="133">
        <f t="shared" si="17"/>
        <v>0</v>
      </c>
      <c r="AG91" s="133">
        <f t="shared" si="17"/>
        <v>1</v>
      </c>
      <c r="AH91" s="133">
        <f t="shared" si="17"/>
        <v>0</v>
      </c>
      <c r="AI91" s="133">
        <f t="shared" si="17"/>
        <v>0</v>
      </c>
      <c r="AJ91" s="55" t="str">
        <f t="shared" si="7"/>
        <v>UNKNOWN</v>
      </c>
      <c r="AK91" s="68"/>
      <c r="AL91" s="68" t="str">
        <f t="shared" si="10"/>
        <v>14</v>
      </c>
      <c r="AM91" s="68" t="str">
        <f t="shared" si="11"/>
        <v>00</v>
      </c>
      <c r="AN91" s="68" t="str">
        <f t="shared" si="12"/>
        <v>00</v>
      </c>
      <c r="AO91" s="68" t="str">
        <f t="shared" si="13"/>
        <v>00</v>
      </c>
      <c r="AQ91" t="str">
        <f t="shared" si="8"/>
        <v xml:space="preserve">    (U4)0x00000014U,                                                           /* 20 UNKNOWN                                         */</v>
      </c>
    </row>
    <row r="92" spans="2:43">
      <c r="B92" s="139"/>
      <c r="C92" s="55">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1</v>
      </c>
      <c r="AF92" s="133">
        <f t="shared" si="17"/>
        <v>0</v>
      </c>
      <c r="AG92" s="133">
        <f t="shared" si="17"/>
        <v>1</v>
      </c>
      <c r="AH92" s="133">
        <f t="shared" si="17"/>
        <v>0</v>
      </c>
      <c r="AI92" s="133">
        <f t="shared" si="17"/>
        <v>1</v>
      </c>
      <c r="AJ92" s="55" t="str">
        <f t="shared" si="7"/>
        <v>UNKNOWN</v>
      </c>
      <c r="AK92" s="68"/>
      <c r="AL92" s="68" t="str">
        <f t="shared" si="10"/>
        <v>15</v>
      </c>
      <c r="AM92" s="68" t="str">
        <f t="shared" si="11"/>
        <v>00</v>
      </c>
      <c r="AN92" s="68" t="str">
        <f t="shared" si="12"/>
        <v>00</v>
      </c>
      <c r="AO92" s="68" t="str">
        <f t="shared" si="13"/>
        <v>00</v>
      </c>
      <c r="AQ92" t="str">
        <f t="shared" si="8"/>
        <v xml:space="preserve">    (U4)0x00000015U,                                                           /* 21 UNKNOWN                                         */</v>
      </c>
    </row>
    <row r="93" spans="2:43">
      <c r="B93" s="139"/>
      <c r="C93" s="55">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1</v>
      </c>
      <c r="AF93" s="133">
        <f t="shared" si="17"/>
        <v>0</v>
      </c>
      <c r="AG93" s="133">
        <f t="shared" si="17"/>
        <v>1</v>
      </c>
      <c r="AH93" s="133">
        <f t="shared" si="17"/>
        <v>1</v>
      </c>
      <c r="AI93" s="133">
        <f t="shared" si="17"/>
        <v>0</v>
      </c>
      <c r="AJ93" s="55" t="str">
        <f t="shared" si="7"/>
        <v>UNKNOWN</v>
      </c>
      <c r="AK93" s="68"/>
      <c r="AL93" s="68" t="str">
        <f t="shared" si="10"/>
        <v>16</v>
      </c>
      <c r="AM93" s="68" t="str">
        <f t="shared" si="11"/>
        <v>00</v>
      </c>
      <c r="AN93" s="68" t="str">
        <f t="shared" si="12"/>
        <v>00</v>
      </c>
      <c r="AO93" s="68" t="str">
        <f t="shared" si="13"/>
        <v>00</v>
      </c>
      <c r="AQ93" t="str">
        <f t="shared" si="8"/>
        <v xml:space="preserve">    (U4)0x00000016U,                                                           /* 22 UNKNOWN                                         */</v>
      </c>
    </row>
    <row r="94" spans="2:43">
      <c r="B94" s="139"/>
      <c r="C94" s="55">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1</v>
      </c>
      <c r="AF94" s="133">
        <f t="shared" si="17"/>
        <v>0</v>
      </c>
      <c r="AG94" s="133">
        <f t="shared" si="17"/>
        <v>1</v>
      </c>
      <c r="AH94" s="133">
        <f t="shared" si="17"/>
        <v>1</v>
      </c>
      <c r="AI94" s="133">
        <f t="shared" ref="AI94" si="18">IF(AI29=1,1,0)</f>
        <v>1</v>
      </c>
      <c r="AJ94" s="55" t="str">
        <f t="shared" si="7"/>
        <v>UNKNOWN</v>
      </c>
      <c r="AK94" s="68"/>
      <c r="AL94" s="68" t="str">
        <f t="shared" si="10"/>
        <v>17</v>
      </c>
      <c r="AM94" s="68" t="str">
        <f t="shared" si="11"/>
        <v>00</v>
      </c>
      <c r="AN94" s="68" t="str">
        <f t="shared" si="12"/>
        <v>00</v>
      </c>
      <c r="AO94" s="68" t="str">
        <f t="shared" si="13"/>
        <v>00</v>
      </c>
      <c r="AQ94" t="str">
        <f t="shared" si="8"/>
        <v xml:space="preserve">    (U4)0x00000017U,                                                           /* 23 UNKNOWN                                         */</v>
      </c>
    </row>
    <row r="95" spans="2:43">
      <c r="B95" s="139"/>
      <c r="C95" s="55">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1</v>
      </c>
      <c r="AF95" s="133">
        <f t="shared" si="19"/>
        <v>1</v>
      </c>
      <c r="AG95" s="133">
        <f t="shared" si="19"/>
        <v>0</v>
      </c>
      <c r="AH95" s="133">
        <f t="shared" si="19"/>
        <v>0</v>
      </c>
      <c r="AI95" s="133">
        <f t="shared" si="19"/>
        <v>0</v>
      </c>
      <c r="AJ95" s="55" t="str">
        <f t="shared" si="7"/>
        <v>UNKNOWN</v>
      </c>
      <c r="AK95" s="68"/>
      <c r="AL95" s="68" t="str">
        <f t="shared" si="10"/>
        <v>18</v>
      </c>
      <c r="AM95" s="68" t="str">
        <f t="shared" si="11"/>
        <v>00</v>
      </c>
      <c r="AN95" s="68" t="str">
        <f t="shared" si="12"/>
        <v>00</v>
      </c>
      <c r="AO95" s="68" t="str">
        <f t="shared" si="13"/>
        <v>00</v>
      </c>
      <c r="AQ95" t="str">
        <f t="shared" si="8"/>
        <v xml:space="preserve">    (U4)0x00000018U,                                                           /* 24 UNKNOWN                                         */</v>
      </c>
    </row>
    <row r="96" spans="2:43">
      <c r="B96" s="139"/>
      <c r="C96" s="55">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1</v>
      </c>
      <c r="AF96" s="133">
        <f t="shared" si="19"/>
        <v>1</v>
      </c>
      <c r="AG96" s="133">
        <f t="shared" si="19"/>
        <v>0</v>
      </c>
      <c r="AH96" s="133">
        <f t="shared" si="19"/>
        <v>0</v>
      </c>
      <c r="AI96" s="133">
        <f t="shared" si="19"/>
        <v>1</v>
      </c>
      <c r="AJ96" s="55" t="str">
        <f t="shared" si="7"/>
        <v>UNKNOWN</v>
      </c>
      <c r="AK96" s="68"/>
      <c r="AL96" s="68" t="str">
        <f t="shared" si="10"/>
        <v>19</v>
      </c>
      <c r="AM96" s="68" t="str">
        <f t="shared" si="11"/>
        <v>00</v>
      </c>
      <c r="AN96" s="68" t="str">
        <f t="shared" si="12"/>
        <v>00</v>
      </c>
      <c r="AO96" s="68" t="str">
        <f t="shared" si="13"/>
        <v>00</v>
      </c>
      <c r="AQ96" t="str">
        <f t="shared" si="8"/>
        <v xml:space="preserve">    (U4)0x00000019U,                                                           /* 25 UNKNOWN                                         */</v>
      </c>
    </row>
    <row r="97" spans="2:43">
      <c r="B97" s="139"/>
      <c r="C97" s="55">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1</v>
      </c>
      <c r="AF97" s="133">
        <f t="shared" si="19"/>
        <v>1</v>
      </c>
      <c r="AG97" s="133">
        <f t="shared" si="19"/>
        <v>0</v>
      </c>
      <c r="AH97" s="133">
        <f t="shared" si="19"/>
        <v>1</v>
      </c>
      <c r="AI97" s="133">
        <f t="shared" si="19"/>
        <v>0</v>
      </c>
      <c r="AJ97" s="55" t="str">
        <f t="shared" si="7"/>
        <v>UNKNOWN</v>
      </c>
      <c r="AK97" s="68"/>
      <c r="AL97" s="68" t="str">
        <f t="shared" si="10"/>
        <v>1A</v>
      </c>
      <c r="AM97" s="68" t="str">
        <f t="shared" si="11"/>
        <v>00</v>
      </c>
      <c r="AN97" s="68" t="str">
        <f t="shared" si="12"/>
        <v>00</v>
      </c>
      <c r="AO97" s="68" t="str">
        <f t="shared" si="13"/>
        <v>00</v>
      </c>
      <c r="AQ97" t="str">
        <f t="shared" si="8"/>
        <v xml:space="preserve">    (U4)0x0000001AU,                                                           /* 26 UNKNOWN                                         */</v>
      </c>
    </row>
    <row r="98" spans="2:43">
      <c r="B98" s="139"/>
      <c r="C98" s="55">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1</v>
      </c>
      <c r="AF98" s="133">
        <f t="shared" si="19"/>
        <v>1</v>
      </c>
      <c r="AG98" s="133">
        <f t="shared" si="19"/>
        <v>0</v>
      </c>
      <c r="AH98" s="133">
        <f t="shared" si="19"/>
        <v>1</v>
      </c>
      <c r="AI98" s="133">
        <f t="shared" si="19"/>
        <v>1</v>
      </c>
      <c r="AJ98" s="55" t="str">
        <f t="shared" si="7"/>
        <v>UNKNOWN</v>
      </c>
      <c r="AK98" s="68"/>
      <c r="AL98" s="68" t="str">
        <f t="shared" si="10"/>
        <v>1B</v>
      </c>
      <c r="AM98" s="68" t="str">
        <f t="shared" si="11"/>
        <v>00</v>
      </c>
      <c r="AN98" s="68" t="str">
        <f t="shared" si="12"/>
        <v>00</v>
      </c>
      <c r="AO98" s="68" t="str">
        <f t="shared" si="13"/>
        <v>00</v>
      </c>
      <c r="AQ98" t="str">
        <f t="shared" si="8"/>
        <v xml:space="preserve">    (U4)0x0000001BU,                                                           /* 27 UNKNOWN                                         */</v>
      </c>
    </row>
    <row r="99" spans="2:43">
      <c r="B99" s="139"/>
      <c r="C99" s="55">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1</v>
      </c>
      <c r="AF99" s="133">
        <f t="shared" si="19"/>
        <v>1</v>
      </c>
      <c r="AG99" s="133">
        <f t="shared" si="19"/>
        <v>1</v>
      </c>
      <c r="AH99" s="133">
        <f t="shared" si="19"/>
        <v>0</v>
      </c>
      <c r="AI99" s="133">
        <f t="shared" si="19"/>
        <v>0</v>
      </c>
      <c r="AJ99" s="55" t="str">
        <f t="shared" si="7"/>
        <v>UNKNOWN</v>
      </c>
      <c r="AK99" s="68"/>
      <c r="AL99" s="68" t="str">
        <f t="shared" si="10"/>
        <v>1C</v>
      </c>
      <c r="AM99" s="68" t="str">
        <f t="shared" si="11"/>
        <v>00</v>
      </c>
      <c r="AN99" s="68" t="str">
        <f t="shared" si="12"/>
        <v>00</v>
      </c>
      <c r="AO99" s="68" t="str">
        <f t="shared" si="13"/>
        <v>00</v>
      </c>
      <c r="AQ99" t="str">
        <f t="shared" si="8"/>
        <v xml:space="preserve">    (U4)0x0000001CU,                                                           /* 28 UNKNOWN                                         */</v>
      </c>
    </row>
    <row r="100" spans="2:43">
      <c r="B100" s="139"/>
      <c r="C100" s="55">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1</v>
      </c>
      <c r="AF100" s="133">
        <f t="shared" si="19"/>
        <v>1</v>
      </c>
      <c r="AG100" s="133">
        <f t="shared" si="19"/>
        <v>1</v>
      </c>
      <c r="AH100" s="133">
        <f t="shared" si="19"/>
        <v>0</v>
      </c>
      <c r="AI100" s="133">
        <f t="shared" si="19"/>
        <v>1</v>
      </c>
      <c r="AJ100" s="55" t="str">
        <f t="shared" si="7"/>
        <v>UNKNOWN</v>
      </c>
      <c r="AK100" s="68"/>
      <c r="AL100" s="68" t="str">
        <f t="shared" si="10"/>
        <v>1D</v>
      </c>
      <c r="AM100" s="68" t="str">
        <f t="shared" si="11"/>
        <v>00</v>
      </c>
      <c r="AN100" s="68" t="str">
        <f t="shared" si="12"/>
        <v>00</v>
      </c>
      <c r="AO100" s="68" t="str">
        <f t="shared" si="13"/>
        <v>00</v>
      </c>
      <c r="AQ100" t="str">
        <f t="shared" si="8"/>
        <v xml:space="preserve">    (U4)0x0000001DU,                                                           /* 29 UNKNOWN                                         */</v>
      </c>
    </row>
    <row r="101" spans="2:43">
      <c r="B101" s="139"/>
      <c r="C101" s="55">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1</v>
      </c>
      <c r="AF101" s="133">
        <f t="shared" si="19"/>
        <v>1</v>
      </c>
      <c r="AG101" s="133">
        <f t="shared" si="19"/>
        <v>1</v>
      </c>
      <c r="AH101" s="133">
        <f t="shared" si="19"/>
        <v>1</v>
      </c>
      <c r="AI101" s="133">
        <f t="shared" si="19"/>
        <v>0</v>
      </c>
      <c r="AJ101" s="55" t="str">
        <f t="shared" si="7"/>
        <v>UNKNOWN</v>
      </c>
      <c r="AK101" s="68"/>
      <c r="AL101" s="68" t="str">
        <f t="shared" si="10"/>
        <v>1E</v>
      </c>
      <c r="AM101" s="68" t="str">
        <f t="shared" si="11"/>
        <v>00</v>
      </c>
      <c r="AN101" s="68" t="str">
        <f t="shared" si="12"/>
        <v>00</v>
      </c>
      <c r="AO101" s="68" t="str">
        <f t="shared" si="13"/>
        <v>00</v>
      </c>
      <c r="AQ101" t="str">
        <f t="shared" si="8"/>
        <v xml:space="preserve">    (U4)0x0000001EU,                                                           /* 30 UNKNOWN                                         */</v>
      </c>
    </row>
    <row r="102" spans="2:43">
      <c r="B102" s="139"/>
      <c r="C102" s="55">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1</v>
      </c>
      <c r="AF102" s="133">
        <f t="shared" si="19"/>
        <v>1</v>
      </c>
      <c r="AG102" s="133">
        <f t="shared" si="19"/>
        <v>1</v>
      </c>
      <c r="AH102" s="133">
        <f t="shared" si="19"/>
        <v>1</v>
      </c>
      <c r="AI102" s="133">
        <f t="shared" ref="AI102" si="20">IF(AI37=1,1,0)</f>
        <v>1</v>
      </c>
      <c r="AJ102" s="55" t="str">
        <f t="shared" si="7"/>
        <v>UNKNOWN</v>
      </c>
      <c r="AK102" s="68"/>
      <c r="AL102" s="68" t="str">
        <f t="shared" si="10"/>
        <v>1F</v>
      </c>
      <c r="AM102" s="68" t="str">
        <f t="shared" si="11"/>
        <v>00</v>
      </c>
      <c r="AN102" s="68" t="str">
        <f t="shared" si="12"/>
        <v>00</v>
      </c>
      <c r="AO102" s="68" t="str">
        <f t="shared" si="13"/>
        <v>00</v>
      </c>
      <c r="AQ102" t="str">
        <f t="shared" si="8"/>
        <v xml:space="preserve">    (U4)0x0000001FU,                                                           /* 31 UNKNOWN                                         */</v>
      </c>
    </row>
    <row r="103" spans="2:43">
      <c r="B103" s="139"/>
      <c r="C103" s="55">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1</v>
      </c>
      <c r="AE103" s="133">
        <f t="shared" si="21"/>
        <v>0</v>
      </c>
      <c r="AF103" s="133">
        <f t="shared" si="21"/>
        <v>0</v>
      </c>
      <c r="AG103" s="133">
        <f t="shared" si="21"/>
        <v>0</v>
      </c>
      <c r="AH103" s="133">
        <f t="shared" si="21"/>
        <v>0</v>
      </c>
      <c r="AI103" s="133">
        <f t="shared" si="21"/>
        <v>0</v>
      </c>
      <c r="AJ103" s="55" t="str">
        <f t="shared" si="7"/>
        <v>UNKNOWN</v>
      </c>
      <c r="AK103" s="68"/>
      <c r="AL103" s="68" t="str">
        <f t="shared" si="10"/>
        <v>20</v>
      </c>
      <c r="AM103" s="68" t="str">
        <f t="shared" si="11"/>
        <v>00</v>
      </c>
      <c r="AN103" s="68" t="str">
        <f t="shared" si="12"/>
        <v>00</v>
      </c>
      <c r="AO103" s="68" t="str">
        <f t="shared" si="13"/>
        <v>00</v>
      </c>
      <c r="AQ103" t="str">
        <f t="shared" si="8"/>
        <v xml:space="preserve">    (U4)0x00000020U,                                                           /* 32 UNKNOWN                                         */</v>
      </c>
    </row>
    <row r="104" spans="2:43">
      <c r="B104" s="139"/>
      <c r="C104" s="55">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1</v>
      </c>
      <c r="AE104" s="133">
        <f t="shared" si="21"/>
        <v>0</v>
      </c>
      <c r="AF104" s="133">
        <f t="shared" si="21"/>
        <v>0</v>
      </c>
      <c r="AG104" s="133">
        <f t="shared" si="21"/>
        <v>0</v>
      </c>
      <c r="AH104" s="133">
        <f t="shared" si="21"/>
        <v>0</v>
      </c>
      <c r="AI104" s="133">
        <f t="shared" si="21"/>
        <v>1</v>
      </c>
      <c r="AJ104" s="55" t="str">
        <f t="shared" si="7"/>
        <v>UNKNOWN</v>
      </c>
      <c r="AK104" s="68"/>
      <c r="AL104" s="68" t="str">
        <f t="shared" si="10"/>
        <v>21</v>
      </c>
      <c r="AM104" s="68" t="str">
        <f t="shared" si="11"/>
        <v>00</v>
      </c>
      <c r="AN104" s="68" t="str">
        <f t="shared" si="12"/>
        <v>00</v>
      </c>
      <c r="AO104" s="68" t="str">
        <f t="shared" si="13"/>
        <v>00</v>
      </c>
      <c r="AQ104" t="str">
        <f t="shared" si="8"/>
        <v xml:space="preserve">    (U4)0x00000021U,                                                           /* 33 UNKNOWN                                         */</v>
      </c>
    </row>
    <row r="105" spans="2:43">
      <c r="B105" s="139"/>
      <c r="C105" s="55">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1</v>
      </c>
      <c r="AE105" s="133">
        <f t="shared" si="21"/>
        <v>0</v>
      </c>
      <c r="AF105" s="133">
        <f t="shared" si="21"/>
        <v>0</v>
      </c>
      <c r="AG105" s="133">
        <f t="shared" si="21"/>
        <v>0</v>
      </c>
      <c r="AH105" s="133">
        <f t="shared" si="21"/>
        <v>1</v>
      </c>
      <c r="AI105" s="133">
        <f t="shared" si="21"/>
        <v>0</v>
      </c>
      <c r="AJ105" s="55" t="str">
        <f t="shared" si="7"/>
        <v>UNKNOWN</v>
      </c>
      <c r="AK105" s="68"/>
      <c r="AL105" s="68" t="str">
        <f t="shared" si="10"/>
        <v>22</v>
      </c>
      <c r="AM105" s="68" t="str">
        <f t="shared" si="11"/>
        <v>00</v>
      </c>
      <c r="AN105" s="68" t="str">
        <f t="shared" si="12"/>
        <v>00</v>
      </c>
      <c r="AO105" s="68" t="str">
        <f t="shared" si="13"/>
        <v>00</v>
      </c>
      <c r="AQ105" t="str">
        <f t="shared" si="8"/>
        <v xml:space="preserve">    (U4)0x00000022U,                                                           /* 34 UNKNOWN                                         */</v>
      </c>
    </row>
    <row r="106" spans="2:43">
      <c r="B106" s="139"/>
      <c r="C106" s="55">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1</v>
      </c>
      <c r="AE106" s="133">
        <f t="shared" si="21"/>
        <v>0</v>
      </c>
      <c r="AF106" s="133">
        <f t="shared" si="21"/>
        <v>0</v>
      </c>
      <c r="AG106" s="133">
        <f t="shared" si="21"/>
        <v>0</v>
      </c>
      <c r="AH106" s="133">
        <f t="shared" si="21"/>
        <v>1</v>
      </c>
      <c r="AI106" s="133">
        <f t="shared" si="21"/>
        <v>1</v>
      </c>
      <c r="AJ106" s="55" t="str">
        <f t="shared" si="7"/>
        <v>UNKNOWN</v>
      </c>
      <c r="AK106" s="68"/>
      <c r="AL106" s="68" t="str">
        <f t="shared" si="10"/>
        <v>23</v>
      </c>
      <c r="AM106" s="68" t="str">
        <f t="shared" si="11"/>
        <v>00</v>
      </c>
      <c r="AN106" s="68" t="str">
        <f t="shared" si="12"/>
        <v>00</v>
      </c>
      <c r="AO106" s="68" t="str">
        <f t="shared" si="13"/>
        <v>00</v>
      </c>
      <c r="AQ106" t="str">
        <f t="shared" si="8"/>
        <v xml:space="preserve">    (U4)0x00000023U,                                                           /* 35 UNKNOWN                                         */</v>
      </c>
    </row>
    <row r="107" spans="2:43">
      <c r="B107" s="139"/>
      <c r="C107" s="55">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1</v>
      </c>
      <c r="AE107" s="133">
        <f t="shared" si="21"/>
        <v>0</v>
      </c>
      <c r="AF107" s="133">
        <f t="shared" si="21"/>
        <v>0</v>
      </c>
      <c r="AG107" s="133">
        <f t="shared" si="21"/>
        <v>1</v>
      </c>
      <c r="AH107" s="133">
        <f t="shared" si="21"/>
        <v>0</v>
      </c>
      <c r="AI107" s="133">
        <f t="shared" si="21"/>
        <v>0</v>
      </c>
      <c r="AJ107" s="55" t="str">
        <f t="shared" si="7"/>
        <v>UNKNOWN</v>
      </c>
      <c r="AK107" s="68"/>
      <c r="AL107" s="68" t="str">
        <f t="shared" si="10"/>
        <v>24</v>
      </c>
      <c r="AM107" s="68" t="str">
        <f t="shared" si="11"/>
        <v>00</v>
      </c>
      <c r="AN107" s="68" t="str">
        <f t="shared" si="12"/>
        <v>00</v>
      </c>
      <c r="AO107" s="68" t="str">
        <f t="shared" si="13"/>
        <v>00</v>
      </c>
      <c r="AQ107" t="str">
        <f t="shared" si="8"/>
        <v xml:space="preserve">    (U4)0x00000024U,                                                           /* 36 UNKNOWN                                         */</v>
      </c>
    </row>
    <row r="108" spans="2:43">
      <c r="B108" s="139"/>
      <c r="C108" s="55">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1</v>
      </c>
      <c r="AE108" s="133">
        <f t="shared" si="21"/>
        <v>0</v>
      </c>
      <c r="AF108" s="133">
        <f t="shared" si="21"/>
        <v>0</v>
      </c>
      <c r="AG108" s="133">
        <f t="shared" si="21"/>
        <v>1</v>
      </c>
      <c r="AH108" s="133">
        <f t="shared" si="21"/>
        <v>0</v>
      </c>
      <c r="AI108" s="133">
        <f t="shared" si="21"/>
        <v>1</v>
      </c>
      <c r="AJ108" s="55" t="str">
        <f t="shared" si="7"/>
        <v>UNKNOWN</v>
      </c>
      <c r="AK108" s="68"/>
      <c r="AL108" s="68" t="str">
        <f t="shared" si="10"/>
        <v>25</v>
      </c>
      <c r="AM108" s="68" t="str">
        <f t="shared" si="11"/>
        <v>00</v>
      </c>
      <c r="AN108" s="68" t="str">
        <f t="shared" si="12"/>
        <v>00</v>
      </c>
      <c r="AO108" s="68" t="str">
        <f t="shared" si="13"/>
        <v>00</v>
      </c>
      <c r="AQ108" t="str">
        <f t="shared" si="8"/>
        <v xml:space="preserve">    (U4)0x00000025U,                                                           /* 37 UNKNOWN                                         */</v>
      </c>
    </row>
    <row r="109" spans="2:43">
      <c r="B109" s="139"/>
      <c r="C109" s="55">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1</v>
      </c>
      <c r="AE109" s="133">
        <f t="shared" si="21"/>
        <v>0</v>
      </c>
      <c r="AF109" s="133">
        <f t="shared" si="21"/>
        <v>0</v>
      </c>
      <c r="AG109" s="133">
        <f t="shared" si="21"/>
        <v>1</v>
      </c>
      <c r="AH109" s="133">
        <f t="shared" si="21"/>
        <v>1</v>
      </c>
      <c r="AI109" s="133">
        <f t="shared" si="21"/>
        <v>0</v>
      </c>
      <c r="AJ109" s="55" t="str">
        <f t="shared" si="7"/>
        <v>UNKNOWN</v>
      </c>
      <c r="AK109" s="68"/>
      <c r="AL109" s="68" t="str">
        <f t="shared" si="10"/>
        <v>26</v>
      </c>
      <c r="AM109" s="68" t="str">
        <f t="shared" si="11"/>
        <v>00</v>
      </c>
      <c r="AN109" s="68" t="str">
        <f t="shared" si="12"/>
        <v>00</v>
      </c>
      <c r="AO109" s="68" t="str">
        <f t="shared" si="13"/>
        <v>00</v>
      </c>
      <c r="AQ109" t="str">
        <f t="shared" si="8"/>
        <v xml:space="preserve">    (U4)0x00000026U,                                                           /* 38 UNKNOWN                                         */</v>
      </c>
    </row>
    <row r="110" spans="2:43">
      <c r="B110" s="139"/>
      <c r="C110" s="55">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1</v>
      </c>
      <c r="AE110" s="133">
        <f t="shared" si="21"/>
        <v>0</v>
      </c>
      <c r="AF110" s="133">
        <f t="shared" si="21"/>
        <v>0</v>
      </c>
      <c r="AG110" s="133">
        <f t="shared" si="21"/>
        <v>1</v>
      </c>
      <c r="AH110" s="133">
        <f t="shared" si="21"/>
        <v>1</v>
      </c>
      <c r="AI110" s="133">
        <f t="shared" ref="AI110" si="22">IF(AI45=1,1,0)</f>
        <v>1</v>
      </c>
      <c r="AJ110" s="55" t="str">
        <f t="shared" si="7"/>
        <v>UNKNOWN</v>
      </c>
      <c r="AK110" s="68"/>
      <c r="AL110" s="68" t="str">
        <f t="shared" si="10"/>
        <v>27</v>
      </c>
      <c r="AM110" s="68" t="str">
        <f t="shared" si="11"/>
        <v>00</v>
      </c>
      <c r="AN110" s="68" t="str">
        <f t="shared" si="12"/>
        <v>00</v>
      </c>
      <c r="AO110" s="68" t="str">
        <f t="shared" si="13"/>
        <v>00</v>
      </c>
      <c r="AQ110" t="str">
        <f t="shared" si="8"/>
        <v xml:space="preserve">    (U4)0x00000027U,                                                           /* 39 UNKNOWN                                         */</v>
      </c>
    </row>
    <row r="111" spans="2:43">
      <c r="B111" s="139"/>
      <c r="C111" s="55">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1</v>
      </c>
      <c r="AE111" s="133">
        <f t="shared" si="23"/>
        <v>0</v>
      </c>
      <c r="AF111" s="133">
        <f t="shared" si="23"/>
        <v>1</v>
      </c>
      <c r="AG111" s="133">
        <f t="shared" si="23"/>
        <v>0</v>
      </c>
      <c r="AH111" s="133">
        <f t="shared" si="23"/>
        <v>0</v>
      </c>
      <c r="AI111" s="133">
        <f t="shared" si="23"/>
        <v>0</v>
      </c>
      <c r="AJ111" s="55" t="str">
        <f t="shared" si="7"/>
        <v>UNKNOWN</v>
      </c>
      <c r="AK111" s="68"/>
      <c r="AL111" s="68" t="str">
        <f t="shared" si="10"/>
        <v>28</v>
      </c>
      <c r="AM111" s="68" t="str">
        <f t="shared" si="11"/>
        <v>00</v>
      </c>
      <c r="AN111" s="68" t="str">
        <f t="shared" si="12"/>
        <v>00</v>
      </c>
      <c r="AO111" s="68" t="str">
        <f t="shared" si="13"/>
        <v>00</v>
      </c>
      <c r="AQ111" t="str">
        <f t="shared" si="8"/>
        <v xml:space="preserve">    (U4)0x00000028U,                                                           /* 40 UNKNOWN                                         */</v>
      </c>
    </row>
    <row r="112" spans="2:43">
      <c r="B112" s="139"/>
      <c r="C112" s="55">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1</v>
      </c>
      <c r="AE112" s="133">
        <f t="shared" si="23"/>
        <v>0</v>
      </c>
      <c r="AF112" s="133">
        <f t="shared" si="23"/>
        <v>1</v>
      </c>
      <c r="AG112" s="133">
        <f t="shared" si="23"/>
        <v>0</v>
      </c>
      <c r="AH112" s="133">
        <f t="shared" si="23"/>
        <v>0</v>
      </c>
      <c r="AI112" s="133">
        <f t="shared" si="23"/>
        <v>1</v>
      </c>
      <c r="AJ112" s="55" t="str">
        <f t="shared" si="7"/>
        <v>UNKNOWN</v>
      </c>
      <c r="AK112" s="68"/>
      <c r="AL112" s="68" t="str">
        <f t="shared" si="10"/>
        <v>29</v>
      </c>
      <c r="AM112" s="68" t="str">
        <f t="shared" si="11"/>
        <v>00</v>
      </c>
      <c r="AN112" s="68" t="str">
        <f t="shared" si="12"/>
        <v>00</v>
      </c>
      <c r="AO112" s="68" t="str">
        <f t="shared" si="13"/>
        <v>00</v>
      </c>
      <c r="AQ112" t="str">
        <f t="shared" si="8"/>
        <v xml:space="preserve">    (U4)0x00000029U,                                                           /* 41 UNKNOWN                                         */</v>
      </c>
    </row>
    <row r="113" spans="2:43">
      <c r="B113" s="139"/>
      <c r="C113" s="55">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1</v>
      </c>
      <c r="AE113" s="133">
        <f t="shared" si="23"/>
        <v>0</v>
      </c>
      <c r="AF113" s="133">
        <f t="shared" si="23"/>
        <v>1</v>
      </c>
      <c r="AG113" s="133">
        <f t="shared" si="23"/>
        <v>0</v>
      </c>
      <c r="AH113" s="133">
        <f t="shared" si="23"/>
        <v>1</v>
      </c>
      <c r="AI113" s="133">
        <f t="shared" si="23"/>
        <v>0</v>
      </c>
      <c r="AJ113" s="55" t="str">
        <f t="shared" si="7"/>
        <v>UNKNOWN</v>
      </c>
      <c r="AK113" s="68"/>
      <c r="AL113" s="68" t="str">
        <f t="shared" si="10"/>
        <v>2A</v>
      </c>
      <c r="AM113" s="68" t="str">
        <f t="shared" si="11"/>
        <v>00</v>
      </c>
      <c r="AN113" s="68" t="str">
        <f t="shared" si="12"/>
        <v>00</v>
      </c>
      <c r="AO113" s="68" t="str">
        <f t="shared" si="13"/>
        <v>00</v>
      </c>
      <c r="AQ113" t="str">
        <f t="shared" si="8"/>
        <v xml:space="preserve">    (U4)0x0000002AU,                                                           /* 42 UNKNOWN                                         */</v>
      </c>
    </row>
    <row r="114" spans="2:43">
      <c r="B114" s="139"/>
      <c r="C114" s="55">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1</v>
      </c>
      <c r="AE114" s="133">
        <f t="shared" si="23"/>
        <v>0</v>
      </c>
      <c r="AF114" s="133">
        <f t="shared" si="23"/>
        <v>1</v>
      </c>
      <c r="AG114" s="133">
        <f t="shared" si="23"/>
        <v>0</v>
      </c>
      <c r="AH114" s="133">
        <f t="shared" si="23"/>
        <v>1</v>
      </c>
      <c r="AI114" s="133">
        <f t="shared" si="23"/>
        <v>1</v>
      </c>
      <c r="AJ114" s="55" t="str">
        <f t="shared" si="7"/>
        <v>UNKNOWN</v>
      </c>
      <c r="AK114" s="68"/>
      <c r="AL114" s="68" t="str">
        <f t="shared" si="10"/>
        <v>2B</v>
      </c>
      <c r="AM114" s="68" t="str">
        <f t="shared" si="11"/>
        <v>00</v>
      </c>
      <c r="AN114" s="68" t="str">
        <f t="shared" si="12"/>
        <v>00</v>
      </c>
      <c r="AO114" s="68" t="str">
        <f t="shared" si="13"/>
        <v>00</v>
      </c>
      <c r="AQ114" t="str">
        <f t="shared" si="8"/>
        <v xml:space="preserve">    (U4)0x0000002BU,                                                           /* 43 UNKNOWN                                         */</v>
      </c>
    </row>
    <row r="115" spans="2:43">
      <c r="B115" s="139"/>
      <c r="C115" s="55">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1</v>
      </c>
      <c r="AE115" s="133">
        <f t="shared" si="23"/>
        <v>0</v>
      </c>
      <c r="AF115" s="133">
        <f t="shared" si="23"/>
        <v>1</v>
      </c>
      <c r="AG115" s="133">
        <f t="shared" si="23"/>
        <v>1</v>
      </c>
      <c r="AH115" s="133">
        <f t="shared" si="23"/>
        <v>0</v>
      </c>
      <c r="AI115" s="133">
        <f t="shared" si="23"/>
        <v>0</v>
      </c>
      <c r="AJ115" s="55" t="str">
        <f t="shared" si="7"/>
        <v>UNKNOWN</v>
      </c>
      <c r="AK115" s="68"/>
      <c r="AL115" s="68" t="str">
        <f t="shared" si="10"/>
        <v>2C</v>
      </c>
      <c r="AM115" s="68" t="str">
        <f t="shared" si="11"/>
        <v>00</v>
      </c>
      <c r="AN115" s="68" t="str">
        <f t="shared" si="12"/>
        <v>00</v>
      </c>
      <c r="AO115" s="68" t="str">
        <f t="shared" si="13"/>
        <v>00</v>
      </c>
      <c r="AQ115" t="str">
        <f t="shared" si="8"/>
        <v xml:space="preserve">    (U4)0x0000002CU,                                                           /* 44 UNKNOWN                                         */</v>
      </c>
    </row>
    <row r="116" spans="2:43">
      <c r="B116" s="139"/>
      <c r="C116" s="55">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1</v>
      </c>
      <c r="AE116" s="133">
        <f t="shared" si="23"/>
        <v>0</v>
      </c>
      <c r="AF116" s="133">
        <f t="shared" si="23"/>
        <v>1</v>
      </c>
      <c r="AG116" s="133">
        <f t="shared" si="23"/>
        <v>1</v>
      </c>
      <c r="AH116" s="133">
        <f t="shared" si="23"/>
        <v>0</v>
      </c>
      <c r="AI116" s="133">
        <f t="shared" si="23"/>
        <v>1</v>
      </c>
      <c r="AJ116" s="55" t="str">
        <f t="shared" si="7"/>
        <v>UNKNOWN</v>
      </c>
      <c r="AK116" s="68"/>
      <c r="AL116" s="68" t="str">
        <f t="shared" si="10"/>
        <v>2D</v>
      </c>
      <c r="AM116" s="68" t="str">
        <f t="shared" si="11"/>
        <v>00</v>
      </c>
      <c r="AN116" s="68" t="str">
        <f t="shared" si="12"/>
        <v>00</v>
      </c>
      <c r="AO116" s="68" t="str">
        <f t="shared" si="13"/>
        <v>00</v>
      </c>
      <c r="AQ116" t="str">
        <f t="shared" si="8"/>
        <v xml:space="preserve">    (U4)0x0000002DU,                                                           /* 45 UNKNOWN                                         */</v>
      </c>
    </row>
    <row r="117" spans="2:43">
      <c r="B117" s="139"/>
      <c r="C117" s="55">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1</v>
      </c>
      <c r="AE117" s="133">
        <f t="shared" si="23"/>
        <v>0</v>
      </c>
      <c r="AF117" s="133">
        <f t="shared" si="23"/>
        <v>1</v>
      </c>
      <c r="AG117" s="133">
        <f t="shared" si="23"/>
        <v>1</v>
      </c>
      <c r="AH117" s="133">
        <f t="shared" si="23"/>
        <v>1</v>
      </c>
      <c r="AI117" s="133">
        <f t="shared" si="23"/>
        <v>0</v>
      </c>
      <c r="AJ117" s="55" t="str">
        <f t="shared" si="7"/>
        <v>UNKNOWN</v>
      </c>
      <c r="AK117" s="68"/>
      <c r="AL117" s="68" t="str">
        <f t="shared" si="10"/>
        <v>2E</v>
      </c>
      <c r="AM117" s="68" t="str">
        <f t="shared" si="11"/>
        <v>00</v>
      </c>
      <c r="AN117" s="68" t="str">
        <f t="shared" si="12"/>
        <v>00</v>
      </c>
      <c r="AO117" s="68" t="str">
        <f t="shared" si="13"/>
        <v>00</v>
      </c>
      <c r="AQ117" t="str">
        <f t="shared" si="8"/>
        <v xml:space="preserve">    (U4)0x0000002EU,                                                           /* 46 UNKNOWN                                         */</v>
      </c>
    </row>
    <row r="118" spans="2:43">
      <c r="B118" s="139"/>
      <c r="C118" s="55">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1</v>
      </c>
      <c r="AE118" s="133">
        <f t="shared" si="23"/>
        <v>0</v>
      </c>
      <c r="AF118" s="133">
        <f t="shared" si="23"/>
        <v>1</v>
      </c>
      <c r="AG118" s="133">
        <f t="shared" si="23"/>
        <v>1</v>
      </c>
      <c r="AH118" s="133">
        <f t="shared" si="23"/>
        <v>1</v>
      </c>
      <c r="AI118" s="133">
        <f t="shared" ref="AI118" si="24">IF(AI53=1,1,0)</f>
        <v>1</v>
      </c>
      <c r="AJ118" s="55" t="str">
        <f t="shared" si="7"/>
        <v>UNKNOWN</v>
      </c>
      <c r="AK118" s="68"/>
      <c r="AL118" s="68" t="str">
        <f t="shared" si="10"/>
        <v>2F</v>
      </c>
      <c r="AM118" s="68" t="str">
        <f t="shared" si="11"/>
        <v>00</v>
      </c>
      <c r="AN118" s="68" t="str">
        <f t="shared" si="12"/>
        <v>00</v>
      </c>
      <c r="AO118" s="68" t="str">
        <f t="shared" si="13"/>
        <v>00</v>
      </c>
      <c r="AQ118" t="str">
        <f t="shared" si="8"/>
        <v xml:space="preserve">    (U4)0x0000002FU,                                                           /* 47 UNKNOWN                                         */</v>
      </c>
    </row>
    <row r="119" spans="2:43">
      <c r="B119" s="139"/>
      <c r="C119" s="55">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1</v>
      </c>
      <c r="AE119" s="133">
        <f t="shared" si="25"/>
        <v>1</v>
      </c>
      <c r="AF119" s="133">
        <f t="shared" si="25"/>
        <v>0</v>
      </c>
      <c r="AG119" s="133">
        <f t="shared" si="25"/>
        <v>0</v>
      </c>
      <c r="AH119" s="133">
        <f t="shared" si="25"/>
        <v>0</v>
      </c>
      <c r="AI119" s="133">
        <f t="shared" si="25"/>
        <v>0</v>
      </c>
      <c r="AJ119" s="55" t="str">
        <f t="shared" si="7"/>
        <v>UNKNOWN</v>
      </c>
      <c r="AK119" s="68"/>
      <c r="AL119" s="68" t="str">
        <f t="shared" si="10"/>
        <v>30</v>
      </c>
      <c r="AM119" s="68" t="str">
        <f t="shared" si="11"/>
        <v>00</v>
      </c>
      <c r="AN119" s="68" t="str">
        <f t="shared" si="12"/>
        <v>00</v>
      </c>
      <c r="AO119" s="68" t="str">
        <f t="shared" si="13"/>
        <v>00</v>
      </c>
      <c r="AQ119" t="str">
        <f t="shared" si="8"/>
        <v xml:space="preserve">    (U4)0x00000030U,                                                           /* 48 UNKNOWN                                         */</v>
      </c>
    </row>
    <row r="120" spans="2:43">
      <c r="B120" s="139"/>
      <c r="C120" s="55">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1</v>
      </c>
      <c r="AE120" s="133">
        <f t="shared" si="25"/>
        <v>1</v>
      </c>
      <c r="AF120" s="133">
        <f t="shared" si="25"/>
        <v>0</v>
      </c>
      <c r="AG120" s="133">
        <f t="shared" si="25"/>
        <v>0</v>
      </c>
      <c r="AH120" s="133">
        <f t="shared" si="25"/>
        <v>0</v>
      </c>
      <c r="AI120" s="133">
        <f t="shared" si="25"/>
        <v>1</v>
      </c>
      <c r="AJ120" s="55" t="str">
        <f t="shared" si="7"/>
        <v>UNKNOWN</v>
      </c>
      <c r="AK120" s="68"/>
      <c r="AL120" s="68" t="str">
        <f t="shared" si="10"/>
        <v>31</v>
      </c>
      <c r="AM120" s="68" t="str">
        <f t="shared" si="11"/>
        <v>00</v>
      </c>
      <c r="AN120" s="68" t="str">
        <f t="shared" si="12"/>
        <v>00</v>
      </c>
      <c r="AO120" s="68" t="str">
        <f t="shared" si="13"/>
        <v>00</v>
      </c>
      <c r="AQ120" t="str">
        <f t="shared" si="8"/>
        <v xml:space="preserve">    (U4)0x00000031U,                                                           /* 49 UNKNOWN                                         */</v>
      </c>
    </row>
    <row r="121" spans="2:43">
      <c r="B121" s="139"/>
      <c r="C121" s="55">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1</v>
      </c>
      <c r="AE121" s="133">
        <f t="shared" si="25"/>
        <v>1</v>
      </c>
      <c r="AF121" s="133">
        <f t="shared" si="25"/>
        <v>0</v>
      </c>
      <c r="AG121" s="133">
        <f t="shared" si="25"/>
        <v>0</v>
      </c>
      <c r="AH121" s="133">
        <f t="shared" si="25"/>
        <v>1</v>
      </c>
      <c r="AI121" s="133">
        <f t="shared" si="25"/>
        <v>0</v>
      </c>
      <c r="AJ121" s="55" t="str">
        <f t="shared" si="7"/>
        <v>UNKNOWN</v>
      </c>
      <c r="AK121" s="68"/>
      <c r="AL121" s="68" t="str">
        <f t="shared" si="10"/>
        <v>32</v>
      </c>
      <c r="AM121" s="68" t="str">
        <f t="shared" si="11"/>
        <v>00</v>
      </c>
      <c r="AN121" s="68" t="str">
        <f t="shared" si="12"/>
        <v>00</v>
      </c>
      <c r="AO121" s="68" t="str">
        <f t="shared" si="13"/>
        <v>00</v>
      </c>
      <c r="AQ121" t="str">
        <f t="shared" si="8"/>
        <v xml:space="preserve">    (U4)0x00000032U,                                                           /* 50 UNKNOWN                                         */</v>
      </c>
    </row>
    <row r="122" spans="2:43">
      <c r="B122" s="139"/>
      <c r="C122" s="55">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1</v>
      </c>
      <c r="AE122" s="133">
        <f t="shared" si="25"/>
        <v>1</v>
      </c>
      <c r="AF122" s="133">
        <f t="shared" si="25"/>
        <v>0</v>
      </c>
      <c r="AG122" s="133">
        <f t="shared" si="25"/>
        <v>0</v>
      </c>
      <c r="AH122" s="133">
        <f t="shared" si="25"/>
        <v>1</v>
      </c>
      <c r="AI122" s="133">
        <f t="shared" si="25"/>
        <v>1</v>
      </c>
      <c r="AJ122" s="55" t="str">
        <f t="shared" si="7"/>
        <v>UNKNOWN</v>
      </c>
      <c r="AK122" s="68"/>
      <c r="AL122" s="68" t="str">
        <f t="shared" si="10"/>
        <v>33</v>
      </c>
      <c r="AM122" s="68" t="str">
        <f t="shared" si="11"/>
        <v>00</v>
      </c>
      <c r="AN122" s="68" t="str">
        <f t="shared" si="12"/>
        <v>00</v>
      </c>
      <c r="AO122" s="68" t="str">
        <f t="shared" si="13"/>
        <v>00</v>
      </c>
      <c r="AQ122" t="str">
        <f t="shared" si="8"/>
        <v xml:space="preserve">    (U4)0x00000033U,                                                           /* 51 UNKNOWN                                         */</v>
      </c>
    </row>
    <row r="123" spans="2:43">
      <c r="B123" s="139"/>
      <c r="C123" s="55">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1</v>
      </c>
      <c r="AE123" s="133">
        <f t="shared" si="25"/>
        <v>1</v>
      </c>
      <c r="AF123" s="133">
        <f t="shared" si="25"/>
        <v>0</v>
      </c>
      <c r="AG123" s="133">
        <f t="shared" si="25"/>
        <v>1</v>
      </c>
      <c r="AH123" s="133">
        <f t="shared" si="25"/>
        <v>0</v>
      </c>
      <c r="AI123" s="133">
        <f t="shared" si="25"/>
        <v>0</v>
      </c>
      <c r="AJ123" s="55" t="str">
        <f t="shared" si="7"/>
        <v>UNKNOWN</v>
      </c>
      <c r="AK123" s="68"/>
      <c r="AL123" s="68" t="str">
        <f t="shared" si="10"/>
        <v>34</v>
      </c>
      <c r="AM123" s="68" t="str">
        <f t="shared" si="11"/>
        <v>00</v>
      </c>
      <c r="AN123" s="68" t="str">
        <f t="shared" si="12"/>
        <v>00</v>
      </c>
      <c r="AO123" s="68" t="str">
        <f t="shared" si="13"/>
        <v>00</v>
      </c>
      <c r="AQ123" t="str">
        <f t="shared" si="8"/>
        <v xml:space="preserve">    (U4)0x00000034U,                                                           /* 52 UNKNOWN                                         */</v>
      </c>
    </row>
    <row r="124" spans="2:43">
      <c r="B124" s="139"/>
      <c r="C124" s="55">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1</v>
      </c>
      <c r="AE124" s="133">
        <f t="shared" si="25"/>
        <v>1</v>
      </c>
      <c r="AF124" s="133">
        <f t="shared" si="25"/>
        <v>0</v>
      </c>
      <c r="AG124" s="133">
        <f t="shared" si="25"/>
        <v>1</v>
      </c>
      <c r="AH124" s="133">
        <f t="shared" si="25"/>
        <v>0</v>
      </c>
      <c r="AI124" s="133">
        <f t="shared" si="25"/>
        <v>1</v>
      </c>
      <c r="AJ124" s="55" t="str">
        <f t="shared" si="7"/>
        <v>UNKNOWN</v>
      </c>
      <c r="AK124" s="68"/>
      <c r="AL124" s="68" t="str">
        <f t="shared" si="10"/>
        <v>35</v>
      </c>
      <c r="AM124" s="68" t="str">
        <f t="shared" si="11"/>
        <v>00</v>
      </c>
      <c r="AN124" s="68" t="str">
        <f t="shared" si="12"/>
        <v>00</v>
      </c>
      <c r="AO124" s="68" t="str">
        <f t="shared" si="13"/>
        <v>00</v>
      </c>
      <c r="AQ124" t="str">
        <f t="shared" si="8"/>
        <v xml:space="preserve">    (U4)0x00000035U,                                                           /* 53 UNKNOWN                                         */</v>
      </c>
    </row>
    <row r="125" spans="2:43">
      <c r="B125" s="139"/>
      <c r="C125" s="55">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1</v>
      </c>
      <c r="AE125" s="133">
        <f t="shared" si="25"/>
        <v>1</v>
      </c>
      <c r="AF125" s="133">
        <f t="shared" si="25"/>
        <v>0</v>
      </c>
      <c r="AG125" s="133">
        <f t="shared" si="25"/>
        <v>1</v>
      </c>
      <c r="AH125" s="133">
        <f t="shared" si="25"/>
        <v>1</v>
      </c>
      <c r="AI125" s="133">
        <f t="shared" si="25"/>
        <v>0</v>
      </c>
      <c r="AJ125" s="55" t="str">
        <f t="shared" si="7"/>
        <v>UNKNOWN</v>
      </c>
      <c r="AK125" s="68"/>
      <c r="AL125" s="68" t="str">
        <f t="shared" si="10"/>
        <v>36</v>
      </c>
      <c r="AM125" s="68" t="str">
        <f t="shared" si="11"/>
        <v>00</v>
      </c>
      <c r="AN125" s="68" t="str">
        <f t="shared" si="12"/>
        <v>00</v>
      </c>
      <c r="AO125" s="68" t="str">
        <f t="shared" si="13"/>
        <v>00</v>
      </c>
      <c r="AQ125" t="str">
        <f t="shared" si="8"/>
        <v xml:space="preserve">    (U4)0x00000036U,                                                           /* 54 UNKNOWN                                         */</v>
      </c>
    </row>
    <row r="126" spans="2:43">
      <c r="B126" s="139"/>
      <c r="C126" s="55">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1</v>
      </c>
      <c r="AE126" s="133">
        <f t="shared" si="25"/>
        <v>1</v>
      </c>
      <c r="AF126" s="133">
        <f t="shared" si="25"/>
        <v>0</v>
      </c>
      <c r="AG126" s="133">
        <f t="shared" si="25"/>
        <v>1</v>
      </c>
      <c r="AH126" s="133">
        <f t="shared" si="25"/>
        <v>1</v>
      </c>
      <c r="AI126" s="133">
        <f t="shared" ref="AI126" si="26">IF(AI61=1,1,0)</f>
        <v>1</v>
      </c>
      <c r="AJ126" s="55" t="str">
        <f t="shared" si="7"/>
        <v>UNKNOWN</v>
      </c>
      <c r="AK126" s="68"/>
      <c r="AL126" s="68" t="str">
        <f t="shared" si="10"/>
        <v>37</v>
      </c>
      <c r="AM126" s="68" t="str">
        <f t="shared" si="11"/>
        <v>00</v>
      </c>
      <c r="AN126" s="68" t="str">
        <f t="shared" si="12"/>
        <v>00</v>
      </c>
      <c r="AO126" s="68" t="str">
        <f t="shared" si="13"/>
        <v>00</v>
      </c>
      <c r="AQ126" t="str">
        <f t="shared" si="8"/>
        <v xml:space="preserve">    (U4)0x00000037U,                                                           /* 55 UNKNOWN                                         */</v>
      </c>
    </row>
    <row r="127" spans="2:43">
      <c r="B127" s="139"/>
      <c r="C127" s="55">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1</v>
      </c>
      <c r="AE127" s="133">
        <f t="shared" si="27"/>
        <v>1</v>
      </c>
      <c r="AF127" s="133">
        <f t="shared" si="27"/>
        <v>1</v>
      </c>
      <c r="AG127" s="133">
        <f t="shared" si="27"/>
        <v>0</v>
      </c>
      <c r="AH127" s="133">
        <f t="shared" si="27"/>
        <v>0</v>
      </c>
      <c r="AI127" s="133">
        <f t="shared" si="27"/>
        <v>0</v>
      </c>
      <c r="AJ127" s="55" t="str">
        <f t="shared" si="7"/>
        <v>UNKNOWN</v>
      </c>
      <c r="AK127" s="68"/>
      <c r="AL127" s="68" t="str">
        <f t="shared" si="10"/>
        <v>38</v>
      </c>
      <c r="AM127" s="68" t="str">
        <f t="shared" si="11"/>
        <v>00</v>
      </c>
      <c r="AN127" s="68" t="str">
        <f t="shared" si="12"/>
        <v>00</v>
      </c>
      <c r="AO127" s="68" t="str">
        <f t="shared" si="13"/>
        <v>00</v>
      </c>
      <c r="AQ127" t="str">
        <f t="shared" si="8"/>
        <v xml:space="preserve">    (U4)0x00000038U,                                                           /* 56 UNKNOWN                                         */</v>
      </c>
    </row>
    <row r="128" spans="2:43">
      <c r="B128" s="139"/>
      <c r="C128" s="55">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1</v>
      </c>
      <c r="AE128" s="133">
        <f t="shared" si="27"/>
        <v>1</v>
      </c>
      <c r="AF128" s="133">
        <f t="shared" si="27"/>
        <v>1</v>
      </c>
      <c r="AG128" s="133">
        <f t="shared" si="27"/>
        <v>0</v>
      </c>
      <c r="AH128" s="133">
        <f t="shared" si="27"/>
        <v>0</v>
      </c>
      <c r="AI128" s="133">
        <f t="shared" si="27"/>
        <v>1</v>
      </c>
      <c r="AJ128" s="55" t="str">
        <f t="shared" si="7"/>
        <v>UNKNOWN</v>
      </c>
      <c r="AK128" s="68"/>
      <c r="AL128" s="68" t="str">
        <f t="shared" si="10"/>
        <v>39</v>
      </c>
      <c r="AM128" s="68" t="str">
        <f t="shared" si="11"/>
        <v>00</v>
      </c>
      <c r="AN128" s="68" t="str">
        <f t="shared" si="12"/>
        <v>00</v>
      </c>
      <c r="AO128" s="68" t="str">
        <f t="shared" si="13"/>
        <v>00</v>
      </c>
      <c r="AQ128" t="str">
        <f t="shared" si="8"/>
        <v xml:space="preserve">    (U4)0x00000039U,                                                           /* 57 UNKNOWN                                         */</v>
      </c>
    </row>
    <row r="129" spans="1:43">
      <c r="B129" s="139"/>
      <c r="C129" s="55">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1</v>
      </c>
      <c r="AE129" s="133">
        <f t="shared" si="27"/>
        <v>1</v>
      </c>
      <c r="AF129" s="133">
        <f t="shared" si="27"/>
        <v>1</v>
      </c>
      <c r="AG129" s="133">
        <f t="shared" si="27"/>
        <v>0</v>
      </c>
      <c r="AH129" s="133">
        <f t="shared" si="27"/>
        <v>1</v>
      </c>
      <c r="AI129" s="133">
        <f t="shared" si="27"/>
        <v>0</v>
      </c>
      <c r="AJ129" s="55" t="str">
        <f t="shared" si="7"/>
        <v>UNKNOWN</v>
      </c>
      <c r="AK129" s="68"/>
      <c r="AL129" s="68" t="str">
        <f t="shared" si="10"/>
        <v>3A</v>
      </c>
      <c r="AM129" s="68" t="str">
        <f t="shared" si="11"/>
        <v>00</v>
      </c>
      <c r="AN129" s="68" t="str">
        <f t="shared" si="12"/>
        <v>00</v>
      </c>
      <c r="AO129" s="68" t="str">
        <f t="shared" si="13"/>
        <v>00</v>
      </c>
      <c r="AQ129" t="str">
        <f t="shared" si="8"/>
        <v xml:space="preserve">    (U4)0x0000003AU,                                                           /* 58 UNKNOWN                                         */</v>
      </c>
    </row>
    <row r="130" spans="1:43">
      <c r="B130" s="139"/>
      <c r="C130" s="55">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1</v>
      </c>
      <c r="AE130" s="133">
        <f t="shared" si="27"/>
        <v>1</v>
      </c>
      <c r="AF130" s="133">
        <f t="shared" si="27"/>
        <v>1</v>
      </c>
      <c r="AG130" s="133">
        <f t="shared" si="27"/>
        <v>0</v>
      </c>
      <c r="AH130" s="133">
        <f t="shared" si="27"/>
        <v>1</v>
      </c>
      <c r="AI130" s="133">
        <f t="shared" si="27"/>
        <v>1</v>
      </c>
      <c r="AJ130" s="55" t="str">
        <f t="shared" si="7"/>
        <v>UNKNOWN</v>
      </c>
      <c r="AK130" s="68"/>
      <c r="AL130" s="68" t="str">
        <f t="shared" si="10"/>
        <v>3B</v>
      </c>
      <c r="AM130" s="68" t="str">
        <f t="shared" si="11"/>
        <v>00</v>
      </c>
      <c r="AN130" s="68" t="str">
        <f t="shared" si="12"/>
        <v>00</v>
      </c>
      <c r="AO130" s="68" t="str">
        <f t="shared" si="13"/>
        <v>00</v>
      </c>
      <c r="AQ130" t="str">
        <f t="shared" si="8"/>
        <v xml:space="preserve">    (U4)0x0000003BU,                                                           /* 59 UNKNOWN                                         */</v>
      </c>
    </row>
    <row r="131" spans="1:43">
      <c r="B131" s="139"/>
      <c r="C131" s="55">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1</v>
      </c>
      <c r="AE131" s="133">
        <f t="shared" si="27"/>
        <v>1</v>
      </c>
      <c r="AF131" s="133">
        <f t="shared" si="27"/>
        <v>1</v>
      </c>
      <c r="AG131" s="133">
        <f t="shared" si="27"/>
        <v>1</v>
      </c>
      <c r="AH131" s="133">
        <f t="shared" si="27"/>
        <v>0</v>
      </c>
      <c r="AI131" s="133">
        <f t="shared" si="27"/>
        <v>0</v>
      </c>
      <c r="AJ131" s="55" t="str">
        <f t="shared" si="7"/>
        <v>UNKNOWN</v>
      </c>
      <c r="AK131" s="68"/>
      <c r="AL131" s="68" t="str">
        <f t="shared" si="10"/>
        <v>3C</v>
      </c>
      <c r="AM131" s="68" t="str">
        <f t="shared" si="11"/>
        <v>00</v>
      </c>
      <c r="AN131" s="68" t="str">
        <f t="shared" si="12"/>
        <v>00</v>
      </c>
      <c r="AO131" s="68" t="str">
        <f t="shared" si="13"/>
        <v>00</v>
      </c>
      <c r="AQ131" t="str">
        <f t="shared" si="8"/>
        <v xml:space="preserve">    (U4)0x0000003CU,                                                           /* 60 UNKNOWN                                         */</v>
      </c>
    </row>
    <row r="132" spans="1:43">
      <c r="B132" s="139"/>
      <c r="C132" s="55">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1</v>
      </c>
      <c r="AE132" s="133">
        <f t="shared" si="27"/>
        <v>1</v>
      </c>
      <c r="AF132" s="133">
        <f t="shared" si="27"/>
        <v>1</v>
      </c>
      <c r="AG132" s="133">
        <f t="shared" si="27"/>
        <v>1</v>
      </c>
      <c r="AH132" s="133">
        <f t="shared" si="27"/>
        <v>0</v>
      </c>
      <c r="AI132" s="133">
        <f t="shared" si="27"/>
        <v>1</v>
      </c>
      <c r="AJ132" s="55" t="str">
        <f t="shared" si="7"/>
        <v>UNKNOWN</v>
      </c>
      <c r="AK132" s="68"/>
      <c r="AL132" s="68" t="str">
        <f t="shared" si="10"/>
        <v>3D</v>
      </c>
      <c r="AM132" s="68" t="str">
        <f t="shared" si="11"/>
        <v>00</v>
      </c>
      <c r="AN132" s="68" t="str">
        <f t="shared" si="12"/>
        <v>00</v>
      </c>
      <c r="AO132" s="68" t="str">
        <f t="shared" si="13"/>
        <v>00</v>
      </c>
      <c r="AQ132" t="str">
        <f t="shared" si="8"/>
        <v xml:space="preserve">    (U4)0x0000003DU,                                                           /* 61 UNKNOWN                                         */</v>
      </c>
    </row>
    <row r="133" spans="1:43">
      <c r="B133" s="139"/>
      <c r="C133" s="55">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1</v>
      </c>
      <c r="AE133" s="133">
        <f t="shared" si="27"/>
        <v>1</v>
      </c>
      <c r="AF133" s="133">
        <f t="shared" si="27"/>
        <v>1</v>
      </c>
      <c r="AG133" s="133">
        <f t="shared" si="27"/>
        <v>1</v>
      </c>
      <c r="AH133" s="133">
        <f t="shared" si="27"/>
        <v>1</v>
      </c>
      <c r="AI133" s="133">
        <f t="shared" si="27"/>
        <v>0</v>
      </c>
      <c r="AJ133" s="55" t="str">
        <f t="shared" si="7"/>
        <v>UNKNOWN</v>
      </c>
      <c r="AK133" s="68"/>
      <c r="AL133" s="68" t="str">
        <f t="shared" si="10"/>
        <v>3E</v>
      </c>
      <c r="AM133" s="68" t="str">
        <f t="shared" si="11"/>
        <v>00</v>
      </c>
      <c r="AN133" s="68" t="str">
        <f t="shared" si="12"/>
        <v>00</v>
      </c>
      <c r="AO133" s="68" t="str">
        <f t="shared" si="13"/>
        <v>00</v>
      </c>
      <c r="AQ133" t="str">
        <f t="shared" si="8"/>
        <v xml:space="preserve">    (U4)0x0000003EU,                                                           /* 62 UNKNOWN                                         */</v>
      </c>
    </row>
    <row r="134" spans="1:43">
      <c r="B134" s="140"/>
      <c r="C134" s="55">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1</v>
      </c>
      <c r="AE134" s="133">
        <f t="shared" si="27"/>
        <v>1</v>
      </c>
      <c r="AF134" s="133">
        <f t="shared" si="27"/>
        <v>1</v>
      </c>
      <c r="AG134" s="133">
        <f t="shared" si="27"/>
        <v>1</v>
      </c>
      <c r="AH134" s="133">
        <f t="shared" si="27"/>
        <v>1</v>
      </c>
      <c r="AI134" s="133">
        <f t="shared" ref="AI134" si="28">IF(AI69=1,1,0)</f>
        <v>1</v>
      </c>
      <c r="AJ134" s="55" t="str">
        <f t="shared" si="7"/>
        <v>UNKNOWN</v>
      </c>
      <c r="AK134" s="68"/>
      <c r="AL134" s="68" t="str">
        <f t="shared" si="10"/>
        <v>3F</v>
      </c>
      <c r="AM134" s="68" t="str">
        <f t="shared" si="11"/>
        <v>00</v>
      </c>
      <c r="AN134" s="68" t="str">
        <f t="shared" si="12"/>
        <v>00</v>
      </c>
      <c r="AO134" s="68" t="str">
        <f t="shared" si="13"/>
        <v>00</v>
      </c>
      <c r="AQ134" t="str">
        <f t="shared" si="8"/>
        <v xml:space="preserve">    (U4)0x0000003FU                                                            /* 63 UNKNOWN                                         */</v>
      </c>
    </row>
    <row r="135" spans="1:43">
      <c r="A135" s="64" t="s">
        <v>68</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1" t="str">
        <f ca="1">IF(B6&lt;&gt;"",B6,"")</f>
        <v>Table PD_MG</v>
      </c>
      <c r="C136" s="55">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1</v>
      </c>
      <c r="AE136" s="133">
        <f t="shared" si="29"/>
        <v>1</v>
      </c>
      <c r="AF136" s="133">
        <f t="shared" si="29"/>
        <v>1</v>
      </c>
      <c r="AG136" s="133">
        <f t="shared" si="29"/>
        <v>1</v>
      </c>
      <c r="AH136" s="133">
        <f t="shared" si="29"/>
        <v>1</v>
      </c>
      <c r="AI136" s="133">
        <f t="shared" si="29"/>
        <v>1</v>
      </c>
      <c r="AJ136" s="55" t="str">
        <f t="shared" ref="AJ136:AJ199" si="30">IF(AJ6&lt;&gt;"",AJ6,"")</f>
        <v>UNKNOWN</v>
      </c>
      <c r="AK136" s="68"/>
      <c r="AL136" s="68" t="str">
        <f>BIN2HEX(AB136&amp;AC136&amp;AD136&amp;AE136&amp;AF136&amp;AG136&amp;AH136&amp;AI136,2)</f>
        <v>3F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9"/>
      <c r="C137" s="55">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1</v>
      </c>
      <c r="AE137" s="133">
        <f t="shared" si="29"/>
        <v>1</v>
      </c>
      <c r="AF137" s="133">
        <f t="shared" si="29"/>
        <v>1</v>
      </c>
      <c r="AG137" s="133">
        <f t="shared" si="29"/>
        <v>1</v>
      </c>
      <c r="AH137" s="133">
        <f t="shared" si="29"/>
        <v>1</v>
      </c>
      <c r="AI137" s="133">
        <f t="shared" si="29"/>
        <v>1</v>
      </c>
      <c r="AJ137" s="55" t="str">
        <f t="shared" si="30"/>
        <v>CANCEL</v>
      </c>
      <c r="AK137" s="68"/>
      <c r="AL137" s="68" t="str">
        <f t="shared" ref="AL137:AL199" si="33">BIN2HEX(AB137&amp;AC137&amp;AD137&amp;AE137&amp;AF137&amp;AG137&amp;AH137&amp;AI137,2)</f>
        <v>3F</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(U4)0x0000003FU,                                                           /* 01 CANCEL                                          */</v>
      </c>
    </row>
    <row r="138" spans="1:43">
      <c r="B138" s="139"/>
      <c r="C138" s="55">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1</v>
      </c>
      <c r="AE138" s="133">
        <f t="shared" si="29"/>
        <v>1</v>
      </c>
      <c r="AF138" s="133">
        <f t="shared" si="29"/>
        <v>1</v>
      </c>
      <c r="AG138" s="133">
        <f t="shared" si="29"/>
        <v>1</v>
      </c>
      <c r="AH138" s="133">
        <f t="shared" si="29"/>
        <v>1</v>
      </c>
      <c r="AI138" s="133">
        <f t="shared" si="29"/>
        <v>1</v>
      </c>
      <c r="AJ138" s="55" t="str">
        <f t="shared" si="30"/>
        <v>UNKNOWN</v>
      </c>
      <c r="AK138" s="68"/>
      <c r="AL138" s="68" t="str">
        <f t="shared" si="33"/>
        <v>3F</v>
      </c>
      <c r="AM138" s="68" t="str">
        <f t="shared" si="34"/>
        <v>00</v>
      </c>
      <c r="AN138" s="68" t="str">
        <f t="shared" si="35"/>
        <v>00</v>
      </c>
      <c r="AO138" s="68" t="str">
        <f t="shared" si="36"/>
        <v>00</v>
      </c>
      <c r="AQ138" t="str">
        <f t="shared" si="31"/>
        <v xml:space="preserve">    (U4)0x0000003FU,                                                           /* 02 UNKNOWN                                         */</v>
      </c>
    </row>
    <row r="139" spans="1:43">
      <c r="B139" s="139"/>
      <c r="C139" s="55">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1</v>
      </c>
      <c r="AE139" s="133">
        <f t="shared" si="29"/>
        <v>1</v>
      </c>
      <c r="AF139" s="133">
        <f t="shared" si="29"/>
        <v>1</v>
      </c>
      <c r="AG139" s="133">
        <f t="shared" si="29"/>
        <v>1</v>
      </c>
      <c r="AH139" s="133">
        <f t="shared" si="29"/>
        <v>1</v>
      </c>
      <c r="AI139" s="133">
        <f t="shared" si="29"/>
        <v>1</v>
      </c>
      <c r="AJ139" s="55" t="str">
        <f t="shared" si="30"/>
        <v>UNKNOWN</v>
      </c>
      <c r="AK139" s="68"/>
      <c r="AL139" s="68" t="str">
        <f t="shared" si="33"/>
        <v>3F</v>
      </c>
      <c r="AM139" s="68" t="str">
        <f t="shared" si="34"/>
        <v>00</v>
      </c>
      <c r="AN139" s="68" t="str">
        <f t="shared" si="35"/>
        <v>00</v>
      </c>
      <c r="AO139" s="68" t="str">
        <f t="shared" si="36"/>
        <v>00</v>
      </c>
      <c r="AQ139" t="str">
        <f t="shared" si="31"/>
        <v xml:space="preserve">    (U4)0x0000003FU,                                                           /* 03 UNKNOWN                                         */</v>
      </c>
    </row>
    <row r="140" spans="1:43">
      <c r="B140" s="139"/>
      <c r="C140" s="55">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1</v>
      </c>
      <c r="AE140" s="133">
        <f t="shared" si="29"/>
        <v>1</v>
      </c>
      <c r="AF140" s="133">
        <f t="shared" si="29"/>
        <v>1</v>
      </c>
      <c r="AG140" s="133">
        <f t="shared" si="29"/>
        <v>1</v>
      </c>
      <c r="AH140" s="133">
        <f t="shared" si="29"/>
        <v>1</v>
      </c>
      <c r="AI140" s="133">
        <f t="shared" si="29"/>
        <v>1</v>
      </c>
      <c r="AJ140" s="55" t="str">
        <f t="shared" si="30"/>
        <v>UNAVLBL1</v>
      </c>
      <c r="AK140" s="68"/>
      <c r="AL140" s="68" t="str">
        <f t="shared" si="33"/>
        <v>3F</v>
      </c>
      <c r="AM140" s="68" t="str">
        <f t="shared" si="34"/>
        <v>00</v>
      </c>
      <c r="AN140" s="68" t="str">
        <f t="shared" si="35"/>
        <v>00</v>
      </c>
      <c r="AO140" s="68" t="str">
        <f t="shared" si="36"/>
        <v>00</v>
      </c>
      <c r="AQ140" t="str">
        <f t="shared" si="31"/>
        <v xml:space="preserve">    (U4)0x0000003FU,                                                           /* 04 UNAVLBL1                                        */</v>
      </c>
    </row>
    <row r="141" spans="1:43">
      <c r="B141" s="139"/>
      <c r="C141" s="55">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1</v>
      </c>
      <c r="AE141" s="133">
        <f t="shared" si="29"/>
        <v>1</v>
      </c>
      <c r="AF141" s="133">
        <f t="shared" si="29"/>
        <v>1</v>
      </c>
      <c r="AG141" s="133">
        <f t="shared" si="29"/>
        <v>1</v>
      </c>
      <c r="AH141" s="133">
        <f t="shared" si="29"/>
        <v>1</v>
      </c>
      <c r="AI141" s="133">
        <f t="shared" si="29"/>
        <v>1</v>
      </c>
      <c r="AJ141" s="55" t="str">
        <f t="shared" si="30"/>
        <v>UNAVLBL2</v>
      </c>
      <c r="AK141" s="68"/>
      <c r="AL141" s="68" t="str">
        <f t="shared" si="33"/>
        <v>3F</v>
      </c>
      <c r="AM141" s="68" t="str">
        <f t="shared" si="34"/>
        <v>00</v>
      </c>
      <c r="AN141" s="68" t="str">
        <f t="shared" si="35"/>
        <v>00</v>
      </c>
      <c r="AO141" s="68" t="str">
        <f t="shared" si="36"/>
        <v>00</v>
      </c>
      <c r="AQ141" t="str">
        <f t="shared" si="31"/>
        <v xml:space="preserve">    (U4)0x0000003FU,                                                           /* 05 UNAVLBL2                                        */</v>
      </c>
    </row>
    <row r="142" spans="1:43">
      <c r="B142" s="139"/>
      <c r="C142" s="55">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1</v>
      </c>
      <c r="AE142" s="133">
        <f t="shared" si="29"/>
        <v>1</v>
      </c>
      <c r="AF142" s="133">
        <f t="shared" si="29"/>
        <v>1</v>
      </c>
      <c r="AG142" s="133">
        <f t="shared" si="29"/>
        <v>1</v>
      </c>
      <c r="AH142" s="133">
        <f t="shared" si="29"/>
        <v>1</v>
      </c>
      <c r="AI142" s="133">
        <f t="shared" si="29"/>
        <v>1</v>
      </c>
      <c r="AJ142" s="55" t="str">
        <f t="shared" si="30"/>
        <v>UNAVLBL3</v>
      </c>
      <c r="AK142" s="68"/>
      <c r="AL142" s="68" t="str">
        <f t="shared" si="33"/>
        <v>3F</v>
      </c>
      <c r="AM142" s="68" t="str">
        <f t="shared" si="34"/>
        <v>00</v>
      </c>
      <c r="AN142" s="68" t="str">
        <f t="shared" si="35"/>
        <v>00</v>
      </c>
      <c r="AO142" s="68" t="str">
        <f t="shared" si="36"/>
        <v>00</v>
      </c>
      <c r="AQ142" t="str">
        <f t="shared" si="31"/>
        <v xml:space="preserve">    (U4)0x0000003FU,                                                           /* 06 UNAVLBL3                                        */</v>
      </c>
    </row>
    <row r="143" spans="1:43">
      <c r="B143" s="139"/>
      <c r="C143" s="55">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1</v>
      </c>
      <c r="AE143" s="133">
        <f t="shared" si="29"/>
        <v>1</v>
      </c>
      <c r="AF143" s="133">
        <f t="shared" si="29"/>
        <v>1</v>
      </c>
      <c r="AG143" s="133">
        <f t="shared" si="29"/>
        <v>1</v>
      </c>
      <c r="AH143" s="133">
        <f t="shared" si="29"/>
        <v>1</v>
      </c>
      <c r="AI143" s="133">
        <f t="shared" ref="AI143" si="37">IF(OR(AI13=0,AI13=1),1,0)</f>
        <v>1</v>
      </c>
      <c r="AJ143" s="55" t="str">
        <f t="shared" si="30"/>
        <v>UNKNOWN</v>
      </c>
      <c r="AK143" s="68"/>
      <c r="AL143" s="68" t="str">
        <f t="shared" si="33"/>
        <v>3F</v>
      </c>
      <c r="AM143" s="68" t="str">
        <f t="shared" si="34"/>
        <v>00</v>
      </c>
      <c r="AN143" s="68" t="str">
        <f t="shared" si="35"/>
        <v>00</v>
      </c>
      <c r="AO143" s="68" t="str">
        <f t="shared" si="36"/>
        <v>00</v>
      </c>
      <c r="AQ143" t="str">
        <f t="shared" si="31"/>
        <v xml:space="preserve">    (U4)0x0000003FU,                                                           /* 07 UNKNOWN                                         */</v>
      </c>
    </row>
    <row r="144" spans="1:43">
      <c r="B144" s="139"/>
      <c r="C144" s="55">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1</v>
      </c>
      <c r="AE144" s="133">
        <f t="shared" si="38"/>
        <v>1</v>
      </c>
      <c r="AF144" s="133">
        <f t="shared" si="38"/>
        <v>1</v>
      </c>
      <c r="AG144" s="133">
        <f t="shared" si="38"/>
        <v>1</v>
      </c>
      <c r="AH144" s="133">
        <f t="shared" si="38"/>
        <v>1</v>
      </c>
      <c r="AI144" s="133">
        <f t="shared" si="38"/>
        <v>1</v>
      </c>
      <c r="AJ144" s="55" t="str">
        <f t="shared" si="30"/>
        <v>NTHOLD</v>
      </c>
      <c r="AK144" s="68"/>
      <c r="AL144" s="68" t="str">
        <f t="shared" si="33"/>
        <v>3F</v>
      </c>
      <c r="AM144" s="68" t="str">
        <f t="shared" si="34"/>
        <v>00</v>
      </c>
      <c r="AN144" s="68" t="str">
        <f t="shared" si="35"/>
        <v>00</v>
      </c>
      <c r="AO144" s="68" t="str">
        <f t="shared" si="36"/>
        <v>00</v>
      </c>
      <c r="AQ144" t="str">
        <f t="shared" si="31"/>
        <v xml:space="preserve">    (U4)0x0000003FU,                                                           /* 08 NTHOLD                                          */</v>
      </c>
    </row>
    <row r="145" spans="2:43">
      <c r="B145" s="139"/>
      <c r="C145" s="55">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1</v>
      </c>
      <c r="AE145" s="133">
        <f t="shared" si="38"/>
        <v>1</v>
      </c>
      <c r="AF145" s="133">
        <f t="shared" si="38"/>
        <v>1</v>
      </c>
      <c r="AG145" s="133">
        <f t="shared" si="38"/>
        <v>1</v>
      </c>
      <c r="AH145" s="133">
        <f t="shared" si="38"/>
        <v>1</v>
      </c>
      <c r="AI145" s="133">
        <f t="shared" si="38"/>
        <v>1</v>
      </c>
      <c r="AJ145" s="55" t="str">
        <f t="shared" si="30"/>
        <v>AVAIL</v>
      </c>
      <c r="AK145" s="68"/>
      <c r="AL145" s="68" t="str">
        <f t="shared" si="33"/>
        <v>3F</v>
      </c>
      <c r="AM145" s="68" t="str">
        <f t="shared" si="34"/>
        <v>00</v>
      </c>
      <c r="AN145" s="68" t="str">
        <f t="shared" si="35"/>
        <v>00</v>
      </c>
      <c r="AO145" s="68" t="str">
        <f t="shared" si="36"/>
        <v>00</v>
      </c>
      <c r="AQ145" t="str">
        <f t="shared" si="31"/>
        <v xml:space="preserve">    (U4)0x0000003FU,                                                           /* 09 AVAIL                                           */</v>
      </c>
    </row>
    <row r="146" spans="2:43">
      <c r="B146" s="139"/>
      <c r="C146" s="55">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1</v>
      </c>
      <c r="AE146" s="133">
        <f t="shared" si="38"/>
        <v>1</v>
      </c>
      <c r="AF146" s="133">
        <f t="shared" si="38"/>
        <v>1</v>
      </c>
      <c r="AG146" s="133">
        <f t="shared" si="38"/>
        <v>1</v>
      </c>
      <c r="AH146" s="133">
        <f t="shared" si="38"/>
        <v>1</v>
      </c>
      <c r="AI146" s="133">
        <f t="shared" si="38"/>
        <v>1</v>
      </c>
      <c r="AJ146" s="55" t="str">
        <f t="shared" si="30"/>
        <v>UNKNOWN</v>
      </c>
      <c r="AK146" s="68"/>
      <c r="AL146" s="68" t="str">
        <f t="shared" si="33"/>
        <v>3F</v>
      </c>
      <c r="AM146" s="68" t="str">
        <f t="shared" si="34"/>
        <v>00</v>
      </c>
      <c r="AN146" s="68" t="str">
        <f t="shared" si="35"/>
        <v>00</v>
      </c>
      <c r="AO146" s="68" t="str">
        <f t="shared" si="36"/>
        <v>00</v>
      </c>
      <c r="AQ146" t="str">
        <f t="shared" si="31"/>
        <v xml:space="preserve">    (U4)0x0000003FU,                                                           /* 10 UNKNOWN                                         */</v>
      </c>
    </row>
    <row r="147" spans="2:43">
      <c r="B147" s="139"/>
      <c r="C147" s="55">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1</v>
      </c>
      <c r="AE147" s="133">
        <f t="shared" si="38"/>
        <v>1</v>
      </c>
      <c r="AF147" s="133">
        <f t="shared" si="38"/>
        <v>1</v>
      </c>
      <c r="AG147" s="133">
        <f t="shared" si="38"/>
        <v>1</v>
      </c>
      <c r="AH147" s="133">
        <f t="shared" si="38"/>
        <v>1</v>
      </c>
      <c r="AI147" s="133">
        <f t="shared" si="38"/>
        <v>1</v>
      </c>
      <c r="AJ147" s="55" t="str">
        <f t="shared" si="30"/>
        <v>UNKNOWN</v>
      </c>
      <c r="AK147" s="68"/>
      <c r="AL147" s="68" t="str">
        <f t="shared" si="33"/>
        <v>3F</v>
      </c>
      <c r="AM147" s="68" t="str">
        <f t="shared" si="34"/>
        <v>00</v>
      </c>
      <c r="AN147" s="68" t="str">
        <f t="shared" si="35"/>
        <v>00</v>
      </c>
      <c r="AO147" s="68" t="str">
        <f t="shared" si="36"/>
        <v>00</v>
      </c>
      <c r="AQ147" t="str">
        <f t="shared" si="31"/>
        <v xml:space="preserve">    (U4)0x0000003FU,                                                           /* 11 UNKNOWN                                         */</v>
      </c>
    </row>
    <row r="148" spans="2:43">
      <c r="B148" s="139"/>
      <c r="C148" s="55">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1</v>
      </c>
      <c r="AE148" s="133">
        <f t="shared" si="38"/>
        <v>1</v>
      </c>
      <c r="AF148" s="133">
        <f t="shared" si="38"/>
        <v>1</v>
      </c>
      <c r="AG148" s="133">
        <f t="shared" si="38"/>
        <v>1</v>
      </c>
      <c r="AH148" s="133">
        <f t="shared" si="38"/>
        <v>1</v>
      </c>
      <c r="AI148" s="133">
        <f t="shared" si="38"/>
        <v>1</v>
      </c>
      <c r="AJ148" s="55" t="str">
        <f t="shared" si="30"/>
        <v>UNKNOWN</v>
      </c>
      <c r="AK148" s="68"/>
      <c r="AL148" s="68" t="str">
        <f t="shared" si="33"/>
        <v>3F</v>
      </c>
      <c r="AM148" s="68" t="str">
        <f t="shared" si="34"/>
        <v>00</v>
      </c>
      <c r="AN148" s="68" t="str">
        <f t="shared" si="35"/>
        <v>00</v>
      </c>
      <c r="AO148" s="68" t="str">
        <f t="shared" si="36"/>
        <v>00</v>
      </c>
      <c r="AQ148" t="str">
        <f t="shared" si="31"/>
        <v xml:space="preserve">    (U4)0x0000003FU,                                                           /* 12 UNKNOWN                                         */</v>
      </c>
    </row>
    <row r="149" spans="2:43">
      <c r="B149" s="139"/>
      <c r="C149" s="55">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1</v>
      </c>
      <c r="AE149" s="133">
        <f t="shared" si="38"/>
        <v>1</v>
      </c>
      <c r="AF149" s="133">
        <f t="shared" si="38"/>
        <v>1</v>
      </c>
      <c r="AG149" s="133">
        <f t="shared" si="38"/>
        <v>1</v>
      </c>
      <c r="AH149" s="133">
        <f t="shared" si="38"/>
        <v>1</v>
      </c>
      <c r="AI149" s="133">
        <f t="shared" si="38"/>
        <v>1</v>
      </c>
      <c r="AJ149" s="55" t="str">
        <f t="shared" si="30"/>
        <v>UNKNOWN</v>
      </c>
      <c r="AK149" s="68"/>
      <c r="AL149" s="68" t="str">
        <f t="shared" si="33"/>
        <v>3F</v>
      </c>
      <c r="AM149" s="68" t="str">
        <f t="shared" si="34"/>
        <v>00</v>
      </c>
      <c r="AN149" s="68" t="str">
        <f t="shared" si="35"/>
        <v>00</v>
      </c>
      <c r="AO149" s="68" t="str">
        <f t="shared" si="36"/>
        <v>00</v>
      </c>
      <c r="AQ149" t="str">
        <f t="shared" si="31"/>
        <v xml:space="preserve">    (U4)0x0000003FU,                                                           /* 13 UNKNOWN                                         */</v>
      </c>
    </row>
    <row r="150" spans="2:43">
      <c r="B150" s="139"/>
      <c r="C150" s="55">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1</v>
      </c>
      <c r="AE150" s="133">
        <f t="shared" si="38"/>
        <v>1</v>
      </c>
      <c r="AF150" s="133">
        <f t="shared" si="38"/>
        <v>1</v>
      </c>
      <c r="AG150" s="133">
        <f t="shared" si="38"/>
        <v>1</v>
      </c>
      <c r="AH150" s="133">
        <f t="shared" si="38"/>
        <v>1</v>
      </c>
      <c r="AI150" s="133">
        <f t="shared" si="38"/>
        <v>1</v>
      </c>
      <c r="AJ150" s="55" t="str">
        <f t="shared" si="30"/>
        <v>UNKNOWN</v>
      </c>
      <c r="AK150" s="68"/>
      <c r="AL150" s="68" t="str">
        <f t="shared" si="33"/>
        <v>3F</v>
      </c>
      <c r="AM150" s="68" t="str">
        <f t="shared" si="34"/>
        <v>00</v>
      </c>
      <c r="AN150" s="68" t="str">
        <f t="shared" si="35"/>
        <v>00</v>
      </c>
      <c r="AO150" s="68" t="str">
        <f t="shared" si="36"/>
        <v>00</v>
      </c>
      <c r="AQ150" t="str">
        <f t="shared" si="31"/>
        <v xml:space="preserve">    (U4)0x0000003FU,                                                           /* 14 UNKNOWN                                         */</v>
      </c>
    </row>
    <row r="151" spans="2:43">
      <c r="B151" s="139"/>
      <c r="C151" s="55">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1</v>
      </c>
      <c r="AE151" s="133">
        <f t="shared" si="38"/>
        <v>1</v>
      </c>
      <c r="AF151" s="133">
        <f t="shared" si="38"/>
        <v>1</v>
      </c>
      <c r="AG151" s="133">
        <f t="shared" si="38"/>
        <v>1</v>
      </c>
      <c r="AH151" s="133">
        <f t="shared" si="38"/>
        <v>1</v>
      </c>
      <c r="AI151" s="133">
        <f t="shared" ref="AI151" si="39">IF(OR(AI21=0,AI21=1),1,0)</f>
        <v>1</v>
      </c>
      <c r="AJ151" s="55" t="str">
        <f t="shared" si="30"/>
        <v>UNKNOWN</v>
      </c>
      <c r="AK151" s="68"/>
      <c r="AL151" s="68" t="str">
        <f t="shared" si="33"/>
        <v>3F</v>
      </c>
      <c r="AM151" s="68" t="str">
        <f t="shared" si="34"/>
        <v>00</v>
      </c>
      <c r="AN151" s="68" t="str">
        <f t="shared" si="35"/>
        <v>00</v>
      </c>
      <c r="AO151" s="68" t="str">
        <f t="shared" si="36"/>
        <v>00</v>
      </c>
      <c r="AQ151" t="str">
        <f t="shared" si="31"/>
        <v xml:space="preserve">    (U4)0x0000003FU,                                                           /* 15 UNKNOWN                                         */</v>
      </c>
    </row>
    <row r="152" spans="2:43">
      <c r="B152" s="139"/>
      <c r="C152" s="55">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1</v>
      </c>
      <c r="AE152" s="133">
        <f t="shared" si="40"/>
        <v>1</v>
      </c>
      <c r="AF152" s="133">
        <f t="shared" si="40"/>
        <v>1</v>
      </c>
      <c r="AG152" s="133">
        <f t="shared" si="40"/>
        <v>1</v>
      </c>
      <c r="AH152" s="133">
        <f t="shared" si="40"/>
        <v>1</v>
      </c>
      <c r="AI152" s="133">
        <f t="shared" si="40"/>
        <v>1</v>
      </c>
      <c r="AJ152" s="55" t="str">
        <f t="shared" si="30"/>
        <v>UNKNOWN</v>
      </c>
      <c r="AK152" s="68"/>
      <c r="AL152" s="68" t="str">
        <f t="shared" si="33"/>
        <v>3F</v>
      </c>
      <c r="AM152" s="68" t="str">
        <f t="shared" si="34"/>
        <v>00</v>
      </c>
      <c r="AN152" s="68" t="str">
        <f t="shared" si="35"/>
        <v>00</v>
      </c>
      <c r="AO152" s="68" t="str">
        <f t="shared" si="36"/>
        <v>00</v>
      </c>
      <c r="AQ152" t="str">
        <f t="shared" si="31"/>
        <v xml:space="preserve">    (U4)0x0000003FU,                                                           /* 16 UNKNOWN                                         */</v>
      </c>
    </row>
    <row r="153" spans="2:43">
      <c r="B153" s="139"/>
      <c r="C153" s="55">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1</v>
      </c>
      <c r="AE153" s="133">
        <f t="shared" si="40"/>
        <v>1</v>
      </c>
      <c r="AF153" s="133">
        <f t="shared" si="40"/>
        <v>1</v>
      </c>
      <c r="AG153" s="133">
        <f t="shared" si="40"/>
        <v>1</v>
      </c>
      <c r="AH153" s="133">
        <f t="shared" si="40"/>
        <v>1</v>
      </c>
      <c r="AI153" s="133">
        <f t="shared" si="40"/>
        <v>1</v>
      </c>
      <c r="AJ153" s="55" t="str">
        <f t="shared" si="30"/>
        <v>UNKNOWN</v>
      </c>
      <c r="AK153" s="68"/>
      <c r="AL153" s="68" t="str">
        <f t="shared" si="33"/>
        <v>3F</v>
      </c>
      <c r="AM153" s="68" t="str">
        <f t="shared" si="34"/>
        <v>00</v>
      </c>
      <c r="AN153" s="68" t="str">
        <f t="shared" si="35"/>
        <v>00</v>
      </c>
      <c r="AO153" s="68" t="str">
        <f t="shared" si="36"/>
        <v>00</v>
      </c>
      <c r="AQ153" t="str">
        <f t="shared" si="31"/>
        <v xml:space="preserve">    (U4)0x0000003FU,                                                           /* 17 UNKNOWN                                         */</v>
      </c>
    </row>
    <row r="154" spans="2:43">
      <c r="B154" s="139"/>
      <c r="C154" s="55">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1</v>
      </c>
      <c r="AE154" s="133">
        <f t="shared" si="40"/>
        <v>1</v>
      </c>
      <c r="AF154" s="133">
        <f t="shared" si="40"/>
        <v>1</v>
      </c>
      <c r="AG154" s="133">
        <f t="shared" si="40"/>
        <v>1</v>
      </c>
      <c r="AH154" s="133">
        <f t="shared" si="40"/>
        <v>1</v>
      </c>
      <c r="AI154" s="133">
        <f t="shared" si="40"/>
        <v>1</v>
      </c>
      <c r="AJ154" s="55" t="str">
        <f t="shared" si="30"/>
        <v>UNKNOWN</v>
      </c>
      <c r="AK154" s="68"/>
      <c r="AL154" s="68" t="str">
        <f t="shared" si="33"/>
        <v>3F</v>
      </c>
      <c r="AM154" s="68" t="str">
        <f t="shared" si="34"/>
        <v>00</v>
      </c>
      <c r="AN154" s="68" t="str">
        <f t="shared" si="35"/>
        <v>00</v>
      </c>
      <c r="AO154" s="68" t="str">
        <f t="shared" si="36"/>
        <v>00</v>
      </c>
      <c r="AQ154" t="str">
        <f t="shared" si="31"/>
        <v xml:space="preserve">    (U4)0x0000003FU,                                                           /* 18 UNKNOWN                                         */</v>
      </c>
    </row>
    <row r="155" spans="2:43">
      <c r="B155" s="139"/>
      <c r="C155" s="55">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1</v>
      </c>
      <c r="AE155" s="133">
        <f t="shared" si="40"/>
        <v>1</v>
      </c>
      <c r="AF155" s="133">
        <f t="shared" si="40"/>
        <v>1</v>
      </c>
      <c r="AG155" s="133">
        <f t="shared" si="40"/>
        <v>1</v>
      </c>
      <c r="AH155" s="133">
        <f t="shared" si="40"/>
        <v>1</v>
      </c>
      <c r="AI155" s="133">
        <f t="shared" si="40"/>
        <v>1</v>
      </c>
      <c r="AJ155" s="55" t="str">
        <f t="shared" si="30"/>
        <v>UNKNOWN</v>
      </c>
      <c r="AK155" s="68"/>
      <c r="AL155" s="68" t="str">
        <f t="shared" si="33"/>
        <v>3F</v>
      </c>
      <c r="AM155" s="68" t="str">
        <f t="shared" si="34"/>
        <v>00</v>
      </c>
      <c r="AN155" s="68" t="str">
        <f t="shared" si="35"/>
        <v>00</v>
      </c>
      <c r="AO155" s="68" t="str">
        <f t="shared" si="36"/>
        <v>00</v>
      </c>
      <c r="AQ155" t="str">
        <f t="shared" si="31"/>
        <v xml:space="preserve">    (U4)0x0000003FU,                                                           /* 19 UNKNOWN                                         */</v>
      </c>
    </row>
    <row r="156" spans="2:43">
      <c r="B156" s="139"/>
      <c r="C156" s="55">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1</v>
      </c>
      <c r="AE156" s="133">
        <f t="shared" si="40"/>
        <v>1</v>
      </c>
      <c r="AF156" s="133">
        <f t="shared" si="40"/>
        <v>1</v>
      </c>
      <c r="AG156" s="133">
        <f t="shared" si="40"/>
        <v>1</v>
      </c>
      <c r="AH156" s="133">
        <f t="shared" si="40"/>
        <v>1</v>
      </c>
      <c r="AI156" s="133">
        <f t="shared" si="40"/>
        <v>1</v>
      </c>
      <c r="AJ156" s="55" t="str">
        <f t="shared" si="30"/>
        <v>UNKNOWN</v>
      </c>
      <c r="AK156" s="68"/>
      <c r="AL156" s="68" t="str">
        <f t="shared" si="33"/>
        <v>3F</v>
      </c>
      <c r="AM156" s="68" t="str">
        <f t="shared" si="34"/>
        <v>00</v>
      </c>
      <c r="AN156" s="68" t="str">
        <f t="shared" si="35"/>
        <v>00</v>
      </c>
      <c r="AO156" s="68" t="str">
        <f t="shared" si="36"/>
        <v>00</v>
      </c>
      <c r="AQ156" t="str">
        <f t="shared" si="31"/>
        <v xml:space="preserve">    (U4)0x0000003FU,                                                           /* 20 UNKNOWN                                         */</v>
      </c>
    </row>
    <row r="157" spans="2:43">
      <c r="B157" s="139"/>
      <c r="C157" s="55">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1</v>
      </c>
      <c r="AE157" s="133">
        <f t="shared" si="40"/>
        <v>1</v>
      </c>
      <c r="AF157" s="133">
        <f t="shared" si="40"/>
        <v>1</v>
      </c>
      <c r="AG157" s="133">
        <f t="shared" si="40"/>
        <v>1</v>
      </c>
      <c r="AH157" s="133">
        <f t="shared" si="40"/>
        <v>1</v>
      </c>
      <c r="AI157" s="133">
        <f t="shared" si="40"/>
        <v>1</v>
      </c>
      <c r="AJ157" s="55" t="str">
        <f t="shared" si="30"/>
        <v>UNKNOWN</v>
      </c>
      <c r="AK157" s="68"/>
      <c r="AL157" s="68" t="str">
        <f t="shared" si="33"/>
        <v>3F</v>
      </c>
      <c r="AM157" s="68" t="str">
        <f t="shared" si="34"/>
        <v>00</v>
      </c>
      <c r="AN157" s="68" t="str">
        <f t="shared" si="35"/>
        <v>00</v>
      </c>
      <c r="AO157" s="68" t="str">
        <f t="shared" si="36"/>
        <v>00</v>
      </c>
      <c r="AQ157" t="str">
        <f t="shared" si="31"/>
        <v xml:space="preserve">    (U4)0x0000003FU,                                                           /* 21 UNKNOWN                                         */</v>
      </c>
    </row>
    <row r="158" spans="2:43">
      <c r="B158" s="139"/>
      <c r="C158" s="55">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1</v>
      </c>
      <c r="AE158" s="133">
        <f t="shared" si="40"/>
        <v>1</v>
      </c>
      <c r="AF158" s="133">
        <f t="shared" si="40"/>
        <v>1</v>
      </c>
      <c r="AG158" s="133">
        <f t="shared" si="40"/>
        <v>1</v>
      </c>
      <c r="AH158" s="133">
        <f t="shared" si="40"/>
        <v>1</v>
      </c>
      <c r="AI158" s="133">
        <f t="shared" si="40"/>
        <v>1</v>
      </c>
      <c r="AJ158" s="55" t="str">
        <f t="shared" si="30"/>
        <v>UNKNOWN</v>
      </c>
      <c r="AK158" s="68"/>
      <c r="AL158" s="68" t="str">
        <f t="shared" si="33"/>
        <v>3F</v>
      </c>
      <c r="AM158" s="68" t="str">
        <f t="shared" si="34"/>
        <v>00</v>
      </c>
      <c r="AN158" s="68" t="str">
        <f t="shared" si="35"/>
        <v>00</v>
      </c>
      <c r="AO158" s="68" t="str">
        <f t="shared" si="36"/>
        <v>00</v>
      </c>
      <c r="AQ158" t="str">
        <f t="shared" si="31"/>
        <v xml:space="preserve">    (U4)0x0000003FU,                                                           /* 22 UNKNOWN                                         */</v>
      </c>
    </row>
    <row r="159" spans="2:43">
      <c r="B159" s="139"/>
      <c r="C159" s="55">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1</v>
      </c>
      <c r="AE159" s="133">
        <f t="shared" si="40"/>
        <v>1</v>
      </c>
      <c r="AF159" s="133">
        <f t="shared" si="40"/>
        <v>1</v>
      </c>
      <c r="AG159" s="133">
        <f t="shared" si="40"/>
        <v>1</v>
      </c>
      <c r="AH159" s="133">
        <f t="shared" si="40"/>
        <v>1</v>
      </c>
      <c r="AI159" s="133">
        <f t="shared" ref="AI159" si="41">IF(OR(AI29=0,AI29=1),1,0)</f>
        <v>1</v>
      </c>
      <c r="AJ159" s="55" t="str">
        <f t="shared" si="30"/>
        <v>UNKNOWN</v>
      </c>
      <c r="AK159" s="68"/>
      <c r="AL159" s="68" t="str">
        <f t="shared" si="33"/>
        <v>3F</v>
      </c>
      <c r="AM159" s="68" t="str">
        <f t="shared" si="34"/>
        <v>00</v>
      </c>
      <c r="AN159" s="68" t="str">
        <f t="shared" si="35"/>
        <v>00</v>
      </c>
      <c r="AO159" s="68" t="str">
        <f t="shared" si="36"/>
        <v>00</v>
      </c>
      <c r="AQ159" t="str">
        <f t="shared" si="31"/>
        <v xml:space="preserve">    (U4)0x0000003FU,                                                           /* 23 UNKNOWN                                         */</v>
      </c>
    </row>
    <row r="160" spans="2:43">
      <c r="B160" s="139"/>
      <c r="C160" s="55">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1</v>
      </c>
      <c r="AE160" s="133">
        <f t="shared" si="42"/>
        <v>1</v>
      </c>
      <c r="AF160" s="133">
        <f t="shared" si="42"/>
        <v>1</v>
      </c>
      <c r="AG160" s="133">
        <f t="shared" si="42"/>
        <v>1</v>
      </c>
      <c r="AH160" s="133">
        <f t="shared" si="42"/>
        <v>1</v>
      </c>
      <c r="AI160" s="133">
        <f t="shared" si="42"/>
        <v>1</v>
      </c>
      <c r="AJ160" s="55" t="str">
        <f t="shared" si="30"/>
        <v>UNKNOWN</v>
      </c>
      <c r="AK160" s="68"/>
      <c r="AL160" s="68" t="str">
        <f t="shared" si="33"/>
        <v>3F</v>
      </c>
      <c r="AM160" s="68" t="str">
        <f t="shared" si="34"/>
        <v>00</v>
      </c>
      <c r="AN160" s="68" t="str">
        <f t="shared" si="35"/>
        <v>00</v>
      </c>
      <c r="AO160" s="68" t="str">
        <f t="shared" si="36"/>
        <v>00</v>
      </c>
      <c r="AQ160" t="str">
        <f t="shared" si="31"/>
        <v xml:space="preserve">    (U4)0x0000003FU,                                                           /* 24 UNKNOWN                                         */</v>
      </c>
    </row>
    <row r="161" spans="2:43">
      <c r="B161" s="139"/>
      <c r="C161" s="55">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1</v>
      </c>
      <c r="AE161" s="133">
        <f t="shared" si="42"/>
        <v>1</v>
      </c>
      <c r="AF161" s="133">
        <f t="shared" si="42"/>
        <v>1</v>
      </c>
      <c r="AG161" s="133">
        <f t="shared" si="42"/>
        <v>1</v>
      </c>
      <c r="AH161" s="133">
        <f t="shared" si="42"/>
        <v>1</v>
      </c>
      <c r="AI161" s="133">
        <f t="shared" si="42"/>
        <v>1</v>
      </c>
      <c r="AJ161" s="55" t="str">
        <f t="shared" si="30"/>
        <v>UNKNOWN</v>
      </c>
      <c r="AK161" s="68"/>
      <c r="AL161" s="68" t="str">
        <f t="shared" si="33"/>
        <v>3F</v>
      </c>
      <c r="AM161" s="68" t="str">
        <f t="shared" si="34"/>
        <v>00</v>
      </c>
      <c r="AN161" s="68" t="str">
        <f t="shared" si="35"/>
        <v>00</v>
      </c>
      <c r="AO161" s="68" t="str">
        <f t="shared" si="36"/>
        <v>00</v>
      </c>
      <c r="AQ161" t="str">
        <f t="shared" si="31"/>
        <v xml:space="preserve">    (U4)0x0000003FU,                                                           /* 25 UNKNOWN                                         */</v>
      </c>
    </row>
    <row r="162" spans="2:43">
      <c r="B162" s="139"/>
      <c r="C162" s="55">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1</v>
      </c>
      <c r="AE162" s="133">
        <f t="shared" si="42"/>
        <v>1</v>
      </c>
      <c r="AF162" s="133">
        <f t="shared" si="42"/>
        <v>1</v>
      </c>
      <c r="AG162" s="133">
        <f t="shared" si="42"/>
        <v>1</v>
      </c>
      <c r="AH162" s="133">
        <f t="shared" si="42"/>
        <v>1</v>
      </c>
      <c r="AI162" s="133">
        <f t="shared" si="42"/>
        <v>1</v>
      </c>
      <c r="AJ162" s="55" t="str">
        <f t="shared" si="30"/>
        <v>UNKNOWN</v>
      </c>
      <c r="AK162" s="68"/>
      <c r="AL162" s="68" t="str">
        <f t="shared" si="33"/>
        <v>3F</v>
      </c>
      <c r="AM162" s="68" t="str">
        <f t="shared" si="34"/>
        <v>00</v>
      </c>
      <c r="AN162" s="68" t="str">
        <f t="shared" si="35"/>
        <v>00</v>
      </c>
      <c r="AO162" s="68" t="str">
        <f t="shared" si="36"/>
        <v>00</v>
      </c>
      <c r="AQ162" t="str">
        <f t="shared" si="31"/>
        <v xml:space="preserve">    (U4)0x0000003FU,                                                           /* 26 UNKNOWN                                         */</v>
      </c>
    </row>
    <row r="163" spans="2:43">
      <c r="B163" s="139"/>
      <c r="C163" s="55">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1</v>
      </c>
      <c r="AE163" s="133">
        <f t="shared" si="42"/>
        <v>1</v>
      </c>
      <c r="AF163" s="133">
        <f t="shared" si="42"/>
        <v>1</v>
      </c>
      <c r="AG163" s="133">
        <f t="shared" si="42"/>
        <v>1</v>
      </c>
      <c r="AH163" s="133">
        <f t="shared" si="42"/>
        <v>1</v>
      </c>
      <c r="AI163" s="133">
        <f t="shared" si="42"/>
        <v>1</v>
      </c>
      <c r="AJ163" s="55" t="str">
        <f t="shared" si="30"/>
        <v>UNKNOWN</v>
      </c>
      <c r="AK163" s="68"/>
      <c r="AL163" s="68" t="str">
        <f t="shared" si="33"/>
        <v>3F</v>
      </c>
      <c r="AM163" s="68" t="str">
        <f t="shared" si="34"/>
        <v>00</v>
      </c>
      <c r="AN163" s="68" t="str">
        <f t="shared" si="35"/>
        <v>00</v>
      </c>
      <c r="AO163" s="68" t="str">
        <f t="shared" si="36"/>
        <v>00</v>
      </c>
      <c r="AQ163" t="str">
        <f t="shared" si="31"/>
        <v xml:space="preserve">    (U4)0x0000003FU,                                                           /* 27 UNKNOWN                                         */</v>
      </c>
    </row>
    <row r="164" spans="2:43">
      <c r="B164" s="139"/>
      <c r="C164" s="55">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1</v>
      </c>
      <c r="AE164" s="133">
        <f t="shared" si="42"/>
        <v>1</v>
      </c>
      <c r="AF164" s="133">
        <f t="shared" si="42"/>
        <v>1</v>
      </c>
      <c r="AG164" s="133">
        <f t="shared" si="42"/>
        <v>1</v>
      </c>
      <c r="AH164" s="133">
        <f t="shared" si="42"/>
        <v>1</v>
      </c>
      <c r="AI164" s="133">
        <f t="shared" si="42"/>
        <v>1</v>
      </c>
      <c r="AJ164" s="55" t="str">
        <f t="shared" si="30"/>
        <v>UNKNOWN</v>
      </c>
      <c r="AK164" s="68"/>
      <c r="AL164" s="68" t="str">
        <f t="shared" si="33"/>
        <v>3F</v>
      </c>
      <c r="AM164" s="68" t="str">
        <f t="shared" si="34"/>
        <v>00</v>
      </c>
      <c r="AN164" s="68" t="str">
        <f t="shared" si="35"/>
        <v>00</v>
      </c>
      <c r="AO164" s="68" t="str">
        <f t="shared" si="36"/>
        <v>00</v>
      </c>
      <c r="AQ164" t="str">
        <f t="shared" si="31"/>
        <v xml:space="preserve">    (U4)0x0000003FU,                                                           /* 28 UNKNOWN                                         */</v>
      </c>
    </row>
    <row r="165" spans="2:43">
      <c r="B165" s="139"/>
      <c r="C165" s="55">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1</v>
      </c>
      <c r="AE165" s="133">
        <f t="shared" si="42"/>
        <v>1</v>
      </c>
      <c r="AF165" s="133">
        <f t="shared" si="42"/>
        <v>1</v>
      </c>
      <c r="AG165" s="133">
        <f t="shared" si="42"/>
        <v>1</v>
      </c>
      <c r="AH165" s="133">
        <f t="shared" si="42"/>
        <v>1</v>
      </c>
      <c r="AI165" s="133">
        <f t="shared" si="42"/>
        <v>1</v>
      </c>
      <c r="AJ165" s="55" t="str">
        <f t="shared" si="30"/>
        <v>UNKNOWN</v>
      </c>
      <c r="AK165" s="68"/>
      <c r="AL165" s="68" t="str">
        <f t="shared" si="33"/>
        <v>3F</v>
      </c>
      <c r="AM165" s="68" t="str">
        <f t="shared" si="34"/>
        <v>00</v>
      </c>
      <c r="AN165" s="68" t="str">
        <f t="shared" si="35"/>
        <v>00</v>
      </c>
      <c r="AO165" s="68" t="str">
        <f t="shared" si="36"/>
        <v>00</v>
      </c>
      <c r="AQ165" t="str">
        <f t="shared" si="31"/>
        <v xml:space="preserve">    (U4)0x0000003FU,                                                           /* 29 UNKNOWN                                         */</v>
      </c>
    </row>
    <row r="166" spans="2:43">
      <c r="B166" s="139"/>
      <c r="C166" s="55">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1</v>
      </c>
      <c r="AE166" s="133">
        <f t="shared" si="42"/>
        <v>1</v>
      </c>
      <c r="AF166" s="133">
        <f t="shared" si="42"/>
        <v>1</v>
      </c>
      <c r="AG166" s="133">
        <f t="shared" si="42"/>
        <v>1</v>
      </c>
      <c r="AH166" s="133">
        <f t="shared" si="42"/>
        <v>1</v>
      </c>
      <c r="AI166" s="133">
        <f t="shared" si="42"/>
        <v>1</v>
      </c>
      <c r="AJ166" s="55" t="str">
        <f t="shared" si="30"/>
        <v>UNKNOWN</v>
      </c>
      <c r="AK166" s="68"/>
      <c r="AL166" s="68" t="str">
        <f t="shared" si="33"/>
        <v>3F</v>
      </c>
      <c r="AM166" s="68" t="str">
        <f t="shared" si="34"/>
        <v>00</v>
      </c>
      <c r="AN166" s="68" t="str">
        <f t="shared" si="35"/>
        <v>00</v>
      </c>
      <c r="AO166" s="68" t="str">
        <f t="shared" si="36"/>
        <v>00</v>
      </c>
      <c r="AQ166" t="str">
        <f t="shared" si="31"/>
        <v xml:space="preserve">    (U4)0x0000003FU,                                                           /* 30 UNKNOWN                                         */</v>
      </c>
    </row>
    <row r="167" spans="2:43">
      <c r="B167" s="139"/>
      <c r="C167" s="55">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1</v>
      </c>
      <c r="AE167" s="133">
        <f t="shared" si="42"/>
        <v>1</v>
      </c>
      <c r="AF167" s="133">
        <f t="shared" si="42"/>
        <v>1</v>
      </c>
      <c r="AG167" s="133">
        <f t="shared" si="42"/>
        <v>1</v>
      </c>
      <c r="AH167" s="133">
        <f t="shared" si="42"/>
        <v>1</v>
      </c>
      <c r="AI167" s="133">
        <f t="shared" ref="AI167" si="43">IF(OR(AI37=0,AI37=1),1,0)</f>
        <v>1</v>
      </c>
      <c r="AJ167" s="55" t="str">
        <f t="shared" si="30"/>
        <v>UNKNOWN</v>
      </c>
      <c r="AK167" s="68"/>
      <c r="AL167" s="68" t="str">
        <f t="shared" si="33"/>
        <v>3F</v>
      </c>
      <c r="AM167" s="68" t="str">
        <f t="shared" si="34"/>
        <v>00</v>
      </c>
      <c r="AN167" s="68" t="str">
        <f t="shared" si="35"/>
        <v>00</v>
      </c>
      <c r="AO167" s="68" t="str">
        <f t="shared" si="36"/>
        <v>00</v>
      </c>
      <c r="AQ167" t="str">
        <f t="shared" si="31"/>
        <v xml:space="preserve">    (U4)0x0000003FU,                                                           /* 31 UNKNOWN                                         */</v>
      </c>
    </row>
    <row r="168" spans="2:43">
      <c r="B168" s="139"/>
      <c r="C168" s="55">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1</v>
      </c>
      <c r="AE168" s="133">
        <f t="shared" si="44"/>
        <v>1</v>
      </c>
      <c r="AF168" s="133">
        <f t="shared" si="44"/>
        <v>1</v>
      </c>
      <c r="AG168" s="133">
        <f t="shared" si="44"/>
        <v>1</v>
      </c>
      <c r="AH168" s="133">
        <f t="shared" si="44"/>
        <v>1</v>
      </c>
      <c r="AI168" s="133">
        <f t="shared" si="44"/>
        <v>1</v>
      </c>
      <c r="AJ168" s="55" t="str">
        <f t="shared" si="30"/>
        <v>UNKNOWN</v>
      </c>
      <c r="AK168" s="68"/>
      <c r="AL168" s="68" t="str">
        <f t="shared" si="33"/>
        <v>3F</v>
      </c>
      <c r="AM168" s="68" t="str">
        <f t="shared" si="34"/>
        <v>00</v>
      </c>
      <c r="AN168" s="68" t="str">
        <f t="shared" si="35"/>
        <v>00</v>
      </c>
      <c r="AO168" s="68" t="str">
        <f t="shared" si="36"/>
        <v>00</v>
      </c>
      <c r="AQ168" t="str">
        <f t="shared" si="31"/>
        <v xml:space="preserve">    (U4)0x0000003FU,                                                           /* 32 UNKNOWN                                         */</v>
      </c>
    </row>
    <row r="169" spans="2:43">
      <c r="B169" s="139"/>
      <c r="C169" s="55">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1</v>
      </c>
      <c r="AE169" s="133">
        <f t="shared" si="44"/>
        <v>1</v>
      </c>
      <c r="AF169" s="133">
        <f t="shared" si="44"/>
        <v>1</v>
      </c>
      <c r="AG169" s="133">
        <f t="shared" si="44"/>
        <v>1</v>
      </c>
      <c r="AH169" s="133">
        <f t="shared" si="44"/>
        <v>1</v>
      </c>
      <c r="AI169" s="133">
        <f t="shared" si="44"/>
        <v>1</v>
      </c>
      <c r="AJ169" s="55" t="str">
        <f t="shared" si="30"/>
        <v>UNKNOWN</v>
      </c>
      <c r="AK169" s="68"/>
      <c r="AL169" s="68" t="str">
        <f t="shared" si="33"/>
        <v>3F</v>
      </c>
      <c r="AM169" s="68" t="str">
        <f t="shared" si="34"/>
        <v>00</v>
      </c>
      <c r="AN169" s="68" t="str">
        <f t="shared" si="35"/>
        <v>00</v>
      </c>
      <c r="AO169" s="68" t="str">
        <f t="shared" si="36"/>
        <v>00</v>
      </c>
      <c r="AQ169" t="str">
        <f t="shared" si="31"/>
        <v xml:space="preserve">    (U4)0x0000003FU,                                                           /* 33 UNKNOWN                                         */</v>
      </c>
    </row>
    <row r="170" spans="2:43">
      <c r="B170" s="139"/>
      <c r="C170" s="55">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1</v>
      </c>
      <c r="AE170" s="133">
        <f t="shared" si="44"/>
        <v>1</v>
      </c>
      <c r="AF170" s="133">
        <f t="shared" si="44"/>
        <v>1</v>
      </c>
      <c r="AG170" s="133">
        <f t="shared" si="44"/>
        <v>1</v>
      </c>
      <c r="AH170" s="133">
        <f t="shared" si="44"/>
        <v>1</v>
      </c>
      <c r="AI170" s="133">
        <f t="shared" si="44"/>
        <v>1</v>
      </c>
      <c r="AJ170" s="55" t="str">
        <f t="shared" si="30"/>
        <v>UNKNOWN</v>
      </c>
      <c r="AK170" s="68"/>
      <c r="AL170" s="68" t="str">
        <f t="shared" si="33"/>
        <v>3F</v>
      </c>
      <c r="AM170" s="68" t="str">
        <f t="shared" si="34"/>
        <v>00</v>
      </c>
      <c r="AN170" s="68" t="str">
        <f t="shared" si="35"/>
        <v>00</v>
      </c>
      <c r="AO170" s="68" t="str">
        <f t="shared" si="36"/>
        <v>00</v>
      </c>
      <c r="AQ170" t="str">
        <f t="shared" si="31"/>
        <v xml:space="preserve">    (U4)0x0000003FU,                                                           /* 34 UNKNOWN                                         */</v>
      </c>
    </row>
    <row r="171" spans="2:43">
      <c r="B171" s="139"/>
      <c r="C171" s="55">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1</v>
      </c>
      <c r="AE171" s="133">
        <f t="shared" si="44"/>
        <v>1</v>
      </c>
      <c r="AF171" s="133">
        <f t="shared" si="44"/>
        <v>1</v>
      </c>
      <c r="AG171" s="133">
        <f t="shared" si="44"/>
        <v>1</v>
      </c>
      <c r="AH171" s="133">
        <f t="shared" si="44"/>
        <v>1</v>
      </c>
      <c r="AI171" s="133">
        <f t="shared" si="44"/>
        <v>1</v>
      </c>
      <c r="AJ171" s="55" t="str">
        <f t="shared" si="30"/>
        <v>UNKNOWN</v>
      </c>
      <c r="AK171" s="68"/>
      <c r="AL171" s="68" t="str">
        <f t="shared" si="33"/>
        <v>3F</v>
      </c>
      <c r="AM171" s="68" t="str">
        <f t="shared" si="34"/>
        <v>00</v>
      </c>
      <c r="AN171" s="68" t="str">
        <f t="shared" si="35"/>
        <v>00</v>
      </c>
      <c r="AO171" s="68" t="str">
        <f t="shared" si="36"/>
        <v>00</v>
      </c>
      <c r="AQ171" t="str">
        <f t="shared" si="31"/>
        <v xml:space="preserve">    (U4)0x0000003FU,                                                           /* 35 UNKNOWN                                         */</v>
      </c>
    </row>
    <row r="172" spans="2:43">
      <c r="B172" s="139"/>
      <c r="C172" s="55">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1</v>
      </c>
      <c r="AE172" s="133">
        <f t="shared" si="44"/>
        <v>1</v>
      </c>
      <c r="AF172" s="133">
        <f t="shared" si="44"/>
        <v>1</v>
      </c>
      <c r="AG172" s="133">
        <f t="shared" si="44"/>
        <v>1</v>
      </c>
      <c r="AH172" s="133">
        <f t="shared" si="44"/>
        <v>1</v>
      </c>
      <c r="AI172" s="133">
        <f t="shared" si="44"/>
        <v>1</v>
      </c>
      <c r="AJ172" s="55" t="str">
        <f t="shared" si="30"/>
        <v>UNKNOWN</v>
      </c>
      <c r="AK172" s="68"/>
      <c r="AL172" s="68" t="str">
        <f t="shared" si="33"/>
        <v>3F</v>
      </c>
      <c r="AM172" s="68" t="str">
        <f t="shared" si="34"/>
        <v>00</v>
      </c>
      <c r="AN172" s="68" t="str">
        <f t="shared" si="35"/>
        <v>00</v>
      </c>
      <c r="AO172" s="68" t="str">
        <f t="shared" si="36"/>
        <v>00</v>
      </c>
      <c r="AQ172" t="str">
        <f t="shared" si="31"/>
        <v xml:space="preserve">    (U4)0x0000003FU,                                                           /* 36 UNKNOWN                                         */</v>
      </c>
    </row>
    <row r="173" spans="2:43">
      <c r="B173" s="139"/>
      <c r="C173" s="55">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1</v>
      </c>
      <c r="AE173" s="133">
        <f t="shared" si="44"/>
        <v>1</v>
      </c>
      <c r="AF173" s="133">
        <f t="shared" si="44"/>
        <v>1</v>
      </c>
      <c r="AG173" s="133">
        <f t="shared" si="44"/>
        <v>1</v>
      </c>
      <c r="AH173" s="133">
        <f t="shared" si="44"/>
        <v>1</v>
      </c>
      <c r="AI173" s="133">
        <f t="shared" si="44"/>
        <v>1</v>
      </c>
      <c r="AJ173" s="55" t="str">
        <f t="shared" si="30"/>
        <v>UNKNOWN</v>
      </c>
      <c r="AK173" s="68"/>
      <c r="AL173" s="68" t="str">
        <f t="shared" si="33"/>
        <v>3F</v>
      </c>
      <c r="AM173" s="68" t="str">
        <f t="shared" si="34"/>
        <v>00</v>
      </c>
      <c r="AN173" s="68" t="str">
        <f t="shared" si="35"/>
        <v>00</v>
      </c>
      <c r="AO173" s="68" t="str">
        <f t="shared" si="36"/>
        <v>00</v>
      </c>
      <c r="AQ173" t="str">
        <f t="shared" si="31"/>
        <v xml:space="preserve">    (U4)0x0000003FU,                                                           /* 37 UNKNOWN                                         */</v>
      </c>
    </row>
    <row r="174" spans="2:43">
      <c r="B174" s="139"/>
      <c r="C174" s="55">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1</v>
      </c>
      <c r="AE174" s="133">
        <f t="shared" si="44"/>
        <v>1</v>
      </c>
      <c r="AF174" s="133">
        <f t="shared" si="44"/>
        <v>1</v>
      </c>
      <c r="AG174" s="133">
        <f t="shared" si="44"/>
        <v>1</v>
      </c>
      <c r="AH174" s="133">
        <f t="shared" si="44"/>
        <v>1</v>
      </c>
      <c r="AI174" s="133">
        <f t="shared" si="44"/>
        <v>1</v>
      </c>
      <c r="AJ174" s="55" t="str">
        <f t="shared" si="30"/>
        <v>UNKNOWN</v>
      </c>
      <c r="AK174" s="68"/>
      <c r="AL174" s="68" t="str">
        <f t="shared" si="33"/>
        <v>3F</v>
      </c>
      <c r="AM174" s="68" t="str">
        <f t="shared" si="34"/>
        <v>00</v>
      </c>
      <c r="AN174" s="68" t="str">
        <f t="shared" si="35"/>
        <v>00</v>
      </c>
      <c r="AO174" s="68" t="str">
        <f t="shared" si="36"/>
        <v>00</v>
      </c>
      <c r="AQ174" t="str">
        <f t="shared" si="31"/>
        <v xml:space="preserve">    (U4)0x0000003FU,                                                           /* 38 UNKNOWN                                         */</v>
      </c>
    </row>
    <row r="175" spans="2:43">
      <c r="B175" s="139"/>
      <c r="C175" s="55">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1</v>
      </c>
      <c r="AE175" s="133">
        <f t="shared" si="44"/>
        <v>1</v>
      </c>
      <c r="AF175" s="133">
        <f t="shared" si="44"/>
        <v>1</v>
      </c>
      <c r="AG175" s="133">
        <f t="shared" si="44"/>
        <v>1</v>
      </c>
      <c r="AH175" s="133">
        <f t="shared" si="44"/>
        <v>1</v>
      </c>
      <c r="AI175" s="133">
        <f t="shared" ref="AI175" si="45">IF(OR(AI45=0,AI45=1),1,0)</f>
        <v>1</v>
      </c>
      <c r="AJ175" s="55" t="str">
        <f t="shared" si="30"/>
        <v>UNKNOWN</v>
      </c>
      <c r="AK175" s="68"/>
      <c r="AL175" s="68" t="str">
        <f t="shared" si="33"/>
        <v>3F</v>
      </c>
      <c r="AM175" s="68" t="str">
        <f t="shared" si="34"/>
        <v>00</v>
      </c>
      <c r="AN175" s="68" t="str">
        <f t="shared" si="35"/>
        <v>00</v>
      </c>
      <c r="AO175" s="68" t="str">
        <f t="shared" si="36"/>
        <v>00</v>
      </c>
      <c r="AQ175" t="str">
        <f t="shared" si="31"/>
        <v xml:space="preserve">    (U4)0x0000003FU,                                                           /* 39 UNKNOWN                                         */</v>
      </c>
    </row>
    <row r="176" spans="2:43">
      <c r="B176" s="139"/>
      <c r="C176" s="55">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1</v>
      </c>
      <c r="AE176" s="133">
        <f t="shared" si="46"/>
        <v>1</v>
      </c>
      <c r="AF176" s="133">
        <f t="shared" si="46"/>
        <v>1</v>
      </c>
      <c r="AG176" s="133">
        <f t="shared" si="46"/>
        <v>1</v>
      </c>
      <c r="AH176" s="133">
        <f t="shared" si="46"/>
        <v>1</v>
      </c>
      <c r="AI176" s="133">
        <f t="shared" si="46"/>
        <v>1</v>
      </c>
      <c r="AJ176" s="55" t="str">
        <f t="shared" si="30"/>
        <v>UNKNOWN</v>
      </c>
      <c r="AK176" s="68"/>
      <c r="AL176" s="68" t="str">
        <f t="shared" si="33"/>
        <v>3F</v>
      </c>
      <c r="AM176" s="68" t="str">
        <f t="shared" si="34"/>
        <v>00</v>
      </c>
      <c r="AN176" s="68" t="str">
        <f t="shared" si="35"/>
        <v>00</v>
      </c>
      <c r="AO176" s="68" t="str">
        <f t="shared" si="36"/>
        <v>00</v>
      </c>
      <c r="AQ176" t="str">
        <f t="shared" si="31"/>
        <v xml:space="preserve">    (U4)0x0000003FU,                                                           /* 40 UNKNOWN                                         */</v>
      </c>
    </row>
    <row r="177" spans="2:43">
      <c r="B177" s="139"/>
      <c r="C177" s="55">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1</v>
      </c>
      <c r="AE177" s="133">
        <f t="shared" si="46"/>
        <v>1</v>
      </c>
      <c r="AF177" s="133">
        <f t="shared" si="46"/>
        <v>1</v>
      </c>
      <c r="AG177" s="133">
        <f t="shared" si="46"/>
        <v>1</v>
      </c>
      <c r="AH177" s="133">
        <f t="shared" si="46"/>
        <v>1</v>
      </c>
      <c r="AI177" s="133">
        <f t="shared" si="46"/>
        <v>1</v>
      </c>
      <c r="AJ177" s="55" t="str">
        <f t="shared" si="30"/>
        <v>UNKNOWN</v>
      </c>
      <c r="AK177" s="68"/>
      <c r="AL177" s="68" t="str">
        <f t="shared" si="33"/>
        <v>3F</v>
      </c>
      <c r="AM177" s="68" t="str">
        <f t="shared" si="34"/>
        <v>00</v>
      </c>
      <c r="AN177" s="68" t="str">
        <f t="shared" si="35"/>
        <v>00</v>
      </c>
      <c r="AO177" s="68" t="str">
        <f t="shared" si="36"/>
        <v>00</v>
      </c>
      <c r="AQ177" t="str">
        <f t="shared" si="31"/>
        <v xml:space="preserve">    (U4)0x0000003FU,                                                           /* 41 UNKNOWN                                         */</v>
      </c>
    </row>
    <row r="178" spans="2:43">
      <c r="B178" s="139"/>
      <c r="C178" s="55">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1</v>
      </c>
      <c r="AE178" s="133">
        <f t="shared" si="46"/>
        <v>1</v>
      </c>
      <c r="AF178" s="133">
        <f t="shared" si="46"/>
        <v>1</v>
      </c>
      <c r="AG178" s="133">
        <f t="shared" si="46"/>
        <v>1</v>
      </c>
      <c r="AH178" s="133">
        <f t="shared" si="46"/>
        <v>1</v>
      </c>
      <c r="AI178" s="133">
        <f t="shared" si="46"/>
        <v>1</v>
      </c>
      <c r="AJ178" s="55" t="str">
        <f t="shared" si="30"/>
        <v>UNKNOWN</v>
      </c>
      <c r="AK178" s="68"/>
      <c r="AL178" s="68" t="str">
        <f t="shared" si="33"/>
        <v>3F</v>
      </c>
      <c r="AM178" s="68" t="str">
        <f t="shared" si="34"/>
        <v>00</v>
      </c>
      <c r="AN178" s="68" t="str">
        <f t="shared" si="35"/>
        <v>00</v>
      </c>
      <c r="AO178" s="68" t="str">
        <f t="shared" si="36"/>
        <v>00</v>
      </c>
      <c r="AQ178" t="str">
        <f t="shared" si="31"/>
        <v xml:space="preserve">    (U4)0x0000003FU,                                                           /* 42 UNKNOWN                                         */</v>
      </c>
    </row>
    <row r="179" spans="2:43">
      <c r="B179" s="139"/>
      <c r="C179" s="55">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1</v>
      </c>
      <c r="AE179" s="133">
        <f t="shared" si="46"/>
        <v>1</v>
      </c>
      <c r="AF179" s="133">
        <f t="shared" si="46"/>
        <v>1</v>
      </c>
      <c r="AG179" s="133">
        <f t="shared" si="46"/>
        <v>1</v>
      </c>
      <c r="AH179" s="133">
        <f t="shared" si="46"/>
        <v>1</v>
      </c>
      <c r="AI179" s="133">
        <f t="shared" si="46"/>
        <v>1</v>
      </c>
      <c r="AJ179" s="55" t="str">
        <f t="shared" si="30"/>
        <v>UNKNOWN</v>
      </c>
      <c r="AK179" s="68"/>
      <c r="AL179" s="68" t="str">
        <f t="shared" si="33"/>
        <v>3F</v>
      </c>
      <c r="AM179" s="68" t="str">
        <f t="shared" si="34"/>
        <v>00</v>
      </c>
      <c r="AN179" s="68" t="str">
        <f t="shared" si="35"/>
        <v>00</v>
      </c>
      <c r="AO179" s="68" t="str">
        <f t="shared" si="36"/>
        <v>00</v>
      </c>
      <c r="AQ179" t="str">
        <f t="shared" si="31"/>
        <v xml:space="preserve">    (U4)0x0000003FU,                                                           /* 43 UNKNOWN                                         */</v>
      </c>
    </row>
    <row r="180" spans="2:43">
      <c r="B180" s="139"/>
      <c r="C180" s="55">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1</v>
      </c>
      <c r="AE180" s="133">
        <f t="shared" si="46"/>
        <v>1</v>
      </c>
      <c r="AF180" s="133">
        <f t="shared" si="46"/>
        <v>1</v>
      </c>
      <c r="AG180" s="133">
        <f t="shared" si="46"/>
        <v>1</v>
      </c>
      <c r="AH180" s="133">
        <f t="shared" si="46"/>
        <v>1</v>
      </c>
      <c r="AI180" s="133">
        <f t="shared" si="46"/>
        <v>1</v>
      </c>
      <c r="AJ180" s="55" t="str">
        <f t="shared" si="30"/>
        <v>UNKNOWN</v>
      </c>
      <c r="AK180" s="68"/>
      <c r="AL180" s="68" t="str">
        <f t="shared" si="33"/>
        <v>3F</v>
      </c>
      <c r="AM180" s="68" t="str">
        <f t="shared" si="34"/>
        <v>00</v>
      </c>
      <c r="AN180" s="68" t="str">
        <f t="shared" si="35"/>
        <v>00</v>
      </c>
      <c r="AO180" s="68" t="str">
        <f t="shared" si="36"/>
        <v>00</v>
      </c>
      <c r="AQ180" t="str">
        <f t="shared" si="31"/>
        <v xml:space="preserve">    (U4)0x0000003FU,                                                           /* 44 UNKNOWN                                         */</v>
      </c>
    </row>
    <row r="181" spans="2:43">
      <c r="B181" s="139"/>
      <c r="C181" s="55">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1</v>
      </c>
      <c r="AE181" s="133">
        <f t="shared" si="46"/>
        <v>1</v>
      </c>
      <c r="AF181" s="133">
        <f t="shared" si="46"/>
        <v>1</v>
      </c>
      <c r="AG181" s="133">
        <f t="shared" si="46"/>
        <v>1</v>
      </c>
      <c r="AH181" s="133">
        <f t="shared" si="46"/>
        <v>1</v>
      </c>
      <c r="AI181" s="133">
        <f t="shared" si="46"/>
        <v>1</v>
      </c>
      <c r="AJ181" s="55" t="str">
        <f t="shared" si="30"/>
        <v>UNKNOWN</v>
      </c>
      <c r="AK181" s="68"/>
      <c r="AL181" s="68" t="str">
        <f t="shared" si="33"/>
        <v>3F</v>
      </c>
      <c r="AM181" s="68" t="str">
        <f t="shared" si="34"/>
        <v>00</v>
      </c>
      <c r="AN181" s="68" t="str">
        <f t="shared" si="35"/>
        <v>00</v>
      </c>
      <c r="AO181" s="68" t="str">
        <f t="shared" si="36"/>
        <v>00</v>
      </c>
      <c r="AQ181" t="str">
        <f t="shared" si="31"/>
        <v xml:space="preserve">    (U4)0x0000003FU,                                                           /* 45 UNKNOWN                                         */</v>
      </c>
    </row>
    <row r="182" spans="2:43">
      <c r="B182" s="139"/>
      <c r="C182" s="55">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1</v>
      </c>
      <c r="AE182" s="133">
        <f t="shared" si="46"/>
        <v>1</v>
      </c>
      <c r="AF182" s="133">
        <f t="shared" si="46"/>
        <v>1</v>
      </c>
      <c r="AG182" s="133">
        <f t="shared" si="46"/>
        <v>1</v>
      </c>
      <c r="AH182" s="133">
        <f t="shared" si="46"/>
        <v>1</v>
      </c>
      <c r="AI182" s="133">
        <f t="shared" si="46"/>
        <v>1</v>
      </c>
      <c r="AJ182" s="55" t="str">
        <f t="shared" si="30"/>
        <v>UNKNOWN</v>
      </c>
      <c r="AK182" s="68"/>
      <c r="AL182" s="68" t="str">
        <f t="shared" si="33"/>
        <v>3F</v>
      </c>
      <c r="AM182" s="68" t="str">
        <f t="shared" si="34"/>
        <v>00</v>
      </c>
      <c r="AN182" s="68" t="str">
        <f t="shared" si="35"/>
        <v>00</v>
      </c>
      <c r="AO182" s="68" t="str">
        <f t="shared" si="36"/>
        <v>00</v>
      </c>
      <c r="AQ182" t="str">
        <f t="shared" si="31"/>
        <v xml:space="preserve">    (U4)0x0000003FU,                                                           /* 46 UNKNOWN                                         */</v>
      </c>
    </row>
    <row r="183" spans="2:43">
      <c r="B183" s="139"/>
      <c r="C183" s="55">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1</v>
      </c>
      <c r="AE183" s="133">
        <f t="shared" si="46"/>
        <v>1</v>
      </c>
      <c r="AF183" s="133">
        <f t="shared" si="46"/>
        <v>1</v>
      </c>
      <c r="AG183" s="133">
        <f t="shared" si="46"/>
        <v>1</v>
      </c>
      <c r="AH183" s="133">
        <f t="shared" si="46"/>
        <v>1</v>
      </c>
      <c r="AI183" s="133">
        <f t="shared" ref="AI183" si="47">IF(OR(AI53=0,AI53=1),1,0)</f>
        <v>1</v>
      </c>
      <c r="AJ183" s="55" t="str">
        <f t="shared" si="30"/>
        <v>UNKNOWN</v>
      </c>
      <c r="AK183" s="68"/>
      <c r="AL183" s="68" t="str">
        <f t="shared" si="33"/>
        <v>3F</v>
      </c>
      <c r="AM183" s="68" t="str">
        <f t="shared" si="34"/>
        <v>00</v>
      </c>
      <c r="AN183" s="68" t="str">
        <f t="shared" si="35"/>
        <v>00</v>
      </c>
      <c r="AO183" s="68" t="str">
        <f t="shared" si="36"/>
        <v>00</v>
      </c>
      <c r="AQ183" t="str">
        <f t="shared" si="31"/>
        <v xml:space="preserve">    (U4)0x0000003FU,                                                           /* 47 UNKNOWN                                         */</v>
      </c>
    </row>
    <row r="184" spans="2:43">
      <c r="B184" s="139"/>
      <c r="C184" s="55">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1</v>
      </c>
      <c r="AE184" s="133">
        <f t="shared" si="48"/>
        <v>1</v>
      </c>
      <c r="AF184" s="133">
        <f t="shared" si="48"/>
        <v>1</v>
      </c>
      <c r="AG184" s="133">
        <f t="shared" si="48"/>
        <v>1</v>
      </c>
      <c r="AH184" s="133">
        <f t="shared" si="48"/>
        <v>1</v>
      </c>
      <c r="AI184" s="133">
        <f t="shared" si="48"/>
        <v>1</v>
      </c>
      <c r="AJ184" s="55" t="str">
        <f t="shared" si="30"/>
        <v>UNKNOWN</v>
      </c>
      <c r="AK184" s="68"/>
      <c r="AL184" s="68" t="str">
        <f t="shared" si="33"/>
        <v>3F</v>
      </c>
      <c r="AM184" s="68" t="str">
        <f t="shared" si="34"/>
        <v>00</v>
      </c>
      <c r="AN184" s="68" t="str">
        <f t="shared" si="35"/>
        <v>00</v>
      </c>
      <c r="AO184" s="68" t="str">
        <f t="shared" si="36"/>
        <v>00</v>
      </c>
      <c r="AQ184" t="str">
        <f t="shared" si="31"/>
        <v xml:space="preserve">    (U4)0x0000003FU,                                                           /* 48 UNKNOWN                                         */</v>
      </c>
    </row>
    <row r="185" spans="2:43">
      <c r="B185" s="139"/>
      <c r="C185" s="55">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1</v>
      </c>
      <c r="AE185" s="133">
        <f t="shared" si="48"/>
        <v>1</v>
      </c>
      <c r="AF185" s="133">
        <f t="shared" si="48"/>
        <v>1</v>
      </c>
      <c r="AG185" s="133">
        <f t="shared" si="48"/>
        <v>1</v>
      </c>
      <c r="AH185" s="133">
        <f t="shared" si="48"/>
        <v>1</v>
      </c>
      <c r="AI185" s="133">
        <f t="shared" si="48"/>
        <v>1</v>
      </c>
      <c r="AJ185" s="55" t="str">
        <f t="shared" si="30"/>
        <v>UNKNOWN</v>
      </c>
      <c r="AK185" s="68"/>
      <c r="AL185" s="68" t="str">
        <f t="shared" si="33"/>
        <v>3F</v>
      </c>
      <c r="AM185" s="68" t="str">
        <f t="shared" si="34"/>
        <v>00</v>
      </c>
      <c r="AN185" s="68" t="str">
        <f t="shared" si="35"/>
        <v>00</v>
      </c>
      <c r="AO185" s="68" t="str">
        <f t="shared" si="36"/>
        <v>00</v>
      </c>
      <c r="AQ185" t="str">
        <f t="shared" si="31"/>
        <v xml:space="preserve">    (U4)0x0000003FU,                                                           /* 49 UNKNOWN                                         */</v>
      </c>
    </row>
    <row r="186" spans="2:43">
      <c r="B186" s="139"/>
      <c r="C186" s="55">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1</v>
      </c>
      <c r="AE186" s="133">
        <f t="shared" si="48"/>
        <v>1</v>
      </c>
      <c r="AF186" s="133">
        <f t="shared" si="48"/>
        <v>1</v>
      </c>
      <c r="AG186" s="133">
        <f t="shared" si="48"/>
        <v>1</v>
      </c>
      <c r="AH186" s="133">
        <f t="shared" si="48"/>
        <v>1</v>
      </c>
      <c r="AI186" s="133">
        <f t="shared" si="48"/>
        <v>1</v>
      </c>
      <c r="AJ186" s="55" t="str">
        <f t="shared" si="30"/>
        <v>UNKNOWN</v>
      </c>
      <c r="AK186" s="68"/>
      <c r="AL186" s="68" t="str">
        <f t="shared" si="33"/>
        <v>3F</v>
      </c>
      <c r="AM186" s="68" t="str">
        <f t="shared" si="34"/>
        <v>00</v>
      </c>
      <c r="AN186" s="68" t="str">
        <f t="shared" si="35"/>
        <v>00</v>
      </c>
      <c r="AO186" s="68" t="str">
        <f t="shared" si="36"/>
        <v>00</v>
      </c>
      <c r="AQ186" t="str">
        <f t="shared" si="31"/>
        <v xml:space="preserve">    (U4)0x0000003FU,                                                           /* 50 UNKNOWN                                         */</v>
      </c>
    </row>
    <row r="187" spans="2:43">
      <c r="B187" s="139"/>
      <c r="C187" s="55">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1</v>
      </c>
      <c r="AE187" s="133">
        <f t="shared" si="48"/>
        <v>1</v>
      </c>
      <c r="AF187" s="133">
        <f t="shared" si="48"/>
        <v>1</v>
      </c>
      <c r="AG187" s="133">
        <f t="shared" si="48"/>
        <v>1</v>
      </c>
      <c r="AH187" s="133">
        <f t="shared" si="48"/>
        <v>1</v>
      </c>
      <c r="AI187" s="133">
        <f t="shared" si="48"/>
        <v>1</v>
      </c>
      <c r="AJ187" s="55" t="str">
        <f t="shared" si="30"/>
        <v>UNKNOWN</v>
      </c>
      <c r="AK187" s="68"/>
      <c r="AL187" s="68" t="str">
        <f t="shared" si="33"/>
        <v>3F</v>
      </c>
      <c r="AM187" s="68" t="str">
        <f t="shared" si="34"/>
        <v>00</v>
      </c>
      <c r="AN187" s="68" t="str">
        <f t="shared" si="35"/>
        <v>00</v>
      </c>
      <c r="AO187" s="68" t="str">
        <f t="shared" si="36"/>
        <v>00</v>
      </c>
      <c r="AQ187" t="str">
        <f t="shared" si="31"/>
        <v xml:space="preserve">    (U4)0x0000003FU,                                                           /* 51 UNKNOWN                                         */</v>
      </c>
    </row>
    <row r="188" spans="2:43">
      <c r="B188" s="139"/>
      <c r="C188" s="55">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1</v>
      </c>
      <c r="AE188" s="133">
        <f t="shared" si="48"/>
        <v>1</v>
      </c>
      <c r="AF188" s="133">
        <f t="shared" si="48"/>
        <v>1</v>
      </c>
      <c r="AG188" s="133">
        <f t="shared" si="48"/>
        <v>1</v>
      </c>
      <c r="AH188" s="133">
        <f t="shared" si="48"/>
        <v>1</v>
      </c>
      <c r="AI188" s="133">
        <f t="shared" si="48"/>
        <v>1</v>
      </c>
      <c r="AJ188" s="55" t="str">
        <f t="shared" si="30"/>
        <v>UNKNOWN</v>
      </c>
      <c r="AK188" s="68"/>
      <c r="AL188" s="68" t="str">
        <f t="shared" si="33"/>
        <v>3F</v>
      </c>
      <c r="AM188" s="68" t="str">
        <f t="shared" si="34"/>
        <v>00</v>
      </c>
      <c r="AN188" s="68" t="str">
        <f t="shared" si="35"/>
        <v>00</v>
      </c>
      <c r="AO188" s="68" t="str">
        <f t="shared" si="36"/>
        <v>00</v>
      </c>
      <c r="AQ188" t="str">
        <f t="shared" si="31"/>
        <v xml:space="preserve">    (U4)0x0000003FU,                                                           /* 52 UNKNOWN                                         */</v>
      </c>
    </row>
    <row r="189" spans="2:43">
      <c r="B189" s="139"/>
      <c r="C189" s="55">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1</v>
      </c>
      <c r="AE189" s="133">
        <f t="shared" si="48"/>
        <v>1</v>
      </c>
      <c r="AF189" s="133">
        <f t="shared" si="48"/>
        <v>1</v>
      </c>
      <c r="AG189" s="133">
        <f t="shared" si="48"/>
        <v>1</v>
      </c>
      <c r="AH189" s="133">
        <f t="shared" si="48"/>
        <v>1</v>
      </c>
      <c r="AI189" s="133">
        <f t="shared" si="48"/>
        <v>1</v>
      </c>
      <c r="AJ189" s="55" t="str">
        <f t="shared" si="30"/>
        <v>UNKNOWN</v>
      </c>
      <c r="AK189" s="68"/>
      <c r="AL189" s="68" t="str">
        <f t="shared" si="33"/>
        <v>3F</v>
      </c>
      <c r="AM189" s="68" t="str">
        <f t="shared" si="34"/>
        <v>00</v>
      </c>
      <c r="AN189" s="68" t="str">
        <f t="shared" si="35"/>
        <v>00</v>
      </c>
      <c r="AO189" s="68" t="str">
        <f t="shared" si="36"/>
        <v>00</v>
      </c>
      <c r="AQ189" t="str">
        <f t="shared" si="31"/>
        <v xml:space="preserve">    (U4)0x0000003FU,                                                           /* 53 UNKNOWN                                         */</v>
      </c>
    </row>
    <row r="190" spans="2:43">
      <c r="B190" s="139"/>
      <c r="C190" s="55">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1</v>
      </c>
      <c r="AE190" s="133">
        <f t="shared" si="48"/>
        <v>1</v>
      </c>
      <c r="AF190" s="133">
        <f t="shared" si="48"/>
        <v>1</v>
      </c>
      <c r="AG190" s="133">
        <f t="shared" si="48"/>
        <v>1</v>
      </c>
      <c r="AH190" s="133">
        <f t="shared" si="48"/>
        <v>1</v>
      </c>
      <c r="AI190" s="133">
        <f t="shared" si="48"/>
        <v>1</v>
      </c>
      <c r="AJ190" s="55" t="str">
        <f t="shared" si="30"/>
        <v>UNKNOWN</v>
      </c>
      <c r="AK190" s="68"/>
      <c r="AL190" s="68" t="str">
        <f t="shared" si="33"/>
        <v>3F</v>
      </c>
      <c r="AM190" s="68" t="str">
        <f t="shared" si="34"/>
        <v>00</v>
      </c>
      <c r="AN190" s="68" t="str">
        <f t="shared" si="35"/>
        <v>00</v>
      </c>
      <c r="AO190" s="68" t="str">
        <f t="shared" si="36"/>
        <v>00</v>
      </c>
      <c r="AQ190" t="str">
        <f t="shared" si="31"/>
        <v xml:space="preserve">    (U4)0x0000003FU,                                                           /* 54 UNKNOWN                                         */</v>
      </c>
    </row>
    <row r="191" spans="2:43">
      <c r="B191" s="139"/>
      <c r="C191" s="55">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1</v>
      </c>
      <c r="AE191" s="133">
        <f t="shared" si="48"/>
        <v>1</v>
      </c>
      <c r="AF191" s="133">
        <f t="shared" si="48"/>
        <v>1</v>
      </c>
      <c r="AG191" s="133">
        <f t="shared" si="48"/>
        <v>1</v>
      </c>
      <c r="AH191" s="133">
        <f t="shared" si="48"/>
        <v>1</v>
      </c>
      <c r="AI191" s="133">
        <f t="shared" ref="AI191" si="49">IF(OR(AI61=0,AI61=1),1,0)</f>
        <v>1</v>
      </c>
      <c r="AJ191" s="55" t="str">
        <f t="shared" si="30"/>
        <v>UNKNOWN</v>
      </c>
      <c r="AK191" s="68"/>
      <c r="AL191" s="68" t="str">
        <f t="shared" si="33"/>
        <v>3F</v>
      </c>
      <c r="AM191" s="68" t="str">
        <f t="shared" si="34"/>
        <v>00</v>
      </c>
      <c r="AN191" s="68" t="str">
        <f t="shared" si="35"/>
        <v>00</v>
      </c>
      <c r="AO191" s="68" t="str">
        <f t="shared" si="36"/>
        <v>00</v>
      </c>
      <c r="AQ191" t="str">
        <f t="shared" si="31"/>
        <v xml:space="preserve">    (U4)0x0000003FU,                                                           /* 55 UNKNOWN                                         */</v>
      </c>
    </row>
    <row r="192" spans="2:43">
      <c r="B192" s="139"/>
      <c r="C192" s="55">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1</v>
      </c>
      <c r="AE192" s="133">
        <f t="shared" si="50"/>
        <v>1</v>
      </c>
      <c r="AF192" s="133">
        <f t="shared" si="50"/>
        <v>1</v>
      </c>
      <c r="AG192" s="133">
        <f t="shared" si="50"/>
        <v>1</v>
      </c>
      <c r="AH192" s="133">
        <f t="shared" si="50"/>
        <v>1</v>
      </c>
      <c r="AI192" s="133">
        <f t="shared" si="50"/>
        <v>1</v>
      </c>
      <c r="AJ192" s="55" t="str">
        <f t="shared" si="30"/>
        <v>UNKNOWN</v>
      </c>
      <c r="AK192" s="68"/>
      <c r="AL192" s="68" t="str">
        <f t="shared" si="33"/>
        <v>3F</v>
      </c>
      <c r="AM192" s="68" t="str">
        <f t="shared" si="34"/>
        <v>00</v>
      </c>
      <c r="AN192" s="68" t="str">
        <f t="shared" si="35"/>
        <v>00</v>
      </c>
      <c r="AO192" s="68" t="str">
        <f t="shared" si="36"/>
        <v>00</v>
      </c>
      <c r="AQ192" t="str">
        <f t="shared" si="31"/>
        <v xml:space="preserve">    (U4)0x0000003FU,                                                           /* 56 UNKNOWN                                         */</v>
      </c>
    </row>
    <row r="193" spans="2:43">
      <c r="B193" s="139"/>
      <c r="C193" s="55">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1</v>
      </c>
      <c r="AE193" s="133">
        <f t="shared" si="50"/>
        <v>1</v>
      </c>
      <c r="AF193" s="133">
        <f t="shared" si="50"/>
        <v>1</v>
      </c>
      <c r="AG193" s="133">
        <f t="shared" si="50"/>
        <v>1</v>
      </c>
      <c r="AH193" s="133">
        <f t="shared" si="50"/>
        <v>1</v>
      </c>
      <c r="AI193" s="133">
        <f t="shared" si="50"/>
        <v>1</v>
      </c>
      <c r="AJ193" s="55" t="str">
        <f t="shared" si="30"/>
        <v>UNKNOWN</v>
      </c>
      <c r="AK193" s="68"/>
      <c r="AL193" s="68" t="str">
        <f t="shared" si="33"/>
        <v>3F</v>
      </c>
      <c r="AM193" s="68" t="str">
        <f t="shared" si="34"/>
        <v>00</v>
      </c>
      <c r="AN193" s="68" t="str">
        <f t="shared" si="35"/>
        <v>00</v>
      </c>
      <c r="AO193" s="68" t="str">
        <f t="shared" si="36"/>
        <v>00</v>
      </c>
      <c r="AQ193" t="str">
        <f t="shared" si="31"/>
        <v xml:space="preserve">    (U4)0x0000003FU,                                                           /* 57 UNKNOWN                                         */</v>
      </c>
    </row>
    <row r="194" spans="2:43">
      <c r="B194" s="139"/>
      <c r="C194" s="55">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1</v>
      </c>
      <c r="AE194" s="133">
        <f t="shared" si="50"/>
        <v>1</v>
      </c>
      <c r="AF194" s="133">
        <f t="shared" si="50"/>
        <v>1</v>
      </c>
      <c r="AG194" s="133">
        <f t="shared" si="50"/>
        <v>1</v>
      </c>
      <c r="AH194" s="133">
        <f t="shared" si="50"/>
        <v>1</v>
      </c>
      <c r="AI194" s="133">
        <f t="shared" si="50"/>
        <v>1</v>
      </c>
      <c r="AJ194" s="55" t="str">
        <f t="shared" si="30"/>
        <v>UNKNOWN</v>
      </c>
      <c r="AK194" s="68"/>
      <c r="AL194" s="68" t="str">
        <f t="shared" si="33"/>
        <v>3F</v>
      </c>
      <c r="AM194" s="68" t="str">
        <f t="shared" si="34"/>
        <v>00</v>
      </c>
      <c r="AN194" s="68" t="str">
        <f t="shared" si="35"/>
        <v>00</v>
      </c>
      <c r="AO194" s="68" t="str">
        <f t="shared" si="36"/>
        <v>00</v>
      </c>
      <c r="AQ194" t="str">
        <f t="shared" si="31"/>
        <v xml:space="preserve">    (U4)0x0000003FU,                                                           /* 58 UNKNOWN                                         */</v>
      </c>
    </row>
    <row r="195" spans="2:43">
      <c r="B195" s="139"/>
      <c r="C195" s="55">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1</v>
      </c>
      <c r="AE195" s="133">
        <f t="shared" si="50"/>
        <v>1</v>
      </c>
      <c r="AF195" s="133">
        <f t="shared" si="50"/>
        <v>1</v>
      </c>
      <c r="AG195" s="133">
        <f t="shared" si="50"/>
        <v>1</v>
      </c>
      <c r="AH195" s="133">
        <f t="shared" si="50"/>
        <v>1</v>
      </c>
      <c r="AI195" s="133">
        <f t="shared" si="50"/>
        <v>1</v>
      </c>
      <c r="AJ195" s="55" t="str">
        <f t="shared" si="30"/>
        <v>UNKNOWN</v>
      </c>
      <c r="AK195" s="68"/>
      <c r="AL195" s="68" t="str">
        <f t="shared" si="33"/>
        <v>3F</v>
      </c>
      <c r="AM195" s="68" t="str">
        <f t="shared" si="34"/>
        <v>00</v>
      </c>
      <c r="AN195" s="68" t="str">
        <f t="shared" si="35"/>
        <v>00</v>
      </c>
      <c r="AO195" s="68" t="str">
        <f t="shared" si="36"/>
        <v>00</v>
      </c>
      <c r="AQ195" t="str">
        <f t="shared" si="31"/>
        <v xml:space="preserve">    (U4)0x0000003FU,                                                           /* 59 UNKNOWN                                         */</v>
      </c>
    </row>
    <row r="196" spans="2:43">
      <c r="B196" s="139"/>
      <c r="C196" s="55">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1</v>
      </c>
      <c r="AE196" s="133">
        <f t="shared" si="50"/>
        <v>1</v>
      </c>
      <c r="AF196" s="133">
        <f t="shared" si="50"/>
        <v>1</v>
      </c>
      <c r="AG196" s="133">
        <f t="shared" si="50"/>
        <v>1</v>
      </c>
      <c r="AH196" s="133">
        <f t="shared" si="50"/>
        <v>1</v>
      </c>
      <c r="AI196" s="133">
        <f t="shared" si="50"/>
        <v>1</v>
      </c>
      <c r="AJ196" s="55" t="str">
        <f t="shared" si="30"/>
        <v>UNKNOWN</v>
      </c>
      <c r="AK196" s="68"/>
      <c r="AL196" s="68" t="str">
        <f t="shared" si="33"/>
        <v>3F</v>
      </c>
      <c r="AM196" s="68" t="str">
        <f t="shared" si="34"/>
        <v>00</v>
      </c>
      <c r="AN196" s="68" t="str">
        <f t="shared" si="35"/>
        <v>00</v>
      </c>
      <c r="AO196" s="68" t="str">
        <f t="shared" si="36"/>
        <v>00</v>
      </c>
      <c r="AQ196" t="str">
        <f t="shared" si="31"/>
        <v xml:space="preserve">    (U4)0x0000003FU,                                                           /* 60 UNKNOWN                                         */</v>
      </c>
    </row>
    <row r="197" spans="2:43">
      <c r="B197" s="139"/>
      <c r="C197" s="55">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1</v>
      </c>
      <c r="AE197" s="133">
        <f t="shared" si="50"/>
        <v>1</v>
      </c>
      <c r="AF197" s="133">
        <f t="shared" si="50"/>
        <v>1</v>
      </c>
      <c r="AG197" s="133">
        <f t="shared" si="50"/>
        <v>1</v>
      </c>
      <c r="AH197" s="133">
        <f t="shared" si="50"/>
        <v>1</v>
      </c>
      <c r="AI197" s="133">
        <f t="shared" si="50"/>
        <v>1</v>
      </c>
      <c r="AJ197" s="55" t="str">
        <f t="shared" si="30"/>
        <v>UNKNOWN</v>
      </c>
      <c r="AK197" s="68"/>
      <c r="AL197" s="68" t="str">
        <f t="shared" si="33"/>
        <v>3F</v>
      </c>
      <c r="AM197" s="68" t="str">
        <f t="shared" si="34"/>
        <v>00</v>
      </c>
      <c r="AN197" s="68" t="str">
        <f t="shared" si="35"/>
        <v>00</v>
      </c>
      <c r="AO197" s="68" t="str">
        <f t="shared" si="36"/>
        <v>00</v>
      </c>
      <c r="AQ197" t="str">
        <f t="shared" si="31"/>
        <v xml:space="preserve">    (U4)0x0000003FU,                                                           /* 61 UNKNOWN                                         */</v>
      </c>
    </row>
    <row r="198" spans="2:43">
      <c r="B198" s="139"/>
      <c r="C198" s="55">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1</v>
      </c>
      <c r="AE198" s="133">
        <f t="shared" si="50"/>
        <v>1</v>
      </c>
      <c r="AF198" s="133">
        <f t="shared" si="50"/>
        <v>1</v>
      </c>
      <c r="AG198" s="133">
        <f t="shared" si="50"/>
        <v>1</v>
      </c>
      <c r="AH198" s="133">
        <f t="shared" si="50"/>
        <v>1</v>
      </c>
      <c r="AI198" s="133">
        <f t="shared" si="50"/>
        <v>1</v>
      </c>
      <c r="AJ198" s="55" t="str">
        <f t="shared" si="30"/>
        <v>UNKNOWN</v>
      </c>
      <c r="AK198" s="68"/>
      <c r="AL198" s="68" t="str">
        <f t="shared" si="33"/>
        <v>3F</v>
      </c>
      <c r="AM198" s="68" t="str">
        <f t="shared" si="34"/>
        <v>00</v>
      </c>
      <c r="AN198" s="68" t="str">
        <f t="shared" si="35"/>
        <v>00</v>
      </c>
      <c r="AO198" s="68" t="str">
        <f t="shared" si="36"/>
        <v>00</v>
      </c>
      <c r="AQ198" t="str">
        <f t="shared" si="31"/>
        <v xml:space="preserve">    (U4)0x0000003FU,                                                           /* 62 UNKNOWN                                         */</v>
      </c>
    </row>
    <row r="199" spans="2:43">
      <c r="B199" s="140"/>
      <c r="C199" s="55">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1</v>
      </c>
      <c r="AE199" s="133">
        <f t="shared" si="50"/>
        <v>1</v>
      </c>
      <c r="AF199" s="133">
        <f t="shared" si="50"/>
        <v>1</v>
      </c>
      <c r="AG199" s="133">
        <f t="shared" si="50"/>
        <v>1</v>
      </c>
      <c r="AH199" s="133">
        <f t="shared" si="50"/>
        <v>1</v>
      </c>
      <c r="AI199" s="133">
        <f t="shared" ref="AI199" si="51">IF(OR(AI69=0,AI69=1),1,0)</f>
        <v>1</v>
      </c>
      <c r="AJ199" s="55" t="str">
        <f t="shared" si="30"/>
        <v>UNKNOWN</v>
      </c>
      <c r="AK199" s="68"/>
      <c r="AL199" s="68" t="str">
        <f t="shared" si="33"/>
        <v>3F</v>
      </c>
      <c r="AM199" s="68" t="str">
        <f t="shared" si="34"/>
        <v>00</v>
      </c>
      <c r="AN199" s="68" t="str">
        <f t="shared" si="35"/>
        <v>00</v>
      </c>
      <c r="AO199" s="68" t="str">
        <f t="shared" si="36"/>
        <v>00</v>
      </c>
      <c r="AQ199" t="str">
        <f t="shared" si="31"/>
        <v xml:space="preserve">    (U4)0x0000003FU                                                            /* 63 UNKNOWN                                         */</v>
      </c>
    </row>
  </sheetData>
  <protectedRanges>
    <protectedRange sqref="D6:AJ69 L3:AE3 AF3:AH3" name="Table作成編集範囲"/>
    <protectedRange sqref="B3" name="Table作成編集範囲_2"/>
  </protectedRanges>
  <mergeCells count="5">
    <mergeCell ref="C2:C3"/>
    <mergeCell ref="AJ2:AJ3"/>
    <mergeCell ref="A4:B5"/>
    <mergeCell ref="AD3:AE3"/>
    <mergeCell ref="AF3:AI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0000000}">
          <x14:formula1>
            <xm:f>CH_Design!$C$3:$C$103</xm:f>
          </x14:formula1>
          <xm:sqref>AJ6:AJ69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CCECFF"/>
  </sheetPr>
  <dimension ref="A1:AW199"/>
  <sheetViews>
    <sheetView topLeftCell="AT1" zoomScale="85" zoomScaleNormal="85" workbookViewId="0">
      <pane ySplit="3" topLeftCell="A4" activePane="bottomLeft" state="frozen"/>
      <selection pane="bottomLeft" activeCell="AU6" sqref="AU6:AU16"/>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2" t="s">
        <v>123</v>
      </c>
      <c r="C2" s="345" t="s">
        <v>84</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47" t="s">
        <v>155</v>
      </c>
    </row>
    <row r="3" spans="1:49" ht="213" customHeight="1" thickBot="1">
      <c r="B3" s="214" t="str">
        <f>IF(OR(IF(COUNTIF(D6:AC69,"0")&lt;&gt;0,TRUE,FALSE),IF(COUNTIF(D6:AC69,"1")&lt;&gt;0,TRUE,FALSE)),"Search Table","Index Table")</f>
        <v>Index Table</v>
      </c>
      <c r="C3" s="346"/>
      <c r="D3" s="134" t="s">
        <v>64</v>
      </c>
      <c r="E3" s="134" t="s">
        <v>69</v>
      </c>
      <c r="F3" s="134" t="s">
        <v>52</v>
      </c>
      <c r="G3" s="134" t="s">
        <v>51</v>
      </c>
      <c r="H3" s="134" t="s">
        <v>121</v>
      </c>
      <c r="I3" s="134" t="s">
        <v>120</v>
      </c>
      <c r="J3" s="134" t="s">
        <v>125</v>
      </c>
      <c r="K3" s="134" t="s">
        <v>124</v>
      </c>
      <c r="L3" s="135" t="s">
        <v>69</v>
      </c>
      <c r="M3" s="135" t="s">
        <v>65</v>
      </c>
      <c r="N3" s="135" t="s">
        <v>65</v>
      </c>
      <c r="O3" s="135" t="s">
        <v>65</v>
      </c>
      <c r="P3" s="135" t="s">
        <v>65</v>
      </c>
      <c r="Q3" s="135" t="s">
        <v>65</v>
      </c>
      <c r="R3" s="135" t="s">
        <v>65</v>
      </c>
      <c r="S3" s="135" t="s">
        <v>65</v>
      </c>
      <c r="T3" s="135" t="s">
        <v>65</v>
      </c>
      <c r="U3" s="135" t="s">
        <v>65</v>
      </c>
      <c r="V3" s="135" t="s">
        <v>65</v>
      </c>
      <c r="W3" s="135" t="s">
        <v>65</v>
      </c>
      <c r="X3" s="135" t="s">
        <v>65</v>
      </c>
      <c r="Y3" s="135" t="s">
        <v>65</v>
      </c>
      <c r="Z3" s="135" t="s">
        <v>65</v>
      </c>
      <c r="AA3" s="135" t="s">
        <v>65</v>
      </c>
      <c r="AB3" s="135" t="s">
        <v>65</v>
      </c>
      <c r="AC3" s="135" t="s">
        <v>65</v>
      </c>
      <c r="AD3" s="353" t="s">
        <v>413</v>
      </c>
      <c r="AE3" s="355"/>
      <c r="AF3" s="353" t="s">
        <v>437</v>
      </c>
      <c r="AG3" s="354"/>
      <c r="AH3" s="354"/>
      <c r="AI3" s="355"/>
      <c r="AJ3" s="348"/>
      <c r="AR3" s="101" t="s">
        <v>96</v>
      </c>
    </row>
    <row r="4" spans="1:49" ht="14.25" thickBot="1">
      <c r="A4" s="349" t="s">
        <v>66</v>
      </c>
      <c r="B4" s="350"/>
      <c r="C4" s="142"/>
      <c r="D4" s="142"/>
      <c r="E4" s="142"/>
      <c r="F4" s="142"/>
      <c r="G4" s="142"/>
      <c r="H4" s="142"/>
      <c r="I4" s="142"/>
      <c r="J4" s="142"/>
      <c r="K4" s="142"/>
      <c r="L4" s="142"/>
      <c r="M4" s="142"/>
      <c r="N4" s="142"/>
      <c r="O4" s="142"/>
      <c r="P4" s="142"/>
      <c r="Q4" s="142"/>
      <c r="R4" s="142"/>
      <c r="S4" s="142"/>
      <c r="T4" s="142"/>
      <c r="U4" s="142"/>
      <c r="V4" s="142"/>
      <c r="W4" s="142"/>
      <c r="X4" s="142"/>
      <c r="Y4" s="142"/>
      <c r="Z4" s="142"/>
      <c r="AA4" s="142"/>
      <c r="AB4" s="142"/>
      <c r="AC4" s="142"/>
      <c r="AD4" s="142"/>
      <c r="AE4" s="142"/>
      <c r="AF4" s="142"/>
      <c r="AG4" s="142"/>
      <c r="AH4" s="142"/>
      <c r="AI4" s="142"/>
      <c r="AJ4" s="136"/>
      <c r="AR4" s="89" t="s">
        <v>82</v>
      </c>
      <c r="AS4" s="90"/>
      <c r="AT4" s="90"/>
      <c r="AU4" s="90"/>
      <c r="AV4" s="90"/>
      <c r="AW4" s="91"/>
    </row>
    <row r="5" spans="1:49" ht="14.25" thickBot="1">
      <c r="A5" s="351"/>
      <c r="B5" s="352"/>
      <c r="C5" s="143"/>
      <c r="D5" s="143"/>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37"/>
      <c r="AR5" s="92" t="str">
        <f ca="1">"static const U4  "&amp;AW8&amp;"["&amp;AW10&amp;"]"&amp;" = {"</f>
        <v>static const U4  u4_sp_ALERT_S_LCA_PD_SG_CRIT[ALERT_S_LCA_PD_SG_NUM_DST] = {</v>
      </c>
      <c r="AS5" s="92" t="str">
        <f ca="1">"static const U4  "&amp;$AW$9&amp;"["&amp;$AW$10&amp;"] = {"</f>
        <v>static const U4  u4_sp_ALERT_S_LCA_PD_SG_MASK[ALERT_S_LCA_PD_SG_NUM_DST] = {</v>
      </c>
      <c r="AT5" s="92" t="str">
        <f ca="1">"static const U1  "&amp;$AW$11&amp;"["&amp;$AW$10&amp;"] = {"</f>
        <v>static const U1  u1_sp_ALERT_S_LCA_PD_SG_DST[ALERT_S_LCA_PD_SG_NUM_DST] = {</v>
      </c>
      <c r="AU5" s="92" t="str">
        <f ca="1">"const ST_ALERT_MTRX "&amp;$AW$12&amp;" = {"</f>
        <v>const ST_ALERT_MTRX st_gp_ALERT_S_LCA_MTRX[7] = {</v>
      </c>
      <c r="AV5" s="72" t="str">
        <f ca="1">"#define "&amp;AW10&amp;REPT(" ",41-LEN(AW10))&amp;"("&amp;AW13&amp;"U)"</f>
        <v>#define ALERT_S_LCA_PD_SG_NUM_DST                (64U)</v>
      </c>
      <c r="AW5" s="73"/>
    </row>
    <row r="6" spans="1:49">
      <c r="B6" s="139" t="str">
        <f ca="1">"Table "&amp;$AW$6</f>
        <v>Table PD_SG</v>
      </c>
      <c r="C6" s="60">
        <f>ROW()-ROW($C$6)</f>
        <v>0</v>
      </c>
      <c r="D6" s="39" t="s">
        <v>70</v>
      </c>
      <c r="E6" s="39" t="s">
        <v>70</v>
      </c>
      <c r="F6" s="39" t="s">
        <v>70</v>
      </c>
      <c r="G6" s="39" t="s">
        <v>70</v>
      </c>
      <c r="H6" s="39" t="s">
        <v>70</v>
      </c>
      <c r="I6" s="39" t="s">
        <v>70</v>
      </c>
      <c r="J6" s="39" t="s">
        <v>70</v>
      </c>
      <c r="K6" s="39" t="s">
        <v>70</v>
      </c>
      <c r="L6" s="39" t="s">
        <v>70</v>
      </c>
      <c r="M6" s="39" t="s">
        <v>70</v>
      </c>
      <c r="N6" s="39" t="s">
        <v>70</v>
      </c>
      <c r="O6" s="39" t="s">
        <v>70</v>
      </c>
      <c r="P6" s="39" t="s">
        <v>70</v>
      </c>
      <c r="Q6" s="39" t="s">
        <v>70</v>
      </c>
      <c r="R6" s="39" t="s">
        <v>70</v>
      </c>
      <c r="S6" s="39" t="s">
        <v>70</v>
      </c>
      <c r="T6" s="39" t="s">
        <v>70</v>
      </c>
      <c r="U6" s="39" t="s">
        <v>70</v>
      </c>
      <c r="V6" s="39" t="s">
        <v>70</v>
      </c>
      <c r="W6" s="39" t="s">
        <v>70</v>
      </c>
      <c r="X6" s="39" t="s">
        <v>70</v>
      </c>
      <c r="Y6" s="39" t="s">
        <v>70</v>
      </c>
      <c r="Z6" s="39" t="s">
        <v>70</v>
      </c>
      <c r="AA6" s="39" t="s">
        <v>70</v>
      </c>
      <c r="AB6" s="39" t="s">
        <v>70</v>
      </c>
      <c r="AC6" s="39" t="s">
        <v>70</v>
      </c>
      <c r="AD6" s="39">
        <v>0</v>
      </c>
      <c r="AE6" s="39">
        <v>0</v>
      </c>
      <c r="AF6" s="69">
        <v>0</v>
      </c>
      <c r="AG6" s="69">
        <v>0</v>
      </c>
      <c r="AH6" s="69">
        <v>0</v>
      </c>
      <c r="AI6" s="69">
        <v>0</v>
      </c>
      <c r="AJ6" s="59" t="s">
        <v>33</v>
      </c>
      <c r="AL6"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466</v>
      </c>
      <c r="AV6" s="56" t="s">
        <v>71</v>
      </c>
      <c r="AW6" s="74" t="str">
        <f ca="1">UPPER(RIGHT(CELL("filename",A1),LEN(CELL("filename",A1))-FIND("]",CELL("filename",A1))))</f>
        <v>PD_SG</v>
      </c>
    </row>
    <row r="7" spans="1:49">
      <c r="B7" s="139"/>
      <c r="C7" s="55">
        <f t="shared" ref="C7:C69" si="2">ROW()-ROW($C$6)</f>
        <v>1</v>
      </c>
      <c r="D7" s="69" t="s">
        <v>70</v>
      </c>
      <c r="E7" s="69" t="s">
        <v>70</v>
      </c>
      <c r="F7" s="69" t="s">
        <v>70</v>
      </c>
      <c r="G7" s="69" t="s">
        <v>70</v>
      </c>
      <c r="H7" s="69" t="s">
        <v>70</v>
      </c>
      <c r="I7" s="69" t="s">
        <v>70</v>
      </c>
      <c r="J7" s="69" t="s">
        <v>70</v>
      </c>
      <c r="K7" s="69" t="s">
        <v>70</v>
      </c>
      <c r="L7" s="69" t="s">
        <v>70</v>
      </c>
      <c r="M7" s="69" t="s">
        <v>70</v>
      </c>
      <c r="N7" s="69" t="s">
        <v>70</v>
      </c>
      <c r="O7" s="69" t="s">
        <v>70</v>
      </c>
      <c r="P7" s="69" t="s">
        <v>70</v>
      </c>
      <c r="Q7" s="69" t="s">
        <v>70</v>
      </c>
      <c r="R7" s="69" t="s">
        <v>70</v>
      </c>
      <c r="S7" s="69" t="s">
        <v>70</v>
      </c>
      <c r="T7" s="69" t="s">
        <v>70</v>
      </c>
      <c r="U7" s="69" t="s">
        <v>70</v>
      </c>
      <c r="V7" s="69" t="s">
        <v>70</v>
      </c>
      <c r="W7" s="69" t="s">
        <v>70</v>
      </c>
      <c r="X7" s="69" t="s">
        <v>70</v>
      </c>
      <c r="Y7" s="69" t="s">
        <v>70</v>
      </c>
      <c r="Z7" s="69" t="s">
        <v>70</v>
      </c>
      <c r="AA7" s="69" t="s">
        <v>70</v>
      </c>
      <c r="AB7" s="69" t="s">
        <v>70</v>
      </c>
      <c r="AC7" s="69" t="s">
        <v>70</v>
      </c>
      <c r="AD7" s="69">
        <v>0</v>
      </c>
      <c r="AE7" s="69">
        <v>0</v>
      </c>
      <c r="AF7" s="69">
        <v>0</v>
      </c>
      <c r="AG7" s="69">
        <v>0</v>
      </c>
      <c r="AH7" s="69">
        <v>0</v>
      </c>
      <c r="AI7" s="69">
        <v>1</v>
      </c>
      <c r="AJ7" s="25" t="s">
        <v>33</v>
      </c>
      <c r="AL7" t="str">
        <f t="shared" si="0"/>
        <v xml:space="preserve">    (U1)ALERT_REQ_UNKNOWN</v>
      </c>
      <c r="AR7" s="70" t="str">
        <f t="shared" ref="AR7:AR70" si="3">IF(AQ72&lt;&gt;"",AQ72,IF(AQ71&lt;&gt;"","};",""))</f>
        <v xml:space="preserve">    (U4)0x00000001U,                                                           /* 01 UNKNOWN                                         */</v>
      </c>
      <c r="AS7" s="70" t="str">
        <f t="shared" ref="AS7:AS70" si="4">IF(AQ137&lt;&gt;"",AQ137,IF(AQ136&lt;&gt;"","};",""))</f>
        <v xml:space="preserve">    (U4)0x0000003FU,                                                           /* 01 UNKNOWN                                         */</v>
      </c>
      <c r="AT7" s="70" t="str">
        <f t="shared" si="1"/>
        <v xml:space="preserve">    (U1)ALERT_REQ_UNKNOWN,                                                     /* 01 UNKNOWN                                         */</v>
      </c>
      <c r="AU7" s="70" t="str">
        <f ca="1">"        &amp;"&amp;$AW$14&amp;","&amp;REPT(" ",69-LEN($AW$14))&amp;"/* fp_u4_SRC_CHK                                      */"</f>
        <v xml:space="preserve">        &amp;u4_s_AlertS_lcaPdSgSrcchk,                                            /* fp_u4_SRC_CHK                                      */</v>
      </c>
      <c r="AV7" s="57" t="s">
        <v>72</v>
      </c>
      <c r="AW7" s="138">
        <f>IF(B3="Search Table",1,0)</f>
        <v>0</v>
      </c>
    </row>
    <row r="8" spans="1:49">
      <c r="B8" s="139"/>
      <c r="C8" s="55">
        <f t="shared" si="2"/>
        <v>2</v>
      </c>
      <c r="D8" s="69" t="s">
        <v>70</v>
      </c>
      <c r="E8" s="69" t="s">
        <v>70</v>
      </c>
      <c r="F8" s="69" t="s">
        <v>70</v>
      </c>
      <c r="G8" s="69" t="s">
        <v>70</v>
      </c>
      <c r="H8" s="69" t="s">
        <v>70</v>
      </c>
      <c r="I8" s="69" t="s">
        <v>70</v>
      </c>
      <c r="J8" s="69" t="s">
        <v>70</v>
      </c>
      <c r="K8" s="69" t="s">
        <v>70</v>
      </c>
      <c r="L8" s="69" t="s">
        <v>70</v>
      </c>
      <c r="M8" s="69" t="s">
        <v>70</v>
      </c>
      <c r="N8" s="69" t="s">
        <v>70</v>
      </c>
      <c r="O8" s="69" t="s">
        <v>70</v>
      </c>
      <c r="P8" s="69" t="s">
        <v>70</v>
      </c>
      <c r="Q8" s="69" t="s">
        <v>70</v>
      </c>
      <c r="R8" s="69" t="s">
        <v>70</v>
      </c>
      <c r="S8" s="69" t="s">
        <v>70</v>
      </c>
      <c r="T8" s="69" t="s">
        <v>70</v>
      </c>
      <c r="U8" s="69" t="s">
        <v>70</v>
      </c>
      <c r="V8" s="69" t="s">
        <v>70</v>
      </c>
      <c r="W8" s="69" t="s">
        <v>70</v>
      </c>
      <c r="X8" s="69" t="s">
        <v>70</v>
      </c>
      <c r="Y8" s="69" t="s">
        <v>70</v>
      </c>
      <c r="Z8" s="69" t="s">
        <v>70</v>
      </c>
      <c r="AA8" s="69" t="s">
        <v>70</v>
      </c>
      <c r="AB8" s="69" t="s">
        <v>70</v>
      </c>
      <c r="AC8" s="69" t="s">
        <v>70</v>
      </c>
      <c r="AD8" s="69">
        <v>0</v>
      </c>
      <c r="AE8" s="69">
        <v>0</v>
      </c>
      <c r="AF8" s="69">
        <v>0</v>
      </c>
      <c r="AG8" s="69">
        <v>0</v>
      </c>
      <c r="AH8" s="69">
        <v>1</v>
      </c>
      <c r="AI8" s="69">
        <v>0</v>
      </c>
      <c r="AJ8" s="25" t="s">
        <v>33</v>
      </c>
      <c r="AL8" t="str">
        <f t="shared" si="0"/>
        <v xml:space="preserve">    (U1)ALERT_REQ_UNKNOWN</v>
      </c>
      <c r="AR8" s="70" t="str">
        <f t="shared" si="3"/>
        <v xml:space="preserve">    (U4)0x00000002U,                                                           /* 02 UNKNOWN                                         */</v>
      </c>
      <c r="AS8" s="70" t="str">
        <f t="shared" si="4"/>
        <v xml:space="preserve">    (U4)0x0000003FU,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7" t="s">
        <v>73</v>
      </c>
      <c r="AW8" s="75" t="str">
        <f ca="1">"u4_sp_ALERT_"&amp;IF(AW6&lt;&gt;AW17,$AW$17&amp;"_"&amp;$AW$6,AW17)&amp;"_CRIT"</f>
        <v>u4_sp_ALERT_S_LCA_PD_SG_CRIT</v>
      </c>
    </row>
    <row r="9" spans="1:49">
      <c r="B9" s="139"/>
      <c r="C9" s="55">
        <f t="shared" si="2"/>
        <v>3</v>
      </c>
      <c r="D9" s="69" t="s">
        <v>70</v>
      </c>
      <c r="E9" s="69" t="s">
        <v>70</v>
      </c>
      <c r="F9" s="69" t="s">
        <v>70</v>
      </c>
      <c r="G9" s="69" t="s">
        <v>70</v>
      </c>
      <c r="H9" s="69" t="s">
        <v>70</v>
      </c>
      <c r="I9" s="69" t="s">
        <v>70</v>
      </c>
      <c r="J9" s="69" t="s">
        <v>70</v>
      </c>
      <c r="K9" s="69" t="s">
        <v>70</v>
      </c>
      <c r="L9" s="69" t="s">
        <v>70</v>
      </c>
      <c r="M9" s="69" t="s">
        <v>70</v>
      </c>
      <c r="N9" s="69" t="s">
        <v>70</v>
      </c>
      <c r="O9" s="69" t="s">
        <v>70</v>
      </c>
      <c r="P9" s="69" t="s">
        <v>70</v>
      </c>
      <c r="Q9" s="69" t="s">
        <v>70</v>
      </c>
      <c r="R9" s="69" t="s">
        <v>70</v>
      </c>
      <c r="S9" s="69" t="s">
        <v>70</v>
      </c>
      <c r="T9" s="69" t="s">
        <v>70</v>
      </c>
      <c r="U9" s="69" t="s">
        <v>70</v>
      </c>
      <c r="V9" s="69" t="s">
        <v>70</v>
      </c>
      <c r="W9" s="69" t="s">
        <v>70</v>
      </c>
      <c r="X9" s="69" t="s">
        <v>70</v>
      </c>
      <c r="Y9" s="69" t="s">
        <v>70</v>
      </c>
      <c r="Z9" s="69" t="s">
        <v>70</v>
      </c>
      <c r="AA9" s="69" t="s">
        <v>70</v>
      </c>
      <c r="AB9" s="69" t="s">
        <v>70</v>
      </c>
      <c r="AC9" s="69" t="s">
        <v>70</v>
      </c>
      <c r="AD9" s="69">
        <v>0</v>
      </c>
      <c r="AE9" s="69">
        <v>0</v>
      </c>
      <c r="AF9" s="69">
        <v>0</v>
      </c>
      <c r="AG9" s="69">
        <v>0</v>
      </c>
      <c r="AH9" s="69">
        <v>1</v>
      </c>
      <c r="AI9" s="69">
        <v>1</v>
      </c>
      <c r="AJ9" s="25" t="s">
        <v>33</v>
      </c>
      <c r="AL9" t="str">
        <f t="shared" si="0"/>
        <v xml:space="preserve">    (U1)ALERT_REQ_UNKNOWN</v>
      </c>
      <c r="AR9" s="70" t="str">
        <f t="shared" si="3"/>
        <v xml:space="preserve">    (U4)0x00000003U,                                                           /* 03 UNKNOWN                                         */</v>
      </c>
      <c r="AS9" s="70" t="str">
        <f t="shared" si="4"/>
        <v xml:space="preserve">    (U4)0x0000003FU,                                                           /* 03 UNKNOWN                                         */</v>
      </c>
      <c r="AT9" s="70" t="str">
        <f t="shared" si="1"/>
        <v xml:space="preserve">    (U1)ALERT_REQ_UNKNOWN,                                                     /* 03 UNKNOWN                                         */</v>
      </c>
      <c r="AU9" s="70"/>
      <c r="AV9" s="57" t="s">
        <v>74</v>
      </c>
      <c r="AW9" s="75" t="str">
        <f ca="1">"u4_sp_ALERT_"&amp;IF(AW6&lt;&gt;AW17,$AW$17&amp;"_"&amp;$AW$6,AW17)&amp;"_MASK"</f>
        <v>u4_sp_ALERT_S_LCA_PD_SG_MASK</v>
      </c>
    </row>
    <row r="10" spans="1:49">
      <c r="B10" s="139"/>
      <c r="C10" s="55">
        <f t="shared" si="2"/>
        <v>4</v>
      </c>
      <c r="D10" s="69" t="s">
        <v>70</v>
      </c>
      <c r="E10" s="69" t="s">
        <v>70</v>
      </c>
      <c r="F10" s="69" t="s">
        <v>70</v>
      </c>
      <c r="G10" s="69" t="s">
        <v>70</v>
      </c>
      <c r="H10" s="69" t="s">
        <v>70</v>
      </c>
      <c r="I10" s="69" t="s">
        <v>70</v>
      </c>
      <c r="J10" s="69" t="s">
        <v>70</v>
      </c>
      <c r="K10" s="69" t="s">
        <v>70</v>
      </c>
      <c r="L10" s="69" t="s">
        <v>70</v>
      </c>
      <c r="M10" s="69" t="s">
        <v>70</v>
      </c>
      <c r="N10" s="69" t="s">
        <v>70</v>
      </c>
      <c r="O10" s="69" t="s">
        <v>70</v>
      </c>
      <c r="P10" s="69" t="s">
        <v>70</v>
      </c>
      <c r="Q10" s="69" t="s">
        <v>70</v>
      </c>
      <c r="R10" s="69" t="s">
        <v>70</v>
      </c>
      <c r="S10" s="69" t="s">
        <v>70</v>
      </c>
      <c r="T10" s="69" t="s">
        <v>70</v>
      </c>
      <c r="U10" s="69" t="s">
        <v>70</v>
      </c>
      <c r="V10" s="69" t="s">
        <v>70</v>
      </c>
      <c r="W10" s="69" t="s">
        <v>70</v>
      </c>
      <c r="X10" s="69" t="s">
        <v>70</v>
      </c>
      <c r="Y10" s="69" t="s">
        <v>70</v>
      </c>
      <c r="Z10" s="69" t="s">
        <v>70</v>
      </c>
      <c r="AA10" s="69" t="s">
        <v>70</v>
      </c>
      <c r="AB10" s="69" t="s">
        <v>70</v>
      </c>
      <c r="AC10" s="69" t="s">
        <v>70</v>
      </c>
      <c r="AD10" s="69">
        <v>0</v>
      </c>
      <c r="AE10" s="69">
        <v>0</v>
      </c>
      <c r="AF10" s="69">
        <v>0</v>
      </c>
      <c r="AG10" s="69">
        <v>1</v>
      </c>
      <c r="AH10" s="69">
        <v>0</v>
      </c>
      <c r="AI10" s="69">
        <v>0</v>
      </c>
      <c r="AJ10" s="25" t="s">
        <v>33</v>
      </c>
      <c r="AL10" t="str">
        <f t="shared" si="0"/>
        <v xml:space="preserve">    (U1)ALERT_REQ_UNKNOWN</v>
      </c>
      <c r="AR10" s="70" t="str">
        <f t="shared" si="3"/>
        <v xml:space="preserve">    (U4)0x00000004U,                                                           /* 04 UNKNOWN                                         */</v>
      </c>
      <c r="AS10" s="70" t="str">
        <f t="shared" si="4"/>
        <v xml:space="preserve">    (U4)0x0000003FU,                                                           /* 04 UNKNOWN                                         */</v>
      </c>
      <c r="AT10" s="70" t="str">
        <f t="shared" si="1"/>
        <v xml:space="preserve">    (U1)ALERT_REQ_UNKNOWN,                                                     /* 04 UNKNOWN                                         */</v>
      </c>
      <c r="AU10" s="70" t="str">
        <f>IF($AW$7=1,"        &amp;"&amp;$AW$9&amp;"[0],"&amp;REPT(" ",66-LEN($AW$9))&amp;"/* u4p_MASK                                           */","        (const U4 *)vdp_PTR_NA,                                                /* u4p_MASK                                           */")</f>
        <v xml:space="preserve">        (const U4 *)vdp_PTR_NA,                                                /* u4p_MASK                                           */</v>
      </c>
      <c r="AV10" s="57" t="s">
        <v>75</v>
      </c>
      <c r="AW10" s="75" t="str">
        <f ca="1">"ALERT_"&amp;IF(AW6&lt;&gt;AW17,$AW$17&amp;"_"&amp;$AW$6,AW17)&amp;"_NUM_DST"</f>
        <v>ALERT_S_LCA_PD_SG_NUM_DST</v>
      </c>
    </row>
    <row r="11" spans="1:49">
      <c r="B11" s="139"/>
      <c r="C11" s="55">
        <f t="shared" si="2"/>
        <v>5</v>
      </c>
      <c r="D11" s="69" t="s">
        <v>70</v>
      </c>
      <c r="E11" s="69" t="s">
        <v>70</v>
      </c>
      <c r="F11" s="69" t="s">
        <v>70</v>
      </c>
      <c r="G11" s="69" t="s">
        <v>70</v>
      </c>
      <c r="H11" s="69" t="s">
        <v>70</v>
      </c>
      <c r="I11" s="69" t="s">
        <v>70</v>
      </c>
      <c r="J11" s="69" t="s">
        <v>70</v>
      </c>
      <c r="K11" s="69" t="s">
        <v>70</v>
      </c>
      <c r="L11" s="69" t="s">
        <v>70</v>
      </c>
      <c r="M11" s="69" t="s">
        <v>70</v>
      </c>
      <c r="N11" s="69" t="s">
        <v>70</v>
      </c>
      <c r="O11" s="69" t="s">
        <v>70</v>
      </c>
      <c r="P11" s="69" t="s">
        <v>70</v>
      </c>
      <c r="Q11" s="69" t="s">
        <v>70</v>
      </c>
      <c r="R11" s="69" t="s">
        <v>70</v>
      </c>
      <c r="S11" s="69" t="s">
        <v>70</v>
      </c>
      <c r="T11" s="69" t="s">
        <v>70</v>
      </c>
      <c r="U11" s="69" t="s">
        <v>70</v>
      </c>
      <c r="V11" s="69" t="s">
        <v>70</v>
      </c>
      <c r="W11" s="69" t="s">
        <v>70</v>
      </c>
      <c r="X11" s="69" t="s">
        <v>70</v>
      </c>
      <c r="Y11" s="69" t="s">
        <v>70</v>
      </c>
      <c r="Z11" s="69" t="s">
        <v>70</v>
      </c>
      <c r="AA11" s="69" t="s">
        <v>70</v>
      </c>
      <c r="AB11" s="69" t="s">
        <v>70</v>
      </c>
      <c r="AC11" s="69" t="s">
        <v>70</v>
      </c>
      <c r="AD11" s="69">
        <v>0</v>
      </c>
      <c r="AE11" s="69">
        <v>0</v>
      </c>
      <c r="AF11" s="69">
        <v>0</v>
      </c>
      <c r="AG11" s="69">
        <v>1</v>
      </c>
      <c r="AH11" s="69">
        <v>0</v>
      </c>
      <c r="AI11" s="69">
        <v>1</v>
      </c>
      <c r="AJ11" s="25" t="s">
        <v>315</v>
      </c>
      <c r="AL11" t="str">
        <f t="shared" ca="1" si="0"/>
        <v xml:space="preserve">    (U1)ALERT_REQ_S_LCA_PD_SG_SGST1</v>
      </c>
      <c r="AR11" s="70" t="str">
        <f t="shared" si="3"/>
        <v xml:space="preserve">    (U4)0x00000005U,                                                           /* 05 SGST1                                           */</v>
      </c>
      <c r="AS11" s="70" t="str">
        <f t="shared" si="4"/>
        <v xml:space="preserve">    (U4)0x0000003FU,                                                           /* 05 SGST1                                           */</v>
      </c>
      <c r="AT11" s="70" t="str">
        <f t="shared" ca="1" si="1"/>
        <v xml:space="preserve">    (U1)ALERT_REQ_S_LCA_PD_SG_SGST1,                                           /* 05 SGST1                                           */</v>
      </c>
      <c r="AU11" s="70" t="str">
        <f>IF($AW$7=1,"        &amp;"&amp;$AW$8&amp;"[0],"&amp;REPT(" ",66-LEN($AW$8))&amp;"/* u4p_CRIT                                           */","        (const U4 *)vdp_PTR_NA,                                                /* u4p_CRIT                                           */")</f>
        <v xml:space="preserve">        (const U4 *)vdp_PTR_NA,                                                /* u4p_CRIT                                           */</v>
      </c>
      <c r="AV11" s="57" t="s">
        <v>76</v>
      </c>
      <c r="AW11" s="75" t="str">
        <f ca="1">"u1_sp_ALERT_"&amp;IF(AW6&lt;&gt;AW17,$AW$17&amp;"_"&amp;$AW$6,AW17)&amp;"_DST"</f>
        <v>u1_sp_ALERT_S_LCA_PD_SG_DST</v>
      </c>
    </row>
    <row r="12" spans="1:49">
      <c r="B12" s="139"/>
      <c r="C12" s="55">
        <f t="shared" si="2"/>
        <v>6</v>
      </c>
      <c r="D12" s="69" t="s">
        <v>70</v>
      </c>
      <c r="E12" s="69" t="s">
        <v>70</v>
      </c>
      <c r="F12" s="69" t="s">
        <v>70</v>
      </c>
      <c r="G12" s="69" t="s">
        <v>70</v>
      </c>
      <c r="H12" s="69" t="s">
        <v>70</v>
      </c>
      <c r="I12" s="69" t="s">
        <v>70</v>
      </c>
      <c r="J12" s="69" t="s">
        <v>70</v>
      </c>
      <c r="K12" s="69" t="s">
        <v>70</v>
      </c>
      <c r="L12" s="69" t="s">
        <v>70</v>
      </c>
      <c r="M12" s="69" t="s">
        <v>70</v>
      </c>
      <c r="N12" s="69" t="s">
        <v>70</v>
      </c>
      <c r="O12" s="69" t="s">
        <v>70</v>
      </c>
      <c r="P12" s="69" t="s">
        <v>70</v>
      </c>
      <c r="Q12" s="69" t="s">
        <v>70</v>
      </c>
      <c r="R12" s="69" t="s">
        <v>70</v>
      </c>
      <c r="S12" s="69" t="s">
        <v>70</v>
      </c>
      <c r="T12" s="69" t="s">
        <v>70</v>
      </c>
      <c r="U12" s="69" t="s">
        <v>70</v>
      </c>
      <c r="V12" s="69" t="s">
        <v>70</v>
      </c>
      <c r="W12" s="69" t="s">
        <v>70</v>
      </c>
      <c r="X12" s="69" t="s">
        <v>70</v>
      </c>
      <c r="Y12" s="69" t="s">
        <v>70</v>
      </c>
      <c r="Z12" s="69" t="s">
        <v>70</v>
      </c>
      <c r="AA12" s="69" t="s">
        <v>70</v>
      </c>
      <c r="AB12" s="69" t="s">
        <v>70</v>
      </c>
      <c r="AC12" s="69" t="s">
        <v>70</v>
      </c>
      <c r="AD12" s="69">
        <v>0</v>
      </c>
      <c r="AE12" s="69">
        <v>0</v>
      </c>
      <c r="AF12" s="69">
        <v>0</v>
      </c>
      <c r="AG12" s="69">
        <v>1</v>
      </c>
      <c r="AH12" s="69">
        <v>1</v>
      </c>
      <c r="AI12" s="69">
        <v>0</v>
      </c>
      <c r="AJ12" s="25" t="s">
        <v>317</v>
      </c>
      <c r="AL12" t="str">
        <f t="shared" ca="1" si="0"/>
        <v xml:space="preserve">    (U1)ALERT_REQ_S_LCA_PD_SG_SGST2</v>
      </c>
      <c r="AR12" s="70" t="str">
        <f t="shared" si="3"/>
        <v xml:space="preserve">    (U4)0x00000006U,                                                           /* 06 SGST2                                           */</v>
      </c>
      <c r="AS12" s="70" t="str">
        <f t="shared" si="4"/>
        <v xml:space="preserve">    (U4)0x0000003FU,                                                           /* 06 SGST2                                           */</v>
      </c>
      <c r="AT12" s="70" t="str">
        <f t="shared" ca="1" si="1"/>
        <v xml:space="preserve">    (U1)ALERT_REQ_S_LCA_PD_SG_SGST2,                                           /* 06 SGST2                                           */</v>
      </c>
      <c r="AU12" s="70"/>
      <c r="AV12" s="57" t="s">
        <v>88</v>
      </c>
      <c r="AW12" s="75" t="str">
        <f ca="1">Matrix!D8&amp;"["&amp;Matrix!D7&amp;"]"</f>
        <v>st_gp_ALERT_S_LCA_MTRX[7]</v>
      </c>
    </row>
    <row r="13" spans="1:49">
      <c r="B13" s="139"/>
      <c r="C13" s="55">
        <f t="shared" si="2"/>
        <v>7</v>
      </c>
      <c r="D13" s="69" t="s">
        <v>70</v>
      </c>
      <c r="E13" s="69" t="s">
        <v>70</v>
      </c>
      <c r="F13" s="69" t="s">
        <v>70</v>
      </c>
      <c r="G13" s="69" t="s">
        <v>70</v>
      </c>
      <c r="H13" s="69" t="s">
        <v>70</v>
      </c>
      <c r="I13" s="69" t="s">
        <v>70</v>
      </c>
      <c r="J13" s="69" t="s">
        <v>70</v>
      </c>
      <c r="K13" s="69" t="s">
        <v>70</v>
      </c>
      <c r="L13" s="69" t="s">
        <v>70</v>
      </c>
      <c r="M13" s="69" t="s">
        <v>70</v>
      </c>
      <c r="N13" s="69" t="s">
        <v>70</v>
      </c>
      <c r="O13" s="69" t="s">
        <v>70</v>
      </c>
      <c r="P13" s="69" t="s">
        <v>70</v>
      </c>
      <c r="Q13" s="69" t="s">
        <v>70</v>
      </c>
      <c r="R13" s="69" t="s">
        <v>70</v>
      </c>
      <c r="S13" s="69" t="s">
        <v>70</v>
      </c>
      <c r="T13" s="69" t="s">
        <v>70</v>
      </c>
      <c r="U13" s="69" t="s">
        <v>70</v>
      </c>
      <c r="V13" s="69" t="s">
        <v>70</v>
      </c>
      <c r="W13" s="69" t="s">
        <v>70</v>
      </c>
      <c r="X13" s="69" t="s">
        <v>70</v>
      </c>
      <c r="Y13" s="69" t="s">
        <v>70</v>
      </c>
      <c r="Z13" s="69" t="s">
        <v>70</v>
      </c>
      <c r="AA13" s="69" t="s">
        <v>70</v>
      </c>
      <c r="AB13" s="69" t="s">
        <v>70</v>
      </c>
      <c r="AC13" s="69" t="s">
        <v>70</v>
      </c>
      <c r="AD13" s="69">
        <v>0</v>
      </c>
      <c r="AE13" s="69">
        <v>0</v>
      </c>
      <c r="AF13" s="69">
        <v>0</v>
      </c>
      <c r="AG13" s="69">
        <v>1</v>
      </c>
      <c r="AH13" s="69">
        <v>1</v>
      </c>
      <c r="AI13" s="69">
        <v>1</v>
      </c>
      <c r="AJ13" s="25" t="s">
        <v>314</v>
      </c>
      <c r="AL13" t="str">
        <f t="shared" ca="1" si="0"/>
        <v xml:space="preserve">    (U1)ALERT_REQ_S_LCA_PD_SG_SGST3</v>
      </c>
      <c r="AR13" s="70" t="str">
        <f t="shared" si="3"/>
        <v xml:space="preserve">    (U4)0x00000007U,                                                           /* 07 SGST3                                           */</v>
      </c>
      <c r="AS13" s="70" t="str">
        <f t="shared" si="4"/>
        <v xml:space="preserve">    (U4)0x0000003FU,                                                           /* 07 SGST3                                           */</v>
      </c>
      <c r="AT13" s="70" t="str">
        <f t="shared" ca="1" si="1"/>
        <v xml:space="preserve">    (U1)ALERT_REQ_S_LCA_PD_SG_SGST3,                                           /* 07 SGST3                                           */</v>
      </c>
      <c r="AU13" s="70" t="str">
        <f ca="1">"        &amp;"&amp;$AW$11&amp;"[0],"&amp;REPT(" ",66-LEN($AW$11))&amp;"/* u1p_DST                                            */"</f>
        <v xml:space="preserve">        &amp;u1_sp_ALERT_S_LCA_PD_SG_DST[0],                                       /* u1p_DST                                            */</v>
      </c>
      <c r="AV13" s="57" t="s">
        <v>77</v>
      </c>
      <c r="AW13" s="138">
        <f>COUNTA($AJ$6:$AJ$69)</f>
        <v>64</v>
      </c>
    </row>
    <row r="14" spans="1:49">
      <c r="B14" s="139"/>
      <c r="C14" s="55">
        <f t="shared" si="2"/>
        <v>8</v>
      </c>
      <c r="D14" s="69" t="s">
        <v>70</v>
      </c>
      <c r="E14" s="69" t="s">
        <v>70</v>
      </c>
      <c r="F14" s="69" t="s">
        <v>70</v>
      </c>
      <c r="G14" s="69" t="s">
        <v>70</v>
      </c>
      <c r="H14" s="69" t="s">
        <v>70</v>
      </c>
      <c r="I14" s="69" t="s">
        <v>70</v>
      </c>
      <c r="J14" s="69" t="s">
        <v>70</v>
      </c>
      <c r="K14" s="69" t="s">
        <v>70</v>
      </c>
      <c r="L14" s="69" t="s">
        <v>70</v>
      </c>
      <c r="M14" s="69" t="s">
        <v>70</v>
      </c>
      <c r="N14" s="69" t="s">
        <v>70</v>
      </c>
      <c r="O14" s="69" t="s">
        <v>70</v>
      </c>
      <c r="P14" s="69" t="s">
        <v>70</v>
      </c>
      <c r="Q14" s="69" t="s">
        <v>70</v>
      </c>
      <c r="R14" s="69" t="s">
        <v>70</v>
      </c>
      <c r="S14" s="69" t="s">
        <v>70</v>
      </c>
      <c r="T14" s="69" t="s">
        <v>70</v>
      </c>
      <c r="U14" s="69" t="s">
        <v>70</v>
      </c>
      <c r="V14" s="69" t="s">
        <v>70</v>
      </c>
      <c r="W14" s="69" t="s">
        <v>70</v>
      </c>
      <c r="X14" s="69" t="s">
        <v>70</v>
      </c>
      <c r="Y14" s="69" t="s">
        <v>70</v>
      </c>
      <c r="Z14" s="69" t="s">
        <v>70</v>
      </c>
      <c r="AA14" s="69" t="s">
        <v>70</v>
      </c>
      <c r="AB14" s="69" t="s">
        <v>70</v>
      </c>
      <c r="AC14" s="69" t="s">
        <v>70</v>
      </c>
      <c r="AD14" s="69">
        <v>0</v>
      </c>
      <c r="AE14" s="69">
        <v>0</v>
      </c>
      <c r="AF14" s="69">
        <v>1</v>
      </c>
      <c r="AG14" s="69">
        <v>0</v>
      </c>
      <c r="AH14" s="69">
        <v>0</v>
      </c>
      <c r="AI14" s="69">
        <v>0</v>
      </c>
      <c r="AJ14" s="25" t="s">
        <v>33</v>
      </c>
      <c r="AL14" t="str">
        <f t="shared" si="0"/>
        <v xml:space="preserve">    (U1)ALERT_REQ_UNKNOWN</v>
      </c>
      <c r="AR14" s="70" t="str">
        <f t="shared" si="3"/>
        <v xml:space="preserve">    (U4)0x00000008U,                                                           /* 08 UNKNOWN                                         */</v>
      </c>
      <c r="AS14" s="70" t="str">
        <f t="shared" si="4"/>
        <v xml:space="preserve">    (U4)0x0000003FU,                                                           /* 08 UNKNOWN                                         */</v>
      </c>
      <c r="AT14" s="70" t="str">
        <f t="shared" si="1"/>
        <v xml:space="preserve">    (U1)ALERT_REQ_UNKNOWN,                                                     /* 08 UNKNOWN                                         */</v>
      </c>
      <c r="AU14" s="70" t="str">
        <f ca="1">"        (U2)"&amp;$AW$10&amp;","&amp;REPT(" ",66-LEN($AW$10))&amp;"/* u2_num_srch                                        */"</f>
        <v xml:space="preserve">        (U2)ALERT_S_LCA_PD_SG_NUM_DST,                                         /* u2_num_srch                                        */</v>
      </c>
      <c r="AV14" s="57" t="s">
        <v>78</v>
      </c>
      <c r="AW14" s="75" t="str">
        <f ca="1">IF(AW6&lt;&gt;AW17,VLOOKUP(AW6,Matrix!$C$13:$G$37,4,FALSE),Matrix!F13)</f>
        <v>u4_s_AlertS_lcaPdSgSrcchk</v>
      </c>
    </row>
    <row r="15" spans="1:49">
      <c r="B15" s="139"/>
      <c r="C15" s="55">
        <f t="shared" si="2"/>
        <v>9</v>
      </c>
      <c r="D15" s="69" t="s">
        <v>70</v>
      </c>
      <c r="E15" s="69" t="s">
        <v>70</v>
      </c>
      <c r="F15" s="69" t="s">
        <v>70</v>
      </c>
      <c r="G15" s="69" t="s">
        <v>70</v>
      </c>
      <c r="H15" s="69" t="s">
        <v>70</v>
      </c>
      <c r="I15" s="69" t="s">
        <v>70</v>
      </c>
      <c r="J15" s="69" t="s">
        <v>70</v>
      </c>
      <c r="K15" s="69" t="s">
        <v>70</v>
      </c>
      <c r="L15" s="69" t="s">
        <v>70</v>
      </c>
      <c r="M15" s="69" t="s">
        <v>70</v>
      </c>
      <c r="N15" s="69" t="s">
        <v>70</v>
      </c>
      <c r="O15" s="69" t="s">
        <v>70</v>
      </c>
      <c r="P15" s="69" t="s">
        <v>70</v>
      </c>
      <c r="Q15" s="69" t="s">
        <v>70</v>
      </c>
      <c r="R15" s="69" t="s">
        <v>70</v>
      </c>
      <c r="S15" s="69" t="s">
        <v>70</v>
      </c>
      <c r="T15" s="69" t="s">
        <v>70</v>
      </c>
      <c r="U15" s="69" t="s">
        <v>70</v>
      </c>
      <c r="V15" s="69" t="s">
        <v>70</v>
      </c>
      <c r="W15" s="69" t="s">
        <v>70</v>
      </c>
      <c r="X15" s="69" t="s">
        <v>70</v>
      </c>
      <c r="Y15" s="69" t="s">
        <v>70</v>
      </c>
      <c r="Z15" s="69" t="s">
        <v>70</v>
      </c>
      <c r="AA15" s="69" t="s">
        <v>70</v>
      </c>
      <c r="AB15" s="69" t="s">
        <v>70</v>
      </c>
      <c r="AC15" s="69" t="s">
        <v>70</v>
      </c>
      <c r="AD15" s="69">
        <v>0</v>
      </c>
      <c r="AE15" s="69">
        <v>0</v>
      </c>
      <c r="AF15" s="69">
        <v>1</v>
      </c>
      <c r="AG15" s="69">
        <v>0</v>
      </c>
      <c r="AH15" s="69">
        <v>0</v>
      </c>
      <c r="AI15" s="69">
        <v>1</v>
      </c>
      <c r="AJ15" s="25" t="s">
        <v>33</v>
      </c>
      <c r="AL15" t="str">
        <f t="shared" si="0"/>
        <v xml:space="preserve">    (U1)ALERT_REQ_UNKNOWN</v>
      </c>
      <c r="AR15" s="70" t="str">
        <f t="shared" si="3"/>
        <v xml:space="preserve">    (U4)0x00000009U,                                                           /* 09 UNKNOWN                                         */</v>
      </c>
      <c r="AS15" s="70" t="str">
        <f t="shared" si="4"/>
        <v xml:space="preserve">    (U4)0x0000003FU,                                                           /* 09 UNKNOWN                                         */</v>
      </c>
      <c r="AT15" s="70" t="str">
        <f t="shared" si="1"/>
        <v xml:space="preserve">    (U1)ALERT_REQ_UNKNOWN,                                                     /* 09 UNKNOWN                                         */</v>
      </c>
      <c r="AU15" s="70" t="str">
        <f ca="1">"        (U1)"&amp;$AW$16&amp;REPT(" ",67-LEN($AW$16))&amp;"/* u1_vom_act                                         */"</f>
        <v xml:space="preserve">        (U1)ALERT_VOM_IGN_ON                                                   /* u1_vom_act                                         */</v>
      </c>
      <c r="AV15" s="57" t="s">
        <v>81</v>
      </c>
      <c r="AW15" s="75" t="str">
        <f ca="1">IF(AW6&lt;&gt;AW17,VLOOKUP(AW6,Matrix!$C$13:$G$37,5,FALSE),Matrix!G13)</f>
        <v>NULL</v>
      </c>
    </row>
    <row r="16" spans="1:49">
      <c r="B16" s="139"/>
      <c r="C16" s="55">
        <f t="shared" si="2"/>
        <v>10</v>
      </c>
      <c r="D16" s="69" t="s">
        <v>70</v>
      </c>
      <c r="E16" s="69" t="s">
        <v>70</v>
      </c>
      <c r="F16" s="69" t="s">
        <v>70</v>
      </c>
      <c r="G16" s="69" t="s">
        <v>70</v>
      </c>
      <c r="H16" s="69" t="s">
        <v>70</v>
      </c>
      <c r="I16" s="69" t="s">
        <v>70</v>
      </c>
      <c r="J16" s="69" t="s">
        <v>70</v>
      </c>
      <c r="K16" s="69" t="s">
        <v>70</v>
      </c>
      <c r="L16" s="69" t="s">
        <v>70</v>
      </c>
      <c r="M16" s="69" t="s">
        <v>70</v>
      </c>
      <c r="N16" s="69" t="s">
        <v>70</v>
      </c>
      <c r="O16" s="69" t="s">
        <v>70</v>
      </c>
      <c r="P16" s="69" t="s">
        <v>70</v>
      </c>
      <c r="Q16" s="69" t="s">
        <v>70</v>
      </c>
      <c r="R16" s="69" t="s">
        <v>70</v>
      </c>
      <c r="S16" s="69" t="s">
        <v>70</v>
      </c>
      <c r="T16" s="69" t="s">
        <v>70</v>
      </c>
      <c r="U16" s="69" t="s">
        <v>70</v>
      </c>
      <c r="V16" s="69" t="s">
        <v>70</v>
      </c>
      <c r="W16" s="69" t="s">
        <v>70</v>
      </c>
      <c r="X16" s="69" t="s">
        <v>70</v>
      </c>
      <c r="Y16" s="69" t="s">
        <v>70</v>
      </c>
      <c r="Z16" s="69" t="s">
        <v>70</v>
      </c>
      <c r="AA16" s="69" t="s">
        <v>70</v>
      </c>
      <c r="AB16" s="69" t="s">
        <v>70</v>
      </c>
      <c r="AC16" s="69" t="s">
        <v>70</v>
      </c>
      <c r="AD16" s="69">
        <v>0</v>
      </c>
      <c r="AE16" s="69">
        <v>0</v>
      </c>
      <c r="AF16" s="69">
        <v>1</v>
      </c>
      <c r="AG16" s="69">
        <v>0</v>
      </c>
      <c r="AH16" s="69">
        <v>1</v>
      </c>
      <c r="AI16" s="69">
        <v>0</v>
      </c>
      <c r="AJ16" s="25" t="s">
        <v>33</v>
      </c>
      <c r="AL16" t="str">
        <f t="shared" si="0"/>
        <v xml:space="preserve">    (U1)ALERT_REQ_UNKNOWN</v>
      </c>
      <c r="AR16" s="70" t="str">
        <f t="shared" si="3"/>
        <v xml:space="preserve">    (U4)0x0000000AU,                                                           /* 10 UNKNOWN                                         */</v>
      </c>
      <c r="AS16" s="70" t="str">
        <f t="shared" si="4"/>
        <v xml:space="preserve">    (U4)0x0000003FU,                                                           /* 10 UNKNOWN                                         */</v>
      </c>
      <c r="AT16" s="70" t="str">
        <f t="shared" si="1"/>
        <v xml:space="preserve">    (U1)ALERT_REQ_UNKNOWN,                                                     /* 10 UNKNOWN                                         */</v>
      </c>
      <c r="AU16" s="70" t="s">
        <v>467</v>
      </c>
      <c r="AV16" s="57" t="s">
        <v>79</v>
      </c>
      <c r="AW16" s="75" t="str">
        <f ca="1">IF(AW6&lt;&gt;AW17,VLOOKUP(AW6,Matrix!$C$13:$G$37,2,FALSE),Matrix!D13)</f>
        <v>ALERT_VOM_IGN_ON</v>
      </c>
    </row>
    <row r="17" spans="2:49" ht="14.25" thickBot="1">
      <c r="B17" s="139"/>
      <c r="C17" s="55">
        <f t="shared" si="2"/>
        <v>11</v>
      </c>
      <c r="D17" s="69" t="s">
        <v>70</v>
      </c>
      <c r="E17" s="69" t="s">
        <v>70</v>
      </c>
      <c r="F17" s="69" t="s">
        <v>70</v>
      </c>
      <c r="G17" s="69" t="s">
        <v>70</v>
      </c>
      <c r="H17" s="69" t="s">
        <v>70</v>
      </c>
      <c r="I17" s="69" t="s">
        <v>70</v>
      </c>
      <c r="J17" s="69" t="s">
        <v>70</v>
      </c>
      <c r="K17" s="69" t="s">
        <v>70</v>
      </c>
      <c r="L17" s="69" t="s">
        <v>70</v>
      </c>
      <c r="M17" s="69" t="s">
        <v>70</v>
      </c>
      <c r="N17" s="69" t="s">
        <v>70</v>
      </c>
      <c r="O17" s="69" t="s">
        <v>70</v>
      </c>
      <c r="P17" s="69" t="s">
        <v>70</v>
      </c>
      <c r="Q17" s="69" t="s">
        <v>70</v>
      </c>
      <c r="R17" s="69" t="s">
        <v>70</v>
      </c>
      <c r="S17" s="69" t="s">
        <v>70</v>
      </c>
      <c r="T17" s="69" t="s">
        <v>70</v>
      </c>
      <c r="U17" s="69" t="s">
        <v>70</v>
      </c>
      <c r="V17" s="69" t="s">
        <v>70</v>
      </c>
      <c r="W17" s="69" t="s">
        <v>70</v>
      </c>
      <c r="X17" s="69" t="s">
        <v>70</v>
      </c>
      <c r="Y17" s="69" t="s">
        <v>70</v>
      </c>
      <c r="Z17" s="69" t="s">
        <v>70</v>
      </c>
      <c r="AA17" s="69" t="s">
        <v>70</v>
      </c>
      <c r="AB17" s="69" t="s">
        <v>70</v>
      </c>
      <c r="AC17" s="69" t="s">
        <v>70</v>
      </c>
      <c r="AD17" s="69">
        <v>0</v>
      </c>
      <c r="AE17" s="69">
        <v>0</v>
      </c>
      <c r="AF17" s="69">
        <v>1</v>
      </c>
      <c r="AG17" s="69">
        <v>0</v>
      </c>
      <c r="AH17" s="69">
        <v>1</v>
      </c>
      <c r="AI17" s="69">
        <v>1</v>
      </c>
      <c r="AJ17" s="25" t="s">
        <v>33</v>
      </c>
      <c r="AL17" t="str">
        <f t="shared" si="0"/>
        <v xml:space="preserve">    (U1)ALERT_REQ_UNKNOWN</v>
      </c>
      <c r="AR17" s="70" t="str">
        <f t="shared" si="3"/>
        <v xml:space="preserve">    (U4)0x0000000BU,                                                           /* 11 UNKNOWN                                         */</v>
      </c>
      <c r="AS17" s="70" t="str">
        <f t="shared" si="4"/>
        <v xml:space="preserve">    (U4)0x0000003FU,                                                           /* 11 UNKNOWN                                         */</v>
      </c>
      <c r="AT17" s="70" t="str">
        <f t="shared" si="1"/>
        <v xml:space="preserve">    (U1)ALERT_REQ_UNKNOWN,                                                     /* 11 UNKNOWN                                         */</v>
      </c>
      <c r="AU17" s="71" t="s">
        <v>468</v>
      </c>
      <c r="AV17" s="58" t="s">
        <v>80</v>
      </c>
      <c r="AW17" s="76" t="str">
        <f ca="1">UPPER(Matrix!$D$6)</f>
        <v>S_LCA</v>
      </c>
    </row>
    <row r="18" spans="2:49">
      <c r="B18" s="139"/>
      <c r="C18" s="55">
        <f t="shared" si="2"/>
        <v>12</v>
      </c>
      <c r="D18" s="69" t="s">
        <v>70</v>
      </c>
      <c r="E18" s="69" t="s">
        <v>70</v>
      </c>
      <c r="F18" s="69" t="s">
        <v>70</v>
      </c>
      <c r="G18" s="69" t="s">
        <v>70</v>
      </c>
      <c r="H18" s="69" t="s">
        <v>70</v>
      </c>
      <c r="I18" s="69" t="s">
        <v>70</v>
      </c>
      <c r="J18" s="69" t="s">
        <v>70</v>
      </c>
      <c r="K18" s="69" t="s">
        <v>70</v>
      </c>
      <c r="L18" s="69" t="s">
        <v>70</v>
      </c>
      <c r="M18" s="69" t="s">
        <v>70</v>
      </c>
      <c r="N18" s="69" t="s">
        <v>70</v>
      </c>
      <c r="O18" s="69" t="s">
        <v>70</v>
      </c>
      <c r="P18" s="69" t="s">
        <v>70</v>
      </c>
      <c r="Q18" s="69" t="s">
        <v>70</v>
      </c>
      <c r="R18" s="69" t="s">
        <v>70</v>
      </c>
      <c r="S18" s="69" t="s">
        <v>70</v>
      </c>
      <c r="T18" s="69" t="s">
        <v>70</v>
      </c>
      <c r="U18" s="69" t="s">
        <v>70</v>
      </c>
      <c r="V18" s="69" t="s">
        <v>70</v>
      </c>
      <c r="W18" s="69" t="s">
        <v>70</v>
      </c>
      <c r="X18" s="69" t="s">
        <v>70</v>
      </c>
      <c r="Y18" s="69" t="s">
        <v>70</v>
      </c>
      <c r="Z18" s="69" t="s">
        <v>70</v>
      </c>
      <c r="AA18" s="69" t="s">
        <v>70</v>
      </c>
      <c r="AB18" s="69" t="s">
        <v>70</v>
      </c>
      <c r="AC18" s="69" t="s">
        <v>70</v>
      </c>
      <c r="AD18" s="69">
        <v>0</v>
      </c>
      <c r="AE18" s="69">
        <v>0</v>
      </c>
      <c r="AF18" s="69">
        <v>1</v>
      </c>
      <c r="AG18" s="69">
        <v>1</v>
      </c>
      <c r="AH18" s="69">
        <v>0</v>
      </c>
      <c r="AI18" s="69">
        <v>0</v>
      </c>
      <c r="AJ18" s="25" t="s">
        <v>33</v>
      </c>
      <c r="AL18" t="str">
        <f t="shared" si="0"/>
        <v xml:space="preserve">    (U1)ALERT_REQ_UNKNOWN</v>
      </c>
      <c r="AR18" s="70" t="str">
        <f t="shared" si="3"/>
        <v xml:space="preserve">    (U4)0x0000000CU,                                                           /* 12 UNKNOWN                                         */</v>
      </c>
      <c r="AS18" s="70" t="str">
        <f t="shared" si="4"/>
        <v xml:space="preserve">    (U4)0x0000003FU,                                                           /* 12 UNKNOWN                                         */</v>
      </c>
      <c r="AT18" s="70" t="str">
        <f t="shared" si="1"/>
        <v xml:space="preserve">    (U1)ALERT_REQ_UNKNOWN,                                                     /* 12 UNKNOWN                                         */</v>
      </c>
    </row>
    <row r="19" spans="2:49">
      <c r="B19" s="139"/>
      <c r="C19" s="55">
        <f t="shared" si="2"/>
        <v>13</v>
      </c>
      <c r="D19" s="69" t="s">
        <v>70</v>
      </c>
      <c r="E19" s="69" t="s">
        <v>70</v>
      </c>
      <c r="F19" s="69" t="s">
        <v>70</v>
      </c>
      <c r="G19" s="69" t="s">
        <v>70</v>
      </c>
      <c r="H19" s="69" t="s">
        <v>70</v>
      </c>
      <c r="I19" s="69" t="s">
        <v>70</v>
      </c>
      <c r="J19" s="69" t="s">
        <v>70</v>
      </c>
      <c r="K19" s="69" t="s">
        <v>70</v>
      </c>
      <c r="L19" s="69" t="s">
        <v>70</v>
      </c>
      <c r="M19" s="69" t="s">
        <v>70</v>
      </c>
      <c r="N19" s="69" t="s">
        <v>70</v>
      </c>
      <c r="O19" s="69" t="s">
        <v>70</v>
      </c>
      <c r="P19" s="69" t="s">
        <v>70</v>
      </c>
      <c r="Q19" s="69" t="s">
        <v>70</v>
      </c>
      <c r="R19" s="69" t="s">
        <v>70</v>
      </c>
      <c r="S19" s="69" t="s">
        <v>70</v>
      </c>
      <c r="T19" s="69" t="s">
        <v>70</v>
      </c>
      <c r="U19" s="69" t="s">
        <v>70</v>
      </c>
      <c r="V19" s="69" t="s">
        <v>70</v>
      </c>
      <c r="W19" s="69" t="s">
        <v>70</v>
      </c>
      <c r="X19" s="69" t="s">
        <v>70</v>
      </c>
      <c r="Y19" s="69" t="s">
        <v>70</v>
      </c>
      <c r="Z19" s="69" t="s">
        <v>70</v>
      </c>
      <c r="AA19" s="69" t="s">
        <v>70</v>
      </c>
      <c r="AB19" s="69" t="s">
        <v>70</v>
      </c>
      <c r="AC19" s="69" t="s">
        <v>70</v>
      </c>
      <c r="AD19" s="69">
        <v>0</v>
      </c>
      <c r="AE19" s="69">
        <v>0</v>
      </c>
      <c r="AF19" s="69">
        <v>1</v>
      </c>
      <c r="AG19" s="69">
        <v>1</v>
      </c>
      <c r="AH19" s="69">
        <v>0</v>
      </c>
      <c r="AI19" s="69">
        <v>1</v>
      </c>
      <c r="AJ19" s="25" t="s">
        <v>33</v>
      </c>
      <c r="AL19" t="str">
        <f t="shared" si="0"/>
        <v xml:space="preserve">    (U1)ALERT_REQ_UNKNOWN</v>
      </c>
      <c r="AR19" s="70" t="str">
        <f t="shared" si="3"/>
        <v xml:space="preserve">    (U4)0x0000000DU,                                                           /* 13 UNKNOWN                                         */</v>
      </c>
      <c r="AS19" s="70" t="str">
        <f t="shared" si="4"/>
        <v xml:space="preserve">    (U4)0x0000003FU,                                                           /* 13 UNKNOWN                                         */</v>
      </c>
      <c r="AT19" s="70" t="str">
        <f t="shared" si="1"/>
        <v xml:space="preserve">    (U1)ALERT_REQ_UNKNOWN,                                                     /* 13 UNKNOWN                                         */</v>
      </c>
    </row>
    <row r="20" spans="2:49">
      <c r="B20" s="139"/>
      <c r="C20" s="55">
        <f t="shared" si="2"/>
        <v>14</v>
      </c>
      <c r="D20" s="69" t="s">
        <v>70</v>
      </c>
      <c r="E20" s="69" t="s">
        <v>70</v>
      </c>
      <c r="F20" s="69" t="s">
        <v>70</v>
      </c>
      <c r="G20" s="69" t="s">
        <v>70</v>
      </c>
      <c r="H20" s="69" t="s">
        <v>70</v>
      </c>
      <c r="I20" s="69" t="s">
        <v>70</v>
      </c>
      <c r="J20" s="69" t="s">
        <v>70</v>
      </c>
      <c r="K20" s="69" t="s">
        <v>70</v>
      </c>
      <c r="L20" s="69" t="s">
        <v>70</v>
      </c>
      <c r="M20" s="69" t="s">
        <v>70</v>
      </c>
      <c r="N20" s="69" t="s">
        <v>70</v>
      </c>
      <c r="O20" s="69" t="s">
        <v>70</v>
      </c>
      <c r="P20" s="69" t="s">
        <v>70</v>
      </c>
      <c r="Q20" s="69" t="s">
        <v>70</v>
      </c>
      <c r="R20" s="69" t="s">
        <v>70</v>
      </c>
      <c r="S20" s="69" t="s">
        <v>70</v>
      </c>
      <c r="T20" s="69" t="s">
        <v>70</v>
      </c>
      <c r="U20" s="69" t="s">
        <v>70</v>
      </c>
      <c r="V20" s="69" t="s">
        <v>70</v>
      </c>
      <c r="W20" s="69" t="s">
        <v>70</v>
      </c>
      <c r="X20" s="69" t="s">
        <v>70</v>
      </c>
      <c r="Y20" s="69" t="s">
        <v>70</v>
      </c>
      <c r="Z20" s="69" t="s">
        <v>70</v>
      </c>
      <c r="AA20" s="69" t="s">
        <v>70</v>
      </c>
      <c r="AB20" s="69" t="s">
        <v>70</v>
      </c>
      <c r="AC20" s="69" t="s">
        <v>70</v>
      </c>
      <c r="AD20" s="69">
        <v>0</v>
      </c>
      <c r="AE20" s="69">
        <v>0</v>
      </c>
      <c r="AF20" s="69">
        <v>1</v>
      </c>
      <c r="AG20" s="69">
        <v>1</v>
      </c>
      <c r="AH20" s="69">
        <v>1</v>
      </c>
      <c r="AI20" s="69">
        <v>0</v>
      </c>
      <c r="AJ20" s="25" t="s">
        <v>33</v>
      </c>
      <c r="AL20" t="str">
        <f t="shared" si="0"/>
        <v xml:space="preserve">    (U1)ALERT_REQ_UNKNOWN</v>
      </c>
      <c r="AR20" s="70" t="str">
        <f t="shared" si="3"/>
        <v xml:space="preserve">    (U4)0x0000000EU,                                                           /* 14 UNKNOWN                                         */</v>
      </c>
      <c r="AS20" s="70" t="str">
        <f t="shared" si="4"/>
        <v xml:space="preserve">    (U4)0x0000003FU,                                                           /* 14 UNKNOWN                                         */</v>
      </c>
      <c r="AT20" s="70" t="str">
        <f t="shared" si="1"/>
        <v xml:space="preserve">    (U1)ALERT_REQ_UNKNOWN,                                                     /* 14 UNKNOWN                                         */</v>
      </c>
    </row>
    <row r="21" spans="2:49">
      <c r="B21" s="139"/>
      <c r="C21" s="55">
        <f t="shared" si="2"/>
        <v>15</v>
      </c>
      <c r="D21" s="69" t="s">
        <v>70</v>
      </c>
      <c r="E21" s="69" t="s">
        <v>70</v>
      </c>
      <c r="F21" s="69" t="s">
        <v>70</v>
      </c>
      <c r="G21" s="69" t="s">
        <v>70</v>
      </c>
      <c r="H21" s="69" t="s">
        <v>70</v>
      </c>
      <c r="I21" s="69" t="s">
        <v>70</v>
      </c>
      <c r="J21" s="69" t="s">
        <v>70</v>
      </c>
      <c r="K21" s="69" t="s">
        <v>70</v>
      </c>
      <c r="L21" s="69" t="s">
        <v>70</v>
      </c>
      <c r="M21" s="69" t="s">
        <v>70</v>
      </c>
      <c r="N21" s="69" t="s">
        <v>70</v>
      </c>
      <c r="O21" s="69" t="s">
        <v>70</v>
      </c>
      <c r="P21" s="69" t="s">
        <v>70</v>
      </c>
      <c r="Q21" s="69" t="s">
        <v>70</v>
      </c>
      <c r="R21" s="69" t="s">
        <v>70</v>
      </c>
      <c r="S21" s="69" t="s">
        <v>70</v>
      </c>
      <c r="T21" s="69" t="s">
        <v>70</v>
      </c>
      <c r="U21" s="69" t="s">
        <v>70</v>
      </c>
      <c r="V21" s="69" t="s">
        <v>70</v>
      </c>
      <c r="W21" s="69" t="s">
        <v>70</v>
      </c>
      <c r="X21" s="69" t="s">
        <v>70</v>
      </c>
      <c r="Y21" s="69" t="s">
        <v>70</v>
      </c>
      <c r="Z21" s="69" t="s">
        <v>70</v>
      </c>
      <c r="AA21" s="69" t="s">
        <v>70</v>
      </c>
      <c r="AB21" s="69" t="s">
        <v>70</v>
      </c>
      <c r="AC21" s="69" t="s">
        <v>70</v>
      </c>
      <c r="AD21" s="69">
        <v>0</v>
      </c>
      <c r="AE21" s="69">
        <v>0</v>
      </c>
      <c r="AF21" s="69">
        <v>1</v>
      </c>
      <c r="AG21" s="69">
        <v>1</v>
      </c>
      <c r="AH21" s="69">
        <v>1</v>
      </c>
      <c r="AI21" s="69">
        <v>1</v>
      </c>
      <c r="AJ21" s="25" t="s">
        <v>33</v>
      </c>
      <c r="AL21" t="str">
        <f t="shared" si="0"/>
        <v xml:space="preserve">    (U1)ALERT_REQ_UNKNOWN</v>
      </c>
      <c r="AR21" s="70" t="str">
        <f t="shared" si="3"/>
        <v xml:space="preserve">    (U4)0x0000000FU,                                                           /* 15 UNKNOWN                                         */</v>
      </c>
      <c r="AS21" s="70" t="str">
        <f t="shared" si="4"/>
        <v xml:space="preserve">    (U4)0x0000003FU,                                                           /* 15 UNKNOWN                                         */</v>
      </c>
      <c r="AT21" s="70" t="str">
        <f t="shared" si="1"/>
        <v xml:space="preserve">    (U1)ALERT_REQ_UNKNOWN,                                                     /* 15 UNKNOWN                                         */</v>
      </c>
    </row>
    <row r="22" spans="2:49">
      <c r="B22" s="139"/>
      <c r="C22" s="55">
        <f t="shared" si="2"/>
        <v>16</v>
      </c>
      <c r="D22" s="69" t="s">
        <v>70</v>
      </c>
      <c r="E22" s="69" t="s">
        <v>70</v>
      </c>
      <c r="F22" s="69" t="s">
        <v>70</v>
      </c>
      <c r="G22" s="69" t="s">
        <v>70</v>
      </c>
      <c r="H22" s="69" t="s">
        <v>70</v>
      </c>
      <c r="I22" s="69" t="s">
        <v>70</v>
      </c>
      <c r="J22" s="69" t="s">
        <v>70</v>
      </c>
      <c r="K22" s="69" t="s">
        <v>70</v>
      </c>
      <c r="L22" s="69" t="s">
        <v>70</v>
      </c>
      <c r="M22" s="69" t="s">
        <v>70</v>
      </c>
      <c r="N22" s="69" t="s">
        <v>70</v>
      </c>
      <c r="O22" s="69" t="s">
        <v>70</v>
      </c>
      <c r="P22" s="69" t="s">
        <v>70</v>
      </c>
      <c r="Q22" s="69" t="s">
        <v>70</v>
      </c>
      <c r="R22" s="69" t="s">
        <v>70</v>
      </c>
      <c r="S22" s="69" t="s">
        <v>70</v>
      </c>
      <c r="T22" s="69" t="s">
        <v>70</v>
      </c>
      <c r="U22" s="69" t="s">
        <v>70</v>
      </c>
      <c r="V22" s="69" t="s">
        <v>70</v>
      </c>
      <c r="W22" s="69" t="s">
        <v>70</v>
      </c>
      <c r="X22" s="69" t="s">
        <v>70</v>
      </c>
      <c r="Y22" s="69" t="s">
        <v>70</v>
      </c>
      <c r="Z22" s="69" t="s">
        <v>70</v>
      </c>
      <c r="AA22" s="69" t="s">
        <v>70</v>
      </c>
      <c r="AB22" s="69" t="s">
        <v>70</v>
      </c>
      <c r="AC22" s="69" t="s">
        <v>70</v>
      </c>
      <c r="AD22" s="69">
        <v>0</v>
      </c>
      <c r="AE22" s="69">
        <v>1</v>
      </c>
      <c r="AF22" s="69">
        <v>0</v>
      </c>
      <c r="AG22" s="69">
        <v>0</v>
      </c>
      <c r="AH22" s="69">
        <v>0</v>
      </c>
      <c r="AI22" s="69">
        <v>0</v>
      </c>
      <c r="AJ22" s="25" t="s">
        <v>33</v>
      </c>
      <c r="AL22" t="str">
        <f t="shared" si="0"/>
        <v xml:space="preserve">    (U1)ALERT_REQ_UNKNOWN</v>
      </c>
      <c r="AR22" s="70" t="str">
        <f t="shared" si="3"/>
        <v xml:space="preserve">    (U4)0x00000010U,                                                           /* 16 UNKNOWN                                         */</v>
      </c>
      <c r="AS22" s="70" t="str">
        <f t="shared" si="4"/>
        <v xml:space="preserve">    (U4)0x0000003FU,                                                           /* 16 UNKNOWN                                         */</v>
      </c>
      <c r="AT22" s="70" t="str">
        <f t="shared" si="1"/>
        <v xml:space="preserve">    (U1)ALERT_REQ_UNKNOWN,                                                     /* 16 UNKNOWN                                         */</v>
      </c>
    </row>
    <row r="23" spans="2:49">
      <c r="B23" s="139"/>
      <c r="C23" s="55">
        <f t="shared" si="2"/>
        <v>17</v>
      </c>
      <c r="D23" s="69" t="s">
        <v>70</v>
      </c>
      <c r="E23" s="69" t="s">
        <v>70</v>
      </c>
      <c r="F23" s="69" t="s">
        <v>70</v>
      </c>
      <c r="G23" s="69" t="s">
        <v>70</v>
      </c>
      <c r="H23" s="69" t="s">
        <v>70</v>
      </c>
      <c r="I23" s="69" t="s">
        <v>70</v>
      </c>
      <c r="J23" s="69" t="s">
        <v>70</v>
      </c>
      <c r="K23" s="69" t="s">
        <v>70</v>
      </c>
      <c r="L23" s="69" t="s">
        <v>70</v>
      </c>
      <c r="M23" s="69" t="s">
        <v>70</v>
      </c>
      <c r="N23" s="69" t="s">
        <v>70</v>
      </c>
      <c r="O23" s="69" t="s">
        <v>70</v>
      </c>
      <c r="P23" s="69" t="s">
        <v>70</v>
      </c>
      <c r="Q23" s="69" t="s">
        <v>70</v>
      </c>
      <c r="R23" s="69" t="s">
        <v>70</v>
      </c>
      <c r="S23" s="69" t="s">
        <v>70</v>
      </c>
      <c r="T23" s="69" t="s">
        <v>70</v>
      </c>
      <c r="U23" s="69" t="s">
        <v>70</v>
      </c>
      <c r="V23" s="69" t="s">
        <v>70</v>
      </c>
      <c r="W23" s="69" t="s">
        <v>70</v>
      </c>
      <c r="X23" s="69" t="s">
        <v>70</v>
      </c>
      <c r="Y23" s="69" t="s">
        <v>70</v>
      </c>
      <c r="Z23" s="69" t="s">
        <v>70</v>
      </c>
      <c r="AA23" s="69" t="s">
        <v>70</v>
      </c>
      <c r="AB23" s="69" t="s">
        <v>70</v>
      </c>
      <c r="AC23" s="69" t="s">
        <v>70</v>
      </c>
      <c r="AD23" s="69">
        <v>0</v>
      </c>
      <c r="AE23" s="69">
        <v>1</v>
      </c>
      <c r="AF23" s="69">
        <v>0</v>
      </c>
      <c r="AG23" s="69">
        <v>0</v>
      </c>
      <c r="AH23" s="69">
        <v>0</v>
      </c>
      <c r="AI23" s="69">
        <v>1</v>
      </c>
      <c r="AJ23" s="25" t="s">
        <v>33</v>
      </c>
      <c r="AL23" t="str">
        <f t="shared" si="0"/>
        <v xml:space="preserve">    (U1)ALERT_REQ_UNKNOWN</v>
      </c>
      <c r="AR23" s="70" t="str">
        <f t="shared" si="3"/>
        <v xml:space="preserve">    (U4)0x00000011U,                                                           /* 17 UNKNOWN                                         */</v>
      </c>
      <c r="AS23" s="70" t="str">
        <f t="shared" si="4"/>
        <v xml:space="preserve">    (U4)0x0000003FU,                                                           /* 17 UNKNOWN                                         */</v>
      </c>
      <c r="AT23" s="70" t="str">
        <f t="shared" si="1"/>
        <v xml:space="preserve">    (U1)ALERT_REQ_UNKNOWN,                                                     /* 17 UNKNOWN                                         */</v>
      </c>
    </row>
    <row r="24" spans="2:49">
      <c r="B24" s="139"/>
      <c r="C24" s="55">
        <f t="shared" si="2"/>
        <v>18</v>
      </c>
      <c r="D24" s="69" t="s">
        <v>70</v>
      </c>
      <c r="E24" s="69" t="s">
        <v>70</v>
      </c>
      <c r="F24" s="69" t="s">
        <v>70</v>
      </c>
      <c r="G24" s="69" t="s">
        <v>70</v>
      </c>
      <c r="H24" s="69" t="s">
        <v>70</v>
      </c>
      <c r="I24" s="69" t="s">
        <v>70</v>
      </c>
      <c r="J24" s="69" t="s">
        <v>70</v>
      </c>
      <c r="K24" s="69" t="s">
        <v>70</v>
      </c>
      <c r="L24" s="69" t="s">
        <v>70</v>
      </c>
      <c r="M24" s="69" t="s">
        <v>70</v>
      </c>
      <c r="N24" s="69" t="s">
        <v>70</v>
      </c>
      <c r="O24" s="69" t="s">
        <v>70</v>
      </c>
      <c r="P24" s="69" t="s">
        <v>70</v>
      </c>
      <c r="Q24" s="69" t="s">
        <v>70</v>
      </c>
      <c r="R24" s="69" t="s">
        <v>70</v>
      </c>
      <c r="S24" s="69" t="s">
        <v>70</v>
      </c>
      <c r="T24" s="69" t="s">
        <v>70</v>
      </c>
      <c r="U24" s="69" t="s">
        <v>70</v>
      </c>
      <c r="V24" s="69" t="s">
        <v>70</v>
      </c>
      <c r="W24" s="69" t="s">
        <v>70</v>
      </c>
      <c r="X24" s="69" t="s">
        <v>70</v>
      </c>
      <c r="Y24" s="69" t="s">
        <v>70</v>
      </c>
      <c r="Z24" s="69" t="s">
        <v>70</v>
      </c>
      <c r="AA24" s="69" t="s">
        <v>70</v>
      </c>
      <c r="AB24" s="69" t="s">
        <v>70</v>
      </c>
      <c r="AC24" s="69" t="s">
        <v>70</v>
      </c>
      <c r="AD24" s="69">
        <v>0</v>
      </c>
      <c r="AE24" s="69">
        <v>1</v>
      </c>
      <c r="AF24" s="69">
        <v>0</v>
      </c>
      <c r="AG24" s="69">
        <v>0</v>
      </c>
      <c r="AH24" s="69">
        <v>1</v>
      </c>
      <c r="AI24" s="69">
        <v>0</v>
      </c>
      <c r="AJ24" s="25" t="s">
        <v>33</v>
      </c>
      <c r="AL24" t="str">
        <f t="shared" si="0"/>
        <v xml:space="preserve">    (U1)ALERT_REQ_UNKNOWN</v>
      </c>
      <c r="AR24" s="70" t="str">
        <f t="shared" si="3"/>
        <v xml:space="preserve">    (U4)0x00000012U,                                                           /* 18 UNKNOWN                                         */</v>
      </c>
      <c r="AS24" s="70" t="str">
        <f t="shared" si="4"/>
        <v xml:space="preserve">    (U4)0x0000003FU,                                                           /* 18 UNKNOWN                                         */</v>
      </c>
      <c r="AT24" s="70" t="str">
        <f t="shared" si="1"/>
        <v xml:space="preserve">    (U1)ALERT_REQ_UNKNOWN,                                                     /* 18 UNKNOWN                                         */</v>
      </c>
    </row>
    <row r="25" spans="2:49">
      <c r="B25" s="139"/>
      <c r="C25" s="55">
        <f t="shared" si="2"/>
        <v>19</v>
      </c>
      <c r="D25" s="69" t="s">
        <v>70</v>
      </c>
      <c r="E25" s="69" t="s">
        <v>70</v>
      </c>
      <c r="F25" s="69" t="s">
        <v>70</v>
      </c>
      <c r="G25" s="69" t="s">
        <v>70</v>
      </c>
      <c r="H25" s="69" t="s">
        <v>70</v>
      </c>
      <c r="I25" s="69" t="s">
        <v>70</v>
      </c>
      <c r="J25" s="69" t="s">
        <v>70</v>
      </c>
      <c r="K25" s="69" t="s">
        <v>70</v>
      </c>
      <c r="L25" s="69" t="s">
        <v>70</v>
      </c>
      <c r="M25" s="69" t="s">
        <v>70</v>
      </c>
      <c r="N25" s="69" t="s">
        <v>70</v>
      </c>
      <c r="O25" s="69" t="s">
        <v>70</v>
      </c>
      <c r="P25" s="69" t="s">
        <v>70</v>
      </c>
      <c r="Q25" s="69" t="s">
        <v>70</v>
      </c>
      <c r="R25" s="69" t="s">
        <v>70</v>
      </c>
      <c r="S25" s="69" t="s">
        <v>70</v>
      </c>
      <c r="T25" s="69" t="s">
        <v>70</v>
      </c>
      <c r="U25" s="69" t="s">
        <v>70</v>
      </c>
      <c r="V25" s="69" t="s">
        <v>70</v>
      </c>
      <c r="W25" s="69" t="s">
        <v>70</v>
      </c>
      <c r="X25" s="69" t="s">
        <v>70</v>
      </c>
      <c r="Y25" s="69" t="s">
        <v>70</v>
      </c>
      <c r="Z25" s="69" t="s">
        <v>70</v>
      </c>
      <c r="AA25" s="69" t="s">
        <v>70</v>
      </c>
      <c r="AB25" s="69" t="s">
        <v>70</v>
      </c>
      <c r="AC25" s="69" t="s">
        <v>70</v>
      </c>
      <c r="AD25" s="69">
        <v>0</v>
      </c>
      <c r="AE25" s="69">
        <v>1</v>
      </c>
      <c r="AF25" s="69">
        <v>0</v>
      </c>
      <c r="AG25" s="69">
        <v>0</v>
      </c>
      <c r="AH25" s="69">
        <v>1</v>
      </c>
      <c r="AI25" s="69">
        <v>1</v>
      </c>
      <c r="AJ25" s="25" t="s">
        <v>33</v>
      </c>
      <c r="AL25" t="str">
        <f t="shared" si="0"/>
        <v xml:space="preserve">    (U1)ALERT_REQ_UNKNOWN</v>
      </c>
      <c r="AR25" s="70" t="str">
        <f t="shared" si="3"/>
        <v xml:space="preserve">    (U4)0x00000013U,                                                           /* 19 UNKNOWN                                         */</v>
      </c>
      <c r="AS25" s="70" t="str">
        <f t="shared" si="4"/>
        <v xml:space="preserve">    (U4)0x0000003FU,                                                           /* 19 UNKNOWN                                         */</v>
      </c>
      <c r="AT25" s="70" t="str">
        <f t="shared" si="1"/>
        <v xml:space="preserve">    (U1)ALERT_REQ_UNKNOWN,                                                     /* 19 UNKNOWN                                         */</v>
      </c>
    </row>
    <row r="26" spans="2:49">
      <c r="B26" s="139"/>
      <c r="C26" s="55">
        <f t="shared" si="2"/>
        <v>20</v>
      </c>
      <c r="D26" s="69" t="s">
        <v>70</v>
      </c>
      <c r="E26" s="69" t="s">
        <v>70</v>
      </c>
      <c r="F26" s="69" t="s">
        <v>70</v>
      </c>
      <c r="G26" s="69" t="s">
        <v>70</v>
      </c>
      <c r="H26" s="69" t="s">
        <v>70</v>
      </c>
      <c r="I26" s="69" t="s">
        <v>70</v>
      </c>
      <c r="J26" s="69" t="s">
        <v>70</v>
      </c>
      <c r="K26" s="69" t="s">
        <v>70</v>
      </c>
      <c r="L26" s="69" t="s">
        <v>70</v>
      </c>
      <c r="M26" s="69" t="s">
        <v>70</v>
      </c>
      <c r="N26" s="69" t="s">
        <v>70</v>
      </c>
      <c r="O26" s="69" t="s">
        <v>70</v>
      </c>
      <c r="P26" s="69" t="s">
        <v>70</v>
      </c>
      <c r="Q26" s="69" t="s">
        <v>70</v>
      </c>
      <c r="R26" s="69" t="s">
        <v>70</v>
      </c>
      <c r="S26" s="69" t="s">
        <v>70</v>
      </c>
      <c r="T26" s="69" t="s">
        <v>70</v>
      </c>
      <c r="U26" s="69" t="s">
        <v>70</v>
      </c>
      <c r="V26" s="69" t="s">
        <v>70</v>
      </c>
      <c r="W26" s="69" t="s">
        <v>70</v>
      </c>
      <c r="X26" s="69" t="s">
        <v>70</v>
      </c>
      <c r="Y26" s="69" t="s">
        <v>70</v>
      </c>
      <c r="Z26" s="69" t="s">
        <v>70</v>
      </c>
      <c r="AA26" s="69" t="s">
        <v>70</v>
      </c>
      <c r="AB26" s="69" t="s">
        <v>70</v>
      </c>
      <c r="AC26" s="69" t="s">
        <v>70</v>
      </c>
      <c r="AD26" s="69">
        <v>0</v>
      </c>
      <c r="AE26" s="69">
        <v>1</v>
      </c>
      <c r="AF26" s="69">
        <v>0</v>
      </c>
      <c r="AG26" s="69">
        <v>1</v>
      </c>
      <c r="AH26" s="69">
        <v>0</v>
      </c>
      <c r="AI26" s="69">
        <v>0</v>
      </c>
      <c r="AJ26" s="25" t="s">
        <v>33</v>
      </c>
      <c r="AL26" t="str">
        <f t="shared" si="0"/>
        <v xml:space="preserve">    (U1)ALERT_REQ_UNKNOWN</v>
      </c>
      <c r="AR26" s="70" t="str">
        <f t="shared" si="3"/>
        <v xml:space="preserve">    (U4)0x00000014U,                                                           /* 20 UNKNOWN                                         */</v>
      </c>
      <c r="AS26" s="70" t="str">
        <f t="shared" si="4"/>
        <v xml:space="preserve">    (U4)0x0000003FU,                                                           /* 20 UNKNOWN                                         */</v>
      </c>
      <c r="AT26" s="70" t="str">
        <f t="shared" si="1"/>
        <v xml:space="preserve">    (U1)ALERT_REQ_UNKNOWN,                                                     /* 20 UNKNOWN                                         */</v>
      </c>
    </row>
    <row r="27" spans="2:49">
      <c r="B27" s="139"/>
      <c r="C27" s="55">
        <f t="shared" si="2"/>
        <v>21</v>
      </c>
      <c r="D27" s="69" t="s">
        <v>70</v>
      </c>
      <c r="E27" s="69" t="s">
        <v>70</v>
      </c>
      <c r="F27" s="69" t="s">
        <v>70</v>
      </c>
      <c r="G27" s="69" t="s">
        <v>70</v>
      </c>
      <c r="H27" s="69" t="s">
        <v>70</v>
      </c>
      <c r="I27" s="69" t="s">
        <v>70</v>
      </c>
      <c r="J27" s="69" t="s">
        <v>70</v>
      </c>
      <c r="K27" s="69" t="s">
        <v>70</v>
      </c>
      <c r="L27" s="69" t="s">
        <v>70</v>
      </c>
      <c r="M27" s="69" t="s">
        <v>70</v>
      </c>
      <c r="N27" s="69" t="s">
        <v>70</v>
      </c>
      <c r="O27" s="69" t="s">
        <v>70</v>
      </c>
      <c r="P27" s="69" t="s">
        <v>70</v>
      </c>
      <c r="Q27" s="69" t="s">
        <v>70</v>
      </c>
      <c r="R27" s="69" t="s">
        <v>70</v>
      </c>
      <c r="S27" s="69" t="s">
        <v>70</v>
      </c>
      <c r="T27" s="69" t="s">
        <v>70</v>
      </c>
      <c r="U27" s="69" t="s">
        <v>70</v>
      </c>
      <c r="V27" s="69" t="s">
        <v>70</v>
      </c>
      <c r="W27" s="69" t="s">
        <v>70</v>
      </c>
      <c r="X27" s="69" t="s">
        <v>70</v>
      </c>
      <c r="Y27" s="69" t="s">
        <v>70</v>
      </c>
      <c r="Z27" s="69" t="s">
        <v>70</v>
      </c>
      <c r="AA27" s="69" t="s">
        <v>70</v>
      </c>
      <c r="AB27" s="69" t="s">
        <v>70</v>
      </c>
      <c r="AC27" s="69" t="s">
        <v>70</v>
      </c>
      <c r="AD27" s="69">
        <v>0</v>
      </c>
      <c r="AE27" s="69">
        <v>1</v>
      </c>
      <c r="AF27" s="69">
        <v>0</v>
      </c>
      <c r="AG27" s="69">
        <v>1</v>
      </c>
      <c r="AH27" s="69">
        <v>0</v>
      </c>
      <c r="AI27" s="69">
        <v>1</v>
      </c>
      <c r="AJ27" s="25" t="s">
        <v>33</v>
      </c>
      <c r="AL27" t="str">
        <f t="shared" si="0"/>
        <v xml:space="preserve">    (U1)ALERT_REQ_UNKNOWN</v>
      </c>
      <c r="AR27" s="70" t="str">
        <f t="shared" si="3"/>
        <v xml:space="preserve">    (U4)0x00000015U,                                                           /* 21 UNKNOWN                                         */</v>
      </c>
      <c r="AS27" s="70" t="str">
        <f t="shared" si="4"/>
        <v xml:space="preserve">    (U4)0x0000003FU,                                                           /* 21 UNKNOWN                                         */</v>
      </c>
      <c r="AT27" s="70" t="str">
        <f t="shared" si="1"/>
        <v xml:space="preserve">    (U1)ALERT_REQ_UNKNOWN,                                                     /* 21 UNKNOWN                                         */</v>
      </c>
    </row>
    <row r="28" spans="2:49">
      <c r="B28" s="139"/>
      <c r="C28" s="55">
        <f t="shared" si="2"/>
        <v>22</v>
      </c>
      <c r="D28" s="69" t="s">
        <v>70</v>
      </c>
      <c r="E28" s="69" t="s">
        <v>70</v>
      </c>
      <c r="F28" s="69" t="s">
        <v>70</v>
      </c>
      <c r="G28" s="69" t="s">
        <v>70</v>
      </c>
      <c r="H28" s="69" t="s">
        <v>70</v>
      </c>
      <c r="I28" s="69" t="s">
        <v>70</v>
      </c>
      <c r="J28" s="69" t="s">
        <v>70</v>
      </c>
      <c r="K28" s="69" t="s">
        <v>70</v>
      </c>
      <c r="L28" s="69" t="s">
        <v>70</v>
      </c>
      <c r="M28" s="69" t="s">
        <v>70</v>
      </c>
      <c r="N28" s="69" t="s">
        <v>70</v>
      </c>
      <c r="O28" s="69" t="s">
        <v>70</v>
      </c>
      <c r="P28" s="69" t="s">
        <v>70</v>
      </c>
      <c r="Q28" s="69" t="s">
        <v>70</v>
      </c>
      <c r="R28" s="69" t="s">
        <v>70</v>
      </c>
      <c r="S28" s="69" t="s">
        <v>70</v>
      </c>
      <c r="T28" s="69" t="s">
        <v>70</v>
      </c>
      <c r="U28" s="69" t="s">
        <v>70</v>
      </c>
      <c r="V28" s="69" t="s">
        <v>70</v>
      </c>
      <c r="W28" s="69" t="s">
        <v>70</v>
      </c>
      <c r="X28" s="69" t="s">
        <v>70</v>
      </c>
      <c r="Y28" s="69" t="s">
        <v>70</v>
      </c>
      <c r="Z28" s="69" t="s">
        <v>70</v>
      </c>
      <c r="AA28" s="69" t="s">
        <v>70</v>
      </c>
      <c r="AB28" s="69" t="s">
        <v>70</v>
      </c>
      <c r="AC28" s="69" t="s">
        <v>70</v>
      </c>
      <c r="AD28" s="69">
        <v>0</v>
      </c>
      <c r="AE28" s="69">
        <v>1</v>
      </c>
      <c r="AF28" s="69">
        <v>0</v>
      </c>
      <c r="AG28" s="69">
        <v>1</v>
      </c>
      <c r="AH28" s="69">
        <v>1</v>
      </c>
      <c r="AI28" s="69">
        <v>0</v>
      </c>
      <c r="AJ28" s="25" t="s">
        <v>33</v>
      </c>
      <c r="AL28" t="str">
        <f t="shared" si="0"/>
        <v xml:space="preserve">    (U1)ALERT_REQ_UNKNOWN</v>
      </c>
      <c r="AR28" s="70" t="str">
        <f t="shared" si="3"/>
        <v xml:space="preserve">    (U4)0x00000016U,                                                           /* 22 UNKNOWN                                         */</v>
      </c>
      <c r="AS28" s="70" t="str">
        <f t="shared" si="4"/>
        <v xml:space="preserve">    (U4)0x0000003FU,                                                           /* 22 UNKNOWN                                         */</v>
      </c>
      <c r="AT28" s="70" t="str">
        <f t="shared" si="1"/>
        <v xml:space="preserve">    (U1)ALERT_REQ_UNKNOWN,                                                     /* 22 UNKNOWN                                         */</v>
      </c>
    </row>
    <row r="29" spans="2:49">
      <c r="B29" s="139"/>
      <c r="C29" s="55">
        <f t="shared" si="2"/>
        <v>23</v>
      </c>
      <c r="D29" s="69" t="s">
        <v>70</v>
      </c>
      <c r="E29" s="69" t="s">
        <v>70</v>
      </c>
      <c r="F29" s="69" t="s">
        <v>70</v>
      </c>
      <c r="G29" s="69" t="s">
        <v>70</v>
      </c>
      <c r="H29" s="69" t="s">
        <v>70</v>
      </c>
      <c r="I29" s="69" t="s">
        <v>70</v>
      </c>
      <c r="J29" s="69" t="s">
        <v>70</v>
      </c>
      <c r="K29" s="69" t="s">
        <v>70</v>
      </c>
      <c r="L29" s="69" t="s">
        <v>70</v>
      </c>
      <c r="M29" s="69" t="s">
        <v>70</v>
      </c>
      <c r="N29" s="69" t="s">
        <v>70</v>
      </c>
      <c r="O29" s="69" t="s">
        <v>70</v>
      </c>
      <c r="P29" s="69" t="s">
        <v>70</v>
      </c>
      <c r="Q29" s="69" t="s">
        <v>70</v>
      </c>
      <c r="R29" s="69" t="s">
        <v>70</v>
      </c>
      <c r="S29" s="69" t="s">
        <v>70</v>
      </c>
      <c r="T29" s="69" t="s">
        <v>70</v>
      </c>
      <c r="U29" s="69" t="s">
        <v>70</v>
      </c>
      <c r="V29" s="69" t="s">
        <v>70</v>
      </c>
      <c r="W29" s="69" t="s">
        <v>70</v>
      </c>
      <c r="X29" s="69" t="s">
        <v>70</v>
      </c>
      <c r="Y29" s="69" t="s">
        <v>70</v>
      </c>
      <c r="Z29" s="69" t="s">
        <v>70</v>
      </c>
      <c r="AA29" s="69" t="s">
        <v>70</v>
      </c>
      <c r="AB29" s="69" t="s">
        <v>70</v>
      </c>
      <c r="AC29" s="69" t="s">
        <v>70</v>
      </c>
      <c r="AD29" s="69">
        <v>0</v>
      </c>
      <c r="AE29" s="69">
        <v>1</v>
      </c>
      <c r="AF29" s="69">
        <v>0</v>
      </c>
      <c r="AG29" s="69">
        <v>1</v>
      </c>
      <c r="AH29" s="69">
        <v>1</v>
      </c>
      <c r="AI29" s="69">
        <v>1</v>
      </c>
      <c r="AJ29" s="25" t="s">
        <v>33</v>
      </c>
      <c r="AL29" t="str">
        <f t="shared" si="0"/>
        <v xml:space="preserve">    (U1)ALERT_REQ_UNKNOWN</v>
      </c>
      <c r="AR29" s="70" t="str">
        <f t="shared" si="3"/>
        <v xml:space="preserve">    (U4)0x00000017U,                                                           /* 23 UNKNOWN                                         */</v>
      </c>
      <c r="AS29" s="70" t="str">
        <f t="shared" si="4"/>
        <v xml:space="preserve">    (U4)0x0000003FU,                                                           /* 23 UNKNOWN                                         */</v>
      </c>
      <c r="AT29" s="70" t="str">
        <f t="shared" si="1"/>
        <v xml:space="preserve">    (U1)ALERT_REQ_UNKNOWN,                                                     /* 23 UNKNOWN                                         */</v>
      </c>
    </row>
    <row r="30" spans="2:49">
      <c r="B30" s="139"/>
      <c r="C30" s="55">
        <f t="shared" si="2"/>
        <v>24</v>
      </c>
      <c r="D30" s="69" t="s">
        <v>70</v>
      </c>
      <c r="E30" s="69" t="s">
        <v>70</v>
      </c>
      <c r="F30" s="69" t="s">
        <v>70</v>
      </c>
      <c r="G30" s="69" t="s">
        <v>70</v>
      </c>
      <c r="H30" s="69" t="s">
        <v>70</v>
      </c>
      <c r="I30" s="69" t="s">
        <v>70</v>
      </c>
      <c r="J30" s="69" t="s">
        <v>70</v>
      </c>
      <c r="K30" s="69" t="s">
        <v>70</v>
      </c>
      <c r="L30" s="69" t="s">
        <v>70</v>
      </c>
      <c r="M30" s="69" t="s">
        <v>70</v>
      </c>
      <c r="N30" s="69" t="s">
        <v>70</v>
      </c>
      <c r="O30" s="69" t="s">
        <v>70</v>
      </c>
      <c r="P30" s="69" t="s">
        <v>70</v>
      </c>
      <c r="Q30" s="69" t="s">
        <v>70</v>
      </c>
      <c r="R30" s="69" t="s">
        <v>70</v>
      </c>
      <c r="S30" s="69" t="s">
        <v>70</v>
      </c>
      <c r="T30" s="69" t="s">
        <v>70</v>
      </c>
      <c r="U30" s="69" t="s">
        <v>70</v>
      </c>
      <c r="V30" s="69" t="s">
        <v>70</v>
      </c>
      <c r="W30" s="69" t="s">
        <v>70</v>
      </c>
      <c r="X30" s="69" t="s">
        <v>70</v>
      </c>
      <c r="Y30" s="69" t="s">
        <v>70</v>
      </c>
      <c r="Z30" s="69" t="s">
        <v>70</v>
      </c>
      <c r="AA30" s="69" t="s">
        <v>70</v>
      </c>
      <c r="AB30" s="69" t="s">
        <v>70</v>
      </c>
      <c r="AC30" s="69" t="s">
        <v>70</v>
      </c>
      <c r="AD30" s="69">
        <v>0</v>
      </c>
      <c r="AE30" s="69">
        <v>1</v>
      </c>
      <c r="AF30" s="69">
        <v>1</v>
      </c>
      <c r="AG30" s="69">
        <v>0</v>
      </c>
      <c r="AH30" s="69">
        <v>0</v>
      </c>
      <c r="AI30" s="69">
        <v>0</v>
      </c>
      <c r="AJ30" s="25" t="s">
        <v>33</v>
      </c>
      <c r="AL30" t="str">
        <f t="shared" si="0"/>
        <v xml:space="preserve">    (U1)ALERT_REQ_UNKNOWN</v>
      </c>
      <c r="AR30" s="70" t="str">
        <f t="shared" si="3"/>
        <v xml:space="preserve">    (U4)0x00000018U,                                                           /* 24 UNKNOWN                                         */</v>
      </c>
      <c r="AS30" s="70" t="str">
        <f t="shared" si="4"/>
        <v xml:space="preserve">    (U4)0x0000003FU,                                                           /* 24 UNKNOWN                                         */</v>
      </c>
      <c r="AT30" s="70" t="str">
        <f t="shared" si="1"/>
        <v xml:space="preserve">    (U1)ALERT_REQ_UNKNOWN,                                                     /* 24 UNKNOWN                                         */</v>
      </c>
    </row>
    <row r="31" spans="2:49">
      <c r="B31" s="139"/>
      <c r="C31" s="55">
        <f t="shared" si="2"/>
        <v>25</v>
      </c>
      <c r="D31" s="69" t="s">
        <v>70</v>
      </c>
      <c r="E31" s="69" t="s">
        <v>70</v>
      </c>
      <c r="F31" s="69" t="s">
        <v>70</v>
      </c>
      <c r="G31" s="69" t="s">
        <v>70</v>
      </c>
      <c r="H31" s="69" t="s">
        <v>70</v>
      </c>
      <c r="I31" s="69" t="s">
        <v>70</v>
      </c>
      <c r="J31" s="69" t="s">
        <v>70</v>
      </c>
      <c r="K31" s="69" t="s">
        <v>70</v>
      </c>
      <c r="L31" s="69" t="s">
        <v>70</v>
      </c>
      <c r="M31" s="69" t="s">
        <v>70</v>
      </c>
      <c r="N31" s="69" t="s">
        <v>70</v>
      </c>
      <c r="O31" s="69" t="s">
        <v>70</v>
      </c>
      <c r="P31" s="69" t="s">
        <v>70</v>
      </c>
      <c r="Q31" s="69" t="s">
        <v>70</v>
      </c>
      <c r="R31" s="69" t="s">
        <v>70</v>
      </c>
      <c r="S31" s="69" t="s">
        <v>70</v>
      </c>
      <c r="T31" s="69" t="s">
        <v>70</v>
      </c>
      <c r="U31" s="69" t="s">
        <v>70</v>
      </c>
      <c r="V31" s="69" t="s">
        <v>70</v>
      </c>
      <c r="W31" s="69" t="s">
        <v>70</v>
      </c>
      <c r="X31" s="69" t="s">
        <v>70</v>
      </c>
      <c r="Y31" s="69" t="s">
        <v>70</v>
      </c>
      <c r="Z31" s="69" t="s">
        <v>70</v>
      </c>
      <c r="AA31" s="69" t="s">
        <v>70</v>
      </c>
      <c r="AB31" s="69" t="s">
        <v>70</v>
      </c>
      <c r="AC31" s="69" t="s">
        <v>70</v>
      </c>
      <c r="AD31" s="69">
        <v>0</v>
      </c>
      <c r="AE31" s="69">
        <v>1</v>
      </c>
      <c r="AF31" s="69">
        <v>1</v>
      </c>
      <c r="AG31" s="69">
        <v>0</v>
      </c>
      <c r="AH31" s="69">
        <v>0</v>
      </c>
      <c r="AI31" s="69">
        <v>1</v>
      </c>
      <c r="AJ31" s="25" t="s">
        <v>33</v>
      </c>
      <c r="AL31" t="str">
        <f t="shared" si="0"/>
        <v xml:space="preserve">    (U1)ALERT_REQ_UNKNOWN</v>
      </c>
      <c r="AR31" s="70" t="str">
        <f t="shared" si="3"/>
        <v xml:space="preserve">    (U4)0x00000019U,                                                           /* 25 UNKNOWN                                         */</v>
      </c>
      <c r="AS31" s="70" t="str">
        <f t="shared" si="4"/>
        <v xml:space="preserve">    (U4)0x0000003FU,                                                           /* 25 UNKNOWN                                         */</v>
      </c>
      <c r="AT31" s="70" t="str">
        <f t="shared" si="1"/>
        <v xml:space="preserve">    (U1)ALERT_REQ_UNKNOWN,                                                     /* 25 UNKNOWN                                         */</v>
      </c>
    </row>
    <row r="32" spans="2:49">
      <c r="B32" s="139"/>
      <c r="C32" s="55">
        <f t="shared" si="2"/>
        <v>26</v>
      </c>
      <c r="D32" s="69" t="s">
        <v>70</v>
      </c>
      <c r="E32" s="69" t="s">
        <v>70</v>
      </c>
      <c r="F32" s="69" t="s">
        <v>70</v>
      </c>
      <c r="G32" s="69" t="s">
        <v>70</v>
      </c>
      <c r="H32" s="69" t="s">
        <v>70</v>
      </c>
      <c r="I32" s="69" t="s">
        <v>70</v>
      </c>
      <c r="J32" s="69" t="s">
        <v>70</v>
      </c>
      <c r="K32" s="69" t="s">
        <v>70</v>
      </c>
      <c r="L32" s="69" t="s">
        <v>70</v>
      </c>
      <c r="M32" s="69" t="s">
        <v>70</v>
      </c>
      <c r="N32" s="69" t="s">
        <v>70</v>
      </c>
      <c r="O32" s="69" t="s">
        <v>70</v>
      </c>
      <c r="P32" s="69" t="s">
        <v>70</v>
      </c>
      <c r="Q32" s="69" t="s">
        <v>70</v>
      </c>
      <c r="R32" s="69" t="s">
        <v>70</v>
      </c>
      <c r="S32" s="69" t="s">
        <v>70</v>
      </c>
      <c r="T32" s="69" t="s">
        <v>70</v>
      </c>
      <c r="U32" s="69" t="s">
        <v>70</v>
      </c>
      <c r="V32" s="69" t="s">
        <v>70</v>
      </c>
      <c r="W32" s="69" t="s">
        <v>70</v>
      </c>
      <c r="X32" s="69" t="s">
        <v>70</v>
      </c>
      <c r="Y32" s="69" t="s">
        <v>70</v>
      </c>
      <c r="Z32" s="69" t="s">
        <v>70</v>
      </c>
      <c r="AA32" s="69" t="s">
        <v>70</v>
      </c>
      <c r="AB32" s="69" t="s">
        <v>70</v>
      </c>
      <c r="AC32" s="69" t="s">
        <v>70</v>
      </c>
      <c r="AD32" s="69">
        <v>0</v>
      </c>
      <c r="AE32" s="69">
        <v>1</v>
      </c>
      <c r="AF32" s="69">
        <v>1</v>
      </c>
      <c r="AG32" s="69">
        <v>0</v>
      </c>
      <c r="AH32" s="69">
        <v>1</v>
      </c>
      <c r="AI32" s="69">
        <v>0</v>
      </c>
      <c r="AJ32" s="25" t="s">
        <v>33</v>
      </c>
      <c r="AL32" t="str">
        <f t="shared" si="0"/>
        <v xml:space="preserve">    (U1)ALERT_REQ_UNKNOWN</v>
      </c>
      <c r="AR32" s="70" t="str">
        <f t="shared" si="3"/>
        <v xml:space="preserve">    (U4)0x0000001AU,                                                           /* 26 UNKNOWN                                         */</v>
      </c>
      <c r="AS32" s="70" t="str">
        <f t="shared" si="4"/>
        <v xml:space="preserve">    (U4)0x0000003FU,                                                           /* 26 UNKNOWN                                         */</v>
      </c>
      <c r="AT32" s="70" t="str">
        <f t="shared" si="1"/>
        <v xml:space="preserve">    (U1)ALERT_REQ_UNKNOWN,                                                     /* 26 UNKNOWN                                         */</v>
      </c>
    </row>
    <row r="33" spans="2:46">
      <c r="B33" s="139"/>
      <c r="C33" s="55">
        <f t="shared" si="2"/>
        <v>27</v>
      </c>
      <c r="D33" s="69" t="s">
        <v>70</v>
      </c>
      <c r="E33" s="69" t="s">
        <v>70</v>
      </c>
      <c r="F33" s="69" t="s">
        <v>70</v>
      </c>
      <c r="G33" s="69" t="s">
        <v>70</v>
      </c>
      <c r="H33" s="69" t="s">
        <v>70</v>
      </c>
      <c r="I33" s="69" t="s">
        <v>70</v>
      </c>
      <c r="J33" s="69" t="s">
        <v>70</v>
      </c>
      <c r="K33" s="69" t="s">
        <v>70</v>
      </c>
      <c r="L33" s="69" t="s">
        <v>70</v>
      </c>
      <c r="M33" s="69" t="s">
        <v>70</v>
      </c>
      <c r="N33" s="69" t="s">
        <v>70</v>
      </c>
      <c r="O33" s="69" t="s">
        <v>70</v>
      </c>
      <c r="P33" s="69" t="s">
        <v>70</v>
      </c>
      <c r="Q33" s="69" t="s">
        <v>70</v>
      </c>
      <c r="R33" s="69" t="s">
        <v>70</v>
      </c>
      <c r="S33" s="69" t="s">
        <v>70</v>
      </c>
      <c r="T33" s="69" t="s">
        <v>70</v>
      </c>
      <c r="U33" s="69" t="s">
        <v>70</v>
      </c>
      <c r="V33" s="69" t="s">
        <v>70</v>
      </c>
      <c r="W33" s="69" t="s">
        <v>70</v>
      </c>
      <c r="X33" s="69" t="s">
        <v>70</v>
      </c>
      <c r="Y33" s="69" t="s">
        <v>70</v>
      </c>
      <c r="Z33" s="69" t="s">
        <v>70</v>
      </c>
      <c r="AA33" s="69" t="s">
        <v>70</v>
      </c>
      <c r="AB33" s="69" t="s">
        <v>70</v>
      </c>
      <c r="AC33" s="69" t="s">
        <v>70</v>
      </c>
      <c r="AD33" s="69">
        <v>0</v>
      </c>
      <c r="AE33" s="69">
        <v>1</v>
      </c>
      <c r="AF33" s="69">
        <v>1</v>
      </c>
      <c r="AG33" s="69">
        <v>0</v>
      </c>
      <c r="AH33" s="69">
        <v>1</v>
      </c>
      <c r="AI33" s="69">
        <v>1</v>
      </c>
      <c r="AJ33" s="25" t="s">
        <v>33</v>
      </c>
      <c r="AL33" t="str">
        <f t="shared" si="0"/>
        <v xml:space="preserve">    (U1)ALERT_REQ_UNKNOWN</v>
      </c>
      <c r="AR33" s="70" t="str">
        <f t="shared" si="3"/>
        <v xml:space="preserve">    (U4)0x0000001BU,                                                           /* 27 UNKNOWN                                         */</v>
      </c>
      <c r="AS33" s="70" t="str">
        <f t="shared" si="4"/>
        <v xml:space="preserve">    (U4)0x0000003FU,                                                           /* 27 UNKNOWN                                         */</v>
      </c>
      <c r="AT33" s="70" t="str">
        <f t="shared" si="1"/>
        <v xml:space="preserve">    (U1)ALERT_REQ_UNKNOWN,                                                     /* 27 UNKNOWN                                         */</v>
      </c>
    </row>
    <row r="34" spans="2:46">
      <c r="B34" s="139"/>
      <c r="C34" s="55">
        <f t="shared" si="2"/>
        <v>28</v>
      </c>
      <c r="D34" s="69" t="s">
        <v>70</v>
      </c>
      <c r="E34" s="69" t="s">
        <v>70</v>
      </c>
      <c r="F34" s="69" t="s">
        <v>70</v>
      </c>
      <c r="G34" s="69" t="s">
        <v>70</v>
      </c>
      <c r="H34" s="69" t="s">
        <v>70</v>
      </c>
      <c r="I34" s="69" t="s">
        <v>70</v>
      </c>
      <c r="J34" s="69" t="s">
        <v>70</v>
      </c>
      <c r="K34" s="69" t="s">
        <v>70</v>
      </c>
      <c r="L34" s="69" t="s">
        <v>70</v>
      </c>
      <c r="M34" s="69" t="s">
        <v>70</v>
      </c>
      <c r="N34" s="69" t="s">
        <v>70</v>
      </c>
      <c r="O34" s="69" t="s">
        <v>70</v>
      </c>
      <c r="P34" s="69" t="s">
        <v>70</v>
      </c>
      <c r="Q34" s="69" t="s">
        <v>70</v>
      </c>
      <c r="R34" s="69" t="s">
        <v>70</v>
      </c>
      <c r="S34" s="69" t="s">
        <v>70</v>
      </c>
      <c r="T34" s="69" t="s">
        <v>70</v>
      </c>
      <c r="U34" s="69" t="s">
        <v>70</v>
      </c>
      <c r="V34" s="69" t="s">
        <v>70</v>
      </c>
      <c r="W34" s="69" t="s">
        <v>70</v>
      </c>
      <c r="X34" s="69" t="s">
        <v>70</v>
      </c>
      <c r="Y34" s="69" t="s">
        <v>70</v>
      </c>
      <c r="Z34" s="69" t="s">
        <v>70</v>
      </c>
      <c r="AA34" s="69" t="s">
        <v>70</v>
      </c>
      <c r="AB34" s="69" t="s">
        <v>70</v>
      </c>
      <c r="AC34" s="69" t="s">
        <v>70</v>
      </c>
      <c r="AD34" s="69">
        <v>0</v>
      </c>
      <c r="AE34" s="69">
        <v>1</v>
      </c>
      <c r="AF34" s="69">
        <v>1</v>
      </c>
      <c r="AG34" s="69">
        <v>1</v>
      </c>
      <c r="AH34" s="69">
        <v>0</v>
      </c>
      <c r="AI34" s="69">
        <v>0</v>
      </c>
      <c r="AJ34" s="25" t="s">
        <v>33</v>
      </c>
      <c r="AL34" t="str">
        <f t="shared" si="0"/>
        <v xml:space="preserve">    (U1)ALERT_REQ_UNKNOWN</v>
      </c>
      <c r="AR34" s="70" t="str">
        <f t="shared" si="3"/>
        <v xml:space="preserve">    (U4)0x0000001CU,                                                           /* 28 UNKNOWN                                         */</v>
      </c>
      <c r="AS34" s="70" t="str">
        <f t="shared" si="4"/>
        <v xml:space="preserve">    (U4)0x0000003FU,                                                           /* 28 UNKNOWN                                         */</v>
      </c>
      <c r="AT34" s="70" t="str">
        <f t="shared" si="1"/>
        <v xml:space="preserve">    (U1)ALERT_REQ_UNKNOWN,                                                     /* 28 UNKNOWN                                         */</v>
      </c>
    </row>
    <row r="35" spans="2:46">
      <c r="B35" s="139"/>
      <c r="C35" s="55">
        <f t="shared" si="2"/>
        <v>29</v>
      </c>
      <c r="D35" s="69" t="s">
        <v>70</v>
      </c>
      <c r="E35" s="69" t="s">
        <v>70</v>
      </c>
      <c r="F35" s="69" t="s">
        <v>70</v>
      </c>
      <c r="G35" s="69" t="s">
        <v>70</v>
      </c>
      <c r="H35" s="69" t="s">
        <v>70</v>
      </c>
      <c r="I35" s="69" t="s">
        <v>70</v>
      </c>
      <c r="J35" s="69" t="s">
        <v>70</v>
      </c>
      <c r="K35" s="69" t="s">
        <v>70</v>
      </c>
      <c r="L35" s="69" t="s">
        <v>70</v>
      </c>
      <c r="M35" s="69" t="s">
        <v>70</v>
      </c>
      <c r="N35" s="69" t="s">
        <v>70</v>
      </c>
      <c r="O35" s="69" t="s">
        <v>70</v>
      </c>
      <c r="P35" s="69" t="s">
        <v>70</v>
      </c>
      <c r="Q35" s="69" t="s">
        <v>70</v>
      </c>
      <c r="R35" s="69" t="s">
        <v>70</v>
      </c>
      <c r="S35" s="69" t="s">
        <v>70</v>
      </c>
      <c r="T35" s="69" t="s">
        <v>70</v>
      </c>
      <c r="U35" s="69" t="s">
        <v>70</v>
      </c>
      <c r="V35" s="69" t="s">
        <v>70</v>
      </c>
      <c r="W35" s="69" t="s">
        <v>70</v>
      </c>
      <c r="X35" s="69" t="s">
        <v>70</v>
      </c>
      <c r="Y35" s="69" t="s">
        <v>70</v>
      </c>
      <c r="Z35" s="69" t="s">
        <v>70</v>
      </c>
      <c r="AA35" s="69" t="s">
        <v>70</v>
      </c>
      <c r="AB35" s="69" t="s">
        <v>70</v>
      </c>
      <c r="AC35" s="69" t="s">
        <v>70</v>
      </c>
      <c r="AD35" s="69">
        <v>0</v>
      </c>
      <c r="AE35" s="69">
        <v>1</v>
      </c>
      <c r="AF35" s="69">
        <v>1</v>
      </c>
      <c r="AG35" s="69">
        <v>1</v>
      </c>
      <c r="AH35" s="69">
        <v>0</v>
      </c>
      <c r="AI35" s="69">
        <v>1</v>
      </c>
      <c r="AJ35" s="25" t="s">
        <v>33</v>
      </c>
      <c r="AL35" t="str">
        <f t="shared" si="0"/>
        <v xml:space="preserve">    (U1)ALERT_REQ_UNKNOWN</v>
      </c>
      <c r="AR35" s="70" t="str">
        <f t="shared" si="3"/>
        <v xml:space="preserve">    (U4)0x0000001DU,                                                           /* 29 UNKNOWN                                         */</v>
      </c>
      <c r="AS35" s="70" t="str">
        <f t="shared" si="4"/>
        <v xml:space="preserve">    (U4)0x0000003FU,                                                           /* 29 UNKNOWN                                         */</v>
      </c>
      <c r="AT35" s="70" t="str">
        <f t="shared" si="1"/>
        <v xml:space="preserve">    (U1)ALERT_REQ_UNKNOWN,                                                     /* 29 UNKNOWN                                         */</v>
      </c>
    </row>
    <row r="36" spans="2:46">
      <c r="B36" s="139"/>
      <c r="C36" s="55">
        <f t="shared" si="2"/>
        <v>30</v>
      </c>
      <c r="D36" s="69" t="s">
        <v>70</v>
      </c>
      <c r="E36" s="69" t="s">
        <v>70</v>
      </c>
      <c r="F36" s="69" t="s">
        <v>70</v>
      </c>
      <c r="G36" s="69" t="s">
        <v>70</v>
      </c>
      <c r="H36" s="69" t="s">
        <v>70</v>
      </c>
      <c r="I36" s="69" t="s">
        <v>70</v>
      </c>
      <c r="J36" s="69" t="s">
        <v>70</v>
      </c>
      <c r="K36" s="69" t="s">
        <v>70</v>
      </c>
      <c r="L36" s="69" t="s">
        <v>70</v>
      </c>
      <c r="M36" s="69" t="s">
        <v>70</v>
      </c>
      <c r="N36" s="69" t="s">
        <v>70</v>
      </c>
      <c r="O36" s="69" t="s">
        <v>70</v>
      </c>
      <c r="P36" s="69" t="s">
        <v>70</v>
      </c>
      <c r="Q36" s="69" t="s">
        <v>70</v>
      </c>
      <c r="R36" s="69" t="s">
        <v>70</v>
      </c>
      <c r="S36" s="69" t="s">
        <v>70</v>
      </c>
      <c r="T36" s="69" t="s">
        <v>70</v>
      </c>
      <c r="U36" s="69" t="s">
        <v>70</v>
      </c>
      <c r="V36" s="69" t="s">
        <v>70</v>
      </c>
      <c r="W36" s="69" t="s">
        <v>70</v>
      </c>
      <c r="X36" s="69" t="s">
        <v>70</v>
      </c>
      <c r="Y36" s="69" t="s">
        <v>70</v>
      </c>
      <c r="Z36" s="69" t="s">
        <v>70</v>
      </c>
      <c r="AA36" s="69" t="s">
        <v>70</v>
      </c>
      <c r="AB36" s="69" t="s">
        <v>70</v>
      </c>
      <c r="AC36" s="69" t="s">
        <v>70</v>
      </c>
      <c r="AD36" s="69">
        <v>0</v>
      </c>
      <c r="AE36" s="69">
        <v>1</v>
      </c>
      <c r="AF36" s="69">
        <v>1</v>
      </c>
      <c r="AG36" s="69">
        <v>1</v>
      </c>
      <c r="AH36" s="69">
        <v>1</v>
      </c>
      <c r="AI36" s="69">
        <v>0</v>
      </c>
      <c r="AJ36" s="25" t="s">
        <v>33</v>
      </c>
      <c r="AL36" t="str">
        <f t="shared" si="0"/>
        <v xml:space="preserve">    (U1)ALERT_REQ_UNKNOWN</v>
      </c>
      <c r="AR36" s="70" t="str">
        <f t="shared" si="3"/>
        <v xml:space="preserve">    (U4)0x0000001EU,                                                           /* 30 UNKNOWN                                         */</v>
      </c>
      <c r="AS36" s="70" t="str">
        <f t="shared" si="4"/>
        <v xml:space="preserve">    (U4)0x0000003FU,                                                           /* 30 UNKNOWN                                         */</v>
      </c>
      <c r="AT36" s="70" t="str">
        <f t="shared" si="1"/>
        <v xml:space="preserve">    (U1)ALERT_REQ_UNKNOWN,                                                     /* 30 UNKNOWN                                         */</v>
      </c>
    </row>
    <row r="37" spans="2:46">
      <c r="B37" s="139"/>
      <c r="C37" s="55">
        <f t="shared" si="2"/>
        <v>31</v>
      </c>
      <c r="D37" s="69" t="s">
        <v>70</v>
      </c>
      <c r="E37" s="69" t="s">
        <v>70</v>
      </c>
      <c r="F37" s="69" t="s">
        <v>70</v>
      </c>
      <c r="G37" s="69" t="s">
        <v>70</v>
      </c>
      <c r="H37" s="69" t="s">
        <v>70</v>
      </c>
      <c r="I37" s="69" t="s">
        <v>70</v>
      </c>
      <c r="J37" s="69" t="s">
        <v>70</v>
      </c>
      <c r="K37" s="69" t="s">
        <v>70</v>
      </c>
      <c r="L37" s="69" t="s">
        <v>70</v>
      </c>
      <c r="M37" s="69" t="s">
        <v>70</v>
      </c>
      <c r="N37" s="69" t="s">
        <v>70</v>
      </c>
      <c r="O37" s="69" t="s">
        <v>70</v>
      </c>
      <c r="P37" s="69" t="s">
        <v>70</v>
      </c>
      <c r="Q37" s="69" t="s">
        <v>70</v>
      </c>
      <c r="R37" s="69" t="s">
        <v>70</v>
      </c>
      <c r="S37" s="69" t="s">
        <v>70</v>
      </c>
      <c r="T37" s="69" t="s">
        <v>70</v>
      </c>
      <c r="U37" s="69" t="s">
        <v>70</v>
      </c>
      <c r="V37" s="69" t="s">
        <v>70</v>
      </c>
      <c r="W37" s="69" t="s">
        <v>70</v>
      </c>
      <c r="X37" s="69" t="s">
        <v>70</v>
      </c>
      <c r="Y37" s="69" t="s">
        <v>70</v>
      </c>
      <c r="Z37" s="69" t="s">
        <v>70</v>
      </c>
      <c r="AA37" s="69" t="s">
        <v>70</v>
      </c>
      <c r="AB37" s="69" t="s">
        <v>70</v>
      </c>
      <c r="AC37" s="69" t="s">
        <v>70</v>
      </c>
      <c r="AD37" s="69">
        <v>0</v>
      </c>
      <c r="AE37" s="69">
        <v>1</v>
      </c>
      <c r="AF37" s="69">
        <v>1</v>
      </c>
      <c r="AG37" s="69">
        <v>1</v>
      </c>
      <c r="AH37" s="69">
        <v>1</v>
      </c>
      <c r="AI37" s="69">
        <v>1</v>
      </c>
      <c r="AJ37" s="25" t="s">
        <v>33</v>
      </c>
      <c r="AL37" t="str">
        <f t="shared" si="0"/>
        <v xml:space="preserve">    (U1)ALERT_REQ_UNKNOWN</v>
      </c>
      <c r="AR37" s="70" t="str">
        <f t="shared" si="3"/>
        <v xml:space="preserve">    (U4)0x0000001FU,                                                           /* 31 UNKNOWN                                         */</v>
      </c>
      <c r="AS37" s="70" t="str">
        <f t="shared" si="4"/>
        <v xml:space="preserve">    (U4)0x0000003FU,                                                           /* 31 UNKNOWN                                         */</v>
      </c>
      <c r="AT37" s="70" t="str">
        <f t="shared" si="1"/>
        <v xml:space="preserve">    (U1)ALERT_REQ_UNKNOWN,                                                     /* 31 UNKNOWN                                         */</v>
      </c>
    </row>
    <row r="38" spans="2:46">
      <c r="B38" s="139"/>
      <c r="C38" s="55">
        <f t="shared" si="2"/>
        <v>32</v>
      </c>
      <c r="D38" s="69" t="s">
        <v>70</v>
      </c>
      <c r="E38" s="69" t="s">
        <v>70</v>
      </c>
      <c r="F38" s="69" t="s">
        <v>70</v>
      </c>
      <c r="G38" s="69" t="s">
        <v>70</v>
      </c>
      <c r="H38" s="69" t="s">
        <v>70</v>
      </c>
      <c r="I38" s="69" t="s">
        <v>70</v>
      </c>
      <c r="J38" s="69" t="s">
        <v>70</v>
      </c>
      <c r="K38" s="69" t="s">
        <v>70</v>
      </c>
      <c r="L38" s="69" t="s">
        <v>70</v>
      </c>
      <c r="M38" s="69" t="s">
        <v>70</v>
      </c>
      <c r="N38" s="69" t="s">
        <v>70</v>
      </c>
      <c r="O38" s="69" t="s">
        <v>70</v>
      </c>
      <c r="P38" s="69" t="s">
        <v>70</v>
      </c>
      <c r="Q38" s="69" t="s">
        <v>70</v>
      </c>
      <c r="R38" s="69" t="s">
        <v>70</v>
      </c>
      <c r="S38" s="69" t="s">
        <v>70</v>
      </c>
      <c r="T38" s="69" t="s">
        <v>70</v>
      </c>
      <c r="U38" s="69" t="s">
        <v>70</v>
      </c>
      <c r="V38" s="69" t="s">
        <v>70</v>
      </c>
      <c r="W38" s="69" t="s">
        <v>70</v>
      </c>
      <c r="X38" s="69" t="s">
        <v>70</v>
      </c>
      <c r="Y38" s="69" t="s">
        <v>70</v>
      </c>
      <c r="Z38" s="69" t="s">
        <v>70</v>
      </c>
      <c r="AA38" s="69" t="s">
        <v>70</v>
      </c>
      <c r="AB38" s="69" t="s">
        <v>70</v>
      </c>
      <c r="AC38" s="69" t="s">
        <v>70</v>
      </c>
      <c r="AD38" s="69">
        <v>1</v>
      </c>
      <c r="AE38" s="69">
        <v>0</v>
      </c>
      <c r="AF38" s="69">
        <v>0</v>
      </c>
      <c r="AG38" s="69">
        <v>0</v>
      </c>
      <c r="AH38" s="69">
        <v>0</v>
      </c>
      <c r="AI38" s="69">
        <v>0</v>
      </c>
      <c r="AJ38" s="25" t="s">
        <v>33</v>
      </c>
      <c r="AL38" t="str">
        <f t="shared" si="0"/>
        <v xml:space="preserve">    (U1)ALERT_REQ_UNKNOWN</v>
      </c>
      <c r="AR38" s="70" t="str">
        <f t="shared" si="3"/>
        <v xml:space="preserve">    (U4)0x00000020U,                                                           /* 32 UNKNOWN                                         */</v>
      </c>
      <c r="AS38" s="70" t="str">
        <f t="shared" si="4"/>
        <v xml:space="preserve">    (U4)0x0000003FU,                                                           /* 32 UNKNOWN                                         */</v>
      </c>
      <c r="AT38" s="70" t="str">
        <f t="shared" si="1"/>
        <v xml:space="preserve">    (U1)ALERT_REQ_UNKNOWN,                                                     /* 32 UNKNOWN                                         */</v>
      </c>
    </row>
    <row r="39" spans="2:46">
      <c r="B39" s="139"/>
      <c r="C39" s="55">
        <f t="shared" si="2"/>
        <v>33</v>
      </c>
      <c r="D39" s="69" t="s">
        <v>70</v>
      </c>
      <c r="E39" s="69" t="s">
        <v>70</v>
      </c>
      <c r="F39" s="69" t="s">
        <v>70</v>
      </c>
      <c r="G39" s="69" t="s">
        <v>70</v>
      </c>
      <c r="H39" s="69" t="s">
        <v>70</v>
      </c>
      <c r="I39" s="69" t="s">
        <v>70</v>
      </c>
      <c r="J39" s="69" t="s">
        <v>70</v>
      </c>
      <c r="K39" s="69" t="s">
        <v>70</v>
      </c>
      <c r="L39" s="69" t="s">
        <v>70</v>
      </c>
      <c r="M39" s="69" t="s">
        <v>70</v>
      </c>
      <c r="N39" s="69" t="s">
        <v>70</v>
      </c>
      <c r="O39" s="69" t="s">
        <v>70</v>
      </c>
      <c r="P39" s="69" t="s">
        <v>70</v>
      </c>
      <c r="Q39" s="69" t="s">
        <v>70</v>
      </c>
      <c r="R39" s="69" t="s">
        <v>70</v>
      </c>
      <c r="S39" s="69" t="s">
        <v>70</v>
      </c>
      <c r="T39" s="69" t="s">
        <v>70</v>
      </c>
      <c r="U39" s="69" t="s">
        <v>70</v>
      </c>
      <c r="V39" s="69" t="s">
        <v>70</v>
      </c>
      <c r="W39" s="69" t="s">
        <v>70</v>
      </c>
      <c r="X39" s="69" t="s">
        <v>70</v>
      </c>
      <c r="Y39" s="69" t="s">
        <v>70</v>
      </c>
      <c r="Z39" s="69" t="s">
        <v>70</v>
      </c>
      <c r="AA39" s="69" t="s">
        <v>70</v>
      </c>
      <c r="AB39" s="69" t="s">
        <v>70</v>
      </c>
      <c r="AC39" s="69" t="s">
        <v>70</v>
      </c>
      <c r="AD39" s="69">
        <v>1</v>
      </c>
      <c r="AE39" s="69">
        <v>0</v>
      </c>
      <c r="AF39" s="69">
        <v>0</v>
      </c>
      <c r="AG39" s="69">
        <v>0</v>
      </c>
      <c r="AH39" s="69">
        <v>0</v>
      </c>
      <c r="AI39" s="69">
        <v>1</v>
      </c>
      <c r="AJ39" s="25" t="s">
        <v>33</v>
      </c>
      <c r="AL39" t="str">
        <f t="shared" si="0"/>
        <v xml:space="preserve">    (U1)ALERT_REQ_UNKNOWN</v>
      </c>
      <c r="AR39" s="70" t="str">
        <f t="shared" si="3"/>
        <v xml:space="preserve">    (U4)0x00000021U,                                                           /* 33 UNKNOWN                                         */</v>
      </c>
      <c r="AS39" s="70" t="str">
        <f t="shared" si="4"/>
        <v xml:space="preserve">    (U4)0x0000003FU,                                                           /* 33 UNKNOWN                                         */</v>
      </c>
      <c r="AT39" s="70" t="str">
        <f t="shared" si="1"/>
        <v xml:space="preserve">    (U1)ALERT_REQ_UNKNOWN,                                                     /* 33 UNKNOWN                                         */</v>
      </c>
    </row>
    <row r="40" spans="2:46">
      <c r="B40" s="139"/>
      <c r="C40" s="55">
        <f t="shared" si="2"/>
        <v>34</v>
      </c>
      <c r="D40" s="69" t="s">
        <v>70</v>
      </c>
      <c r="E40" s="69" t="s">
        <v>70</v>
      </c>
      <c r="F40" s="69" t="s">
        <v>70</v>
      </c>
      <c r="G40" s="69" t="s">
        <v>70</v>
      </c>
      <c r="H40" s="69" t="s">
        <v>70</v>
      </c>
      <c r="I40" s="69" t="s">
        <v>70</v>
      </c>
      <c r="J40" s="69" t="s">
        <v>70</v>
      </c>
      <c r="K40" s="69" t="s">
        <v>70</v>
      </c>
      <c r="L40" s="69" t="s">
        <v>70</v>
      </c>
      <c r="M40" s="69" t="s">
        <v>70</v>
      </c>
      <c r="N40" s="69" t="s">
        <v>70</v>
      </c>
      <c r="O40" s="69" t="s">
        <v>70</v>
      </c>
      <c r="P40" s="69" t="s">
        <v>70</v>
      </c>
      <c r="Q40" s="69" t="s">
        <v>70</v>
      </c>
      <c r="R40" s="69" t="s">
        <v>70</v>
      </c>
      <c r="S40" s="69" t="s">
        <v>70</v>
      </c>
      <c r="T40" s="69" t="s">
        <v>70</v>
      </c>
      <c r="U40" s="69" t="s">
        <v>70</v>
      </c>
      <c r="V40" s="69" t="s">
        <v>70</v>
      </c>
      <c r="W40" s="69" t="s">
        <v>70</v>
      </c>
      <c r="X40" s="69" t="s">
        <v>70</v>
      </c>
      <c r="Y40" s="69" t="s">
        <v>70</v>
      </c>
      <c r="Z40" s="69" t="s">
        <v>70</v>
      </c>
      <c r="AA40" s="69" t="s">
        <v>70</v>
      </c>
      <c r="AB40" s="69" t="s">
        <v>70</v>
      </c>
      <c r="AC40" s="69" t="s">
        <v>70</v>
      </c>
      <c r="AD40" s="69">
        <v>1</v>
      </c>
      <c r="AE40" s="69">
        <v>0</v>
      </c>
      <c r="AF40" s="69">
        <v>0</v>
      </c>
      <c r="AG40" s="69">
        <v>0</v>
      </c>
      <c r="AH40" s="69">
        <v>1</v>
      </c>
      <c r="AI40" s="69">
        <v>0</v>
      </c>
      <c r="AJ40" s="25" t="s">
        <v>33</v>
      </c>
      <c r="AL40" t="str">
        <f t="shared" si="0"/>
        <v xml:space="preserve">    (U1)ALERT_REQ_UNKNOWN</v>
      </c>
      <c r="AR40" s="70" t="str">
        <f t="shared" si="3"/>
        <v xml:space="preserve">    (U4)0x00000022U,                                                           /* 34 UNKNOWN                                         */</v>
      </c>
      <c r="AS40" s="70" t="str">
        <f t="shared" si="4"/>
        <v xml:space="preserve">    (U4)0x0000003FU,                                                           /* 34 UNKNOWN                                         */</v>
      </c>
      <c r="AT40" s="70" t="str">
        <f t="shared" si="1"/>
        <v xml:space="preserve">    (U1)ALERT_REQ_UNKNOWN,                                                     /* 34 UNKNOWN                                         */</v>
      </c>
    </row>
    <row r="41" spans="2:46">
      <c r="B41" s="139"/>
      <c r="C41" s="55">
        <f t="shared" si="2"/>
        <v>35</v>
      </c>
      <c r="D41" s="69" t="s">
        <v>70</v>
      </c>
      <c r="E41" s="69" t="s">
        <v>70</v>
      </c>
      <c r="F41" s="69" t="s">
        <v>70</v>
      </c>
      <c r="G41" s="69" t="s">
        <v>70</v>
      </c>
      <c r="H41" s="69" t="s">
        <v>70</v>
      </c>
      <c r="I41" s="69" t="s">
        <v>70</v>
      </c>
      <c r="J41" s="69" t="s">
        <v>70</v>
      </c>
      <c r="K41" s="69" t="s">
        <v>70</v>
      </c>
      <c r="L41" s="69" t="s">
        <v>70</v>
      </c>
      <c r="M41" s="69" t="s">
        <v>70</v>
      </c>
      <c r="N41" s="69" t="s">
        <v>70</v>
      </c>
      <c r="O41" s="69" t="s">
        <v>70</v>
      </c>
      <c r="P41" s="69" t="s">
        <v>70</v>
      </c>
      <c r="Q41" s="69" t="s">
        <v>70</v>
      </c>
      <c r="R41" s="69" t="s">
        <v>70</v>
      </c>
      <c r="S41" s="69" t="s">
        <v>70</v>
      </c>
      <c r="T41" s="69" t="s">
        <v>70</v>
      </c>
      <c r="U41" s="69" t="s">
        <v>70</v>
      </c>
      <c r="V41" s="69" t="s">
        <v>70</v>
      </c>
      <c r="W41" s="69" t="s">
        <v>70</v>
      </c>
      <c r="X41" s="69" t="s">
        <v>70</v>
      </c>
      <c r="Y41" s="69" t="s">
        <v>70</v>
      </c>
      <c r="Z41" s="69" t="s">
        <v>70</v>
      </c>
      <c r="AA41" s="69" t="s">
        <v>70</v>
      </c>
      <c r="AB41" s="69" t="s">
        <v>70</v>
      </c>
      <c r="AC41" s="69" t="s">
        <v>70</v>
      </c>
      <c r="AD41" s="69">
        <v>1</v>
      </c>
      <c r="AE41" s="69">
        <v>0</v>
      </c>
      <c r="AF41" s="69">
        <v>0</v>
      </c>
      <c r="AG41" s="69">
        <v>0</v>
      </c>
      <c r="AH41" s="69">
        <v>1</v>
      </c>
      <c r="AI41" s="69">
        <v>1</v>
      </c>
      <c r="AJ41" s="25" t="s">
        <v>33</v>
      </c>
      <c r="AL41" t="str">
        <f t="shared" si="0"/>
        <v xml:space="preserve">    (U1)ALERT_REQ_UNKNOWN</v>
      </c>
      <c r="AR41" s="70" t="str">
        <f t="shared" si="3"/>
        <v xml:space="preserve">    (U4)0x00000023U,                                                           /* 35 UNKNOWN                                         */</v>
      </c>
      <c r="AS41" s="70" t="str">
        <f t="shared" si="4"/>
        <v xml:space="preserve">    (U4)0x0000003FU,                                                           /* 35 UNKNOWN                                         */</v>
      </c>
      <c r="AT41" s="70" t="str">
        <f t="shared" si="1"/>
        <v xml:space="preserve">    (U1)ALERT_REQ_UNKNOWN,                                                     /* 35 UNKNOWN                                         */</v>
      </c>
    </row>
    <row r="42" spans="2:46">
      <c r="B42" s="139"/>
      <c r="C42" s="55">
        <f t="shared" si="2"/>
        <v>36</v>
      </c>
      <c r="D42" s="69" t="s">
        <v>70</v>
      </c>
      <c r="E42" s="69" t="s">
        <v>70</v>
      </c>
      <c r="F42" s="69" t="s">
        <v>70</v>
      </c>
      <c r="G42" s="69" t="s">
        <v>70</v>
      </c>
      <c r="H42" s="69" t="s">
        <v>70</v>
      </c>
      <c r="I42" s="69" t="s">
        <v>70</v>
      </c>
      <c r="J42" s="69" t="s">
        <v>70</v>
      </c>
      <c r="K42" s="69" t="s">
        <v>70</v>
      </c>
      <c r="L42" s="69" t="s">
        <v>70</v>
      </c>
      <c r="M42" s="69" t="s">
        <v>70</v>
      </c>
      <c r="N42" s="69" t="s">
        <v>70</v>
      </c>
      <c r="O42" s="69" t="s">
        <v>70</v>
      </c>
      <c r="P42" s="69" t="s">
        <v>70</v>
      </c>
      <c r="Q42" s="69" t="s">
        <v>70</v>
      </c>
      <c r="R42" s="69" t="s">
        <v>70</v>
      </c>
      <c r="S42" s="69" t="s">
        <v>70</v>
      </c>
      <c r="T42" s="69" t="s">
        <v>70</v>
      </c>
      <c r="U42" s="69" t="s">
        <v>70</v>
      </c>
      <c r="V42" s="69" t="s">
        <v>70</v>
      </c>
      <c r="W42" s="69" t="s">
        <v>70</v>
      </c>
      <c r="X42" s="69" t="s">
        <v>70</v>
      </c>
      <c r="Y42" s="69" t="s">
        <v>70</v>
      </c>
      <c r="Z42" s="69" t="s">
        <v>70</v>
      </c>
      <c r="AA42" s="69" t="s">
        <v>70</v>
      </c>
      <c r="AB42" s="69" t="s">
        <v>70</v>
      </c>
      <c r="AC42" s="69" t="s">
        <v>70</v>
      </c>
      <c r="AD42" s="69">
        <v>1</v>
      </c>
      <c r="AE42" s="69">
        <v>0</v>
      </c>
      <c r="AF42" s="69">
        <v>0</v>
      </c>
      <c r="AG42" s="69">
        <v>1</v>
      </c>
      <c r="AH42" s="69">
        <v>0</v>
      </c>
      <c r="AI42" s="69">
        <v>0</v>
      </c>
      <c r="AJ42" s="25" t="s">
        <v>33</v>
      </c>
      <c r="AL42" t="str">
        <f t="shared" si="0"/>
        <v xml:space="preserve">    (U1)ALERT_REQ_UNKNOWN</v>
      </c>
      <c r="AR42" s="70" t="str">
        <f t="shared" si="3"/>
        <v xml:space="preserve">    (U4)0x00000024U,                                                           /* 36 UNKNOWN                                         */</v>
      </c>
      <c r="AS42" s="70" t="str">
        <f t="shared" si="4"/>
        <v xml:space="preserve">    (U4)0x0000003FU,                                                           /* 36 UNKNOWN                                         */</v>
      </c>
      <c r="AT42" s="70" t="str">
        <f t="shared" si="1"/>
        <v xml:space="preserve">    (U1)ALERT_REQ_UNKNOWN,                                                     /* 36 UNKNOWN                                         */</v>
      </c>
    </row>
    <row r="43" spans="2:46">
      <c r="B43" s="139"/>
      <c r="C43" s="55">
        <f t="shared" si="2"/>
        <v>37</v>
      </c>
      <c r="D43" s="69" t="s">
        <v>70</v>
      </c>
      <c r="E43" s="69" t="s">
        <v>70</v>
      </c>
      <c r="F43" s="69" t="s">
        <v>70</v>
      </c>
      <c r="G43" s="69" t="s">
        <v>70</v>
      </c>
      <c r="H43" s="69" t="s">
        <v>70</v>
      </c>
      <c r="I43" s="69" t="s">
        <v>70</v>
      </c>
      <c r="J43" s="69" t="s">
        <v>70</v>
      </c>
      <c r="K43" s="69" t="s">
        <v>70</v>
      </c>
      <c r="L43" s="69" t="s">
        <v>70</v>
      </c>
      <c r="M43" s="69" t="s">
        <v>70</v>
      </c>
      <c r="N43" s="69" t="s">
        <v>70</v>
      </c>
      <c r="O43" s="69" t="s">
        <v>70</v>
      </c>
      <c r="P43" s="69" t="s">
        <v>70</v>
      </c>
      <c r="Q43" s="69" t="s">
        <v>70</v>
      </c>
      <c r="R43" s="69" t="s">
        <v>70</v>
      </c>
      <c r="S43" s="69" t="s">
        <v>70</v>
      </c>
      <c r="T43" s="69" t="s">
        <v>70</v>
      </c>
      <c r="U43" s="69" t="s">
        <v>70</v>
      </c>
      <c r="V43" s="69" t="s">
        <v>70</v>
      </c>
      <c r="W43" s="69" t="s">
        <v>70</v>
      </c>
      <c r="X43" s="69" t="s">
        <v>70</v>
      </c>
      <c r="Y43" s="69" t="s">
        <v>70</v>
      </c>
      <c r="Z43" s="69" t="s">
        <v>70</v>
      </c>
      <c r="AA43" s="69" t="s">
        <v>70</v>
      </c>
      <c r="AB43" s="69" t="s">
        <v>70</v>
      </c>
      <c r="AC43" s="69" t="s">
        <v>70</v>
      </c>
      <c r="AD43" s="69">
        <v>1</v>
      </c>
      <c r="AE43" s="69">
        <v>0</v>
      </c>
      <c r="AF43" s="69">
        <v>0</v>
      </c>
      <c r="AG43" s="69">
        <v>1</v>
      </c>
      <c r="AH43" s="69">
        <v>0</v>
      </c>
      <c r="AI43" s="69">
        <v>1</v>
      </c>
      <c r="AJ43" s="25" t="s">
        <v>33</v>
      </c>
      <c r="AL43" t="str">
        <f t="shared" si="0"/>
        <v xml:space="preserve">    (U1)ALERT_REQ_UNKNOWN</v>
      </c>
      <c r="AR43" s="70" t="str">
        <f t="shared" si="3"/>
        <v xml:space="preserve">    (U4)0x00000025U,                                                           /* 37 UNKNOWN                                         */</v>
      </c>
      <c r="AS43" s="70" t="str">
        <f t="shared" si="4"/>
        <v xml:space="preserve">    (U4)0x0000003FU,                                                           /* 37 UNKNOWN                                         */</v>
      </c>
      <c r="AT43" s="70" t="str">
        <f t="shared" si="1"/>
        <v xml:space="preserve">    (U1)ALERT_REQ_UNKNOWN,                                                     /* 37 UNKNOWN                                         */</v>
      </c>
    </row>
    <row r="44" spans="2:46">
      <c r="B44" s="139"/>
      <c r="C44" s="55">
        <f t="shared" si="2"/>
        <v>38</v>
      </c>
      <c r="D44" s="69" t="s">
        <v>70</v>
      </c>
      <c r="E44" s="69" t="s">
        <v>70</v>
      </c>
      <c r="F44" s="69" t="s">
        <v>70</v>
      </c>
      <c r="G44" s="69" t="s">
        <v>70</v>
      </c>
      <c r="H44" s="69" t="s">
        <v>70</v>
      </c>
      <c r="I44" s="69" t="s">
        <v>70</v>
      </c>
      <c r="J44" s="69" t="s">
        <v>70</v>
      </c>
      <c r="K44" s="69" t="s">
        <v>70</v>
      </c>
      <c r="L44" s="69" t="s">
        <v>70</v>
      </c>
      <c r="M44" s="69" t="s">
        <v>70</v>
      </c>
      <c r="N44" s="69" t="s">
        <v>70</v>
      </c>
      <c r="O44" s="69" t="s">
        <v>70</v>
      </c>
      <c r="P44" s="69" t="s">
        <v>70</v>
      </c>
      <c r="Q44" s="69" t="s">
        <v>70</v>
      </c>
      <c r="R44" s="69" t="s">
        <v>70</v>
      </c>
      <c r="S44" s="69" t="s">
        <v>70</v>
      </c>
      <c r="T44" s="69" t="s">
        <v>70</v>
      </c>
      <c r="U44" s="69" t="s">
        <v>70</v>
      </c>
      <c r="V44" s="69" t="s">
        <v>70</v>
      </c>
      <c r="W44" s="69" t="s">
        <v>70</v>
      </c>
      <c r="X44" s="69" t="s">
        <v>70</v>
      </c>
      <c r="Y44" s="69" t="s">
        <v>70</v>
      </c>
      <c r="Z44" s="69" t="s">
        <v>70</v>
      </c>
      <c r="AA44" s="69" t="s">
        <v>70</v>
      </c>
      <c r="AB44" s="69" t="s">
        <v>70</v>
      </c>
      <c r="AC44" s="69" t="s">
        <v>70</v>
      </c>
      <c r="AD44" s="69">
        <v>1</v>
      </c>
      <c r="AE44" s="69">
        <v>0</v>
      </c>
      <c r="AF44" s="69">
        <v>0</v>
      </c>
      <c r="AG44" s="69">
        <v>1</v>
      </c>
      <c r="AH44" s="69">
        <v>1</v>
      </c>
      <c r="AI44" s="69">
        <v>0</v>
      </c>
      <c r="AJ44" s="25" t="s">
        <v>33</v>
      </c>
      <c r="AL44" t="str">
        <f t="shared" si="0"/>
        <v xml:space="preserve">    (U1)ALERT_REQ_UNKNOWN</v>
      </c>
      <c r="AR44" s="70" t="str">
        <f t="shared" si="3"/>
        <v xml:space="preserve">    (U4)0x00000026U,                                                           /* 38 UNKNOWN                                         */</v>
      </c>
      <c r="AS44" s="70" t="str">
        <f t="shared" si="4"/>
        <v xml:space="preserve">    (U4)0x0000003FU,                                                           /* 38 UNKNOWN                                         */</v>
      </c>
      <c r="AT44" s="70" t="str">
        <f t="shared" si="1"/>
        <v xml:space="preserve">    (U1)ALERT_REQ_UNKNOWN,                                                     /* 38 UNKNOWN                                         */</v>
      </c>
    </row>
    <row r="45" spans="2:46">
      <c r="B45" s="139"/>
      <c r="C45" s="55">
        <f t="shared" si="2"/>
        <v>39</v>
      </c>
      <c r="D45" s="69" t="s">
        <v>70</v>
      </c>
      <c r="E45" s="69" t="s">
        <v>70</v>
      </c>
      <c r="F45" s="69" t="s">
        <v>70</v>
      </c>
      <c r="G45" s="69" t="s">
        <v>70</v>
      </c>
      <c r="H45" s="69" t="s">
        <v>70</v>
      </c>
      <c r="I45" s="69" t="s">
        <v>70</v>
      </c>
      <c r="J45" s="69" t="s">
        <v>70</v>
      </c>
      <c r="K45" s="69" t="s">
        <v>70</v>
      </c>
      <c r="L45" s="69" t="s">
        <v>70</v>
      </c>
      <c r="M45" s="69" t="s">
        <v>70</v>
      </c>
      <c r="N45" s="69" t="s">
        <v>70</v>
      </c>
      <c r="O45" s="69" t="s">
        <v>70</v>
      </c>
      <c r="P45" s="69" t="s">
        <v>70</v>
      </c>
      <c r="Q45" s="69" t="s">
        <v>70</v>
      </c>
      <c r="R45" s="69" t="s">
        <v>70</v>
      </c>
      <c r="S45" s="69" t="s">
        <v>70</v>
      </c>
      <c r="T45" s="69" t="s">
        <v>70</v>
      </c>
      <c r="U45" s="69" t="s">
        <v>70</v>
      </c>
      <c r="V45" s="69" t="s">
        <v>70</v>
      </c>
      <c r="W45" s="69" t="s">
        <v>70</v>
      </c>
      <c r="X45" s="69" t="s">
        <v>70</v>
      </c>
      <c r="Y45" s="69" t="s">
        <v>70</v>
      </c>
      <c r="Z45" s="69" t="s">
        <v>70</v>
      </c>
      <c r="AA45" s="69" t="s">
        <v>70</v>
      </c>
      <c r="AB45" s="69" t="s">
        <v>70</v>
      </c>
      <c r="AC45" s="69" t="s">
        <v>70</v>
      </c>
      <c r="AD45" s="69">
        <v>1</v>
      </c>
      <c r="AE45" s="69">
        <v>0</v>
      </c>
      <c r="AF45" s="69">
        <v>0</v>
      </c>
      <c r="AG45" s="69">
        <v>1</v>
      </c>
      <c r="AH45" s="69">
        <v>1</v>
      </c>
      <c r="AI45" s="69">
        <v>1</v>
      </c>
      <c r="AJ45" s="25" t="s">
        <v>33</v>
      </c>
      <c r="AL45" t="str">
        <f t="shared" si="0"/>
        <v xml:space="preserve">    (U1)ALERT_REQ_UNKNOWN</v>
      </c>
      <c r="AR45" s="70" t="str">
        <f t="shared" si="3"/>
        <v xml:space="preserve">    (U4)0x00000027U,                                                           /* 39 UNKNOWN                                         */</v>
      </c>
      <c r="AS45" s="70" t="str">
        <f t="shared" si="4"/>
        <v xml:space="preserve">    (U4)0x0000003FU,                                                           /* 39 UNKNOWN                                         */</v>
      </c>
      <c r="AT45" s="70" t="str">
        <f t="shared" si="1"/>
        <v xml:space="preserve">    (U1)ALERT_REQ_UNKNOWN,                                                     /* 39 UNKNOWN                                         */</v>
      </c>
    </row>
    <row r="46" spans="2:46">
      <c r="B46" s="139"/>
      <c r="C46" s="55">
        <f t="shared" si="2"/>
        <v>40</v>
      </c>
      <c r="D46" s="69" t="s">
        <v>70</v>
      </c>
      <c r="E46" s="69" t="s">
        <v>70</v>
      </c>
      <c r="F46" s="69" t="s">
        <v>70</v>
      </c>
      <c r="G46" s="69" t="s">
        <v>70</v>
      </c>
      <c r="H46" s="69" t="s">
        <v>70</v>
      </c>
      <c r="I46" s="69" t="s">
        <v>70</v>
      </c>
      <c r="J46" s="69" t="s">
        <v>70</v>
      </c>
      <c r="K46" s="69" t="s">
        <v>70</v>
      </c>
      <c r="L46" s="69" t="s">
        <v>70</v>
      </c>
      <c r="M46" s="69" t="s">
        <v>70</v>
      </c>
      <c r="N46" s="69" t="s">
        <v>70</v>
      </c>
      <c r="O46" s="69" t="s">
        <v>70</v>
      </c>
      <c r="P46" s="69" t="s">
        <v>70</v>
      </c>
      <c r="Q46" s="69" t="s">
        <v>70</v>
      </c>
      <c r="R46" s="69" t="s">
        <v>70</v>
      </c>
      <c r="S46" s="69" t="s">
        <v>70</v>
      </c>
      <c r="T46" s="69" t="s">
        <v>70</v>
      </c>
      <c r="U46" s="69" t="s">
        <v>70</v>
      </c>
      <c r="V46" s="69" t="s">
        <v>70</v>
      </c>
      <c r="W46" s="69" t="s">
        <v>70</v>
      </c>
      <c r="X46" s="69" t="s">
        <v>70</v>
      </c>
      <c r="Y46" s="69" t="s">
        <v>70</v>
      </c>
      <c r="Z46" s="69" t="s">
        <v>70</v>
      </c>
      <c r="AA46" s="69" t="s">
        <v>70</v>
      </c>
      <c r="AB46" s="69" t="s">
        <v>70</v>
      </c>
      <c r="AC46" s="69" t="s">
        <v>70</v>
      </c>
      <c r="AD46" s="69">
        <v>1</v>
      </c>
      <c r="AE46" s="69">
        <v>0</v>
      </c>
      <c r="AF46" s="69">
        <v>1</v>
      </c>
      <c r="AG46" s="69">
        <v>0</v>
      </c>
      <c r="AH46" s="69">
        <v>0</v>
      </c>
      <c r="AI46" s="69">
        <v>0</v>
      </c>
      <c r="AJ46" s="25" t="s">
        <v>33</v>
      </c>
      <c r="AL46" t="str">
        <f t="shared" si="0"/>
        <v xml:space="preserve">    (U1)ALERT_REQ_UNKNOWN</v>
      </c>
      <c r="AR46" s="70" t="str">
        <f t="shared" si="3"/>
        <v xml:space="preserve">    (U4)0x00000028U,                                                           /* 40 UNKNOWN                                         */</v>
      </c>
      <c r="AS46" s="70" t="str">
        <f t="shared" si="4"/>
        <v xml:space="preserve">    (U4)0x0000003FU,                                                           /* 40 UNKNOWN                                         */</v>
      </c>
      <c r="AT46" s="70" t="str">
        <f t="shared" si="1"/>
        <v xml:space="preserve">    (U1)ALERT_REQ_UNKNOWN,                                                     /* 40 UNKNOWN                                         */</v>
      </c>
    </row>
    <row r="47" spans="2:46">
      <c r="B47" s="139"/>
      <c r="C47" s="55">
        <f t="shared" si="2"/>
        <v>41</v>
      </c>
      <c r="D47" s="69" t="s">
        <v>70</v>
      </c>
      <c r="E47" s="69" t="s">
        <v>70</v>
      </c>
      <c r="F47" s="69" t="s">
        <v>70</v>
      </c>
      <c r="G47" s="69" t="s">
        <v>70</v>
      </c>
      <c r="H47" s="69" t="s">
        <v>70</v>
      </c>
      <c r="I47" s="69" t="s">
        <v>70</v>
      </c>
      <c r="J47" s="69" t="s">
        <v>70</v>
      </c>
      <c r="K47" s="69" t="s">
        <v>70</v>
      </c>
      <c r="L47" s="69" t="s">
        <v>70</v>
      </c>
      <c r="M47" s="69" t="s">
        <v>70</v>
      </c>
      <c r="N47" s="69" t="s">
        <v>70</v>
      </c>
      <c r="O47" s="69" t="s">
        <v>70</v>
      </c>
      <c r="P47" s="69" t="s">
        <v>70</v>
      </c>
      <c r="Q47" s="69" t="s">
        <v>70</v>
      </c>
      <c r="R47" s="69" t="s">
        <v>70</v>
      </c>
      <c r="S47" s="69" t="s">
        <v>70</v>
      </c>
      <c r="T47" s="69" t="s">
        <v>70</v>
      </c>
      <c r="U47" s="69" t="s">
        <v>70</v>
      </c>
      <c r="V47" s="69" t="s">
        <v>70</v>
      </c>
      <c r="W47" s="69" t="s">
        <v>70</v>
      </c>
      <c r="X47" s="69" t="s">
        <v>70</v>
      </c>
      <c r="Y47" s="69" t="s">
        <v>70</v>
      </c>
      <c r="Z47" s="69" t="s">
        <v>70</v>
      </c>
      <c r="AA47" s="69" t="s">
        <v>70</v>
      </c>
      <c r="AB47" s="69" t="s">
        <v>70</v>
      </c>
      <c r="AC47" s="69" t="s">
        <v>70</v>
      </c>
      <c r="AD47" s="69">
        <v>1</v>
      </c>
      <c r="AE47" s="69">
        <v>0</v>
      </c>
      <c r="AF47" s="69">
        <v>1</v>
      </c>
      <c r="AG47" s="69">
        <v>0</v>
      </c>
      <c r="AH47" s="69">
        <v>0</v>
      </c>
      <c r="AI47" s="69">
        <v>1</v>
      </c>
      <c r="AJ47" s="25" t="s">
        <v>33</v>
      </c>
      <c r="AL47" t="str">
        <f t="shared" si="0"/>
        <v xml:space="preserve">    (U1)ALERT_REQ_UNKNOWN</v>
      </c>
      <c r="AR47" s="70" t="str">
        <f t="shared" si="3"/>
        <v xml:space="preserve">    (U4)0x00000029U,                                                           /* 41 UNKNOWN                                         */</v>
      </c>
      <c r="AS47" s="70" t="str">
        <f t="shared" si="4"/>
        <v xml:space="preserve">    (U4)0x0000003FU,                                                           /* 41 UNKNOWN                                         */</v>
      </c>
      <c r="AT47" s="70" t="str">
        <f t="shared" si="1"/>
        <v xml:space="preserve">    (U1)ALERT_REQ_UNKNOWN,                                                     /* 41 UNKNOWN                                         */</v>
      </c>
    </row>
    <row r="48" spans="2:46">
      <c r="B48" s="139"/>
      <c r="C48" s="55">
        <f t="shared" si="2"/>
        <v>42</v>
      </c>
      <c r="D48" s="69" t="s">
        <v>70</v>
      </c>
      <c r="E48" s="69" t="s">
        <v>70</v>
      </c>
      <c r="F48" s="69" t="s">
        <v>70</v>
      </c>
      <c r="G48" s="69" t="s">
        <v>70</v>
      </c>
      <c r="H48" s="69" t="s">
        <v>70</v>
      </c>
      <c r="I48" s="69" t="s">
        <v>70</v>
      </c>
      <c r="J48" s="69" t="s">
        <v>70</v>
      </c>
      <c r="K48" s="69" t="s">
        <v>70</v>
      </c>
      <c r="L48" s="69" t="s">
        <v>70</v>
      </c>
      <c r="M48" s="69" t="s">
        <v>70</v>
      </c>
      <c r="N48" s="69" t="s">
        <v>70</v>
      </c>
      <c r="O48" s="69" t="s">
        <v>70</v>
      </c>
      <c r="P48" s="69" t="s">
        <v>70</v>
      </c>
      <c r="Q48" s="69" t="s">
        <v>70</v>
      </c>
      <c r="R48" s="69" t="s">
        <v>70</v>
      </c>
      <c r="S48" s="69" t="s">
        <v>70</v>
      </c>
      <c r="T48" s="69" t="s">
        <v>70</v>
      </c>
      <c r="U48" s="69" t="s">
        <v>70</v>
      </c>
      <c r="V48" s="69" t="s">
        <v>70</v>
      </c>
      <c r="W48" s="69" t="s">
        <v>70</v>
      </c>
      <c r="X48" s="69" t="s">
        <v>70</v>
      </c>
      <c r="Y48" s="69" t="s">
        <v>70</v>
      </c>
      <c r="Z48" s="69" t="s">
        <v>70</v>
      </c>
      <c r="AA48" s="69" t="s">
        <v>70</v>
      </c>
      <c r="AB48" s="69" t="s">
        <v>70</v>
      </c>
      <c r="AC48" s="69" t="s">
        <v>70</v>
      </c>
      <c r="AD48" s="69">
        <v>1</v>
      </c>
      <c r="AE48" s="69">
        <v>0</v>
      </c>
      <c r="AF48" s="69">
        <v>1</v>
      </c>
      <c r="AG48" s="69">
        <v>0</v>
      </c>
      <c r="AH48" s="69">
        <v>1</v>
      </c>
      <c r="AI48" s="69">
        <v>0</v>
      </c>
      <c r="AJ48" s="25" t="s">
        <v>33</v>
      </c>
      <c r="AL48" t="str">
        <f t="shared" si="0"/>
        <v xml:space="preserve">    (U1)ALERT_REQ_UNKNOWN</v>
      </c>
      <c r="AR48" s="70" t="str">
        <f t="shared" si="3"/>
        <v xml:space="preserve">    (U4)0x0000002AU,                                                           /* 42 UNKNOWN                                         */</v>
      </c>
      <c r="AS48" s="70" t="str">
        <f t="shared" si="4"/>
        <v xml:space="preserve">    (U4)0x0000003FU,                                                           /* 42 UNKNOWN                                         */</v>
      </c>
      <c r="AT48" s="70" t="str">
        <f t="shared" si="1"/>
        <v xml:space="preserve">    (U1)ALERT_REQ_UNKNOWN,                                                     /* 42 UNKNOWN                                         */</v>
      </c>
    </row>
    <row r="49" spans="2:46">
      <c r="B49" s="139"/>
      <c r="C49" s="55">
        <f t="shared" si="2"/>
        <v>43</v>
      </c>
      <c r="D49" s="69" t="s">
        <v>70</v>
      </c>
      <c r="E49" s="69" t="s">
        <v>70</v>
      </c>
      <c r="F49" s="69" t="s">
        <v>70</v>
      </c>
      <c r="G49" s="69" t="s">
        <v>70</v>
      </c>
      <c r="H49" s="69" t="s">
        <v>70</v>
      </c>
      <c r="I49" s="69" t="s">
        <v>70</v>
      </c>
      <c r="J49" s="69" t="s">
        <v>70</v>
      </c>
      <c r="K49" s="69" t="s">
        <v>70</v>
      </c>
      <c r="L49" s="69" t="s">
        <v>70</v>
      </c>
      <c r="M49" s="69" t="s">
        <v>70</v>
      </c>
      <c r="N49" s="69" t="s">
        <v>70</v>
      </c>
      <c r="O49" s="69" t="s">
        <v>70</v>
      </c>
      <c r="P49" s="69" t="s">
        <v>70</v>
      </c>
      <c r="Q49" s="69" t="s">
        <v>70</v>
      </c>
      <c r="R49" s="69" t="s">
        <v>70</v>
      </c>
      <c r="S49" s="69" t="s">
        <v>70</v>
      </c>
      <c r="T49" s="69" t="s">
        <v>70</v>
      </c>
      <c r="U49" s="69" t="s">
        <v>70</v>
      </c>
      <c r="V49" s="69" t="s">
        <v>70</v>
      </c>
      <c r="W49" s="69" t="s">
        <v>70</v>
      </c>
      <c r="X49" s="69" t="s">
        <v>70</v>
      </c>
      <c r="Y49" s="69" t="s">
        <v>70</v>
      </c>
      <c r="Z49" s="69" t="s">
        <v>70</v>
      </c>
      <c r="AA49" s="69" t="s">
        <v>70</v>
      </c>
      <c r="AB49" s="69" t="s">
        <v>70</v>
      </c>
      <c r="AC49" s="69" t="s">
        <v>70</v>
      </c>
      <c r="AD49" s="69">
        <v>1</v>
      </c>
      <c r="AE49" s="69">
        <v>0</v>
      </c>
      <c r="AF49" s="69">
        <v>1</v>
      </c>
      <c r="AG49" s="69">
        <v>0</v>
      </c>
      <c r="AH49" s="69">
        <v>1</v>
      </c>
      <c r="AI49" s="69">
        <v>1</v>
      </c>
      <c r="AJ49" s="25" t="s">
        <v>33</v>
      </c>
      <c r="AL49" t="str">
        <f t="shared" si="0"/>
        <v xml:space="preserve">    (U1)ALERT_REQ_UNKNOWN</v>
      </c>
      <c r="AR49" s="70" t="str">
        <f t="shared" si="3"/>
        <v xml:space="preserve">    (U4)0x0000002BU,                                                           /* 43 UNKNOWN                                         */</v>
      </c>
      <c r="AS49" s="70" t="str">
        <f t="shared" si="4"/>
        <v xml:space="preserve">    (U4)0x0000003FU,                                                           /* 43 UNKNOWN                                         */</v>
      </c>
      <c r="AT49" s="70" t="str">
        <f t="shared" si="1"/>
        <v xml:space="preserve">    (U1)ALERT_REQ_UNKNOWN,                                                     /* 43 UNKNOWN                                         */</v>
      </c>
    </row>
    <row r="50" spans="2:46">
      <c r="B50" s="139"/>
      <c r="C50" s="55">
        <f t="shared" si="2"/>
        <v>44</v>
      </c>
      <c r="D50" s="69" t="s">
        <v>70</v>
      </c>
      <c r="E50" s="69" t="s">
        <v>70</v>
      </c>
      <c r="F50" s="69" t="s">
        <v>70</v>
      </c>
      <c r="G50" s="69" t="s">
        <v>70</v>
      </c>
      <c r="H50" s="69" t="s">
        <v>70</v>
      </c>
      <c r="I50" s="69" t="s">
        <v>70</v>
      </c>
      <c r="J50" s="69" t="s">
        <v>70</v>
      </c>
      <c r="K50" s="69" t="s">
        <v>70</v>
      </c>
      <c r="L50" s="69" t="s">
        <v>70</v>
      </c>
      <c r="M50" s="69" t="s">
        <v>70</v>
      </c>
      <c r="N50" s="69" t="s">
        <v>70</v>
      </c>
      <c r="O50" s="69" t="s">
        <v>70</v>
      </c>
      <c r="P50" s="69" t="s">
        <v>70</v>
      </c>
      <c r="Q50" s="69" t="s">
        <v>70</v>
      </c>
      <c r="R50" s="69" t="s">
        <v>70</v>
      </c>
      <c r="S50" s="69" t="s">
        <v>70</v>
      </c>
      <c r="T50" s="69" t="s">
        <v>70</v>
      </c>
      <c r="U50" s="69" t="s">
        <v>70</v>
      </c>
      <c r="V50" s="69" t="s">
        <v>70</v>
      </c>
      <c r="W50" s="69" t="s">
        <v>70</v>
      </c>
      <c r="X50" s="69" t="s">
        <v>70</v>
      </c>
      <c r="Y50" s="69" t="s">
        <v>70</v>
      </c>
      <c r="Z50" s="69" t="s">
        <v>70</v>
      </c>
      <c r="AA50" s="69" t="s">
        <v>70</v>
      </c>
      <c r="AB50" s="69" t="s">
        <v>70</v>
      </c>
      <c r="AC50" s="69" t="s">
        <v>70</v>
      </c>
      <c r="AD50" s="69">
        <v>1</v>
      </c>
      <c r="AE50" s="69">
        <v>0</v>
      </c>
      <c r="AF50" s="69">
        <v>1</v>
      </c>
      <c r="AG50" s="69">
        <v>1</v>
      </c>
      <c r="AH50" s="69">
        <v>0</v>
      </c>
      <c r="AI50" s="69">
        <v>0</v>
      </c>
      <c r="AJ50" s="25" t="s">
        <v>33</v>
      </c>
      <c r="AL50" t="str">
        <f t="shared" si="0"/>
        <v xml:space="preserve">    (U1)ALERT_REQ_UNKNOWN</v>
      </c>
      <c r="AR50" s="70" t="str">
        <f t="shared" si="3"/>
        <v xml:space="preserve">    (U4)0x0000002CU,                                                           /* 44 UNKNOWN                                         */</v>
      </c>
      <c r="AS50" s="70" t="str">
        <f t="shared" si="4"/>
        <v xml:space="preserve">    (U4)0x0000003FU,                                                           /* 44 UNKNOWN                                         */</v>
      </c>
      <c r="AT50" s="70" t="str">
        <f t="shared" si="1"/>
        <v xml:space="preserve">    (U1)ALERT_REQ_UNKNOWN,                                                     /* 44 UNKNOWN                                         */</v>
      </c>
    </row>
    <row r="51" spans="2:46">
      <c r="B51" s="139"/>
      <c r="C51" s="55">
        <f t="shared" si="2"/>
        <v>45</v>
      </c>
      <c r="D51" s="69" t="s">
        <v>70</v>
      </c>
      <c r="E51" s="69" t="s">
        <v>70</v>
      </c>
      <c r="F51" s="69" t="s">
        <v>70</v>
      </c>
      <c r="G51" s="69" t="s">
        <v>70</v>
      </c>
      <c r="H51" s="69" t="s">
        <v>70</v>
      </c>
      <c r="I51" s="69" t="s">
        <v>70</v>
      </c>
      <c r="J51" s="69" t="s">
        <v>70</v>
      </c>
      <c r="K51" s="69" t="s">
        <v>70</v>
      </c>
      <c r="L51" s="69" t="s">
        <v>70</v>
      </c>
      <c r="M51" s="69" t="s">
        <v>70</v>
      </c>
      <c r="N51" s="69" t="s">
        <v>70</v>
      </c>
      <c r="O51" s="69" t="s">
        <v>70</v>
      </c>
      <c r="P51" s="69" t="s">
        <v>70</v>
      </c>
      <c r="Q51" s="69" t="s">
        <v>70</v>
      </c>
      <c r="R51" s="69" t="s">
        <v>70</v>
      </c>
      <c r="S51" s="69" t="s">
        <v>70</v>
      </c>
      <c r="T51" s="69" t="s">
        <v>70</v>
      </c>
      <c r="U51" s="69" t="s">
        <v>70</v>
      </c>
      <c r="V51" s="69" t="s">
        <v>70</v>
      </c>
      <c r="W51" s="69" t="s">
        <v>70</v>
      </c>
      <c r="X51" s="69" t="s">
        <v>70</v>
      </c>
      <c r="Y51" s="69" t="s">
        <v>70</v>
      </c>
      <c r="Z51" s="69" t="s">
        <v>70</v>
      </c>
      <c r="AA51" s="69" t="s">
        <v>70</v>
      </c>
      <c r="AB51" s="69" t="s">
        <v>70</v>
      </c>
      <c r="AC51" s="69" t="s">
        <v>70</v>
      </c>
      <c r="AD51" s="69">
        <v>1</v>
      </c>
      <c r="AE51" s="69">
        <v>0</v>
      </c>
      <c r="AF51" s="69">
        <v>1</v>
      </c>
      <c r="AG51" s="69">
        <v>1</v>
      </c>
      <c r="AH51" s="69">
        <v>0</v>
      </c>
      <c r="AI51" s="69">
        <v>1</v>
      </c>
      <c r="AJ51" s="25" t="s">
        <v>33</v>
      </c>
      <c r="AL51" t="str">
        <f t="shared" si="0"/>
        <v xml:space="preserve">    (U1)ALERT_REQ_UNKNOWN</v>
      </c>
      <c r="AR51" s="70" t="str">
        <f t="shared" si="3"/>
        <v xml:space="preserve">    (U4)0x0000002DU,                                                           /* 45 UNKNOWN                                         */</v>
      </c>
      <c r="AS51" s="70" t="str">
        <f t="shared" si="4"/>
        <v xml:space="preserve">    (U4)0x0000003FU,                                                           /* 45 UNKNOWN                                         */</v>
      </c>
      <c r="AT51" s="70" t="str">
        <f t="shared" si="1"/>
        <v xml:space="preserve">    (U1)ALERT_REQ_UNKNOWN,                                                     /* 45 UNKNOWN                                         */</v>
      </c>
    </row>
    <row r="52" spans="2:46">
      <c r="B52" s="139"/>
      <c r="C52" s="55">
        <f t="shared" si="2"/>
        <v>46</v>
      </c>
      <c r="D52" s="69" t="s">
        <v>70</v>
      </c>
      <c r="E52" s="69" t="s">
        <v>70</v>
      </c>
      <c r="F52" s="69" t="s">
        <v>70</v>
      </c>
      <c r="G52" s="69" t="s">
        <v>70</v>
      </c>
      <c r="H52" s="69" t="s">
        <v>70</v>
      </c>
      <c r="I52" s="69" t="s">
        <v>70</v>
      </c>
      <c r="J52" s="69" t="s">
        <v>70</v>
      </c>
      <c r="K52" s="69" t="s">
        <v>70</v>
      </c>
      <c r="L52" s="69" t="s">
        <v>70</v>
      </c>
      <c r="M52" s="69" t="s">
        <v>70</v>
      </c>
      <c r="N52" s="69" t="s">
        <v>70</v>
      </c>
      <c r="O52" s="69" t="s">
        <v>70</v>
      </c>
      <c r="P52" s="69" t="s">
        <v>70</v>
      </c>
      <c r="Q52" s="69" t="s">
        <v>70</v>
      </c>
      <c r="R52" s="69" t="s">
        <v>70</v>
      </c>
      <c r="S52" s="69" t="s">
        <v>70</v>
      </c>
      <c r="T52" s="69" t="s">
        <v>70</v>
      </c>
      <c r="U52" s="69" t="s">
        <v>70</v>
      </c>
      <c r="V52" s="69" t="s">
        <v>70</v>
      </c>
      <c r="W52" s="69" t="s">
        <v>70</v>
      </c>
      <c r="X52" s="69" t="s">
        <v>70</v>
      </c>
      <c r="Y52" s="69" t="s">
        <v>70</v>
      </c>
      <c r="Z52" s="69" t="s">
        <v>70</v>
      </c>
      <c r="AA52" s="69" t="s">
        <v>70</v>
      </c>
      <c r="AB52" s="69" t="s">
        <v>70</v>
      </c>
      <c r="AC52" s="69" t="s">
        <v>70</v>
      </c>
      <c r="AD52" s="69">
        <v>1</v>
      </c>
      <c r="AE52" s="69">
        <v>0</v>
      </c>
      <c r="AF52" s="69">
        <v>1</v>
      </c>
      <c r="AG52" s="69">
        <v>1</v>
      </c>
      <c r="AH52" s="69">
        <v>1</v>
      </c>
      <c r="AI52" s="69">
        <v>0</v>
      </c>
      <c r="AJ52" s="25" t="s">
        <v>33</v>
      </c>
      <c r="AL52" t="str">
        <f t="shared" si="0"/>
        <v xml:space="preserve">    (U1)ALERT_REQ_UNKNOWN</v>
      </c>
      <c r="AR52" s="70" t="str">
        <f t="shared" si="3"/>
        <v xml:space="preserve">    (U4)0x0000002EU,                                                           /* 46 UNKNOWN                                         */</v>
      </c>
      <c r="AS52" s="70" t="str">
        <f t="shared" si="4"/>
        <v xml:space="preserve">    (U4)0x0000003FU,                                                           /* 46 UNKNOWN                                         */</v>
      </c>
      <c r="AT52" s="70" t="str">
        <f t="shared" si="1"/>
        <v xml:space="preserve">    (U1)ALERT_REQ_UNKNOWN,                                                     /* 46 UNKNOWN                                         */</v>
      </c>
    </row>
    <row r="53" spans="2:46">
      <c r="B53" s="139"/>
      <c r="C53" s="55">
        <f t="shared" si="2"/>
        <v>47</v>
      </c>
      <c r="D53" s="69" t="s">
        <v>70</v>
      </c>
      <c r="E53" s="69" t="s">
        <v>70</v>
      </c>
      <c r="F53" s="69" t="s">
        <v>70</v>
      </c>
      <c r="G53" s="69" t="s">
        <v>70</v>
      </c>
      <c r="H53" s="69" t="s">
        <v>70</v>
      </c>
      <c r="I53" s="69" t="s">
        <v>70</v>
      </c>
      <c r="J53" s="69" t="s">
        <v>70</v>
      </c>
      <c r="K53" s="69" t="s">
        <v>70</v>
      </c>
      <c r="L53" s="69" t="s">
        <v>70</v>
      </c>
      <c r="M53" s="69" t="s">
        <v>70</v>
      </c>
      <c r="N53" s="69" t="s">
        <v>70</v>
      </c>
      <c r="O53" s="69" t="s">
        <v>70</v>
      </c>
      <c r="P53" s="69" t="s">
        <v>70</v>
      </c>
      <c r="Q53" s="69" t="s">
        <v>70</v>
      </c>
      <c r="R53" s="69" t="s">
        <v>70</v>
      </c>
      <c r="S53" s="69" t="s">
        <v>70</v>
      </c>
      <c r="T53" s="69" t="s">
        <v>70</v>
      </c>
      <c r="U53" s="69" t="s">
        <v>70</v>
      </c>
      <c r="V53" s="69" t="s">
        <v>70</v>
      </c>
      <c r="W53" s="69" t="s">
        <v>70</v>
      </c>
      <c r="X53" s="69" t="s">
        <v>70</v>
      </c>
      <c r="Y53" s="69" t="s">
        <v>70</v>
      </c>
      <c r="Z53" s="69" t="s">
        <v>70</v>
      </c>
      <c r="AA53" s="69" t="s">
        <v>70</v>
      </c>
      <c r="AB53" s="69" t="s">
        <v>70</v>
      </c>
      <c r="AC53" s="69" t="s">
        <v>70</v>
      </c>
      <c r="AD53" s="69">
        <v>1</v>
      </c>
      <c r="AE53" s="69">
        <v>0</v>
      </c>
      <c r="AF53" s="69">
        <v>1</v>
      </c>
      <c r="AG53" s="69">
        <v>1</v>
      </c>
      <c r="AH53" s="69">
        <v>1</v>
      </c>
      <c r="AI53" s="69">
        <v>1</v>
      </c>
      <c r="AJ53" s="25" t="s">
        <v>33</v>
      </c>
      <c r="AL53" t="str">
        <f t="shared" si="0"/>
        <v xml:space="preserve">    (U1)ALERT_REQ_UNKNOWN</v>
      </c>
      <c r="AR53" s="70" t="str">
        <f t="shared" si="3"/>
        <v xml:space="preserve">    (U4)0x0000002FU,                                                           /* 47 UNKNOWN                                         */</v>
      </c>
      <c r="AS53" s="70" t="str">
        <f t="shared" si="4"/>
        <v xml:space="preserve">    (U4)0x0000003FU,                                                           /* 47 UNKNOWN                                         */</v>
      </c>
      <c r="AT53" s="70" t="str">
        <f t="shared" si="1"/>
        <v xml:space="preserve">    (U1)ALERT_REQ_UNKNOWN,                                                     /* 47 UNKNOWN                                         */</v>
      </c>
    </row>
    <row r="54" spans="2:46">
      <c r="B54" s="139"/>
      <c r="C54" s="55">
        <f t="shared" si="2"/>
        <v>48</v>
      </c>
      <c r="D54" s="69" t="s">
        <v>70</v>
      </c>
      <c r="E54" s="69" t="s">
        <v>70</v>
      </c>
      <c r="F54" s="69" t="s">
        <v>70</v>
      </c>
      <c r="G54" s="69" t="s">
        <v>70</v>
      </c>
      <c r="H54" s="69" t="s">
        <v>70</v>
      </c>
      <c r="I54" s="69" t="s">
        <v>70</v>
      </c>
      <c r="J54" s="69" t="s">
        <v>70</v>
      </c>
      <c r="K54" s="69" t="s">
        <v>70</v>
      </c>
      <c r="L54" s="69" t="s">
        <v>70</v>
      </c>
      <c r="M54" s="69" t="s">
        <v>70</v>
      </c>
      <c r="N54" s="69" t="s">
        <v>70</v>
      </c>
      <c r="O54" s="69" t="s">
        <v>70</v>
      </c>
      <c r="P54" s="69" t="s">
        <v>70</v>
      </c>
      <c r="Q54" s="69" t="s">
        <v>70</v>
      </c>
      <c r="R54" s="69" t="s">
        <v>70</v>
      </c>
      <c r="S54" s="69" t="s">
        <v>70</v>
      </c>
      <c r="T54" s="69" t="s">
        <v>70</v>
      </c>
      <c r="U54" s="69" t="s">
        <v>70</v>
      </c>
      <c r="V54" s="69" t="s">
        <v>70</v>
      </c>
      <c r="W54" s="69" t="s">
        <v>70</v>
      </c>
      <c r="X54" s="69" t="s">
        <v>70</v>
      </c>
      <c r="Y54" s="69" t="s">
        <v>70</v>
      </c>
      <c r="Z54" s="69" t="s">
        <v>70</v>
      </c>
      <c r="AA54" s="69" t="s">
        <v>70</v>
      </c>
      <c r="AB54" s="69" t="s">
        <v>70</v>
      </c>
      <c r="AC54" s="69" t="s">
        <v>70</v>
      </c>
      <c r="AD54" s="69">
        <v>1</v>
      </c>
      <c r="AE54" s="69">
        <v>1</v>
      </c>
      <c r="AF54" s="69">
        <v>0</v>
      </c>
      <c r="AG54" s="69">
        <v>0</v>
      </c>
      <c r="AH54" s="69">
        <v>0</v>
      </c>
      <c r="AI54" s="69">
        <v>0</v>
      </c>
      <c r="AJ54" s="25" t="s">
        <v>33</v>
      </c>
      <c r="AL54"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39"/>
      <c r="C55" s="55">
        <f t="shared" si="2"/>
        <v>49</v>
      </c>
      <c r="D55" s="69" t="s">
        <v>70</v>
      </c>
      <c r="E55" s="69" t="s">
        <v>70</v>
      </c>
      <c r="F55" s="69" t="s">
        <v>70</v>
      </c>
      <c r="G55" s="69" t="s">
        <v>70</v>
      </c>
      <c r="H55" s="69" t="s">
        <v>70</v>
      </c>
      <c r="I55" s="69" t="s">
        <v>70</v>
      </c>
      <c r="J55" s="69" t="s">
        <v>70</v>
      </c>
      <c r="K55" s="69" t="s">
        <v>70</v>
      </c>
      <c r="L55" s="69" t="s">
        <v>70</v>
      </c>
      <c r="M55" s="69" t="s">
        <v>70</v>
      </c>
      <c r="N55" s="69" t="s">
        <v>70</v>
      </c>
      <c r="O55" s="69" t="s">
        <v>70</v>
      </c>
      <c r="P55" s="69" t="s">
        <v>70</v>
      </c>
      <c r="Q55" s="69" t="s">
        <v>70</v>
      </c>
      <c r="R55" s="69" t="s">
        <v>70</v>
      </c>
      <c r="S55" s="69" t="s">
        <v>70</v>
      </c>
      <c r="T55" s="69" t="s">
        <v>70</v>
      </c>
      <c r="U55" s="69" t="s">
        <v>70</v>
      </c>
      <c r="V55" s="69" t="s">
        <v>70</v>
      </c>
      <c r="W55" s="69" t="s">
        <v>70</v>
      </c>
      <c r="X55" s="69" t="s">
        <v>70</v>
      </c>
      <c r="Y55" s="69" t="s">
        <v>70</v>
      </c>
      <c r="Z55" s="69" t="s">
        <v>70</v>
      </c>
      <c r="AA55" s="69" t="s">
        <v>70</v>
      </c>
      <c r="AB55" s="69" t="s">
        <v>70</v>
      </c>
      <c r="AC55" s="69" t="s">
        <v>70</v>
      </c>
      <c r="AD55" s="69">
        <v>1</v>
      </c>
      <c r="AE55" s="69">
        <v>1</v>
      </c>
      <c r="AF55" s="69">
        <v>0</v>
      </c>
      <c r="AG55" s="69">
        <v>0</v>
      </c>
      <c r="AH55" s="69">
        <v>0</v>
      </c>
      <c r="AI55" s="69">
        <v>1</v>
      </c>
      <c r="AJ55" s="25" t="s">
        <v>33</v>
      </c>
      <c r="AL55" t="str">
        <f t="shared" si="0"/>
        <v xml:space="preserve">    (U1)ALERT_REQ_UNKNOWN</v>
      </c>
      <c r="AR55" s="70" t="str">
        <f t="shared" si="3"/>
        <v xml:space="preserve">    (U4)0x00000031U,                                                           /* 49 UNKNOWN                                         */</v>
      </c>
      <c r="AS55" s="70" t="str">
        <f t="shared" si="4"/>
        <v xml:space="preserve">    (U4)0x0000003FU,                                                           /* 49 UNKNOWN                                         */</v>
      </c>
      <c r="AT55" s="70" t="str">
        <f t="shared" si="1"/>
        <v xml:space="preserve">    (U1)ALERT_REQ_UNKNOWN,                                                     /* 49 UNKNOWN                                         */</v>
      </c>
    </row>
    <row r="56" spans="2:46">
      <c r="B56" s="139"/>
      <c r="C56" s="55">
        <f t="shared" si="2"/>
        <v>50</v>
      </c>
      <c r="D56" s="69" t="s">
        <v>70</v>
      </c>
      <c r="E56" s="69" t="s">
        <v>70</v>
      </c>
      <c r="F56" s="69" t="s">
        <v>70</v>
      </c>
      <c r="G56" s="69" t="s">
        <v>70</v>
      </c>
      <c r="H56" s="69" t="s">
        <v>70</v>
      </c>
      <c r="I56" s="69" t="s">
        <v>70</v>
      </c>
      <c r="J56" s="69" t="s">
        <v>70</v>
      </c>
      <c r="K56" s="69" t="s">
        <v>70</v>
      </c>
      <c r="L56" s="69" t="s">
        <v>70</v>
      </c>
      <c r="M56" s="69" t="s">
        <v>70</v>
      </c>
      <c r="N56" s="69" t="s">
        <v>70</v>
      </c>
      <c r="O56" s="69" t="s">
        <v>70</v>
      </c>
      <c r="P56" s="69" t="s">
        <v>70</v>
      </c>
      <c r="Q56" s="69" t="s">
        <v>70</v>
      </c>
      <c r="R56" s="69" t="s">
        <v>70</v>
      </c>
      <c r="S56" s="69" t="s">
        <v>70</v>
      </c>
      <c r="T56" s="69" t="s">
        <v>70</v>
      </c>
      <c r="U56" s="69" t="s">
        <v>70</v>
      </c>
      <c r="V56" s="69" t="s">
        <v>70</v>
      </c>
      <c r="W56" s="69" t="s">
        <v>70</v>
      </c>
      <c r="X56" s="69" t="s">
        <v>70</v>
      </c>
      <c r="Y56" s="69" t="s">
        <v>70</v>
      </c>
      <c r="Z56" s="69" t="s">
        <v>70</v>
      </c>
      <c r="AA56" s="69" t="s">
        <v>70</v>
      </c>
      <c r="AB56" s="69" t="s">
        <v>70</v>
      </c>
      <c r="AC56" s="69" t="s">
        <v>70</v>
      </c>
      <c r="AD56" s="69">
        <v>1</v>
      </c>
      <c r="AE56" s="69">
        <v>1</v>
      </c>
      <c r="AF56" s="69">
        <v>0</v>
      </c>
      <c r="AG56" s="69">
        <v>0</v>
      </c>
      <c r="AH56" s="69">
        <v>1</v>
      </c>
      <c r="AI56" s="69">
        <v>0</v>
      </c>
      <c r="AJ56" s="25" t="s">
        <v>33</v>
      </c>
      <c r="AL56" t="str">
        <f t="shared" si="0"/>
        <v xml:space="preserve">    (U1)ALERT_REQ_UNKNOWN</v>
      </c>
      <c r="AR56" s="70" t="str">
        <f t="shared" si="3"/>
        <v xml:space="preserve">    (U4)0x00000032U,                                                           /* 50 UNKNOWN                                         */</v>
      </c>
      <c r="AS56" s="70" t="str">
        <f t="shared" si="4"/>
        <v xml:space="preserve">    (U4)0x0000003FU,                                                           /* 50 UNKNOWN                                         */</v>
      </c>
      <c r="AT56" s="70" t="str">
        <f t="shared" si="1"/>
        <v xml:space="preserve">    (U1)ALERT_REQ_UNKNOWN,                                                     /* 50 UNKNOWN                                         */</v>
      </c>
    </row>
    <row r="57" spans="2:46">
      <c r="B57" s="139"/>
      <c r="C57" s="55">
        <f t="shared" si="2"/>
        <v>51</v>
      </c>
      <c r="D57" s="69" t="s">
        <v>70</v>
      </c>
      <c r="E57" s="69" t="s">
        <v>70</v>
      </c>
      <c r="F57" s="69" t="s">
        <v>70</v>
      </c>
      <c r="G57" s="69" t="s">
        <v>70</v>
      </c>
      <c r="H57" s="69" t="s">
        <v>70</v>
      </c>
      <c r="I57" s="69" t="s">
        <v>70</v>
      </c>
      <c r="J57" s="69" t="s">
        <v>70</v>
      </c>
      <c r="K57" s="69" t="s">
        <v>70</v>
      </c>
      <c r="L57" s="69" t="s">
        <v>70</v>
      </c>
      <c r="M57" s="69" t="s">
        <v>70</v>
      </c>
      <c r="N57" s="69" t="s">
        <v>70</v>
      </c>
      <c r="O57" s="69" t="s">
        <v>70</v>
      </c>
      <c r="P57" s="69" t="s">
        <v>70</v>
      </c>
      <c r="Q57" s="69" t="s">
        <v>70</v>
      </c>
      <c r="R57" s="69" t="s">
        <v>70</v>
      </c>
      <c r="S57" s="69" t="s">
        <v>70</v>
      </c>
      <c r="T57" s="69" t="s">
        <v>70</v>
      </c>
      <c r="U57" s="69" t="s">
        <v>70</v>
      </c>
      <c r="V57" s="69" t="s">
        <v>70</v>
      </c>
      <c r="W57" s="69" t="s">
        <v>70</v>
      </c>
      <c r="X57" s="69" t="s">
        <v>70</v>
      </c>
      <c r="Y57" s="69" t="s">
        <v>70</v>
      </c>
      <c r="Z57" s="69" t="s">
        <v>70</v>
      </c>
      <c r="AA57" s="69" t="s">
        <v>70</v>
      </c>
      <c r="AB57" s="69" t="s">
        <v>70</v>
      </c>
      <c r="AC57" s="69" t="s">
        <v>70</v>
      </c>
      <c r="AD57" s="69">
        <v>1</v>
      </c>
      <c r="AE57" s="69">
        <v>1</v>
      </c>
      <c r="AF57" s="69">
        <v>0</v>
      </c>
      <c r="AG57" s="69">
        <v>0</v>
      </c>
      <c r="AH57" s="69">
        <v>1</v>
      </c>
      <c r="AI57" s="69">
        <v>1</v>
      </c>
      <c r="AJ57" s="25" t="s">
        <v>33</v>
      </c>
      <c r="AL57"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39"/>
      <c r="C58" s="55">
        <f t="shared" si="2"/>
        <v>52</v>
      </c>
      <c r="D58" s="69" t="s">
        <v>70</v>
      </c>
      <c r="E58" s="69" t="s">
        <v>70</v>
      </c>
      <c r="F58" s="69" t="s">
        <v>70</v>
      </c>
      <c r="G58" s="69" t="s">
        <v>70</v>
      </c>
      <c r="H58" s="69" t="s">
        <v>70</v>
      </c>
      <c r="I58" s="69" t="s">
        <v>70</v>
      </c>
      <c r="J58" s="69" t="s">
        <v>70</v>
      </c>
      <c r="K58" s="69" t="s">
        <v>70</v>
      </c>
      <c r="L58" s="69" t="s">
        <v>70</v>
      </c>
      <c r="M58" s="69" t="s">
        <v>70</v>
      </c>
      <c r="N58" s="69" t="s">
        <v>70</v>
      </c>
      <c r="O58" s="69" t="s">
        <v>70</v>
      </c>
      <c r="P58" s="69" t="s">
        <v>70</v>
      </c>
      <c r="Q58" s="69" t="s">
        <v>70</v>
      </c>
      <c r="R58" s="69" t="s">
        <v>70</v>
      </c>
      <c r="S58" s="69" t="s">
        <v>70</v>
      </c>
      <c r="T58" s="69" t="s">
        <v>70</v>
      </c>
      <c r="U58" s="69" t="s">
        <v>70</v>
      </c>
      <c r="V58" s="69" t="s">
        <v>70</v>
      </c>
      <c r="W58" s="69" t="s">
        <v>70</v>
      </c>
      <c r="X58" s="69" t="s">
        <v>70</v>
      </c>
      <c r="Y58" s="69" t="s">
        <v>70</v>
      </c>
      <c r="Z58" s="69" t="s">
        <v>70</v>
      </c>
      <c r="AA58" s="69" t="s">
        <v>70</v>
      </c>
      <c r="AB58" s="69" t="s">
        <v>70</v>
      </c>
      <c r="AC58" s="69" t="s">
        <v>70</v>
      </c>
      <c r="AD58" s="69">
        <v>1</v>
      </c>
      <c r="AE58" s="69">
        <v>1</v>
      </c>
      <c r="AF58" s="69">
        <v>0</v>
      </c>
      <c r="AG58" s="69">
        <v>1</v>
      </c>
      <c r="AH58" s="69">
        <v>0</v>
      </c>
      <c r="AI58" s="69">
        <v>0</v>
      </c>
      <c r="AJ58" s="25" t="s">
        <v>33</v>
      </c>
      <c r="AL58" t="str">
        <f t="shared" si="0"/>
        <v xml:space="preserve">    (U1)ALERT_REQ_UNKNOWN</v>
      </c>
      <c r="AR58" s="70" t="str">
        <f t="shared" si="3"/>
        <v xml:space="preserve">    (U4)0x00000034U,                                                           /* 52 UNKNOWN                                         */</v>
      </c>
      <c r="AS58" s="70" t="str">
        <f t="shared" si="4"/>
        <v xml:space="preserve">    (U4)0x0000003FU,                                                           /* 52 UNKNOWN                                         */</v>
      </c>
      <c r="AT58" s="70" t="str">
        <f t="shared" si="1"/>
        <v xml:space="preserve">    (U1)ALERT_REQ_UNKNOWN,                                                     /* 52 UNKNOWN                                         */</v>
      </c>
    </row>
    <row r="59" spans="2:46">
      <c r="B59" s="139"/>
      <c r="C59" s="55">
        <f t="shared" si="2"/>
        <v>53</v>
      </c>
      <c r="D59" s="69" t="s">
        <v>70</v>
      </c>
      <c r="E59" s="69" t="s">
        <v>70</v>
      </c>
      <c r="F59" s="69" t="s">
        <v>70</v>
      </c>
      <c r="G59" s="69" t="s">
        <v>70</v>
      </c>
      <c r="H59" s="69" t="s">
        <v>70</v>
      </c>
      <c r="I59" s="69" t="s">
        <v>70</v>
      </c>
      <c r="J59" s="69" t="s">
        <v>70</v>
      </c>
      <c r="K59" s="69" t="s">
        <v>70</v>
      </c>
      <c r="L59" s="69" t="s">
        <v>70</v>
      </c>
      <c r="M59" s="69" t="s">
        <v>70</v>
      </c>
      <c r="N59" s="69" t="s">
        <v>70</v>
      </c>
      <c r="O59" s="69" t="s">
        <v>70</v>
      </c>
      <c r="P59" s="69" t="s">
        <v>70</v>
      </c>
      <c r="Q59" s="69" t="s">
        <v>70</v>
      </c>
      <c r="R59" s="69" t="s">
        <v>70</v>
      </c>
      <c r="S59" s="69" t="s">
        <v>70</v>
      </c>
      <c r="T59" s="69" t="s">
        <v>70</v>
      </c>
      <c r="U59" s="69" t="s">
        <v>70</v>
      </c>
      <c r="V59" s="69" t="s">
        <v>70</v>
      </c>
      <c r="W59" s="69" t="s">
        <v>70</v>
      </c>
      <c r="X59" s="69" t="s">
        <v>70</v>
      </c>
      <c r="Y59" s="69" t="s">
        <v>70</v>
      </c>
      <c r="Z59" s="69" t="s">
        <v>70</v>
      </c>
      <c r="AA59" s="69" t="s">
        <v>70</v>
      </c>
      <c r="AB59" s="69" t="s">
        <v>70</v>
      </c>
      <c r="AC59" s="69" t="s">
        <v>70</v>
      </c>
      <c r="AD59" s="69">
        <v>1</v>
      </c>
      <c r="AE59" s="69">
        <v>1</v>
      </c>
      <c r="AF59" s="69">
        <v>0</v>
      </c>
      <c r="AG59" s="69">
        <v>1</v>
      </c>
      <c r="AH59" s="69">
        <v>0</v>
      </c>
      <c r="AI59" s="69">
        <v>1</v>
      </c>
      <c r="AJ59" s="25" t="s">
        <v>33</v>
      </c>
      <c r="AL59" t="str">
        <f t="shared" si="0"/>
        <v xml:space="preserve">    (U1)ALERT_REQ_UNKNOWN</v>
      </c>
      <c r="AR59" s="70" t="str">
        <f t="shared" si="3"/>
        <v xml:space="preserve">    (U4)0x00000035U,                                                           /* 53 UNKNOWN                                         */</v>
      </c>
      <c r="AS59" s="70" t="str">
        <f t="shared" si="4"/>
        <v xml:space="preserve">    (U4)0x0000003FU,                                                           /* 53 UNKNOWN                                         */</v>
      </c>
      <c r="AT59" s="70" t="str">
        <f t="shared" si="1"/>
        <v xml:space="preserve">    (U1)ALERT_REQ_UNKNOWN,                                                     /* 53 UNKNOWN                                         */</v>
      </c>
    </row>
    <row r="60" spans="2:46">
      <c r="B60" s="139"/>
      <c r="C60" s="55">
        <f t="shared" si="2"/>
        <v>54</v>
      </c>
      <c r="D60" s="69" t="s">
        <v>70</v>
      </c>
      <c r="E60" s="69" t="s">
        <v>70</v>
      </c>
      <c r="F60" s="69" t="s">
        <v>70</v>
      </c>
      <c r="G60" s="69" t="s">
        <v>70</v>
      </c>
      <c r="H60" s="69" t="s">
        <v>70</v>
      </c>
      <c r="I60" s="69" t="s">
        <v>70</v>
      </c>
      <c r="J60" s="69" t="s">
        <v>70</v>
      </c>
      <c r="K60" s="69" t="s">
        <v>70</v>
      </c>
      <c r="L60" s="69" t="s">
        <v>70</v>
      </c>
      <c r="M60" s="69" t="s">
        <v>70</v>
      </c>
      <c r="N60" s="69" t="s">
        <v>70</v>
      </c>
      <c r="O60" s="69" t="s">
        <v>70</v>
      </c>
      <c r="P60" s="69" t="s">
        <v>70</v>
      </c>
      <c r="Q60" s="69" t="s">
        <v>70</v>
      </c>
      <c r="R60" s="69" t="s">
        <v>70</v>
      </c>
      <c r="S60" s="69" t="s">
        <v>70</v>
      </c>
      <c r="T60" s="69" t="s">
        <v>70</v>
      </c>
      <c r="U60" s="69" t="s">
        <v>70</v>
      </c>
      <c r="V60" s="69" t="s">
        <v>70</v>
      </c>
      <c r="W60" s="69" t="s">
        <v>70</v>
      </c>
      <c r="X60" s="69" t="s">
        <v>70</v>
      </c>
      <c r="Y60" s="69" t="s">
        <v>70</v>
      </c>
      <c r="Z60" s="69" t="s">
        <v>70</v>
      </c>
      <c r="AA60" s="69" t="s">
        <v>70</v>
      </c>
      <c r="AB60" s="69" t="s">
        <v>70</v>
      </c>
      <c r="AC60" s="69" t="s">
        <v>70</v>
      </c>
      <c r="AD60" s="69">
        <v>1</v>
      </c>
      <c r="AE60" s="69">
        <v>1</v>
      </c>
      <c r="AF60" s="69">
        <v>0</v>
      </c>
      <c r="AG60" s="69">
        <v>1</v>
      </c>
      <c r="AH60" s="69">
        <v>1</v>
      </c>
      <c r="AI60" s="69">
        <v>0</v>
      </c>
      <c r="AJ60" s="25" t="s">
        <v>33</v>
      </c>
      <c r="AL60" t="str">
        <f t="shared" si="0"/>
        <v xml:space="preserve">    (U1)ALERT_REQ_UNKNOWN</v>
      </c>
      <c r="AR60" s="70" t="str">
        <f t="shared" si="3"/>
        <v xml:space="preserve">    (U4)0x00000036U,                                                           /* 54 UNKNOWN                                         */</v>
      </c>
      <c r="AS60" s="70" t="str">
        <f t="shared" si="4"/>
        <v xml:space="preserve">    (U4)0x0000003FU,                                                           /* 54 UNKNOWN                                         */</v>
      </c>
      <c r="AT60" s="70" t="str">
        <f t="shared" si="1"/>
        <v xml:space="preserve">    (U1)ALERT_REQ_UNKNOWN,                                                     /* 54 UNKNOWN                                         */</v>
      </c>
    </row>
    <row r="61" spans="2:46">
      <c r="B61" s="139"/>
      <c r="C61" s="55">
        <f t="shared" si="2"/>
        <v>55</v>
      </c>
      <c r="D61" s="69" t="s">
        <v>70</v>
      </c>
      <c r="E61" s="69" t="s">
        <v>70</v>
      </c>
      <c r="F61" s="69" t="s">
        <v>70</v>
      </c>
      <c r="G61" s="69" t="s">
        <v>70</v>
      </c>
      <c r="H61" s="69" t="s">
        <v>70</v>
      </c>
      <c r="I61" s="69" t="s">
        <v>70</v>
      </c>
      <c r="J61" s="69" t="s">
        <v>70</v>
      </c>
      <c r="K61" s="69" t="s">
        <v>70</v>
      </c>
      <c r="L61" s="69" t="s">
        <v>70</v>
      </c>
      <c r="M61" s="69" t="s">
        <v>70</v>
      </c>
      <c r="N61" s="69" t="s">
        <v>70</v>
      </c>
      <c r="O61" s="69" t="s">
        <v>70</v>
      </c>
      <c r="P61" s="69" t="s">
        <v>70</v>
      </c>
      <c r="Q61" s="69" t="s">
        <v>70</v>
      </c>
      <c r="R61" s="69" t="s">
        <v>70</v>
      </c>
      <c r="S61" s="69" t="s">
        <v>70</v>
      </c>
      <c r="T61" s="69" t="s">
        <v>70</v>
      </c>
      <c r="U61" s="69" t="s">
        <v>70</v>
      </c>
      <c r="V61" s="69" t="s">
        <v>70</v>
      </c>
      <c r="W61" s="69" t="s">
        <v>70</v>
      </c>
      <c r="X61" s="69" t="s">
        <v>70</v>
      </c>
      <c r="Y61" s="69" t="s">
        <v>70</v>
      </c>
      <c r="Z61" s="69" t="s">
        <v>70</v>
      </c>
      <c r="AA61" s="69" t="s">
        <v>70</v>
      </c>
      <c r="AB61" s="69" t="s">
        <v>70</v>
      </c>
      <c r="AC61" s="69" t="s">
        <v>70</v>
      </c>
      <c r="AD61" s="69">
        <v>1</v>
      </c>
      <c r="AE61" s="69">
        <v>1</v>
      </c>
      <c r="AF61" s="69">
        <v>0</v>
      </c>
      <c r="AG61" s="69">
        <v>1</v>
      </c>
      <c r="AH61" s="69">
        <v>1</v>
      </c>
      <c r="AI61" s="69">
        <v>1</v>
      </c>
      <c r="AJ61" s="25" t="s">
        <v>33</v>
      </c>
      <c r="AL61" t="str">
        <f t="shared" si="0"/>
        <v xml:space="preserve">    (U1)ALERT_REQ_UNKNOWN</v>
      </c>
      <c r="AR61" s="70" t="str">
        <f t="shared" si="3"/>
        <v xml:space="preserve">    (U4)0x00000037U,                                                           /* 55 UNKNOWN                                         */</v>
      </c>
      <c r="AS61" s="70" t="str">
        <f t="shared" si="4"/>
        <v xml:space="preserve">    (U4)0x0000003FU,                                                           /* 55 UNKNOWN                                         */</v>
      </c>
      <c r="AT61" s="70" t="str">
        <f t="shared" si="1"/>
        <v xml:space="preserve">    (U1)ALERT_REQ_UNKNOWN,                                                     /* 55 UNKNOWN                                         */</v>
      </c>
    </row>
    <row r="62" spans="2:46">
      <c r="B62" s="139"/>
      <c r="C62" s="55">
        <f t="shared" si="2"/>
        <v>56</v>
      </c>
      <c r="D62" s="69" t="s">
        <v>70</v>
      </c>
      <c r="E62" s="69" t="s">
        <v>70</v>
      </c>
      <c r="F62" s="69" t="s">
        <v>70</v>
      </c>
      <c r="G62" s="69" t="s">
        <v>70</v>
      </c>
      <c r="H62" s="69" t="s">
        <v>70</v>
      </c>
      <c r="I62" s="69" t="s">
        <v>70</v>
      </c>
      <c r="J62" s="69" t="s">
        <v>70</v>
      </c>
      <c r="K62" s="69" t="s">
        <v>70</v>
      </c>
      <c r="L62" s="69" t="s">
        <v>70</v>
      </c>
      <c r="M62" s="69" t="s">
        <v>70</v>
      </c>
      <c r="N62" s="69" t="s">
        <v>70</v>
      </c>
      <c r="O62" s="69" t="s">
        <v>70</v>
      </c>
      <c r="P62" s="69" t="s">
        <v>70</v>
      </c>
      <c r="Q62" s="69" t="s">
        <v>70</v>
      </c>
      <c r="R62" s="69" t="s">
        <v>70</v>
      </c>
      <c r="S62" s="69" t="s">
        <v>70</v>
      </c>
      <c r="T62" s="69" t="s">
        <v>70</v>
      </c>
      <c r="U62" s="69" t="s">
        <v>70</v>
      </c>
      <c r="V62" s="69" t="s">
        <v>70</v>
      </c>
      <c r="W62" s="69" t="s">
        <v>70</v>
      </c>
      <c r="X62" s="69" t="s">
        <v>70</v>
      </c>
      <c r="Y62" s="69" t="s">
        <v>70</v>
      </c>
      <c r="Z62" s="69" t="s">
        <v>70</v>
      </c>
      <c r="AA62" s="69" t="s">
        <v>70</v>
      </c>
      <c r="AB62" s="69" t="s">
        <v>70</v>
      </c>
      <c r="AC62" s="69" t="s">
        <v>70</v>
      </c>
      <c r="AD62" s="69">
        <v>1</v>
      </c>
      <c r="AE62" s="69">
        <v>1</v>
      </c>
      <c r="AF62" s="69">
        <v>1</v>
      </c>
      <c r="AG62" s="69">
        <v>0</v>
      </c>
      <c r="AH62" s="69">
        <v>0</v>
      </c>
      <c r="AI62" s="69">
        <v>0</v>
      </c>
      <c r="AJ62" s="25" t="s">
        <v>33</v>
      </c>
      <c r="AL62" t="str">
        <f t="shared" si="0"/>
        <v xml:space="preserve">    (U1)ALERT_REQ_UNKNOWN</v>
      </c>
      <c r="AR62" s="70" t="str">
        <f t="shared" si="3"/>
        <v xml:space="preserve">    (U4)0x00000038U,                                                           /* 56 UNKNOWN                                         */</v>
      </c>
      <c r="AS62" s="70" t="str">
        <f t="shared" si="4"/>
        <v xml:space="preserve">    (U4)0x0000003FU,                                                           /* 56 UNKNOWN                                         */</v>
      </c>
      <c r="AT62" s="70" t="str">
        <f t="shared" si="1"/>
        <v xml:space="preserve">    (U1)ALERT_REQ_UNKNOWN,                                                     /* 56 UNKNOWN                                         */</v>
      </c>
    </row>
    <row r="63" spans="2:46">
      <c r="B63" s="139"/>
      <c r="C63" s="55">
        <f t="shared" si="2"/>
        <v>57</v>
      </c>
      <c r="D63" s="69" t="s">
        <v>70</v>
      </c>
      <c r="E63" s="69" t="s">
        <v>70</v>
      </c>
      <c r="F63" s="69" t="s">
        <v>70</v>
      </c>
      <c r="G63" s="69" t="s">
        <v>70</v>
      </c>
      <c r="H63" s="69" t="s">
        <v>70</v>
      </c>
      <c r="I63" s="69" t="s">
        <v>70</v>
      </c>
      <c r="J63" s="69" t="s">
        <v>70</v>
      </c>
      <c r="K63" s="69" t="s">
        <v>70</v>
      </c>
      <c r="L63" s="69" t="s">
        <v>70</v>
      </c>
      <c r="M63" s="69" t="s">
        <v>70</v>
      </c>
      <c r="N63" s="69" t="s">
        <v>70</v>
      </c>
      <c r="O63" s="69" t="s">
        <v>70</v>
      </c>
      <c r="P63" s="69" t="s">
        <v>70</v>
      </c>
      <c r="Q63" s="69" t="s">
        <v>70</v>
      </c>
      <c r="R63" s="69" t="s">
        <v>70</v>
      </c>
      <c r="S63" s="69" t="s">
        <v>70</v>
      </c>
      <c r="T63" s="69" t="s">
        <v>70</v>
      </c>
      <c r="U63" s="69" t="s">
        <v>70</v>
      </c>
      <c r="V63" s="69" t="s">
        <v>70</v>
      </c>
      <c r="W63" s="69" t="s">
        <v>70</v>
      </c>
      <c r="X63" s="69" t="s">
        <v>70</v>
      </c>
      <c r="Y63" s="69" t="s">
        <v>70</v>
      </c>
      <c r="Z63" s="69" t="s">
        <v>70</v>
      </c>
      <c r="AA63" s="69" t="s">
        <v>70</v>
      </c>
      <c r="AB63" s="69" t="s">
        <v>70</v>
      </c>
      <c r="AC63" s="69" t="s">
        <v>70</v>
      </c>
      <c r="AD63" s="69">
        <v>1</v>
      </c>
      <c r="AE63" s="69">
        <v>1</v>
      </c>
      <c r="AF63" s="69">
        <v>1</v>
      </c>
      <c r="AG63" s="69">
        <v>0</v>
      </c>
      <c r="AH63" s="69">
        <v>0</v>
      </c>
      <c r="AI63" s="69">
        <v>1</v>
      </c>
      <c r="AJ63" s="25" t="s">
        <v>33</v>
      </c>
      <c r="AL63" t="str">
        <f t="shared" si="0"/>
        <v xml:space="preserve">    (U1)ALERT_REQ_UNKNOWN</v>
      </c>
      <c r="AR63" s="70" t="str">
        <f t="shared" si="3"/>
        <v xml:space="preserve">    (U4)0x00000039U,                                                           /* 57 UNKNOWN                                         */</v>
      </c>
      <c r="AS63" s="70" t="str">
        <f t="shared" si="4"/>
        <v xml:space="preserve">    (U4)0x0000003FU,                                                           /* 57 UNKNOWN                                         */</v>
      </c>
      <c r="AT63" s="70" t="str">
        <f t="shared" si="1"/>
        <v xml:space="preserve">    (U1)ALERT_REQ_UNKNOWN,                                                     /* 57 UNKNOWN                                         */</v>
      </c>
    </row>
    <row r="64" spans="2:46">
      <c r="B64" s="139"/>
      <c r="C64" s="55">
        <f t="shared" si="2"/>
        <v>58</v>
      </c>
      <c r="D64" s="69" t="s">
        <v>70</v>
      </c>
      <c r="E64" s="69" t="s">
        <v>70</v>
      </c>
      <c r="F64" s="69" t="s">
        <v>70</v>
      </c>
      <c r="G64" s="69" t="s">
        <v>70</v>
      </c>
      <c r="H64" s="69" t="s">
        <v>70</v>
      </c>
      <c r="I64" s="69" t="s">
        <v>70</v>
      </c>
      <c r="J64" s="69" t="s">
        <v>70</v>
      </c>
      <c r="K64" s="69" t="s">
        <v>70</v>
      </c>
      <c r="L64" s="69" t="s">
        <v>70</v>
      </c>
      <c r="M64" s="69" t="s">
        <v>70</v>
      </c>
      <c r="N64" s="69" t="s">
        <v>70</v>
      </c>
      <c r="O64" s="69" t="s">
        <v>70</v>
      </c>
      <c r="P64" s="69" t="s">
        <v>70</v>
      </c>
      <c r="Q64" s="69" t="s">
        <v>70</v>
      </c>
      <c r="R64" s="69" t="s">
        <v>70</v>
      </c>
      <c r="S64" s="69" t="s">
        <v>70</v>
      </c>
      <c r="T64" s="69" t="s">
        <v>70</v>
      </c>
      <c r="U64" s="69" t="s">
        <v>70</v>
      </c>
      <c r="V64" s="69" t="s">
        <v>70</v>
      </c>
      <c r="W64" s="69" t="s">
        <v>70</v>
      </c>
      <c r="X64" s="69" t="s">
        <v>70</v>
      </c>
      <c r="Y64" s="69" t="s">
        <v>70</v>
      </c>
      <c r="Z64" s="69" t="s">
        <v>70</v>
      </c>
      <c r="AA64" s="69" t="s">
        <v>70</v>
      </c>
      <c r="AB64" s="69" t="s">
        <v>70</v>
      </c>
      <c r="AC64" s="69" t="s">
        <v>70</v>
      </c>
      <c r="AD64" s="69">
        <v>1</v>
      </c>
      <c r="AE64" s="69">
        <v>1</v>
      </c>
      <c r="AF64" s="69">
        <v>1</v>
      </c>
      <c r="AG64" s="69">
        <v>0</v>
      </c>
      <c r="AH64" s="69">
        <v>1</v>
      </c>
      <c r="AI64" s="69">
        <v>0</v>
      </c>
      <c r="AJ64" s="25" t="s">
        <v>33</v>
      </c>
      <c r="AL64" t="str">
        <f t="shared" si="0"/>
        <v xml:space="preserve">    (U1)ALERT_REQ_UNKNOWN</v>
      </c>
      <c r="AR64" s="70" t="str">
        <f t="shared" si="3"/>
        <v xml:space="preserve">    (U4)0x0000003AU,                                                           /* 58 UNKNOWN                                         */</v>
      </c>
      <c r="AS64" s="70" t="str">
        <f t="shared" si="4"/>
        <v xml:space="preserve">    (U4)0x0000003FU,                                                           /* 58 UNKNOWN                                         */</v>
      </c>
      <c r="AT64" s="70" t="str">
        <f t="shared" si="1"/>
        <v xml:space="preserve">    (U1)ALERT_REQ_UNKNOWN,                                                     /* 58 UNKNOWN                                         */</v>
      </c>
    </row>
    <row r="65" spans="1:46">
      <c r="B65" s="139"/>
      <c r="C65" s="55">
        <f t="shared" si="2"/>
        <v>59</v>
      </c>
      <c r="D65" s="69" t="s">
        <v>70</v>
      </c>
      <c r="E65" s="69" t="s">
        <v>70</v>
      </c>
      <c r="F65" s="69" t="s">
        <v>70</v>
      </c>
      <c r="G65" s="69" t="s">
        <v>70</v>
      </c>
      <c r="H65" s="69" t="s">
        <v>70</v>
      </c>
      <c r="I65" s="69" t="s">
        <v>70</v>
      </c>
      <c r="J65" s="69" t="s">
        <v>70</v>
      </c>
      <c r="K65" s="69" t="s">
        <v>70</v>
      </c>
      <c r="L65" s="69" t="s">
        <v>70</v>
      </c>
      <c r="M65" s="69" t="s">
        <v>70</v>
      </c>
      <c r="N65" s="69" t="s">
        <v>70</v>
      </c>
      <c r="O65" s="69" t="s">
        <v>70</v>
      </c>
      <c r="P65" s="69" t="s">
        <v>70</v>
      </c>
      <c r="Q65" s="69" t="s">
        <v>70</v>
      </c>
      <c r="R65" s="69" t="s">
        <v>70</v>
      </c>
      <c r="S65" s="69" t="s">
        <v>70</v>
      </c>
      <c r="T65" s="69" t="s">
        <v>70</v>
      </c>
      <c r="U65" s="69" t="s">
        <v>70</v>
      </c>
      <c r="V65" s="69" t="s">
        <v>70</v>
      </c>
      <c r="W65" s="69" t="s">
        <v>70</v>
      </c>
      <c r="X65" s="69" t="s">
        <v>70</v>
      </c>
      <c r="Y65" s="69" t="s">
        <v>70</v>
      </c>
      <c r="Z65" s="69" t="s">
        <v>70</v>
      </c>
      <c r="AA65" s="69" t="s">
        <v>70</v>
      </c>
      <c r="AB65" s="69" t="s">
        <v>70</v>
      </c>
      <c r="AC65" s="69" t="s">
        <v>70</v>
      </c>
      <c r="AD65" s="69">
        <v>1</v>
      </c>
      <c r="AE65" s="69">
        <v>1</v>
      </c>
      <c r="AF65" s="69">
        <v>1</v>
      </c>
      <c r="AG65" s="69">
        <v>0</v>
      </c>
      <c r="AH65" s="69">
        <v>1</v>
      </c>
      <c r="AI65" s="69">
        <v>1</v>
      </c>
      <c r="AJ65" s="25" t="s">
        <v>33</v>
      </c>
      <c r="AL65" t="str">
        <f t="shared" si="0"/>
        <v xml:space="preserve">    (U1)ALERT_REQ_UNKNOWN</v>
      </c>
      <c r="AR65" s="70" t="str">
        <f t="shared" si="3"/>
        <v xml:space="preserve">    (U4)0x0000003BU,                                                           /* 59 UNKNOWN                                         */</v>
      </c>
      <c r="AS65" s="70" t="str">
        <f t="shared" si="4"/>
        <v xml:space="preserve">    (U4)0x0000003FU,                                                           /* 59 UNKNOWN                                         */</v>
      </c>
      <c r="AT65" s="70" t="str">
        <f t="shared" si="1"/>
        <v xml:space="preserve">    (U1)ALERT_REQ_UNKNOWN,                                                     /* 59 UNKNOWN                                         */</v>
      </c>
    </row>
    <row r="66" spans="1:46">
      <c r="B66" s="139"/>
      <c r="C66" s="55">
        <f t="shared" si="2"/>
        <v>60</v>
      </c>
      <c r="D66" s="69" t="s">
        <v>70</v>
      </c>
      <c r="E66" s="69" t="s">
        <v>70</v>
      </c>
      <c r="F66" s="69" t="s">
        <v>70</v>
      </c>
      <c r="G66" s="69" t="s">
        <v>70</v>
      </c>
      <c r="H66" s="69" t="s">
        <v>70</v>
      </c>
      <c r="I66" s="69" t="s">
        <v>70</v>
      </c>
      <c r="J66" s="69" t="s">
        <v>70</v>
      </c>
      <c r="K66" s="69" t="s">
        <v>70</v>
      </c>
      <c r="L66" s="69" t="s">
        <v>70</v>
      </c>
      <c r="M66" s="69" t="s">
        <v>70</v>
      </c>
      <c r="N66" s="69" t="s">
        <v>70</v>
      </c>
      <c r="O66" s="69" t="s">
        <v>70</v>
      </c>
      <c r="P66" s="69" t="s">
        <v>70</v>
      </c>
      <c r="Q66" s="69" t="s">
        <v>70</v>
      </c>
      <c r="R66" s="69" t="s">
        <v>70</v>
      </c>
      <c r="S66" s="69" t="s">
        <v>70</v>
      </c>
      <c r="T66" s="69" t="s">
        <v>70</v>
      </c>
      <c r="U66" s="69" t="s">
        <v>70</v>
      </c>
      <c r="V66" s="69" t="s">
        <v>70</v>
      </c>
      <c r="W66" s="69" t="s">
        <v>70</v>
      </c>
      <c r="X66" s="69" t="s">
        <v>70</v>
      </c>
      <c r="Y66" s="69" t="s">
        <v>70</v>
      </c>
      <c r="Z66" s="69" t="s">
        <v>70</v>
      </c>
      <c r="AA66" s="69" t="s">
        <v>70</v>
      </c>
      <c r="AB66" s="69" t="s">
        <v>70</v>
      </c>
      <c r="AC66" s="69" t="s">
        <v>70</v>
      </c>
      <c r="AD66" s="69">
        <v>1</v>
      </c>
      <c r="AE66" s="69">
        <v>1</v>
      </c>
      <c r="AF66" s="69">
        <v>1</v>
      </c>
      <c r="AG66" s="69">
        <v>1</v>
      </c>
      <c r="AH66" s="69">
        <v>0</v>
      </c>
      <c r="AI66" s="69">
        <v>0</v>
      </c>
      <c r="AJ66" s="25" t="s">
        <v>33</v>
      </c>
      <c r="AL66"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39"/>
      <c r="C67" s="55">
        <f t="shared" si="2"/>
        <v>61</v>
      </c>
      <c r="D67" s="69" t="s">
        <v>70</v>
      </c>
      <c r="E67" s="69" t="s">
        <v>70</v>
      </c>
      <c r="F67" s="69" t="s">
        <v>70</v>
      </c>
      <c r="G67" s="69" t="s">
        <v>70</v>
      </c>
      <c r="H67" s="69" t="s">
        <v>70</v>
      </c>
      <c r="I67" s="69" t="s">
        <v>70</v>
      </c>
      <c r="J67" s="69" t="s">
        <v>70</v>
      </c>
      <c r="K67" s="69" t="s">
        <v>70</v>
      </c>
      <c r="L67" s="69" t="s">
        <v>70</v>
      </c>
      <c r="M67" s="69" t="s">
        <v>70</v>
      </c>
      <c r="N67" s="69" t="s">
        <v>70</v>
      </c>
      <c r="O67" s="69" t="s">
        <v>70</v>
      </c>
      <c r="P67" s="69" t="s">
        <v>70</v>
      </c>
      <c r="Q67" s="69" t="s">
        <v>70</v>
      </c>
      <c r="R67" s="69" t="s">
        <v>70</v>
      </c>
      <c r="S67" s="69" t="s">
        <v>70</v>
      </c>
      <c r="T67" s="69" t="s">
        <v>70</v>
      </c>
      <c r="U67" s="69" t="s">
        <v>70</v>
      </c>
      <c r="V67" s="69" t="s">
        <v>70</v>
      </c>
      <c r="W67" s="69" t="s">
        <v>70</v>
      </c>
      <c r="X67" s="69" t="s">
        <v>70</v>
      </c>
      <c r="Y67" s="69" t="s">
        <v>70</v>
      </c>
      <c r="Z67" s="69" t="s">
        <v>70</v>
      </c>
      <c r="AA67" s="69" t="s">
        <v>70</v>
      </c>
      <c r="AB67" s="69" t="s">
        <v>70</v>
      </c>
      <c r="AC67" s="69" t="s">
        <v>70</v>
      </c>
      <c r="AD67" s="69">
        <v>1</v>
      </c>
      <c r="AE67" s="69">
        <v>1</v>
      </c>
      <c r="AF67" s="69">
        <v>1</v>
      </c>
      <c r="AG67" s="69">
        <v>1</v>
      </c>
      <c r="AH67" s="69">
        <v>0</v>
      </c>
      <c r="AI67" s="69">
        <v>1</v>
      </c>
      <c r="AJ67" s="25" t="s">
        <v>33</v>
      </c>
      <c r="AL67" t="str">
        <f t="shared" si="0"/>
        <v xml:space="preserve">    (U1)ALERT_REQ_UNKNOWN</v>
      </c>
      <c r="AR67" s="70" t="str">
        <f t="shared" si="3"/>
        <v xml:space="preserve">    (U4)0x0000003DU,                                                           /* 61 UNKNOWN                                         */</v>
      </c>
      <c r="AS67" s="70" t="str">
        <f t="shared" si="4"/>
        <v xml:space="preserve">    (U4)0x0000003FU,                                                           /* 61 UNKNOWN                                         */</v>
      </c>
      <c r="AT67" s="70" t="str">
        <f t="shared" si="1"/>
        <v xml:space="preserve">    (U1)ALERT_REQ_UNKNOWN,                                                     /* 61 UNKNOWN                                         */</v>
      </c>
    </row>
    <row r="68" spans="1:46">
      <c r="B68" s="139"/>
      <c r="C68" s="55">
        <f t="shared" si="2"/>
        <v>62</v>
      </c>
      <c r="D68" s="69" t="s">
        <v>70</v>
      </c>
      <c r="E68" s="69" t="s">
        <v>70</v>
      </c>
      <c r="F68" s="69" t="s">
        <v>70</v>
      </c>
      <c r="G68" s="69" t="s">
        <v>70</v>
      </c>
      <c r="H68" s="69" t="s">
        <v>70</v>
      </c>
      <c r="I68" s="69" t="s">
        <v>70</v>
      </c>
      <c r="J68" s="69" t="s">
        <v>70</v>
      </c>
      <c r="K68" s="69" t="s">
        <v>70</v>
      </c>
      <c r="L68" s="69" t="s">
        <v>70</v>
      </c>
      <c r="M68" s="69" t="s">
        <v>70</v>
      </c>
      <c r="N68" s="69" t="s">
        <v>70</v>
      </c>
      <c r="O68" s="69" t="s">
        <v>70</v>
      </c>
      <c r="P68" s="69" t="s">
        <v>70</v>
      </c>
      <c r="Q68" s="69" t="s">
        <v>70</v>
      </c>
      <c r="R68" s="69" t="s">
        <v>70</v>
      </c>
      <c r="S68" s="69" t="s">
        <v>70</v>
      </c>
      <c r="T68" s="69" t="s">
        <v>70</v>
      </c>
      <c r="U68" s="69" t="s">
        <v>70</v>
      </c>
      <c r="V68" s="69" t="s">
        <v>70</v>
      </c>
      <c r="W68" s="69" t="s">
        <v>70</v>
      </c>
      <c r="X68" s="69" t="s">
        <v>70</v>
      </c>
      <c r="Y68" s="69" t="s">
        <v>70</v>
      </c>
      <c r="Z68" s="69" t="s">
        <v>70</v>
      </c>
      <c r="AA68" s="69" t="s">
        <v>70</v>
      </c>
      <c r="AB68" s="69" t="s">
        <v>70</v>
      </c>
      <c r="AC68" s="69" t="s">
        <v>70</v>
      </c>
      <c r="AD68" s="69">
        <v>1</v>
      </c>
      <c r="AE68" s="69">
        <v>1</v>
      </c>
      <c r="AF68" s="69">
        <v>1</v>
      </c>
      <c r="AG68" s="69">
        <v>1</v>
      </c>
      <c r="AH68" s="69">
        <v>1</v>
      </c>
      <c r="AI68" s="69">
        <v>0</v>
      </c>
      <c r="AJ68" s="25" t="s">
        <v>33</v>
      </c>
      <c r="AL68" t="str">
        <f t="shared" si="0"/>
        <v xml:space="preserve">    (U1)ALERT_REQ_UNKNOWN</v>
      </c>
      <c r="AR68" s="70" t="str">
        <f t="shared" si="3"/>
        <v xml:space="preserve">    (U4)0x0000003EU,                                                           /* 62 UNKNOWN                                         */</v>
      </c>
      <c r="AS68" s="70" t="str">
        <f t="shared" si="4"/>
        <v xml:space="preserve">    (U4)0x0000003FU,                                                           /* 62 UNKNOWN                                         */</v>
      </c>
      <c r="AT68" s="70" t="str">
        <f t="shared" si="1"/>
        <v xml:space="preserve">    (U1)ALERT_REQ_UNKNOWN,                                                     /* 62 UNKNOWN                                         */</v>
      </c>
    </row>
    <row r="69" spans="1:46">
      <c r="B69" s="140"/>
      <c r="C69" s="55">
        <f t="shared" si="2"/>
        <v>63</v>
      </c>
      <c r="D69" s="69" t="s">
        <v>70</v>
      </c>
      <c r="E69" s="69" t="s">
        <v>70</v>
      </c>
      <c r="F69" s="69" t="s">
        <v>70</v>
      </c>
      <c r="G69" s="69" t="s">
        <v>70</v>
      </c>
      <c r="H69" s="69" t="s">
        <v>70</v>
      </c>
      <c r="I69" s="69" t="s">
        <v>70</v>
      </c>
      <c r="J69" s="69" t="s">
        <v>70</v>
      </c>
      <c r="K69" s="69" t="s">
        <v>70</v>
      </c>
      <c r="L69" s="69" t="s">
        <v>70</v>
      </c>
      <c r="M69" s="69" t="s">
        <v>70</v>
      </c>
      <c r="N69" s="69" t="s">
        <v>70</v>
      </c>
      <c r="O69" s="69" t="s">
        <v>70</v>
      </c>
      <c r="P69" s="69" t="s">
        <v>70</v>
      </c>
      <c r="Q69" s="69" t="s">
        <v>70</v>
      </c>
      <c r="R69" s="69" t="s">
        <v>70</v>
      </c>
      <c r="S69" s="69" t="s">
        <v>70</v>
      </c>
      <c r="T69" s="69" t="s">
        <v>70</v>
      </c>
      <c r="U69" s="69" t="s">
        <v>70</v>
      </c>
      <c r="V69" s="69" t="s">
        <v>70</v>
      </c>
      <c r="W69" s="69" t="s">
        <v>70</v>
      </c>
      <c r="X69" s="69" t="s">
        <v>70</v>
      </c>
      <c r="Y69" s="69" t="s">
        <v>70</v>
      </c>
      <c r="Z69" s="69" t="s">
        <v>70</v>
      </c>
      <c r="AA69" s="69" t="s">
        <v>70</v>
      </c>
      <c r="AB69" s="69" t="s">
        <v>70</v>
      </c>
      <c r="AC69" s="69" t="s">
        <v>70</v>
      </c>
      <c r="AD69" s="69">
        <v>1</v>
      </c>
      <c r="AE69" s="69">
        <v>1</v>
      </c>
      <c r="AF69" s="69">
        <v>1</v>
      </c>
      <c r="AG69" s="69">
        <v>1</v>
      </c>
      <c r="AH69" s="69">
        <v>1</v>
      </c>
      <c r="AI69" s="69">
        <v>1</v>
      </c>
      <c r="AJ69" s="25" t="s">
        <v>33</v>
      </c>
      <c r="AL69"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4.25" thickBot="1">
      <c r="A70" s="64" t="s">
        <v>67</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1" t="str">
        <f t="shared" si="3"/>
        <v>};</v>
      </c>
      <c r="AS70" s="71" t="str">
        <f t="shared" si="4"/>
        <v>};</v>
      </c>
      <c r="AT70" s="71" t="str">
        <f t="shared" ref="AT70" si="5">IF(AJ70&lt;&gt;"",AL70&amp;IF(AJ71&lt;&gt;"",","," ")&amp;REPT(" ",78-LEN(AL70))&amp;"/* "&amp;IF(C70&lt;10,"0"&amp;C70,C70)&amp;" "&amp;AJ70&amp;REPT(" ",48-LEN(AJ70))&amp;"*/",IF(AJ69&lt;&gt;"","};",""))</f>
        <v>};</v>
      </c>
    </row>
    <row r="71" spans="1:46">
      <c r="B71" s="141" t="str">
        <f ca="1">IF(B6&lt;&gt;"",B6,"")</f>
        <v>Table PD_SG</v>
      </c>
      <c r="C71" s="55">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55" t="str">
        <f t="shared" ref="AJ71:AJ134" si="7">IF(AJ6&lt;&gt;"",AJ6,"")</f>
        <v>UNKNOWN</v>
      </c>
      <c r="AK71" s="68"/>
      <c r="AL71" s="68" t="str">
        <f>BIN2HEX(AB71&amp;AC71&amp;AD71&amp;AE71&amp;AF71&amp;AG71&amp;AH71&amp;AI71,2)</f>
        <v>00</v>
      </c>
      <c r="AM71" s="68" t="str">
        <f>BIN2HEX(T71&amp;U71&amp;V71&amp;W71&amp;X71&amp;Y71&amp;Z71&amp;AA71,2)</f>
        <v>00</v>
      </c>
      <c r="AN71" s="68" t="str">
        <f>BIN2HEX(L71&amp;M71&amp;N71&amp;O71&amp;P71&amp;Q71&amp;R71&amp;S71,2)</f>
        <v>00</v>
      </c>
      <c r="AO71" s="6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9"/>
      <c r="C72" s="55">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55" t="str">
        <f t="shared" si="7"/>
        <v>UNKNOWN</v>
      </c>
      <c r="AK72" s="68"/>
      <c r="AL72" s="68" t="str">
        <f t="shared" ref="AL72:AL134" si="10">BIN2HEX(AB72&amp;AC72&amp;AD72&amp;AE72&amp;AF72&amp;AG72&amp;AH72&amp;AI72,2)</f>
        <v>01</v>
      </c>
      <c r="AM72" s="68" t="str">
        <f t="shared" ref="AM72:AM134" si="11">BIN2HEX(T72&amp;U72&amp;V72&amp;W72&amp;X72&amp;Y72&amp;Z72&amp;AA72,2)</f>
        <v>00</v>
      </c>
      <c r="AN72" s="68" t="str">
        <f t="shared" ref="AN72:AN134" si="12">BIN2HEX(L72&amp;M72&amp;N72&amp;O72&amp;P72&amp;Q72&amp;R72&amp;S72,2)</f>
        <v>00</v>
      </c>
      <c r="AO72" s="68" t="str">
        <f t="shared" ref="AO72:AO134" si="13">BIN2HEX(D72&amp;E72&amp;F72&amp;G72&amp;H72&amp;I72&amp;J72&amp;K72,2)</f>
        <v>00</v>
      </c>
      <c r="AQ72" t="str">
        <f t="shared" si="8"/>
        <v xml:space="preserve">    (U4)0x00000001U,                                                           /* 01 UNKNOWN                                         */</v>
      </c>
    </row>
    <row r="73" spans="1:46">
      <c r="B73" s="139"/>
      <c r="C73" s="55">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55" t="str">
        <f t="shared" si="7"/>
        <v>UNKNOWN</v>
      </c>
      <c r="AK73" s="68"/>
      <c r="AL73" s="68" t="str">
        <f t="shared" si="10"/>
        <v>02</v>
      </c>
      <c r="AM73" s="68" t="str">
        <f t="shared" si="11"/>
        <v>00</v>
      </c>
      <c r="AN73" s="68" t="str">
        <f t="shared" si="12"/>
        <v>00</v>
      </c>
      <c r="AO73" s="68" t="str">
        <f t="shared" si="13"/>
        <v>00</v>
      </c>
      <c r="AQ73" t="str">
        <f t="shared" si="8"/>
        <v xml:space="preserve">    (U4)0x00000002U,                                                           /* 02 UNKNOWN                                         */</v>
      </c>
    </row>
    <row r="74" spans="1:46">
      <c r="B74" s="139"/>
      <c r="C74" s="55">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55" t="str">
        <f t="shared" si="7"/>
        <v>UNKNOWN</v>
      </c>
      <c r="AK74" s="68"/>
      <c r="AL74" s="68" t="str">
        <f t="shared" si="10"/>
        <v>03</v>
      </c>
      <c r="AM74" s="68" t="str">
        <f t="shared" si="11"/>
        <v>00</v>
      </c>
      <c r="AN74" s="68" t="str">
        <f t="shared" si="12"/>
        <v>00</v>
      </c>
      <c r="AO74" s="68" t="str">
        <f t="shared" si="13"/>
        <v>00</v>
      </c>
      <c r="AQ74" t="str">
        <f t="shared" si="8"/>
        <v xml:space="preserve">    (U4)0x00000003U,                                                           /* 03 UNKNOWN                                         */</v>
      </c>
    </row>
    <row r="75" spans="1:46">
      <c r="B75" s="139"/>
      <c r="C75" s="55">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1</v>
      </c>
      <c r="AH75" s="133">
        <f t="shared" si="6"/>
        <v>0</v>
      </c>
      <c r="AI75" s="133">
        <f t="shared" si="6"/>
        <v>0</v>
      </c>
      <c r="AJ75" s="55" t="str">
        <f t="shared" si="7"/>
        <v>UNKNOWN</v>
      </c>
      <c r="AK75" s="68"/>
      <c r="AL75" s="68" t="str">
        <f t="shared" si="10"/>
        <v>04</v>
      </c>
      <c r="AM75" s="68" t="str">
        <f t="shared" si="11"/>
        <v>00</v>
      </c>
      <c r="AN75" s="68" t="str">
        <f t="shared" si="12"/>
        <v>00</v>
      </c>
      <c r="AO75" s="68" t="str">
        <f t="shared" si="13"/>
        <v>00</v>
      </c>
      <c r="AQ75" t="str">
        <f t="shared" si="8"/>
        <v xml:space="preserve">    (U4)0x00000004U,                                                           /* 04 UNKNOWN                                         */</v>
      </c>
    </row>
    <row r="76" spans="1:46">
      <c r="B76" s="139"/>
      <c r="C76" s="55">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1</v>
      </c>
      <c r="AH76" s="133">
        <f t="shared" si="6"/>
        <v>0</v>
      </c>
      <c r="AI76" s="133">
        <f t="shared" si="6"/>
        <v>1</v>
      </c>
      <c r="AJ76" s="55" t="str">
        <f t="shared" si="7"/>
        <v>SGST1</v>
      </c>
      <c r="AK76" s="68"/>
      <c r="AL76" s="68" t="str">
        <f t="shared" si="10"/>
        <v>05</v>
      </c>
      <c r="AM76" s="68" t="str">
        <f t="shared" si="11"/>
        <v>00</v>
      </c>
      <c r="AN76" s="68" t="str">
        <f t="shared" si="12"/>
        <v>00</v>
      </c>
      <c r="AO76" s="68" t="str">
        <f t="shared" si="13"/>
        <v>00</v>
      </c>
      <c r="AQ76" t="str">
        <f t="shared" si="8"/>
        <v xml:space="preserve">    (U4)0x00000005U,                                                           /* 05 SGST1                                           */</v>
      </c>
    </row>
    <row r="77" spans="1:46">
      <c r="B77" s="139"/>
      <c r="C77" s="55">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1</v>
      </c>
      <c r="AH77" s="133">
        <f t="shared" si="6"/>
        <v>1</v>
      </c>
      <c r="AI77" s="133">
        <f t="shared" si="6"/>
        <v>0</v>
      </c>
      <c r="AJ77" s="55" t="str">
        <f t="shared" si="7"/>
        <v>SGST2</v>
      </c>
      <c r="AK77" s="68"/>
      <c r="AL77" s="68" t="str">
        <f t="shared" si="10"/>
        <v>06</v>
      </c>
      <c r="AM77" s="68" t="str">
        <f t="shared" si="11"/>
        <v>00</v>
      </c>
      <c r="AN77" s="68" t="str">
        <f t="shared" si="12"/>
        <v>00</v>
      </c>
      <c r="AO77" s="68" t="str">
        <f t="shared" si="13"/>
        <v>00</v>
      </c>
      <c r="AQ77" t="str">
        <f t="shared" si="8"/>
        <v xml:space="preserve">    (U4)0x00000006U,                                                           /* 06 SGST2                                           */</v>
      </c>
    </row>
    <row r="78" spans="1:46">
      <c r="B78" s="139"/>
      <c r="C78" s="55">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1</v>
      </c>
      <c r="AH78" s="133">
        <f t="shared" si="6"/>
        <v>1</v>
      </c>
      <c r="AI78" s="133">
        <f t="shared" ref="AI78" si="14">IF(AI13=1,1,0)</f>
        <v>1</v>
      </c>
      <c r="AJ78" s="55" t="str">
        <f t="shared" si="7"/>
        <v>SGST3</v>
      </c>
      <c r="AK78" s="68"/>
      <c r="AL78" s="68" t="str">
        <f t="shared" si="10"/>
        <v>07</v>
      </c>
      <c r="AM78" s="68" t="str">
        <f t="shared" si="11"/>
        <v>00</v>
      </c>
      <c r="AN78" s="68" t="str">
        <f t="shared" si="12"/>
        <v>00</v>
      </c>
      <c r="AO78" s="68" t="str">
        <f t="shared" si="13"/>
        <v>00</v>
      </c>
      <c r="AQ78" t="str">
        <f t="shared" si="8"/>
        <v xml:space="preserve">    (U4)0x00000007U,                                                           /* 07 SGST3                                           */</v>
      </c>
    </row>
    <row r="79" spans="1:46">
      <c r="B79" s="139"/>
      <c r="C79" s="55">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1</v>
      </c>
      <c r="AG79" s="133">
        <f t="shared" si="15"/>
        <v>0</v>
      </c>
      <c r="AH79" s="133">
        <f t="shared" si="15"/>
        <v>0</v>
      </c>
      <c r="AI79" s="133">
        <f t="shared" si="15"/>
        <v>0</v>
      </c>
      <c r="AJ79" s="55" t="str">
        <f t="shared" si="7"/>
        <v>UNKNOWN</v>
      </c>
      <c r="AK79" s="68"/>
      <c r="AL79" s="68" t="str">
        <f t="shared" si="10"/>
        <v>08</v>
      </c>
      <c r="AM79" s="68" t="str">
        <f t="shared" si="11"/>
        <v>00</v>
      </c>
      <c r="AN79" s="68" t="str">
        <f t="shared" si="12"/>
        <v>00</v>
      </c>
      <c r="AO79" s="68" t="str">
        <f t="shared" si="13"/>
        <v>00</v>
      </c>
      <c r="AQ79" t="str">
        <f t="shared" si="8"/>
        <v xml:space="preserve">    (U4)0x00000008U,                                                           /* 08 UNKNOWN                                         */</v>
      </c>
    </row>
    <row r="80" spans="1:46">
      <c r="B80" s="139"/>
      <c r="C80" s="55">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1</v>
      </c>
      <c r="AG80" s="133">
        <f t="shared" si="15"/>
        <v>0</v>
      </c>
      <c r="AH80" s="133">
        <f t="shared" si="15"/>
        <v>0</v>
      </c>
      <c r="AI80" s="133">
        <f t="shared" si="15"/>
        <v>1</v>
      </c>
      <c r="AJ80" s="55" t="str">
        <f t="shared" si="7"/>
        <v>UNKNOWN</v>
      </c>
      <c r="AK80" s="68"/>
      <c r="AL80" s="68" t="str">
        <f t="shared" si="10"/>
        <v>09</v>
      </c>
      <c r="AM80" s="68" t="str">
        <f t="shared" si="11"/>
        <v>00</v>
      </c>
      <c r="AN80" s="68" t="str">
        <f t="shared" si="12"/>
        <v>00</v>
      </c>
      <c r="AO80" s="68" t="str">
        <f t="shared" si="13"/>
        <v>00</v>
      </c>
      <c r="AQ80" t="str">
        <f t="shared" si="8"/>
        <v xml:space="preserve">    (U4)0x00000009U,                                                           /* 09 UNKNOWN                                         */</v>
      </c>
    </row>
    <row r="81" spans="2:43">
      <c r="B81" s="139"/>
      <c r="C81" s="55">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1</v>
      </c>
      <c r="AG81" s="133">
        <f t="shared" si="15"/>
        <v>0</v>
      </c>
      <c r="AH81" s="133">
        <f t="shared" si="15"/>
        <v>1</v>
      </c>
      <c r="AI81" s="133">
        <f t="shared" si="15"/>
        <v>0</v>
      </c>
      <c r="AJ81" s="55" t="str">
        <f t="shared" si="7"/>
        <v>UNKNOWN</v>
      </c>
      <c r="AK81" s="68"/>
      <c r="AL81" s="68" t="str">
        <f t="shared" si="10"/>
        <v>0A</v>
      </c>
      <c r="AM81" s="68" t="str">
        <f t="shared" si="11"/>
        <v>00</v>
      </c>
      <c r="AN81" s="68" t="str">
        <f t="shared" si="12"/>
        <v>00</v>
      </c>
      <c r="AO81" s="68" t="str">
        <f t="shared" si="13"/>
        <v>00</v>
      </c>
      <c r="AQ81" t="str">
        <f t="shared" si="8"/>
        <v xml:space="preserve">    (U4)0x0000000AU,                                                           /* 10 UNKNOWN                                         */</v>
      </c>
    </row>
    <row r="82" spans="2:43">
      <c r="B82" s="139"/>
      <c r="C82" s="55">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1</v>
      </c>
      <c r="AG82" s="133">
        <f t="shared" si="15"/>
        <v>0</v>
      </c>
      <c r="AH82" s="133">
        <f t="shared" si="15"/>
        <v>1</v>
      </c>
      <c r="AI82" s="133">
        <f t="shared" si="15"/>
        <v>1</v>
      </c>
      <c r="AJ82" s="55" t="str">
        <f t="shared" si="7"/>
        <v>UNKNOWN</v>
      </c>
      <c r="AK82" s="68"/>
      <c r="AL82" s="68" t="str">
        <f t="shared" si="10"/>
        <v>0B</v>
      </c>
      <c r="AM82" s="68" t="str">
        <f t="shared" si="11"/>
        <v>00</v>
      </c>
      <c r="AN82" s="68" t="str">
        <f t="shared" si="12"/>
        <v>00</v>
      </c>
      <c r="AO82" s="68" t="str">
        <f t="shared" si="13"/>
        <v>00</v>
      </c>
      <c r="AQ82" t="str">
        <f t="shared" si="8"/>
        <v xml:space="preserve">    (U4)0x0000000BU,                                                           /* 11 UNKNOWN                                         */</v>
      </c>
    </row>
    <row r="83" spans="2:43">
      <c r="B83" s="139"/>
      <c r="C83" s="55">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1</v>
      </c>
      <c r="AG83" s="133">
        <f t="shared" si="15"/>
        <v>1</v>
      </c>
      <c r="AH83" s="133">
        <f t="shared" si="15"/>
        <v>0</v>
      </c>
      <c r="AI83" s="133">
        <f t="shared" si="15"/>
        <v>0</v>
      </c>
      <c r="AJ83" s="55" t="str">
        <f t="shared" si="7"/>
        <v>UNKNOWN</v>
      </c>
      <c r="AK83" s="68"/>
      <c r="AL83" s="68" t="str">
        <f t="shared" si="10"/>
        <v>0C</v>
      </c>
      <c r="AM83" s="68" t="str">
        <f t="shared" si="11"/>
        <v>00</v>
      </c>
      <c r="AN83" s="68" t="str">
        <f t="shared" si="12"/>
        <v>00</v>
      </c>
      <c r="AO83" s="68" t="str">
        <f t="shared" si="13"/>
        <v>00</v>
      </c>
      <c r="AQ83" t="str">
        <f t="shared" si="8"/>
        <v xml:space="preserve">    (U4)0x0000000CU,                                                           /* 12 UNKNOWN                                         */</v>
      </c>
    </row>
    <row r="84" spans="2:43">
      <c r="B84" s="139"/>
      <c r="C84" s="55">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1</v>
      </c>
      <c r="AG84" s="133">
        <f t="shared" si="15"/>
        <v>1</v>
      </c>
      <c r="AH84" s="133">
        <f t="shared" si="15"/>
        <v>0</v>
      </c>
      <c r="AI84" s="133">
        <f t="shared" si="15"/>
        <v>1</v>
      </c>
      <c r="AJ84" s="55" t="str">
        <f t="shared" si="7"/>
        <v>UNKNOWN</v>
      </c>
      <c r="AK84" s="68"/>
      <c r="AL84" s="68" t="str">
        <f t="shared" si="10"/>
        <v>0D</v>
      </c>
      <c r="AM84" s="68" t="str">
        <f t="shared" si="11"/>
        <v>00</v>
      </c>
      <c r="AN84" s="68" t="str">
        <f t="shared" si="12"/>
        <v>00</v>
      </c>
      <c r="AO84" s="68" t="str">
        <f t="shared" si="13"/>
        <v>00</v>
      </c>
      <c r="AQ84" t="str">
        <f t="shared" si="8"/>
        <v xml:space="preserve">    (U4)0x0000000DU,                                                           /* 13 UNKNOWN                                         */</v>
      </c>
    </row>
    <row r="85" spans="2:43">
      <c r="B85" s="139"/>
      <c r="C85" s="55">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1</v>
      </c>
      <c r="AG85" s="133">
        <f t="shared" si="15"/>
        <v>1</v>
      </c>
      <c r="AH85" s="133">
        <f t="shared" si="15"/>
        <v>1</v>
      </c>
      <c r="AI85" s="133">
        <f t="shared" si="15"/>
        <v>0</v>
      </c>
      <c r="AJ85" s="55" t="str">
        <f t="shared" si="7"/>
        <v>UNKNOWN</v>
      </c>
      <c r="AK85" s="68"/>
      <c r="AL85" s="68" t="str">
        <f t="shared" si="10"/>
        <v>0E</v>
      </c>
      <c r="AM85" s="68" t="str">
        <f t="shared" si="11"/>
        <v>00</v>
      </c>
      <c r="AN85" s="68" t="str">
        <f t="shared" si="12"/>
        <v>00</v>
      </c>
      <c r="AO85" s="68" t="str">
        <f t="shared" si="13"/>
        <v>00</v>
      </c>
      <c r="AQ85" t="str">
        <f t="shared" si="8"/>
        <v xml:space="preserve">    (U4)0x0000000EU,                                                           /* 14 UNKNOWN                                         */</v>
      </c>
    </row>
    <row r="86" spans="2:43">
      <c r="B86" s="139"/>
      <c r="C86" s="55">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1</v>
      </c>
      <c r="AG86" s="133">
        <f t="shared" si="15"/>
        <v>1</v>
      </c>
      <c r="AH86" s="133">
        <f t="shared" si="15"/>
        <v>1</v>
      </c>
      <c r="AI86" s="133">
        <f t="shared" ref="AI86" si="16">IF(AI21=1,1,0)</f>
        <v>1</v>
      </c>
      <c r="AJ86" s="55" t="str">
        <f t="shared" si="7"/>
        <v>UNKNOWN</v>
      </c>
      <c r="AK86" s="68"/>
      <c r="AL86" s="68" t="str">
        <f t="shared" si="10"/>
        <v>0F</v>
      </c>
      <c r="AM86" s="68" t="str">
        <f t="shared" si="11"/>
        <v>00</v>
      </c>
      <c r="AN86" s="68" t="str">
        <f t="shared" si="12"/>
        <v>00</v>
      </c>
      <c r="AO86" s="68" t="str">
        <f t="shared" si="13"/>
        <v>00</v>
      </c>
      <c r="AQ86" t="str">
        <f t="shared" si="8"/>
        <v xml:space="preserve">    (U4)0x0000000FU,                                                           /* 15 UNKNOWN                                         */</v>
      </c>
    </row>
    <row r="87" spans="2:43">
      <c r="B87" s="139"/>
      <c r="C87" s="55">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1</v>
      </c>
      <c r="AF87" s="133">
        <f t="shared" si="17"/>
        <v>0</v>
      </c>
      <c r="AG87" s="133">
        <f t="shared" si="17"/>
        <v>0</v>
      </c>
      <c r="AH87" s="133">
        <f t="shared" si="17"/>
        <v>0</v>
      </c>
      <c r="AI87" s="133">
        <f t="shared" si="17"/>
        <v>0</v>
      </c>
      <c r="AJ87" s="55" t="str">
        <f t="shared" si="7"/>
        <v>UNKNOWN</v>
      </c>
      <c r="AK87" s="68"/>
      <c r="AL87" s="68" t="str">
        <f t="shared" si="10"/>
        <v>10</v>
      </c>
      <c r="AM87" s="68" t="str">
        <f t="shared" si="11"/>
        <v>00</v>
      </c>
      <c r="AN87" s="68" t="str">
        <f t="shared" si="12"/>
        <v>00</v>
      </c>
      <c r="AO87" s="68" t="str">
        <f t="shared" si="13"/>
        <v>00</v>
      </c>
      <c r="AQ87" t="str">
        <f t="shared" si="8"/>
        <v xml:space="preserve">    (U4)0x00000010U,                                                           /* 16 UNKNOWN                                         */</v>
      </c>
    </row>
    <row r="88" spans="2:43">
      <c r="B88" s="139"/>
      <c r="C88" s="55">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1</v>
      </c>
      <c r="AF88" s="133">
        <f t="shared" si="17"/>
        <v>0</v>
      </c>
      <c r="AG88" s="133">
        <f t="shared" si="17"/>
        <v>0</v>
      </c>
      <c r="AH88" s="133">
        <f t="shared" si="17"/>
        <v>0</v>
      </c>
      <c r="AI88" s="133">
        <f t="shared" si="17"/>
        <v>1</v>
      </c>
      <c r="AJ88" s="55" t="str">
        <f t="shared" si="7"/>
        <v>UNKNOWN</v>
      </c>
      <c r="AK88" s="68"/>
      <c r="AL88" s="68" t="str">
        <f t="shared" si="10"/>
        <v>11</v>
      </c>
      <c r="AM88" s="68" t="str">
        <f t="shared" si="11"/>
        <v>00</v>
      </c>
      <c r="AN88" s="68" t="str">
        <f t="shared" si="12"/>
        <v>00</v>
      </c>
      <c r="AO88" s="68" t="str">
        <f t="shared" si="13"/>
        <v>00</v>
      </c>
      <c r="AQ88" t="str">
        <f t="shared" si="8"/>
        <v xml:space="preserve">    (U4)0x00000011U,                                                           /* 17 UNKNOWN                                         */</v>
      </c>
    </row>
    <row r="89" spans="2:43">
      <c r="B89" s="139"/>
      <c r="C89" s="55">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1</v>
      </c>
      <c r="AF89" s="133">
        <f t="shared" si="17"/>
        <v>0</v>
      </c>
      <c r="AG89" s="133">
        <f t="shared" si="17"/>
        <v>0</v>
      </c>
      <c r="AH89" s="133">
        <f t="shared" si="17"/>
        <v>1</v>
      </c>
      <c r="AI89" s="133">
        <f t="shared" si="17"/>
        <v>0</v>
      </c>
      <c r="AJ89" s="55" t="str">
        <f t="shared" si="7"/>
        <v>UNKNOWN</v>
      </c>
      <c r="AK89" s="68"/>
      <c r="AL89" s="68" t="str">
        <f t="shared" si="10"/>
        <v>12</v>
      </c>
      <c r="AM89" s="68" t="str">
        <f t="shared" si="11"/>
        <v>00</v>
      </c>
      <c r="AN89" s="68" t="str">
        <f t="shared" si="12"/>
        <v>00</v>
      </c>
      <c r="AO89" s="68" t="str">
        <f t="shared" si="13"/>
        <v>00</v>
      </c>
      <c r="AQ89" t="str">
        <f t="shared" si="8"/>
        <v xml:space="preserve">    (U4)0x00000012U,                                                           /* 18 UNKNOWN                                         */</v>
      </c>
    </row>
    <row r="90" spans="2:43">
      <c r="B90" s="139"/>
      <c r="C90" s="55">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1</v>
      </c>
      <c r="AF90" s="133">
        <f t="shared" si="17"/>
        <v>0</v>
      </c>
      <c r="AG90" s="133">
        <f t="shared" si="17"/>
        <v>0</v>
      </c>
      <c r="AH90" s="133">
        <f t="shared" si="17"/>
        <v>1</v>
      </c>
      <c r="AI90" s="133">
        <f t="shared" si="17"/>
        <v>1</v>
      </c>
      <c r="AJ90" s="55" t="str">
        <f t="shared" si="7"/>
        <v>UNKNOWN</v>
      </c>
      <c r="AK90" s="68"/>
      <c r="AL90" s="68" t="str">
        <f t="shared" si="10"/>
        <v>13</v>
      </c>
      <c r="AM90" s="68" t="str">
        <f t="shared" si="11"/>
        <v>00</v>
      </c>
      <c r="AN90" s="68" t="str">
        <f t="shared" si="12"/>
        <v>00</v>
      </c>
      <c r="AO90" s="68" t="str">
        <f t="shared" si="13"/>
        <v>00</v>
      </c>
      <c r="AQ90" t="str">
        <f t="shared" si="8"/>
        <v xml:space="preserve">    (U4)0x00000013U,                                                           /* 19 UNKNOWN                                         */</v>
      </c>
    </row>
    <row r="91" spans="2:43">
      <c r="B91" s="139"/>
      <c r="C91" s="55">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1</v>
      </c>
      <c r="AF91" s="133">
        <f t="shared" si="17"/>
        <v>0</v>
      </c>
      <c r="AG91" s="133">
        <f t="shared" si="17"/>
        <v>1</v>
      </c>
      <c r="AH91" s="133">
        <f t="shared" si="17"/>
        <v>0</v>
      </c>
      <c r="AI91" s="133">
        <f t="shared" si="17"/>
        <v>0</v>
      </c>
      <c r="AJ91" s="55" t="str">
        <f t="shared" si="7"/>
        <v>UNKNOWN</v>
      </c>
      <c r="AK91" s="68"/>
      <c r="AL91" s="68" t="str">
        <f t="shared" si="10"/>
        <v>14</v>
      </c>
      <c r="AM91" s="68" t="str">
        <f t="shared" si="11"/>
        <v>00</v>
      </c>
      <c r="AN91" s="68" t="str">
        <f t="shared" si="12"/>
        <v>00</v>
      </c>
      <c r="AO91" s="68" t="str">
        <f t="shared" si="13"/>
        <v>00</v>
      </c>
      <c r="AQ91" t="str">
        <f t="shared" si="8"/>
        <v xml:space="preserve">    (U4)0x00000014U,                                                           /* 20 UNKNOWN                                         */</v>
      </c>
    </row>
    <row r="92" spans="2:43">
      <c r="B92" s="139"/>
      <c r="C92" s="55">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1</v>
      </c>
      <c r="AF92" s="133">
        <f t="shared" si="17"/>
        <v>0</v>
      </c>
      <c r="AG92" s="133">
        <f t="shared" si="17"/>
        <v>1</v>
      </c>
      <c r="AH92" s="133">
        <f t="shared" si="17"/>
        <v>0</v>
      </c>
      <c r="AI92" s="133">
        <f t="shared" si="17"/>
        <v>1</v>
      </c>
      <c r="AJ92" s="55" t="str">
        <f t="shared" si="7"/>
        <v>UNKNOWN</v>
      </c>
      <c r="AK92" s="68"/>
      <c r="AL92" s="68" t="str">
        <f t="shared" si="10"/>
        <v>15</v>
      </c>
      <c r="AM92" s="68" t="str">
        <f t="shared" si="11"/>
        <v>00</v>
      </c>
      <c r="AN92" s="68" t="str">
        <f t="shared" si="12"/>
        <v>00</v>
      </c>
      <c r="AO92" s="68" t="str">
        <f t="shared" si="13"/>
        <v>00</v>
      </c>
      <c r="AQ92" t="str">
        <f t="shared" si="8"/>
        <v xml:space="preserve">    (U4)0x00000015U,                                                           /* 21 UNKNOWN                                         */</v>
      </c>
    </row>
    <row r="93" spans="2:43">
      <c r="B93" s="139"/>
      <c r="C93" s="55">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1</v>
      </c>
      <c r="AF93" s="133">
        <f t="shared" si="17"/>
        <v>0</v>
      </c>
      <c r="AG93" s="133">
        <f t="shared" si="17"/>
        <v>1</v>
      </c>
      <c r="AH93" s="133">
        <f t="shared" si="17"/>
        <v>1</v>
      </c>
      <c r="AI93" s="133">
        <f t="shared" si="17"/>
        <v>0</v>
      </c>
      <c r="AJ93" s="55" t="str">
        <f t="shared" si="7"/>
        <v>UNKNOWN</v>
      </c>
      <c r="AK93" s="68"/>
      <c r="AL93" s="68" t="str">
        <f t="shared" si="10"/>
        <v>16</v>
      </c>
      <c r="AM93" s="68" t="str">
        <f t="shared" si="11"/>
        <v>00</v>
      </c>
      <c r="AN93" s="68" t="str">
        <f t="shared" si="12"/>
        <v>00</v>
      </c>
      <c r="AO93" s="68" t="str">
        <f t="shared" si="13"/>
        <v>00</v>
      </c>
      <c r="AQ93" t="str">
        <f t="shared" si="8"/>
        <v xml:space="preserve">    (U4)0x00000016U,                                                           /* 22 UNKNOWN                                         */</v>
      </c>
    </row>
    <row r="94" spans="2:43">
      <c r="B94" s="139"/>
      <c r="C94" s="55">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1</v>
      </c>
      <c r="AF94" s="133">
        <f t="shared" si="17"/>
        <v>0</v>
      </c>
      <c r="AG94" s="133">
        <f t="shared" si="17"/>
        <v>1</v>
      </c>
      <c r="AH94" s="133">
        <f t="shared" si="17"/>
        <v>1</v>
      </c>
      <c r="AI94" s="133">
        <f t="shared" ref="AI94" si="18">IF(AI29=1,1,0)</f>
        <v>1</v>
      </c>
      <c r="AJ94" s="55" t="str">
        <f t="shared" si="7"/>
        <v>UNKNOWN</v>
      </c>
      <c r="AK94" s="68"/>
      <c r="AL94" s="68" t="str">
        <f t="shared" si="10"/>
        <v>17</v>
      </c>
      <c r="AM94" s="68" t="str">
        <f t="shared" si="11"/>
        <v>00</v>
      </c>
      <c r="AN94" s="68" t="str">
        <f t="shared" si="12"/>
        <v>00</v>
      </c>
      <c r="AO94" s="68" t="str">
        <f t="shared" si="13"/>
        <v>00</v>
      </c>
      <c r="AQ94" t="str">
        <f t="shared" si="8"/>
        <v xml:space="preserve">    (U4)0x00000017U,                                                           /* 23 UNKNOWN                                         */</v>
      </c>
    </row>
    <row r="95" spans="2:43">
      <c r="B95" s="139"/>
      <c r="C95" s="55">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1</v>
      </c>
      <c r="AF95" s="133">
        <f t="shared" si="19"/>
        <v>1</v>
      </c>
      <c r="AG95" s="133">
        <f t="shared" si="19"/>
        <v>0</v>
      </c>
      <c r="AH95" s="133">
        <f t="shared" si="19"/>
        <v>0</v>
      </c>
      <c r="AI95" s="133">
        <f t="shared" si="19"/>
        <v>0</v>
      </c>
      <c r="AJ95" s="55" t="str">
        <f t="shared" si="7"/>
        <v>UNKNOWN</v>
      </c>
      <c r="AK95" s="68"/>
      <c r="AL95" s="68" t="str">
        <f t="shared" si="10"/>
        <v>18</v>
      </c>
      <c r="AM95" s="68" t="str">
        <f t="shared" si="11"/>
        <v>00</v>
      </c>
      <c r="AN95" s="68" t="str">
        <f t="shared" si="12"/>
        <v>00</v>
      </c>
      <c r="AO95" s="68" t="str">
        <f t="shared" si="13"/>
        <v>00</v>
      </c>
      <c r="AQ95" t="str">
        <f t="shared" si="8"/>
        <v xml:space="preserve">    (U4)0x00000018U,                                                           /* 24 UNKNOWN                                         */</v>
      </c>
    </row>
    <row r="96" spans="2:43">
      <c r="B96" s="139"/>
      <c r="C96" s="55">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1</v>
      </c>
      <c r="AF96" s="133">
        <f t="shared" si="19"/>
        <v>1</v>
      </c>
      <c r="AG96" s="133">
        <f t="shared" si="19"/>
        <v>0</v>
      </c>
      <c r="AH96" s="133">
        <f t="shared" si="19"/>
        <v>0</v>
      </c>
      <c r="AI96" s="133">
        <f t="shared" si="19"/>
        <v>1</v>
      </c>
      <c r="AJ96" s="55" t="str">
        <f t="shared" si="7"/>
        <v>UNKNOWN</v>
      </c>
      <c r="AK96" s="68"/>
      <c r="AL96" s="68" t="str">
        <f t="shared" si="10"/>
        <v>19</v>
      </c>
      <c r="AM96" s="68" t="str">
        <f t="shared" si="11"/>
        <v>00</v>
      </c>
      <c r="AN96" s="68" t="str">
        <f t="shared" si="12"/>
        <v>00</v>
      </c>
      <c r="AO96" s="68" t="str">
        <f t="shared" si="13"/>
        <v>00</v>
      </c>
      <c r="AQ96" t="str">
        <f t="shared" si="8"/>
        <v xml:space="preserve">    (U4)0x00000019U,                                                           /* 25 UNKNOWN                                         */</v>
      </c>
    </row>
    <row r="97" spans="2:43">
      <c r="B97" s="139"/>
      <c r="C97" s="55">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1</v>
      </c>
      <c r="AF97" s="133">
        <f t="shared" si="19"/>
        <v>1</v>
      </c>
      <c r="AG97" s="133">
        <f t="shared" si="19"/>
        <v>0</v>
      </c>
      <c r="AH97" s="133">
        <f t="shared" si="19"/>
        <v>1</v>
      </c>
      <c r="AI97" s="133">
        <f t="shared" si="19"/>
        <v>0</v>
      </c>
      <c r="AJ97" s="55" t="str">
        <f t="shared" si="7"/>
        <v>UNKNOWN</v>
      </c>
      <c r="AK97" s="68"/>
      <c r="AL97" s="68" t="str">
        <f t="shared" si="10"/>
        <v>1A</v>
      </c>
      <c r="AM97" s="68" t="str">
        <f t="shared" si="11"/>
        <v>00</v>
      </c>
      <c r="AN97" s="68" t="str">
        <f t="shared" si="12"/>
        <v>00</v>
      </c>
      <c r="AO97" s="68" t="str">
        <f t="shared" si="13"/>
        <v>00</v>
      </c>
      <c r="AQ97" t="str">
        <f t="shared" si="8"/>
        <v xml:space="preserve">    (U4)0x0000001AU,                                                           /* 26 UNKNOWN                                         */</v>
      </c>
    </row>
    <row r="98" spans="2:43">
      <c r="B98" s="139"/>
      <c r="C98" s="55">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1</v>
      </c>
      <c r="AF98" s="133">
        <f t="shared" si="19"/>
        <v>1</v>
      </c>
      <c r="AG98" s="133">
        <f t="shared" si="19"/>
        <v>0</v>
      </c>
      <c r="AH98" s="133">
        <f t="shared" si="19"/>
        <v>1</v>
      </c>
      <c r="AI98" s="133">
        <f t="shared" si="19"/>
        <v>1</v>
      </c>
      <c r="AJ98" s="55" t="str">
        <f t="shared" si="7"/>
        <v>UNKNOWN</v>
      </c>
      <c r="AK98" s="68"/>
      <c r="AL98" s="68" t="str">
        <f t="shared" si="10"/>
        <v>1B</v>
      </c>
      <c r="AM98" s="68" t="str">
        <f t="shared" si="11"/>
        <v>00</v>
      </c>
      <c r="AN98" s="68" t="str">
        <f t="shared" si="12"/>
        <v>00</v>
      </c>
      <c r="AO98" s="68" t="str">
        <f t="shared" si="13"/>
        <v>00</v>
      </c>
      <c r="AQ98" t="str">
        <f t="shared" si="8"/>
        <v xml:space="preserve">    (U4)0x0000001BU,                                                           /* 27 UNKNOWN                                         */</v>
      </c>
    </row>
    <row r="99" spans="2:43">
      <c r="B99" s="139"/>
      <c r="C99" s="55">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1</v>
      </c>
      <c r="AF99" s="133">
        <f t="shared" si="19"/>
        <v>1</v>
      </c>
      <c r="AG99" s="133">
        <f t="shared" si="19"/>
        <v>1</v>
      </c>
      <c r="AH99" s="133">
        <f t="shared" si="19"/>
        <v>0</v>
      </c>
      <c r="AI99" s="133">
        <f t="shared" si="19"/>
        <v>0</v>
      </c>
      <c r="AJ99" s="55" t="str">
        <f t="shared" si="7"/>
        <v>UNKNOWN</v>
      </c>
      <c r="AK99" s="68"/>
      <c r="AL99" s="68" t="str">
        <f t="shared" si="10"/>
        <v>1C</v>
      </c>
      <c r="AM99" s="68" t="str">
        <f t="shared" si="11"/>
        <v>00</v>
      </c>
      <c r="AN99" s="68" t="str">
        <f t="shared" si="12"/>
        <v>00</v>
      </c>
      <c r="AO99" s="68" t="str">
        <f t="shared" si="13"/>
        <v>00</v>
      </c>
      <c r="AQ99" t="str">
        <f t="shared" si="8"/>
        <v xml:space="preserve">    (U4)0x0000001CU,                                                           /* 28 UNKNOWN                                         */</v>
      </c>
    </row>
    <row r="100" spans="2:43">
      <c r="B100" s="139"/>
      <c r="C100" s="55">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1</v>
      </c>
      <c r="AF100" s="133">
        <f t="shared" si="19"/>
        <v>1</v>
      </c>
      <c r="AG100" s="133">
        <f t="shared" si="19"/>
        <v>1</v>
      </c>
      <c r="AH100" s="133">
        <f t="shared" si="19"/>
        <v>0</v>
      </c>
      <c r="AI100" s="133">
        <f t="shared" si="19"/>
        <v>1</v>
      </c>
      <c r="AJ100" s="55" t="str">
        <f t="shared" si="7"/>
        <v>UNKNOWN</v>
      </c>
      <c r="AK100" s="68"/>
      <c r="AL100" s="68" t="str">
        <f t="shared" si="10"/>
        <v>1D</v>
      </c>
      <c r="AM100" s="68" t="str">
        <f t="shared" si="11"/>
        <v>00</v>
      </c>
      <c r="AN100" s="68" t="str">
        <f t="shared" si="12"/>
        <v>00</v>
      </c>
      <c r="AO100" s="68" t="str">
        <f t="shared" si="13"/>
        <v>00</v>
      </c>
      <c r="AQ100" t="str">
        <f t="shared" si="8"/>
        <v xml:space="preserve">    (U4)0x0000001DU,                                                           /* 29 UNKNOWN                                         */</v>
      </c>
    </row>
    <row r="101" spans="2:43">
      <c r="B101" s="139"/>
      <c r="C101" s="55">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1</v>
      </c>
      <c r="AF101" s="133">
        <f t="shared" si="19"/>
        <v>1</v>
      </c>
      <c r="AG101" s="133">
        <f t="shared" si="19"/>
        <v>1</v>
      </c>
      <c r="AH101" s="133">
        <f t="shared" si="19"/>
        <v>1</v>
      </c>
      <c r="AI101" s="133">
        <f t="shared" si="19"/>
        <v>0</v>
      </c>
      <c r="AJ101" s="55" t="str">
        <f t="shared" si="7"/>
        <v>UNKNOWN</v>
      </c>
      <c r="AK101" s="68"/>
      <c r="AL101" s="68" t="str">
        <f t="shared" si="10"/>
        <v>1E</v>
      </c>
      <c r="AM101" s="68" t="str">
        <f t="shared" si="11"/>
        <v>00</v>
      </c>
      <c r="AN101" s="68" t="str">
        <f t="shared" si="12"/>
        <v>00</v>
      </c>
      <c r="AO101" s="68" t="str">
        <f t="shared" si="13"/>
        <v>00</v>
      </c>
      <c r="AQ101" t="str">
        <f t="shared" si="8"/>
        <v xml:space="preserve">    (U4)0x0000001EU,                                                           /* 30 UNKNOWN                                         */</v>
      </c>
    </row>
    <row r="102" spans="2:43">
      <c r="B102" s="139"/>
      <c r="C102" s="55">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1</v>
      </c>
      <c r="AF102" s="133">
        <f t="shared" si="19"/>
        <v>1</v>
      </c>
      <c r="AG102" s="133">
        <f t="shared" si="19"/>
        <v>1</v>
      </c>
      <c r="AH102" s="133">
        <f t="shared" si="19"/>
        <v>1</v>
      </c>
      <c r="AI102" s="133">
        <f t="shared" ref="AI102" si="20">IF(AI37=1,1,0)</f>
        <v>1</v>
      </c>
      <c r="AJ102" s="55" t="str">
        <f t="shared" si="7"/>
        <v>UNKNOWN</v>
      </c>
      <c r="AK102" s="68"/>
      <c r="AL102" s="68" t="str">
        <f t="shared" si="10"/>
        <v>1F</v>
      </c>
      <c r="AM102" s="68" t="str">
        <f t="shared" si="11"/>
        <v>00</v>
      </c>
      <c r="AN102" s="68" t="str">
        <f t="shared" si="12"/>
        <v>00</v>
      </c>
      <c r="AO102" s="68" t="str">
        <f t="shared" si="13"/>
        <v>00</v>
      </c>
      <c r="AQ102" t="str">
        <f t="shared" si="8"/>
        <v xml:space="preserve">    (U4)0x0000001FU,                                                           /* 31 UNKNOWN                                         */</v>
      </c>
    </row>
    <row r="103" spans="2:43">
      <c r="B103" s="139"/>
      <c r="C103" s="55">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1</v>
      </c>
      <c r="AE103" s="133">
        <f t="shared" si="21"/>
        <v>0</v>
      </c>
      <c r="AF103" s="133">
        <f t="shared" si="21"/>
        <v>0</v>
      </c>
      <c r="AG103" s="133">
        <f t="shared" si="21"/>
        <v>0</v>
      </c>
      <c r="AH103" s="133">
        <f t="shared" si="21"/>
        <v>0</v>
      </c>
      <c r="AI103" s="133">
        <f t="shared" si="21"/>
        <v>0</v>
      </c>
      <c r="AJ103" s="55" t="str">
        <f t="shared" si="7"/>
        <v>UNKNOWN</v>
      </c>
      <c r="AK103" s="68"/>
      <c r="AL103" s="68" t="str">
        <f t="shared" si="10"/>
        <v>20</v>
      </c>
      <c r="AM103" s="68" t="str">
        <f t="shared" si="11"/>
        <v>00</v>
      </c>
      <c r="AN103" s="68" t="str">
        <f t="shared" si="12"/>
        <v>00</v>
      </c>
      <c r="AO103" s="68" t="str">
        <f t="shared" si="13"/>
        <v>00</v>
      </c>
      <c r="AQ103" t="str">
        <f t="shared" si="8"/>
        <v xml:space="preserve">    (U4)0x00000020U,                                                           /* 32 UNKNOWN                                         */</v>
      </c>
    </row>
    <row r="104" spans="2:43">
      <c r="B104" s="139"/>
      <c r="C104" s="55">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1</v>
      </c>
      <c r="AE104" s="133">
        <f t="shared" si="21"/>
        <v>0</v>
      </c>
      <c r="AF104" s="133">
        <f t="shared" si="21"/>
        <v>0</v>
      </c>
      <c r="AG104" s="133">
        <f t="shared" si="21"/>
        <v>0</v>
      </c>
      <c r="AH104" s="133">
        <f t="shared" si="21"/>
        <v>0</v>
      </c>
      <c r="AI104" s="133">
        <f t="shared" si="21"/>
        <v>1</v>
      </c>
      <c r="AJ104" s="55" t="str">
        <f t="shared" si="7"/>
        <v>UNKNOWN</v>
      </c>
      <c r="AK104" s="68"/>
      <c r="AL104" s="68" t="str">
        <f t="shared" si="10"/>
        <v>21</v>
      </c>
      <c r="AM104" s="68" t="str">
        <f t="shared" si="11"/>
        <v>00</v>
      </c>
      <c r="AN104" s="68" t="str">
        <f t="shared" si="12"/>
        <v>00</v>
      </c>
      <c r="AO104" s="68" t="str">
        <f t="shared" si="13"/>
        <v>00</v>
      </c>
      <c r="AQ104" t="str">
        <f t="shared" si="8"/>
        <v xml:space="preserve">    (U4)0x00000021U,                                                           /* 33 UNKNOWN                                         */</v>
      </c>
    </row>
    <row r="105" spans="2:43">
      <c r="B105" s="139"/>
      <c r="C105" s="55">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1</v>
      </c>
      <c r="AE105" s="133">
        <f t="shared" si="21"/>
        <v>0</v>
      </c>
      <c r="AF105" s="133">
        <f t="shared" si="21"/>
        <v>0</v>
      </c>
      <c r="AG105" s="133">
        <f t="shared" si="21"/>
        <v>0</v>
      </c>
      <c r="AH105" s="133">
        <f t="shared" si="21"/>
        <v>1</v>
      </c>
      <c r="AI105" s="133">
        <f t="shared" si="21"/>
        <v>0</v>
      </c>
      <c r="AJ105" s="55" t="str">
        <f t="shared" si="7"/>
        <v>UNKNOWN</v>
      </c>
      <c r="AK105" s="68"/>
      <c r="AL105" s="68" t="str">
        <f t="shared" si="10"/>
        <v>22</v>
      </c>
      <c r="AM105" s="68" t="str">
        <f t="shared" si="11"/>
        <v>00</v>
      </c>
      <c r="AN105" s="68" t="str">
        <f t="shared" si="12"/>
        <v>00</v>
      </c>
      <c r="AO105" s="68" t="str">
        <f t="shared" si="13"/>
        <v>00</v>
      </c>
      <c r="AQ105" t="str">
        <f t="shared" si="8"/>
        <v xml:space="preserve">    (U4)0x00000022U,                                                           /* 34 UNKNOWN                                         */</v>
      </c>
    </row>
    <row r="106" spans="2:43">
      <c r="B106" s="139"/>
      <c r="C106" s="55">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1</v>
      </c>
      <c r="AE106" s="133">
        <f t="shared" si="21"/>
        <v>0</v>
      </c>
      <c r="AF106" s="133">
        <f t="shared" si="21"/>
        <v>0</v>
      </c>
      <c r="AG106" s="133">
        <f t="shared" si="21"/>
        <v>0</v>
      </c>
      <c r="AH106" s="133">
        <f t="shared" si="21"/>
        <v>1</v>
      </c>
      <c r="AI106" s="133">
        <f t="shared" si="21"/>
        <v>1</v>
      </c>
      <c r="AJ106" s="55" t="str">
        <f t="shared" si="7"/>
        <v>UNKNOWN</v>
      </c>
      <c r="AK106" s="68"/>
      <c r="AL106" s="68" t="str">
        <f t="shared" si="10"/>
        <v>23</v>
      </c>
      <c r="AM106" s="68" t="str">
        <f t="shared" si="11"/>
        <v>00</v>
      </c>
      <c r="AN106" s="68" t="str">
        <f t="shared" si="12"/>
        <v>00</v>
      </c>
      <c r="AO106" s="68" t="str">
        <f t="shared" si="13"/>
        <v>00</v>
      </c>
      <c r="AQ106" t="str">
        <f t="shared" si="8"/>
        <v xml:space="preserve">    (U4)0x00000023U,                                                           /* 35 UNKNOWN                                         */</v>
      </c>
    </row>
    <row r="107" spans="2:43">
      <c r="B107" s="139"/>
      <c r="C107" s="55">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1</v>
      </c>
      <c r="AE107" s="133">
        <f t="shared" si="21"/>
        <v>0</v>
      </c>
      <c r="AF107" s="133">
        <f t="shared" si="21"/>
        <v>0</v>
      </c>
      <c r="AG107" s="133">
        <f t="shared" si="21"/>
        <v>1</v>
      </c>
      <c r="AH107" s="133">
        <f t="shared" si="21"/>
        <v>0</v>
      </c>
      <c r="AI107" s="133">
        <f t="shared" si="21"/>
        <v>0</v>
      </c>
      <c r="AJ107" s="55" t="str">
        <f t="shared" si="7"/>
        <v>UNKNOWN</v>
      </c>
      <c r="AK107" s="68"/>
      <c r="AL107" s="68" t="str">
        <f t="shared" si="10"/>
        <v>24</v>
      </c>
      <c r="AM107" s="68" t="str">
        <f t="shared" si="11"/>
        <v>00</v>
      </c>
      <c r="AN107" s="68" t="str">
        <f t="shared" si="12"/>
        <v>00</v>
      </c>
      <c r="AO107" s="68" t="str">
        <f t="shared" si="13"/>
        <v>00</v>
      </c>
      <c r="AQ107" t="str">
        <f t="shared" si="8"/>
        <v xml:space="preserve">    (U4)0x00000024U,                                                           /* 36 UNKNOWN                                         */</v>
      </c>
    </row>
    <row r="108" spans="2:43">
      <c r="B108" s="139"/>
      <c r="C108" s="55">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1</v>
      </c>
      <c r="AE108" s="133">
        <f t="shared" si="21"/>
        <v>0</v>
      </c>
      <c r="AF108" s="133">
        <f t="shared" si="21"/>
        <v>0</v>
      </c>
      <c r="AG108" s="133">
        <f t="shared" si="21"/>
        <v>1</v>
      </c>
      <c r="AH108" s="133">
        <f t="shared" si="21"/>
        <v>0</v>
      </c>
      <c r="AI108" s="133">
        <f t="shared" si="21"/>
        <v>1</v>
      </c>
      <c r="AJ108" s="55" t="str">
        <f t="shared" si="7"/>
        <v>UNKNOWN</v>
      </c>
      <c r="AK108" s="68"/>
      <c r="AL108" s="68" t="str">
        <f t="shared" si="10"/>
        <v>25</v>
      </c>
      <c r="AM108" s="68" t="str">
        <f t="shared" si="11"/>
        <v>00</v>
      </c>
      <c r="AN108" s="68" t="str">
        <f t="shared" si="12"/>
        <v>00</v>
      </c>
      <c r="AO108" s="68" t="str">
        <f t="shared" si="13"/>
        <v>00</v>
      </c>
      <c r="AQ108" t="str">
        <f t="shared" si="8"/>
        <v xml:space="preserve">    (U4)0x00000025U,                                                           /* 37 UNKNOWN                                         */</v>
      </c>
    </row>
    <row r="109" spans="2:43">
      <c r="B109" s="139"/>
      <c r="C109" s="55">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1</v>
      </c>
      <c r="AE109" s="133">
        <f t="shared" si="21"/>
        <v>0</v>
      </c>
      <c r="AF109" s="133">
        <f t="shared" si="21"/>
        <v>0</v>
      </c>
      <c r="AG109" s="133">
        <f t="shared" si="21"/>
        <v>1</v>
      </c>
      <c r="AH109" s="133">
        <f t="shared" si="21"/>
        <v>1</v>
      </c>
      <c r="AI109" s="133">
        <f t="shared" si="21"/>
        <v>0</v>
      </c>
      <c r="AJ109" s="55" t="str">
        <f t="shared" si="7"/>
        <v>UNKNOWN</v>
      </c>
      <c r="AK109" s="68"/>
      <c r="AL109" s="68" t="str">
        <f t="shared" si="10"/>
        <v>26</v>
      </c>
      <c r="AM109" s="68" t="str">
        <f t="shared" si="11"/>
        <v>00</v>
      </c>
      <c r="AN109" s="68" t="str">
        <f t="shared" si="12"/>
        <v>00</v>
      </c>
      <c r="AO109" s="68" t="str">
        <f t="shared" si="13"/>
        <v>00</v>
      </c>
      <c r="AQ109" t="str">
        <f t="shared" si="8"/>
        <v xml:space="preserve">    (U4)0x00000026U,                                                           /* 38 UNKNOWN                                         */</v>
      </c>
    </row>
    <row r="110" spans="2:43">
      <c r="B110" s="139"/>
      <c r="C110" s="55">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1</v>
      </c>
      <c r="AE110" s="133">
        <f t="shared" si="21"/>
        <v>0</v>
      </c>
      <c r="AF110" s="133">
        <f t="shared" si="21"/>
        <v>0</v>
      </c>
      <c r="AG110" s="133">
        <f t="shared" si="21"/>
        <v>1</v>
      </c>
      <c r="AH110" s="133">
        <f t="shared" si="21"/>
        <v>1</v>
      </c>
      <c r="AI110" s="133">
        <f t="shared" ref="AI110" si="22">IF(AI45=1,1,0)</f>
        <v>1</v>
      </c>
      <c r="AJ110" s="55" t="str">
        <f t="shared" si="7"/>
        <v>UNKNOWN</v>
      </c>
      <c r="AK110" s="68"/>
      <c r="AL110" s="68" t="str">
        <f t="shared" si="10"/>
        <v>27</v>
      </c>
      <c r="AM110" s="68" t="str">
        <f t="shared" si="11"/>
        <v>00</v>
      </c>
      <c r="AN110" s="68" t="str">
        <f t="shared" si="12"/>
        <v>00</v>
      </c>
      <c r="AO110" s="68" t="str">
        <f t="shared" si="13"/>
        <v>00</v>
      </c>
      <c r="AQ110" t="str">
        <f t="shared" si="8"/>
        <v xml:space="preserve">    (U4)0x00000027U,                                                           /* 39 UNKNOWN                                         */</v>
      </c>
    </row>
    <row r="111" spans="2:43">
      <c r="B111" s="139"/>
      <c r="C111" s="55">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1</v>
      </c>
      <c r="AE111" s="133">
        <f t="shared" si="23"/>
        <v>0</v>
      </c>
      <c r="AF111" s="133">
        <f t="shared" si="23"/>
        <v>1</v>
      </c>
      <c r="AG111" s="133">
        <f t="shared" si="23"/>
        <v>0</v>
      </c>
      <c r="AH111" s="133">
        <f t="shared" si="23"/>
        <v>0</v>
      </c>
      <c r="AI111" s="133">
        <f t="shared" si="23"/>
        <v>0</v>
      </c>
      <c r="AJ111" s="55" t="str">
        <f t="shared" si="7"/>
        <v>UNKNOWN</v>
      </c>
      <c r="AK111" s="68"/>
      <c r="AL111" s="68" t="str">
        <f t="shared" si="10"/>
        <v>28</v>
      </c>
      <c r="AM111" s="68" t="str">
        <f t="shared" si="11"/>
        <v>00</v>
      </c>
      <c r="AN111" s="68" t="str">
        <f t="shared" si="12"/>
        <v>00</v>
      </c>
      <c r="AO111" s="68" t="str">
        <f t="shared" si="13"/>
        <v>00</v>
      </c>
      <c r="AQ111" t="str">
        <f t="shared" si="8"/>
        <v xml:space="preserve">    (U4)0x00000028U,                                                           /* 40 UNKNOWN                                         */</v>
      </c>
    </row>
    <row r="112" spans="2:43">
      <c r="B112" s="139"/>
      <c r="C112" s="55">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1</v>
      </c>
      <c r="AE112" s="133">
        <f t="shared" si="23"/>
        <v>0</v>
      </c>
      <c r="AF112" s="133">
        <f t="shared" si="23"/>
        <v>1</v>
      </c>
      <c r="AG112" s="133">
        <f t="shared" si="23"/>
        <v>0</v>
      </c>
      <c r="AH112" s="133">
        <f t="shared" si="23"/>
        <v>0</v>
      </c>
      <c r="AI112" s="133">
        <f t="shared" si="23"/>
        <v>1</v>
      </c>
      <c r="AJ112" s="55" t="str">
        <f t="shared" si="7"/>
        <v>UNKNOWN</v>
      </c>
      <c r="AK112" s="68"/>
      <c r="AL112" s="68" t="str">
        <f t="shared" si="10"/>
        <v>29</v>
      </c>
      <c r="AM112" s="68" t="str">
        <f t="shared" si="11"/>
        <v>00</v>
      </c>
      <c r="AN112" s="68" t="str">
        <f t="shared" si="12"/>
        <v>00</v>
      </c>
      <c r="AO112" s="68" t="str">
        <f t="shared" si="13"/>
        <v>00</v>
      </c>
      <c r="AQ112" t="str">
        <f t="shared" si="8"/>
        <v xml:space="preserve">    (U4)0x00000029U,                                                           /* 41 UNKNOWN                                         */</v>
      </c>
    </row>
    <row r="113" spans="2:43">
      <c r="B113" s="139"/>
      <c r="C113" s="55">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1</v>
      </c>
      <c r="AE113" s="133">
        <f t="shared" si="23"/>
        <v>0</v>
      </c>
      <c r="AF113" s="133">
        <f t="shared" si="23"/>
        <v>1</v>
      </c>
      <c r="AG113" s="133">
        <f t="shared" si="23"/>
        <v>0</v>
      </c>
      <c r="AH113" s="133">
        <f t="shared" si="23"/>
        <v>1</v>
      </c>
      <c r="AI113" s="133">
        <f t="shared" si="23"/>
        <v>0</v>
      </c>
      <c r="AJ113" s="55" t="str">
        <f t="shared" si="7"/>
        <v>UNKNOWN</v>
      </c>
      <c r="AK113" s="68"/>
      <c r="AL113" s="68" t="str">
        <f t="shared" si="10"/>
        <v>2A</v>
      </c>
      <c r="AM113" s="68" t="str">
        <f t="shared" si="11"/>
        <v>00</v>
      </c>
      <c r="AN113" s="68" t="str">
        <f t="shared" si="12"/>
        <v>00</v>
      </c>
      <c r="AO113" s="68" t="str">
        <f t="shared" si="13"/>
        <v>00</v>
      </c>
      <c r="AQ113" t="str">
        <f t="shared" si="8"/>
        <v xml:space="preserve">    (U4)0x0000002AU,                                                           /* 42 UNKNOWN                                         */</v>
      </c>
    </row>
    <row r="114" spans="2:43">
      <c r="B114" s="139"/>
      <c r="C114" s="55">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1</v>
      </c>
      <c r="AE114" s="133">
        <f t="shared" si="23"/>
        <v>0</v>
      </c>
      <c r="AF114" s="133">
        <f t="shared" si="23"/>
        <v>1</v>
      </c>
      <c r="AG114" s="133">
        <f t="shared" si="23"/>
        <v>0</v>
      </c>
      <c r="AH114" s="133">
        <f t="shared" si="23"/>
        <v>1</v>
      </c>
      <c r="AI114" s="133">
        <f t="shared" si="23"/>
        <v>1</v>
      </c>
      <c r="AJ114" s="55" t="str">
        <f t="shared" si="7"/>
        <v>UNKNOWN</v>
      </c>
      <c r="AK114" s="68"/>
      <c r="AL114" s="68" t="str">
        <f t="shared" si="10"/>
        <v>2B</v>
      </c>
      <c r="AM114" s="68" t="str">
        <f t="shared" si="11"/>
        <v>00</v>
      </c>
      <c r="AN114" s="68" t="str">
        <f t="shared" si="12"/>
        <v>00</v>
      </c>
      <c r="AO114" s="68" t="str">
        <f t="shared" si="13"/>
        <v>00</v>
      </c>
      <c r="AQ114" t="str">
        <f t="shared" si="8"/>
        <v xml:space="preserve">    (U4)0x0000002BU,                                                           /* 43 UNKNOWN                                         */</v>
      </c>
    </row>
    <row r="115" spans="2:43">
      <c r="B115" s="139"/>
      <c r="C115" s="55">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1</v>
      </c>
      <c r="AE115" s="133">
        <f t="shared" si="23"/>
        <v>0</v>
      </c>
      <c r="AF115" s="133">
        <f t="shared" si="23"/>
        <v>1</v>
      </c>
      <c r="AG115" s="133">
        <f t="shared" si="23"/>
        <v>1</v>
      </c>
      <c r="AH115" s="133">
        <f t="shared" si="23"/>
        <v>0</v>
      </c>
      <c r="AI115" s="133">
        <f t="shared" si="23"/>
        <v>0</v>
      </c>
      <c r="AJ115" s="55" t="str">
        <f t="shared" si="7"/>
        <v>UNKNOWN</v>
      </c>
      <c r="AK115" s="68"/>
      <c r="AL115" s="68" t="str">
        <f t="shared" si="10"/>
        <v>2C</v>
      </c>
      <c r="AM115" s="68" t="str">
        <f t="shared" si="11"/>
        <v>00</v>
      </c>
      <c r="AN115" s="68" t="str">
        <f t="shared" si="12"/>
        <v>00</v>
      </c>
      <c r="AO115" s="68" t="str">
        <f t="shared" si="13"/>
        <v>00</v>
      </c>
      <c r="AQ115" t="str">
        <f t="shared" si="8"/>
        <v xml:space="preserve">    (U4)0x0000002CU,                                                           /* 44 UNKNOWN                                         */</v>
      </c>
    </row>
    <row r="116" spans="2:43">
      <c r="B116" s="139"/>
      <c r="C116" s="55">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1</v>
      </c>
      <c r="AE116" s="133">
        <f t="shared" si="23"/>
        <v>0</v>
      </c>
      <c r="AF116" s="133">
        <f t="shared" si="23"/>
        <v>1</v>
      </c>
      <c r="AG116" s="133">
        <f t="shared" si="23"/>
        <v>1</v>
      </c>
      <c r="AH116" s="133">
        <f t="shared" si="23"/>
        <v>0</v>
      </c>
      <c r="AI116" s="133">
        <f t="shared" si="23"/>
        <v>1</v>
      </c>
      <c r="AJ116" s="55" t="str">
        <f t="shared" si="7"/>
        <v>UNKNOWN</v>
      </c>
      <c r="AK116" s="68"/>
      <c r="AL116" s="68" t="str">
        <f t="shared" si="10"/>
        <v>2D</v>
      </c>
      <c r="AM116" s="68" t="str">
        <f t="shared" si="11"/>
        <v>00</v>
      </c>
      <c r="AN116" s="68" t="str">
        <f t="shared" si="12"/>
        <v>00</v>
      </c>
      <c r="AO116" s="68" t="str">
        <f t="shared" si="13"/>
        <v>00</v>
      </c>
      <c r="AQ116" t="str">
        <f t="shared" si="8"/>
        <v xml:space="preserve">    (U4)0x0000002DU,                                                           /* 45 UNKNOWN                                         */</v>
      </c>
    </row>
    <row r="117" spans="2:43">
      <c r="B117" s="139"/>
      <c r="C117" s="55">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1</v>
      </c>
      <c r="AE117" s="133">
        <f t="shared" si="23"/>
        <v>0</v>
      </c>
      <c r="AF117" s="133">
        <f t="shared" si="23"/>
        <v>1</v>
      </c>
      <c r="AG117" s="133">
        <f t="shared" si="23"/>
        <v>1</v>
      </c>
      <c r="AH117" s="133">
        <f t="shared" si="23"/>
        <v>1</v>
      </c>
      <c r="AI117" s="133">
        <f t="shared" si="23"/>
        <v>0</v>
      </c>
      <c r="AJ117" s="55" t="str">
        <f t="shared" si="7"/>
        <v>UNKNOWN</v>
      </c>
      <c r="AK117" s="68"/>
      <c r="AL117" s="68" t="str">
        <f t="shared" si="10"/>
        <v>2E</v>
      </c>
      <c r="AM117" s="68" t="str">
        <f t="shared" si="11"/>
        <v>00</v>
      </c>
      <c r="AN117" s="68" t="str">
        <f t="shared" si="12"/>
        <v>00</v>
      </c>
      <c r="AO117" s="68" t="str">
        <f t="shared" si="13"/>
        <v>00</v>
      </c>
      <c r="AQ117" t="str">
        <f t="shared" si="8"/>
        <v xml:space="preserve">    (U4)0x0000002EU,                                                           /* 46 UNKNOWN                                         */</v>
      </c>
    </row>
    <row r="118" spans="2:43">
      <c r="B118" s="139"/>
      <c r="C118" s="55">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1</v>
      </c>
      <c r="AE118" s="133">
        <f t="shared" si="23"/>
        <v>0</v>
      </c>
      <c r="AF118" s="133">
        <f t="shared" si="23"/>
        <v>1</v>
      </c>
      <c r="AG118" s="133">
        <f t="shared" si="23"/>
        <v>1</v>
      </c>
      <c r="AH118" s="133">
        <f t="shared" si="23"/>
        <v>1</v>
      </c>
      <c r="AI118" s="133">
        <f t="shared" ref="AI118" si="24">IF(AI53=1,1,0)</f>
        <v>1</v>
      </c>
      <c r="AJ118" s="55" t="str">
        <f t="shared" si="7"/>
        <v>UNKNOWN</v>
      </c>
      <c r="AK118" s="68"/>
      <c r="AL118" s="68" t="str">
        <f t="shared" si="10"/>
        <v>2F</v>
      </c>
      <c r="AM118" s="68" t="str">
        <f t="shared" si="11"/>
        <v>00</v>
      </c>
      <c r="AN118" s="68" t="str">
        <f t="shared" si="12"/>
        <v>00</v>
      </c>
      <c r="AO118" s="68" t="str">
        <f t="shared" si="13"/>
        <v>00</v>
      </c>
      <c r="AQ118" t="str">
        <f t="shared" si="8"/>
        <v xml:space="preserve">    (U4)0x0000002FU,                                                           /* 47 UNKNOWN                                         */</v>
      </c>
    </row>
    <row r="119" spans="2:43">
      <c r="B119" s="139"/>
      <c r="C119" s="55">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1</v>
      </c>
      <c r="AE119" s="133">
        <f t="shared" si="25"/>
        <v>1</v>
      </c>
      <c r="AF119" s="133">
        <f t="shared" si="25"/>
        <v>0</v>
      </c>
      <c r="AG119" s="133">
        <f t="shared" si="25"/>
        <v>0</v>
      </c>
      <c r="AH119" s="133">
        <f t="shared" si="25"/>
        <v>0</v>
      </c>
      <c r="AI119" s="133">
        <f t="shared" si="25"/>
        <v>0</v>
      </c>
      <c r="AJ119" s="55" t="str">
        <f t="shared" si="7"/>
        <v>UNKNOWN</v>
      </c>
      <c r="AK119" s="68"/>
      <c r="AL119" s="68" t="str">
        <f t="shared" si="10"/>
        <v>30</v>
      </c>
      <c r="AM119" s="68" t="str">
        <f t="shared" si="11"/>
        <v>00</v>
      </c>
      <c r="AN119" s="68" t="str">
        <f t="shared" si="12"/>
        <v>00</v>
      </c>
      <c r="AO119" s="68" t="str">
        <f t="shared" si="13"/>
        <v>00</v>
      </c>
      <c r="AQ119" t="str">
        <f t="shared" si="8"/>
        <v xml:space="preserve">    (U4)0x00000030U,                                                           /* 48 UNKNOWN                                         */</v>
      </c>
    </row>
    <row r="120" spans="2:43">
      <c r="B120" s="139"/>
      <c r="C120" s="55">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1</v>
      </c>
      <c r="AE120" s="133">
        <f t="shared" si="25"/>
        <v>1</v>
      </c>
      <c r="AF120" s="133">
        <f t="shared" si="25"/>
        <v>0</v>
      </c>
      <c r="AG120" s="133">
        <f t="shared" si="25"/>
        <v>0</v>
      </c>
      <c r="AH120" s="133">
        <f t="shared" si="25"/>
        <v>0</v>
      </c>
      <c r="AI120" s="133">
        <f t="shared" si="25"/>
        <v>1</v>
      </c>
      <c r="AJ120" s="55" t="str">
        <f t="shared" si="7"/>
        <v>UNKNOWN</v>
      </c>
      <c r="AK120" s="68"/>
      <c r="AL120" s="68" t="str">
        <f t="shared" si="10"/>
        <v>31</v>
      </c>
      <c r="AM120" s="68" t="str">
        <f t="shared" si="11"/>
        <v>00</v>
      </c>
      <c r="AN120" s="68" t="str">
        <f t="shared" si="12"/>
        <v>00</v>
      </c>
      <c r="AO120" s="68" t="str">
        <f t="shared" si="13"/>
        <v>00</v>
      </c>
      <c r="AQ120" t="str">
        <f t="shared" si="8"/>
        <v xml:space="preserve">    (U4)0x00000031U,                                                           /* 49 UNKNOWN                                         */</v>
      </c>
    </row>
    <row r="121" spans="2:43">
      <c r="B121" s="139"/>
      <c r="C121" s="55">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1</v>
      </c>
      <c r="AE121" s="133">
        <f t="shared" si="25"/>
        <v>1</v>
      </c>
      <c r="AF121" s="133">
        <f t="shared" si="25"/>
        <v>0</v>
      </c>
      <c r="AG121" s="133">
        <f t="shared" si="25"/>
        <v>0</v>
      </c>
      <c r="AH121" s="133">
        <f t="shared" si="25"/>
        <v>1</v>
      </c>
      <c r="AI121" s="133">
        <f t="shared" si="25"/>
        <v>0</v>
      </c>
      <c r="AJ121" s="55" t="str">
        <f t="shared" si="7"/>
        <v>UNKNOWN</v>
      </c>
      <c r="AK121" s="68"/>
      <c r="AL121" s="68" t="str">
        <f t="shared" si="10"/>
        <v>32</v>
      </c>
      <c r="AM121" s="68" t="str">
        <f t="shared" si="11"/>
        <v>00</v>
      </c>
      <c r="AN121" s="68" t="str">
        <f t="shared" si="12"/>
        <v>00</v>
      </c>
      <c r="AO121" s="68" t="str">
        <f t="shared" si="13"/>
        <v>00</v>
      </c>
      <c r="AQ121" t="str">
        <f t="shared" si="8"/>
        <v xml:space="preserve">    (U4)0x00000032U,                                                           /* 50 UNKNOWN                                         */</v>
      </c>
    </row>
    <row r="122" spans="2:43">
      <c r="B122" s="139"/>
      <c r="C122" s="55">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1</v>
      </c>
      <c r="AE122" s="133">
        <f t="shared" si="25"/>
        <v>1</v>
      </c>
      <c r="AF122" s="133">
        <f t="shared" si="25"/>
        <v>0</v>
      </c>
      <c r="AG122" s="133">
        <f t="shared" si="25"/>
        <v>0</v>
      </c>
      <c r="AH122" s="133">
        <f t="shared" si="25"/>
        <v>1</v>
      </c>
      <c r="AI122" s="133">
        <f t="shared" si="25"/>
        <v>1</v>
      </c>
      <c r="AJ122" s="55" t="str">
        <f t="shared" si="7"/>
        <v>UNKNOWN</v>
      </c>
      <c r="AK122" s="68"/>
      <c r="AL122" s="68" t="str">
        <f t="shared" si="10"/>
        <v>33</v>
      </c>
      <c r="AM122" s="68" t="str">
        <f t="shared" si="11"/>
        <v>00</v>
      </c>
      <c r="AN122" s="68" t="str">
        <f t="shared" si="12"/>
        <v>00</v>
      </c>
      <c r="AO122" s="68" t="str">
        <f t="shared" si="13"/>
        <v>00</v>
      </c>
      <c r="AQ122" t="str">
        <f t="shared" si="8"/>
        <v xml:space="preserve">    (U4)0x00000033U,                                                           /* 51 UNKNOWN                                         */</v>
      </c>
    </row>
    <row r="123" spans="2:43">
      <c r="B123" s="139"/>
      <c r="C123" s="55">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1</v>
      </c>
      <c r="AE123" s="133">
        <f t="shared" si="25"/>
        <v>1</v>
      </c>
      <c r="AF123" s="133">
        <f t="shared" si="25"/>
        <v>0</v>
      </c>
      <c r="AG123" s="133">
        <f t="shared" si="25"/>
        <v>1</v>
      </c>
      <c r="AH123" s="133">
        <f t="shared" si="25"/>
        <v>0</v>
      </c>
      <c r="AI123" s="133">
        <f t="shared" si="25"/>
        <v>0</v>
      </c>
      <c r="AJ123" s="55" t="str">
        <f t="shared" si="7"/>
        <v>UNKNOWN</v>
      </c>
      <c r="AK123" s="68"/>
      <c r="AL123" s="68" t="str">
        <f t="shared" si="10"/>
        <v>34</v>
      </c>
      <c r="AM123" s="68" t="str">
        <f t="shared" si="11"/>
        <v>00</v>
      </c>
      <c r="AN123" s="68" t="str">
        <f t="shared" si="12"/>
        <v>00</v>
      </c>
      <c r="AO123" s="68" t="str">
        <f t="shared" si="13"/>
        <v>00</v>
      </c>
      <c r="AQ123" t="str">
        <f t="shared" si="8"/>
        <v xml:space="preserve">    (U4)0x00000034U,                                                           /* 52 UNKNOWN                                         */</v>
      </c>
    </row>
    <row r="124" spans="2:43">
      <c r="B124" s="139"/>
      <c r="C124" s="55">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1</v>
      </c>
      <c r="AE124" s="133">
        <f t="shared" si="25"/>
        <v>1</v>
      </c>
      <c r="AF124" s="133">
        <f t="shared" si="25"/>
        <v>0</v>
      </c>
      <c r="AG124" s="133">
        <f t="shared" si="25"/>
        <v>1</v>
      </c>
      <c r="AH124" s="133">
        <f t="shared" si="25"/>
        <v>0</v>
      </c>
      <c r="AI124" s="133">
        <f t="shared" si="25"/>
        <v>1</v>
      </c>
      <c r="AJ124" s="55" t="str">
        <f t="shared" si="7"/>
        <v>UNKNOWN</v>
      </c>
      <c r="AK124" s="68"/>
      <c r="AL124" s="68" t="str">
        <f t="shared" si="10"/>
        <v>35</v>
      </c>
      <c r="AM124" s="68" t="str">
        <f t="shared" si="11"/>
        <v>00</v>
      </c>
      <c r="AN124" s="68" t="str">
        <f t="shared" si="12"/>
        <v>00</v>
      </c>
      <c r="AO124" s="68" t="str">
        <f t="shared" si="13"/>
        <v>00</v>
      </c>
      <c r="AQ124" t="str">
        <f t="shared" si="8"/>
        <v xml:space="preserve">    (U4)0x00000035U,                                                           /* 53 UNKNOWN                                         */</v>
      </c>
    </row>
    <row r="125" spans="2:43">
      <c r="B125" s="139"/>
      <c r="C125" s="55">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1</v>
      </c>
      <c r="AE125" s="133">
        <f t="shared" si="25"/>
        <v>1</v>
      </c>
      <c r="AF125" s="133">
        <f t="shared" si="25"/>
        <v>0</v>
      </c>
      <c r="AG125" s="133">
        <f t="shared" si="25"/>
        <v>1</v>
      </c>
      <c r="AH125" s="133">
        <f t="shared" si="25"/>
        <v>1</v>
      </c>
      <c r="AI125" s="133">
        <f t="shared" si="25"/>
        <v>0</v>
      </c>
      <c r="AJ125" s="55" t="str">
        <f t="shared" si="7"/>
        <v>UNKNOWN</v>
      </c>
      <c r="AK125" s="68"/>
      <c r="AL125" s="68" t="str">
        <f t="shared" si="10"/>
        <v>36</v>
      </c>
      <c r="AM125" s="68" t="str">
        <f t="shared" si="11"/>
        <v>00</v>
      </c>
      <c r="AN125" s="68" t="str">
        <f t="shared" si="12"/>
        <v>00</v>
      </c>
      <c r="AO125" s="68" t="str">
        <f t="shared" si="13"/>
        <v>00</v>
      </c>
      <c r="AQ125" t="str">
        <f t="shared" si="8"/>
        <v xml:space="preserve">    (U4)0x00000036U,                                                           /* 54 UNKNOWN                                         */</v>
      </c>
    </row>
    <row r="126" spans="2:43">
      <c r="B126" s="139"/>
      <c r="C126" s="55">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1</v>
      </c>
      <c r="AE126" s="133">
        <f t="shared" si="25"/>
        <v>1</v>
      </c>
      <c r="AF126" s="133">
        <f t="shared" si="25"/>
        <v>0</v>
      </c>
      <c r="AG126" s="133">
        <f t="shared" si="25"/>
        <v>1</v>
      </c>
      <c r="AH126" s="133">
        <f t="shared" si="25"/>
        <v>1</v>
      </c>
      <c r="AI126" s="133">
        <f t="shared" ref="AI126" si="26">IF(AI61=1,1,0)</f>
        <v>1</v>
      </c>
      <c r="AJ126" s="55" t="str">
        <f t="shared" si="7"/>
        <v>UNKNOWN</v>
      </c>
      <c r="AK126" s="68"/>
      <c r="AL126" s="68" t="str">
        <f t="shared" si="10"/>
        <v>37</v>
      </c>
      <c r="AM126" s="68" t="str">
        <f t="shared" si="11"/>
        <v>00</v>
      </c>
      <c r="AN126" s="68" t="str">
        <f t="shared" si="12"/>
        <v>00</v>
      </c>
      <c r="AO126" s="68" t="str">
        <f t="shared" si="13"/>
        <v>00</v>
      </c>
      <c r="AQ126" t="str">
        <f t="shared" si="8"/>
        <v xml:space="preserve">    (U4)0x00000037U,                                                           /* 55 UNKNOWN                                         */</v>
      </c>
    </row>
    <row r="127" spans="2:43">
      <c r="B127" s="139"/>
      <c r="C127" s="55">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1</v>
      </c>
      <c r="AE127" s="133">
        <f t="shared" si="27"/>
        <v>1</v>
      </c>
      <c r="AF127" s="133">
        <f t="shared" si="27"/>
        <v>1</v>
      </c>
      <c r="AG127" s="133">
        <f t="shared" si="27"/>
        <v>0</v>
      </c>
      <c r="AH127" s="133">
        <f t="shared" si="27"/>
        <v>0</v>
      </c>
      <c r="AI127" s="133">
        <f t="shared" si="27"/>
        <v>0</v>
      </c>
      <c r="AJ127" s="55" t="str">
        <f t="shared" si="7"/>
        <v>UNKNOWN</v>
      </c>
      <c r="AK127" s="68"/>
      <c r="AL127" s="68" t="str">
        <f t="shared" si="10"/>
        <v>38</v>
      </c>
      <c r="AM127" s="68" t="str">
        <f t="shared" si="11"/>
        <v>00</v>
      </c>
      <c r="AN127" s="68" t="str">
        <f t="shared" si="12"/>
        <v>00</v>
      </c>
      <c r="AO127" s="68" t="str">
        <f t="shared" si="13"/>
        <v>00</v>
      </c>
      <c r="AQ127" t="str">
        <f t="shared" si="8"/>
        <v xml:space="preserve">    (U4)0x00000038U,                                                           /* 56 UNKNOWN                                         */</v>
      </c>
    </row>
    <row r="128" spans="2:43">
      <c r="B128" s="139"/>
      <c r="C128" s="55">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1</v>
      </c>
      <c r="AE128" s="133">
        <f t="shared" si="27"/>
        <v>1</v>
      </c>
      <c r="AF128" s="133">
        <f t="shared" si="27"/>
        <v>1</v>
      </c>
      <c r="AG128" s="133">
        <f t="shared" si="27"/>
        <v>0</v>
      </c>
      <c r="AH128" s="133">
        <f t="shared" si="27"/>
        <v>0</v>
      </c>
      <c r="AI128" s="133">
        <f t="shared" si="27"/>
        <v>1</v>
      </c>
      <c r="AJ128" s="55" t="str">
        <f t="shared" si="7"/>
        <v>UNKNOWN</v>
      </c>
      <c r="AK128" s="68"/>
      <c r="AL128" s="68" t="str">
        <f t="shared" si="10"/>
        <v>39</v>
      </c>
      <c r="AM128" s="68" t="str">
        <f t="shared" si="11"/>
        <v>00</v>
      </c>
      <c r="AN128" s="68" t="str">
        <f t="shared" si="12"/>
        <v>00</v>
      </c>
      <c r="AO128" s="68" t="str">
        <f t="shared" si="13"/>
        <v>00</v>
      </c>
      <c r="AQ128" t="str">
        <f t="shared" si="8"/>
        <v xml:space="preserve">    (U4)0x00000039U,                                                           /* 57 UNKNOWN                                         */</v>
      </c>
    </row>
    <row r="129" spans="1:43">
      <c r="B129" s="139"/>
      <c r="C129" s="55">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1</v>
      </c>
      <c r="AE129" s="133">
        <f t="shared" si="27"/>
        <v>1</v>
      </c>
      <c r="AF129" s="133">
        <f t="shared" si="27"/>
        <v>1</v>
      </c>
      <c r="AG129" s="133">
        <f t="shared" si="27"/>
        <v>0</v>
      </c>
      <c r="AH129" s="133">
        <f t="shared" si="27"/>
        <v>1</v>
      </c>
      <c r="AI129" s="133">
        <f t="shared" si="27"/>
        <v>0</v>
      </c>
      <c r="AJ129" s="55" t="str">
        <f t="shared" si="7"/>
        <v>UNKNOWN</v>
      </c>
      <c r="AK129" s="68"/>
      <c r="AL129" s="68" t="str">
        <f t="shared" si="10"/>
        <v>3A</v>
      </c>
      <c r="AM129" s="68" t="str">
        <f t="shared" si="11"/>
        <v>00</v>
      </c>
      <c r="AN129" s="68" t="str">
        <f t="shared" si="12"/>
        <v>00</v>
      </c>
      <c r="AO129" s="68" t="str">
        <f t="shared" si="13"/>
        <v>00</v>
      </c>
      <c r="AQ129" t="str">
        <f t="shared" si="8"/>
        <v xml:space="preserve">    (U4)0x0000003AU,                                                           /* 58 UNKNOWN                                         */</v>
      </c>
    </row>
    <row r="130" spans="1:43">
      <c r="B130" s="139"/>
      <c r="C130" s="55">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1</v>
      </c>
      <c r="AE130" s="133">
        <f t="shared" si="27"/>
        <v>1</v>
      </c>
      <c r="AF130" s="133">
        <f t="shared" si="27"/>
        <v>1</v>
      </c>
      <c r="AG130" s="133">
        <f t="shared" si="27"/>
        <v>0</v>
      </c>
      <c r="AH130" s="133">
        <f t="shared" si="27"/>
        <v>1</v>
      </c>
      <c r="AI130" s="133">
        <f t="shared" si="27"/>
        <v>1</v>
      </c>
      <c r="AJ130" s="55" t="str">
        <f t="shared" si="7"/>
        <v>UNKNOWN</v>
      </c>
      <c r="AK130" s="68"/>
      <c r="AL130" s="68" t="str">
        <f t="shared" si="10"/>
        <v>3B</v>
      </c>
      <c r="AM130" s="68" t="str">
        <f t="shared" si="11"/>
        <v>00</v>
      </c>
      <c r="AN130" s="68" t="str">
        <f t="shared" si="12"/>
        <v>00</v>
      </c>
      <c r="AO130" s="68" t="str">
        <f t="shared" si="13"/>
        <v>00</v>
      </c>
      <c r="AQ130" t="str">
        <f t="shared" si="8"/>
        <v xml:space="preserve">    (U4)0x0000003BU,                                                           /* 59 UNKNOWN                                         */</v>
      </c>
    </row>
    <row r="131" spans="1:43">
      <c r="B131" s="139"/>
      <c r="C131" s="55">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1</v>
      </c>
      <c r="AE131" s="133">
        <f t="shared" si="27"/>
        <v>1</v>
      </c>
      <c r="AF131" s="133">
        <f t="shared" si="27"/>
        <v>1</v>
      </c>
      <c r="AG131" s="133">
        <f t="shared" si="27"/>
        <v>1</v>
      </c>
      <c r="AH131" s="133">
        <f t="shared" si="27"/>
        <v>0</v>
      </c>
      <c r="AI131" s="133">
        <f t="shared" si="27"/>
        <v>0</v>
      </c>
      <c r="AJ131" s="55" t="str">
        <f t="shared" si="7"/>
        <v>UNKNOWN</v>
      </c>
      <c r="AK131" s="68"/>
      <c r="AL131" s="68" t="str">
        <f t="shared" si="10"/>
        <v>3C</v>
      </c>
      <c r="AM131" s="68" t="str">
        <f t="shared" si="11"/>
        <v>00</v>
      </c>
      <c r="AN131" s="68" t="str">
        <f t="shared" si="12"/>
        <v>00</v>
      </c>
      <c r="AO131" s="68" t="str">
        <f t="shared" si="13"/>
        <v>00</v>
      </c>
      <c r="AQ131" t="str">
        <f t="shared" si="8"/>
        <v xml:space="preserve">    (U4)0x0000003CU,                                                           /* 60 UNKNOWN                                         */</v>
      </c>
    </row>
    <row r="132" spans="1:43">
      <c r="B132" s="139"/>
      <c r="C132" s="55">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1</v>
      </c>
      <c r="AE132" s="133">
        <f t="shared" si="27"/>
        <v>1</v>
      </c>
      <c r="AF132" s="133">
        <f t="shared" si="27"/>
        <v>1</v>
      </c>
      <c r="AG132" s="133">
        <f t="shared" si="27"/>
        <v>1</v>
      </c>
      <c r="AH132" s="133">
        <f t="shared" si="27"/>
        <v>0</v>
      </c>
      <c r="AI132" s="133">
        <f t="shared" si="27"/>
        <v>1</v>
      </c>
      <c r="AJ132" s="55" t="str">
        <f t="shared" si="7"/>
        <v>UNKNOWN</v>
      </c>
      <c r="AK132" s="68"/>
      <c r="AL132" s="68" t="str">
        <f t="shared" si="10"/>
        <v>3D</v>
      </c>
      <c r="AM132" s="68" t="str">
        <f t="shared" si="11"/>
        <v>00</v>
      </c>
      <c r="AN132" s="68" t="str">
        <f t="shared" si="12"/>
        <v>00</v>
      </c>
      <c r="AO132" s="68" t="str">
        <f t="shared" si="13"/>
        <v>00</v>
      </c>
      <c r="AQ132" t="str">
        <f t="shared" si="8"/>
        <v xml:space="preserve">    (U4)0x0000003DU,                                                           /* 61 UNKNOWN                                         */</v>
      </c>
    </row>
    <row r="133" spans="1:43">
      <c r="B133" s="139"/>
      <c r="C133" s="55">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1</v>
      </c>
      <c r="AE133" s="133">
        <f t="shared" si="27"/>
        <v>1</v>
      </c>
      <c r="AF133" s="133">
        <f t="shared" si="27"/>
        <v>1</v>
      </c>
      <c r="AG133" s="133">
        <f t="shared" si="27"/>
        <v>1</v>
      </c>
      <c r="AH133" s="133">
        <f t="shared" si="27"/>
        <v>1</v>
      </c>
      <c r="AI133" s="133">
        <f t="shared" si="27"/>
        <v>0</v>
      </c>
      <c r="AJ133" s="55" t="str">
        <f t="shared" si="7"/>
        <v>UNKNOWN</v>
      </c>
      <c r="AK133" s="68"/>
      <c r="AL133" s="68" t="str">
        <f t="shared" si="10"/>
        <v>3E</v>
      </c>
      <c r="AM133" s="68" t="str">
        <f t="shared" si="11"/>
        <v>00</v>
      </c>
      <c r="AN133" s="68" t="str">
        <f t="shared" si="12"/>
        <v>00</v>
      </c>
      <c r="AO133" s="68" t="str">
        <f t="shared" si="13"/>
        <v>00</v>
      </c>
      <c r="AQ133" t="str">
        <f t="shared" si="8"/>
        <v xml:space="preserve">    (U4)0x0000003EU,                                                           /* 62 UNKNOWN                                         */</v>
      </c>
    </row>
    <row r="134" spans="1:43">
      <c r="B134" s="140"/>
      <c r="C134" s="55">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1</v>
      </c>
      <c r="AE134" s="133">
        <f t="shared" si="27"/>
        <v>1</v>
      </c>
      <c r="AF134" s="133">
        <f t="shared" si="27"/>
        <v>1</v>
      </c>
      <c r="AG134" s="133">
        <f t="shared" si="27"/>
        <v>1</v>
      </c>
      <c r="AH134" s="133">
        <f t="shared" si="27"/>
        <v>1</v>
      </c>
      <c r="AI134" s="133">
        <f t="shared" ref="AI134" si="28">IF(AI69=1,1,0)</f>
        <v>1</v>
      </c>
      <c r="AJ134" s="55" t="str">
        <f t="shared" si="7"/>
        <v>UNKNOWN</v>
      </c>
      <c r="AK134" s="68"/>
      <c r="AL134" s="68" t="str">
        <f t="shared" si="10"/>
        <v>3F</v>
      </c>
      <c r="AM134" s="68" t="str">
        <f t="shared" si="11"/>
        <v>00</v>
      </c>
      <c r="AN134" s="68" t="str">
        <f t="shared" si="12"/>
        <v>00</v>
      </c>
      <c r="AO134" s="68" t="str">
        <f t="shared" si="13"/>
        <v>00</v>
      </c>
      <c r="AQ134" t="str">
        <f t="shared" si="8"/>
        <v xml:space="preserve">    (U4)0x0000003FU                                                            /* 63 UNKNOWN                                         */</v>
      </c>
    </row>
    <row r="135" spans="1:43">
      <c r="A135" s="64" t="s">
        <v>68</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1" t="str">
        <f ca="1">IF(B6&lt;&gt;"",B6,"")</f>
        <v>Table PD_SG</v>
      </c>
      <c r="C136" s="55">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1</v>
      </c>
      <c r="AE136" s="133">
        <f t="shared" si="29"/>
        <v>1</v>
      </c>
      <c r="AF136" s="133">
        <f t="shared" si="29"/>
        <v>1</v>
      </c>
      <c r="AG136" s="133">
        <f t="shared" si="29"/>
        <v>1</v>
      </c>
      <c r="AH136" s="133">
        <f t="shared" si="29"/>
        <v>1</v>
      </c>
      <c r="AI136" s="133">
        <f t="shared" si="29"/>
        <v>1</v>
      </c>
      <c r="AJ136" s="55" t="str">
        <f t="shared" ref="AJ136:AJ199" si="30">IF(AJ6&lt;&gt;"",AJ6,"")</f>
        <v>UNKNOWN</v>
      </c>
      <c r="AK136" s="68"/>
      <c r="AL136" s="68" t="str">
        <f>BIN2HEX(AB136&amp;AC136&amp;AD136&amp;AE136&amp;AF136&amp;AG136&amp;AH136&amp;AI136,2)</f>
        <v>3F</v>
      </c>
      <c r="AM136" s="68" t="str">
        <f>BIN2HEX(T136&amp;U136&amp;V136&amp;W136&amp;X136&amp;Y136&amp;Z136&amp;AA136,2)</f>
        <v>00</v>
      </c>
      <c r="AN136" s="68" t="str">
        <f>BIN2HEX(L136&amp;M136&amp;N136&amp;O136&amp;P136&amp;Q136&amp;R136&amp;S136,2)</f>
        <v>00</v>
      </c>
      <c r="AO136" s="6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9"/>
      <c r="C137" s="55">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1</v>
      </c>
      <c r="AE137" s="133">
        <f t="shared" si="29"/>
        <v>1</v>
      </c>
      <c r="AF137" s="133">
        <f t="shared" si="29"/>
        <v>1</v>
      </c>
      <c r="AG137" s="133">
        <f t="shared" si="29"/>
        <v>1</v>
      </c>
      <c r="AH137" s="133">
        <f t="shared" si="29"/>
        <v>1</v>
      </c>
      <c r="AI137" s="133">
        <f t="shared" si="29"/>
        <v>1</v>
      </c>
      <c r="AJ137" s="55" t="str">
        <f t="shared" si="30"/>
        <v>UNKNOWN</v>
      </c>
      <c r="AK137" s="68"/>
      <c r="AL137" s="68" t="str">
        <f t="shared" ref="AL137:AL199" si="33">BIN2HEX(AB137&amp;AC137&amp;AD137&amp;AE137&amp;AF137&amp;AG137&amp;AH137&amp;AI137,2)</f>
        <v>3F</v>
      </c>
      <c r="AM137" s="68" t="str">
        <f t="shared" ref="AM137:AM199" si="34">BIN2HEX(T137&amp;U137&amp;V137&amp;W137&amp;X137&amp;Y137&amp;Z137&amp;AA137,2)</f>
        <v>00</v>
      </c>
      <c r="AN137" s="68" t="str">
        <f t="shared" ref="AN137:AN199" si="35">BIN2HEX(L137&amp;M137&amp;N137&amp;O137&amp;P137&amp;Q137&amp;R137&amp;S137,2)</f>
        <v>00</v>
      </c>
      <c r="AO137" s="68" t="str">
        <f t="shared" ref="AO137:AO199" si="36">BIN2HEX(D137&amp;E137&amp;F137&amp;G137&amp;H137&amp;I137&amp;J137&amp;K137,2)</f>
        <v>00</v>
      </c>
      <c r="AQ137" t="str">
        <f t="shared" si="31"/>
        <v xml:space="preserve">    (U4)0x0000003FU,                                                           /* 01 UNKNOWN                                         */</v>
      </c>
    </row>
    <row r="138" spans="1:43">
      <c r="B138" s="139"/>
      <c r="C138" s="55">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1</v>
      </c>
      <c r="AE138" s="133">
        <f t="shared" si="29"/>
        <v>1</v>
      </c>
      <c r="AF138" s="133">
        <f t="shared" si="29"/>
        <v>1</v>
      </c>
      <c r="AG138" s="133">
        <f t="shared" si="29"/>
        <v>1</v>
      </c>
      <c r="AH138" s="133">
        <f t="shared" si="29"/>
        <v>1</v>
      </c>
      <c r="AI138" s="133">
        <f t="shared" si="29"/>
        <v>1</v>
      </c>
      <c r="AJ138" s="55" t="str">
        <f t="shared" si="30"/>
        <v>UNKNOWN</v>
      </c>
      <c r="AK138" s="68"/>
      <c r="AL138" s="68" t="str">
        <f t="shared" si="33"/>
        <v>3F</v>
      </c>
      <c r="AM138" s="68" t="str">
        <f t="shared" si="34"/>
        <v>00</v>
      </c>
      <c r="AN138" s="68" t="str">
        <f t="shared" si="35"/>
        <v>00</v>
      </c>
      <c r="AO138" s="68" t="str">
        <f t="shared" si="36"/>
        <v>00</v>
      </c>
      <c r="AQ138" t="str">
        <f t="shared" si="31"/>
        <v xml:space="preserve">    (U4)0x0000003FU,                                                           /* 02 UNKNOWN                                         */</v>
      </c>
    </row>
    <row r="139" spans="1:43">
      <c r="B139" s="139"/>
      <c r="C139" s="55">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1</v>
      </c>
      <c r="AE139" s="133">
        <f t="shared" si="29"/>
        <v>1</v>
      </c>
      <c r="AF139" s="133">
        <f t="shared" si="29"/>
        <v>1</v>
      </c>
      <c r="AG139" s="133">
        <f t="shared" si="29"/>
        <v>1</v>
      </c>
      <c r="AH139" s="133">
        <f t="shared" si="29"/>
        <v>1</v>
      </c>
      <c r="AI139" s="133">
        <f t="shared" si="29"/>
        <v>1</v>
      </c>
      <c r="AJ139" s="55" t="str">
        <f t="shared" si="30"/>
        <v>UNKNOWN</v>
      </c>
      <c r="AK139" s="68"/>
      <c r="AL139" s="68" t="str">
        <f t="shared" si="33"/>
        <v>3F</v>
      </c>
      <c r="AM139" s="68" t="str">
        <f t="shared" si="34"/>
        <v>00</v>
      </c>
      <c r="AN139" s="68" t="str">
        <f t="shared" si="35"/>
        <v>00</v>
      </c>
      <c r="AO139" s="68" t="str">
        <f t="shared" si="36"/>
        <v>00</v>
      </c>
      <c r="AQ139" t="str">
        <f t="shared" si="31"/>
        <v xml:space="preserve">    (U4)0x0000003FU,                                                           /* 03 UNKNOWN                                         */</v>
      </c>
    </row>
    <row r="140" spans="1:43">
      <c r="B140" s="139"/>
      <c r="C140" s="55">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1</v>
      </c>
      <c r="AE140" s="133">
        <f t="shared" si="29"/>
        <v>1</v>
      </c>
      <c r="AF140" s="133">
        <f t="shared" si="29"/>
        <v>1</v>
      </c>
      <c r="AG140" s="133">
        <f t="shared" si="29"/>
        <v>1</v>
      </c>
      <c r="AH140" s="133">
        <f t="shared" si="29"/>
        <v>1</v>
      </c>
      <c r="AI140" s="133">
        <f t="shared" si="29"/>
        <v>1</v>
      </c>
      <c r="AJ140" s="55" t="str">
        <f t="shared" si="30"/>
        <v>UNKNOWN</v>
      </c>
      <c r="AK140" s="68"/>
      <c r="AL140" s="68" t="str">
        <f t="shared" si="33"/>
        <v>3F</v>
      </c>
      <c r="AM140" s="68" t="str">
        <f t="shared" si="34"/>
        <v>00</v>
      </c>
      <c r="AN140" s="68" t="str">
        <f t="shared" si="35"/>
        <v>00</v>
      </c>
      <c r="AO140" s="68" t="str">
        <f t="shared" si="36"/>
        <v>00</v>
      </c>
      <c r="AQ140" t="str">
        <f t="shared" si="31"/>
        <v xml:space="preserve">    (U4)0x0000003FU,                                                           /* 04 UNKNOWN                                         */</v>
      </c>
    </row>
    <row r="141" spans="1:43">
      <c r="B141" s="139"/>
      <c r="C141" s="55">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1</v>
      </c>
      <c r="AE141" s="133">
        <f t="shared" si="29"/>
        <v>1</v>
      </c>
      <c r="AF141" s="133">
        <f t="shared" si="29"/>
        <v>1</v>
      </c>
      <c r="AG141" s="133">
        <f t="shared" si="29"/>
        <v>1</v>
      </c>
      <c r="AH141" s="133">
        <f t="shared" si="29"/>
        <v>1</v>
      </c>
      <c r="AI141" s="133">
        <f t="shared" si="29"/>
        <v>1</v>
      </c>
      <c r="AJ141" s="55" t="str">
        <f t="shared" si="30"/>
        <v>SGST1</v>
      </c>
      <c r="AK141" s="68"/>
      <c r="AL141" s="68" t="str">
        <f t="shared" si="33"/>
        <v>3F</v>
      </c>
      <c r="AM141" s="68" t="str">
        <f t="shared" si="34"/>
        <v>00</v>
      </c>
      <c r="AN141" s="68" t="str">
        <f t="shared" si="35"/>
        <v>00</v>
      </c>
      <c r="AO141" s="68" t="str">
        <f t="shared" si="36"/>
        <v>00</v>
      </c>
      <c r="AQ141" t="str">
        <f t="shared" si="31"/>
        <v xml:space="preserve">    (U4)0x0000003FU,                                                           /* 05 SGST1                                           */</v>
      </c>
    </row>
    <row r="142" spans="1:43">
      <c r="B142" s="139"/>
      <c r="C142" s="55">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1</v>
      </c>
      <c r="AE142" s="133">
        <f t="shared" si="29"/>
        <v>1</v>
      </c>
      <c r="AF142" s="133">
        <f t="shared" si="29"/>
        <v>1</v>
      </c>
      <c r="AG142" s="133">
        <f t="shared" si="29"/>
        <v>1</v>
      </c>
      <c r="AH142" s="133">
        <f t="shared" si="29"/>
        <v>1</v>
      </c>
      <c r="AI142" s="133">
        <f t="shared" si="29"/>
        <v>1</v>
      </c>
      <c r="AJ142" s="55" t="str">
        <f t="shared" si="30"/>
        <v>SGST2</v>
      </c>
      <c r="AK142" s="68"/>
      <c r="AL142" s="68" t="str">
        <f t="shared" si="33"/>
        <v>3F</v>
      </c>
      <c r="AM142" s="68" t="str">
        <f t="shared" si="34"/>
        <v>00</v>
      </c>
      <c r="AN142" s="68" t="str">
        <f t="shared" si="35"/>
        <v>00</v>
      </c>
      <c r="AO142" s="68" t="str">
        <f t="shared" si="36"/>
        <v>00</v>
      </c>
      <c r="AQ142" t="str">
        <f t="shared" si="31"/>
        <v xml:space="preserve">    (U4)0x0000003FU,                                                           /* 06 SGST2                                           */</v>
      </c>
    </row>
    <row r="143" spans="1:43">
      <c r="B143" s="139"/>
      <c r="C143" s="55">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1</v>
      </c>
      <c r="AE143" s="133">
        <f t="shared" si="29"/>
        <v>1</v>
      </c>
      <c r="AF143" s="133">
        <f t="shared" si="29"/>
        <v>1</v>
      </c>
      <c r="AG143" s="133">
        <f t="shared" si="29"/>
        <v>1</v>
      </c>
      <c r="AH143" s="133">
        <f t="shared" si="29"/>
        <v>1</v>
      </c>
      <c r="AI143" s="133">
        <f t="shared" ref="AI143" si="37">IF(OR(AI13=0,AI13=1),1,0)</f>
        <v>1</v>
      </c>
      <c r="AJ143" s="55" t="str">
        <f t="shared" si="30"/>
        <v>SGST3</v>
      </c>
      <c r="AK143" s="68"/>
      <c r="AL143" s="68" t="str">
        <f t="shared" si="33"/>
        <v>3F</v>
      </c>
      <c r="AM143" s="68" t="str">
        <f t="shared" si="34"/>
        <v>00</v>
      </c>
      <c r="AN143" s="68" t="str">
        <f t="shared" si="35"/>
        <v>00</v>
      </c>
      <c r="AO143" s="68" t="str">
        <f t="shared" si="36"/>
        <v>00</v>
      </c>
      <c r="AQ143" t="str">
        <f t="shared" si="31"/>
        <v xml:space="preserve">    (U4)0x0000003FU,                                                           /* 07 SGST3                                           */</v>
      </c>
    </row>
    <row r="144" spans="1:43">
      <c r="B144" s="139"/>
      <c r="C144" s="55">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1</v>
      </c>
      <c r="AE144" s="133">
        <f t="shared" si="38"/>
        <v>1</v>
      </c>
      <c r="AF144" s="133">
        <f t="shared" si="38"/>
        <v>1</v>
      </c>
      <c r="AG144" s="133">
        <f t="shared" si="38"/>
        <v>1</v>
      </c>
      <c r="AH144" s="133">
        <f t="shared" si="38"/>
        <v>1</v>
      </c>
      <c r="AI144" s="133">
        <f t="shared" si="38"/>
        <v>1</v>
      </c>
      <c r="AJ144" s="55" t="str">
        <f t="shared" si="30"/>
        <v>UNKNOWN</v>
      </c>
      <c r="AK144" s="68"/>
      <c r="AL144" s="68" t="str">
        <f t="shared" si="33"/>
        <v>3F</v>
      </c>
      <c r="AM144" s="68" t="str">
        <f t="shared" si="34"/>
        <v>00</v>
      </c>
      <c r="AN144" s="68" t="str">
        <f t="shared" si="35"/>
        <v>00</v>
      </c>
      <c r="AO144" s="68" t="str">
        <f t="shared" si="36"/>
        <v>00</v>
      </c>
      <c r="AQ144" t="str">
        <f t="shared" si="31"/>
        <v xml:space="preserve">    (U4)0x0000003FU,                                                           /* 08 UNKNOWN                                         */</v>
      </c>
    </row>
    <row r="145" spans="2:43">
      <c r="B145" s="139"/>
      <c r="C145" s="55">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1</v>
      </c>
      <c r="AE145" s="133">
        <f t="shared" si="38"/>
        <v>1</v>
      </c>
      <c r="AF145" s="133">
        <f t="shared" si="38"/>
        <v>1</v>
      </c>
      <c r="AG145" s="133">
        <f t="shared" si="38"/>
        <v>1</v>
      </c>
      <c r="AH145" s="133">
        <f t="shared" si="38"/>
        <v>1</v>
      </c>
      <c r="AI145" s="133">
        <f t="shared" si="38"/>
        <v>1</v>
      </c>
      <c r="AJ145" s="55" t="str">
        <f t="shared" si="30"/>
        <v>UNKNOWN</v>
      </c>
      <c r="AK145" s="68"/>
      <c r="AL145" s="68" t="str">
        <f t="shared" si="33"/>
        <v>3F</v>
      </c>
      <c r="AM145" s="68" t="str">
        <f t="shared" si="34"/>
        <v>00</v>
      </c>
      <c r="AN145" s="68" t="str">
        <f t="shared" si="35"/>
        <v>00</v>
      </c>
      <c r="AO145" s="68" t="str">
        <f t="shared" si="36"/>
        <v>00</v>
      </c>
      <c r="AQ145" t="str">
        <f t="shared" si="31"/>
        <v xml:space="preserve">    (U4)0x0000003FU,                                                           /* 09 UNKNOWN                                         */</v>
      </c>
    </row>
    <row r="146" spans="2:43">
      <c r="B146" s="139"/>
      <c r="C146" s="55">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1</v>
      </c>
      <c r="AE146" s="133">
        <f t="shared" si="38"/>
        <v>1</v>
      </c>
      <c r="AF146" s="133">
        <f t="shared" si="38"/>
        <v>1</v>
      </c>
      <c r="AG146" s="133">
        <f t="shared" si="38"/>
        <v>1</v>
      </c>
      <c r="AH146" s="133">
        <f t="shared" si="38"/>
        <v>1</v>
      </c>
      <c r="AI146" s="133">
        <f t="shared" si="38"/>
        <v>1</v>
      </c>
      <c r="AJ146" s="55" t="str">
        <f t="shared" si="30"/>
        <v>UNKNOWN</v>
      </c>
      <c r="AK146" s="68"/>
      <c r="AL146" s="68" t="str">
        <f t="shared" si="33"/>
        <v>3F</v>
      </c>
      <c r="AM146" s="68" t="str">
        <f t="shared" si="34"/>
        <v>00</v>
      </c>
      <c r="AN146" s="68" t="str">
        <f t="shared" si="35"/>
        <v>00</v>
      </c>
      <c r="AO146" s="68" t="str">
        <f t="shared" si="36"/>
        <v>00</v>
      </c>
      <c r="AQ146" t="str">
        <f t="shared" si="31"/>
        <v xml:space="preserve">    (U4)0x0000003FU,                                                           /* 10 UNKNOWN                                         */</v>
      </c>
    </row>
    <row r="147" spans="2:43">
      <c r="B147" s="139"/>
      <c r="C147" s="55">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1</v>
      </c>
      <c r="AE147" s="133">
        <f t="shared" si="38"/>
        <v>1</v>
      </c>
      <c r="AF147" s="133">
        <f t="shared" si="38"/>
        <v>1</v>
      </c>
      <c r="AG147" s="133">
        <f t="shared" si="38"/>
        <v>1</v>
      </c>
      <c r="AH147" s="133">
        <f t="shared" si="38"/>
        <v>1</v>
      </c>
      <c r="AI147" s="133">
        <f t="shared" si="38"/>
        <v>1</v>
      </c>
      <c r="AJ147" s="55" t="str">
        <f t="shared" si="30"/>
        <v>UNKNOWN</v>
      </c>
      <c r="AK147" s="68"/>
      <c r="AL147" s="68" t="str">
        <f t="shared" si="33"/>
        <v>3F</v>
      </c>
      <c r="AM147" s="68" t="str">
        <f t="shared" si="34"/>
        <v>00</v>
      </c>
      <c r="AN147" s="68" t="str">
        <f t="shared" si="35"/>
        <v>00</v>
      </c>
      <c r="AO147" s="68" t="str">
        <f t="shared" si="36"/>
        <v>00</v>
      </c>
      <c r="AQ147" t="str">
        <f t="shared" si="31"/>
        <v xml:space="preserve">    (U4)0x0000003FU,                                                           /* 11 UNKNOWN                                         */</v>
      </c>
    </row>
    <row r="148" spans="2:43">
      <c r="B148" s="139"/>
      <c r="C148" s="55">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1</v>
      </c>
      <c r="AE148" s="133">
        <f t="shared" si="38"/>
        <v>1</v>
      </c>
      <c r="AF148" s="133">
        <f t="shared" si="38"/>
        <v>1</v>
      </c>
      <c r="AG148" s="133">
        <f t="shared" si="38"/>
        <v>1</v>
      </c>
      <c r="AH148" s="133">
        <f t="shared" si="38"/>
        <v>1</v>
      </c>
      <c r="AI148" s="133">
        <f t="shared" si="38"/>
        <v>1</v>
      </c>
      <c r="AJ148" s="55" t="str">
        <f t="shared" si="30"/>
        <v>UNKNOWN</v>
      </c>
      <c r="AK148" s="68"/>
      <c r="AL148" s="68" t="str">
        <f t="shared" si="33"/>
        <v>3F</v>
      </c>
      <c r="AM148" s="68" t="str">
        <f t="shared" si="34"/>
        <v>00</v>
      </c>
      <c r="AN148" s="68" t="str">
        <f t="shared" si="35"/>
        <v>00</v>
      </c>
      <c r="AO148" s="68" t="str">
        <f t="shared" si="36"/>
        <v>00</v>
      </c>
      <c r="AQ148" t="str">
        <f t="shared" si="31"/>
        <v xml:space="preserve">    (U4)0x0000003FU,                                                           /* 12 UNKNOWN                                         */</v>
      </c>
    </row>
    <row r="149" spans="2:43">
      <c r="B149" s="139"/>
      <c r="C149" s="55">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1</v>
      </c>
      <c r="AE149" s="133">
        <f t="shared" si="38"/>
        <v>1</v>
      </c>
      <c r="AF149" s="133">
        <f t="shared" si="38"/>
        <v>1</v>
      </c>
      <c r="AG149" s="133">
        <f t="shared" si="38"/>
        <v>1</v>
      </c>
      <c r="AH149" s="133">
        <f t="shared" si="38"/>
        <v>1</v>
      </c>
      <c r="AI149" s="133">
        <f t="shared" si="38"/>
        <v>1</v>
      </c>
      <c r="AJ149" s="55" t="str">
        <f t="shared" si="30"/>
        <v>UNKNOWN</v>
      </c>
      <c r="AK149" s="68"/>
      <c r="AL149" s="68" t="str">
        <f t="shared" si="33"/>
        <v>3F</v>
      </c>
      <c r="AM149" s="68" t="str">
        <f t="shared" si="34"/>
        <v>00</v>
      </c>
      <c r="AN149" s="68" t="str">
        <f t="shared" si="35"/>
        <v>00</v>
      </c>
      <c r="AO149" s="68" t="str">
        <f t="shared" si="36"/>
        <v>00</v>
      </c>
      <c r="AQ149" t="str">
        <f t="shared" si="31"/>
        <v xml:space="preserve">    (U4)0x0000003FU,                                                           /* 13 UNKNOWN                                         */</v>
      </c>
    </row>
    <row r="150" spans="2:43">
      <c r="B150" s="139"/>
      <c r="C150" s="55">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1</v>
      </c>
      <c r="AE150" s="133">
        <f t="shared" si="38"/>
        <v>1</v>
      </c>
      <c r="AF150" s="133">
        <f t="shared" si="38"/>
        <v>1</v>
      </c>
      <c r="AG150" s="133">
        <f t="shared" si="38"/>
        <v>1</v>
      </c>
      <c r="AH150" s="133">
        <f t="shared" si="38"/>
        <v>1</v>
      </c>
      <c r="AI150" s="133">
        <f t="shared" si="38"/>
        <v>1</v>
      </c>
      <c r="AJ150" s="55" t="str">
        <f t="shared" si="30"/>
        <v>UNKNOWN</v>
      </c>
      <c r="AK150" s="68"/>
      <c r="AL150" s="68" t="str">
        <f t="shared" si="33"/>
        <v>3F</v>
      </c>
      <c r="AM150" s="68" t="str">
        <f t="shared" si="34"/>
        <v>00</v>
      </c>
      <c r="AN150" s="68" t="str">
        <f t="shared" si="35"/>
        <v>00</v>
      </c>
      <c r="AO150" s="68" t="str">
        <f t="shared" si="36"/>
        <v>00</v>
      </c>
      <c r="AQ150" t="str">
        <f t="shared" si="31"/>
        <v xml:space="preserve">    (U4)0x0000003FU,                                                           /* 14 UNKNOWN                                         */</v>
      </c>
    </row>
    <row r="151" spans="2:43">
      <c r="B151" s="139"/>
      <c r="C151" s="55">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1</v>
      </c>
      <c r="AE151" s="133">
        <f t="shared" si="38"/>
        <v>1</v>
      </c>
      <c r="AF151" s="133">
        <f t="shared" si="38"/>
        <v>1</v>
      </c>
      <c r="AG151" s="133">
        <f t="shared" si="38"/>
        <v>1</v>
      </c>
      <c r="AH151" s="133">
        <f t="shared" si="38"/>
        <v>1</v>
      </c>
      <c r="AI151" s="133">
        <f t="shared" ref="AI151" si="39">IF(OR(AI21=0,AI21=1),1,0)</f>
        <v>1</v>
      </c>
      <c r="AJ151" s="55" t="str">
        <f t="shared" si="30"/>
        <v>UNKNOWN</v>
      </c>
      <c r="AK151" s="68"/>
      <c r="AL151" s="68" t="str">
        <f t="shared" si="33"/>
        <v>3F</v>
      </c>
      <c r="AM151" s="68" t="str">
        <f t="shared" si="34"/>
        <v>00</v>
      </c>
      <c r="AN151" s="68" t="str">
        <f t="shared" si="35"/>
        <v>00</v>
      </c>
      <c r="AO151" s="68" t="str">
        <f t="shared" si="36"/>
        <v>00</v>
      </c>
      <c r="AQ151" t="str">
        <f t="shared" si="31"/>
        <v xml:space="preserve">    (U4)0x0000003FU,                                                           /* 15 UNKNOWN                                         */</v>
      </c>
    </row>
    <row r="152" spans="2:43">
      <c r="B152" s="139"/>
      <c r="C152" s="55">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1</v>
      </c>
      <c r="AE152" s="133">
        <f t="shared" si="40"/>
        <v>1</v>
      </c>
      <c r="AF152" s="133">
        <f t="shared" si="40"/>
        <v>1</v>
      </c>
      <c r="AG152" s="133">
        <f t="shared" si="40"/>
        <v>1</v>
      </c>
      <c r="AH152" s="133">
        <f t="shared" si="40"/>
        <v>1</v>
      </c>
      <c r="AI152" s="133">
        <f t="shared" si="40"/>
        <v>1</v>
      </c>
      <c r="AJ152" s="55" t="str">
        <f t="shared" si="30"/>
        <v>UNKNOWN</v>
      </c>
      <c r="AK152" s="68"/>
      <c r="AL152" s="68" t="str">
        <f t="shared" si="33"/>
        <v>3F</v>
      </c>
      <c r="AM152" s="68" t="str">
        <f t="shared" si="34"/>
        <v>00</v>
      </c>
      <c r="AN152" s="68" t="str">
        <f t="shared" si="35"/>
        <v>00</v>
      </c>
      <c r="AO152" s="68" t="str">
        <f t="shared" si="36"/>
        <v>00</v>
      </c>
      <c r="AQ152" t="str">
        <f t="shared" si="31"/>
        <v xml:space="preserve">    (U4)0x0000003FU,                                                           /* 16 UNKNOWN                                         */</v>
      </c>
    </row>
    <row r="153" spans="2:43">
      <c r="B153" s="139"/>
      <c r="C153" s="55">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1</v>
      </c>
      <c r="AE153" s="133">
        <f t="shared" si="40"/>
        <v>1</v>
      </c>
      <c r="AF153" s="133">
        <f t="shared" si="40"/>
        <v>1</v>
      </c>
      <c r="AG153" s="133">
        <f t="shared" si="40"/>
        <v>1</v>
      </c>
      <c r="AH153" s="133">
        <f t="shared" si="40"/>
        <v>1</v>
      </c>
      <c r="AI153" s="133">
        <f t="shared" si="40"/>
        <v>1</v>
      </c>
      <c r="AJ153" s="55" t="str">
        <f t="shared" si="30"/>
        <v>UNKNOWN</v>
      </c>
      <c r="AK153" s="68"/>
      <c r="AL153" s="68" t="str">
        <f t="shared" si="33"/>
        <v>3F</v>
      </c>
      <c r="AM153" s="68" t="str">
        <f t="shared" si="34"/>
        <v>00</v>
      </c>
      <c r="AN153" s="68" t="str">
        <f t="shared" si="35"/>
        <v>00</v>
      </c>
      <c r="AO153" s="68" t="str">
        <f t="shared" si="36"/>
        <v>00</v>
      </c>
      <c r="AQ153" t="str">
        <f t="shared" si="31"/>
        <v xml:space="preserve">    (U4)0x0000003FU,                                                           /* 17 UNKNOWN                                         */</v>
      </c>
    </row>
    <row r="154" spans="2:43">
      <c r="B154" s="139"/>
      <c r="C154" s="55">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1</v>
      </c>
      <c r="AE154" s="133">
        <f t="shared" si="40"/>
        <v>1</v>
      </c>
      <c r="AF154" s="133">
        <f t="shared" si="40"/>
        <v>1</v>
      </c>
      <c r="AG154" s="133">
        <f t="shared" si="40"/>
        <v>1</v>
      </c>
      <c r="AH154" s="133">
        <f t="shared" si="40"/>
        <v>1</v>
      </c>
      <c r="AI154" s="133">
        <f t="shared" si="40"/>
        <v>1</v>
      </c>
      <c r="AJ154" s="55" t="str">
        <f t="shared" si="30"/>
        <v>UNKNOWN</v>
      </c>
      <c r="AK154" s="68"/>
      <c r="AL154" s="68" t="str">
        <f t="shared" si="33"/>
        <v>3F</v>
      </c>
      <c r="AM154" s="68" t="str">
        <f t="shared" si="34"/>
        <v>00</v>
      </c>
      <c r="AN154" s="68" t="str">
        <f t="shared" si="35"/>
        <v>00</v>
      </c>
      <c r="AO154" s="68" t="str">
        <f t="shared" si="36"/>
        <v>00</v>
      </c>
      <c r="AQ154" t="str">
        <f t="shared" si="31"/>
        <v xml:space="preserve">    (U4)0x0000003FU,                                                           /* 18 UNKNOWN                                         */</v>
      </c>
    </row>
    <row r="155" spans="2:43">
      <c r="B155" s="139"/>
      <c r="C155" s="55">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1</v>
      </c>
      <c r="AE155" s="133">
        <f t="shared" si="40"/>
        <v>1</v>
      </c>
      <c r="AF155" s="133">
        <f t="shared" si="40"/>
        <v>1</v>
      </c>
      <c r="AG155" s="133">
        <f t="shared" si="40"/>
        <v>1</v>
      </c>
      <c r="AH155" s="133">
        <f t="shared" si="40"/>
        <v>1</v>
      </c>
      <c r="AI155" s="133">
        <f t="shared" si="40"/>
        <v>1</v>
      </c>
      <c r="AJ155" s="55" t="str">
        <f t="shared" si="30"/>
        <v>UNKNOWN</v>
      </c>
      <c r="AK155" s="68"/>
      <c r="AL155" s="68" t="str">
        <f t="shared" si="33"/>
        <v>3F</v>
      </c>
      <c r="AM155" s="68" t="str">
        <f t="shared" si="34"/>
        <v>00</v>
      </c>
      <c r="AN155" s="68" t="str">
        <f t="shared" si="35"/>
        <v>00</v>
      </c>
      <c r="AO155" s="68" t="str">
        <f t="shared" si="36"/>
        <v>00</v>
      </c>
      <c r="AQ155" t="str">
        <f t="shared" si="31"/>
        <v xml:space="preserve">    (U4)0x0000003FU,                                                           /* 19 UNKNOWN                                         */</v>
      </c>
    </row>
    <row r="156" spans="2:43">
      <c r="B156" s="139"/>
      <c r="C156" s="55">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1</v>
      </c>
      <c r="AE156" s="133">
        <f t="shared" si="40"/>
        <v>1</v>
      </c>
      <c r="AF156" s="133">
        <f t="shared" si="40"/>
        <v>1</v>
      </c>
      <c r="AG156" s="133">
        <f t="shared" si="40"/>
        <v>1</v>
      </c>
      <c r="AH156" s="133">
        <f t="shared" si="40"/>
        <v>1</v>
      </c>
      <c r="AI156" s="133">
        <f t="shared" si="40"/>
        <v>1</v>
      </c>
      <c r="AJ156" s="55" t="str">
        <f t="shared" si="30"/>
        <v>UNKNOWN</v>
      </c>
      <c r="AK156" s="68"/>
      <c r="AL156" s="68" t="str">
        <f t="shared" si="33"/>
        <v>3F</v>
      </c>
      <c r="AM156" s="68" t="str">
        <f t="shared" si="34"/>
        <v>00</v>
      </c>
      <c r="AN156" s="68" t="str">
        <f t="shared" si="35"/>
        <v>00</v>
      </c>
      <c r="AO156" s="68" t="str">
        <f t="shared" si="36"/>
        <v>00</v>
      </c>
      <c r="AQ156" t="str">
        <f t="shared" si="31"/>
        <v xml:space="preserve">    (U4)0x0000003FU,                                                           /* 20 UNKNOWN                                         */</v>
      </c>
    </row>
    <row r="157" spans="2:43">
      <c r="B157" s="139"/>
      <c r="C157" s="55">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1</v>
      </c>
      <c r="AE157" s="133">
        <f t="shared" si="40"/>
        <v>1</v>
      </c>
      <c r="AF157" s="133">
        <f t="shared" si="40"/>
        <v>1</v>
      </c>
      <c r="AG157" s="133">
        <f t="shared" si="40"/>
        <v>1</v>
      </c>
      <c r="AH157" s="133">
        <f t="shared" si="40"/>
        <v>1</v>
      </c>
      <c r="AI157" s="133">
        <f t="shared" si="40"/>
        <v>1</v>
      </c>
      <c r="AJ157" s="55" t="str">
        <f t="shared" si="30"/>
        <v>UNKNOWN</v>
      </c>
      <c r="AK157" s="68"/>
      <c r="AL157" s="68" t="str">
        <f t="shared" si="33"/>
        <v>3F</v>
      </c>
      <c r="AM157" s="68" t="str">
        <f t="shared" si="34"/>
        <v>00</v>
      </c>
      <c r="AN157" s="68" t="str">
        <f t="shared" si="35"/>
        <v>00</v>
      </c>
      <c r="AO157" s="68" t="str">
        <f t="shared" si="36"/>
        <v>00</v>
      </c>
      <c r="AQ157" t="str">
        <f t="shared" si="31"/>
        <v xml:space="preserve">    (U4)0x0000003FU,                                                           /* 21 UNKNOWN                                         */</v>
      </c>
    </row>
    <row r="158" spans="2:43">
      <c r="B158" s="139"/>
      <c r="C158" s="55">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1</v>
      </c>
      <c r="AE158" s="133">
        <f t="shared" si="40"/>
        <v>1</v>
      </c>
      <c r="AF158" s="133">
        <f t="shared" si="40"/>
        <v>1</v>
      </c>
      <c r="AG158" s="133">
        <f t="shared" si="40"/>
        <v>1</v>
      </c>
      <c r="AH158" s="133">
        <f t="shared" si="40"/>
        <v>1</v>
      </c>
      <c r="AI158" s="133">
        <f t="shared" si="40"/>
        <v>1</v>
      </c>
      <c r="AJ158" s="55" t="str">
        <f t="shared" si="30"/>
        <v>UNKNOWN</v>
      </c>
      <c r="AK158" s="68"/>
      <c r="AL158" s="68" t="str">
        <f t="shared" si="33"/>
        <v>3F</v>
      </c>
      <c r="AM158" s="68" t="str">
        <f t="shared" si="34"/>
        <v>00</v>
      </c>
      <c r="AN158" s="68" t="str">
        <f t="shared" si="35"/>
        <v>00</v>
      </c>
      <c r="AO158" s="68" t="str">
        <f t="shared" si="36"/>
        <v>00</v>
      </c>
      <c r="AQ158" t="str">
        <f t="shared" si="31"/>
        <v xml:space="preserve">    (U4)0x0000003FU,                                                           /* 22 UNKNOWN                                         */</v>
      </c>
    </row>
    <row r="159" spans="2:43">
      <c r="B159" s="139"/>
      <c r="C159" s="55">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1</v>
      </c>
      <c r="AE159" s="133">
        <f t="shared" si="40"/>
        <v>1</v>
      </c>
      <c r="AF159" s="133">
        <f t="shared" si="40"/>
        <v>1</v>
      </c>
      <c r="AG159" s="133">
        <f t="shared" si="40"/>
        <v>1</v>
      </c>
      <c r="AH159" s="133">
        <f t="shared" si="40"/>
        <v>1</v>
      </c>
      <c r="AI159" s="133">
        <f t="shared" ref="AI159" si="41">IF(OR(AI29=0,AI29=1),1,0)</f>
        <v>1</v>
      </c>
      <c r="AJ159" s="55" t="str">
        <f t="shared" si="30"/>
        <v>UNKNOWN</v>
      </c>
      <c r="AK159" s="68"/>
      <c r="AL159" s="68" t="str">
        <f t="shared" si="33"/>
        <v>3F</v>
      </c>
      <c r="AM159" s="68" t="str">
        <f t="shared" si="34"/>
        <v>00</v>
      </c>
      <c r="AN159" s="68" t="str">
        <f t="shared" si="35"/>
        <v>00</v>
      </c>
      <c r="AO159" s="68" t="str">
        <f t="shared" si="36"/>
        <v>00</v>
      </c>
      <c r="AQ159" t="str">
        <f t="shared" si="31"/>
        <v xml:space="preserve">    (U4)0x0000003FU,                                                           /* 23 UNKNOWN                                         */</v>
      </c>
    </row>
    <row r="160" spans="2:43">
      <c r="B160" s="139"/>
      <c r="C160" s="55">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1</v>
      </c>
      <c r="AE160" s="133">
        <f t="shared" si="42"/>
        <v>1</v>
      </c>
      <c r="AF160" s="133">
        <f t="shared" si="42"/>
        <v>1</v>
      </c>
      <c r="AG160" s="133">
        <f t="shared" si="42"/>
        <v>1</v>
      </c>
      <c r="AH160" s="133">
        <f t="shared" si="42"/>
        <v>1</v>
      </c>
      <c r="AI160" s="133">
        <f t="shared" si="42"/>
        <v>1</v>
      </c>
      <c r="AJ160" s="55" t="str">
        <f t="shared" si="30"/>
        <v>UNKNOWN</v>
      </c>
      <c r="AK160" s="68"/>
      <c r="AL160" s="68" t="str">
        <f t="shared" si="33"/>
        <v>3F</v>
      </c>
      <c r="AM160" s="68" t="str">
        <f t="shared" si="34"/>
        <v>00</v>
      </c>
      <c r="AN160" s="68" t="str">
        <f t="shared" si="35"/>
        <v>00</v>
      </c>
      <c r="AO160" s="68" t="str">
        <f t="shared" si="36"/>
        <v>00</v>
      </c>
      <c r="AQ160" t="str">
        <f t="shared" si="31"/>
        <v xml:space="preserve">    (U4)0x0000003FU,                                                           /* 24 UNKNOWN                                         */</v>
      </c>
    </row>
    <row r="161" spans="2:43">
      <c r="B161" s="139"/>
      <c r="C161" s="55">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1</v>
      </c>
      <c r="AE161" s="133">
        <f t="shared" si="42"/>
        <v>1</v>
      </c>
      <c r="AF161" s="133">
        <f t="shared" si="42"/>
        <v>1</v>
      </c>
      <c r="AG161" s="133">
        <f t="shared" si="42"/>
        <v>1</v>
      </c>
      <c r="AH161" s="133">
        <f t="shared" si="42"/>
        <v>1</v>
      </c>
      <c r="AI161" s="133">
        <f t="shared" si="42"/>
        <v>1</v>
      </c>
      <c r="AJ161" s="55" t="str">
        <f t="shared" si="30"/>
        <v>UNKNOWN</v>
      </c>
      <c r="AK161" s="68"/>
      <c r="AL161" s="68" t="str">
        <f t="shared" si="33"/>
        <v>3F</v>
      </c>
      <c r="AM161" s="68" t="str">
        <f t="shared" si="34"/>
        <v>00</v>
      </c>
      <c r="AN161" s="68" t="str">
        <f t="shared" si="35"/>
        <v>00</v>
      </c>
      <c r="AO161" s="68" t="str">
        <f t="shared" si="36"/>
        <v>00</v>
      </c>
      <c r="AQ161" t="str">
        <f t="shared" si="31"/>
        <v xml:space="preserve">    (U4)0x0000003FU,                                                           /* 25 UNKNOWN                                         */</v>
      </c>
    </row>
    <row r="162" spans="2:43">
      <c r="B162" s="139"/>
      <c r="C162" s="55">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1</v>
      </c>
      <c r="AE162" s="133">
        <f t="shared" si="42"/>
        <v>1</v>
      </c>
      <c r="AF162" s="133">
        <f t="shared" si="42"/>
        <v>1</v>
      </c>
      <c r="AG162" s="133">
        <f t="shared" si="42"/>
        <v>1</v>
      </c>
      <c r="AH162" s="133">
        <f t="shared" si="42"/>
        <v>1</v>
      </c>
      <c r="AI162" s="133">
        <f t="shared" si="42"/>
        <v>1</v>
      </c>
      <c r="AJ162" s="55" t="str">
        <f t="shared" si="30"/>
        <v>UNKNOWN</v>
      </c>
      <c r="AK162" s="68"/>
      <c r="AL162" s="68" t="str">
        <f t="shared" si="33"/>
        <v>3F</v>
      </c>
      <c r="AM162" s="68" t="str">
        <f t="shared" si="34"/>
        <v>00</v>
      </c>
      <c r="AN162" s="68" t="str">
        <f t="shared" si="35"/>
        <v>00</v>
      </c>
      <c r="AO162" s="68" t="str">
        <f t="shared" si="36"/>
        <v>00</v>
      </c>
      <c r="AQ162" t="str">
        <f t="shared" si="31"/>
        <v xml:space="preserve">    (U4)0x0000003FU,                                                           /* 26 UNKNOWN                                         */</v>
      </c>
    </row>
    <row r="163" spans="2:43">
      <c r="B163" s="139"/>
      <c r="C163" s="55">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1</v>
      </c>
      <c r="AE163" s="133">
        <f t="shared" si="42"/>
        <v>1</v>
      </c>
      <c r="AF163" s="133">
        <f t="shared" si="42"/>
        <v>1</v>
      </c>
      <c r="AG163" s="133">
        <f t="shared" si="42"/>
        <v>1</v>
      </c>
      <c r="AH163" s="133">
        <f t="shared" si="42"/>
        <v>1</v>
      </c>
      <c r="AI163" s="133">
        <f t="shared" si="42"/>
        <v>1</v>
      </c>
      <c r="AJ163" s="55" t="str">
        <f t="shared" si="30"/>
        <v>UNKNOWN</v>
      </c>
      <c r="AK163" s="68"/>
      <c r="AL163" s="68" t="str">
        <f t="shared" si="33"/>
        <v>3F</v>
      </c>
      <c r="AM163" s="68" t="str">
        <f t="shared" si="34"/>
        <v>00</v>
      </c>
      <c r="AN163" s="68" t="str">
        <f t="shared" si="35"/>
        <v>00</v>
      </c>
      <c r="AO163" s="68" t="str">
        <f t="shared" si="36"/>
        <v>00</v>
      </c>
      <c r="AQ163" t="str">
        <f t="shared" si="31"/>
        <v xml:space="preserve">    (U4)0x0000003FU,                                                           /* 27 UNKNOWN                                         */</v>
      </c>
    </row>
    <row r="164" spans="2:43">
      <c r="B164" s="139"/>
      <c r="C164" s="55">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1</v>
      </c>
      <c r="AE164" s="133">
        <f t="shared" si="42"/>
        <v>1</v>
      </c>
      <c r="AF164" s="133">
        <f t="shared" si="42"/>
        <v>1</v>
      </c>
      <c r="AG164" s="133">
        <f t="shared" si="42"/>
        <v>1</v>
      </c>
      <c r="AH164" s="133">
        <f t="shared" si="42"/>
        <v>1</v>
      </c>
      <c r="AI164" s="133">
        <f t="shared" si="42"/>
        <v>1</v>
      </c>
      <c r="AJ164" s="55" t="str">
        <f t="shared" si="30"/>
        <v>UNKNOWN</v>
      </c>
      <c r="AK164" s="68"/>
      <c r="AL164" s="68" t="str">
        <f t="shared" si="33"/>
        <v>3F</v>
      </c>
      <c r="AM164" s="68" t="str">
        <f t="shared" si="34"/>
        <v>00</v>
      </c>
      <c r="AN164" s="68" t="str">
        <f t="shared" si="35"/>
        <v>00</v>
      </c>
      <c r="AO164" s="68" t="str">
        <f t="shared" si="36"/>
        <v>00</v>
      </c>
      <c r="AQ164" t="str">
        <f t="shared" si="31"/>
        <v xml:space="preserve">    (U4)0x0000003FU,                                                           /* 28 UNKNOWN                                         */</v>
      </c>
    </row>
    <row r="165" spans="2:43">
      <c r="B165" s="139"/>
      <c r="C165" s="55">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1</v>
      </c>
      <c r="AE165" s="133">
        <f t="shared" si="42"/>
        <v>1</v>
      </c>
      <c r="AF165" s="133">
        <f t="shared" si="42"/>
        <v>1</v>
      </c>
      <c r="AG165" s="133">
        <f t="shared" si="42"/>
        <v>1</v>
      </c>
      <c r="AH165" s="133">
        <f t="shared" si="42"/>
        <v>1</v>
      </c>
      <c r="AI165" s="133">
        <f t="shared" si="42"/>
        <v>1</v>
      </c>
      <c r="AJ165" s="55" t="str">
        <f t="shared" si="30"/>
        <v>UNKNOWN</v>
      </c>
      <c r="AK165" s="68"/>
      <c r="AL165" s="68" t="str">
        <f t="shared" si="33"/>
        <v>3F</v>
      </c>
      <c r="AM165" s="68" t="str">
        <f t="shared" si="34"/>
        <v>00</v>
      </c>
      <c r="AN165" s="68" t="str">
        <f t="shared" si="35"/>
        <v>00</v>
      </c>
      <c r="AO165" s="68" t="str">
        <f t="shared" si="36"/>
        <v>00</v>
      </c>
      <c r="AQ165" t="str">
        <f t="shared" si="31"/>
        <v xml:space="preserve">    (U4)0x0000003FU,                                                           /* 29 UNKNOWN                                         */</v>
      </c>
    </row>
    <row r="166" spans="2:43">
      <c r="B166" s="139"/>
      <c r="C166" s="55">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1</v>
      </c>
      <c r="AE166" s="133">
        <f t="shared" si="42"/>
        <v>1</v>
      </c>
      <c r="AF166" s="133">
        <f t="shared" si="42"/>
        <v>1</v>
      </c>
      <c r="AG166" s="133">
        <f t="shared" si="42"/>
        <v>1</v>
      </c>
      <c r="AH166" s="133">
        <f t="shared" si="42"/>
        <v>1</v>
      </c>
      <c r="AI166" s="133">
        <f t="shared" si="42"/>
        <v>1</v>
      </c>
      <c r="AJ166" s="55" t="str">
        <f t="shared" si="30"/>
        <v>UNKNOWN</v>
      </c>
      <c r="AK166" s="68"/>
      <c r="AL166" s="68" t="str">
        <f t="shared" si="33"/>
        <v>3F</v>
      </c>
      <c r="AM166" s="68" t="str">
        <f t="shared" si="34"/>
        <v>00</v>
      </c>
      <c r="AN166" s="68" t="str">
        <f t="shared" si="35"/>
        <v>00</v>
      </c>
      <c r="AO166" s="68" t="str">
        <f t="shared" si="36"/>
        <v>00</v>
      </c>
      <c r="AQ166" t="str">
        <f t="shared" si="31"/>
        <v xml:space="preserve">    (U4)0x0000003FU,                                                           /* 30 UNKNOWN                                         */</v>
      </c>
    </row>
    <row r="167" spans="2:43">
      <c r="B167" s="139"/>
      <c r="C167" s="55">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1</v>
      </c>
      <c r="AE167" s="133">
        <f t="shared" si="42"/>
        <v>1</v>
      </c>
      <c r="AF167" s="133">
        <f t="shared" si="42"/>
        <v>1</v>
      </c>
      <c r="AG167" s="133">
        <f t="shared" si="42"/>
        <v>1</v>
      </c>
      <c r="AH167" s="133">
        <f t="shared" si="42"/>
        <v>1</v>
      </c>
      <c r="AI167" s="133">
        <f t="shared" ref="AI167" si="43">IF(OR(AI37=0,AI37=1),1,0)</f>
        <v>1</v>
      </c>
      <c r="AJ167" s="55" t="str">
        <f t="shared" si="30"/>
        <v>UNKNOWN</v>
      </c>
      <c r="AK167" s="68"/>
      <c r="AL167" s="68" t="str">
        <f t="shared" si="33"/>
        <v>3F</v>
      </c>
      <c r="AM167" s="68" t="str">
        <f t="shared" si="34"/>
        <v>00</v>
      </c>
      <c r="AN167" s="68" t="str">
        <f t="shared" si="35"/>
        <v>00</v>
      </c>
      <c r="AO167" s="68" t="str">
        <f t="shared" si="36"/>
        <v>00</v>
      </c>
      <c r="AQ167" t="str">
        <f t="shared" si="31"/>
        <v xml:space="preserve">    (U4)0x0000003FU,                                                           /* 31 UNKNOWN                                         */</v>
      </c>
    </row>
    <row r="168" spans="2:43">
      <c r="B168" s="139"/>
      <c r="C168" s="55">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1</v>
      </c>
      <c r="AE168" s="133">
        <f t="shared" si="44"/>
        <v>1</v>
      </c>
      <c r="AF168" s="133">
        <f t="shared" si="44"/>
        <v>1</v>
      </c>
      <c r="AG168" s="133">
        <f t="shared" si="44"/>
        <v>1</v>
      </c>
      <c r="AH168" s="133">
        <f t="shared" si="44"/>
        <v>1</v>
      </c>
      <c r="AI168" s="133">
        <f t="shared" si="44"/>
        <v>1</v>
      </c>
      <c r="AJ168" s="55" t="str">
        <f t="shared" si="30"/>
        <v>UNKNOWN</v>
      </c>
      <c r="AK168" s="68"/>
      <c r="AL168" s="68" t="str">
        <f t="shared" si="33"/>
        <v>3F</v>
      </c>
      <c r="AM168" s="68" t="str">
        <f t="shared" si="34"/>
        <v>00</v>
      </c>
      <c r="AN168" s="68" t="str">
        <f t="shared" si="35"/>
        <v>00</v>
      </c>
      <c r="AO168" s="68" t="str">
        <f t="shared" si="36"/>
        <v>00</v>
      </c>
      <c r="AQ168" t="str">
        <f t="shared" si="31"/>
        <v xml:space="preserve">    (U4)0x0000003FU,                                                           /* 32 UNKNOWN                                         */</v>
      </c>
    </row>
    <row r="169" spans="2:43">
      <c r="B169" s="139"/>
      <c r="C169" s="55">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1</v>
      </c>
      <c r="AE169" s="133">
        <f t="shared" si="44"/>
        <v>1</v>
      </c>
      <c r="AF169" s="133">
        <f t="shared" si="44"/>
        <v>1</v>
      </c>
      <c r="AG169" s="133">
        <f t="shared" si="44"/>
        <v>1</v>
      </c>
      <c r="AH169" s="133">
        <f t="shared" si="44"/>
        <v>1</v>
      </c>
      <c r="AI169" s="133">
        <f t="shared" si="44"/>
        <v>1</v>
      </c>
      <c r="AJ169" s="55" t="str">
        <f t="shared" si="30"/>
        <v>UNKNOWN</v>
      </c>
      <c r="AK169" s="68"/>
      <c r="AL169" s="68" t="str">
        <f t="shared" si="33"/>
        <v>3F</v>
      </c>
      <c r="AM169" s="68" t="str">
        <f t="shared" si="34"/>
        <v>00</v>
      </c>
      <c r="AN169" s="68" t="str">
        <f t="shared" si="35"/>
        <v>00</v>
      </c>
      <c r="AO169" s="68" t="str">
        <f t="shared" si="36"/>
        <v>00</v>
      </c>
      <c r="AQ169" t="str">
        <f t="shared" si="31"/>
        <v xml:space="preserve">    (U4)0x0000003FU,                                                           /* 33 UNKNOWN                                         */</v>
      </c>
    </row>
    <row r="170" spans="2:43">
      <c r="B170" s="139"/>
      <c r="C170" s="55">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1</v>
      </c>
      <c r="AE170" s="133">
        <f t="shared" si="44"/>
        <v>1</v>
      </c>
      <c r="AF170" s="133">
        <f t="shared" si="44"/>
        <v>1</v>
      </c>
      <c r="AG170" s="133">
        <f t="shared" si="44"/>
        <v>1</v>
      </c>
      <c r="AH170" s="133">
        <f t="shared" si="44"/>
        <v>1</v>
      </c>
      <c r="AI170" s="133">
        <f t="shared" si="44"/>
        <v>1</v>
      </c>
      <c r="AJ170" s="55" t="str">
        <f t="shared" si="30"/>
        <v>UNKNOWN</v>
      </c>
      <c r="AK170" s="68"/>
      <c r="AL170" s="68" t="str">
        <f t="shared" si="33"/>
        <v>3F</v>
      </c>
      <c r="AM170" s="68" t="str">
        <f t="shared" si="34"/>
        <v>00</v>
      </c>
      <c r="AN170" s="68" t="str">
        <f t="shared" si="35"/>
        <v>00</v>
      </c>
      <c r="AO170" s="68" t="str">
        <f t="shared" si="36"/>
        <v>00</v>
      </c>
      <c r="AQ170" t="str">
        <f t="shared" si="31"/>
        <v xml:space="preserve">    (U4)0x0000003FU,                                                           /* 34 UNKNOWN                                         */</v>
      </c>
    </row>
    <row r="171" spans="2:43">
      <c r="B171" s="139"/>
      <c r="C171" s="55">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1</v>
      </c>
      <c r="AE171" s="133">
        <f t="shared" si="44"/>
        <v>1</v>
      </c>
      <c r="AF171" s="133">
        <f t="shared" si="44"/>
        <v>1</v>
      </c>
      <c r="AG171" s="133">
        <f t="shared" si="44"/>
        <v>1</v>
      </c>
      <c r="AH171" s="133">
        <f t="shared" si="44"/>
        <v>1</v>
      </c>
      <c r="AI171" s="133">
        <f t="shared" si="44"/>
        <v>1</v>
      </c>
      <c r="AJ171" s="55" t="str">
        <f t="shared" si="30"/>
        <v>UNKNOWN</v>
      </c>
      <c r="AK171" s="68"/>
      <c r="AL171" s="68" t="str">
        <f t="shared" si="33"/>
        <v>3F</v>
      </c>
      <c r="AM171" s="68" t="str">
        <f t="shared" si="34"/>
        <v>00</v>
      </c>
      <c r="AN171" s="68" t="str">
        <f t="shared" si="35"/>
        <v>00</v>
      </c>
      <c r="AO171" s="68" t="str">
        <f t="shared" si="36"/>
        <v>00</v>
      </c>
      <c r="AQ171" t="str">
        <f t="shared" si="31"/>
        <v xml:space="preserve">    (U4)0x0000003FU,                                                           /* 35 UNKNOWN                                         */</v>
      </c>
    </row>
    <row r="172" spans="2:43">
      <c r="B172" s="139"/>
      <c r="C172" s="55">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1</v>
      </c>
      <c r="AE172" s="133">
        <f t="shared" si="44"/>
        <v>1</v>
      </c>
      <c r="AF172" s="133">
        <f t="shared" si="44"/>
        <v>1</v>
      </c>
      <c r="AG172" s="133">
        <f t="shared" si="44"/>
        <v>1</v>
      </c>
      <c r="AH172" s="133">
        <f t="shared" si="44"/>
        <v>1</v>
      </c>
      <c r="AI172" s="133">
        <f t="shared" si="44"/>
        <v>1</v>
      </c>
      <c r="AJ172" s="55" t="str">
        <f t="shared" si="30"/>
        <v>UNKNOWN</v>
      </c>
      <c r="AK172" s="68"/>
      <c r="AL172" s="68" t="str">
        <f t="shared" si="33"/>
        <v>3F</v>
      </c>
      <c r="AM172" s="68" t="str">
        <f t="shared" si="34"/>
        <v>00</v>
      </c>
      <c r="AN172" s="68" t="str">
        <f t="shared" si="35"/>
        <v>00</v>
      </c>
      <c r="AO172" s="68" t="str">
        <f t="shared" si="36"/>
        <v>00</v>
      </c>
      <c r="AQ172" t="str">
        <f t="shared" si="31"/>
        <v xml:space="preserve">    (U4)0x0000003FU,                                                           /* 36 UNKNOWN                                         */</v>
      </c>
    </row>
    <row r="173" spans="2:43">
      <c r="B173" s="139"/>
      <c r="C173" s="55">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1</v>
      </c>
      <c r="AE173" s="133">
        <f t="shared" si="44"/>
        <v>1</v>
      </c>
      <c r="AF173" s="133">
        <f t="shared" si="44"/>
        <v>1</v>
      </c>
      <c r="AG173" s="133">
        <f t="shared" si="44"/>
        <v>1</v>
      </c>
      <c r="AH173" s="133">
        <f t="shared" si="44"/>
        <v>1</v>
      </c>
      <c r="AI173" s="133">
        <f t="shared" si="44"/>
        <v>1</v>
      </c>
      <c r="AJ173" s="55" t="str">
        <f t="shared" si="30"/>
        <v>UNKNOWN</v>
      </c>
      <c r="AK173" s="68"/>
      <c r="AL173" s="68" t="str">
        <f t="shared" si="33"/>
        <v>3F</v>
      </c>
      <c r="AM173" s="68" t="str">
        <f t="shared" si="34"/>
        <v>00</v>
      </c>
      <c r="AN173" s="68" t="str">
        <f t="shared" si="35"/>
        <v>00</v>
      </c>
      <c r="AO173" s="68" t="str">
        <f t="shared" si="36"/>
        <v>00</v>
      </c>
      <c r="AQ173" t="str">
        <f t="shared" si="31"/>
        <v xml:space="preserve">    (U4)0x0000003FU,                                                           /* 37 UNKNOWN                                         */</v>
      </c>
    </row>
    <row r="174" spans="2:43">
      <c r="B174" s="139"/>
      <c r="C174" s="55">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1</v>
      </c>
      <c r="AE174" s="133">
        <f t="shared" si="44"/>
        <v>1</v>
      </c>
      <c r="AF174" s="133">
        <f t="shared" si="44"/>
        <v>1</v>
      </c>
      <c r="AG174" s="133">
        <f t="shared" si="44"/>
        <v>1</v>
      </c>
      <c r="AH174" s="133">
        <f t="shared" si="44"/>
        <v>1</v>
      </c>
      <c r="AI174" s="133">
        <f t="shared" si="44"/>
        <v>1</v>
      </c>
      <c r="AJ174" s="55" t="str">
        <f t="shared" si="30"/>
        <v>UNKNOWN</v>
      </c>
      <c r="AK174" s="68"/>
      <c r="AL174" s="68" t="str">
        <f t="shared" si="33"/>
        <v>3F</v>
      </c>
      <c r="AM174" s="68" t="str">
        <f t="shared" si="34"/>
        <v>00</v>
      </c>
      <c r="AN174" s="68" t="str">
        <f t="shared" si="35"/>
        <v>00</v>
      </c>
      <c r="AO174" s="68" t="str">
        <f t="shared" si="36"/>
        <v>00</v>
      </c>
      <c r="AQ174" t="str">
        <f t="shared" si="31"/>
        <v xml:space="preserve">    (U4)0x0000003FU,                                                           /* 38 UNKNOWN                                         */</v>
      </c>
    </row>
    <row r="175" spans="2:43">
      <c r="B175" s="139"/>
      <c r="C175" s="55">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1</v>
      </c>
      <c r="AE175" s="133">
        <f t="shared" si="44"/>
        <v>1</v>
      </c>
      <c r="AF175" s="133">
        <f t="shared" si="44"/>
        <v>1</v>
      </c>
      <c r="AG175" s="133">
        <f t="shared" si="44"/>
        <v>1</v>
      </c>
      <c r="AH175" s="133">
        <f t="shared" si="44"/>
        <v>1</v>
      </c>
      <c r="AI175" s="133">
        <f t="shared" ref="AI175" si="45">IF(OR(AI45=0,AI45=1),1,0)</f>
        <v>1</v>
      </c>
      <c r="AJ175" s="55" t="str">
        <f t="shared" si="30"/>
        <v>UNKNOWN</v>
      </c>
      <c r="AK175" s="68"/>
      <c r="AL175" s="68" t="str">
        <f t="shared" si="33"/>
        <v>3F</v>
      </c>
      <c r="AM175" s="68" t="str">
        <f t="shared" si="34"/>
        <v>00</v>
      </c>
      <c r="AN175" s="68" t="str">
        <f t="shared" si="35"/>
        <v>00</v>
      </c>
      <c r="AO175" s="68" t="str">
        <f t="shared" si="36"/>
        <v>00</v>
      </c>
      <c r="AQ175" t="str">
        <f t="shared" si="31"/>
        <v xml:space="preserve">    (U4)0x0000003FU,                                                           /* 39 UNKNOWN                                         */</v>
      </c>
    </row>
    <row r="176" spans="2:43">
      <c r="B176" s="139"/>
      <c r="C176" s="55">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1</v>
      </c>
      <c r="AE176" s="133">
        <f t="shared" si="46"/>
        <v>1</v>
      </c>
      <c r="AF176" s="133">
        <f t="shared" si="46"/>
        <v>1</v>
      </c>
      <c r="AG176" s="133">
        <f t="shared" si="46"/>
        <v>1</v>
      </c>
      <c r="AH176" s="133">
        <f t="shared" si="46"/>
        <v>1</v>
      </c>
      <c r="AI176" s="133">
        <f t="shared" si="46"/>
        <v>1</v>
      </c>
      <c r="AJ176" s="55" t="str">
        <f t="shared" si="30"/>
        <v>UNKNOWN</v>
      </c>
      <c r="AK176" s="68"/>
      <c r="AL176" s="68" t="str">
        <f t="shared" si="33"/>
        <v>3F</v>
      </c>
      <c r="AM176" s="68" t="str">
        <f t="shared" si="34"/>
        <v>00</v>
      </c>
      <c r="AN176" s="68" t="str">
        <f t="shared" si="35"/>
        <v>00</v>
      </c>
      <c r="AO176" s="68" t="str">
        <f t="shared" si="36"/>
        <v>00</v>
      </c>
      <c r="AQ176" t="str">
        <f t="shared" si="31"/>
        <v xml:space="preserve">    (U4)0x0000003FU,                                                           /* 40 UNKNOWN                                         */</v>
      </c>
    </row>
    <row r="177" spans="2:43">
      <c r="B177" s="139"/>
      <c r="C177" s="55">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1</v>
      </c>
      <c r="AE177" s="133">
        <f t="shared" si="46"/>
        <v>1</v>
      </c>
      <c r="AF177" s="133">
        <f t="shared" si="46"/>
        <v>1</v>
      </c>
      <c r="AG177" s="133">
        <f t="shared" si="46"/>
        <v>1</v>
      </c>
      <c r="AH177" s="133">
        <f t="shared" si="46"/>
        <v>1</v>
      </c>
      <c r="AI177" s="133">
        <f t="shared" si="46"/>
        <v>1</v>
      </c>
      <c r="AJ177" s="55" t="str">
        <f t="shared" si="30"/>
        <v>UNKNOWN</v>
      </c>
      <c r="AK177" s="68"/>
      <c r="AL177" s="68" t="str">
        <f t="shared" si="33"/>
        <v>3F</v>
      </c>
      <c r="AM177" s="68" t="str">
        <f t="shared" si="34"/>
        <v>00</v>
      </c>
      <c r="AN177" s="68" t="str">
        <f t="shared" si="35"/>
        <v>00</v>
      </c>
      <c r="AO177" s="68" t="str">
        <f t="shared" si="36"/>
        <v>00</v>
      </c>
      <c r="AQ177" t="str">
        <f t="shared" si="31"/>
        <v xml:space="preserve">    (U4)0x0000003FU,                                                           /* 41 UNKNOWN                                         */</v>
      </c>
    </row>
    <row r="178" spans="2:43">
      <c r="B178" s="139"/>
      <c r="C178" s="55">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1</v>
      </c>
      <c r="AE178" s="133">
        <f t="shared" si="46"/>
        <v>1</v>
      </c>
      <c r="AF178" s="133">
        <f t="shared" si="46"/>
        <v>1</v>
      </c>
      <c r="AG178" s="133">
        <f t="shared" si="46"/>
        <v>1</v>
      </c>
      <c r="AH178" s="133">
        <f t="shared" si="46"/>
        <v>1</v>
      </c>
      <c r="AI178" s="133">
        <f t="shared" si="46"/>
        <v>1</v>
      </c>
      <c r="AJ178" s="55" t="str">
        <f t="shared" si="30"/>
        <v>UNKNOWN</v>
      </c>
      <c r="AK178" s="68"/>
      <c r="AL178" s="68" t="str">
        <f t="shared" si="33"/>
        <v>3F</v>
      </c>
      <c r="AM178" s="68" t="str">
        <f t="shared" si="34"/>
        <v>00</v>
      </c>
      <c r="AN178" s="68" t="str">
        <f t="shared" si="35"/>
        <v>00</v>
      </c>
      <c r="AO178" s="68" t="str">
        <f t="shared" si="36"/>
        <v>00</v>
      </c>
      <c r="AQ178" t="str">
        <f t="shared" si="31"/>
        <v xml:space="preserve">    (U4)0x0000003FU,                                                           /* 42 UNKNOWN                                         */</v>
      </c>
    </row>
    <row r="179" spans="2:43">
      <c r="B179" s="139"/>
      <c r="C179" s="55">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1</v>
      </c>
      <c r="AE179" s="133">
        <f t="shared" si="46"/>
        <v>1</v>
      </c>
      <c r="AF179" s="133">
        <f t="shared" si="46"/>
        <v>1</v>
      </c>
      <c r="AG179" s="133">
        <f t="shared" si="46"/>
        <v>1</v>
      </c>
      <c r="AH179" s="133">
        <f t="shared" si="46"/>
        <v>1</v>
      </c>
      <c r="AI179" s="133">
        <f t="shared" si="46"/>
        <v>1</v>
      </c>
      <c r="AJ179" s="55" t="str">
        <f t="shared" si="30"/>
        <v>UNKNOWN</v>
      </c>
      <c r="AK179" s="68"/>
      <c r="AL179" s="68" t="str">
        <f t="shared" si="33"/>
        <v>3F</v>
      </c>
      <c r="AM179" s="68" t="str">
        <f t="shared" si="34"/>
        <v>00</v>
      </c>
      <c r="AN179" s="68" t="str">
        <f t="shared" si="35"/>
        <v>00</v>
      </c>
      <c r="AO179" s="68" t="str">
        <f t="shared" si="36"/>
        <v>00</v>
      </c>
      <c r="AQ179" t="str">
        <f t="shared" si="31"/>
        <v xml:space="preserve">    (U4)0x0000003FU,                                                           /* 43 UNKNOWN                                         */</v>
      </c>
    </row>
    <row r="180" spans="2:43">
      <c r="B180" s="139"/>
      <c r="C180" s="55">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1</v>
      </c>
      <c r="AE180" s="133">
        <f t="shared" si="46"/>
        <v>1</v>
      </c>
      <c r="AF180" s="133">
        <f t="shared" si="46"/>
        <v>1</v>
      </c>
      <c r="AG180" s="133">
        <f t="shared" si="46"/>
        <v>1</v>
      </c>
      <c r="AH180" s="133">
        <f t="shared" si="46"/>
        <v>1</v>
      </c>
      <c r="AI180" s="133">
        <f t="shared" si="46"/>
        <v>1</v>
      </c>
      <c r="AJ180" s="55" t="str">
        <f t="shared" si="30"/>
        <v>UNKNOWN</v>
      </c>
      <c r="AK180" s="68"/>
      <c r="AL180" s="68" t="str">
        <f t="shared" si="33"/>
        <v>3F</v>
      </c>
      <c r="AM180" s="68" t="str">
        <f t="shared" si="34"/>
        <v>00</v>
      </c>
      <c r="AN180" s="68" t="str">
        <f t="shared" si="35"/>
        <v>00</v>
      </c>
      <c r="AO180" s="68" t="str">
        <f t="shared" si="36"/>
        <v>00</v>
      </c>
      <c r="AQ180" t="str">
        <f t="shared" si="31"/>
        <v xml:space="preserve">    (U4)0x0000003FU,                                                           /* 44 UNKNOWN                                         */</v>
      </c>
    </row>
    <row r="181" spans="2:43">
      <c r="B181" s="139"/>
      <c r="C181" s="55">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1</v>
      </c>
      <c r="AE181" s="133">
        <f t="shared" si="46"/>
        <v>1</v>
      </c>
      <c r="AF181" s="133">
        <f t="shared" si="46"/>
        <v>1</v>
      </c>
      <c r="AG181" s="133">
        <f t="shared" si="46"/>
        <v>1</v>
      </c>
      <c r="AH181" s="133">
        <f t="shared" si="46"/>
        <v>1</v>
      </c>
      <c r="AI181" s="133">
        <f t="shared" si="46"/>
        <v>1</v>
      </c>
      <c r="AJ181" s="55" t="str">
        <f t="shared" si="30"/>
        <v>UNKNOWN</v>
      </c>
      <c r="AK181" s="68"/>
      <c r="AL181" s="68" t="str">
        <f t="shared" si="33"/>
        <v>3F</v>
      </c>
      <c r="AM181" s="68" t="str">
        <f t="shared" si="34"/>
        <v>00</v>
      </c>
      <c r="AN181" s="68" t="str">
        <f t="shared" si="35"/>
        <v>00</v>
      </c>
      <c r="AO181" s="68" t="str">
        <f t="shared" si="36"/>
        <v>00</v>
      </c>
      <c r="AQ181" t="str">
        <f t="shared" si="31"/>
        <v xml:space="preserve">    (U4)0x0000003FU,                                                           /* 45 UNKNOWN                                         */</v>
      </c>
    </row>
    <row r="182" spans="2:43">
      <c r="B182" s="139"/>
      <c r="C182" s="55">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1</v>
      </c>
      <c r="AE182" s="133">
        <f t="shared" si="46"/>
        <v>1</v>
      </c>
      <c r="AF182" s="133">
        <f t="shared" si="46"/>
        <v>1</v>
      </c>
      <c r="AG182" s="133">
        <f t="shared" si="46"/>
        <v>1</v>
      </c>
      <c r="AH182" s="133">
        <f t="shared" si="46"/>
        <v>1</v>
      </c>
      <c r="AI182" s="133">
        <f t="shared" si="46"/>
        <v>1</v>
      </c>
      <c r="AJ182" s="55" t="str">
        <f t="shared" si="30"/>
        <v>UNKNOWN</v>
      </c>
      <c r="AK182" s="68"/>
      <c r="AL182" s="68" t="str">
        <f t="shared" si="33"/>
        <v>3F</v>
      </c>
      <c r="AM182" s="68" t="str">
        <f t="shared" si="34"/>
        <v>00</v>
      </c>
      <c r="AN182" s="68" t="str">
        <f t="shared" si="35"/>
        <v>00</v>
      </c>
      <c r="AO182" s="68" t="str">
        <f t="shared" si="36"/>
        <v>00</v>
      </c>
      <c r="AQ182" t="str">
        <f t="shared" si="31"/>
        <v xml:space="preserve">    (U4)0x0000003FU,                                                           /* 46 UNKNOWN                                         */</v>
      </c>
    </row>
    <row r="183" spans="2:43">
      <c r="B183" s="139"/>
      <c r="C183" s="55">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1</v>
      </c>
      <c r="AE183" s="133">
        <f t="shared" si="46"/>
        <v>1</v>
      </c>
      <c r="AF183" s="133">
        <f t="shared" si="46"/>
        <v>1</v>
      </c>
      <c r="AG183" s="133">
        <f t="shared" si="46"/>
        <v>1</v>
      </c>
      <c r="AH183" s="133">
        <f t="shared" si="46"/>
        <v>1</v>
      </c>
      <c r="AI183" s="133">
        <f t="shared" ref="AI183" si="47">IF(OR(AI53=0,AI53=1),1,0)</f>
        <v>1</v>
      </c>
      <c r="AJ183" s="55" t="str">
        <f t="shared" si="30"/>
        <v>UNKNOWN</v>
      </c>
      <c r="AK183" s="68"/>
      <c r="AL183" s="68" t="str">
        <f t="shared" si="33"/>
        <v>3F</v>
      </c>
      <c r="AM183" s="68" t="str">
        <f t="shared" si="34"/>
        <v>00</v>
      </c>
      <c r="AN183" s="68" t="str">
        <f t="shared" si="35"/>
        <v>00</v>
      </c>
      <c r="AO183" s="68" t="str">
        <f t="shared" si="36"/>
        <v>00</v>
      </c>
      <c r="AQ183" t="str">
        <f t="shared" si="31"/>
        <v xml:space="preserve">    (U4)0x0000003FU,                                                           /* 47 UNKNOWN                                         */</v>
      </c>
    </row>
    <row r="184" spans="2:43">
      <c r="B184" s="139"/>
      <c r="C184" s="55">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1</v>
      </c>
      <c r="AE184" s="133">
        <f t="shared" si="48"/>
        <v>1</v>
      </c>
      <c r="AF184" s="133">
        <f t="shared" si="48"/>
        <v>1</v>
      </c>
      <c r="AG184" s="133">
        <f t="shared" si="48"/>
        <v>1</v>
      </c>
      <c r="AH184" s="133">
        <f t="shared" si="48"/>
        <v>1</v>
      </c>
      <c r="AI184" s="133">
        <f t="shared" si="48"/>
        <v>1</v>
      </c>
      <c r="AJ184" s="55" t="str">
        <f t="shared" si="30"/>
        <v>UNKNOWN</v>
      </c>
      <c r="AK184" s="68"/>
      <c r="AL184" s="68" t="str">
        <f t="shared" si="33"/>
        <v>3F</v>
      </c>
      <c r="AM184" s="68" t="str">
        <f t="shared" si="34"/>
        <v>00</v>
      </c>
      <c r="AN184" s="68" t="str">
        <f t="shared" si="35"/>
        <v>00</v>
      </c>
      <c r="AO184" s="68" t="str">
        <f t="shared" si="36"/>
        <v>00</v>
      </c>
      <c r="AQ184" t="str">
        <f t="shared" si="31"/>
        <v xml:space="preserve">    (U4)0x0000003FU,                                                           /* 48 UNKNOWN                                         */</v>
      </c>
    </row>
    <row r="185" spans="2:43">
      <c r="B185" s="139"/>
      <c r="C185" s="55">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1</v>
      </c>
      <c r="AE185" s="133">
        <f t="shared" si="48"/>
        <v>1</v>
      </c>
      <c r="AF185" s="133">
        <f t="shared" si="48"/>
        <v>1</v>
      </c>
      <c r="AG185" s="133">
        <f t="shared" si="48"/>
        <v>1</v>
      </c>
      <c r="AH185" s="133">
        <f t="shared" si="48"/>
        <v>1</v>
      </c>
      <c r="AI185" s="133">
        <f t="shared" si="48"/>
        <v>1</v>
      </c>
      <c r="AJ185" s="55" t="str">
        <f t="shared" si="30"/>
        <v>UNKNOWN</v>
      </c>
      <c r="AK185" s="68"/>
      <c r="AL185" s="68" t="str">
        <f t="shared" si="33"/>
        <v>3F</v>
      </c>
      <c r="AM185" s="68" t="str">
        <f t="shared" si="34"/>
        <v>00</v>
      </c>
      <c r="AN185" s="68" t="str">
        <f t="shared" si="35"/>
        <v>00</v>
      </c>
      <c r="AO185" s="68" t="str">
        <f t="shared" si="36"/>
        <v>00</v>
      </c>
      <c r="AQ185" t="str">
        <f t="shared" si="31"/>
        <v xml:space="preserve">    (U4)0x0000003FU,                                                           /* 49 UNKNOWN                                         */</v>
      </c>
    </row>
    <row r="186" spans="2:43">
      <c r="B186" s="139"/>
      <c r="C186" s="55">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1</v>
      </c>
      <c r="AE186" s="133">
        <f t="shared" si="48"/>
        <v>1</v>
      </c>
      <c r="AF186" s="133">
        <f t="shared" si="48"/>
        <v>1</v>
      </c>
      <c r="AG186" s="133">
        <f t="shared" si="48"/>
        <v>1</v>
      </c>
      <c r="AH186" s="133">
        <f t="shared" si="48"/>
        <v>1</v>
      </c>
      <c r="AI186" s="133">
        <f t="shared" si="48"/>
        <v>1</v>
      </c>
      <c r="AJ186" s="55" t="str">
        <f t="shared" si="30"/>
        <v>UNKNOWN</v>
      </c>
      <c r="AK186" s="68"/>
      <c r="AL186" s="68" t="str">
        <f t="shared" si="33"/>
        <v>3F</v>
      </c>
      <c r="AM186" s="68" t="str">
        <f t="shared" si="34"/>
        <v>00</v>
      </c>
      <c r="AN186" s="68" t="str">
        <f t="shared" si="35"/>
        <v>00</v>
      </c>
      <c r="AO186" s="68" t="str">
        <f t="shared" si="36"/>
        <v>00</v>
      </c>
      <c r="AQ186" t="str">
        <f t="shared" si="31"/>
        <v xml:space="preserve">    (U4)0x0000003FU,                                                           /* 50 UNKNOWN                                         */</v>
      </c>
    </row>
    <row r="187" spans="2:43">
      <c r="B187" s="139"/>
      <c r="C187" s="55">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1</v>
      </c>
      <c r="AE187" s="133">
        <f t="shared" si="48"/>
        <v>1</v>
      </c>
      <c r="AF187" s="133">
        <f t="shared" si="48"/>
        <v>1</v>
      </c>
      <c r="AG187" s="133">
        <f t="shared" si="48"/>
        <v>1</v>
      </c>
      <c r="AH187" s="133">
        <f t="shared" si="48"/>
        <v>1</v>
      </c>
      <c r="AI187" s="133">
        <f t="shared" si="48"/>
        <v>1</v>
      </c>
      <c r="AJ187" s="55" t="str">
        <f t="shared" si="30"/>
        <v>UNKNOWN</v>
      </c>
      <c r="AK187" s="68"/>
      <c r="AL187" s="68" t="str">
        <f t="shared" si="33"/>
        <v>3F</v>
      </c>
      <c r="AM187" s="68" t="str">
        <f t="shared" si="34"/>
        <v>00</v>
      </c>
      <c r="AN187" s="68" t="str">
        <f t="shared" si="35"/>
        <v>00</v>
      </c>
      <c r="AO187" s="68" t="str">
        <f t="shared" si="36"/>
        <v>00</v>
      </c>
      <c r="AQ187" t="str">
        <f t="shared" si="31"/>
        <v xml:space="preserve">    (U4)0x0000003FU,                                                           /* 51 UNKNOWN                                         */</v>
      </c>
    </row>
    <row r="188" spans="2:43">
      <c r="B188" s="139"/>
      <c r="C188" s="55">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1</v>
      </c>
      <c r="AE188" s="133">
        <f t="shared" si="48"/>
        <v>1</v>
      </c>
      <c r="AF188" s="133">
        <f t="shared" si="48"/>
        <v>1</v>
      </c>
      <c r="AG188" s="133">
        <f t="shared" si="48"/>
        <v>1</v>
      </c>
      <c r="AH188" s="133">
        <f t="shared" si="48"/>
        <v>1</v>
      </c>
      <c r="AI188" s="133">
        <f t="shared" si="48"/>
        <v>1</v>
      </c>
      <c r="AJ188" s="55" t="str">
        <f t="shared" si="30"/>
        <v>UNKNOWN</v>
      </c>
      <c r="AK188" s="68"/>
      <c r="AL188" s="68" t="str">
        <f t="shared" si="33"/>
        <v>3F</v>
      </c>
      <c r="AM188" s="68" t="str">
        <f t="shared" si="34"/>
        <v>00</v>
      </c>
      <c r="AN188" s="68" t="str">
        <f t="shared" si="35"/>
        <v>00</v>
      </c>
      <c r="AO188" s="68" t="str">
        <f t="shared" si="36"/>
        <v>00</v>
      </c>
      <c r="AQ188" t="str">
        <f t="shared" si="31"/>
        <v xml:space="preserve">    (U4)0x0000003FU,                                                           /* 52 UNKNOWN                                         */</v>
      </c>
    </row>
    <row r="189" spans="2:43">
      <c r="B189" s="139"/>
      <c r="C189" s="55">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1</v>
      </c>
      <c r="AE189" s="133">
        <f t="shared" si="48"/>
        <v>1</v>
      </c>
      <c r="AF189" s="133">
        <f t="shared" si="48"/>
        <v>1</v>
      </c>
      <c r="AG189" s="133">
        <f t="shared" si="48"/>
        <v>1</v>
      </c>
      <c r="AH189" s="133">
        <f t="shared" si="48"/>
        <v>1</v>
      </c>
      <c r="AI189" s="133">
        <f t="shared" si="48"/>
        <v>1</v>
      </c>
      <c r="AJ189" s="55" t="str">
        <f t="shared" si="30"/>
        <v>UNKNOWN</v>
      </c>
      <c r="AK189" s="68"/>
      <c r="AL189" s="68" t="str">
        <f t="shared" si="33"/>
        <v>3F</v>
      </c>
      <c r="AM189" s="68" t="str">
        <f t="shared" si="34"/>
        <v>00</v>
      </c>
      <c r="AN189" s="68" t="str">
        <f t="shared" si="35"/>
        <v>00</v>
      </c>
      <c r="AO189" s="68" t="str">
        <f t="shared" si="36"/>
        <v>00</v>
      </c>
      <c r="AQ189" t="str">
        <f t="shared" si="31"/>
        <v xml:space="preserve">    (U4)0x0000003FU,                                                           /* 53 UNKNOWN                                         */</v>
      </c>
    </row>
    <row r="190" spans="2:43">
      <c r="B190" s="139"/>
      <c r="C190" s="55">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1</v>
      </c>
      <c r="AE190" s="133">
        <f t="shared" si="48"/>
        <v>1</v>
      </c>
      <c r="AF190" s="133">
        <f t="shared" si="48"/>
        <v>1</v>
      </c>
      <c r="AG190" s="133">
        <f t="shared" si="48"/>
        <v>1</v>
      </c>
      <c r="AH190" s="133">
        <f t="shared" si="48"/>
        <v>1</v>
      </c>
      <c r="AI190" s="133">
        <f t="shared" si="48"/>
        <v>1</v>
      </c>
      <c r="AJ190" s="55" t="str">
        <f t="shared" si="30"/>
        <v>UNKNOWN</v>
      </c>
      <c r="AK190" s="68"/>
      <c r="AL190" s="68" t="str">
        <f t="shared" si="33"/>
        <v>3F</v>
      </c>
      <c r="AM190" s="68" t="str">
        <f t="shared" si="34"/>
        <v>00</v>
      </c>
      <c r="AN190" s="68" t="str">
        <f t="shared" si="35"/>
        <v>00</v>
      </c>
      <c r="AO190" s="68" t="str">
        <f t="shared" si="36"/>
        <v>00</v>
      </c>
      <c r="AQ190" t="str">
        <f t="shared" si="31"/>
        <v xml:space="preserve">    (U4)0x0000003FU,                                                           /* 54 UNKNOWN                                         */</v>
      </c>
    </row>
    <row r="191" spans="2:43">
      <c r="B191" s="139"/>
      <c r="C191" s="55">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1</v>
      </c>
      <c r="AE191" s="133">
        <f t="shared" si="48"/>
        <v>1</v>
      </c>
      <c r="AF191" s="133">
        <f t="shared" si="48"/>
        <v>1</v>
      </c>
      <c r="AG191" s="133">
        <f t="shared" si="48"/>
        <v>1</v>
      </c>
      <c r="AH191" s="133">
        <f t="shared" si="48"/>
        <v>1</v>
      </c>
      <c r="AI191" s="133">
        <f t="shared" ref="AI191" si="49">IF(OR(AI61=0,AI61=1),1,0)</f>
        <v>1</v>
      </c>
      <c r="AJ191" s="55" t="str">
        <f t="shared" si="30"/>
        <v>UNKNOWN</v>
      </c>
      <c r="AK191" s="68"/>
      <c r="AL191" s="68" t="str">
        <f t="shared" si="33"/>
        <v>3F</v>
      </c>
      <c r="AM191" s="68" t="str">
        <f t="shared" si="34"/>
        <v>00</v>
      </c>
      <c r="AN191" s="68" t="str">
        <f t="shared" si="35"/>
        <v>00</v>
      </c>
      <c r="AO191" s="68" t="str">
        <f t="shared" si="36"/>
        <v>00</v>
      </c>
      <c r="AQ191" t="str">
        <f t="shared" si="31"/>
        <v xml:space="preserve">    (U4)0x0000003FU,                                                           /* 55 UNKNOWN                                         */</v>
      </c>
    </row>
    <row r="192" spans="2:43">
      <c r="B192" s="139"/>
      <c r="C192" s="55">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1</v>
      </c>
      <c r="AE192" s="133">
        <f t="shared" si="50"/>
        <v>1</v>
      </c>
      <c r="AF192" s="133">
        <f t="shared" si="50"/>
        <v>1</v>
      </c>
      <c r="AG192" s="133">
        <f t="shared" si="50"/>
        <v>1</v>
      </c>
      <c r="AH192" s="133">
        <f t="shared" si="50"/>
        <v>1</v>
      </c>
      <c r="AI192" s="133">
        <f t="shared" si="50"/>
        <v>1</v>
      </c>
      <c r="AJ192" s="55" t="str">
        <f t="shared" si="30"/>
        <v>UNKNOWN</v>
      </c>
      <c r="AK192" s="68"/>
      <c r="AL192" s="68" t="str">
        <f t="shared" si="33"/>
        <v>3F</v>
      </c>
      <c r="AM192" s="68" t="str">
        <f t="shared" si="34"/>
        <v>00</v>
      </c>
      <c r="AN192" s="68" t="str">
        <f t="shared" si="35"/>
        <v>00</v>
      </c>
      <c r="AO192" s="68" t="str">
        <f t="shared" si="36"/>
        <v>00</v>
      </c>
      <c r="AQ192" t="str">
        <f t="shared" si="31"/>
        <v xml:space="preserve">    (U4)0x0000003FU,                                                           /* 56 UNKNOWN                                         */</v>
      </c>
    </row>
    <row r="193" spans="2:43">
      <c r="B193" s="139"/>
      <c r="C193" s="55">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1</v>
      </c>
      <c r="AE193" s="133">
        <f t="shared" si="50"/>
        <v>1</v>
      </c>
      <c r="AF193" s="133">
        <f t="shared" si="50"/>
        <v>1</v>
      </c>
      <c r="AG193" s="133">
        <f t="shared" si="50"/>
        <v>1</v>
      </c>
      <c r="AH193" s="133">
        <f t="shared" si="50"/>
        <v>1</v>
      </c>
      <c r="AI193" s="133">
        <f t="shared" si="50"/>
        <v>1</v>
      </c>
      <c r="AJ193" s="55" t="str">
        <f t="shared" si="30"/>
        <v>UNKNOWN</v>
      </c>
      <c r="AK193" s="68"/>
      <c r="AL193" s="68" t="str">
        <f t="shared" si="33"/>
        <v>3F</v>
      </c>
      <c r="AM193" s="68" t="str">
        <f t="shared" si="34"/>
        <v>00</v>
      </c>
      <c r="AN193" s="68" t="str">
        <f t="shared" si="35"/>
        <v>00</v>
      </c>
      <c r="AO193" s="68" t="str">
        <f t="shared" si="36"/>
        <v>00</v>
      </c>
      <c r="AQ193" t="str">
        <f t="shared" si="31"/>
        <v xml:space="preserve">    (U4)0x0000003FU,                                                           /* 57 UNKNOWN                                         */</v>
      </c>
    </row>
    <row r="194" spans="2:43">
      <c r="B194" s="139"/>
      <c r="C194" s="55">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1</v>
      </c>
      <c r="AE194" s="133">
        <f t="shared" si="50"/>
        <v>1</v>
      </c>
      <c r="AF194" s="133">
        <f t="shared" si="50"/>
        <v>1</v>
      </c>
      <c r="AG194" s="133">
        <f t="shared" si="50"/>
        <v>1</v>
      </c>
      <c r="AH194" s="133">
        <f t="shared" si="50"/>
        <v>1</v>
      </c>
      <c r="AI194" s="133">
        <f t="shared" si="50"/>
        <v>1</v>
      </c>
      <c r="AJ194" s="55" t="str">
        <f t="shared" si="30"/>
        <v>UNKNOWN</v>
      </c>
      <c r="AK194" s="68"/>
      <c r="AL194" s="68" t="str">
        <f t="shared" si="33"/>
        <v>3F</v>
      </c>
      <c r="AM194" s="68" t="str">
        <f t="shared" si="34"/>
        <v>00</v>
      </c>
      <c r="AN194" s="68" t="str">
        <f t="shared" si="35"/>
        <v>00</v>
      </c>
      <c r="AO194" s="68" t="str">
        <f t="shared" si="36"/>
        <v>00</v>
      </c>
      <c r="AQ194" t="str">
        <f t="shared" si="31"/>
        <v xml:space="preserve">    (U4)0x0000003FU,                                                           /* 58 UNKNOWN                                         */</v>
      </c>
    </row>
    <row r="195" spans="2:43">
      <c r="B195" s="139"/>
      <c r="C195" s="55">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1</v>
      </c>
      <c r="AE195" s="133">
        <f t="shared" si="50"/>
        <v>1</v>
      </c>
      <c r="AF195" s="133">
        <f t="shared" si="50"/>
        <v>1</v>
      </c>
      <c r="AG195" s="133">
        <f t="shared" si="50"/>
        <v>1</v>
      </c>
      <c r="AH195" s="133">
        <f t="shared" si="50"/>
        <v>1</v>
      </c>
      <c r="AI195" s="133">
        <f t="shared" si="50"/>
        <v>1</v>
      </c>
      <c r="AJ195" s="55" t="str">
        <f t="shared" si="30"/>
        <v>UNKNOWN</v>
      </c>
      <c r="AK195" s="68"/>
      <c r="AL195" s="68" t="str">
        <f t="shared" si="33"/>
        <v>3F</v>
      </c>
      <c r="AM195" s="68" t="str">
        <f t="shared" si="34"/>
        <v>00</v>
      </c>
      <c r="AN195" s="68" t="str">
        <f t="shared" si="35"/>
        <v>00</v>
      </c>
      <c r="AO195" s="68" t="str">
        <f t="shared" si="36"/>
        <v>00</v>
      </c>
      <c r="AQ195" t="str">
        <f t="shared" si="31"/>
        <v xml:space="preserve">    (U4)0x0000003FU,                                                           /* 59 UNKNOWN                                         */</v>
      </c>
    </row>
    <row r="196" spans="2:43">
      <c r="B196" s="139"/>
      <c r="C196" s="55">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1</v>
      </c>
      <c r="AE196" s="133">
        <f t="shared" si="50"/>
        <v>1</v>
      </c>
      <c r="AF196" s="133">
        <f t="shared" si="50"/>
        <v>1</v>
      </c>
      <c r="AG196" s="133">
        <f t="shared" si="50"/>
        <v>1</v>
      </c>
      <c r="AH196" s="133">
        <f t="shared" si="50"/>
        <v>1</v>
      </c>
      <c r="AI196" s="133">
        <f t="shared" si="50"/>
        <v>1</v>
      </c>
      <c r="AJ196" s="55" t="str">
        <f t="shared" si="30"/>
        <v>UNKNOWN</v>
      </c>
      <c r="AK196" s="68"/>
      <c r="AL196" s="68" t="str">
        <f t="shared" si="33"/>
        <v>3F</v>
      </c>
      <c r="AM196" s="68" t="str">
        <f t="shared" si="34"/>
        <v>00</v>
      </c>
      <c r="AN196" s="68" t="str">
        <f t="shared" si="35"/>
        <v>00</v>
      </c>
      <c r="AO196" s="68" t="str">
        <f t="shared" si="36"/>
        <v>00</v>
      </c>
      <c r="AQ196" t="str">
        <f t="shared" si="31"/>
        <v xml:space="preserve">    (U4)0x0000003FU,                                                           /* 60 UNKNOWN                                         */</v>
      </c>
    </row>
    <row r="197" spans="2:43">
      <c r="B197" s="139"/>
      <c r="C197" s="55">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1</v>
      </c>
      <c r="AE197" s="133">
        <f t="shared" si="50"/>
        <v>1</v>
      </c>
      <c r="AF197" s="133">
        <f t="shared" si="50"/>
        <v>1</v>
      </c>
      <c r="AG197" s="133">
        <f t="shared" si="50"/>
        <v>1</v>
      </c>
      <c r="AH197" s="133">
        <f t="shared" si="50"/>
        <v>1</v>
      </c>
      <c r="AI197" s="133">
        <f t="shared" si="50"/>
        <v>1</v>
      </c>
      <c r="AJ197" s="55" t="str">
        <f t="shared" si="30"/>
        <v>UNKNOWN</v>
      </c>
      <c r="AK197" s="68"/>
      <c r="AL197" s="68" t="str">
        <f t="shared" si="33"/>
        <v>3F</v>
      </c>
      <c r="AM197" s="68" t="str">
        <f t="shared" si="34"/>
        <v>00</v>
      </c>
      <c r="AN197" s="68" t="str">
        <f t="shared" si="35"/>
        <v>00</v>
      </c>
      <c r="AO197" s="68" t="str">
        <f t="shared" si="36"/>
        <v>00</v>
      </c>
      <c r="AQ197" t="str">
        <f t="shared" si="31"/>
        <v xml:space="preserve">    (U4)0x0000003FU,                                                           /* 61 UNKNOWN                                         */</v>
      </c>
    </row>
    <row r="198" spans="2:43">
      <c r="B198" s="139"/>
      <c r="C198" s="55">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1</v>
      </c>
      <c r="AE198" s="133">
        <f t="shared" si="50"/>
        <v>1</v>
      </c>
      <c r="AF198" s="133">
        <f t="shared" si="50"/>
        <v>1</v>
      </c>
      <c r="AG198" s="133">
        <f t="shared" si="50"/>
        <v>1</v>
      </c>
      <c r="AH198" s="133">
        <f t="shared" si="50"/>
        <v>1</v>
      </c>
      <c r="AI198" s="133">
        <f t="shared" si="50"/>
        <v>1</v>
      </c>
      <c r="AJ198" s="55" t="str">
        <f t="shared" si="30"/>
        <v>UNKNOWN</v>
      </c>
      <c r="AK198" s="68"/>
      <c r="AL198" s="68" t="str">
        <f t="shared" si="33"/>
        <v>3F</v>
      </c>
      <c r="AM198" s="68" t="str">
        <f t="shared" si="34"/>
        <v>00</v>
      </c>
      <c r="AN198" s="68" t="str">
        <f t="shared" si="35"/>
        <v>00</v>
      </c>
      <c r="AO198" s="68" t="str">
        <f t="shared" si="36"/>
        <v>00</v>
      </c>
      <c r="AQ198" t="str">
        <f t="shared" si="31"/>
        <v xml:space="preserve">    (U4)0x0000003FU,                                                           /* 62 UNKNOWN                                         */</v>
      </c>
    </row>
    <row r="199" spans="2:43">
      <c r="B199" s="140"/>
      <c r="C199" s="55">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1</v>
      </c>
      <c r="AE199" s="133">
        <f t="shared" si="50"/>
        <v>1</v>
      </c>
      <c r="AF199" s="133">
        <f t="shared" si="50"/>
        <v>1</v>
      </c>
      <c r="AG199" s="133">
        <f t="shared" si="50"/>
        <v>1</v>
      </c>
      <c r="AH199" s="133">
        <f t="shared" si="50"/>
        <v>1</v>
      </c>
      <c r="AI199" s="133">
        <f t="shared" ref="AI199" si="51">IF(OR(AI69=0,AI69=1),1,0)</f>
        <v>1</v>
      </c>
      <c r="AJ199" s="55" t="str">
        <f t="shared" si="30"/>
        <v>UNKNOWN</v>
      </c>
      <c r="AK199" s="68"/>
      <c r="AL199" s="68" t="str">
        <f t="shared" si="33"/>
        <v>3F</v>
      </c>
      <c r="AM199" s="68" t="str">
        <f t="shared" si="34"/>
        <v>00</v>
      </c>
      <c r="AN199" s="68" t="str">
        <f t="shared" si="35"/>
        <v>00</v>
      </c>
      <c r="AO199" s="68" t="str">
        <f t="shared" si="36"/>
        <v>00</v>
      </c>
      <c r="AQ199" t="str">
        <f t="shared" si="31"/>
        <v xml:space="preserve">    (U4)0x0000003FU                                                            /* 63 UNKNOWN                                         */</v>
      </c>
    </row>
  </sheetData>
  <protectedRanges>
    <protectedRange sqref="D6:AJ69 L3:AH3" name="Table作成編集範囲"/>
    <protectedRange sqref="B3" name="Table作成編集範囲_2"/>
  </protectedRanges>
  <mergeCells count="5">
    <mergeCell ref="C2:C3"/>
    <mergeCell ref="AJ2:AJ3"/>
    <mergeCell ref="AD3:AE3"/>
    <mergeCell ref="AF3:AI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A00-000000000000}">
          <x14:formula1>
            <xm:f>CH_Design!$C$3:$C$103</xm:f>
          </x14:formula1>
          <xm:sqref>AJ6:AJ69</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dimension ref="B2:BY498"/>
  <sheetViews>
    <sheetView showGridLines="0" topLeftCell="A272" zoomScale="70" zoomScaleNormal="70" workbookViewId="0">
      <selection activeCell="O320" sqref="O320"/>
    </sheetView>
  </sheetViews>
  <sheetFormatPr defaultRowHeight="13.5"/>
  <cols>
    <col min="2" max="2" width="55.625" bestFit="1" customWidth="1"/>
    <col min="3" max="10" width="3.375" customWidth="1"/>
    <col min="11" max="11" width="19.75" bestFit="1" customWidth="1"/>
    <col min="12" max="12" width="28.625" bestFit="1" customWidth="1"/>
    <col min="13" max="13" width="23.25" bestFit="1" customWidth="1"/>
    <col min="14" max="14" width="10.875" customWidth="1"/>
    <col min="15" max="15" width="13.75" customWidth="1"/>
    <col min="16" max="17" width="10.875" customWidth="1"/>
    <col min="18" max="18" width="12.875" bestFit="1" customWidth="1"/>
  </cols>
  <sheetData>
    <row r="2" spans="2:18" ht="15" thickBot="1">
      <c r="B2" s="27" t="s">
        <v>507</v>
      </c>
    </row>
    <row r="3" spans="2:18" ht="15" thickBot="1">
      <c r="B3" s="105" t="s">
        <v>198</v>
      </c>
      <c r="C3" s="357" t="s">
        <v>199</v>
      </c>
      <c r="D3" s="358"/>
      <c r="E3" s="358"/>
      <c r="F3" s="358"/>
      <c r="G3" s="358"/>
      <c r="H3" s="358"/>
      <c r="I3" s="358"/>
      <c r="J3" s="359"/>
      <c r="K3" s="178"/>
      <c r="L3" s="178"/>
      <c r="M3" s="181"/>
      <c r="N3" s="179"/>
      <c r="O3" s="179"/>
      <c r="P3" s="179"/>
      <c r="Q3" s="180"/>
    </row>
    <row r="4" spans="2:18">
      <c r="B4" s="77"/>
      <c r="C4" s="36" t="s">
        <v>200</v>
      </c>
      <c r="D4" s="36"/>
      <c r="E4" s="36"/>
      <c r="F4" s="36"/>
      <c r="G4" s="36"/>
      <c r="H4" s="36"/>
      <c r="I4" s="36"/>
      <c r="J4" s="36"/>
      <c r="K4" s="36"/>
      <c r="L4" s="36"/>
      <c r="M4" s="32" t="s">
        <v>201</v>
      </c>
      <c r="N4" s="52" t="s">
        <v>20</v>
      </c>
      <c r="O4" s="53"/>
      <c r="P4" s="53"/>
      <c r="Q4" s="54"/>
    </row>
    <row r="5" spans="2:18">
      <c r="B5" s="78" t="s">
        <v>21</v>
      </c>
      <c r="C5" s="360" t="s">
        <v>202</v>
      </c>
      <c r="D5" s="361"/>
      <c r="E5" s="361"/>
      <c r="F5" s="361"/>
      <c r="G5" s="361"/>
      <c r="H5" s="361"/>
      <c r="I5" s="361"/>
      <c r="J5" s="362"/>
      <c r="K5" s="29" t="s">
        <v>22</v>
      </c>
      <c r="L5" s="97"/>
      <c r="M5" s="33" t="s">
        <v>488</v>
      </c>
      <c r="N5" s="31" t="s">
        <v>23</v>
      </c>
      <c r="O5" s="85" t="s">
        <v>24</v>
      </c>
      <c r="P5" s="85" t="s">
        <v>25</v>
      </c>
      <c r="Q5" s="147" t="s">
        <v>26</v>
      </c>
    </row>
    <row r="6" spans="2:18">
      <c r="B6" s="78" t="s">
        <v>36</v>
      </c>
      <c r="C6" s="173" t="s">
        <v>203</v>
      </c>
      <c r="D6" s="173" t="s">
        <v>204</v>
      </c>
      <c r="E6" s="173" t="s">
        <v>203</v>
      </c>
      <c r="F6" s="173" t="s">
        <v>205</v>
      </c>
      <c r="G6" s="173" t="s">
        <v>203</v>
      </c>
      <c r="H6" s="173" t="s">
        <v>204</v>
      </c>
      <c r="I6" s="173" t="s">
        <v>204</v>
      </c>
      <c r="J6" s="173" t="s">
        <v>204</v>
      </c>
      <c r="K6" s="145" t="s">
        <v>100</v>
      </c>
      <c r="L6" s="146" t="s">
        <v>100</v>
      </c>
      <c r="M6" s="33" t="s">
        <v>206</v>
      </c>
      <c r="N6" s="48"/>
      <c r="O6" s="86"/>
      <c r="P6" s="86"/>
      <c r="Q6" s="147"/>
    </row>
    <row r="7" spans="2:18" ht="27">
      <c r="B7" s="79" t="s">
        <v>27</v>
      </c>
      <c r="C7" s="363" t="s">
        <v>207</v>
      </c>
      <c r="D7" s="361"/>
      <c r="E7" s="361"/>
      <c r="F7" s="361"/>
      <c r="G7" s="361"/>
      <c r="H7" s="361"/>
      <c r="I7" s="361"/>
      <c r="J7" s="362"/>
      <c r="K7" s="1" t="s">
        <v>208</v>
      </c>
      <c r="L7" s="1" t="s">
        <v>264</v>
      </c>
      <c r="M7" s="34"/>
      <c r="N7" s="48"/>
      <c r="O7" s="86"/>
      <c r="P7" s="86"/>
      <c r="Q7" s="147"/>
    </row>
    <row r="8" spans="2:18" ht="64.5">
      <c r="B8" s="78" t="s">
        <v>28</v>
      </c>
      <c r="C8" s="204" t="s">
        <v>209</v>
      </c>
      <c r="D8" s="204" t="s">
        <v>65</v>
      </c>
      <c r="E8" s="204" t="s">
        <v>210</v>
      </c>
      <c r="F8" s="204" t="s">
        <v>211</v>
      </c>
      <c r="G8" s="204" t="s">
        <v>212</v>
      </c>
      <c r="H8" s="204" t="s">
        <v>213</v>
      </c>
      <c r="I8" s="204" t="s">
        <v>214</v>
      </c>
      <c r="J8" s="204" t="s">
        <v>215</v>
      </c>
      <c r="K8" s="1" t="s">
        <v>438</v>
      </c>
      <c r="L8" s="29" t="s">
        <v>489</v>
      </c>
      <c r="M8" s="33" t="s">
        <v>29</v>
      </c>
      <c r="N8" s="48"/>
      <c r="O8" s="86"/>
      <c r="P8" s="86"/>
      <c r="Q8" s="147"/>
    </row>
    <row r="9" spans="2:18" ht="68.25" thickBot="1">
      <c r="B9" s="80" t="s">
        <v>30</v>
      </c>
      <c r="C9" s="174" t="s">
        <v>217</v>
      </c>
      <c r="D9" s="174" t="s">
        <v>205</v>
      </c>
      <c r="E9" s="174" t="s">
        <v>217</v>
      </c>
      <c r="F9" s="174" t="s">
        <v>217</v>
      </c>
      <c r="G9" s="174" t="s">
        <v>217</v>
      </c>
      <c r="H9" s="174" t="s">
        <v>217</v>
      </c>
      <c r="I9" s="174" t="s">
        <v>217</v>
      </c>
      <c r="J9" s="174" t="s">
        <v>217</v>
      </c>
      <c r="K9" s="28" t="s">
        <v>518</v>
      </c>
      <c r="L9" s="30" t="s">
        <v>424</v>
      </c>
      <c r="M9" s="35" t="s">
        <v>509</v>
      </c>
      <c r="N9" s="197" t="s">
        <v>513</v>
      </c>
      <c r="O9" s="148"/>
      <c r="P9" s="84"/>
      <c r="Q9" s="149"/>
      <c r="R9" s="208"/>
    </row>
    <row r="10" spans="2:18" ht="14.25" thickTop="1">
      <c r="B10" s="81" t="s">
        <v>428</v>
      </c>
      <c r="C10" s="175" t="s">
        <v>159</v>
      </c>
      <c r="D10" s="175" t="s">
        <v>159</v>
      </c>
      <c r="E10" s="175" t="s">
        <v>159</v>
      </c>
      <c r="F10" s="175" t="s">
        <v>159</v>
      </c>
      <c r="G10" s="175" t="s">
        <v>159</v>
      </c>
      <c r="H10" s="175" t="s">
        <v>159</v>
      </c>
      <c r="I10" s="175" t="s">
        <v>159</v>
      </c>
      <c r="J10" s="175" t="s">
        <v>159</v>
      </c>
      <c r="K10" s="39" t="s">
        <v>298</v>
      </c>
      <c r="L10" s="40" t="s">
        <v>219</v>
      </c>
      <c r="M10" s="41" t="s">
        <v>220</v>
      </c>
      <c r="N10" s="42" t="s">
        <v>31</v>
      </c>
      <c r="O10" s="49"/>
      <c r="P10" s="49"/>
      <c r="Q10" s="150"/>
      <c r="R10" s="68"/>
    </row>
    <row r="11" spans="2:18">
      <c r="B11" s="81" t="s">
        <v>517</v>
      </c>
      <c r="C11" s="175" t="s">
        <v>159</v>
      </c>
      <c r="D11" s="175" t="s">
        <v>159</v>
      </c>
      <c r="E11" s="175" t="s">
        <v>159</v>
      </c>
      <c r="F11" s="175" t="s">
        <v>159</v>
      </c>
      <c r="G11" s="175" t="s">
        <v>159</v>
      </c>
      <c r="H11" s="175" t="s">
        <v>159</v>
      </c>
      <c r="I11" s="175" t="s">
        <v>159</v>
      </c>
      <c r="J11" s="175" t="s">
        <v>159</v>
      </c>
      <c r="K11" s="39" t="s">
        <v>520</v>
      </c>
      <c r="L11" s="40" t="s">
        <v>221</v>
      </c>
      <c r="M11" s="41" t="s">
        <v>511</v>
      </c>
      <c r="N11" s="42" t="s">
        <v>223</v>
      </c>
      <c r="O11" s="49"/>
      <c r="P11" s="49"/>
      <c r="Q11" s="150"/>
      <c r="R11" s="68"/>
    </row>
    <row r="12" spans="2:18">
      <c r="B12" s="81" t="s">
        <v>516</v>
      </c>
      <c r="C12" s="175" t="s">
        <v>159</v>
      </c>
      <c r="D12" s="175" t="s">
        <v>159</v>
      </c>
      <c r="E12" s="175" t="s">
        <v>159</v>
      </c>
      <c r="F12" s="175" t="s">
        <v>159</v>
      </c>
      <c r="G12" s="175" t="s">
        <v>159</v>
      </c>
      <c r="H12" s="175" t="s">
        <v>159</v>
      </c>
      <c r="I12" s="175" t="s">
        <v>159</v>
      </c>
      <c r="J12" s="175" t="s">
        <v>159</v>
      </c>
      <c r="K12" s="39" t="s">
        <v>520</v>
      </c>
      <c r="L12" s="40" t="s">
        <v>222</v>
      </c>
      <c r="M12" s="41" t="s">
        <v>510</v>
      </c>
      <c r="N12" s="42" t="s">
        <v>514</v>
      </c>
      <c r="O12" s="49"/>
      <c r="P12" s="49"/>
      <c r="Q12" s="150"/>
      <c r="R12" s="68"/>
    </row>
    <row r="13" spans="2:18">
      <c r="B13" s="81" t="s">
        <v>303</v>
      </c>
      <c r="C13" s="175" t="s">
        <v>159</v>
      </c>
      <c r="D13" s="175" t="s">
        <v>159</v>
      </c>
      <c r="E13" s="175" t="s">
        <v>159</v>
      </c>
      <c r="F13" s="175" t="s">
        <v>159</v>
      </c>
      <c r="G13" s="175" t="s">
        <v>159</v>
      </c>
      <c r="H13" s="175" t="s">
        <v>159</v>
      </c>
      <c r="I13" s="175" t="s">
        <v>159</v>
      </c>
      <c r="J13" s="175" t="s">
        <v>159</v>
      </c>
      <c r="K13" s="39" t="s">
        <v>520</v>
      </c>
      <c r="L13" s="40" t="s">
        <v>224</v>
      </c>
      <c r="M13" s="41" t="s">
        <v>108</v>
      </c>
      <c r="N13" s="42" t="s">
        <v>203</v>
      </c>
      <c r="O13" s="49"/>
      <c r="P13" s="49"/>
      <c r="Q13" s="150"/>
      <c r="R13" s="68"/>
    </row>
    <row r="14" spans="2:18">
      <c r="B14" s="81" t="s">
        <v>225</v>
      </c>
      <c r="C14" s="175" t="s">
        <v>159</v>
      </c>
      <c r="D14" s="175" t="s">
        <v>159</v>
      </c>
      <c r="E14" s="175" t="s">
        <v>159</v>
      </c>
      <c r="F14" s="175" t="s">
        <v>159</v>
      </c>
      <c r="G14" s="175" t="s">
        <v>159</v>
      </c>
      <c r="H14" s="175" t="s">
        <v>159</v>
      </c>
      <c r="I14" s="175" t="s">
        <v>159</v>
      </c>
      <c r="J14" s="175" t="s">
        <v>159</v>
      </c>
      <c r="K14" s="39" t="s">
        <v>520</v>
      </c>
      <c r="L14" s="40" t="s">
        <v>226</v>
      </c>
      <c r="M14" s="41" t="s">
        <v>220</v>
      </c>
      <c r="N14" s="42" t="s">
        <v>31</v>
      </c>
      <c r="O14" s="49"/>
      <c r="P14" s="49"/>
      <c r="Q14" s="150"/>
      <c r="R14" s="68"/>
    </row>
    <row r="15" spans="2:18">
      <c r="B15" s="81" t="s">
        <v>426</v>
      </c>
      <c r="C15" s="175" t="s">
        <v>159</v>
      </c>
      <c r="D15" s="175" t="s">
        <v>159</v>
      </c>
      <c r="E15" s="175" t="s">
        <v>159</v>
      </c>
      <c r="F15" s="175" t="s">
        <v>159</v>
      </c>
      <c r="G15" s="175" t="s">
        <v>159</v>
      </c>
      <c r="H15" s="175" t="s">
        <v>159</v>
      </c>
      <c r="I15" s="175" t="s">
        <v>159</v>
      </c>
      <c r="J15" s="175" t="s">
        <v>159</v>
      </c>
      <c r="K15" s="39" t="s">
        <v>520</v>
      </c>
      <c r="L15" s="40" t="s">
        <v>227</v>
      </c>
      <c r="M15" s="41" t="s">
        <v>511</v>
      </c>
      <c r="N15" s="42" t="s">
        <v>223</v>
      </c>
      <c r="O15" s="49"/>
      <c r="P15" s="49"/>
      <c r="Q15" s="150"/>
      <c r="R15" s="68"/>
    </row>
    <row r="16" spans="2:18">
      <c r="B16" s="81" t="s">
        <v>225</v>
      </c>
      <c r="C16" s="175" t="s">
        <v>159</v>
      </c>
      <c r="D16" s="175" t="s">
        <v>159</v>
      </c>
      <c r="E16" s="175" t="s">
        <v>159</v>
      </c>
      <c r="F16" s="175" t="s">
        <v>159</v>
      </c>
      <c r="G16" s="175" t="s">
        <v>159</v>
      </c>
      <c r="H16" s="175" t="s">
        <v>159</v>
      </c>
      <c r="I16" s="175" t="s">
        <v>159</v>
      </c>
      <c r="J16" s="175" t="s">
        <v>159</v>
      </c>
      <c r="K16" s="39" t="s">
        <v>520</v>
      </c>
      <c r="L16" s="40" t="s">
        <v>229</v>
      </c>
      <c r="M16" s="41" t="s">
        <v>220</v>
      </c>
      <c r="N16" s="42" t="s">
        <v>31</v>
      </c>
      <c r="O16" s="49"/>
      <c r="P16" s="49"/>
      <c r="Q16" s="150"/>
      <c r="R16" s="68"/>
    </row>
    <row r="17" spans="2:18">
      <c r="B17" s="81" t="s">
        <v>515</v>
      </c>
      <c r="C17" s="175" t="s">
        <v>159</v>
      </c>
      <c r="D17" s="175" t="s">
        <v>159</v>
      </c>
      <c r="E17" s="175" t="s">
        <v>159</v>
      </c>
      <c r="F17" s="175" t="s">
        <v>159</v>
      </c>
      <c r="G17" s="175" t="s">
        <v>159</v>
      </c>
      <c r="H17" s="175" t="s">
        <v>159</v>
      </c>
      <c r="I17" s="175" t="s">
        <v>159</v>
      </c>
      <c r="J17" s="175" t="s">
        <v>159</v>
      </c>
      <c r="K17" s="39" t="s">
        <v>520</v>
      </c>
      <c r="L17" s="40" t="s">
        <v>230</v>
      </c>
      <c r="M17" s="41" t="s">
        <v>512</v>
      </c>
      <c r="N17" s="42" t="s">
        <v>339</v>
      </c>
      <c r="O17" s="49"/>
      <c r="P17" s="49"/>
      <c r="Q17" s="150"/>
      <c r="R17" s="68"/>
    </row>
    <row r="18" spans="2:18">
      <c r="B18" s="22" t="s">
        <v>231</v>
      </c>
      <c r="C18" s="176" t="s">
        <v>159</v>
      </c>
      <c r="D18" s="176" t="s">
        <v>159</v>
      </c>
      <c r="E18" s="176" t="s">
        <v>159</v>
      </c>
      <c r="F18" s="176" t="s">
        <v>159</v>
      </c>
      <c r="G18" s="176" t="s">
        <v>159</v>
      </c>
      <c r="H18" s="176" t="s">
        <v>159</v>
      </c>
      <c r="I18" s="176" t="s">
        <v>159</v>
      </c>
      <c r="J18" s="176" t="s">
        <v>159</v>
      </c>
      <c r="K18" s="39" t="s">
        <v>521</v>
      </c>
      <c r="L18" s="38" t="s">
        <v>232</v>
      </c>
      <c r="M18" s="43" t="s">
        <v>108</v>
      </c>
      <c r="N18" s="42" t="s">
        <v>31</v>
      </c>
      <c r="O18" s="50"/>
      <c r="P18" s="50"/>
      <c r="Q18" s="151"/>
      <c r="R18" s="68"/>
    </row>
    <row r="19" spans="2:18">
      <c r="B19" s="22" t="s">
        <v>519</v>
      </c>
      <c r="C19" s="176" t="s">
        <v>159</v>
      </c>
      <c r="D19" s="176" t="s">
        <v>159</v>
      </c>
      <c r="E19" s="176" t="s">
        <v>159</v>
      </c>
      <c r="F19" s="176" t="s">
        <v>159</v>
      </c>
      <c r="G19" s="176" t="s">
        <v>159</v>
      </c>
      <c r="H19" s="176" t="s">
        <v>159</v>
      </c>
      <c r="I19" s="176" t="s">
        <v>159</v>
      </c>
      <c r="J19" s="176" t="s">
        <v>159</v>
      </c>
      <c r="K19" s="39" t="s">
        <v>522</v>
      </c>
      <c r="L19" s="38" t="s">
        <v>232</v>
      </c>
      <c r="M19" s="43" t="s">
        <v>228</v>
      </c>
      <c r="N19" s="42" t="s">
        <v>31</v>
      </c>
      <c r="O19" s="50"/>
      <c r="P19" s="50"/>
      <c r="Q19" s="151"/>
      <c r="R19" s="68"/>
    </row>
    <row r="20" spans="2:18" ht="14.25" thickBot="1">
      <c r="B20" s="23" t="s">
        <v>235</v>
      </c>
      <c r="C20" s="177" t="s">
        <v>159</v>
      </c>
      <c r="D20" s="177" t="s">
        <v>159</v>
      </c>
      <c r="E20" s="177" t="s">
        <v>159</v>
      </c>
      <c r="F20" s="177" t="s">
        <v>159</v>
      </c>
      <c r="G20" s="177" t="s">
        <v>159</v>
      </c>
      <c r="H20" s="177" t="s">
        <v>159</v>
      </c>
      <c r="I20" s="177" t="s">
        <v>159</v>
      </c>
      <c r="J20" s="177" t="s">
        <v>159</v>
      </c>
      <c r="K20" s="44" t="s">
        <v>268</v>
      </c>
      <c r="L20" s="45" t="s">
        <v>234</v>
      </c>
      <c r="M20" s="46" t="s">
        <v>33</v>
      </c>
      <c r="N20" s="47" t="s">
        <v>31</v>
      </c>
      <c r="O20" s="51"/>
      <c r="P20" s="51"/>
      <c r="Q20" s="152"/>
      <c r="R20" s="68"/>
    </row>
    <row r="28" spans="2:18" ht="15" thickBot="1">
      <c r="B28" s="27" t="s">
        <v>508</v>
      </c>
    </row>
    <row r="29" spans="2:18" ht="15" thickBot="1">
      <c r="B29" s="105" t="s">
        <v>123</v>
      </c>
      <c r="C29" s="357" t="s">
        <v>199</v>
      </c>
      <c r="D29" s="358"/>
      <c r="E29" s="358"/>
      <c r="F29" s="358"/>
      <c r="G29" s="358"/>
      <c r="H29" s="358"/>
      <c r="I29" s="358"/>
      <c r="J29" s="359"/>
      <c r="K29" s="178"/>
      <c r="L29" s="178"/>
      <c r="M29" s="181"/>
      <c r="N29" s="179"/>
      <c r="O29" s="179"/>
      <c r="P29" s="179"/>
      <c r="Q29" s="180"/>
    </row>
    <row r="30" spans="2:18">
      <c r="B30" s="77"/>
      <c r="C30" s="36" t="s">
        <v>200</v>
      </c>
      <c r="D30" s="36"/>
      <c r="E30" s="36"/>
      <c r="F30" s="36"/>
      <c r="G30" s="36"/>
      <c r="H30" s="36"/>
      <c r="I30" s="36"/>
      <c r="J30" s="36"/>
      <c r="K30" s="36"/>
      <c r="L30" s="36"/>
      <c r="M30" s="32" t="s">
        <v>54</v>
      </c>
      <c r="N30" s="52" t="s">
        <v>20</v>
      </c>
      <c r="O30" s="53"/>
      <c r="P30" s="53"/>
      <c r="Q30" s="54"/>
    </row>
    <row r="31" spans="2:18">
      <c r="B31" s="78" t="s">
        <v>21</v>
      </c>
      <c r="C31" s="360" t="s">
        <v>166</v>
      </c>
      <c r="D31" s="361"/>
      <c r="E31" s="361"/>
      <c r="F31" s="361"/>
      <c r="G31" s="361"/>
      <c r="H31" s="361"/>
      <c r="I31" s="361"/>
      <c r="J31" s="362"/>
      <c r="K31" s="29" t="s">
        <v>22</v>
      </c>
      <c r="L31" s="97"/>
      <c r="M31" s="33" t="s">
        <v>523</v>
      </c>
      <c r="N31" s="31" t="s">
        <v>23</v>
      </c>
      <c r="O31" s="85" t="s">
        <v>24</v>
      </c>
      <c r="P31" s="85" t="s">
        <v>25</v>
      </c>
      <c r="Q31" s="147" t="s">
        <v>26</v>
      </c>
    </row>
    <row r="32" spans="2:18">
      <c r="B32" s="78" t="s">
        <v>36</v>
      </c>
      <c r="C32" s="173" t="s">
        <v>203</v>
      </c>
      <c r="D32" s="173" t="s">
        <v>203</v>
      </c>
      <c r="E32" s="173" t="s">
        <v>203</v>
      </c>
      <c r="F32" s="173" t="s">
        <v>203</v>
      </c>
      <c r="G32" s="173" t="s">
        <v>203</v>
      </c>
      <c r="H32" s="173" t="s">
        <v>203</v>
      </c>
      <c r="I32" s="173" t="s">
        <v>203</v>
      </c>
      <c r="J32" s="173" t="s">
        <v>203</v>
      </c>
      <c r="K32" s="145" t="s">
        <v>100</v>
      </c>
      <c r="L32" s="146" t="s">
        <v>100</v>
      </c>
      <c r="M32" s="33" t="s">
        <v>206</v>
      </c>
      <c r="N32" s="48"/>
      <c r="O32" s="86"/>
      <c r="P32" s="86"/>
      <c r="Q32" s="147"/>
    </row>
    <row r="33" spans="2:17" ht="27">
      <c r="B33" s="79" t="s">
        <v>27</v>
      </c>
      <c r="C33" s="363" t="s">
        <v>38</v>
      </c>
      <c r="D33" s="361"/>
      <c r="E33" s="361"/>
      <c r="F33" s="361"/>
      <c r="G33" s="361"/>
      <c r="H33" s="361"/>
      <c r="I33" s="361"/>
      <c r="J33" s="362"/>
      <c r="K33" s="1" t="s">
        <v>208</v>
      </c>
      <c r="L33" s="1" t="s">
        <v>208</v>
      </c>
      <c r="M33" s="34"/>
      <c r="N33" s="48"/>
      <c r="O33" s="86"/>
      <c r="P33" s="86"/>
      <c r="Q33" s="147"/>
    </row>
    <row r="34" spans="2:17" ht="64.5">
      <c r="B34" s="78" t="s">
        <v>28</v>
      </c>
      <c r="C34" s="204" t="s">
        <v>209</v>
      </c>
      <c r="D34" s="204" t="s">
        <v>65</v>
      </c>
      <c r="E34" s="204" t="s">
        <v>210</v>
      </c>
      <c r="F34" s="204" t="s">
        <v>211</v>
      </c>
      <c r="G34" s="204" t="s">
        <v>212</v>
      </c>
      <c r="H34" s="204" t="s">
        <v>213</v>
      </c>
      <c r="I34" s="204" t="s">
        <v>214</v>
      </c>
      <c r="J34" s="204" t="s">
        <v>215</v>
      </c>
      <c r="K34" s="1" t="s">
        <v>438</v>
      </c>
      <c r="L34" s="29" t="s">
        <v>496</v>
      </c>
      <c r="M34" s="33" t="s">
        <v>29</v>
      </c>
      <c r="N34" s="48"/>
      <c r="O34" s="86"/>
      <c r="P34" s="86"/>
      <c r="Q34" s="147"/>
    </row>
    <row r="35" spans="2:17" ht="68.25" thickBot="1">
      <c r="B35" s="80" t="s">
        <v>30</v>
      </c>
      <c r="C35" s="174" t="s">
        <v>217</v>
      </c>
      <c r="D35" s="174" t="s">
        <v>203</v>
      </c>
      <c r="E35" s="174" t="s">
        <v>217</v>
      </c>
      <c r="F35" s="174" t="s">
        <v>217</v>
      </c>
      <c r="G35" s="174" t="s">
        <v>217</v>
      </c>
      <c r="H35" s="174" t="s">
        <v>217</v>
      </c>
      <c r="I35" s="174" t="s">
        <v>217</v>
      </c>
      <c r="J35" s="174" t="s">
        <v>217</v>
      </c>
      <c r="K35" s="28" t="s">
        <v>518</v>
      </c>
      <c r="L35" s="30" t="s">
        <v>424</v>
      </c>
      <c r="M35" s="35" t="s">
        <v>509</v>
      </c>
      <c r="N35" s="197" t="s">
        <v>513</v>
      </c>
      <c r="O35" s="148"/>
      <c r="P35" s="84"/>
      <c r="Q35" s="149"/>
    </row>
    <row r="36" spans="2:17" ht="14.25" thickTop="1">
      <c r="B36" s="81" t="s">
        <v>428</v>
      </c>
      <c r="C36" s="175" t="s">
        <v>159</v>
      </c>
      <c r="D36" s="175" t="s">
        <v>159</v>
      </c>
      <c r="E36" s="175" t="s">
        <v>159</v>
      </c>
      <c r="F36" s="175" t="s">
        <v>159</v>
      </c>
      <c r="G36" s="175" t="s">
        <v>159</v>
      </c>
      <c r="H36" s="175" t="s">
        <v>159</v>
      </c>
      <c r="I36" s="175" t="s">
        <v>159</v>
      </c>
      <c r="J36" s="175" t="s">
        <v>159</v>
      </c>
      <c r="K36" s="39" t="s">
        <v>298</v>
      </c>
      <c r="L36" s="40" t="s">
        <v>219</v>
      </c>
      <c r="M36" s="41" t="s">
        <v>108</v>
      </c>
      <c r="N36" s="42" t="s">
        <v>31</v>
      </c>
      <c r="O36" s="49"/>
      <c r="P36" s="49"/>
      <c r="Q36" s="150"/>
    </row>
    <row r="37" spans="2:17">
      <c r="B37" s="81" t="s">
        <v>427</v>
      </c>
      <c r="C37" s="175" t="s">
        <v>159</v>
      </c>
      <c r="D37" s="175" t="s">
        <v>159</v>
      </c>
      <c r="E37" s="175" t="s">
        <v>159</v>
      </c>
      <c r="F37" s="175" t="s">
        <v>159</v>
      </c>
      <c r="G37" s="175" t="s">
        <v>159</v>
      </c>
      <c r="H37" s="175" t="s">
        <v>159</v>
      </c>
      <c r="I37" s="175" t="s">
        <v>159</v>
      </c>
      <c r="J37" s="175" t="s">
        <v>159</v>
      </c>
      <c r="K37" s="39" t="s">
        <v>520</v>
      </c>
      <c r="L37" s="40" t="s">
        <v>221</v>
      </c>
      <c r="M37" s="41" t="s">
        <v>511</v>
      </c>
      <c r="N37" s="42" t="s">
        <v>223</v>
      </c>
      <c r="O37" s="49"/>
      <c r="P37" s="49"/>
      <c r="Q37" s="150"/>
    </row>
    <row r="38" spans="2:17">
      <c r="B38" s="81" t="s">
        <v>426</v>
      </c>
      <c r="C38" s="175" t="s">
        <v>159</v>
      </c>
      <c r="D38" s="175" t="s">
        <v>159</v>
      </c>
      <c r="E38" s="175" t="s">
        <v>159</v>
      </c>
      <c r="F38" s="175" t="s">
        <v>159</v>
      </c>
      <c r="G38" s="175" t="s">
        <v>159</v>
      </c>
      <c r="H38" s="175" t="s">
        <v>159</v>
      </c>
      <c r="I38" s="175" t="s">
        <v>159</v>
      </c>
      <c r="J38" s="175" t="s">
        <v>159</v>
      </c>
      <c r="K38" s="39" t="s">
        <v>520</v>
      </c>
      <c r="L38" s="40" t="s">
        <v>222</v>
      </c>
      <c r="M38" s="41" t="s">
        <v>510</v>
      </c>
      <c r="N38" s="42" t="s">
        <v>514</v>
      </c>
      <c r="O38" s="49"/>
      <c r="P38" s="49"/>
      <c r="Q38" s="150"/>
    </row>
    <row r="39" spans="2:17">
      <c r="B39" s="81" t="s">
        <v>425</v>
      </c>
      <c r="C39" s="175" t="s">
        <v>159</v>
      </c>
      <c r="D39" s="175" t="s">
        <v>159</v>
      </c>
      <c r="E39" s="175" t="s">
        <v>159</v>
      </c>
      <c r="F39" s="175" t="s">
        <v>159</v>
      </c>
      <c r="G39" s="175" t="s">
        <v>159</v>
      </c>
      <c r="H39" s="175" t="s">
        <v>159</v>
      </c>
      <c r="I39" s="175" t="s">
        <v>159</v>
      </c>
      <c r="J39" s="175" t="s">
        <v>159</v>
      </c>
      <c r="K39" s="39" t="s">
        <v>520</v>
      </c>
      <c r="L39" s="40" t="s">
        <v>224</v>
      </c>
      <c r="M39" s="41" t="s">
        <v>108</v>
      </c>
      <c r="N39" s="42" t="s">
        <v>203</v>
      </c>
      <c r="O39" s="49"/>
      <c r="P39" s="49"/>
      <c r="Q39" s="150"/>
    </row>
    <row r="40" spans="2:17">
      <c r="B40" s="81" t="s">
        <v>225</v>
      </c>
      <c r="C40" s="175" t="s">
        <v>159</v>
      </c>
      <c r="D40" s="175" t="s">
        <v>159</v>
      </c>
      <c r="E40" s="175" t="s">
        <v>159</v>
      </c>
      <c r="F40" s="175" t="s">
        <v>159</v>
      </c>
      <c r="G40" s="175" t="s">
        <v>159</v>
      </c>
      <c r="H40" s="175" t="s">
        <v>159</v>
      </c>
      <c r="I40" s="175" t="s">
        <v>159</v>
      </c>
      <c r="J40" s="175" t="s">
        <v>159</v>
      </c>
      <c r="K40" s="39" t="s">
        <v>520</v>
      </c>
      <c r="L40" s="40" t="s">
        <v>226</v>
      </c>
      <c r="M40" s="41" t="s">
        <v>108</v>
      </c>
      <c r="N40" s="42" t="s">
        <v>31</v>
      </c>
      <c r="O40" s="49"/>
      <c r="P40" s="49"/>
      <c r="Q40" s="150"/>
    </row>
    <row r="41" spans="2:17">
      <c r="B41" s="81" t="s">
        <v>225</v>
      </c>
      <c r="C41" s="175" t="s">
        <v>159</v>
      </c>
      <c r="D41" s="175" t="s">
        <v>159</v>
      </c>
      <c r="E41" s="175" t="s">
        <v>159</v>
      </c>
      <c r="F41" s="175" t="s">
        <v>159</v>
      </c>
      <c r="G41" s="175" t="s">
        <v>159</v>
      </c>
      <c r="H41" s="175" t="s">
        <v>159</v>
      </c>
      <c r="I41" s="175" t="s">
        <v>159</v>
      </c>
      <c r="J41" s="175" t="s">
        <v>159</v>
      </c>
      <c r="K41" s="39" t="s">
        <v>520</v>
      </c>
      <c r="L41" s="40" t="s">
        <v>227</v>
      </c>
      <c r="M41" s="41" t="s">
        <v>511</v>
      </c>
      <c r="N41" s="42" t="s">
        <v>223</v>
      </c>
      <c r="O41" s="49"/>
      <c r="P41" s="49"/>
      <c r="Q41" s="150"/>
    </row>
    <row r="42" spans="2:17">
      <c r="B42" s="81" t="s">
        <v>225</v>
      </c>
      <c r="C42" s="175" t="s">
        <v>159</v>
      </c>
      <c r="D42" s="175" t="s">
        <v>159</v>
      </c>
      <c r="E42" s="175" t="s">
        <v>159</v>
      </c>
      <c r="F42" s="175" t="s">
        <v>159</v>
      </c>
      <c r="G42" s="175" t="s">
        <v>159</v>
      </c>
      <c r="H42" s="175" t="s">
        <v>159</v>
      </c>
      <c r="I42" s="175" t="s">
        <v>159</v>
      </c>
      <c r="J42" s="175" t="s">
        <v>159</v>
      </c>
      <c r="K42" s="39" t="s">
        <v>520</v>
      </c>
      <c r="L42" s="40" t="s">
        <v>229</v>
      </c>
      <c r="M42" s="41" t="s">
        <v>108</v>
      </c>
      <c r="N42" s="42" t="s">
        <v>31</v>
      </c>
      <c r="O42" s="49"/>
      <c r="P42" s="49"/>
      <c r="Q42" s="150"/>
    </row>
    <row r="43" spans="2:17">
      <c r="B43" s="81" t="s">
        <v>225</v>
      </c>
      <c r="C43" s="175" t="s">
        <v>159</v>
      </c>
      <c r="D43" s="175" t="s">
        <v>159</v>
      </c>
      <c r="E43" s="175" t="s">
        <v>159</v>
      </c>
      <c r="F43" s="175" t="s">
        <v>159</v>
      </c>
      <c r="G43" s="175" t="s">
        <v>159</v>
      </c>
      <c r="H43" s="175" t="s">
        <v>159</v>
      </c>
      <c r="I43" s="175" t="s">
        <v>159</v>
      </c>
      <c r="J43" s="175" t="s">
        <v>159</v>
      </c>
      <c r="K43" s="39" t="s">
        <v>520</v>
      </c>
      <c r="L43" s="40" t="s">
        <v>230</v>
      </c>
      <c r="M43" s="41" t="s">
        <v>512</v>
      </c>
      <c r="N43" s="42" t="s">
        <v>339</v>
      </c>
      <c r="O43" s="49"/>
      <c r="P43" s="49"/>
      <c r="Q43" s="150"/>
    </row>
    <row r="44" spans="2:17">
      <c r="B44" s="22" t="s">
        <v>231</v>
      </c>
      <c r="C44" s="176" t="s">
        <v>159</v>
      </c>
      <c r="D44" s="176" t="s">
        <v>159</v>
      </c>
      <c r="E44" s="176" t="s">
        <v>159</v>
      </c>
      <c r="F44" s="176" t="s">
        <v>159</v>
      </c>
      <c r="G44" s="176" t="s">
        <v>159</v>
      </c>
      <c r="H44" s="176" t="s">
        <v>159</v>
      </c>
      <c r="I44" s="176" t="s">
        <v>159</v>
      </c>
      <c r="J44" s="176" t="s">
        <v>159</v>
      </c>
      <c r="K44" s="39" t="s">
        <v>521</v>
      </c>
      <c r="L44" s="38" t="s">
        <v>232</v>
      </c>
      <c r="M44" s="43" t="s">
        <v>108</v>
      </c>
      <c r="N44" s="42" t="s">
        <v>31</v>
      </c>
      <c r="O44" s="50"/>
      <c r="P44" s="50"/>
      <c r="Q44" s="151"/>
    </row>
    <row r="45" spans="2:17">
      <c r="B45" s="22" t="s">
        <v>231</v>
      </c>
      <c r="C45" s="176" t="s">
        <v>159</v>
      </c>
      <c r="D45" s="176" t="s">
        <v>159</v>
      </c>
      <c r="E45" s="176" t="s">
        <v>159</v>
      </c>
      <c r="F45" s="176" t="s">
        <v>159</v>
      </c>
      <c r="G45" s="176" t="s">
        <v>159</v>
      </c>
      <c r="H45" s="176" t="s">
        <v>159</v>
      </c>
      <c r="I45" s="176" t="s">
        <v>159</v>
      </c>
      <c r="J45" s="176" t="s">
        <v>159</v>
      </c>
      <c r="K45" s="39" t="s">
        <v>522</v>
      </c>
      <c r="L45" s="38" t="s">
        <v>232</v>
      </c>
      <c r="M45" s="43" t="s">
        <v>108</v>
      </c>
      <c r="N45" s="42" t="s">
        <v>31</v>
      </c>
      <c r="O45" s="50"/>
      <c r="P45" s="50"/>
      <c r="Q45" s="151"/>
    </row>
    <row r="46" spans="2:17" ht="14.25" thickBot="1">
      <c r="B46" s="23" t="s">
        <v>235</v>
      </c>
      <c r="C46" s="177" t="s">
        <v>159</v>
      </c>
      <c r="D46" s="177" t="s">
        <v>159</v>
      </c>
      <c r="E46" s="177" t="s">
        <v>159</v>
      </c>
      <c r="F46" s="177" t="s">
        <v>159</v>
      </c>
      <c r="G46" s="177" t="s">
        <v>159</v>
      </c>
      <c r="H46" s="177" t="s">
        <v>159</v>
      </c>
      <c r="I46" s="177" t="s">
        <v>159</v>
      </c>
      <c r="J46" s="177" t="s">
        <v>159</v>
      </c>
      <c r="K46" s="44" t="s">
        <v>268</v>
      </c>
      <c r="L46" s="45" t="s">
        <v>232</v>
      </c>
      <c r="M46" s="46" t="s">
        <v>33</v>
      </c>
      <c r="N46" s="47" t="s">
        <v>31</v>
      </c>
      <c r="O46" s="51"/>
      <c r="P46" s="51"/>
      <c r="Q46" s="152"/>
    </row>
    <row r="224" spans="2:2" ht="15" thickBot="1">
      <c r="B224" s="27" t="s">
        <v>444</v>
      </c>
    </row>
    <row r="225" spans="2:18" ht="15" thickBot="1">
      <c r="B225" s="105" t="s">
        <v>198</v>
      </c>
      <c r="C225" s="357" t="s">
        <v>199</v>
      </c>
      <c r="D225" s="358"/>
      <c r="E225" s="358"/>
      <c r="F225" s="358"/>
      <c r="G225" s="358"/>
      <c r="H225" s="358"/>
      <c r="I225" s="358"/>
      <c r="J225" s="359"/>
      <c r="K225" s="178"/>
      <c r="L225" s="178"/>
      <c r="M225" s="181"/>
      <c r="N225" s="179"/>
      <c r="O225" s="179"/>
      <c r="P225" s="179"/>
      <c r="Q225" s="180"/>
    </row>
    <row r="226" spans="2:18">
      <c r="B226" s="77"/>
      <c r="C226" s="36" t="s">
        <v>200</v>
      </c>
      <c r="D226" s="36"/>
      <c r="E226" s="36"/>
      <c r="F226" s="36"/>
      <c r="G226" s="36"/>
      <c r="H226" s="36"/>
      <c r="I226" s="36"/>
      <c r="J226" s="36"/>
      <c r="K226" s="36"/>
      <c r="L226" s="36"/>
      <c r="M226" s="32" t="s">
        <v>201</v>
      </c>
      <c r="N226" s="52" t="s">
        <v>20</v>
      </c>
      <c r="O226" s="53"/>
      <c r="P226" s="53"/>
      <c r="Q226" s="54"/>
    </row>
    <row r="227" spans="2:18">
      <c r="B227" s="78" t="s">
        <v>21</v>
      </c>
      <c r="C227" s="363" t="s">
        <v>202</v>
      </c>
      <c r="D227" s="361"/>
      <c r="E227" s="361"/>
      <c r="F227" s="361"/>
      <c r="G227" s="361"/>
      <c r="H227" s="361"/>
      <c r="I227" s="361"/>
      <c r="J227" s="362"/>
      <c r="K227" s="29" t="s">
        <v>22</v>
      </c>
      <c r="L227" s="97"/>
      <c r="M227" s="33" t="s">
        <v>297</v>
      </c>
      <c r="N227" s="85" t="s">
        <v>278</v>
      </c>
      <c r="O227" s="85" t="s">
        <v>24</v>
      </c>
      <c r="P227" s="31" t="s">
        <v>279</v>
      </c>
      <c r="Q227" s="147" t="s">
        <v>26</v>
      </c>
    </row>
    <row r="228" spans="2:18">
      <c r="B228" s="78" t="s">
        <v>36</v>
      </c>
      <c r="C228" s="173" t="s">
        <v>203</v>
      </c>
      <c r="D228" s="173" t="s">
        <v>204</v>
      </c>
      <c r="E228" s="173" t="s">
        <v>203</v>
      </c>
      <c r="F228" s="173" t="s">
        <v>205</v>
      </c>
      <c r="G228" s="173" t="s">
        <v>203</v>
      </c>
      <c r="H228" s="173" t="s">
        <v>204</v>
      </c>
      <c r="I228" s="173" t="s">
        <v>204</v>
      </c>
      <c r="J228" s="173" t="s">
        <v>204</v>
      </c>
      <c r="K228" s="145" t="s">
        <v>100</v>
      </c>
      <c r="L228" s="146" t="s">
        <v>100</v>
      </c>
      <c r="M228" s="33" t="s">
        <v>206</v>
      </c>
      <c r="N228" s="86"/>
      <c r="O228" s="86"/>
      <c r="P228" s="48"/>
      <c r="Q228" s="147"/>
    </row>
    <row r="229" spans="2:18" ht="27">
      <c r="B229" s="79" t="s">
        <v>27</v>
      </c>
      <c r="C229" s="363" t="s">
        <v>207</v>
      </c>
      <c r="D229" s="361"/>
      <c r="E229" s="361"/>
      <c r="F229" s="361"/>
      <c r="G229" s="361"/>
      <c r="H229" s="361"/>
      <c r="I229" s="361"/>
      <c r="J229" s="362"/>
      <c r="K229" s="1" t="s">
        <v>208</v>
      </c>
      <c r="L229" s="1" t="s">
        <v>264</v>
      </c>
      <c r="M229" s="34"/>
      <c r="N229" s="86"/>
      <c r="O229" s="86"/>
      <c r="P229" s="48"/>
      <c r="Q229" s="147"/>
    </row>
    <row r="230" spans="2:18" ht="64.5">
      <c r="B230" s="78" t="s">
        <v>270</v>
      </c>
      <c r="C230" s="204" t="s">
        <v>209</v>
      </c>
      <c r="D230" s="204" t="s">
        <v>65</v>
      </c>
      <c r="E230" s="204" t="s">
        <v>210</v>
      </c>
      <c r="F230" s="204" t="s">
        <v>211</v>
      </c>
      <c r="G230" s="204" t="s">
        <v>212</v>
      </c>
      <c r="H230" s="204" t="s">
        <v>213</v>
      </c>
      <c r="I230" s="204" t="s">
        <v>214</v>
      </c>
      <c r="J230" s="204" t="s">
        <v>215</v>
      </c>
      <c r="K230" s="1" t="s">
        <v>438</v>
      </c>
      <c r="L230" s="29" t="s">
        <v>433</v>
      </c>
      <c r="M230" s="33" t="s">
        <v>29</v>
      </c>
      <c r="N230" s="86"/>
      <c r="O230" s="86"/>
      <c r="P230" s="48"/>
      <c r="Q230" s="147"/>
    </row>
    <row r="231" spans="2:18" ht="41.25" thickBot="1">
      <c r="B231" s="80" t="s">
        <v>30</v>
      </c>
      <c r="C231" s="174" t="s">
        <v>217</v>
      </c>
      <c r="D231" s="174" t="s">
        <v>205</v>
      </c>
      <c r="E231" s="174" t="s">
        <v>217</v>
      </c>
      <c r="F231" s="174" t="s">
        <v>217</v>
      </c>
      <c r="G231" s="174" t="s">
        <v>217</v>
      </c>
      <c r="H231" s="174" t="s">
        <v>217</v>
      </c>
      <c r="I231" s="174" t="s">
        <v>217</v>
      </c>
      <c r="J231" s="174" t="s">
        <v>217</v>
      </c>
      <c r="K231" s="28" t="s">
        <v>269</v>
      </c>
      <c r="L231" s="30" t="s">
        <v>271</v>
      </c>
      <c r="M231" s="35" t="s">
        <v>283</v>
      </c>
      <c r="N231" s="148"/>
      <c r="O231" s="148"/>
      <c r="P231" s="197" t="s">
        <v>280</v>
      </c>
      <c r="Q231" s="149"/>
      <c r="R231" s="208"/>
    </row>
    <row r="232" spans="2:18" ht="14.25" thickTop="1">
      <c r="B232" s="81" t="s">
        <v>272</v>
      </c>
      <c r="C232" s="175" t="s">
        <v>159</v>
      </c>
      <c r="D232" s="175" t="s">
        <v>159</v>
      </c>
      <c r="E232" s="175" t="s">
        <v>159</v>
      </c>
      <c r="F232" s="175" t="s">
        <v>159</v>
      </c>
      <c r="G232" s="175" t="s">
        <v>159</v>
      </c>
      <c r="H232" s="175" t="s">
        <v>159</v>
      </c>
      <c r="I232" s="175" t="s">
        <v>159</v>
      </c>
      <c r="J232" s="175" t="s">
        <v>159</v>
      </c>
      <c r="K232" s="39" t="s">
        <v>266</v>
      </c>
      <c r="L232" s="40" t="s">
        <v>274</v>
      </c>
      <c r="M232" s="41" t="s">
        <v>220</v>
      </c>
      <c r="N232" s="49"/>
      <c r="O232" s="49"/>
      <c r="P232" s="42" t="s">
        <v>31</v>
      </c>
      <c r="Q232" s="150"/>
      <c r="R232" s="68"/>
    </row>
    <row r="233" spans="2:18">
      <c r="B233" s="81" t="s">
        <v>273</v>
      </c>
      <c r="C233" s="175" t="s">
        <v>159</v>
      </c>
      <c r="D233" s="175" t="s">
        <v>159</v>
      </c>
      <c r="E233" s="175" t="s">
        <v>159</v>
      </c>
      <c r="F233" s="175" t="s">
        <v>159</v>
      </c>
      <c r="G233" s="175" t="s">
        <v>159</v>
      </c>
      <c r="H233" s="175" t="s">
        <v>159</v>
      </c>
      <c r="I233" s="175" t="s">
        <v>159</v>
      </c>
      <c r="J233" s="175" t="s">
        <v>159</v>
      </c>
      <c r="K233" s="39" t="s">
        <v>265</v>
      </c>
      <c r="L233" s="40" t="s">
        <v>275</v>
      </c>
      <c r="M233" s="41" t="s">
        <v>282</v>
      </c>
      <c r="N233" s="49"/>
      <c r="O233" s="49"/>
      <c r="P233" s="42" t="s">
        <v>281</v>
      </c>
      <c r="Q233" s="150"/>
      <c r="R233" s="68"/>
    </row>
    <row r="234" spans="2:18">
      <c r="B234" s="22" t="s">
        <v>231</v>
      </c>
      <c r="C234" s="176" t="s">
        <v>159</v>
      </c>
      <c r="D234" s="176" t="s">
        <v>159</v>
      </c>
      <c r="E234" s="176" t="s">
        <v>159</v>
      </c>
      <c r="F234" s="176" t="s">
        <v>159</v>
      </c>
      <c r="G234" s="176" t="s">
        <v>159</v>
      </c>
      <c r="H234" s="176" t="s">
        <v>159</v>
      </c>
      <c r="I234" s="176" t="s">
        <v>159</v>
      </c>
      <c r="J234" s="176" t="s">
        <v>159</v>
      </c>
      <c r="K234" s="69" t="s">
        <v>267</v>
      </c>
      <c r="L234" s="38" t="s">
        <v>276</v>
      </c>
      <c r="M234" s="43" t="s">
        <v>228</v>
      </c>
      <c r="N234" s="50"/>
      <c r="O234" s="50"/>
      <c r="P234" s="42" t="s">
        <v>31</v>
      </c>
      <c r="Q234" s="151"/>
      <c r="R234" s="68"/>
    </row>
    <row r="235" spans="2:18" ht="14.25" thickBot="1">
      <c r="B235" s="23" t="s">
        <v>235</v>
      </c>
      <c r="C235" s="177" t="s">
        <v>159</v>
      </c>
      <c r="D235" s="177" t="s">
        <v>159</v>
      </c>
      <c r="E235" s="177" t="s">
        <v>159</v>
      </c>
      <c r="F235" s="177" t="s">
        <v>159</v>
      </c>
      <c r="G235" s="177" t="s">
        <v>159</v>
      </c>
      <c r="H235" s="177" t="s">
        <v>159</v>
      </c>
      <c r="I235" s="177" t="s">
        <v>159</v>
      </c>
      <c r="J235" s="177" t="s">
        <v>159</v>
      </c>
      <c r="K235" s="44" t="s">
        <v>268</v>
      </c>
      <c r="L235" s="45" t="s">
        <v>277</v>
      </c>
      <c r="M235" s="46" t="s">
        <v>33</v>
      </c>
      <c r="N235" s="51"/>
      <c r="O235" s="51"/>
      <c r="P235" s="47" t="s">
        <v>31</v>
      </c>
      <c r="Q235" s="152"/>
      <c r="R235" s="68"/>
    </row>
    <row r="237" spans="2:18" ht="15" thickBot="1">
      <c r="B237" s="27" t="s">
        <v>445</v>
      </c>
    </row>
    <row r="238" spans="2:18" ht="15" thickBot="1">
      <c r="B238" s="105" t="s">
        <v>198</v>
      </c>
      <c r="C238" s="357" t="s">
        <v>199</v>
      </c>
      <c r="D238" s="358"/>
      <c r="E238" s="358"/>
      <c r="F238" s="358"/>
      <c r="G238" s="358"/>
      <c r="H238" s="358"/>
      <c r="I238" s="358"/>
      <c r="J238" s="359"/>
      <c r="K238" s="178"/>
      <c r="L238" s="178"/>
      <c r="M238" s="181"/>
      <c r="N238" s="179"/>
      <c r="O238" s="179"/>
      <c r="P238" s="179"/>
      <c r="Q238" s="180"/>
    </row>
    <row r="239" spans="2:18">
      <c r="B239" s="77"/>
      <c r="C239" s="36" t="s">
        <v>200</v>
      </c>
      <c r="D239" s="36"/>
      <c r="E239" s="36"/>
      <c r="F239" s="36"/>
      <c r="G239" s="36"/>
      <c r="H239" s="36"/>
      <c r="I239" s="36"/>
      <c r="J239" s="36"/>
      <c r="K239" s="36"/>
      <c r="L239" s="36"/>
      <c r="M239" s="32" t="s">
        <v>201</v>
      </c>
      <c r="N239" s="52" t="s">
        <v>20</v>
      </c>
      <c r="O239" s="53"/>
      <c r="P239" s="53"/>
      <c r="Q239" s="54"/>
    </row>
    <row r="240" spans="2:18">
      <c r="B240" s="78" t="s">
        <v>21</v>
      </c>
      <c r="C240" s="360" t="s">
        <v>202</v>
      </c>
      <c r="D240" s="361"/>
      <c r="E240" s="361"/>
      <c r="F240" s="361"/>
      <c r="G240" s="361"/>
      <c r="H240" s="361"/>
      <c r="I240" s="361"/>
      <c r="J240" s="362"/>
      <c r="K240" s="29" t="s">
        <v>22</v>
      </c>
      <c r="L240" s="97"/>
      <c r="M240" s="33" t="s">
        <v>289</v>
      </c>
      <c r="N240" s="85" t="s">
        <v>278</v>
      </c>
      <c r="O240" s="85" t="s">
        <v>24</v>
      </c>
      <c r="P240" s="31" t="s">
        <v>279</v>
      </c>
      <c r="Q240" s="147" t="s">
        <v>26</v>
      </c>
    </row>
    <row r="241" spans="2:18">
      <c r="B241" s="78" t="s">
        <v>36</v>
      </c>
      <c r="C241" s="173" t="s">
        <v>203</v>
      </c>
      <c r="D241" s="173" t="s">
        <v>204</v>
      </c>
      <c r="E241" s="173" t="s">
        <v>203</v>
      </c>
      <c r="F241" s="173" t="s">
        <v>205</v>
      </c>
      <c r="G241" s="173" t="s">
        <v>203</v>
      </c>
      <c r="H241" s="173" t="s">
        <v>204</v>
      </c>
      <c r="I241" s="173" t="s">
        <v>204</v>
      </c>
      <c r="J241" s="173" t="s">
        <v>204</v>
      </c>
      <c r="K241" s="145" t="s">
        <v>100</v>
      </c>
      <c r="L241" s="146" t="s">
        <v>100</v>
      </c>
      <c r="M241" s="33" t="s">
        <v>206</v>
      </c>
      <c r="N241" s="86"/>
      <c r="O241" s="86"/>
      <c r="P241" s="48"/>
      <c r="Q241" s="147"/>
    </row>
    <row r="242" spans="2:18" ht="27">
      <c r="B242" s="79" t="s">
        <v>27</v>
      </c>
      <c r="C242" s="363" t="s">
        <v>207</v>
      </c>
      <c r="D242" s="361"/>
      <c r="E242" s="361"/>
      <c r="F242" s="361"/>
      <c r="G242" s="361"/>
      <c r="H242" s="361"/>
      <c r="I242" s="361"/>
      <c r="J242" s="362"/>
      <c r="K242" s="1" t="s">
        <v>208</v>
      </c>
      <c r="L242" s="1" t="s">
        <v>264</v>
      </c>
      <c r="M242" s="34"/>
      <c r="N242" s="86"/>
      <c r="O242" s="86"/>
      <c r="P242" s="48"/>
      <c r="Q242" s="147"/>
    </row>
    <row r="243" spans="2:18" ht="64.5">
      <c r="B243" s="78" t="s">
        <v>270</v>
      </c>
      <c r="C243" s="204" t="s">
        <v>209</v>
      </c>
      <c r="D243" s="204" t="s">
        <v>65</v>
      </c>
      <c r="E243" s="204" t="s">
        <v>210</v>
      </c>
      <c r="F243" s="204" t="s">
        <v>211</v>
      </c>
      <c r="G243" s="204" t="s">
        <v>212</v>
      </c>
      <c r="H243" s="204" t="s">
        <v>213</v>
      </c>
      <c r="I243" s="204" t="s">
        <v>214</v>
      </c>
      <c r="J243" s="204" t="s">
        <v>215</v>
      </c>
      <c r="K243" s="1" t="s">
        <v>438</v>
      </c>
      <c r="L243" s="29" t="s">
        <v>434</v>
      </c>
      <c r="M243" s="33" t="s">
        <v>29</v>
      </c>
      <c r="N243" s="86"/>
      <c r="O243" s="86"/>
      <c r="P243" s="48"/>
      <c r="Q243" s="147"/>
    </row>
    <row r="244" spans="2:18" ht="41.25" thickBot="1">
      <c r="B244" s="80" t="s">
        <v>30</v>
      </c>
      <c r="C244" s="174" t="s">
        <v>217</v>
      </c>
      <c r="D244" s="174" t="s">
        <v>205</v>
      </c>
      <c r="E244" s="174" t="s">
        <v>217</v>
      </c>
      <c r="F244" s="174" t="s">
        <v>217</v>
      </c>
      <c r="G244" s="174" t="s">
        <v>217</v>
      </c>
      <c r="H244" s="174" t="s">
        <v>217</v>
      </c>
      <c r="I244" s="174" t="s">
        <v>217</v>
      </c>
      <c r="J244" s="174" t="s">
        <v>217</v>
      </c>
      <c r="K244" s="28" t="s">
        <v>269</v>
      </c>
      <c r="L244" s="30" t="s">
        <v>290</v>
      </c>
      <c r="M244" s="35" t="s">
        <v>288</v>
      </c>
      <c r="N244" s="148"/>
      <c r="O244" s="148"/>
      <c r="P244" s="197" t="s">
        <v>284</v>
      </c>
      <c r="Q244" s="149"/>
      <c r="R244" s="208"/>
    </row>
    <row r="245" spans="2:18" ht="14.25" thickTop="1">
      <c r="B245" s="81" t="s">
        <v>272</v>
      </c>
      <c r="C245" s="175" t="s">
        <v>159</v>
      </c>
      <c r="D245" s="175" t="s">
        <v>159</v>
      </c>
      <c r="E245" s="175" t="s">
        <v>159</v>
      </c>
      <c r="F245" s="175" t="s">
        <v>159</v>
      </c>
      <c r="G245" s="175" t="s">
        <v>159</v>
      </c>
      <c r="H245" s="175" t="s">
        <v>159</v>
      </c>
      <c r="I245" s="175" t="s">
        <v>159</v>
      </c>
      <c r="J245" s="175" t="s">
        <v>159</v>
      </c>
      <c r="K245" s="39" t="s">
        <v>266</v>
      </c>
      <c r="L245" s="40" t="s">
        <v>274</v>
      </c>
      <c r="M245" s="41" t="s">
        <v>220</v>
      </c>
      <c r="N245" s="49"/>
      <c r="O245" s="49"/>
      <c r="P245" s="42" t="s">
        <v>31</v>
      </c>
      <c r="Q245" s="150"/>
      <c r="R245" s="68"/>
    </row>
    <row r="246" spans="2:18">
      <c r="B246" s="81" t="s">
        <v>291</v>
      </c>
      <c r="C246" s="175" t="s">
        <v>159</v>
      </c>
      <c r="D246" s="175" t="s">
        <v>159</v>
      </c>
      <c r="E246" s="175" t="s">
        <v>159</v>
      </c>
      <c r="F246" s="175" t="s">
        <v>159</v>
      </c>
      <c r="G246" s="175" t="s">
        <v>159</v>
      </c>
      <c r="H246" s="175" t="s">
        <v>159</v>
      </c>
      <c r="I246" s="175" t="s">
        <v>159</v>
      </c>
      <c r="J246" s="175" t="s">
        <v>159</v>
      </c>
      <c r="K246" s="39" t="s">
        <v>265</v>
      </c>
      <c r="L246" s="40" t="s">
        <v>275</v>
      </c>
      <c r="M246" s="41" t="s">
        <v>287</v>
      </c>
      <c r="N246" s="49"/>
      <c r="O246" s="49"/>
      <c r="P246" s="42" t="s">
        <v>285</v>
      </c>
      <c r="Q246" s="150"/>
      <c r="R246" s="68"/>
    </row>
    <row r="247" spans="2:18">
      <c r="B247" s="22" t="s">
        <v>231</v>
      </c>
      <c r="C247" s="176" t="s">
        <v>159</v>
      </c>
      <c r="D247" s="176" t="s">
        <v>159</v>
      </c>
      <c r="E247" s="176" t="s">
        <v>159</v>
      </c>
      <c r="F247" s="176" t="s">
        <v>159</v>
      </c>
      <c r="G247" s="176" t="s">
        <v>159</v>
      </c>
      <c r="H247" s="176" t="s">
        <v>159</v>
      </c>
      <c r="I247" s="176" t="s">
        <v>159</v>
      </c>
      <c r="J247" s="176" t="s">
        <v>159</v>
      </c>
      <c r="K247" s="69" t="s">
        <v>267</v>
      </c>
      <c r="L247" s="38" t="s">
        <v>276</v>
      </c>
      <c r="M247" s="43" t="s">
        <v>228</v>
      </c>
      <c r="N247" s="50"/>
      <c r="O247" s="50"/>
      <c r="P247" s="42" t="s">
        <v>31</v>
      </c>
      <c r="Q247" s="151"/>
      <c r="R247" s="68"/>
    </row>
    <row r="248" spans="2:18" ht="14.25" thickBot="1">
      <c r="B248" s="23" t="s">
        <v>235</v>
      </c>
      <c r="C248" s="177" t="s">
        <v>159</v>
      </c>
      <c r="D248" s="177" t="s">
        <v>159</v>
      </c>
      <c r="E248" s="177" t="s">
        <v>159</v>
      </c>
      <c r="F248" s="177" t="s">
        <v>159</v>
      </c>
      <c r="G248" s="177" t="s">
        <v>159</v>
      </c>
      <c r="H248" s="177" t="s">
        <v>159</v>
      </c>
      <c r="I248" s="177" t="s">
        <v>159</v>
      </c>
      <c r="J248" s="177" t="s">
        <v>159</v>
      </c>
      <c r="K248" s="44" t="s">
        <v>268</v>
      </c>
      <c r="L248" s="45" t="s">
        <v>277</v>
      </c>
      <c r="M248" s="46" t="s">
        <v>33</v>
      </c>
      <c r="N248" s="51"/>
      <c r="O248" s="51"/>
      <c r="P248" s="47" t="s">
        <v>31</v>
      </c>
      <c r="Q248" s="152"/>
      <c r="R248" s="68"/>
    </row>
    <row r="250" spans="2:18" ht="15" thickBot="1">
      <c r="B250" s="27" t="s">
        <v>446</v>
      </c>
    </row>
    <row r="251" spans="2:18" ht="15" thickBot="1">
      <c r="B251" s="105" t="s">
        <v>198</v>
      </c>
      <c r="C251" s="357" t="s">
        <v>199</v>
      </c>
      <c r="D251" s="358"/>
      <c r="E251" s="358"/>
      <c r="F251" s="358"/>
      <c r="G251" s="358"/>
      <c r="H251" s="358"/>
      <c r="I251" s="358"/>
      <c r="J251" s="359"/>
      <c r="K251" s="178"/>
      <c r="L251" s="178"/>
      <c r="M251" s="181"/>
      <c r="N251" s="179"/>
      <c r="O251" s="179"/>
      <c r="P251" s="179"/>
      <c r="Q251" s="180"/>
    </row>
    <row r="252" spans="2:18">
      <c r="B252" s="77"/>
      <c r="C252" s="36" t="s">
        <v>200</v>
      </c>
      <c r="D252" s="36"/>
      <c r="E252" s="36"/>
      <c r="F252" s="36"/>
      <c r="G252" s="36"/>
      <c r="H252" s="36"/>
      <c r="I252" s="36"/>
      <c r="J252" s="36"/>
      <c r="K252" s="36"/>
      <c r="L252" s="36"/>
      <c r="M252" s="32" t="s">
        <v>201</v>
      </c>
      <c r="N252" s="52" t="s">
        <v>20</v>
      </c>
      <c r="O252" s="53"/>
      <c r="P252" s="53"/>
      <c r="Q252" s="54"/>
    </row>
    <row r="253" spans="2:18">
      <c r="B253" s="78" t="s">
        <v>21</v>
      </c>
      <c r="C253" s="360" t="s">
        <v>202</v>
      </c>
      <c r="D253" s="361"/>
      <c r="E253" s="361"/>
      <c r="F253" s="361"/>
      <c r="G253" s="361"/>
      <c r="H253" s="361"/>
      <c r="I253" s="361"/>
      <c r="J253" s="362"/>
      <c r="K253" s="29" t="s">
        <v>22</v>
      </c>
      <c r="L253" s="97"/>
      <c r="M253" s="33" t="s">
        <v>292</v>
      </c>
      <c r="N253" s="85" t="s">
        <v>278</v>
      </c>
      <c r="O253" s="85" t="s">
        <v>24</v>
      </c>
      <c r="P253" s="31" t="s">
        <v>279</v>
      </c>
      <c r="Q253" s="147" t="s">
        <v>26</v>
      </c>
    </row>
    <row r="254" spans="2:18">
      <c r="B254" s="78" t="s">
        <v>36</v>
      </c>
      <c r="C254" s="173" t="s">
        <v>203</v>
      </c>
      <c r="D254" s="173" t="s">
        <v>204</v>
      </c>
      <c r="E254" s="173" t="s">
        <v>203</v>
      </c>
      <c r="F254" s="173" t="s">
        <v>205</v>
      </c>
      <c r="G254" s="173" t="s">
        <v>203</v>
      </c>
      <c r="H254" s="173" t="s">
        <v>204</v>
      </c>
      <c r="I254" s="173" t="s">
        <v>204</v>
      </c>
      <c r="J254" s="173" t="s">
        <v>204</v>
      </c>
      <c r="K254" s="145" t="s">
        <v>100</v>
      </c>
      <c r="L254" s="146" t="s">
        <v>100</v>
      </c>
      <c r="M254" s="33" t="s">
        <v>206</v>
      </c>
      <c r="N254" s="86"/>
      <c r="O254" s="86"/>
      <c r="P254" s="48"/>
      <c r="Q254" s="147"/>
    </row>
    <row r="255" spans="2:18" ht="27">
      <c r="B255" s="79" t="s">
        <v>27</v>
      </c>
      <c r="C255" s="363" t="s">
        <v>207</v>
      </c>
      <c r="D255" s="361"/>
      <c r="E255" s="361"/>
      <c r="F255" s="361"/>
      <c r="G255" s="361"/>
      <c r="H255" s="361"/>
      <c r="I255" s="361"/>
      <c r="J255" s="362"/>
      <c r="K255" s="1" t="s">
        <v>208</v>
      </c>
      <c r="L255" s="1" t="s">
        <v>264</v>
      </c>
      <c r="M255" s="34"/>
      <c r="N255" s="86"/>
      <c r="O255" s="86"/>
      <c r="P255" s="48"/>
      <c r="Q255" s="147"/>
    </row>
    <row r="256" spans="2:18" ht="64.5">
      <c r="B256" s="78" t="s">
        <v>270</v>
      </c>
      <c r="C256" s="204" t="s">
        <v>209</v>
      </c>
      <c r="D256" s="204" t="s">
        <v>65</v>
      </c>
      <c r="E256" s="204" t="s">
        <v>210</v>
      </c>
      <c r="F256" s="204" t="s">
        <v>211</v>
      </c>
      <c r="G256" s="204" t="s">
        <v>212</v>
      </c>
      <c r="H256" s="204" t="s">
        <v>213</v>
      </c>
      <c r="I256" s="204" t="s">
        <v>214</v>
      </c>
      <c r="J256" s="204" t="s">
        <v>215</v>
      </c>
      <c r="K256" s="1" t="s">
        <v>438</v>
      </c>
      <c r="L256" s="29" t="s">
        <v>435</v>
      </c>
      <c r="M256" s="33" t="s">
        <v>29</v>
      </c>
      <c r="N256" s="86"/>
      <c r="O256" s="86"/>
      <c r="P256" s="48"/>
      <c r="Q256" s="147"/>
    </row>
    <row r="257" spans="2:18" ht="54.75" thickBot="1">
      <c r="B257" s="80" t="s">
        <v>30</v>
      </c>
      <c r="C257" s="174" t="s">
        <v>217</v>
      </c>
      <c r="D257" s="174" t="s">
        <v>205</v>
      </c>
      <c r="E257" s="174" t="s">
        <v>217</v>
      </c>
      <c r="F257" s="174" t="s">
        <v>217</v>
      </c>
      <c r="G257" s="174" t="s">
        <v>217</v>
      </c>
      <c r="H257" s="174" t="s">
        <v>217</v>
      </c>
      <c r="I257" s="174" t="s">
        <v>217</v>
      </c>
      <c r="J257" s="174" t="s">
        <v>217</v>
      </c>
      <c r="K257" s="28" t="s">
        <v>218</v>
      </c>
      <c r="L257" s="30" t="s">
        <v>293</v>
      </c>
      <c r="M257" s="35" t="s">
        <v>407</v>
      </c>
      <c r="N257" s="148"/>
      <c r="O257" s="148"/>
      <c r="P257" s="197" t="s">
        <v>295</v>
      </c>
      <c r="Q257" s="149"/>
      <c r="R257" s="208"/>
    </row>
    <row r="258" spans="2:18" ht="14.25" thickTop="1">
      <c r="B258" s="81" t="s">
        <v>272</v>
      </c>
      <c r="C258" s="175" t="s">
        <v>159</v>
      </c>
      <c r="D258" s="175" t="s">
        <v>159</v>
      </c>
      <c r="E258" s="175" t="s">
        <v>159</v>
      </c>
      <c r="F258" s="175" t="s">
        <v>159</v>
      </c>
      <c r="G258" s="175" t="s">
        <v>159</v>
      </c>
      <c r="H258" s="175" t="s">
        <v>159</v>
      </c>
      <c r="I258" s="175" t="s">
        <v>159</v>
      </c>
      <c r="J258" s="175" t="s">
        <v>159</v>
      </c>
      <c r="K258" s="39" t="s">
        <v>298</v>
      </c>
      <c r="L258" s="40" t="s">
        <v>274</v>
      </c>
      <c r="M258" s="41" t="s">
        <v>220</v>
      </c>
      <c r="N258" s="49"/>
      <c r="O258" s="49"/>
      <c r="P258" s="42" t="s">
        <v>31</v>
      </c>
      <c r="Q258" s="150"/>
      <c r="R258" s="68"/>
    </row>
    <row r="259" spans="2:18">
      <c r="B259" s="81" t="s">
        <v>294</v>
      </c>
      <c r="C259" s="175" t="s">
        <v>159</v>
      </c>
      <c r="D259" s="175" t="s">
        <v>159</v>
      </c>
      <c r="E259" s="175" t="s">
        <v>159</v>
      </c>
      <c r="F259" s="175" t="s">
        <v>159</v>
      </c>
      <c r="G259" s="175" t="s">
        <v>159</v>
      </c>
      <c r="H259" s="175" t="s">
        <v>159</v>
      </c>
      <c r="I259" s="175" t="s">
        <v>159</v>
      </c>
      <c r="J259" s="175" t="s">
        <v>159</v>
      </c>
      <c r="K259" s="39" t="s">
        <v>298</v>
      </c>
      <c r="L259" s="40" t="s">
        <v>275</v>
      </c>
      <c r="M259" s="41" t="s">
        <v>406</v>
      </c>
      <c r="N259" s="49"/>
      <c r="O259" s="49"/>
      <c r="P259" s="42" t="s">
        <v>296</v>
      </c>
      <c r="Q259" s="150"/>
      <c r="R259" s="68"/>
    </row>
    <row r="260" spans="2:18">
      <c r="B260" s="22" t="s">
        <v>231</v>
      </c>
      <c r="C260" s="176" t="s">
        <v>159</v>
      </c>
      <c r="D260" s="176" t="s">
        <v>159</v>
      </c>
      <c r="E260" s="176" t="s">
        <v>159</v>
      </c>
      <c r="F260" s="176" t="s">
        <v>159</v>
      </c>
      <c r="G260" s="176" t="s">
        <v>159</v>
      </c>
      <c r="H260" s="176" t="s">
        <v>159</v>
      </c>
      <c r="I260" s="176" t="s">
        <v>159</v>
      </c>
      <c r="J260" s="176" t="s">
        <v>159</v>
      </c>
      <c r="K260" s="69" t="s">
        <v>299</v>
      </c>
      <c r="L260" s="38" t="s">
        <v>276</v>
      </c>
      <c r="M260" s="43" t="s">
        <v>228</v>
      </c>
      <c r="N260" s="50"/>
      <c r="O260" s="50"/>
      <c r="P260" s="42" t="s">
        <v>31</v>
      </c>
      <c r="Q260" s="151"/>
      <c r="R260" s="68"/>
    </row>
    <row r="261" spans="2:18">
      <c r="B261" s="22" t="s">
        <v>233</v>
      </c>
      <c r="C261" s="176" t="s">
        <v>159</v>
      </c>
      <c r="D261" s="176" t="s">
        <v>159</v>
      </c>
      <c r="E261" s="176" t="s">
        <v>159</v>
      </c>
      <c r="F261" s="176" t="s">
        <v>159</v>
      </c>
      <c r="G261" s="176" t="s">
        <v>159</v>
      </c>
      <c r="H261" s="176" t="s">
        <v>159</v>
      </c>
      <c r="I261" s="176" t="s">
        <v>159</v>
      </c>
      <c r="J261" s="176" t="s">
        <v>159</v>
      </c>
      <c r="K261" s="69" t="s">
        <v>35</v>
      </c>
      <c r="L261" s="38" t="s">
        <v>276</v>
      </c>
      <c r="M261" s="43" t="s">
        <v>228</v>
      </c>
      <c r="N261" s="202"/>
      <c r="O261" s="50"/>
      <c r="P261" s="42" t="s">
        <v>31</v>
      </c>
      <c r="Q261" s="151"/>
      <c r="R261" s="68"/>
    </row>
    <row r="262" spans="2:18">
      <c r="B262" s="22" t="s">
        <v>260</v>
      </c>
      <c r="C262" s="176" t="s">
        <v>159</v>
      </c>
      <c r="D262" s="176" t="s">
        <v>159</v>
      </c>
      <c r="E262" s="176" t="s">
        <v>159</v>
      </c>
      <c r="F262" s="176" t="s">
        <v>159</v>
      </c>
      <c r="G262" s="176" t="s">
        <v>159</v>
      </c>
      <c r="H262" s="176" t="s">
        <v>159</v>
      </c>
      <c r="I262" s="176" t="s">
        <v>159</v>
      </c>
      <c r="J262" s="176" t="s">
        <v>159</v>
      </c>
      <c r="K262" s="69" t="s">
        <v>261</v>
      </c>
      <c r="L262" s="38" t="s">
        <v>276</v>
      </c>
      <c r="M262" s="43" t="s">
        <v>228</v>
      </c>
      <c r="N262" s="202"/>
      <c r="O262" s="50"/>
      <c r="P262" s="42" t="s">
        <v>31</v>
      </c>
      <c r="Q262" s="151"/>
      <c r="R262" s="68"/>
    </row>
    <row r="263" spans="2:18" ht="14.25" thickBot="1">
      <c r="B263" s="23" t="s">
        <v>235</v>
      </c>
      <c r="C263" s="177" t="s">
        <v>159</v>
      </c>
      <c r="D263" s="177" t="s">
        <v>159</v>
      </c>
      <c r="E263" s="177" t="s">
        <v>159</v>
      </c>
      <c r="F263" s="177" t="s">
        <v>159</v>
      </c>
      <c r="G263" s="177" t="s">
        <v>159</v>
      </c>
      <c r="H263" s="177" t="s">
        <v>159</v>
      </c>
      <c r="I263" s="177" t="s">
        <v>159</v>
      </c>
      <c r="J263" s="177" t="s">
        <v>159</v>
      </c>
      <c r="K263" s="44" t="s">
        <v>300</v>
      </c>
      <c r="L263" s="45" t="s">
        <v>277</v>
      </c>
      <c r="M263" s="46" t="s">
        <v>33</v>
      </c>
      <c r="N263" s="51"/>
      <c r="O263" s="51"/>
      <c r="P263" s="47" t="s">
        <v>31</v>
      </c>
      <c r="Q263" s="152"/>
      <c r="R263" s="68"/>
    </row>
    <row r="265" spans="2:18" ht="15" thickBot="1">
      <c r="B265" s="27" t="s">
        <v>447</v>
      </c>
    </row>
    <row r="266" spans="2:18" ht="15" thickBot="1">
      <c r="B266" s="105" t="s">
        <v>236</v>
      </c>
      <c r="C266" s="357" t="s">
        <v>199</v>
      </c>
      <c r="D266" s="358"/>
      <c r="E266" s="358"/>
      <c r="F266" s="358"/>
      <c r="G266" s="358"/>
      <c r="H266" s="358"/>
      <c r="I266" s="358"/>
      <c r="J266" s="359"/>
      <c r="K266" s="178"/>
      <c r="L266" s="178"/>
      <c r="M266" s="181"/>
      <c r="N266" s="179"/>
      <c r="O266" s="179"/>
      <c r="P266" s="179"/>
      <c r="Q266" s="180"/>
    </row>
    <row r="267" spans="2:18">
      <c r="B267" s="77"/>
      <c r="C267" s="36" t="s">
        <v>237</v>
      </c>
      <c r="D267" s="36"/>
      <c r="E267" s="36"/>
      <c r="F267" s="36"/>
      <c r="G267" s="36"/>
      <c r="H267" s="36"/>
      <c r="I267" s="36"/>
      <c r="J267" s="36"/>
      <c r="K267" s="36"/>
      <c r="L267" s="37"/>
      <c r="M267" s="32" t="s">
        <v>238</v>
      </c>
      <c r="N267" s="52" t="s">
        <v>20</v>
      </c>
      <c r="O267" s="53"/>
      <c r="P267" s="53"/>
      <c r="Q267" s="54"/>
    </row>
    <row r="268" spans="2:18">
      <c r="B268" s="78" t="s">
        <v>21</v>
      </c>
      <c r="C268" s="360" t="s">
        <v>239</v>
      </c>
      <c r="D268" s="361"/>
      <c r="E268" s="361"/>
      <c r="F268" s="361"/>
      <c r="G268" s="361"/>
      <c r="H268" s="361"/>
      <c r="I268" s="361"/>
      <c r="J268" s="362"/>
      <c r="K268" s="29" t="s">
        <v>22</v>
      </c>
      <c r="L268" s="82"/>
      <c r="M268" s="33" t="s">
        <v>397</v>
      </c>
      <c r="N268" s="198" t="s">
        <v>23</v>
      </c>
      <c r="O268" s="1" t="s">
        <v>24</v>
      </c>
      <c r="P268" s="85" t="s">
        <v>25</v>
      </c>
      <c r="Q268" s="147" t="s">
        <v>26</v>
      </c>
    </row>
    <row r="269" spans="2:18">
      <c r="B269" s="78" t="s">
        <v>36</v>
      </c>
      <c r="C269" s="173" t="s">
        <v>205</v>
      </c>
      <c r="D269" s="173" t="s">
        <v>240</v>
      </c>
      <c r="E269" s="173" t="s">
        <v>240</v>
      </c>
      <c r="F269" s="173" t="s">
        <v>240</v>
      </c>
      <c r="G269" s="173" t="s">
        <v>240</v>
      </c>
      <c r="H269" s="173" t="s">
        <v>205</v>
      </c>
      <c r="I269" s="173" t="s">
        <v>204</v>
      </c>
      <c r="J269" s="173" t="s">
        <v>204</v>
      </c>
      <c r="K269" s="229" t="s">
        <v>100</v>
      </c>
      <c r="L269" s="230" t="s">
        <v>100</v>
      </c>
      <c r="M269" s="231" t="s">
        <v>206</v>
      </c>
      <c r="N269" s="232"/>
      <c r="O269" s="233"/>
      <c r="P269" s="86"/>
      <c r="Q269" s="210"/>
      <c r="R269" s="208"/>
    </row>
    <row r="270" spans="2:18" ht="27">
      <c r="B270" s="79" t="s">
        <v>27</v>
      </c>
      <c r="C270" s="363" t="s">
        <v>207</v>
      </c>
      <c r="D270" s="361"/>
      <c r="E270" s="361"/>
      <c r="F270" s="361"/>
      <c r="G270" s="361"/>
      <c r="H270" s="361"/>
      <c r="I270" s="361"/>
      <c r="J270" s="362"/>
      <c r="K270" s="234" t="s">
        <v>208</v>
      </c>
      <c r="L270" s="234" t="s">
        <v>264</v>
      </c>
      <c r="M270" s="235"/>
      <c r="N270" s="232"/>
      <c r="O270" s="236"/>
      <c r="P270" s="86"/>
      <c r="Q270" s="147"/>
    </row>
    <row r="271" spans="2:18" ht="64.5">
      <c r="B271" s="78" t="s">
        <v>28</v>
      </c>
      <c r="C271" s="204" t="s">
        <v>209</v>
      </c>
      <c r="D271" s="204" t="s">
        <v>65</v>
      </c>
      <c r="E271" s="204" t="s">
        <v>210</v>
      </c>
      <c r="F271" s="204" t="s">
        <v>211</v>
      </c>
      <c r="G271" s="204" t="s">
        <v>212</v>
      </c>
      <c r="H271" s="204" t="s">
        <v>213</v>
      </c>
      <c r="I271" s="204" t="s">
        <v>214</v>
      </c>
      <c r="J271" s="204" t="s">
        <v>215</v>
      </c>
      <c r="K271" s="234" t="s">
        <v>438</v>
      </c>
      <c r="L271" s="237" t="s">
        <v>436</v>
      </c>
      <c r="M271" s="231" t="s">
        <v>29</v>
      </c>
      <c r="N271" s="232"/>
      <c r="O271" s="236"/>
      <c r="P271" s="86"/>
      <c r="Q271" s="147"/>
    </row>
    <row r="272" spans="2:18" ht="122.25" thickBot="1">
      <c r="B272" s="80" t="s">
        <v>30</v>
      </c>
      <c r="C272" s="174" t="s">
        <v>217</v>
      </c>
      <c r="D272" s="174" t="s">
        <v>205</v>
      </c>
      <c r="E272" s="174" t="s">
        <v>217</v>
      </c>
      <c r="F272" s="174" t="s">
        <v>217</v>
      </c>
      <c r="G272" s="174" t="s">
        <v>217</v>
      </c>
      <c r="H272" s="174" t="s">
        <v>217</v>
      </c>
      <c r="I272" s="174" t="s">
        <v>217</v>
      </c>
      <c r="J272" s="174" t="s">
        <v>217</v>
      </c>
      <c r="K272" s="238" t="s">
        <v>218</v>
      </c>
      <c r="L272" s="239" t="s">
        <v>527</v>
      </c>
      <c r="M272" s="240" t="s">
        <v>526</v>
      </c>
      <c r="N272" s="241"/>
      <c r="O272" s="263" t="s">
        <v>525</v>
      </c>
      <c r="P272" s="84"/>
      <c r="Q272" s="211"/>
      <c r="R272" s="209"/>
    </row>
    <row r="273" spans="2:77" ht="14.25" thickTop="1">
      <c r="B273" s="81" t="s">
        <v>301</v>
      </c>
      <c r="C273" s="175" t="s">
        <v>159</v>
      </c>
      <c r="D273" s="175" t="s">
        <v>159</v>
      </c>
      <c r="E273" s="175" t="s">
        <v>159</v>
      </c>
      <c r="F273" s="175" t="s">
        <v>159</v>
      </c>
      <c r="G273" s="175" t="s">
        <v>159</v>
      </c>
      <c r="H273" s="175" t="s">
        <v>159</v>
      </c>
      <c r="I273" s="175" t="s">
        <v>159</v>
      </c>
      <c r="J273" s="175" t="s">
        <v>159</v>
      </c>
      <c r="K273" s="218" t="s">
        <v>32</v>
      </c>
      <c r="L273" s="242" t="s">
        <v>241</v>
      </c>
      <c r="M273" s="243" t="s">
        <v>242</v>
      </c>
      <c r="N273" s="244"/>
      <c r="O273" s="264" t="s">
        <v>204</v>
      </c>
      <c r="P273" s="49"/>
      <c r="Q273" s="150"/>
      <c r="R273" s="68"/>
    </row>
    <row r="274" spans="2:77">
      <c r="B274" s="81" t="s">
        <v>243</v>
      </c>
      <c r="C274" s="175" t="s">
        <v>159</v>
      </c>
      <c r="D274" s="175" t="s">
        <v>159</v>
      </c>
      <c r="E274" s="175" t="s">
        <v>159</v>
      </c>
      <c r="F274" s="175" t="s">
        <v>159</v>
      </c>
      <c r="G274" s="175" t="s">
        <v>159</v>
      </c>
      <c r="H274" s="175" t="s">
        <v>159</v>
      </c>
      <c r="I274" s="175" t="s">
        <v>159</v>
      </c>
      <c r="J274" s="175" t="s">
        <v>159</v>
      </c>
      <c r="K274" s="218" t="s">
        <v>32</v>
      </c>
      <c r="L274" s="242" t="s">
        <v>244</v>
      </c>
      <c r="M274" s="243" t="s">
        <v>417</v>
      </c>
      <c r="N274" s="244"/>
      <c r="O274" s="264" t="s">
        <v>524</v>
      </c>
      <c r="P274" s="49"/>
      <c r="Q274" s="150"/>
      <c r="R274" s="68"/>
    </row>
    <row r="275" spans="2:77">
      <c r="B275" s="81" t="s">
        <v>303</v>
      </c>
      <c r="C275" s="175" t="s">
        <v>159</v>
      </c>
      <c r="D275" s="175" t="s">
        <v>159</v>
      </c>
      <c r="E275" s="175" t="s">
        <v>159</v>
      </c>
      <c r="F275" s="175" t="s">
        <v>159</v>
      </c>
      <c r="G275" s="175" t="s">
        <v>159</v>
      </c>
      <c r="H275" s="175" t="s">
        <v>159</v>
      </c>
      <c r="I275" s="175" t="s">
        <v>159</v>
      </c>
      <c r="J275" s="175" t="s">
        <v>159</v>
      </c>
      <c r="K275" s="218" t="s">
        <v>32</v>
      </c>
      <c r="L275" s="242" t="s">
        <v>245</v>
      </c>
      <c r="M275" s="243" t="s">
        <v>108</v>
      </c>
      <c r="N275" s="244"/>
      <c r="O275" s="264" t="s">
        <v>204</v>
      </c>
      <c r="P275" s="49"/>
      <c r="Q275" s="150"/>
      <c r="R275" s="68"/>
    </row>
    <row r="276" spans="2:77">
      <c r="B276" s="81" t="s">
        <v>302</v>
      </c>
      <c r="C276" s="175" t="s">
        <v>159</v>
      </c>
      <c r="D276" s="175" t="s">
        <v>159</v>
      </c>
      <c r="E276" s="175" t="s">
        <v>159</v>
      </c>
      <c r="F276" s="175" t="s">
        <v>159</v>
      </c>
      <c r="G276" s="175" t="s">
        <v>159</v>
      </c>
      <c r="H276" s="175" t="s">
        <v>159</v>
      </c>
      <c r="I276" s="175" t="s">
        <v>159</v>
      </c>
      <c r="J276" s="175" t="s">
        <v>159</v>
      </c>
      <c r="K276" s="218" t="s">
        <v>32</v>
      </c>
      <c r="L276" s="242" t="s">
        <v>246</v>
      </c>
      <c r="M276" s="243" t="s">
        <v>220</v>
      </c>
      <c r="N276" s="244"/>
      <c r="O276" s="264" t="s">
        <v>204</v>
      </c>
      <c r="P276" s="49"/>
      <c r="Q276" s="150"/>
      <c r="R276" s="68"/>
    </row>
    <row r="277" spans="2:77">
      <c r="B277" s="81" t="s">
        <v>247</v>
      </c>
      <c r="C277" s="175" t="s">
        <v>159</v>
      </c>
      <c r="D277" s="175" t="s">
        <v>159</v>
      </c>
      <c r="E277" s="175" t="s">
        <v>159</v>
      </c>
      <c r="F277" s="175" t="s">
        <v>159</v>
      </c>
      <c r="G277" s="175" t="s">
        <v>159</v>
      </c>
      <c r="H277" s="175" t="s">
        <v>159</v>
      </c>
      <c r="I277" s="175" t="s">
        <v>159</v>
      </c>
      <c r="J277" s="175" t="s">
        <v>159</v>
      </c>
      <c r="K277" s="218" t="s">
        <v>32</v>
      </c>
      <c r="L277" s="242" t="s">
        <v>248</v>
      </c>
      <c r="M277" s="243" t="s">
        <v>305</v>
      </c>
      <c r="N277" s="244"/>
      <c r="O277" s="264" t="s">
        <v>469</v>
      </c>
      <c r="P277" s="49"/>
      <c r="Q277" s="150"/>
      <c r="R277" s="68"/>
    </row>
    <row r="278" spans="2:77">
      <c r="B278" s="81" t="s">
        <v>247</v>
      </c>
      <c r="C278" s="175" t="s">
        <v>159</v>
      </c>
      <c r="D278" s="175" t="s">
        <v>159</v>
      </c>
      <c r="E278" s="175" t="s">
        <v>159</v>
      </c>
      <c r="F278" s="175" t="s">
        <v>159</v>
      </c>
      <c r="G278" s="175" t="s">
        <v>159</v>
      </c>
      <c r="H278" s="175" t="s">
        <v>159</v>
      </c>
      <c r="I278" s="175" t="s">
        <v>159</v>
      </c>
      <c r="J278" s="175" t="s">
        <v>159</v>
      </c>
      <c r="K278" s="218" t="s">
        <v>32</v>
      </c>
      <c r="L278" s="242" t="s">
        <v>249</v>
      </c>
      <c r="M278" s="243" t="s">
        <v>307</v>
      </c>
      <c r="N278" s="244"/>
      <c r="O278" s="264" t="s">
        <v>470</v>
      </c>
      <c r="P278" s="49"/>
      <c r="Q278" s="150"/>
      <c r="R278" s="68"/>
      <c r="BY278" s="257" t="s">
        <v>480</v>
      </c>
    </row>
    <row r="279" spans="2:77">
      <c r="B279" s="81" t="s">
        <v>247</v>
      </c>
      <c r="C279" s="175" t="s">
        <v>159</v>
      </c>
      <c r="D279" s="175" t="s">
        <v>159</v>
      </c>
      <c r="E279" s="175" t="s">
        <v>159</v>
      </c>
      <c r="F279" s="175" t="s">
        <v>159</v>
      </c>
      <c r="G279" s="175" t="s">
        <v>159</v>
      </c>
      <c r="H279" s="175" t="s">
        <v>159</v>
      </c>
      <c r="I279" s="175" t="s">
        <v>159</v>
      </c>
      <c r="J279" s="175" t="s">
        <v>159</v>
      </c>
      <c r="K279" s="218" t="s">
        <v>32</v>
      </c>
      <c r="L279" s="242" t="s">
        <v>250</v>
      </c>
      <c r="M279" s="243" t="s">
        <v>309</v>
      </c>
      <c r="N279" s="244"/>
      <c r="O279" s="264" t="s">
        <v>471</v>
      </c>
      <c r="P279" s="49"/>
      <c r="Q279" s="150"/>
      <c r="R279" s="68"/>
    </row>
    <row r="280" spans="2:77">
      <c r="B280" s="81" t="s">
        <v>303</v>
      </c>
      <c r="C280" s="175" t="s">
        <v>159</v>
      </c>
      <c r="D280" s="175" t="s">
        <v>159</v>
      </c>
      <c r="E280" s="175" t="s">
        <v>159</v>
      </c>
      <c r="F280" s="175" t="s">
        <v>159</v>
      </c>
      <c r="G280" s="175" t="s">
        <v>159</v>
      </c>
      <c r="H280" s="175" t="s">
        <v>159</v>
      </c>
      <c r="I280" s="175" t="s">
        <v>159</v>
      </c>
      <c r="J280" s="175" t="s">
        <v>159</v>
      </c>
      <c r="K280" s="218" t="s">
        <v>32</v>
      </c>
      <c r="L280" s="242" t="s">
        <v>251</v>
      </c>
      <c r="M280" s="243" t="s">
        <v>220</v>
      </c>
      <c r="N280" s="244"/>
      <c r="O280" s="264" t="s">
        <v>204</v>
      </c>
      <c r="P280" s="49"/>
      <c r="Q280" s="150"/>
      <c r="R280" s="68"/>
    </row>
    <row r="281" spans="2:77">
      <c r="B281" s="81" t="s">
        <v>322</v>
      </c>
      <c r="C281" s="175" t="s">
        <v>159</v>
      </c>
      <c r="D281" s="175" t="s">
        <v>159</v>
      </c>
      <c r="E281" s="175" t="s">
        <v>159</v>
      </c>
      <c r="F281" s="175" t="s">
        <v>159</v>
      </c>
      <c r="G281" s="175" t="s">
        <v>159</v>
      </c>
      <c r="H281" s="175" t="s">
        <v>159</v>
      </c>
      <c r="I281" s="175" t="s">
        <v>159</v>
      </c>
      <c r="J281" s="175" t="s">
        <v>159</v>
      </c>
      <c r="K281" s="218" t="s">
        <v>32</v>
      </c>
      <c r="L281" s="242" t="s">
        <v>252</v>
      </c>
      <c r="M281" s="243" t="s">
        <v>415</v>
      </c>
      <c r="N281" s="244"/>
      <c r="O281" s="264" t="s">
        <v>454</v>
      </c>
      <c r="P281" s="49"/>
      <c r="Q281" s="150"/>
      <c r="R281" s="68"/>
    </row>
    <row r="282" spans="2:77">
      <c r="B282" s="81" t="s">
        <v>225</v>
      </c>
      <c r="C282" s="175" t="s">
        <v>159</v>
      </c>
      <c r="D282" s="175" t="s">
        <v>159</v>
      </c>
      <c r="E282" s="175" t="s">
        <v>159</v>
      </c>
      <c r="F282" s="175" t="s">
        <v>159</v>
      </c>
      <c r="G282" s="175" t="s">
        <v>159</v>
      </c>
      <c r="H282" s="175" t="s">
        <v>159</v>
      </c>
      <c r="I282" s="175" t="s">
        <v>159</v>
      </c>
      <c r="J282" s="175" t="s">
        <v>159</v>
      </c>
      <c r="K282" s="218" t="s">
        <v>32</v>
      </c>
      <c r="L282" s="242" t="s">
        <v>253</v>
      </c>
      <c r="M282" s="265" t="s">
        <v>498</v>
      </c>
      <c r="N282" s="266"/>
      <c r="O282" s="267" t="s">
        <v>528</v>
      </c>
      <c r="P282" s="49"/>
      <c r="Q282" s="150"/>
      <c r="R282" s="68"/>
    </row>
    <row r="283" spans="2:77">
      <c r="B283" s="81" t="s">
        <v>225</v>
      </c>
      <c r="C283" s="175" t="s">
        <v>159</v>
      </c>
      <c r="D283" s="175" t="s">
        <v>159</v>
      </c>
      <c r="E283" s="175" t="s">
        <v>159</v>
      </c>
      <c r="F283" s="175" t="s">
        <v>159</v>
      </c>
      <c r="G283" s="175" t="s">
        <v>159</v>
      </c>
      <c r="H283" s="175" t="s">
        <v>159</v>
      </c>
      <c r="I283" s="175" t="s">
        <v>159</v>
      </c>
      <c r="J283" s="175" t="s">
        <v>159</v>
      </c>
      <c r="K283" s="218" t="s">
        <v>32</v>
      </c>
      <c r="L283" s="242" t="s">
        <v>254</v>
      </c>
      <c r="M283" s="243" t="s">
        <v>220</v>
      </c>
      <c r="N283" s="244"/>
      <c r="O283" s="218" t="s">
        <v>204</v>
      </c>
      <c r="P283" s="49"/>
      <c r="Q283" s="150"/>
      <c r="R283" s="68"/>
    </row>
    <row r="284" spans="2:77">
      <c r="B284" s="81" t="s">
        <v>225</v>
      </c>
      <c r="C284" s="175" t="s">
        <v>159</v>
      </c>
      <c r="D284" s="175" t="s">
        <v>159</v>
      </c>
      <c r="E284" s="175" t="s">
        <v>159</v>
      </c>
      <c r="F284" s="175" t="s">
        <v>159</v>
      </c>
      <c r="G284" s="175" t="s">
        <v>159</v>
      </c>
      <c r="H284" s="175" t="s">
        <v>159</v>
      </c>
      <c r="I284" s="175" t="s">
        <v>159</v>
      </c>
      <c r="J284" s="175" t="s">
        <v>159</v>
      </c>
      <c r="K284" s="218" t="s">
        <v>32</v>
      </c>
      <c r="L284" s="242" t="s">
        <v>255</v>
      </c>
      <c r="M284" s="243" t="s">
        <v>220</v>
      </c>
      <c r="N284" s="244"/>
      <c r="O284" s="218" t="s">
        <v>204</v>
      </c>
      <c r="P284" s="49"/>
      <c r="Q284" s="150"/>
      <c r="R284" s="68"/>
    </row>
    <row r="285" spans="2:77">
      <c r="B285" s="81" t="s">
        <v>225</v>
      </c>
      <c r="C285" s="175" t="s">
        <v>159</v>
      </c>
      <c r="D285" s="175" t="s">
        <v>159</v>
      </c>
      <c r="E285" s="175" t="s">
        <v>159</v>
      </c>
      <c r="F285" s="175" t="s">
        <v>159</v>
      </c>
      <c r="G285" s="175" t="s">
        <v>159</v>
      </c>
      <c r="H285" s="175" t="s">
        <v>159</v>
      </c>
      <c r="I285" s="175" t="s">
        <v>159</v>
      </c>
      <c r="J285" s="175" t="s">
        <v>159</v>
      </c>
      <c r="K285" s="218" t="s">
        <v>32</v>
      </c>
      <c r="L285" s="242" t="s">
        <v>256</v>
      </c>
      <c r="M285" s="243" t="s">
        <v>220</v>
      </c>
      <c r="N285" s="244"/>
      <c r="O285" s="218" t="s">
        <v>204</v>
      </c>
      <c r="P285" s="49"/>
      <c r="Q285" s="150"/>
      <c r="R285" s="68"/>
    </row>
    <row r="286" spans="2:77">
      <c r="B286" s="81" t="s">
        <v>225</v>
      </c>
      <c r="C286" s="175" t="s">
        <v>159</v>
      </c>
      <c r="D286" s="175" t="s">
        <v>159</v>
      </c>
      <c r="E286" s="175" t="s">
        <v>159</v>
      </c>
      <c r="F286" s="175" t="s">
        <v>159</v>
      </c>
      <c r="G286" s="175" t="s">
        <v>159</v>
      </c>
      <c r="H286" s="175" t="s">
        <v>159</v>
      </c>
      <c r="I286" s="175" t="s">
        <v>159</v>
      </c>
      <c r="J286" s="175" t="s">
        <v>159</v>
      </c>
      <c r="K286" s="218" t="s">
        <v>32</v>
      </c>
      <c r="L286" s="242" t="s">
        <v>257</v>
      </c>
      <c r="M286" s="243" t="s">
        <v>220</v>
      </c>
      <c r="N286" s="244"/>
      <c r="O286" s="218" t="s">
        <v>204</v>
      </c>
      <c r="P286" s="49"/>
      <c r="Q286" s="150"/>
      <c r="R286" s="68"/>
    </row>
    <row r="287" spans="2:77">
      <c r="B287" s="81" t="s">
        <v>225</v>
      </c>
      <c r="C287" s="175" t="s">
        <v>159</v>
      </c>
      <c r="D287" s="175" t="s">
        <v>159</v>
      </c>
      <c r="E287" s="175" t="s">
        <v>159</v>
      </c>
      <c r="F287" s="175" t="s">
        <v>159</v>
      </c>
      <c r="G287" s="175" t="s">
        <v>159</v>
      </c>
      <c r="H287" s="175" t="s">
        <v>159</v>
      </c>
      <c r="I287" s="175" t="s">
        <v>159</v>
      </c>
      <c r="J287" s="175" t="s">
        <v>159</v>
      </c>
      <c r="K287" s="218" t="s">
        <v>32</v>
      </c>
      <c r="L287" s="242" t="s">
        <v>258</v>
      </c>
      <c r="M287" s="243" t="s">
        <v>220</v>
      </c>
      <c r="N287" s="244"/>
      <c r="O287" s="218" t="s">
        <v>204</v>
      </c>
      <c r="P287" s="49"/>
      <c r="Q287" s="150"/>
      <c r="R287" s="68"/>
    </row>
    <row r="288" spans="2:77">
      <c r="B288" s="81" t="s">
        <v>225</v>
      </c>
      <c r="C288" s="175" t="s">
        <v>159</v>
      </c>
      <c r="D288" s="175" t="s">
        <v>159</v>
      </c>
      <c r="E288" s="175" t="s">
        <v>159</v>
      </c>
      <c r="F288" s="175" t="s">
        <v>159</v>
      </c>
      <c r="G288" s="175" t="s">
        <v>159</v>
      </c>
      <c r="H288" s="175" t="s">
        <v>159</v>
      </c>
      <c r="I288" s="175" t="s">
        <v>159</v>
      </c>
      <c r="J288" s="175" t="s">
        <v>159</v>
      </c>
      <c r="K288" s="218" t="s">
        <v>32</v>
      </c>
      <c r="L288" s="242" t="s">
        <v>259</v>
      </c>
      <c r="M288" s="243" t="s">
        <v>220</v>
      </c>
      <c r="N288" s="244"/>
      <c r="O288" s="218" t="s">
        <v>204</v>
      </c>
      <c r="P288" s="49"/>
      <c r="Q288" s="150"/>
      <c r="R288" s="68"/>
    </row>
    <row r="289" spans="2:18">
      <c r="B289" s="22" t="s">
        <v>231</v>
      </c>
      <c r="C289" s="176" t="s">
        <v>159</v>
      </c>
      <c r="D289" s="176" t="s">
        <v>159</v>
      </c>
      <c r="E289" s="176" t="s">
        <v>159</v>
      </c>
      <c r="F289" s="176" t="s">
        <v>159</v>
      </c>
      <c r="G289" s="176" t="s">
        <v>159</v>
      </c>
      <c r="H289" s="176" t="s">
        <v>159</v>
      </c>
      <c r="I289" s="176" t="s">
        <v>159</v>
      </c>
      <c r="J289" s="176" t="s">
        <v>159</v>
      </c>
      <c r="K289" s="245" t="s">
        <v>34</v>
      </c>
      <c r="L289" s="246" t="s">
        <v>324</v>
      </c>
      <c r="M289" s="247" t="s">
        <v>220</v>
      </c>
      <c r="N289" s="244"/>
      <c r="O289" s="245" t="s">
        <v>204</v>
      </c>
      <c r="P289" s="50"/>
      <c r="Q289" s="151"/>
      <c r="R289" s="68"/>
    </row>
    <row r="290" spans="2:18">
      <c r="B290" s="22" t="s">
        <v>233</v>
      </c>
      <c r="C290" s="176" t="s">
        <v>159</v>
      </c>
      <c r="D290" s="176" t="s">
        <v>159</v>
      </c>
      <c r="E290" s="176" t="s">
        <v>159</v>
      </c>
      <c r="F290" s="176" t="s">
        <v>159</v>
      </c>
      <c r="G290" s="176" t="s">
        <v>159</v>
      </c>
      <c r="H290" s="176" t="s">
        <v>159</v>
      </c>
      <c r="I290" s="176" t="s">
        <v>159</v>
      </c>
      <c r="J290" s="176" t="s">
        <v>159</v>
      </c>
      <c r="K290" s="245" t="s">
        <v>35</v>
      </c>
      <c r="L290" s="246" t="s">
        <v>323</v>
      </c>
      <c r="M290" s="243" t="s">
        <v>220</v>
      </c>
      <c r="N290" s="244"/>
      <c r="O290" s="218" t="s">
        <v>204</v>
      </c>
      <c r="P290" s="49"/>
      <c r="Q290" s="150"/>
      <c r="R290" s="68"/>
    </row>
    <row r="291" spans="2:18">
      <c r="B291" s="22" t="s">
        <v>260</v>
      </c>
      <c r="C291" s="176" t="s">
        <v>159</v>
      </c>
      <c r="D291" s="176" t="s">
        <v>159</v>
      </c>
      <c r="E291" s="176" t="s">
        <v>159</v>
      </c>
      <c r="F291" s="176" t="s">
        <v>159</v>
      </c>
      <c r="G291" s="176" t="s">
        <v>159</v>
      </c>
      <c r="H291" s="176" t="s">
        <v>159</v>
      </c>
      <c r="I291" s="176" t="s">
        <v>159</v>
      </c>
      <c r="J291" s="176" t="s">
        <v>159</v>
      </c>
      <c r="K291" s="245" t="s">
        <v>261</v>
      </c>
      <c r="L291" s="246" t="s">
        <v>323</v>
      </c>
      <c r="M291" s="243" t="s">
        <v>220</v>
      </c>
      <c r="N291" s="244"/>
      <c r="O291" s="218" t="s">
        <v>204</v>
      </c>
      <c r="P291" s="49"/>
      <c r="Q291" s="150"/>
      <c r="R291" s="68"/>
    </row>
    <row r="292" spans="2:18" ht="14.25" thickBot="1">
      <c r="B292" s="23" t="s">
        <v>262</v>
      </c>
      <c r="C292" s="177" t="s">
        <v>159</v>
      </c>
      <c r="D292" s="177" t="s">
        <v>159</v>
      </c>
      <c r="E292" s="177" t="s">
        <v>159</v>
      </c>
      <c r="F292" s="177" t="s">
        <v>159</v>
      </c>
      <c r="G292" s="177" t="s">
        <v>159</v>
      </c>
      <c r="H292" s="177" t="s">
        <v>159</v>
      </c>
      <c r="I292" s="177" t="s">
        <v>159</v>
      </c>
      <c r="J292" s="177" t="s">
        <v>159</v>
      </c>
      <c r="K292" s="248" t="s">
        <v>263</v>
      </c>
      <c r="L292" s="249" t="s">
        <v>323</v>
      </c>
      <c r="M292" s="250" t="s">
        <v>33</v>
      </c>
      <c r="N292" s="251"/>
      <c r="O292" s="248" t="s">
        <v>204</v>
      </c>
      <c r="P292" s="51"/>
      <c r="Q292" s="152"/>
      <c r="R292" s="68"/>
    </row>
    <row r="293" spans="2:18">
      <c r="K293" s="252"/>
      <c r="L293" s="252"/>
      <c r="M293" s="252"/>
      <c r="N293" s="252"/>
      <c r="O293" s="252"/>
    </row>
    <row r="300" spans="2:18" ht="15" thickBot="1">
      <c r="B300" s="27" t="s">
        <v>448</v>
      </c>
    </row>
    <row r="301" spans="2:18" ht="15" thickBot="1">
      <c r="B301" s="105" t="s">
        <v>236</v>
      </c>
      <c r="C301" s="357" t="s">
        <v>199</v>
      </c>
      <c r="D301" s="358"/>
      <c r="E301" s="358"/>
      <c r="F301" s="358"/>
      <c r="G301" s="358"/>
      <c r="H301" s="358"/>
      <c r="I301" s="358"/>
      <c r="J301" s="359"/>
      <c r="K301" s="178"/>
      <c r="L301" s="178"/>
      <c r="M301" s="181"/>
      <c r="N301" s="179"/>
      <c r="O301" s="179"/>
      <c r="P301" s="179"/>
      <c r="Q301" s="180"/>
      <c r="R301" s="208"/>
    </row>
    <row r="302" spans="2:18">
      <c r="B302" s="77"/>
      <c r="C302" s="36" t="s">
        <v>237</v>
      </c>
      <c r="D302" s="36"/>
      <c r="E302" s="36"/>
      <c r="F302" s="36"/>
      <c r="G302" s="36"/>
      <c r="H302" s="36"/>
      <c r="I302" s="36"/>
      <c r="J302" s="36"/>
      <c r="K302" s="36"/>
      <c r="L302" s="37"/>
      <c r="M302" s="32" t="s">
        <v>238</v>
      </c>
      <c r="N302" s="52" t="s">
        <v>20</v>
      </c>
      <c r="O302" s="53"/>
      <c r="P302" s="53"/>
      <c r="Q302" s="54"/>
      <c r="R302" s="68"/>
    </row>
    <row r="303" spans="2:18">
      <c r="B303" s="78" t="s">
        <v>21</v>
      </c>
      <c r="C303" s="360" t="s">
        <v>239</v>
      </c>
      <c r="D303" s="361"/>
      <c r="E303" s="361"/>
      <c r="F303" s="361"/>
      <c r="G303" s="361"/>
      <c r="H303" s="361"/>
      <c r="I303" s="361"/>
      <c r="J303" s="362"/>
      <c r="K303" s="29" t="s">
        <v>22</v>
      </c>
      <c r="L303" s="82"/>
      <c r="M303" s="33" t="s">
        <v>398</v>
      </c>
      <c r="N303" s="198" t="s">
        <v>23</v>
      </c>
      <c r="O303" s="1" t="s">
        <v>24</v>
      </c>
      <c r="P303" s="85" t="s">
        <v>25</v>
      </c>
      <c r="Q303" s="147" t="s">
        <v>26</v>
      </c>
      <c r="R303" s="68"/>
    </row>
    <row r="304" spans="2:18">
      <c r="B304" s="78" t="s">
        <v>36</v>
      </c>
      <c r="C304" s="173" t="s">
        <v>205</v>
      </c>
      <c r="D304" s="173" t="s">
        <v>240</v>
      </c>
      <c r="E304" s="173" t="s">
        <v>240</v>
      </c>
      <c r="F304" s="173" t="s">
        <v>240</v>
      </c>
      <c r="G304" s="173" t="s">
        <v>240</v>
      </c>
      <c r="H304" s="173" t="s">
        <v>205</v>
      </c>
      <c r="I304" s="173" t="s">
        <v>204</v>
      </c>
      <c r="J304" s="173" t="s">
        <v>204</v>
      </c>
      <c r="K304" s="145" t="s">
        <v>100</v>
      </c>
      <c r="L304" s="146" t="s">
        <v>100</v>
      </c>
      <c r="M304" s="33" t="s">
        <v>206</v>
      </c>
      <c r="N304" s="199"/>
      <c r="O304" s="48"/>
      <c r="P304" s="86"/>
      <c r="Q304" s="147"/>
      <c r="R304" s="68"/>
    </row>
    <row r="305" spans="2:18" ht="27">
      <c r="B305" s="79" t="s">
        <v>27</v>
      </c>
      <c r="C305" s="363" t="s">
        <v>207</v>
      </c>
      <c r="D305" s="361"/>
      <c r="E305" s="361"/>
      <c r="F305" s="361"/>
      <c r="G305" s="361"/>
      <c r="H305" s="361"/>
      <c r="I305" s="361"/>
      <c r="J305" s="362"/>
      <c r="K305" s="1" t="s">
        <v>208</v>
      </c>
      <c r="L305" s="1" t="s">
        <v>264</v>
      </c>
      <c r="M305" s="34"/>
      <c r="N305" s="199"/>
      <c r="O305" s="200"/>
      <c r="P305" s="86"/>
      <c r="Q305" s="147"/>
      <c r="R305" s="68"/>
    </row>
    <row r="306" spans="2:18" ht="64.5">
      <c r="B306" s="78" t="s">
        <v>28</v>
      </c>
      <c r="C306" s="204" t="s">
        <v>209</v>
      </c>
      <c r="D306" s="204" t="s">
        <v>65</v>
      </c>
      <c r="E306" s="204" t="s">
        <v>210</v>
      </c>
      <c r="F306" s="204" t="s">
        <v>211</v>
      </c>
      <c r="G306" s="204" t="s">
        <v>212</v>
      </c>
      <c r="H306" s="204" t="s">
        <v>213</v>
      </c>
      <c r="I306" s="204" t="s">
        <v>214</v>
      </c>
      <c r="J306" s="204" t="s">
        <v>215</v>
      </c>
      <c r="K306" s="1" t="s">
        <v>438</v>
      </c>
      <c r="L306" s="29" t="s">
        <v>437</v>
      </c>
      <c r="M306" s="33" t="s">
        <v>29</v>
      </c>
      <c r="N306" s="199"/>
      <c r="O306" s="200"/>
      <c r="P306" s="86"/>
      <c r="Q306" s="147"/>
      <c r="R306" s="68"/>
    </row>
    <row r="307" spans="2:18" ht="68.25" thickBot="1">
      <c r="B307" s="80" t="s">
        <v>30</v>
      </c>
      <c r="C307" s="174" t="s">
        <v>217</v>
      </c>
      <c r="D307" s="174" t="s">
        <v>205</v>
      </c>
      <c r="E307" s="174" t="s">
        <v>217</v>
      </c>
      <c r="F307" s="174" t="s">
        <v>217</v>
      </c>
      <c r="G307" s="174" t="s">
        <v>217</v>
      </c>
      <c r="H307" s="174" t="s">
        <v>217</v>
      </c>
      <c r="I307" s="174" t="s">
        <v>217</v>
      </c>
      <c r="J307" s="174" t="s">
        <v>217</v>
      </c>
      <c r="K307" s="28" t="s">
        <v>218</v>
      </c>
      <c r="L307" s="30" t="s">
        <v>310</v>
      </c>
      <c r="M307" s="35" t="s">
        <v>313</v>
      </c>
      <c r="N307" s="201"/>
      <c r="O307" s="217" t="s">
        <v>440</v>
      </c>
      <c r="P307" s="84"/>
      <c r="Q307" s="149"/>
      <c r="R307" s="68"/>
    </row>
    <row r="308" spans="2:18" ht="14.25" thickTop="1">
      <c r="B308" s="81" t="s">
        <v>301</v>
      </c>
      <c r="C308" s="175" t="s">
        <v>159</v>
      </c>
      <c r="D308" s="175" t="s">
        <v>159</v>
      </c>
      <c r="E308" s="175" t="s">
        <v>159</v>
      </c>
      <c r="F308" s="175" t="s">
        <v>159</v>
      </c>
      <c r="G308" s="175" t="s">
        <v>159</v>
      </c>
      <c r="H308" s="175" t="s">
        <v>159</v>
      </c>
      <c r="I308" s="175" t="s">
        <v>159</v>
      </c>
      <c r="J308" s="175" t="s">
        <v>159</v>
      </c>
      <c r="K308" s="39" t="s">
        <v>32</v>
      </c>
      <c r="L308" s="40" t="s">
        <v>241</v>
      </c>
      <c r="M308" s="41" t="s">
        <v>242</v>
      </c>
      <c r="N308" s="202"/>
      <c r="O308" s="218" t="s">
        <v>204</v>
      </c>
      <c r="P308" s="49"/>
      <c r="Q308" s="150"/>
      <c r="R308" s="68"/>
    </row>
    <row r="309" spans="2:18">
      <c r="B309" s="81" t="s">
        <v>302</v>
      </c>
      <c r="C309" s="175" t="s">
        <v>159</v>
      </c>
      <c r="D309" s="175" t="s">
        <v>159</v>
      </c>
      <c r="E309" s="175" t="s">
        <v>159</v>
      </c>
      <c r="F309" s="175" t="s">
        <v>159</v>
      </c>
      <c r="G309" s="175" t="s">
        <v>159</v>
      </c>
      <c r="H309" s="175" t="s">
        <v>159</v>
      </c>
      <c r="I309" s="175" t="s">
        <v>159</v>
      </c>
      <c r="J309" s="175" t="s">
        <v>159</v>
      </c>
      <c r="K309" s="39" t="s">
        <v>32</v>
      </c>
      <c r="L309" s="40" t="s">
        <v>244</v>
      </c>
      <c r="M309" s="41" t="s">
        <v>220</v>
      </c>
      <c r="N309" s="202"/>
      <c r="O309" s="218" t="s">
        <v>204</v>
      </c>
      <c r="P309" s="49"/>
      <c r="Q309" s="150"/>
      <c r="R309" s="68"/>
    </row>
    <row r="310" spans="2:18">
      <c r="B310" s="81" t="s">
        <v>302</v>
      </c>
      <c r="C310" s="175" t="s">
        <v>159</v>
      </c>
      <c r="D310" s="175" t="s">
        <v>159</v>
      </c>
      <c r="E310" s="175" t="s">
        <v>159</v>
      </c>
      <c r="F310" s="175" t="s">
        <v>159</v>
      </c>
      <c r="G310" s="175" t="s">
        <v>159</v>
      </c>
      <c r="H310" s="175" t="s">
        <v>159</v>
      </c>
      <c r="I310" s="175" t="s">
        <v>159</v>
      </c>
      <c r="J310" s="175" t="s">
        <v>159</v>
      </c>
      <c r="K310" s="39" t="s">
        <v>32</v>
      </c>
      <c r="L310" s="40" t="s">
        <v>245</v>
      </c>
      <c r="M310" s="41" t="s">
        <v>220</v>
      </c>
      <c r="N310" s="202"/>
      <c r="O310" s="218" t="s">
        <v>204</v>
      </c>
      <c r="P310" s="49"/>
      <c r="Q310" s="150"/>
      <c r="R310" s="68"/>
    </row>
    <row r="311" spans="2:18">
      <c r="B311" s="81" t="s">
        <v>302</v>
      </c>
      <c r="C311" s="175" t="s">
        <v>159</v>
      </c>
      <c r="D311" s="175" t="s">
        <v>159</v>
      </c>
      <c r="E311" s="175" t="s">
        <v>159</v>
      </c>
      <c r="F311" s="175" t="s">
        <v>159</v>
      </c>
      <c r="G311" s="175" t="s">
        <v>159</v>
      </c>
      <c r="H311" s="175" t="s">
        <v>159</v>
      </c>
      <c r="I311" s="175" t="s">
        <v>159</v>
      </c>
      <c r="J311" s="175" t="s">
        <v>159</v>
      </c>
      <c r="K311" s="39" t="s">
        <v>32</v>
      </c>
      <c r="L311" s="40" t="s">
        <v>246</v>
      </c>
      <c r="M311" s="41" t="s">
        <v>220</v>
      </c>
      <c r="N311" s="202"/>
      <c r="O311" s="218" t="s">
        <v>204</v>
      </c>
      <c r="P311" s="49"/>
      <c r="Q311" s="150"/>
      <c r="R311" s="68"/>
    </row>
    <row r="312" spans="2:18">
      <c r="B312" s="81" t="s">
        <v>302</v>
      </c>
      <c r="C312" s="175" t="s">
        <v>159</v>
      </c>
      <c r="D312" s="175" t="s">
        <v>159</v>
      </c>
      <c r="E312" s="175" t="s">
        <v>159</v>
      </c>
      <c r="F312" s="175" t="s">
        <v>159</v>
      </c>
      <c r="G312" s="175" t="s">
        <v>159</v>
      </c>
      <c r="H312" s="175" t="s">
        <v>159</v>
      </c>
      <c r="I312" s="175" t="s">
        <v>159</v>
      </c>
      <c r="J312" s="175" t="s">
        <v>159</v>
      </c>
      <c r="K312" s="39" t="s">
        <v>32</v>
      </c>
      <c r="L312" s="40" t="s">
        <v>248</v>
      </c>
      <c r="M312" s="41" t="s">
        <v>220</v>
      </c>
      <c r="N312" s="202"/>
      <c r="O312" s="218" t="s">
        <v>204</v>
      </c>
      <c r="P312" s="49"/>
      <c r="Q312" s="150"/>
      <c r="R312" s="68"/>
    </row>
    <row r="313" spans="2:18">
      <c r="B313" s="81" t="s">
        <v>311</v>
      </c>
      <c r="C313" s="175" t="s">
        <v>159</v>
      </c>
      <c r="D313" s="175" t="s">
        <v>159</v>
      </c>
      <c r="E313" s="175" t="s">
        <v>159</v>
      </c>
      <c r="F313" s="175" t="s">
        <v>159</v>
      </c>
      <c r="G313" s="175" t="s">
        <v>159</v>
      </c>
      <c r="H313" s="175" t="s">
        <v>159</v>
      </c>
      <c r="I313" s="175" t="s">
        <v>159</v>
      </c>
      <c r="J313" s="175" t="s">
        <v>159</v>
      </c>
      <c r="K313" s="39" t="s">
        <v>32</v>
      </c>
      <c r="L313" s="40" t="s">
        <v>249</v>
      </c>
      <c r="M313" s="41" t="s">
        <v>316</v>
      </c>
      <c r="N313" s="202"/>
      <c r="O313" s="218" t="s">
        <v>441</v>
      </c>
      <c r="P313" s="49"/>
      <c r="Q313" s="150"/>
      <c r="R313" s="68"/>
    </row>
    <row r="314" spans="2:18">
      <c r="B314" s="81" t="s">
        <v>311</v>
      </c>
      <c r="C314" s="175" t="s">
        <v>159</v>
      </c>
      <c r="D314" s="175" t="s">
        <v>159</v>
      </c>
      <c r="E314" s="175" t="s">
        <v>159</v>
      </c>
      <c r="F314" s="175" t="s">
        <v>159</v>
      </c>
      <c r="G314" s="175" t="s">
        <v>159</v>
      </c>
      <c r="H314" s="175" t="s">
        <v>159</v>
      </c>
      <c r="I314" s="175" t="s">
        <v>159</v>
      </c>
      <c r="J314" s="175" t="s">
        <v>159</v>
      </c>
      <c r="K314" s="39" t="s">
        <v>32</v>
      </c>
      <c r="L314" s="40" t="s">
        <v>250</v>
      </c>
      <c r="M314" s="41" t="s">
        <v>318</v>
      </c>
      <c r="N314" s="202"/>
      <c r="O314" s="218" t="s">
        <v>442</v>
      </c>
      <c r="P314" s="49"/>
      <c r="Q314" s="150"/>
      <c r="R314" s="68"/>
    </row>
    <row r="315" spans="2:18">
      <c r="B315" s="81" t="s">
        <v>312</v>
      </c>
      <c r="C315" s="175" t="s">
        <v>159</v>
      </c>
      <c r="D315" s="175" t="s">
        <v>159</v>
      </c>
      <c r="E315" s="175" t="s">
        <v>159</v>
      </c>
      <c r="F315" s="175" t="s">
        <v>159</v>
      </c>
      <c r="G315" s="175" t="s">
        <v>159</v>
      </c>
      <c r="H315" s="175" t="s">
        <v>159</v>
      </c>
      <c r="I315" s="175" t="s">
        <v>159</v>
      </c>
      <c r="J315" s="175" t="s">
        <v>159</v>
      </c>
      <c r="K315" s="39" t="s">
        <v>32</v>
      </c>
      <c r="L315" s="40" t="s">
        <v>251</v>
      </c>
      <c r="M315" s="41" t="s">
        <v>314</v>
      </c>
      <c r="N315" s="202"/>
      <c r="O315" s="218" t="s">
        <v>443</v>
      </c>
      <c r="P315" s="49"/>
      <c r="Q315" s="150"/>
      <c r="R315" s="68"/>
    </row>
    <row r="316" spans="2:18">
      <c r="B316" s="81" t="s">
        <v>302</v>
      </c>
      <c r="C316" s="175" t="s">
        <v>159</v>
      </c>
      <c r="D316" s="175" t="s">
        <v>159</v>
      </c>
      <c r="E316" s="175" t="s">
        <v>159</v>
      </c>
      <c r="F316" s="175" t="s">
        <v>159</v>
      </c>
      <c r="G316" s="175" t="s">
        <v>159</v>
      </c>
      <c r="H316" s="175" t="s">
        <v>159</v>
      </c>
      <c r="I316" s="175" t="s">
        <v>159</v>
      </c>
      <c r="J316" s="175" t="s">
        <v>159</v>
      </c>
      <c r="K316" s="39" t="s">
        <v>32</v>
      </c>
      <c r="L316" s="40" t="s">
        <v>252</v>
      </c>
      <c r="M316" s="41" t="s">
        <v>220</v>
      </c>
      <c r="N316" s="202"/>
      <c r="O316" s="218" t="s">
        <v>204</v>
      </c>
      <c r="P316" s="49"/>
      <c r="Q316" s="150"/>
      <c r="R316" s="68"/>
    </row>
    <row r="317" spans="2:18">
      <c r="B317" s="81" t="s">
        <v>225</v>
      </c>
      <c r="C317" s="175" t="s">
        <v>159</v>
      </c>
      <c r="D317" s="175" t="s">
        <v>159</v>
      </c>
      <c r="E317" s="175" t="s">
        <v>159</v>
      </c>
      <c r="F317" s="175" t="s">
        <v>159</v>
      </c>
      <c r="G317" s="175" t="s">
        <v>159</v>
      </c>
      <c r="H317" s="175" t="s">
        <v>159</v>
      </c>
      <c r="I317" s="175" t="s">
        <v>159</v>
      </c>
      <c r="J317" s="175" t="s">
        <v>159</v>
      </c>
      <c r="K317" s="39" t="s">
        <v>32</v>
      </c>
      <c r="L317" s="40" t="s">
        <v>253</v>
      </c>
      <c r="M317" s="41" t="s">
        <v>220</v>
      </c>
      <c r="N317" s="202"/>
      <c r="O317" s="218" t="s">
        <v>204</v>
      </c>
      <c r="P317" s="49"/>
      <c r="Q317" s="150"/>
      <c r="R317" s="68"/>
    </row>
    <row r="318" spans="2:18">
      <c r="B318" s="81" t="s">
        <v>225</v>
      </c>
      <c r="C318" s="175" t="s">
        <v>159</v>
      </c>
      <c r="D318" s="175" t="s">
        <v>159</v>
      </c>
      <c r="E318" s="175" t="s">
        <v>159</v>
      </c>
      <c r="F318" s="175" t="s">
        <v>159</v>
      </c>
      <c r="G318" s="175" t="s">
        <v>159</v>
      </c>
      <c r="H318" s="175" t="s">
        <v>159</v>
      </c>
      <c r="I318" s="175" t="s">
        <v>159</v>
      </c>
      <c r="J318" s="175" t="s">
        <v>159</v>
      </c>
      <c r="K318" s="39" t="s">
        <v>32</v>
      </c>
      <c r="L318" s="40" t="s">
        <v>254</v>
      </c>
      <c r="M318" s="41" t="s">
        <v>220</v>
      </c>
      <c r="N318" s="202"/>
      <c r="O318" s="218" t="s">
        <v>204</v>
      </c>
      <c r="P318" s="49"/>
      <c r="Q318" s="150"/>
      <c r="R318" s="68"/>
    </row>
    <row r="319" spans="2:18">
      <c r="B319" s="81" t="s">
        <v>225</v>
      </c>
      <c r="C319" s="175" t="s">
        <v>159</v>
      </c>
      <c r="D319" s="175" t="s">
        <v>159</v>
      </c>
      <c r="E319" s="175" t="s">
        <v>159</v>
      </c>
      <c r="F319" s="175" t="s">
        <v>159</v>
      </c>
      <c r="G319" s="175" t="s">
        <v>159</v>
      </c>
      <c r="H319" s="175" t="s">
        <v>159</v>
      </c>
      <c r="I319" s="175" t="s">
        <v>159</v>
      </c>
      <c r="J319" s="175" t="s">
        <v>159</v>
      </c>
      <c r="K319" s="39" t="s">
        <v>32</v>
      </c>
      <c r="L319" s="40" t="s">
        <v>255</v>
      </c>
      <c r="M319" s="41" t="s">
        <v>220</v>
      </c>
      <c r="N319" s="202"/>
      <c r="O319" s="39" t="s">
        <v>204</v>
      </c>
      <c r="P319" s="49"/>
      <c r="Q319" s="150"/>
      <c r="R319" s="68"/>
    </row>
    <row r="320" spans="2:18">
      <c r="B320" s="81" t="s">
        <v>225</v>
      </c>
      <c r="C320" s="175" t="s">
        <v>159</v>
      </c>
      <c r="D320" s="175" t="s">
        <v>159</v>
      </c>
      <c r="E320" s="175" t="s">
        <v>159</v>
      </c>
      <c r="F320" s="175" t="s">
        <v>159</v>
      </c>
      <c r="G320" s="175" t="s">
        <v>159</v>
      </c>
      <c r="H320" s="175" t="s">
        <v>159</v>
      </c>
      <c r="I320" s="175" t="s">
        <v>159</v>
      </c>
      <c r="J320" s="175" t="s">
        <v>159</v>
      </c>
      <c r="K320" s="39" t="s">
        <v>32</v>
      </c>
      <c r="L320" s="40" t="s">
        <v>256</v>
      </c>
      <c r="M320" s="41" t="s">
        <v>220</v>
      </c>
      <c r="N320" s="202"/>
      <c r="O320" s="39" t="s">
        <v>204</v>
      </c>
      <c r="P320" s="49"/>
      <c r="Q320" s="150"/>
      <c r="R320" s="68"/>
    </row>
    <row r="321" spans="2:18">
      <c r="B321" s="81" t="s">
        <v>225</v>
      </c>
      <c r="C321" s="175" t="s">
        <v>159</v>
      </c>
      <c r="D321" s="175" t="s">
        <v>159</v>
      </c>
      <c r="E321" s="175" t="s">
        <v>159</v>
      </c>
      <c r="F321" s="175" t="s">
        <v>159</v>
      </c>
      <c r="G321" s="175" t="s">
        <v>159</v>
      </c>
      <c r="H321" s="175" t="s">
        <v>159</v>
      </c>
      <c r="I321" s="175" t="s">
        <v>159</v>
      </c>
      <c r="J321" s="175" t="s">
        <v>159</v>
      </c>
      <c r="K321" s="39" t="s">
        <v>32</v>
      </c>
      <c r="L321" s="40" t="s">
        <v>257</v>
      </c>
      <c r="M321" s="41" t="s">
        <v>220</v>
      </c>
      <c r="N321" s="202"/>
      <c r="O321" s="39" t="s">
        <v>204</v>
      </c>
      <c r="P321" s="49"/>
      <c r="Q321" s="150"/>
      <c r="R321" s="68"/>
    </row>
    <row r="322" spans="2:18">
      <c r="B322" s="81" t="s">
        <v>225</v>
      </c>
      <c r="C322" s="175" t="s">
        <v>159</v>
      </c>
      <c r="D322" s="175" t="s">
        <v>159</v>
      </c>
      <c r="E322" s="175" t="s">
        <v>159</v>
      </c>
      <c r="F322" s="175" t="s">
        <v>159</v>
      </c>
      <c r="G322" s="175" t="s">
        <v>159</v>
      </c>
      <c r="H322" s="175" t="s">
        <v>159</v>
      </c>
      <c r="I322" s="175" t="s">
        <v>159</v>
      </c>
      <c r="J322" s="175" t="s">
        <v>159</v>
      </c>
      <c r="K322" s="39" t="s">
        <v>32</v>
      </c>
      <c r="L322" s="40" t="s">
        <v>258</v>
      </c>
      <c r="M322" s="41" t="s">
        <v>220</v>
      </c>
      <c r="N322" s="202"/>
      <c r="O322" s="39" t="s">
        <v>204</v>
      </c>
      <c r="P322" s="49"/>
      <c r="Q322" s="150"/>
    </row>
    <row r="323" spans="2:18">
      <c r="B323" s="81" t="s">
        <v>225</v>
      </c>
      <c r="C323" s="175" t="s">
        <v>159</v>
      </c>
      <c r="D323" s="175" t="s">
        <v>159</v>
      </c>
      <c r="E323" s="175" t="s">
        <v>159</v>
      </c>
      <c r="F323" s="175" t="s">
        <v>159</v>
      </c>
      <c r="G323" s="175" t="s">
        <v>159</v>
      </c>
      <c r="H323" s="175" t="s">
        <v>159</v>
      </c>
      <c r="I323" s="175" t="s">
        <v>159</v>
      </c>
      <c r="J323" s="175" t="s">
        <v>159</v>
      </c>
      <c r="K323" s="39" t="s">
        <v>32</v>
      </c>
      <c r="L323" s="40" t="s">
        <v>259</v>
      </c>
      <c r="M323" s="41" t="s">
        <v>220</v>
      </c>
      <c r="N323" s="202"/>
      <c r="O323" s="39" t="s">
        <v>204</v>
      </c>
      <c r="P323" s="49"/>
      <c r="Q323" s="150"/>
    </row>
    <row r="324" spans="2:18">
      <c r="B324" s="22" t="s">
        <v>231</v>
      </c>
      <c r="C324" s="176" t="s">
        <v>159</v>
      </c>
      <c r="D324" s="176" t="s">
        <v>159</v>
      </c>
      <c r="E324" s="176" t="s">
        <v>159</v>
      </c>
      <c r="F324" s="176" t="s">
        <v>159</v>
      </c>
      <c r="G324" s="176" t="s">
        <v>159</v>
      </c>
      <c r="H324" s="176" t="s">
        <v>159</v>
      </c>
      <c r="I324" s="176" t="s">
        <v>159</v>
      </c>
      <c r="J324" s="176" t="s">
        <v>159</v>
      </c>
      <c r="K324" s="69" t="s">
        <v>34</v>
      </c>
      <c r="L324" s="38" t="s">
        <v>323</v>
      </c>
      <c r="M324" s="43" t="s">
        <v>220</v>
      </c>
      <c r="N324" s="202"/>
      <c r="O324" s="69" t="s">
        <v>204</v>
      </c>
      <c r="P324" s="50"/>
      <c r="Q324" s="150"/>
    </row>
    <row r="325" spans="2:18">
      <c r="B325" s="22" t="s">
        <v>233</v>
      </c>
      <c r="C325" s="176" t="s">
        <v>159</v>
      </c>
      <c r="D325" s="176" t="s">
        <v>159</v>
      </c>
      <c r="E325" s="176" t="s">
        <v>159</v>
      </c>
      <c r="F325" s="176" t="s">
        <v>159</v>
      </c>
      <c r="G325" s="176" t="s">
        <v>159</v>
      </c>
      <c r="H325" s="176" t="s">
        <v>159</v>
      </c>
      <c r="I325" s="176" t="s">
        <v>159</v>
      </c>
      <c r="J325" s="176" t="s">
        <v>159</v>
      </c>
      <c r="K325" s="69" t="s">
        <v>35</v>
      </c>
      <c r="L325" s="38" t="s">
        <v>323</v>
      </c>
      <c r="M325" s="41" t="s">
        <v>220</v>
      </c>
      <c r="N325" s="202"/>
      <c r="O325" s="39" t="s">
        <v>204</v>
      </c>
      <c r="P325" s="49"/>
      <c r="Q325" s="150"/>
    </row>
    <row r="326" spans="2:18">
      <c r="B326" s="22" t="s">
        <v>260</v>
      </c>
      <c r="C326" s="176" t="s">
        <v>159</v>
      </c>
      <c r="D326" s="176" t="s">
        <v>159</v>
      </c>
      <c r="E326" s="176" t="s">
        <v>159</v>
      </c>
      <c r="F326" s="176" t="s">
        <v>159</v>
      </c>
      <c r="G326" s="176" t="s">
        <v>159</v>
      </c>
      <c r="H326" s="176" t="s">
        <v>159</v>
      </c>
      <c r="I326" s="176" t="s">
        <v>159</v>
      </c>
      <c r="J326" s="176" t="s">
        <v>159</v>
      </c>
      <c r="K326" s="69" t="s">
        <v>261</v>
      </c>
      <c r="L326" s="38" t="s">
        <v>323</v>
      </c>
      <c r="M326" s="41" t="s">
        <v>220</v>
      </c>
      <c r="N326" s="202"/>
      <c r="O326" s="39" t="s">
        <v>204</v>
      </c>
      <c r="P326" s="49"/>
      <c r="Q326" s="150"/>
    </row>
    <row r="327" spans="2:18" ht="14.25" thickBot="1">
      <c r="B327" s="23" t="s">
        <v>262</v>
      </c>
      <c r="C327" s="177" t="s">
        <v>159</v>
      </c>
      <c r="D327" s="177" t="s">
        <v>159</v>
      </c>
      <c r="E327" s="177" t="s">
        <v>159</v>
      </c>
      <c r="F327" s="177" t="s">
        <v>159</v>
      </c>
      <c r="G327" s="177" t="s">
        <v>159</v>
      </c>
      <c r="H327" s="177" t="s">
        <v>159</v>
      </c>
      <c r="I327" s="177" t="s">
        <v>159</v>
      </c>
      <c r="J327" s="177" t="s">
        <v>159</v>
      </c>
      <c r="K327" s="44" t="s">
        <v>263</v>
      </c>
      <c r="L327" s="45" t="s">
        <v>323</v>
      </c>
      <c r="M327" s="46" t="s">
        <v>33</v>
      </c>
      <c r="N327" s="203"/>
      <c r="O327" s="44" t="s">
        <v>204</v>
      </c>
      <c r="P327" s="51"/>
      <c r="Q327" s="152"/>
    </row>
    <row r="378" spans="2:18" ht="14.25">
      <c r="B378" s="27"/>
    </row>
    <row r="379" spans="2:18" ht="14.25">
      <c r="B379" s="219"/>
      <c r="C379" s="364"/>
      <c r="D379" s="364"/>
      <c r="E379" s="364"/>
      <c r="F379" s="364"/>
      <c r="G379" s="364"/>
      <c r="H379" s="364"/>
      <c r="I379" s="364"/>
      <c r="J379" s="364"/>
    </row>
    <row r="381" spans="2:18">
      <c r="C381" s="356"/>
      <c r="D381" s="356"/>
      <c r="E381" s="356"/>
      <c r="F381" s="356"/>
      <c r="G381" s="356"/>
      <c r="H381" s="356"/>
      <c r="I381" s="356"/>
      <c r="J381" s="356"/>
    </row>
    <row r="382" spans="2:18">
      <c r="C382" s="220"/>
      <c r="D382" s="220"/>
      <c r="E382" s="220"/>
      <c r="F382" s="220"/>
      <c r="G382" s="220"/>
      <c r="H382" s="220"/>
      <c r="I382" s="220"/>
      <c r="J382" s="220"/>
      <c r="K382" s="220"/>
      <c r="L382" s="220"/>
      <c r="M382" s="220"/>
      <c r="R382" s="208"/>
    </row>
    <row r="383" spans="2:18">
      <c r="B383" s="208"/>
      <c r="C383" s="356"/>
      <c r="D383" s="356"/>
      <c r="E383" s="356"/>
      <c r="F383" s="356"/>
      <c r="G383" s="356"/>
      <c r="H383" s="356"/>
      <c r="I383" s="356"/>
      <c r="J383" s="356"/>
    </row>
    <row r="384" spans="2:18">
      <c r="C384" s="221"/>
      <c r="D384" s="221"/>
      <c r="E384" s="221"/>
      <c r="F384" s="221"/>
      <c r="G384" s="221"/>
      <c r="H384" s="221"/>
      <c r="I384" s="221"/>
      <c r="J384" s="221"/>
    </row>
    <row r="385" spans="3:18">
      <c r="C385" s="208"/>
      <c r="D385" s="208"/>
      <c r="E385" s="208"/>
      <c r="F385" s="208"/>
      <c r="G385" s="208"/>
      <c r="H385" s="208"/>
      <c r="I385" s="208"/>
      <c r="J385" s="208"/>
      <c r="K385" s="208"/>
      <c r="L385" s="208"/>
      <c r="M385" s="208"/>
      <c r="N385" s="208"/>
      <c r="R385" s="209"/>
    </row>
    <row r="386" spans="3:18">
      <c r="C386" s="68"/>
      <c r="D386" s="68"/>
      <c r="E386" s="68"/>
      <c r="F386" s="68"/>
      <c r="G386" s="68"/>
      <c r="H386" s="68"/>
      <c r="I386" s="68"/>
      <c r="J386" s="68"/>
      <c r="K386" s="68"/>
      <c r="L386" s="68"/>
      <c r="M386" s="68"/>
      <c r="N386" s="222"/>
      <c r="O386" s="68"/>
      <c r="P386" s="68"/>
      <c r="Q386" s="68"/>
      <c r="R386" s="68"/>
    </row>
    <row r="387" spans="3:18">
      <c r="C387" s="68"/>
      <c r="D387" s="68"/>
      <c r="E387" s="68"/>
      <c r="F387" s="68"/>
      <c r="G387" s="68"/>
      <c r="H387" s="68"/>
      <c r="I387" s="68"/>
      <c r="J387" s="68"/>
      <c r="K387" s="68"/>
      <c r="L387" s="68"/>
      <c r="M387" s="68"/>
      <c r="N387" s="68"/>
      <c r="O387" s="68"/>
      <c r="P387" s="68"/>
      <c r="Q387" s="68"/>
      <c r="R387" s="68"/>
    </row>
    <row r="388" spans="3:18">
      <c r="C388" s="68"/>
      <c r="D388" s="68"/>
      <c r="E388" s="68"/>
      <c r="F388" s="68"/>
      <c r="G388" s="68"/>
      <c r="H388" s="68"/>
      <c r="I388" s="68"/>
      <c r="J388" s="68"/>
      <c r="K388" s="68"/>
      <c r="L388" s="68"/>
      <c r="M388" s="68"/>
      <c r="N388" s="222"/>
      <c r="O388" s="68"/>
      <c r="P388" s="68"/>
      <c r="Q388" s="68"/>
      <c r="R388" s="68"/>
    </row>
    <row r="389" spans="3:18">
      <c r="C389" s="68"/>
      <c r="D389" s="68"/>
      <c r="E389" s="68"/>
      <c r="F389" s="68"/>
      <c r="G389" s="68"/>
      <c r="H389" s="68"/>
      <c r="I389" s="68"/>
      <c r="J389" s="68"/>
      <c r="K389" s="68"/>
      <c r="L389" s="68"/>
      <c r="M389" s="68"/>
      <c r="N389" s="68"/>
      <c r="O389" s="68"/>
      <c r="P389" s="68"/>
      <c r="Q389" s="68"/>
      <c r="R389" s="68"/>
    </row>
    <row r="390" spans="3:18">
      <c r="C390" s="68"/>
      <c r="D390" s="68"/>
      <c r="E390" s="68"/>
      <c r="F390" s="68"/>
      <c r="G390" s="68"/>
      <c r="H390" s="68"/>
      <c r="I390" s="68"/>
      <c r="J390" s="68"/>
      <c r="K390" s="68"/>
      <c r="L390" s="68"/>
      <c r="M390" s="68"/>
      <c r="N390" s="68"/>
      <c r="O390" s="68"/>
      <c r="P390" s="68"/>
      <c r="Q390" s="68"/>
      <c r="R390" s="68"/>
    </row>
    <row r="391" spans="3:18">
      <c r="C391" s="68"/>
      <c r="D391" s="68"/>
      <c r="E391" s="68"/>
      <c r="F391" s="68"/>
      <c r="G391" s="68"/>
      <c r="H391" s="68"/>
      <c r="I391" s="68"/>
      <c r="J391" s="68"/>
      <c r="K391" s="68"/>
      <c r="L391" s="68"/>
      <c r="M391" s="68"/>
      <c r="N391" s="68"/>
      <c r="O391" s="68"/>
      <c r="P391" s="68"/>
      <c r="Q391" s="68"/>
      <c r="R391" s="68"/>
    </row>
    <row r="392" spans="3:18">
      <c r="C392" s="68"/>
      <c r="D392" s="68"/>
      <c r="E392" s="68"/>
      <c r="F392" s="68"/>
      <c r="G392" s="68"/>
      <c r="H392" s="68"/>
      <c r="I392" s="68"/>
      <c r="J392" s="68"/>
      <c r="K392" s="68"/>
      <c r="L392" s="68"/>
      <c r="M392" s="68"/>
      <c r="N392" s="222"/>
      <c r="O392" s="68"/>
      <c r="P392" s="68"/>
      <c r="Q392" s="68"/>
      <c r="R392" s="68"/>
    </row>
    <row r="393" spans="3:18">
      <c r="C393" s="68"/>
      <c r="D393" s="68"/>
      <c r="E393" s="68"/>
      <c r="F393" s="68"/>
      <c r="G393" s="68"/>
      <c r="H393" s="68"/>
      <c r="I393" s="68"/>
      <c r="J393" s="68"/>
      <c r="K393" s="68"/>
      <c r="L393" s="68"/>
      <c r="M393" s="68"/>
      <c r="N393" s="68"/>
      <c r="O393" s="68"/>
      <c r="P393" s="68"/>
      <c r="Q393" s="68"/>
      <c r="R393" s="68"/>
    </row>
    <row r="394" spans="3:18">
      <c r="C394" s="68"/>
      <c r="D394" s="68"/>
      <c r="E394" s="68"/>
      <c r="F394" s="68"/>
      <c r="G394" s="68"/>
      <c r="H394" s="68"/>
      <c r="I394" s="68"/>
      <c r="J394" s="68"/>
      <c r="K394" s="68"/>
      <c r="L394" s="68"/>
      <c r="M394" s="68"/>
      <c r="N394" s="222"/>
      <c r="O394" s="68"/>
      <c r="P394" s="68"/>
      <c r="Q394" s="68"/>
      <c r="R394" s="68"/>
    </row>
    <row r="395" spans="3:18">
      <c r="C395" s="68"/>
      <c r="D395" s="68"/>
      <c r="E395" s="68"/>
      <c r="F395" s="68"/>
      <c r="G395" s="68"/>
      <c r="H395" s="68"/>
      <c r="I395" s="68"/>
      <c r="J395" s="68"/>
      <c r="K395" s="68"/>
      <c r="L395" s="68"/>
      <c r="M395" s="68"/>
      <c r="N395" s="222"/>
      <c r="O395" s="68"/>
      <c r="P395" s="68"/>
      <c r="Q395" s="68"/>
      <c r="R395" s="68"/>
    </row>
    <row r="396" spans="3:18">
      <c r="C396" s="68"/>
      <c r="D396" s="68"/>
      <c r="E396" s="68"/>
      <c r="F396" s="68"/>
      <c r="G396" s="68"/>
      <c r="H396" s="68"/>
      <c r="I396" s="68"/>
      <c r="J396" s="68"/>
      <c r="K396" s="68"/>
      <c r="L396" s="68"/>
      <c r="M396" s="68"/>
      <c r="N396" s="222"/>
      <c r="O396" s="68"/>
      <c r="P396" s="68"/>
      <c r="Q396" s="68"/>
      <c r="R396" s="68"/>
    </row>
    <row r="397" spans="3:18">
      <c r="C397" s="68"/>
      <c r="D397" s="68"/>
      <c r="E397" s="68"/>
      <c r="F397" s="68"/>
      <c r="G397" s="68"/>
      <c r="H397" s="68"/>
      <c r="I397" s="68"/>
      <c r="J397" s="68"/>
      <c r="K397" s="68"/>
      <c r="L397" s="68"/>
      <c r="M397" s="68"/>
      <c r="N397" s="68"/>
      <c r="O397" s="68"/>
      <c r="P397" s="68"/>
      <c r="Q397" s="68"/>
      <c r="R397" s="68"/>
    </row>
    <row r="398" spans="3:18">
      <c r="C398" s="68"/>
      <c r="D398" s="68"/>
      <c r="E398" s="68"/>
      <c r="F398" s="68"/>
      <c r="G398" s="68"/>
      <c r="H398" s="68"/>
      <c r="I398" s="68"/>
      <c r="J398" s="68"/>
      <c r="K398" s="68"/>
      <c r="L398" s="68"/>
      <c r="M398" s="68"/>
      <c r="N398" s="222"/>
      <c r="O398" s="68"/>
      <c r="P398" s="68"/>
      <c r="Q398" s="68"/>
      <c r="R398" s="68"/>
    </row>
    <row r="399" spans="3:18">
      <c r="C399" s="68"/>
      <c r="D399" s="68"/>
      <c r="E399" s="68"/>
      <c r="F399" s="68"/>
      <c r="G399" s="68"/>
      <c r="H399" s="68"/>
      <c r="I399" s="68"/>
      <c r="J399" s="68"/>
      <c r="K399" s="68"/>
      <c r="L399" s="68"/>
      <c r="M399" s="68"/>
      <c r="N399" s="222"/>
      <c r="O399" s="68"/>
      <c r="P399" s="68"/>
      <c r="Q399" s="68"/>
      <c r="R399" s="68"/>
    </row>
    <row r="400" spans="3:18">
      <c r="C400" s="68"/>
      <c r="D400" s="68"/>
      <c r="E400" s="68"/>
      <c r="F400" s="68"/>
      <c r="G400" s="68"/>
      <c r="H400" s="68"/>
      <c r="I400" s="68"/>
      <c r="J400" s="68"/>
      <c r="K400" s="68"/>
      <c r="L400" s="68"/>
      <c r="M400" s="68"/>
      <c r="N400" s="222"/>
      <c r="O400" s="68"/>
      <c r="P400" s="68"/>
      <c r="Q400" s="68"/>
      <c r="R400" s="68"/>
    </row>
    <row r="414" spans="23:23">
      <c r="W414" s="228"/>
    </row>
    <row r="498" spans="23:23">
      <c r="W498" s="257" t="s">
        <v>481</v>
      </c>
    </row>
  </sheetData>
  <mergeCells count="24">
    <mergeCell ref="C240:J240"/>
    <mergeCell ref="C242:J242"/>
    <mergeCell ref="C379:J379"/>
    <mergeCell ref="C3:J3"/>
    <mergeCell ref="C5:J5"/>
    <mergeCell ref="C7:J7"/>
    <mergeCell ref="C266:J266"/>
    <mergeCell ref="C268:J268"/>
    <mergeCell ref="C225:J225"/>
    <mergeCell ref="C227:J227"/>
    <mergeCell ref="C229:J229"/>
    <mergeCell ref="C238:J238"/>
    <mergeCell ref="C29:J29"/>
    <mergeCell ref="C31:J31"/>
    <mergeCell ref="C33:J33"/>
    <mergeCell ref="C381:J381"/>
    <mergeCell ref="C383:J383"/>
    <mergeCell ref="C251:J251"/>
    <mergeCell ref="C253:J253"/>
    <mergeCell ref="C255:J255"/>
    <mergeCell ref="C301:J301"/>
    <mergeCell ref="C270:J270"/>
    <mergeCell ref="C303:J303"/>
    <mergeCell ref="C305:J305"/>
  </mergeCells>
  <phoneticPr fontId="24"/>
  <dataValidations disablePrompts="1" count="1">
    <dataValidation type="list" allowBlank="1" showInputMessage="1" showErrorMessage="1" sqref="C3 C266 C225 C238 C251 C301 C379 C29" xr:uid="{00000000-0002-0000-0B00-000000000000}">
      <formula1>"Index,Matrix Search"</formula1>
    </dataValidation>
  </dataValidations>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dimension ref="A1:K19"/>
  <sheetViews>
    <sheetView showGridLines="0" zoomScale="85" zoomScaleNormal="85" workbookViewId="0">
      <selection activeCell="J31" sqref="J31"/>
    </sheetView>
  </sheetViews>
  <sheetFormatPr defaultColWidth="9" defaultRowHeight="15.75"/>
  <cols>
    <col min="1" max="1" width="6.875" style="205" bestFit="1" customWidth="1"/>
    <col min="2" max="2" width="11.375" style="205" bestFit="1" customWidth="1"/>
    <col min="3" max="3" width="21.25" style="205" bestFit="1" customWidth="1"/>
    <col min="4" max="4" width="10.125" style="205" bestFit="1" customWidth="1"/>
    <col min="5" max="5" width="32.125" style="205" customWidth="1"/>
    <col min="6" max="6" width="13.125" style="205" bestFit="1" customWidth="1"/>
    <col min="7" max="7" width="6.875" style="205" bestFit="1" customWidth="1"/>
    <col min="8" max="8" width="11.375" style="205" bestFit="1" customWidth="1"/>
    <col min="9" max="9" width="8.25" style="205" bestFit="1" customWidth="1"/>
    <col min="10" max="10" width="60" style="205" bestFit="1" customWidth="1"/>
    <col min="11" max="11" width="29.125" style="205" bestFit="1" customWidth="1"/>
    <col min="12" max="16384" width="9" style="205"/>
  </cols>
  <sheetData>
    <row r="1" spans="1:11">
      <c r="A1" s="253" t="s">
        <v>325</v>
      </c>
      <c r="B1" s="253"/>
      <c r="C1" s="253"/>
      <c r="D1" s="253"/>
      <c r="E1" s="253"/>
      <c r="F1" s="253"/>
      <c r="G1" s="253"/>
      <c r="H1" s="253"/>
      <c r="I1" s="253"/>
      <c r="J1" s="253"/>
      <c r="K1" s="253"/>
    </row>
    <row r="2" spans="1:11">
      <c r="A2" s="212" t="s">
        <v>326</v>
      </c>
      <c r="B2" s="212" t="s">
        <v>327</v>
      </c>
      <c r="C2" s="212" t="s">
        <v>328</v>
      </c>
      <c r="D2" s="212" t="s">
        <v>329</v>
      </c>
      <c r="E2" s="212" t="s">
        <v>330</v>
      </c>
      <c r="F2" s="212" t="s">
        <v>331</v>
      </c>
      <c r="G2" s="212" t="s">
        <v>332</v>
      </c>
      <c r="H2" s="212" t="s">
        <v>333</v>
      </c>
      <c r="I2" s="212" t="s">
        <v>334</v>
      </c>
      <c r="J2" s="212" t="s">
        <v>400</v>
      </c>
      <c r="K2" s="212" t="s">
        <v>401</v>
      </c>
    </row>
    <row r="3" spans="1:11">
      <c r="A3" s="254" t="s">
        <v>335</v>
      </c>
      <c r="B3" s="254" t="s">
        <v>336</v>
      </c>
      <c r="C3" s="212" t="s">
        <v>337</v>
      </c>
      <c r="D3" s="254" t="s">
        <v>338</v>
      </c>
      <c r="E3" s="212" t="s">
        <v>339</v>
      </c>
      <c r="F3" s="212" t="s">
        <v>340</v>
      </c>
      <c r="G3" s="212"/>
      <c r="H3" s="212" t="s">
        <v>420</v>
      </c>
      <c r="I3" s="254" t="s">
        <v>341</v>
      </c>
      <c r="J3" s="212"/>
      <c r="K3" s="212"/>
    </row>
    <row r="4" spans="1:11">
      <c r="A4" s="254"/>
      <c r="B4" s="254"/>
      <c r="C4" s="212" t="s">
        <v>342</v>
      </c>
      <c r="D4" s="254"/>
      <c r="E4" s="212" t="s">
        <v>343</v>
      </c>
      <c r="F4" s="212" t="s">
        <v>340</v>
      </c>
      <c r="G4" s="212"/>
      <c r="H4" s="212" t="s">
        <v>422</v>
      </c>
      <c r="I4" s="254"/>
      <c r="J4" s="212"/>
      <c r="K4" s="212"/>
    </row>
    <row r="5" spans="1:11">
      <c r="A5" s="254"/>
      <c r="B5" s="254"/>
      <c r="C5" s="212" t="s">
        <v>344</v>
      </c>
      <c r="D5" s="254"/>
      <c r="E5" s="212" t="s">
        <v>345</v>
      </c>
      <c r="F5" s="212" t="s">
        <v>340</v>
      </c>
      <c r="G5" s="212"/>
      <c r="H5" s="212" t="s">
        <v>423</v>
      </c>
      <c r="I5" s="254"/>
      <c r="J5" s="212"/>
      <c r="K5" s="212"/>
    </row>
    <row r="6" spans="1:11">
      <c r="A6" s="255" t="s">
        <v>346</v>
      </c>
      <c r="B6" s="255" t="s">
        <v>347</v>
      </c>
      <c r="C6" s="212" t="s">
        <v>348</v>
      </c>
      <c r="D6" s="255" t="s">
        <v>338</v>
      </c>
      <c r="E6" s="255" t="s">
        <v>349</v>
      </c>
      <c r="F6" s="255" t="s">
        <v>340</v>
      </c>
      <c r="G6" s="255"/>
      <c r="H6" s="255" t="s">
        <v>350</v>
      </c>
      <c r="I6" s="255" t="s">
        <v>351</v>
      </c>
      <c r="J6" s="212" t="s">
        <v>472</v>
      </c>
      <c r="K6" s="212" t="s">
        <v>399</v>
      </c>
    </row>
    <row r="7" spans="1:11">
      <c r="A7" s="254"/>
      <c r="B7" s="212" t="s">
        <v>352</v>
      </c>
      <c r="C7" s="212" t="s">
        <v>348</v>
      </c>
      <c r="D7" s="212" t="s">
        <v>353</v>
      </c>
      <c r="E7" s="212" t="s">
        <v>354</v>
      </c>
      <c r="F7" s="212" t="s">
        <v>340</v>
      </c>
      <c r="G7" s="212"/>
      <c r="H7" s="212" t="s">
        <v>355</v>
      </c>
      <c r="I7" s="212" t="s">
        <v>356</v>
      </c>
      <c r="J7" s="212" t="s">
        <v>473</v>
      </c>
      <c r="K7" s="212" t="s">
        <v>399</v>
      </c>
    </row>
    <row r="8" spans="1:11">
      <c r="A8" s="256"/>
      <c r="B8" s="256" t="s">
        <v>357</v>
      </c>
      <c r="C8" s="256" t="s">
        <v>358</v>
      </c>
      <c r="D8" s="256" t="s">
        <v>359</v>
      </c>
      <c r="E8" s="256" t="s">
        <v>360</v>
      </c>
      <c r="F8" s="256" t="s">
        <v>265</v>
      </c>
      <c r="G8" s="256"/>
      <c r="H8" s="256" t="s">
        <v>408</v>
      </c>
      <c r="I8" s="256" t="s">
        <v>361</v>
      </c>
      <c r="J8" s="256" t="s">
        <v>474</v>
      </c>
      <c r="K8" s="212"/>
    </row>
    <row r="9" spans="1:11">
      <c r="A9" s="254" t="s">
        <v>362</v>
      </c>
      <c r="B9" s="255" t="s">
        <v>363</v>
      </c>
      <c r="C9" s="212" t="s">
        <v>364</v>
      </c>
      <c r="D9" s="254" t="s">
        <v>365</v>
      </c>
      <c r="E9" s="256" t="s">
        <v>366</v>
      </c>
      <c r="F9" s="256" t="s">
        <v>367</v>
      </c>
      <c r="G9" s="256"/>
      <c r="H9" s="256" t="s">
        <v>418</v>
      </c>
      <c r="I9" s="255" t="s">
        <v>396</v>
      </c>
      <c r="J9" s="212" t="s">
        <v>475</v>
      </c>
      <c r="K9" s="212"/>
    </row>
    <row r="10" spans="1:11">
      <c r="A10" s="254"/>
      <c r="B10" s="254"/>
      <c r="C10" s="212" t="s">
        <v>368</v>
      </c>
      <c r="D10" s="254"/>
      <c r="E10" s="212" t="s">
        <v>369</v>
      </c>
      <c r="F10" s="256" t="s">
        <v>370</v>
      </c>
      <c r="G10" s="212"/>
      <c r="H10" s="212" t="s">
        <v>371</v>
      </c>
      <c r="I10" s="254"/>
      <c r="J10" s="212"/>
      <c r="K10" s="212"/>
    </row>
    <row r="11" spans="1:11">
      <c r="A11" s="254"/>
      <c r="B11" s="254"/>
      <c r="C11" s="212" t="s">
        <v>372</v>
      </c>
      <c r="D11" s="254"/>
      <c r="E11" s="212" t="s">
        <v>373</v>
      </c>
      <c r="F11" s="256" t="s">
        <v>374</v>
      </c>
      <c r="G11" s="212"/>
      <c r="H11" s="212" t="s">
        <v>375</v>
      </c>
      <c r="I11" s="254"/>
      <c r="J11" s="212"/>
      <c r="K11" s="212"/>
    </row>
    <row r="12" spans="1:11">
      <c r="A12" s="254"/>
      <c r="B12" s="254"/>
      <c r="C12" s="212" t="s">
        <v>376</v>
      </c>
      <c r="D12" s="254"/>
      <c r="E12" s="212" t="s">
        <v>377</v>
      </c>
      <c r="F12" s="256" t="s">
        <v>374</v>
      </c>
      <c r="G12" s="212"/>
      <c r="H12" s="212" t="s">
        <v>378</v>
      </c>
      <c r="I12" s="254"/>
      <c r="J12" s="212"/>
      <c r="K12" s="212"/>
    </row>
    <row r="13" spans="1:11">
      <c r="A13" s="254"/>
      <c r="B13" s="254"/>
      <c r="C13" s="212" t="s">
        <v>379</v>
      </c>
      <c r="D13" s="254"/>
      <c r="E13" s="212" t="s">
        <v>380</v>
      </c>
      <c r="F13" s="256" t="s">
        <v>374</v>
      </c>
      <c r="G13" s="212"/>
      <c r="H13" s="212" t="s">
        <v>381</v>
      </c>
      <c r="I13" s="254"/>
      <c r="J13" s="212"/>
      <c r="K13" s="212"/>
    </row>
    <row r="14" spans="1:11">
      <c r="A14" s="254"/>
      <c r="B14" s="254"/>
      <c r="C14" s="212" t="s">
        <v>382</v>
      </c>
      <c r="D14" s="254"/>
      <c r="E14" s="255" t="s">
        <v>383</v>
      </c>
      <c r="F14" s="254" t="s">
        <v>370</v>
      </c>
      <c r="G14" s="255"/>
      <c r="H14" s="255" t="s">
        <v>416</v>
      </c>
      <c r="I14" s="254"/>
      <c r="J14" s="212"/>
      <c r="K14" s="212"/>
    </row>
    <row r="15" spans="1:11">
      <c r="A15" s="254"/>
      <c r="B15" s="255" t="s">
        <v>384</v>
      </c>
      <c r="C15" s="212" t="s">
        <v>385</v>
      </c>
      <c r="D15" s="255" t="s">
        <v>386</v>
      </c>
      <c r="E15" s="212" t="s">
        <v>387</v>
      </c>
      <c r="F15" s="212" t="s">
        <v>388</v>
      </c>
      <c r="G15" s="212"/>
      <c r="H15" s="212" t="s">
        <v>389</v>
      </c>
      <c r="I15" s="255" t="s">
        <v>403</v>
      </c>
      <c r="J15" s="212" t="s">
        <v>476</v>
      </c>
      <c r="K15" s="212"/>
    </row>
    <row r="16" spans="1:11">
      <c r="A16" s="254"/>
      <c r="B16" s="254"/>
      <c r="C16" s="212" t="s">
        <v>390</v>
      </c>
      <c r="D16" s="254"/>
      <c r="E16" s="212" t="s">
        <v>391</v>
      </c>
      <c r="F16" s="256" t="s">
        <v>367</v>
      </c>
      <c r="G16" s="212"/>
      <c r="H16" s="212" t="s">
        <v>392</v>
      </c>
      <c r="I16" s="254"/>
      <c r="J16" s="212"/>
      <c r="K16" s="212"/>
    </row>
    <row r="17" spans="1:11">
      <c r="A17" s="256"/>
      <c r="B17" s="256"/>
      <c r="C17" s="212" t="s">
        <v>393</v>
      </c>
      <c r="D17" s="256"/>
      <c r="E17" s="212" t="s">
        <v>394</v>
      </c>
      <c r="F17" s="256" t="s">
        <v>374</v>
      </c>
      <c r="G17" s="212"/>
      <c r="H17" s="212" t="s">
        <v>395</v>
      </c>
      <c r="I17" s="256"/>
      <c r="J17" s="212"/>
      <c r="K17" s="212"/>
    </row>
    <row r="18" spans="1:11">
      <c r="A18" s="223" t="s">
        <v>429</v>
      </c>
      <c r="B18" s="224" t="s">
        <v>336</v>
      </c>
      <c r="C18" s="225" t="s">
        <v>344</v>
      </c>
      <c r="D18" s="224" t="s">
        <v>338</v>
      </c>
      <c r="E18" s="225" t="s">
        <v>439</v>
      </c>
      <c r="F18" s="225" t="s">
        <v>340</v>
      </c>
      <c r="G18" s="225" t="s">
        <v>409</v>
      </c>
      <c r="H18" s="225" t="s">
        <v>409</v>
      </c>
      <c r="I18" s="223" t="s">
        <v>429</v>
      </c>
      <c r="J18" s="212"/>
      <c r="K18" s="212"/>
    </row>
    <row r="19" spans="1:11">
      <c r="A19" s="226"/>
      <c r="B19" s="225" t="s">
        <v>363</v>
      </c>
      <c r="C19" s="225" t="s">
        <v>368</v>
      </c>
      <c r="D19" s="227"/>
      <c r="E19" s="225" t="s">
        <v>369</v>
      </c>
      <c r="F19" s="227" t="s">
        <v>367</v>
      </c>
      <c r="G19" s="225" t="s">
        <v>409</v>
      </c>
      <c r="H19" s="225" t="s">
        <v>409</v>
      </c>
      <c r="I19" s="227"/>
      <c r="J19" s="212"/>
      <c r="K19" s="212"/>
    </row>
  </sheetData>
  <phoneticPr fontId="2"/>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5"/>
  <dimension ref="B2:D27"/>
  <sheetViews>
    <sheetView workbookViewId="0"/>
  </sheetViews>
  <sheetFormatPr defaultRowHeight="13.5"/>
  <cols>
    <col min="2" max="2" width="4.875" bestFit="1" customWidth="1"/>
    <col min="3" max="3" width="12.25" customWidth="1"/>
    <col min="4" max="4" width="86" customWidth="1"/>
  </cols>
  <sheetData>
    <row r="2" spans="2:4" ht="14.25" thickBot="1">
      <c r="B2" s="93" t="s">
        <v>85</v>
      </c>
      <c r="C2" s="94">
        <f>MAX(B4:B28)</f>
        <v>20</v>
      </c>
      <c r="D2" s="94"/>
    </row>
    <row r="3" spans="2:4" ht="14.25" thickBot="1">
      <c r="B3" s="87" t="s">
        <v>85</v>
      </c>
      <c r="C3" s="95" t="s">
        <v>89</v>
      </c>
      <c r="D3" s="88" t="s">
        <v>86</v>
      </c>
    </row>
    <row r="4" spans="2:4" ht="14.25" thickTop="1">
      <c r="B4" s="12">
        <v>0</v>
      </c>
      <c r="C4" s="96" t="s">
        <v>90</v>
      </c>
      <c r="D4" s="14" t="s">
        <v>19</v>
      </c>
    </row>
    <row r="5" spans="2:4" ht="40.5">
      <c r="B5" s="2">
        <v>1</v>
      </c>
      <c r="C5" s="97" t="s">
        <v>90</v>
      </c>
      <c r="D5" s="99" t="s">
        <v>91</v>
      </c>
    </row>
    <row r="6" spans="2:4" ht="27">
      <c r="B6" s="2">
        <v>2</v>
      </c>
      <c r="C6" s="97" t="s">
        <v>93</v>
      </c>
      <c r="D6" s="99" t="s">
        <v>94</v>
      </c>
    </row>
    <row r="7" spans="2:4" ht="54">
      <c r="B7" s="2">
        <v>3</v>
      </c>
      <c r="C7" s="97" t="s">
        <v>90</v>
      </c>
      <c r="D7" s="99" t="s">
        <v>97</v>
      </c>
    </row>
    <row r="8" spans="2:4" ht="81">
      <c r="B8" s="2">
        <v>4</v>
      </c>
      <c r="C8" s="97" t="s">
        <v>105</v>
      </c>
      <c r="D8" s="99" t="s">
        <v>111</v>
      </c>
    </row>
    <row r="9" spans="2:4" ht="41.25" customHeight="1">
      <c r="B9" s="2">
        <v>5</v>
      </c>
      <c r="C9" s="97" t="s">
        <v>106</v>
      </c>
      <c r="D9" s="99" t="s">
        <v>107</v>
      </c>
    </row>
    <row r="10" spans="2:4" ht="27">
      <c r="B10" s="2">
        <v>6</v>
      </c>
      <c r="C10" s="97" t="s">
        <v>90</v>
      </c>
      <c r="D10" s="99" t="s">
        <v>110</v>
      </c>
    </row>
    <row r="11" spans="2:4" ht="27">
      <c r="B11" s="2">
        <v>7</v>
      </c>
      <c r="C11" s="97" t="s">
        <v>105</v>
      </c>
      <c r="D11" s="99" t="s">
        <v>109</v>
      </c>
    </row>
    <row r="12" spans="2:4" ht="27">
      <c r="B12" s="2">
        <v>8</v>
      </c>
      <c r="C12" s="97" t="s">
        <v>90</v>
      </c>
      <c r="D12" s="99" t="s">
        <v>112</v>
      </c>
    </row>
    <row r="13" spans="2:4" ht="27">
      <c r="B13" s="2">
        <v>9</v>
      </c>
      <c r="C13" s="97" t="s">
        <v>90</v>
      </c>
      <c r="D13" s="99" t="s">
        <v>113</v>
      </c>
    </row>
    <row r="14" spans="2:4" ht="27">
      <c r="B14" s="2">
        <v>10</v>
      </c>
      <c r="C14" s="97" t="s">
        <v>114</v>
      </c>
      <c r="D14" s="99" t="s">
        <v>115</v>
      </c>
    </row>
    <row r="15" spans="2:4" ht="135">
      <c r="B15" s="2">
        <v>11</v>
      </c>
      <c r="C15" s="97" t="s">
        <v>90</v>
      </c>
      <c r="D15" s="99" t="s">
        <v>128</v>
      </c>
    </row>
    <row r="16" spans="2:4" ht="191.25" customHeight="1">
      <c r="B16" s="2">
        <v>12</v>
      </c>
      <c r="C16" s="97" t="s">
        <v>156</v>
      </c>
      <c r="D16" s="99" t="s">
        <v>164</v>
      </c>
    </row>
    <row r="17" spans="2:4" ht="27">
      <c r="B17" s="2">
        <v>13</v>
      </c>
      <c r="C17" s="97" t="s">
        <v>93</v>
      </c>
      <c r="D17" s="99" t="s">
        <v>167</v>
      </c>
    </row>
    <row r="18" spans="2:4" ht="67.5">
      <c r="B18" s="2">
        <v>14</v>
      </c>
      <c r="C18" s="97" t="s">
        <v>93</v>
      </c>
      <c r="D18" s="99" t="s">
        <v>169</v>
      </c>
    </row>
    <row r="19" spans="2:4" ht="40.5">
      <c r="B19" s="2">
        <v>15</v>
      </c>
      <c r="C19" s="97" t="s">
        <v>106</v>
      </c>
      <c r="D19" s="99" t="s">
        <v>172</v>
      </c>
    </row>
    <row r="20" spans="2:4" ht="64.5" customHeight="1">
      <c r="B20" s="2">
        <v>16</v>
      </c>
      <c r="C20" s="97" t="s">
        <v>106</v>
      </c>
      <c r="D20" s="99" t="s">
        <v>176</v>
      </c>
    </row>
    <row r="21" spans="2:4" ht="66.75" customHeight="1">
      <c r="B21" s="2">
        <v>17</v>
      </c>
      <c r="C21" s="97" t="s">
        <v>105</v>
      </c>
      <c r="D21" s="99" t="s">
        <v>191</v>
      </c>
    </row>
    <row r="22" spans="2:4" ht="27">
      <c r="B22" s="2">
        <v>18</v>
      </c>
      <c r="C22" s="97" t="s">
        <v>430</v>
      </c>
      <c r="D22" s="99" t="s">
        <v>431</v>
      </c>
    </row>
    <row r="23" spans="2:4" ht="27">
      <c r="B23" s="2">
        <v>19</v>
      </c>
      <c r="C23" s="97" t="s">
        <v>430</v>
      </c>
      <c r="D23" s="99" t="s">
        <v>432</v>
      </c>
    </row>
    <row r="24" spans="2:4" ht="94.5">
      <c r="B24" s="2">
        <v>20</v>
      </c>
      <c r="C24" s="97" t="s">
        <v>463</v>
      </c>
      <c r="D24" s="99" t="s">
        <v>464</v>
      </c>
    </row>
    <row r="25" spans="2:4">
      <c r="B25" s="2"/>
      <c r="C25" s="97"/>
      <c r="D25" s="83"/>
    </row>
    <row r="26" spans="2:4">
      <c r="B26" s="2"/>
      <c r="C26" s="97"/>
      <c r="D26" s="83"/>
    </row>
    <row r="27" spans="2:4" ht="14.25" thickBot="1">
      <c r="B27" s="3"/>
      <c r="C27" s="98"/>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16</vt:i4>
      </vt:variant>
    </vt:vector>
  </HeadingPairs>
  <TitlesOfParts>
    <vt:vector size="16" baseType="lpstr">
      <vt:lpstr>表紙</vt:lpstr>
      <vt:lpstr>_表紙</vt:lpstr>
      <vt:lpstr>はじめに</vt:lpstr>
      <vt:lpstr>Matrix</vt:lpstr>
      <vt:lpstr>Config_IF</vt:lpstr>
      <vt:lpstr>CH_Design</vt:lpstr>
      <vt:lpstr>TT_L</vt:lpstr>
      <vt:lpstr>TT_R</vt:lpstr>
      <vt:lpstr>BC_RQ</vt:lpstr>
      <vt:lpstr>BC_CL</vt:lpstr>
      <vt:lpstr>BC_VC</vt:lpstr>
      <vt:lpstr>PD_MG</vt:lpstr>
      <vt:lpstr>PD_SG</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Dyan Reyes (DTPH)</cp:lastModifiedBy>
  <dcterms:created xsi:type="dcterms:W3CDTF">2019-02-05T04:25:17Z</dcterms:created>
  <dcterms:modified xsi:type="dcterms:W3CDTF">2023-11-21T11:03:24Z</dcterms:modified>
</cp:coreProperties>
</file>